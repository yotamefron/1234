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4"/>
    </font>
    <font>
      <name val="Calibri"/>
      <b val="1"/>
      <color rgb="001F3864"/>
      <sz val="11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C00000"/>
        <bgColor rgb="00C00000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applyProtection="1" pivotButton="0" quotePrefix="0" xfId="0">
      <alignment horizontal="right" vertical="center"/>
      <protection locked="0" hidden="0"/>
    </xf>
    <xf numFmtId="0" fontId="3" fillId="0" borderId="0" pivotButton="0" quotePrefix="0" xfId="0"/>
    <xf numFmtId="0" fontId="4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7" fillId="5" borderId="1" pivotButton="0" quotePrefix="0" xfId="0"/>
    <xf numFmtId="0" fontId="0" fillId="5" borderId="1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8" fillId="5" borderId="1" pivotButton="0" quotePrefix="0" xfId="0"/>
    <xf numFmtId="1" fontId="7" fillId="5" borderId="1" pivotButton="0" quotePrefix="0" xfId="0"/>
    <xf numFmtId="0" fontId="8" fillId="7" borderId="1" pivotButton="0" quotePrefix="0" xfId="0"/>
    <xf numFmtId="1" fontId="7" fillId="7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4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B6" s="31" t="n"/>
      <c r="C6" s="32" t="n"/>
      <c r="D6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</f>
        <v/>
      </c>
    </row>
    <row r="7">
      <c r="A7" s="4" t="inlineStr">
        <is>
          <t>כמות תקין לגמרי</t>
        </is>
      </c>
      <c r="B7" s="31" t="n"/>
      <c r="C7" s="32" t="n"/>
      <c r="D7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F$2:$AF$500))</f>
        <v/>
      </c>
    </row>
    <row r="8">
      <c r="A8" s="4" t="inlineStr">
        <is>
          <t>כמות תקין ויזואלית בלבד</t>
        </is>
      </c>
      <c r="B8" s="31" t="n"/>
      <c r="C8" s="32" t="n"/>
      <c r="D8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G$2:$AG$500))</f>
        <v/>
      </c>
    </row>
    <row r="9">
      <c r="A9" s="4" t="inlineStr">
        <is>
          <t>כמות תקין תרמית בלבד</t>
        </is>
      </c>
      <c r="B9" s="31" t="n"/>
      <c r="C9" s="32" t="n"/>
      <c r="D9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H$2:$AH$500))</f>
        <v/>
      </c>
    </row>
    <row r="10">
      <c r="A10" s="4" t="inlineStr">
        <is>
          <t>כמות במלאי</t>
        </is>
      </c>
      <c r="B10" s="31" t="n"/>
      <c r="C10" s="32" t="n"/>
      <c r="D10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מלאי"))</f>
        <v/>
      </c>
    </row>
    <row r="11">
      <c r="A11" s="4" t="inlineStr">
        <is>
          <t>כמות מושאלים</t>
        </is>
      </c>
      <c r="B11" s="31" t="n"/>
      <c r="C11" s="32" t="n"/>
      <c r="D11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מושאל"))</f>
        <v/>
      </c>
    </row>
    <row r="12">
      <c r="A12" s="4" t="inlineStr">
        <is>
          <t>כמות בחדר תצוגה</t>
        </is>
      </c>
      <c r="B12" s="31" t="n"/>
      <c r="C12" s="32" t="n"/>
      <c r="D12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חדר תצוגה"))</f>
        <v/>
      </c>
    </row>
    <row r="13">
      <c r="A13" s="4" t="inlineStr">
        <is>
          <t>כמות בתיק הדגמה</t>
        </is>
      </c>
      <c r="B13" s="31" t="n"/>
      <c r="C13" s="32" t="n"/>
      <c r="D13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תיק הדגמה"))</f>
        <v/>
      </c>
    </row>
    <row r="14">
      <c r="A14" s="4" t="inlineStr">
        <is>
          <t>כמות עם פער בתכולה</t>
        </is>
      </c>
      <c r="B14" s="31" t="n"/>
      <c r="C14" s="32" t="n"/>
      <c r="D14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AD$2:$AD$500="כן"))</f>
        <v/>
      </c>
    </row>
    <row r="15">
      <c r="A15" s="4" t="inlineStr">
        <is>
          <t>כמות גרסה מיוחדת - פיתוח</t>
        </is>
      </c>
      <c r="B15" s="31" t="n"/>
      <c r="C15" s="32" t="n"/>
      <c r="D15" s="5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J$2:$J$500="כן"))</f>
        <v/>
      </c>
    </row>
    <row r="16">
      <c r="A16" s="4" t="inlineStr">
        <is>
          <t>תקינים ויזואלית אך הדפס לא מתאים לסביבה</t>
        </is>
      </c>
      <c r="B16" s="31" t="n"/>
      <c r="C16" s="32" t="n"/>
      <c r="D16" s="5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AE$2:$AE$500=FALSE)*((מלאי!$O$2:$O$500="כן")+(מלאי!$P$2:$P$500="כן")&gt;0)))</f>
        <v/>
      </c>
    </row>
    <row r="17">
      <c r="A17" s="4" t="inlineStr">
        <is>
          <t>פירוט הדפסים שאינם מתאימים</t>
        </is>
      </c>
      <c r="B17" s="31" t="n"/>
      <c r="C17" s="32" t="n"/>
      <c r="D17" s="6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31" t="n"/>
      <c r="F17" s="31" t="n"/>
      <c r="G17" s="31" t="n"/>
      <c r="H17" s="31" t="n"/>
      <c r="I17" s="31" t="n"/>
      <c r="J17" s="32" t="n"/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8">
        <f>IF($K21="","",INDEX(מלאי!$D$2:$D$500,$K21))</f>
        <v/>
      </c>
      <c r="B21" s="8">
        <f>IF($K21="","",INDEX(מלאי!$B$2:$B$500,$K21))</f>
        <v/>
      </c>
      <c r="C21" s="8">
        <f>IF($K21="","",INDEX(מלאי!$C$2:$C$500,$K21))</f>
        <v/>
      </c>
      <c r="D21" s="8">
        <f>IF($K21="","",INDEX(מלאי!$G$2:$G$500,$K21))</f>
        <v/>
      </c>
      <c r="E21" s="8">
        <f>IF($K21="","",INDEX(מלאי!$M$2:$M$500,$K21))</f>
        <v/>
      </c>
      <c r="F21" s="8">
        <f>IF($K21="","",INDEX(מלאי!$N$2:$N$500,$K21))</f>
        <v/>
      </c>
      <c r="G21" s="8">
        <f>IF($K21="","",INDEX(מלאי!$O$2:$O$500,$K21))</f>
        <v/>
      </c>
      <c r="H21" s="8">
        <f>IF($K21="","",INDEX(מלאי!$U$2:$U$500,$K21))</f>
        <v/>
      </c>
      <c r="I21" s="8">
        <f>IF($K21="","",INDEX(מלאי!$X$2:$X$500,$K21))</f>
        <v/>
      </c>
      <c r="J21" s="8">
        <f>IF($K21="","",INDEX(מלאי!$AC$2:$AC$500,$K21))</f>
        <v/>
      </c>
      <c r="K2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1),"")</f>
        <v/>
      </c>
    </row>
    <row r="22">
      <c r="A22" s="9">
        <f>IF($K22="","",INDEX(מלאי!$D$2:$D$500,$K22))</f>
        <v/>
      </c>
      <c r="B22" s="9">
        <f>IF($K22="","",INDEX(מלאי!$B$2:$B$500,$K22))</f>
        <v/>
      </c>
      <c r="C22" s="9">
        <f>IF($K22="","",INDEX(מלאי!$C$2:$C$500,$K22))</f>
        <v/>
      </c>
      <c r="D22" s="9">
        <f>IF($K22="","",INDEX(מלאי!$G$2:$G$500,$K22))</f>
        <v/>
      </c>
      <c r="E22" s="9">
        <f>IF($K22="","",INDEX(מלאי!$M$2:$M$500,$K22))</f>
        <v/>
      </c>
      <c r="F22" s="9">
        <f>IF($K22="","",INDEX(מלאי!$N$2:$N$500,$K22))</f>
        <v/>
      </c>
      <c r="G22" s="9">
        <f>IF($K22="","",INDEX(מלאי!$O$2:$O$500,$K22))</f>
        <v/>
      </c>
      <c r="H22" s="9">
        <f>IF($K22="","",INDEX(מלאי!$U$2:$U$500,$K22))</f>
        <v/>
      </c>
      <c r="I22" s="9">
        <f>IF($K22="","",INDEX(מלאי!$X$2:$X$500,$K22))</f>
        <v/>
      </c>
      <c r="J22" s="9">
        <f>IF($K22="","",INDEX(מלאי!$AC$2:$AC$500,$K22))</f>
        <v/>
      </c>
      <c r="K2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2),"")</f>
        <v/>
      </c>
    </row>
    <row r="23">
      <c r="A23" s="8">
        <f>IF($K23="","",INDEX(מלאי!$D$2:$D$500,$K23))</f>
        <v/>
      </c>
      <c r="B23" s="8">
        <f>IF($K23="","",INDEX(מלאי!$B$2:$B$500,$K23))</f>
        <v/>
      </c>
      <c r="C23" s="8">
        <f>IF($K23="","",INDEX(מלאי!$C$2:$C$500,$K23))</f>
        <v/>
      </c>
      <c r="D23" s="8">
        <f>IF($K23="","",INDEX(מלאי!$G$2:$G$500,$K23))</f>
        <v/>
      </c>
      <c r="E23" s="8">
        <f>IF($K23="","",INDEX(מלאי!$M$2:$M$500,$K23))</f>
        <v/>
      </c>
      <c r="F23" s="8">
        <f>IF($K23="","",INDEX(מלאי!$N$2:$N$500,$K23))</f>
        <v/>
      </c>
      <c r="G23" s="8">
        <f>IF($K23="","",INDEX(מלאי!$O$2:$O$500,$K23))</f>
        <v/>
      </c>
      <c r="H23" s="8">
        <f>IF($K23="","",INDEX(מלאי!$U$2:$U$500,$K23))</f>
        <v/>
      </c>
      <c r="I23" s="8">
        <f>IF($K23="","",INDEX(מלאי!$X$2:$X$500,$K23))</f>
        <v/>
      </c>
      <c r="J23" s="8">
        <f>IF($K23="","",INDEX(מלאי!$AC$2:$AC$500,$K23))</f>
        <v/>
      </c>
      <c r="K2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3),"")</f>
        <v/>
      </c>
    </row>
    <row r="24">
      <c r="A24" s="9">
        <f>IF($K24="","",INDEX(מלאי!$D$2:$D$500,$K24))</f>
        <v/>
      </c>
      <c r="B24" s="9">
        <f>IF($K24="","",INDEX(מלאי!$B$2:$B$500,$K24))</f>
        <v/>
      </c>
      <c r="C24" s="9">
        <f>IF($K24="","",INDEX(מלאי!$C$2:$C$500,$K24))</f>
        <v/>
      </c>
      <c r="D24" s="9">
        <f>IF($K24="","",INDEX(מלאי!$G$2:$G$500,$K24))</f>
        <v/>
      </c>
      <c r="E24" s="9">
        <f>IF($K24="","",INDEX(מלאי!$M$2:$M$500,$K24))</f>
        <v/>
      </c>
      <c r="F24" s="9">
        <f>IF($K24="","",INDEX(מלאי!$N$2:$N$500,$K24))</f>
        <v/>
      </c>
      <c r="G24" s="9">
        <f>IF($K24="","",INDEX(מלאי!$O$2:$O$500,$K24))</f>
        <v/>
      </c>
      <c r="H24" s="9">
        <f>IF($K24="","",INDEX(מלאי!$U$2:$U$500,$K24))</f>
        <v/>
      </c>
      <c r="I24" s="9">
        <f>IF($K24="","",INDEX(מלאי!$X$2:$X$500,$K24))</f>
        <v/>
      </c>
      <c r="J24" s="9">
        <f>IF($K24="","",INDEX(מלאי!$AC$2:$AC$500,$K24))</f>
        <v/>
      </c>
      <c r="K2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4),"")</f>
        <v/>
      </c>
    </row>
    <row r="25">
      <c r="A25" s="8">
        <f>IF($K25="","",INDEX(מלאי!$D$2:$D$500,$K25))</f>
        <v/>
      </c>
      <c r="B25" s="8">
        <f>IF($K25="","",INDEX(מלאי!$B$2:$B$500,$K25))</f>
        <v/>
      </c>
      <c r="C25" s="8">
        <f>IF($K25="","",INDEX(מלאי!$C$2:$C$500,$K25))</f>
        <v/>
      </c>
      <c r="D25" s="8">
        <f>IF($K25="","",INDEX(מלאי!$G$2:$G$500,$K25))</f>
        <v/>
      </c>
      <c r="E25" s="8">
        <f>IF($K25="","",INDEX(מלאי!$M$2:$M$500,$K25))</f>
        <v/>
      </c>
      <c r="F25" s="8">
        <f>IF($K25="","",INDEX(מלאי!$N$2:$N$500,$K25))</f>
        <v/>
      </c>
      <c r="G25" s="8">
        <f>IF($K25="","",INDEX(מלאי!$O$2:$O$500,$K25))</f>
        <v/>
      </c>
      <c r="H25" s="8">
        <f>IF($K25="","",INDEX(מלאי!$U$2:$U$500,$K25))</f>
        <v/>
      </c>
      <c r="I25" s="8">
        <f>IF($K25="","",INDEX(מלאי!$X$2:$X$500,$K25))</f>
        <v/>
      </c>
      <c r="J25" s="8">
        <f>IF($K25="","",INDEX(מלאי!$AC$2:$AC$500,$K25))</f>
        <v/>
      </c>
      <c r="K2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5),"")</f>
        <v/>
      </c>
    </row>
    <row r="26">
      <c r="A26" s="9">
        <f>IF($K26="","",INDEX(מלאי!$D$2:$D$500,$K26))</f>
        <v/>
      </c>
      <c r="B26" s="9">
        <f>IF($K26="","",INDEX(מלאי!$B$2:$B$500,$K26))</f>
        <v/>
      </c>
      <c r="C26" s="9">
        <f>IF($K26="","",INDEX(מלאי!$C$2:$C$500,$K26))</f>
        <v/>
      </c>
      <c r="D26" s="9">
        <f>IF($K26="","",INDEX(מלאי!$G$2:$G$500,$K26))</f>
        <v/>
      </c>
      <c r="E26" s="9">
        <f>IF($K26="","",INDEX(מלאי!$M$2:$M$500,$K26))</f>
        <v/>
      </c>
      <c r="F26" s="9">
        <f>IF($K26="","",INDEX(מלאי!$N$2:$N$500,$K26))</f>
        <v/>
      </c>
      <c r="G26" s="9">
        <f>IF($K26="","",INDEX(מלאי!$O$2:$O$500,$K26))</f>
        <v/>
      </c>
      <c r="H26" s="9">
        <f>IF($K26="","",INDEX(מלאי!$U$2:$U$500,$K26))</f>
        <v/>
      </c>
      <c r="I26" s="9">
        <f>IF($K26="","",INDEX(מלאי!$X$2:$X$500,$K26))</f>
        <v/>
      </c>
      <c r="J26" s="9">
        <f>IF($K26="","",INDEX(מלאי!$AC$2:$AC$500,$K26))</f>
        <v/>
      </c>
      <c r="K2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6),"")</f>
        <v/>
      </c>
    </row>
    <row r="27">
      <c r="A27" s="8">
        <f>IF($K27="","",INDEX(מלאי!$D$2:$D$500,$K27))</f>
        <v/>
      </c>
      <c r="B27" s="8">
        <f>IF($K27="","",INDEX(מלאי!$B$2:$B$500,$K27))</f>
        <v/>
      </c>
      <c r="C27" s="8">
        <f>IF($K27="","",INDEX(מלאי!$C$2:$C$500,$K27))</f>
        <v/>
      </c>
      <c r="D27" s="8">
        <f>IF($K27="","",INDEX(מלאי!$G$2:$G$500,$K27))</f>
        <v/>
      </c>
      <c r="E27" s="8">
        <f>IF($K27="","",INDEX(מלאי!$M$2:$M$500,$K27))</f>
        <v/>
      </c>
      <c r="F27" s="8">
        <f>IF($K27="","",INDEX(מלאי!$N$2:$N$500,$K27))</f>
        <v/>
      </c>
      <c r="G27" s="8">
        <f>IF($K27="","",INDEX(מלאי!$O$2:$O$500,$K27))</f>
        <v/>
      </c>
      <c r="H27" s="8">
        <f>IF($K27="","",INDEX(מלאי!$U$2:$U$500,$K27))</f>
        <v/>
      </c>
      <c r="I27" s="8">
        <f>IF($K27="","",INDEX(מלאי!$X$2:$X$500,$K27))</f>
        <v/>
      </c>
      <c r="J27" s="8">
        <f>IF($K27="","",INDEX(מלאי!$AC$2:$AC$500,$K27))</f>
        <v/>
      </c>
      <c r="K2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7),"")</f>
        <v/>
      </c>
    </row>
    <row r="28">
      <c r="A28" s="9">
        <f>IF($K28="","",INDEX(מלאי!$D$2:$D$500,$K28))</f>
        <v/>
      </c>
      <c r="B28" s="9">
        <f>IF($K28="","",INDEX(מלאי!$B$2:$B$500,$K28))</f>
        <v/>
      </c>
      <c r="C28" s="9">
        <f>IF($K28="","",INDEX(מלאי!$C$2:$C$500,$K28))</f>
        <v/>
      </c>
      <c r="D28" s="9">
        <f>IF($K28="","",INDEX(מלאי!$G$2:$G$500,$K28))</f>
        <v/>
      </c>
      <c r="E28" s="9">
        <f>IF($K28="","",INDEX(מלאי!$M$2:$M$500,$K28))</f>
        <v/>
      </c>
      <c r="F28" s="9">
        <f>IF($K28="","",INDEX(מלאי!$N$2:$N$500,$K28))</f>
        <v/>
      </c>
      <c r="G28" s="9">
        <f>IF($K28="","",INDEX(מלאי!$O$2:$O$500,$K28))</f>
        <v/>
      </c>
      <c r="H28" s="9">
        <f>IF($K28="","",INDEX(מלאי!$U$2:$U$500,$K28))</f>
        <v/>
      </c>
      <c r="I28" s="9">
        <f>IF($K28="","",INDEX(מלאי!$X$2:$X$500,$K28))</f>
        <v/>
      </c>
      <c r="J28" s="9">
        <f>IF($K28="","",INDEX(מלאי!$AC$2:$AC$500,$K28))</f>
        <v/>
      </c>
      <c r="K2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8),"")</f>
        <v/>
      </c>
    </row>
    <row r="29">
      <c r="A29" s="8">
        <f>IF($K29="","",INDEX(מלאי!$D$2:$D$500,$K29))</f>
        <v/>
      </c>
      <c r="B29" s="8">
        <f>IF($K29="","",INDEX(מלאי!$B$2:$B$500,$K29))</f>
        <v/>
      </c>
      <c r="C29" s="8">
        <f>IF($K29="","",INDEX(מלאי!$C$2:$C$500,$K29))</f>
        <v/>
      </c>
      <c r="D29" s="8">
        <f>IF($K29="","",INDEX(מלאי!$G$2:$G$500,$K29))</f>
        <v/>
      </c>
      <c r="E29" s="8">
        <f>IF($K29="","",INDEX(מלאי!$M$2:$M$500,$K29))</f>
        <v/>
      </c>
      <c r="F29" s="8">
        <f>IF($K29="","",INDEX(מלאי!$N$2:$N$500,$K29))</f>
        <v/>
      </c>
      <c r="G29" s="8">
        <f>IF($K29="","",INDEX(מלאי!$O$2:$O$500,$K29))</f>
        <v/>
      </c>
      <c r="H29" s="8">
        <f>IF($K29="","",INDEX(מלאי!$U$2:$U$500,$K29))</f>
        <v/>
      </c>
      <c r="I29" s="8">
        <f>IF($K29="","",INDEX(מלאי!$X$2:$X$500,$K29))</f>
        <v/>
      </c>
      <c r="J29" s="8">
        <f>IF($K29="","",INDEX(מלאי!$AC$2:$AC$500,$K29))</f>
        <v/>
      </c>
      <c r="K2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9),"")</f>
        <v/>
      </c>
    </row>
    <row r="30">
      <c r="A30" s="9">
        <f>IF($K30="","",INDEX(מלאי!$D$2:$D$500,$K30))</f>
        <v/>
      </c>
      <c r="B30" s="9">
        <f>IF($K30="","",INDEX(מלאי!$B$2:$B$500,$K30))</f>
        <v/>
      </c>
      <c r="C30" s="9">
        <f>IF($K30="","",INDEX(מלאי!$C$2:$C$500,$K30))</f>
        <v/>
      </c>
      <c r="D30" s="9">
        <f>IF($K30="","",INDEX(מלאי!$G$2:$G$500,$K30))</f>
        <v/>
      </c>
      <c r="E30" s="9">
        <f>IF($K30="","",INDEX(מלאי!$M$2:$M$500,$K30))</f>
        <v/>
      </c>
      <c r="F30" s="9">
        <f>IF($K30="","",INDEX(מלאי!$N$2:$N$500,$K30))</f>
        <v/>
      </c>
      <c r="G30" s="9">
        <f>IF($K30="","",INDEX(מלאי!$O$2:$O$500,$K30))</f>
        <v/>
      </c>
      <c r="H30" s="9">
        <f>IF($K30="","",INDEX(מלאי!$U$2:$U$500,$K30))</f>
        <v/>
      </c>
      <c r="I30" s="9">
        <f>IF($K30="","",INDEX(מלאי!$X$2:$X$500,$K30))</f>
        <v/>
      </c>
      <c r="J30" s="9">
        <f>IF($K30="","",INDEX(מלאי!$AC$2:$AC$500,$K30))</f>
        <v/>
      </c>
      <c r="K3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10),"")</f>
        <v/>
      </c>
    </row>
    <row r="31">
      <c r="A31" s="8">
        <f>IF($K31="","",INDEX(מלאי!$D$2:$D$500,$K31))</f>
        <v/>
      </c>
      <c r="B31" s="8">
        <f>IF($K31="","",INDEX(מלאי!$B$2:$B$500,$K31))</f>
        <v/>
      </c>
      <c r="C31" s="8">
        <f>IF($K31="","",INDEX(מלאי!$C$2:$C$500,$K31))</f>
        <v/>
      </c>
      <c r="D31" s="8">
        <f>IF($K31="","",INDEX(מלאי!$G$2:$G$500,$K31))</f>
        <v/>
      </c>
      <c r="E31" s="8">
        <f>IF($K31="","",INDEX(מלאי!$M$2:$M$500,$K31))</f>
        <v/>
      </c>
      <c r="F31" s="8">
        <f>IF($K31="","",INDEX(מלאי!$N$2:$N$500,$K31))</f>
        <v/>
      </c>
      <c r="G31" s="8">
        <f>IF($K31="","",INDEX(מלאי!$O$2:$O$500,$K31))</f>
        <v/>
      </c>
      <c r="H31" s="8">
        <f>IF($K31="","",INDEX(מלאי!$U$2:$U$500,$K31))</f>
        <v/>
      </c>
      <c r="I31" s="8">
        <f>IF($K31="","",INDEX(מלאי!$X$2:$X$500,$K31))</f>
        <v/>
      </c>
      <c r="J31" s="8">
        <f>IF($K31="","",INDEX(מלאי!$AC$2:$AC$500,$K31))</f>
        <v/>
      </c>
      <c r="K3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11),"")</f>
        <v/>
      </c>
    </row>
    <row r="32">
      <c r="A32" s="9">
        <f>IF($K32="","",INDEX(מלאי!$D$2:$D$500,$K32))</f>
        <v/>
      </c>
      <c r="B32" s="9">
        <f>IF($K32="","",INDEX(מלאי!$B$2:$B$500,$K32))</f>
        <v/>
      </c>
      <c r="C32" s="9">
        <f>IF($K32="","",INDEX(מלאי!$C$2:$C$500,$K32))</f>
        <v/>
      </c>
      <c r="D32" s="9">
        <f>IF($K32="","",INDEX(מלאי!$G$2:$G$500,$K32))</f>
        <v/>
      </c>
      <c r="E32" s="9">
        <f>IF($K32="","",INDEX(מלאי!$M$2:$M$500,$K32))</f>
        <v/>
      </c>
      <c r="F32" s="9">
        <f>IF($K32="","",INDEX(מלאי!$N$2:$N$500,$K32))</f>
        <v/>
      </c>
      <c r="G32" s="9">
        <f>IF($K32="","",INDEX(מלאי!$O$2:$O$500,$K32))</f>
        <v/>
      </c>
      <c r="H32" s="9">
        <f>IF($K32="","",INDEX(מלאי!$U$2:$U$500,$K32))</f>
        <v/>
      </c>
      <c r="I32" s="9">
        <f>IF($K32="","",INDEX(מלאי!$X$2:$X$500,$K32))</f>
        <v/>
      </c>
      <c r="J32" s="9">
        <f>IF($K32="","",INDEX(מלאי!$AC$2:$AC$500,$K32))</f>
        <v/>
      </c>
      <c r="K3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12),"")</f>
        <v/>
      </c>
    </row>
    <row r="33">
      <c r="A33" s="8">
        <f>IF($K33="","",INDEX(מלאי!$D$2:$D$500,$K33))</f>
        <v/>
      </c>
      <c r="B33" s="8">
        <f>IF($K33="","",INDEX(מלאי!$B$2:$B$500,$K33))</f>
        <v/>
      </c>
      <c r="C33" s="8">
        <f>IF($K33="","",INDEX(מלאי!$C$2:$C$500,$K33))</f>
        <v/>
      </c>
      <c r="D33" s="8">
        <f>IF($K33="","",INDEX(מלאי!$G$2:$G$500,$K33))</f>
        <v/>
      </c>
      <c r="E33" s="8">
        <f>IF($K33="","",INDEX(מלאי!$M$2:$M$500,$K33))</f>
        <v/>
      </c>
      <c r="F33" s="8">
        <f>IF($K33="","",INDEX(מלאי!$N$2:$N$500,$K33))</f>
        <v/>
      </c>
      <c r="G33" s="8">
        <f>IF($K33="","",INDEX(מלאי!$O$2:$O$500,$K33))</f>
        <v/>
      </c>
      <c r="H33" s="8">
        <f>IF($K33="","",INDEX(מלאי!$U$2:$U$500,$K33))</f>
        <v/>
      </c>
      <c r="I33" s="8">
        <f>IF($K33="","",INDEX(מלאי!$X$2:$X$500,$K33))</f>
        <v/>
      </c>
      <c r="J33" s="8">
        <f>IF($K33="","",INDEX(מלאי!$AC$2:$AC$500,$K33))</f>
        <v/>
      </c>
      <c r="K3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13),"")</f>
        <v/>
      </c>
    </row>
    <row r="34">
      <c r="A34" s="9">
        <f>IF($K34="","",INDEX(מלאי!$D$2:$D$500,$K34))</f>
        <v/>
      </c>
      <c r="B34" s="9">
        <f>IF($K34="","",INDEX(מלאי!$B$2:$B$500,$K34))</f>
        <v/>
      </c>
      <c r="C34" s="9">
        <f>IF($K34="","",INDEX(מלאי!$C$2:$C$500,$K34))</f>
        <v/>
      </c>
      <c r="D34" s="9">
        <f>IF($K34="","",INDEX(מלאי!$G$2:$G$500,$K34))</f>
        <v/>
      </c>
      <c r="E34" s="9">
        <f>IF($K34="","",INDEX(מלאי!$M$2:$M$500,$K34))</f>
        <v/>
      </c>
      <c r="F34" s="9">
        <f>IF($K34="","",INDEX(מלאי!$N$2:$N$500,$K34))</f>
        <v/>
      </c>
      <c r="G34" s="9">
        <f>IF($K34="","",INDEX(מלאי!$O$2:$O$500,$K34))</f>
        <v/>
      </c>
      <c r="H34" s="9">
        <f>IF($K34="","",INDEX(מלאי!$U$2:$U$500,$K34))</f>
        <v/>
      </c>
      <c r="I34" s="9">
        <f>IF($K34="","",INDEX(מלאי!$X$2:$X$500,$K34))</f>
        <v/>
      </c>
      <c r="J34" s="9">
        <f>IF($K34="","",INDEX(מלאי!$AC$2:$AC$500,$K34))</f>
        <v/>
      </c>
      <c r="K3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14),"")</f>
        <v/>
      </c>
    </row>
    <row r="35">
      <c r="A35" s="8">
        <f>IF($K35="","",INDEX(מלאי!$D$2:$D$500,$K35))</f>
        <v/>
      </c>
      <c r="B35" s="8">
        <f>IF($K35="","",INDEX(מלאי!$B$2:$B$500,$K35))</f>
        <v/>
      </c>
      <c r="C35" s="8">
        <f>IF($K35="","",INDEX(מלאי!$C$2:$C$500,$K35))</f>
        <v/>
      </c>
      <c r="D35" s="8">
        <f>IF($K35="","",INDEX(מלאי!$G$2:$G$500,$K35))</f>
        <v/>
      </c>
      <c r="E35" s="8">
        <f>IF($K35="","",INDEX(מלאי!$M$2:$M$500,$K35))</f>
        <v/>
      </c>
      <c r="F35" s="8">
        <f>IF($K35="","",INDEX(מלאי!$N$2:$N$500,$K35))</f>
        <v/>
      </c>
      <c r="G35" s="8">
        <f>IF($K35="","",INDEX(מלאי!$O$2:$O$500,$K35))</f>
        <v/>
      </c>
      <c r="H35" s="8">
        <f>IF($K35="","",INDEX(מלאי!$U$2:$U$500,$K35))</f>
        <v/>
      </c>
      <c r="I35" s="8">
        <f>IF($K35="","",INDEX(מלאי!$X$2:$X$500,$K35))</f>
        <v/>
      </c>
      <c r="J35" s="8">
        <f>IF($K35="","",INDEX(מלאי!$AC$2:$AC$500,$K35))</f>
        <v/>
      </c>
      <c r="K3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15),"")</f>
        <v/>
      </c>
    </row>
    <row r="36">
      <c r="A36" s="9">
        <f>IF($K36="","",INDEX(מלאי!$D$2:$D$500,$K36))</f>
        <v/>
      </c>
      <c r="B36" s="9">
        <f>IF($K36="","",INDEX(מלאי!$B$2:$B$500,$K36))</f>
        <v/>
      </c>
      <c r="C36" s="9">
        <f>IF($K36="","",INDEX(מלאי!$C$2:$C$500,$K36))</f>
        <v/>
      </c>
      <c r="D36" s="9">
        <f>IF($K36="","",INDEX(מלאי!$G$2:$G$500,$K36))</f>
        <v/>
      </c>
      <c r="E36" s="9">
        <f>IF($K36="","",INDEX(מלאי!$M$2:$M$500,$K36))</f>
        <v/>
      </c>
      <c r="F36" s="9">
        <f>IF($K36="","",INDEX(מלאי!$N$2:$N$500,$K36))</f>
        <v/>
      </c>
      <c r="G36" s="9">
        <f>IF($K36="","",INDEX(מלאי!$O$2:$O$500,$K36))</f>
        <v/>
      </c>
      <c r="H36" s="9">
        <f>IF($K36="","",INDEX(מלאי!$U$2:$U$500,$K36))</f>
        <v/>
      </c>
      <c r="I36" s="9">
        <f>IF($K36="","",INDEX(מלאי!$X$2:$X$500,$K36))</f>
        <v/>
      </c>
      <c r="J36" s="9">
        <f>IF($K36="","",INDEX(מלאי!$AC$2:$AC$500,$K36))</f>
        <v/>
      </c>
      <c r="K3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16),"")</f>
        <v/>
      </c>
    </row>
    <row r="37">
      <c r="A37" s="8">
        <f>IF($K37="","",INDEX(מלאי!$D$2:$D$500,$K37))</f>
        <v/>
      </c>
      <c r="B37" s="8">
        <f>IF($K37="","",INDEX(מלאי!$B$2:$B$500,$K37))</f>
        <v/>
      </c>
      <c r="C37" s="8">
        <f>IF($K37="","",INDEX(מלאי!$C$2:$C$500,$K37))</f>
        <v/>
      </c>
      <c r="D37" s="8">
        <f>IF($K37="","",INDEX(מלאי!$G$2:$G$500,$K37))</f>
        <v/>
      </c>
      <c r="E37" s="8">
        <f>IF($K37="","",INDEX(מלאי!$M$2:$M$500,$K37))</f>
        <v/>
      </c>
      <c r="F37" s="8">
        <f>IF($K37="","",INDEX(מלאי!$N$2:$N$500,$K37))</f>
        <v/>
      </c>
      <c r="G37" s="8">
        <f>IF($K37="","",INDEX(מלאי!$O$2:$O$500,$K37))</f>
        <v/>
      </c>
      <c r="H37" s="8">
        <f>IF($K37="","",INDEX(מלאי!$U$2:$U$500,$K37))</f>
        <v/>
      </c>
      <c r="I37" s="8">
        <f>IF($K37="","",INDEX(מלאי!$X$2:$X$500,$K37))</f>
        <v/>
      </c>
      <c r="J37" s="8">
        <f>IF($K37="","",INDEX(מלאי!$AC$2:$AC$500,$K37))</f>
        <v/>
      </c>
      <c r="K3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17),"")</f>
        <v/>
      </c>
    </row>
    <row r="38">
      <c r="A38" s="9">
        <f>IF($K38="","",INDEX(מלאי!$D$2:$D$500,$K38))</f>
        <v/>
      </c>
      <c r="B38" s="9">
        <f>IF($K38="","",INDEX(מלאי!$B$2:$B$500,$K38))</f>
        <v/>
      </c>
      <c r="C38" s="9">
        <f>IF($K38="","",INDEX(מלאי!$C$2:$C$500,$K38))</f>
        <v/>
      </c>
      <c r="D38" s="9">
        <f>IF($K38="","",INDEX(מלאי!$G$2:$G$500,$K38))</f>
        <v/>
      </c>
      <c r="E38" s="9">
        <f>IF($K38="","",INDEX(מלאי!$M$2:$M$500,$K38))</f>
        <v/>
      </c>
      <c r="F38" s="9">
        <f>IF($K38="","",INDEX(מלאי!$N$2:$N$500,$K38))</f>
        <v/>
      </c>
      <c r="G38" s="9">
        <f>IF($K38="","",INDEX(מלאי!$O$2:$O$500,$K38))</f>
        <v/>
      </c>
      <c r="H38" s="9">
        <f>IF($K38="","",INDEX(מלאי!$U$2:$U$500,$K38))</f>
        <v/>
      </c>
      <c r="I38" s="9">
        <f>IF($K38="","",INDEX(מלאי!$X$2:$X$500,$K38))</f>
        <v/>
      </c>
      <c r="J38" s="9">
        <f>IF($K38="","",INDEX(מלאי!$AC$2:$AC$500,$K38))</f>
        <v/>
      </c>
      <c r="K3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18),"")</f>
        <v/>
      </c>
    </row>
    <row r="39">
      <c r="A39" s="8">
        <f>IF($K39="","",INDEX(מלאי!$D$2:$D$500,$K39))</f>
        <v/>
      </c>
      <c r="B39" s="8">
        <f>IF($K39="","",INDEX(מלאי!$B$2:$B$500,$K39))</f>
        <v/>
      </c>
      <c r="C39" s="8">
        <f>IF($K39="","",INDEX(מלאי!$C$2:$C$500,$K39))</f>
        <v/>
      </c>
      <c r="D39" s="8">
        <f>IF($K39="","",INDEX(מלאי!$G$2:$G$500,$K39))</f>
        <v/>
      </c>
      <c r="E39" s="8">
        <f>IF($K39="","",INDEX(מלאי!$M$2:$M$500,$K39))</f>
        <v/>
      </c>
      <c r="F39" s="8">
        <f>IF($K39="","",INDEX(מלאי!$N$2:$N$500,$K39))</f>
        <v/>
      </c>
      <c r="G39" s="8">
        <f>IF($K39="","",INDEX(מלאי!$O$2:$O$500,$K39))</f>
        <v/>
      </c>
      <c r="H39" s="8">
        <f>IF($K39="","",INDEX(מלאי!$U$2:$U$500,$K39))</f>
        <v/>
      </c>
      <c r="I39" s="8">
        <f>IF($K39="","",INDEX(מלאי!$X$2:$X$500,$K39))</f>
        <v/>
      </c>
      <c r="J39" s="8">
        <f>IF($K39="","",INDEX(מלאי!$AC$2:$AC$500,$K39))</f>
        <v/>
      </c>
      <c r="K3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19),"")</f>
        <v/>
      </c>
    </row>
    <row r="40">
      <c r="A40" s="9">
        <f>IF($K40="","",INDEX(מלאי!$D$2:$D$500,$K40))</f>
        <v/>
      </c>
      <c r="B40" s="9">
        <f>IF($K40="","",INDEX(מלאי!$B$2:$B$500,$K40))</f>
        <v/>
      </c>
      <c r="C40" s="9">
        <f>IF($K40="","",INDEX(מלאי!$C$2:$C$500,$K40))</f>
        <v/>
      </c>
      <c r="D40" s="9">
        <f>IF($K40="","",INDEX(מלאי!$G$2:$G$500,$K40))</f>
        <v/>
      </c>
      <c r="E40" s="9">
        <f>IF($K40="","",INDEX(מלאי!$M$2:$M$500,$K40))</f>
        <v/>
      </c>
      <c r="F40" s="9">
        <f>IF($K40="","",INDEX(מלאי!$N$2:$N$500,$K40))</f>
        <v/>
      </c>
      <c r="G40" s="9">
        <f>IF($K40="","",INDEX(מלאי!$O$2:$O$500,$K40))</f>
        <v/>
      </c>
      <c r="H40" s="9">
        <f>IF($K40="","",INDEX(מלאי!$U$2:$U$500,$K40))</f>
        <v/>
      </c>
      <c r="I40" s="9">
        <f>IF($K40="","",INDEX(מלאי!$X$2:$X$500,$K40))</f>
        <v/>
      </c>
      <c r="J40" s="9">
        <f>IF($K40="","",INDEX(מלאי!$AC$2:$AC$500,$K40))</f>
        <v/>
      </c>
      <c r="K4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20),"")</f>
        <v/>
      </c>
    </row>
    <row r="41">
      <c r="A41" s="8">
        <f>IF($K41="","",INDEX(מלאי!$D$2:$D$500,$K41))</f>
        <v/>
      </c>
      <c r="B41" s="8">
        <f>IF($K41="","",INDEX(מלאי!$B$2:$B$500,$K41))</f>
        <v/>
      </c>
      <c r="C41" s="8">
        <f>IF($K41="","",INDEX(מלאי!$C$2:$C$500,$K41))</f>
        <v/>
      </c>
      <c r="D41" s="8">
        <f>IF($K41="","",INDEX(מלאי!$G$2:$G$500,$K41))</f>
        <v/>
      </c>
      <c r="E41" s="8">
        <f>IF($K41="","",INDEX(מלאי!$M$2:$M$500,$K41))</f>
        <v/>
      </c>
      <c r="F41" s="8">
        <f>IF($K41="","",INDEX(מלאי!$N$2:$N$500,$K41))</f>
        <v/>
      </c>
      <c r="G41" s="8">
        <f>IF($K41="","",INDEX(מלאי!$O$2:$O$500,$K41))</f>
        <v/>
      </c>
      <c r="H41" s="8">
        <f>IF($K41="","",INDEX(מלאי!$U$2:$U$500,$K41))</f>
        <v/>
      </c>
      <c r="I41" s="8">
        <f>IF($K41="","",INDEX(מלאי!$X$2:$X$500,$K41))</f>
        <v/>
      </c>
      <c r="J41" s="8">
        <f>IF($K41="","",INDEX(מלאי!$AC$2:$AC$500,$K41))</f>
        <v/>
      </c>
      <c r="K4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21),"")</f>
        <v/>
      </c>
    </row>
    <row r="42">
      <c r="A42" s="9">
        <f>IF($K42="","",INDEX(מלאי!$D$2:$D$500,$K42))</f>
        <v/>
      </c>
      <c r="B42" s="9">
        <f>IF($K42="","",INDEX(מלאי!$B$2:$B$500,$K42))</f>
        <v/>
      </c>
      <c r="C42" s="9">
        <f>IF($K42="","",INDEX(מלאי!$C$2:$C$500,$K42))</f>
        <v/>
      </c>
      <c r="D42" s="9">
        <f>IF($K42="","",INDEX(מלאי!$G$2:$G$500,$K42))</f>
        <v/>
      </c>
      <c r="E42" s="9">
        <f>IF($K42="","",INDEX(מלאי!$M$2:$M$500,$K42))</f>
        <v/>
      </c>
      <c r="F42" s="9">
        <f>IF($K42="","",INDEX(מלאי!$N$2:$N$500,$K42))</f>
        <v/>
      </c>
      <c r="G42" s="9">
        <f>IF($K42="","",INDEX(מלאי!$O$2:$O$500,$K42))</f>
        <v/>
      </c>
      <c r="H42" s="9">
        <f>IF($K42="","",INDEX(מלאי!$U$2:$U$500,$K42))</f>
        <v/>
      </c>
      <c r="I42" s="9">
        <f>IF($K42="","",INDEX(מלאי!$X$2:$X$500,$K42))</f>
        <v/>
      </c>
      <c r="J42" s="9">
        <f>IF($K42="","",INDEX(מלאי!$AC$2:$AC$500,$K42))</f>
        <v/>
      </c>
      <c r="K4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22),"")</f>
        <v/>
      </c>
    </row>
    <row r="43">
      <c r="A43" s="8">
        <f>IF($K43="","",INDEX(מלאי!$D$2:$D$500,$K43))</f>
        <v/>
      </c>
      <c r="B43" s="8">
        <f>IF($K43="","",INDEX(מלאי!$B$2:$B$500,$K43))</f>
        <v/>
      </c>
      <c r="C43" s="8">
        <f>IF($K43="","",INDEX(מלאי!$C$2:$C$500,$K43))</f>
        <v/>
      </c>
      <c r="D43" s="8">
        <f>IF($K43="","",INDEX(מלאי!$G$2:$G$500,$K43))</f>
        <v/>
      </c>
      <c r="E43" s="8">
        <f>IF($K43="","",INDEX(מלאי!$M$2:$M$500,$K43))</f>
        <v/>
      </c>
      <c r="F43" s="8">
        <f>IF($K43="","",INDEX(מלאי!$N$2:$N$500,$K43))</f>
        <v/>
      </c>
      <c r="G43" s="8">
        <f>IF($K43="","",INDEX(מלאי!$O$2:$O$500,$K43))</f>
        <v/>
      </c>
      <c r="H43" s="8">
        <f>IF($K43="","",INDEX(מלאי!$U$2:$U$500,$K43))</f>
        <v/>
      </c>
      <c r="I43" s="8">
        <f>IF($K43="","",INDEX(מלאי!$X$2:$X$500,$K43))</f>
        <v/>
      </c>
      <c r="J43" s="8">
        <f>IF($K43="","",INDEX(מלאי!$AC$2:$AC$500,$K43))</f>
        <v/>
      </c>
      <c r="K4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23),"")</f>
        <v/>
      </c>
    </row>
    <row r="44">
      <c r="A44" s="9">
        <f>IF($K44="","",INDEX(מלאי!$D$2:$D$500,$K44))</f>
        <v/>
      </c>
      <c r="B44" s="9">
        <f>IF($K44="","",INDEX(מלאי!$B$2:$B$500,$K44))</f>
        <v/>
      </c>
      <c r="C44" s="9">
        <f>IF($K44="","",INDEX(מלאי!$C$2:$C$500,$K44))</f>
        <v/>
      </c>
      <c r="D44" s="9">
        <f>IF($K44="","",INDEX(מלאי!$G$2:$G$500,$K44))</f>
        <v/>
      </c>
      <c r="E44" s="9">
        <f>IF($K44="","",INDEX(מלאי!$M$2:$M$500,$K44))</f>
        <v/>
      </c>
      <c r="F44" s="9">
        <f>IF($K44="","",INDEX(מלאי!$N$2:$N$500,$K44))</f>
        <v/>
      </c>
      <c r="G44" s="9">
        <f>IF($K44="","",INDEX(מלאי!$O$2:$O$500,$K44))</f>
        <v/>
      </c>
      <c r="H44" s="9">
        <f>IF($K44="","",INDEX(מלאי!$U$2:$U$500,$K44))</f>
        <v/>
      </c>
      <c r="I44" s="9">
        <f>IF($K44="","",INDEX(מלאי!$X$2:$X$500,$K44))</f>
        <v/>
      </c>
      <c r="J44" s="9">
        <f>IF($K44="","",INDEX(מלאי!$AC$2:$AC$500,$K44))</f>
        <v/>
      </c>
      <c r="K4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24),"")</f>
        <v/>
      </c>
    </row>
    <row r="45">
      <c r="A45" s="8">
        <f>IF($K45="","",INDEX(מלאי!$D$2:$D$500,$K45))</f>
        <v/>
      </c>
      <c r="B45" s="8">
        <f>IF($K45="","",INDEX(מלאי!$B$2:$B$500,$K45))</f>
        <v/>
      </c>
      <c r="C45" s="8">
        <f>IF($K45="","",INDEX(מלאי!$C$2:$C$500,$K45))</f>
        <v/>
      </c>
      <c r="D45" s="8">
        <f>IF($K45="","",INDEX(מלאי!$G$2:$G$500,$K45))</f>
        <v/>
      </c>
      <c r="E45" s="8">
        <f>IF($K45="","",INDEX(מלאי!$M$2:$M$500,$K45))</f>
        <v/>
      </c>
      <c r="F45" s="8">
        <f>IF($K45="","",INDEX(מלאי!$N$2:$N$500,$K45))</f>
        <v/>
      </c>
      <c r="G45" s="8">
        <f>IF($K45="","",INDEX(מלאי!$O$2:$O$500,$K45))</f>
        <v/>
      </c>
      <c r="H45" s="8">
        <f>IF($K45="","",INDEX(מלאי!$U$2:$U$500,$K45))</f>
        <v/>
      </c>
      <c r="I45" s="8">
        <f>IF($K45="","",INDEX(מלאי!$X$2:$X$500,$K45))</f>
        <v/>
      </c>
      <c r="J45" s="8">
        <f>IF($K45="","",INDEX(מלאי!$AC$2:$AC$500,$K45))</f>
        <v/>
      </c>
      <c r="K4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25),"")</f>
        <v/>
      </c>
    </row>
    <row r="46">
      <c r="A46" s="9">
        <f>IF($K46="","",INDEX(מלאי!$D$2:$D$500,$K46))</f>
        <v/>
      </c>
      <c r="B46" s="9">
        <f>IF($K46="","",INDEX(מלאי!$B$2:$B$500,$K46))</f>
        <v/>
      </c>
      <c r="C46" s="9">
        <f>IF($K46="","",INDEX(מלאי!$C$2:$C$500,$K46))</f>
        <v/>
      </c>
      <c r="D46" s="9">
        <f>IF($K46="","",INDEX(מלאי!$G$2:$G$500,$K46))</f>
        <v/>
      </c>
      <c r="E46" s="9">
        <f>IF($K46="","",INDEX(מלאי!$M$2:$M$500,$K46))</f>
        <v/>
      </c>
      <c r="F46" s="9">
        <f>IF($K46="","",INDEX(מלאי!$N$2:$N$500,$K46))</f>
        <v/>
      </c>
      <c r="G46" s="9">
        <f>IF($K46="","",INDEX(מלאי!$O$2:$O$500,$K46))</f>
        <v/>
      </c>
      <c r="H46" s="9">
        <f>IF($K46="","",INDEX(מלאי!$U$2:$U$500,$K46))</f>
        <v/>
      </c>
      <c r="I46" s="9">
        <f>IF($K46="","",INDEX(מלאי!$X$2:$X$500,$K46))</f>
        <v/>
      </c>
      <c r="J46" s="9">
        <f>IF($K46="","",INDEX(מלאי!$AC$2:$AC$500,$K46))</f>
        <v/>
      </c>
      <c r="K4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26),"")</f>
        <v/>
      </c>
    </row>
    <row r="47">
      <c r="A47" s="8">
        <f>IF($K47="","",INDEX(מלאי!$D$2:$D$500,$K47))</f>
        <v/>
      </c>
      <c r="B47" s="8">
        <f>IF($K47="","",INDEX(מלאי!$B$2:$B$500,$K47))</f>
        <v/>
      </c>
      <c r="C47" s="8">
        <f>IF($K47="","",INDEX(מלאי!$C$2:$C$500,$K47))</f>
        <v/>
      </c>
      <c r="D47" s="8">
        <f>IF($K47="","",INDEX(מלאי!$G$2:$G$500,$K47))</f>
        <v/>
      </c>
      <c r="E47" s="8">
        <f>IF($K47="","",INDEX(מלאי!$M$2:$M$500,$K47))</f>
        <v/>
      </c>
      <c r="F47" s="8">
        <f>IF($K47="","",INDEX(מלאי!$N$2:$N$500,$K47))</f>
        <v/>
      </c>
      <c r="G47" s="8">
        <f>IF($K47="","",INDEX(מלאי!$O$2:$O$500,$K47))</f>
        <v/>
      </c>
      <c r="H47" s="8">
        <f>IF($K47="","",INDEX(מלאי!$U$2:$U$500,$K47))</f>
        <v/>
      </c>
      <c r="I47" s="8">
        <f>IF($K47="","",INDEX(מלאי!$X$2:$X$500,$K47))</f>
        <v/>
      </c>
      <c r="J47" s="8">
        <f>IF($K47="","",INDEX(מלאי!$AC$2:$AC$500,$K47))</f>
        <v/>
      </c>
      <c r="K4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27),"")</f>
        <v/>
      </c>
    </row>
    <row r="48">
      <c r="A48" s="9">
        <f>IF($K48="","",INDEX(מלאי!$D$2:$D$500,$K48))</f>
        <v/>
      </c>
      <c r="B48" s="9">
        <f>IF($K48="","",INDEX(מלאי!$B$2:$B$500,$K48))</f>
        <v/>
      </c>
      <c r="C48" s="9">
        <f>IF($K48="","",INDEX(מלאי!$C$2:$C$500,$K48))</f>
        <v/>
      </c>
      <c r="D48" s="9">
        <f>IF($K48="","",INDEX(מלאי!$G$2:$G$500,$K48))</f>
        <v/>
      </c>
      <c r="E48" s="9">
        <f>IF($K48="","",INDEX(מלאי!$M$2:$M$500,$K48))</f>
        <v/>
      </c>
      <c r="F48" s="9">
        <f>IF($K48="","",INDEX(מלאי!$N$2:$N$500,$K48))</f>
        <v/>
      </c>
      <c r="G48" s="9">
        <f>IF($K48="","",INDEX(מלאי!$O$2:$O$500,$K48))</f>
        <v/>
      </c>
      <c r="H48" s="9">
        <f>IF($K48="","",INDEX(מלאי!$U$2:$U$500,$K48))</f>
        <v/>
      </c>
      <c r="I48" s="9">
        <f>IF($K48="","",INDEX(מלאי!$X$2:$X$500,$K48))</f>
        <v/>
      </c>
      <c r="J48" s="9">
        <f>IF($K48="","",INDEX(מלאי!$AC$2:$AC$500,$K48))</f>
        <v/>
      </c>
      <c r="K4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28),"")</f>
        <v/>
      </c>
    </row>
    <row r="49">
      <c r="A49" s="8">
        <f>IF($K49="","",INDEX(מלאי!$D$2:$D$500,$K49))</f>
        <v/>
      </c>
      <c r="B49" s="8">
        <f>IF($K49="","",INDEX(מלאי!$B$2:$B$500,$K49))</f>
        <v/>
      </c>
      <c r="C49" s="8">
        <f>IF($K49="","",INDEX(מלאי!$C$2:$C$500,$K49))</f>
        <v/>
      </c>
      <c r="D49" s="8">
        <f>IF($K49="","",INDEX(מלאי!$G$2:$G$500,$K49))</f>
        <v/>
      </c>
      <c r="E49" s="8">
        <f>IF($K49="","",INDEX(מלאי!$M$2:$M$500,$K49))</f>
        <v/>
      </c>
      <c r="F49" s="8">
        <f>IF($K49="","",INDEX(מלאי!$N$2:$N$500,$K49))</f>
        <v/>
      </c>
      <c r="G49" s="8">
        <f>IF($K49="","",INDEX(מלאי!$O$2:$O$500,$K49))</f>
        <v/>
      </c>
      <c r="H49" s="8">
        <f>IF($K49="","",INDEX(מלאי!$U$2:$U$500,$K49))</f>
        <v/>
      </c>
      <c r="I49" s="8">
        <f>IF($K49="","",INDEX(מלאי!$X$2:$X$500,$K49))</f>
        <v/>
      </c>
      <c r="J49" s="8">
        <f>IF($K49="","",INDEX(מלאי!$AC$2:$AC$500,$K49))</f>
        <v/>
      </c>
      <c r="K4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29),"")</f>
        <v/>
      </c>
    </row>
    <row r="50">
      <c r="A50" s="9">
        <f>IF($K50="","",INDEX(מלאי!$D$2:$D$500,$K50))</f>
        <v/>
      </c>
      <c r="B50" s="9">
        <f>IF($K50="","",INDEX(מלאי!$B$2:$B$500,$K50))</f>
        <v/>
      </c>
      <c r="C50" s="9">
        <f>IF($K50="","",INDEX(מלאי!$C$2:$C$500,$K50))</f>
        <v/>
      </c>
      <c r="D50" s="9">
        <f>IF($K50="","",INDEX(מלאי!$G$2:$G$500,$K50))</f>
        <v/>
      </c>
      <c r="E50" s="9">
        <f>IF($K50="","",INDEX(מלאי!$M$2:$M$500,$K50))</f>
        <v/>
      </c>
      <c r="F50" s="9">
        <f>IF($K50="","",INDEX(מלאי!$N$2:$N$500,$K50))</f>
        <v/>
      </c>
      <c r="G50" s="9">
        <f>IF($K50="","",INDEX(מלאי!$O$2:$O$500,$K50))</f>
        <v/>
      </c>
      <c r="H50" s="9">
        <f>IF($K50="","",INDEX(מלאי!$U$2:$U$500,$K50))</f>
        <v/>
      </c>
      <c r="I50" s="9">
        <f>IF($K50="","",INDEX(מלאי!$X$2:$X$500,$K50))</f>
        <v/>
      </c>
      <c r="J50" s="9">
        <f>IF($K50="","",INDEX(מלאי!$AC$2:$AC$500,$K50))</f>
        <v/>
      </c>
      <c r="K5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30),"")</f>
        <v/>
      </c>
    </row>
    <row r="51">
      <c r="A51" s="8">
        <f>IF($K51="","",INDEX(מלאי!$D$2:$D$500,$K51))</f>
        <v/>
      </c>
      <c r="B51" s="8">
        <f>IF($K51="","",INDEX(מלאי!$B$2:$B$500,$K51))</f>
        <v/>
      </c>
      <c r="C51" s="8">
        <f>IF($K51="","",INDEX(מלאי!$C$2:$C$500,$K51))</f>
        <v/>
      </c>
      <c r="D51" s="8">
        <f>IF($K51="","",INDEX(מלאי!$G$2:$G$500,$K51))</f>
        <v/>
      </c>
      <c r="E51" s="8">
        <f>IF($K51="","",INDEX(מלאי!$M$2:$M$500,$K51))</f>
        <v/>
      </c>
      <c r="F51" s="8">
        <f>IF($K51="","",INDEX(מלאי!$N$2:$N$500,$K51))</f>
        <v/>
      </c>
      <c r="G51" s="8">
        <f>IF($K51="","",INDEX(מלאי!$O$2:$O$500,$K51))</f>
        <v/>
      </c>
      <c r="H51" s="8">
        <f>IF($K51="","",INDEX(מלאי!$U$2:$U$500,$K51))</f>
        <v/>
      </c>
      <c r="I51" s="8">
        <f>IF($K51="","",INDEX(מלאי!$X$2:$X$500,$K51))</f>
        <v/>
      </c>
      <c r="J51" s="8">
        <f>IF($K51="","",INDEX(מלאי!$AC$2:$AC$500,$K51))</f>
        <v/>
      </c>
      <c r="K5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31),"")</f>
        <v/>
      </c>
    </row>
    <row r="52">
      <c r="A52" s="9">
        <f>IF($K52="","",INDEX(מלאי!$D$2:$D$500,$K52))</f>
        <v/>
      </c>
      <c r="B52" s="9">
        <f>IF($K52="","",INDEX(מלאי!$B$2:$B$500,$K52))</f>
        <v/>
      </c>
      <c r="C52" s="9">
        <f>IF($K52="","",INDEX(מלאי!$C$2:$C$500,$K52))</f>
        <v/>
      </c>
      <c r="D52" s="9">
        <f>IF($K52="","",INDEX(מלאי!$G$2:$G$500,$K52))</f>
        <v/>
      </c>
      <c r="E52" s="9">
        <f>IF($K52="","",INDEX(מלאי!$M$2:$M$500,$K52))</f>
        <v/>
      </c>
      <c r="F52" s="9">
        <f>IF($K52="","",INDEX(מלאי!$N$2:$N$500,$K52))</f>
        <v/>
      </c>
      <c r="G52" s="9">
        <f>IF($K52="","",INDEX(מלאי!$O$2:$O$500,$K52))</f>
        <v/>
      </c>
      <c r="H52" s="9">
        <f>IF($K52="","",INDEX(מלאי!$U$2:$U$500,$K52))</f>
        <v/>
      </c>
      <c r="I52" s="9">
        <f>IF($K52="","",INDEX(מלאי!$X$2:$X$500,$K52))</f>
        <v/>
      </c>
      <c r="J52" s="9">
        <f>IF($K52="","",INDEX(מלאי!$AC$2:$AC$500,$K52))</f>
        <v/>
      </c>
      <c r="K5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32),"")</f>
        <v/>
      </c>
    </row>
    <row r="53">
      <c r="A53" s="8">
        <f>IF($K53="","",INDEX(מלאי!$D$2:$D$500,$K53))</f>
        <v/>
      </c>
      <c r="B53" s="8">
        <f>IF($K53="","",INDEX(מלאי!$B$2:$B$500,$K53))</f>
        <v/>
      </c>
      <c r="C53" s="8">
        <f>IF($K53="","",INDEX(מלאי!$C$2:$C$500,$K53))</f>
        <v/>
      </c>
      <c r="D53" s="8">
        <f>IF($K53="","",INDEX(מלאי!$G$2:$G$500,$K53))</f>
        <v/>
      </c>
      <c r="E53" s="8">
        <f>IF($K53="","",INDEX(מלאי!$M$2:$M$500,$K53))</f>
        <v/>
      </c>
      <c r="F53" s="8">
        <f>IF($K53="","",INDEX(מלאי!$N$2:$N$500,$K53))</f>
        <v/>
      </c>
      <c r="G53" s="8">
        <f>IF($K53="","",INDEX(מלאי!$O$2:$O$500,$K53))</f>
        <v/>
      </c>
      <c r="H53" s="8">
        <f>IF($K53="","",INDEX(מלאי!$U$2:$U$500,$K53))</f>
        <v/>
      </c>
      <c r="I53" s="8">
        <f>IF($K53="","",INDEX(מלאי!$X$2:$X$500,$K53))</f>
        <v/>
      </c>
      <c r="J53" s="8">
        <f>IF($K53="","",INDEX(מלאי!$AC$2:$AC$500,$K53))</f>
        <v/>
      </c>
      <c r="K5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33),"")</f>
        <v/>
      </c>
    </row>
    <row r="54">
      <c r="A54" s="9">
        <f>IF($K54="","",INDEX(מלאי!$D$2:$D$500,$K54))</f>
        <v/>
      </c>
      <c r="B54" s="9">
        <f>IF($K54="","",INDEX(מלאי!$B$2:$B$500,$K54))</f>
        <v/>
      </c>
      <c r="C54" s="9">
        <f>IF($K54="","",INDEX(מלאי!$C$2:$C$500,$K54))</f>
        <v/>
      </c>
      <c r="D54" s="9">
        <f>IF($K54="","",INDEX(מלאי!$G$2:$G$500,$K54))</f>
        <v/>
      </c>
      <c r="E54" s="9">
        <f>IF($K54="","",INDEX(מלאי!$M$2:$M$500,$K54))</f>
        <v/>
      </c>
      <c r="F54" s="9">
        <f>IF($K54="","",INDEX(מלאי!$N$2:$N$500,$K54))</f>
        <v/>
      </c>
      <c r="G54" s="9">
        <f>IF($K54="","",INDEX(מלאי!$O$2:$O$500,$K54))</f>
        <v/>
      </c>
      <c r="H54" s="9">
        <f>IF($K54="","",INDEX(מלאי!$U$2:$U$500,$K54))</f>
        <v/>
      </c>
      <c r="I54" s="9">
        <f>IF($K54="","",INDEX(מלאי!$X$2:$X$500,$K54))</f>
        <v/>
      </c>
      <c r="J54" s="9">
        <f>IF($K54="","",INDEX(מלאי!$AC$2:$AC$500,$K54))</f>
        <v/>
      </c>
      <c r="K5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34),"")</f>
        <v/>
      </c>
    </row>
    <row r="55">
      <c r="A55" s="8">
        <f>IF($K55="","",INDEX(מלאי!$D$2:$D$500,$K55))</f>
        <v/>
      </c>
      <c r="B55" s="8">
        <f>IF($K55="","",INDEX(מלאי!$B$2:$B$500,$K55))</f>
        <v/>
      </c>
      <c r="C55" s="8">
        <f>IF($K55="","",INDEX(מלאי!$C$2:$C$500,$K55))</f>
        <v/>
      </c>
      <c r="D55" s="8">
        <f>IF($K55="","",INDEX(מלאי!$G$2:$G$500,$K55))</f>
        <v/>
      </c>
      <c r="E55" s="8">
        <f>IF($K55="","",INDEX(מלאי!$M$2:$M$500,$K55))</f>
        <v/>
      </c>
      <c r="F55" s="8">
        <f>IF($K55="","",INDEX(מלאי!$N$2:$N$500,$K55))</f>
        <v/>
      </c>
      <c r="G55" s="8">
        <f>IF($K55="","",INDEX(מלאי!$O$2:$O$500,$K55))</f>
        <v/>
      </c>
      <c r="H55" s="8">
        <f>IF($K55="","",INDEX(מלאי!$U$2:$U$500,$K55))</f>
        <v/>
      </c>
      <c r="I55" s="8">
        <f>IF($K55="","",INDEX(מלאי!$X$2:$X$500,$K55))</f>
        <v/>
      </c>
      <c r="J55" s="8">
        <f>IF($K55="","",INDEX(מלאי!$AC$2:$AC$500,$K55))</f>
        <v/>
      </c>
      <c r="K5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35),"")</f>
        <v/>
      </c>
    </row>
    <row r="56">
      <c r="A56" s="9">
        <f>IF($K56="","",INDEX(מלאי!$D$2:$D$500,$K56))</f>
        <v/>
      </c>
      <c r="B56" s="9">
        <f>IF($K56="","",INDEX(מלאי!$B$2:$B$500,$K56))</f>
        <v/>
      </c>
      <c r="C56" s="9">
        <f>IF($K56="","",INDEX(מלאי!$C$2:$C$500,$K56))</f>
        <v/>
      </c>
      <c r="D56" s="9">
        <f>IF($K56="","",INDEX(מלאי!$G$2:$G$500,$K56))</f>
        <v/>
      </c>
      <c r="E56" s="9">
        <f>IF($K56="","",INDEX(מלאי!$M$2:$M$500,$K56))</f>
        <v/>
      </c>
      <c r="F56" s="9">
        <f>IF($K56="","",INDEX(מלאי!$N$2:$N$500,$K56))</f>
        <v/>
      </c>
      <c r="G56" s="9">
        <f>IF($K56="","",INDEX(מלאי!$O$2:$O$500,$K56))</f>
        <v/>
      </c>
      <c r="H56" s="9">
        <f>IF($K56="","",INDEX(מלאי!$U$2:$U$500,$K56))</f>
        <v/>
      </c>
      <c r="I56" s="9">
        <f>IF($K56="","",INDEX(מלאי!$X$2:$X$500,$K56))</f>
        <v/>
      </c>
      <c r="J56" s="9">
        <f>IF($K56="","",INDEX(מלאי!$AC$2:$AC$500,$K56))</f>
        <v/>
      </c>
      <c r="K5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36),"")</f>
        <v/>
      </c>
    </row>
    <row r="57">
      <c r="A57" s="8">
        <f>IF($K57="","",INDEX(מלאי!$D$2:$D$500,$K57))</f>
        <v/>
      </c>
      <c r="B57" s="8">
        <f>IF($K57="","",INDEX(מלאי!$B$2:$B$500,$K57))</f>
        <v/>
      </c>
      <c r="C57" s="8">
        <f>IF($K57="","",INDEX(מלאי!$C$2:$C$500,$K57))</f>
        <v/>
      </c>
      <c r="D57" s="8">
        <f>IF($K57="","",INDEX(מלאי!$G$2:$G$500,$K57))</f>
        <v/>
      </c>
      <c r="E57" s="8">
        <f>IF($K57="","",INDEX(מלאי!$M$2:$M$500,$K57))</f>
        <v/>
      </c>
      <c r="F57" s="8">
        <f>IF($K57="","",INDEX(מלאי!$N$2:$N$500,$K57))</f>
        <v/>
      </c>
      <c r="G57" s="8">
        <f>IF($K57="","",INDEX(מלאי!$O$2:$O$500,$K57))</f>
        <v/>
      </c>
      <c r="H57" s="8">
        <f>IF($K57="","",INDEX(מלאי!$U$2:$U$500,$K57))</f>
        <v/>
      </c>
      <c r="I57" s="8">
        <f>IF($K57="","",INDEX(מלאי!$X$2:$X$500,$K57))</f>
        <v/>
      </c>
      <c r="J57" s="8">
        <f>IF($K57="","",INDEX(מלאי!$AC$2:$AC$500,$K57))</f>
        <v/>
      </c>
      <c r="K5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37),"")</f>
        <v/>
      </c>
    </row>
    <row r="58">
      <c r="A58" s="9">
        <f>IF($K58="","",INDEX(מלאי!$D$2:$D$500,$K58))</f>
        <v/>
      </c>
      <c r="B58" s="9">
        <f>IF($K58="","",INDEX(מלאי!$B$2:$B$500,$K58))</f>
        <v/>
      </c>
      <c r="C58" s="9">
        <f>IF($K58="","",INDEX(מלאי!$C$2:$C$500,$K58))</f>
        <v/>
      </c>
      <c r="D58" s="9">
        <f>IF($K58="","",INDEX(מלאי!$G$2:$G$500,$K58))</f>
        <v/>
      </c>
      <c r="E58" s="9">
        <f>IF($K58="","",INDEX(מלאי!$M$2:$M$500,$K58))</f>
        <v/>
      </c>
      <c r="F58" s="9">
        <f>IF($K58="","",INDEX(מלאי!$N$2:$N$500,$K58))</f>
        <v/>
      </c>
      <c r="G58" s="9">
        <f>IF($K58="","",INDEX(מלאי!$O$2:$O$500,$K58))</f>
        <v/>
      </c>
      <c r="H58" s="9">
        <f>IF($K58="","",INDEX(מלאי!$U$2:$U$500,$K58))</f>
        <v/>
      </c>
      <c r="I58" s="9">
        <f>IF($K58="","",INDEX(מלאי!$X$2:$X$500,$K58))</f>
        <v/>
      </c>
      <c r="J58" s="9">
        <f>IF($K58="","",INDEX(מלאי!$AC$2:$AC$500,$K58))</f>
        <v/>
      </c>
      <c r="K5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38),"")</f>
        <v/>
      </c>
    </row>
    <row r="59">
      <c r="A59" s="8">
        <f>IF($K59="","",INDEX(מלאי!$D$2:$D$500,$K59))</f>
        <v/>
      </c>
      <c r="B59" s="8">
        <f>IF($K59="","",INDEX(מלאי!$B$2:$B$500,$K59))</f>
        <v/>
      </c>
      <c r="C59" s="8">
        <f>IF($K59="","",INDEX(מלאי!$C$2:$C$500,$K59))</f>
        <v/>
      </c>
      <c r="D59" s="8">
        <f>IF($K59="","",INDEX(מלאי!$G$2:$G$500,$K59))</f>
        <v/>
      </c>
      <c r="E59" s="8">
        <f>IF($K59="","",INDEX(מלאי!$M$2:$M$500,$K59))</f>
        <v/>
      </c>
      <c r="F59" s="8">
        <f>IF($K59="","",INDEX(מלאי!$N$2:$N$500,$K59))</f>
        <v/>
      </c>
      <c r="G59" s="8">
        <f>IF($K59="","",INDEX(מלאי!$O$2:$O$500,$K59))</f>
        <v/>
      </c>
      <c r="H59" s="8">
        <f>IF($K59="","",INDEX(מלאי!$U$2:$U$500,$K59))</f>
        <v/>
      </c>
      <c r="I59" s="8">
        <f>IF($K59="","",INDEX(מלאי!$X$2:$X$500,$K59))</f>
        <v/>
      </c>
      <c r="J59" s="8">
        <f>IF($K59="","",INDEX(מלאי!$AC$2:$AC$500,$K59))</f>
        <v/>
      </c>
      <c r="K5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39),"")</f>
        <v/>
      </c>
    </row>
    <row r="60">
      <c r="A60" s="9">
        <f>IF($K60="","",INDEX(מלאי!$D$2:$D$500,$K60))</f>
        <v/>
      </c>
      <c r="B60" s="9">
        <f>IF($K60="","",INDEX(מלאי!$B$2:$B$500,$K60))</f>
        <v/>
      </c>
      <c r="C60" s="9">
        <f>IF($K60="","",INDEX(מלאי!$C$2:$C$500,$K60))</f>
        <v/>
      </c>
      <c r="D60" s="9">
        <f>IF($K60="","",INDEX(מלאי!$G$2:$G$500,$K60))</f>
        <v/>
      </c>
      <c r="E60" s="9">
        <f>IF($K60="","",INDEX(מלאי!$M$2:$M$500,$K60))</f>
        <v/>
      </c>
      <c r="F60" s="9">
        <f>IF($K60="","",INDEX(מלאי!$N$2:$N$500,$K60))</f>
        <v/>
      </c>
      <c r="G60" s="9">
        <f>IF($K60="","",INDEX(מלאי!$O$2:$O$500,$K60))</f>
        <v/>
      </c>
      <c r="H60" s="9">
        <f>IF($K60="","",INDEX(מלאי!$U$2:$U$500,$K60))</f>
        <v/>
      </c>
      <c r="I60" s="9">
        <f>IF($K60="","",INDEX(מלאי!$X$2:$X$500,$K60))</f>
        <v/>
      </c>
      <c r="J60" s="9">
        <f>IF($K60="","",INDEX(מלאי!$AC$2:$AC$500,$K60))</f>
        <v/>
      </c>
      <c r="K6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40),"")</f>
        <v/>
      </c>
    </row>
    <row r="61">
      <c r="A61" s="8">
        <f>IF($K61="","",INDEX(מלאי!$D$2:$D$500,$K61))</f>
        <v/>
      </c>
      <c r="B61" s="8">
        <f>IF($K61="","",INDEX(מלאי!$B$2:$B$500,$K61))</f>
        <v/>
      </c>
      <c r="C61" s="8">
        <f>IF($K61="","",INDEX(מלאי!$C$2:$C$500,$K61))</f>
        <v/>
      </c>
      <c r="D61" s="8">
        <f>IF($K61="","",INDEX(מלאי!$G$2:$G$500,$K61))</f>
        <v/>
      </c>
      <c r="E61" s="8">
        <f>IF($K61="","",INDEX(מלאי!$M$2:$M$500,$K61))</f>
        <v/>
      </c>
      <c r="F61" s="8">
        <f>IF($K61="","",INDEX(מלאי!$N$2:$N$500,$K61))</f>
        <v/>
      </c>
      <c r="G61" s="8">
        <f>IF($K61="","",INDEX(מלאי!$O$2:$O$500,$K61))</f>
        <v/>
      </c>
      <c r="H61" s="8">
        <f>IF($K61="","",INDEX(מלאי!$U$2:$U$500,$K61))</f>
        <v/>
      </c>
      <c r="I61" s="8">
        <f>IF($K61="","",INDEX(מלאי!$X$2:$X$500,$K61))</f>
        <v/>
      </c>
      <c r="J61" s="8">
        <f>IF($K61="","",INDEX(מלאי!$AC$2:$AC$500,$K61))</f>
        <v/>
      </c>
      <c r="K6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41),"")</f>
        <v/>
      </c>
    </row>
    <row r="62">
      <c r="A62" s="9">
        <f>IF($K62="","",INDEX(מלאי!$D$2:$D$500,$K62))</f>
        <v/>
      </c>
      <c r="B62" s="9">
        <f>IF($K62="","",INDEX(מלאי!$B$2:$B$500,$K62))</f>
        <v/>
      </c>
      <c r="C62" s="9">
        <f>IF($K62="","",INDEX(מלאי!$C$2:$C$500,$K62))</f>
        <v/>
      </c>
      <c r="D62" s="9">
        <f>IF($K62="","",INDEX(מלאי!$G$2:$G$500,$K62))</f>
        <v/>
      </c>
      <c r="E62" s="9">
        <f>IF($K62="","",INDEX(מלאי!$M$2:$M$500,$K62))</f>
        <v/>
      </c>
      <c r="F62" s="9">
        <f>IF($K62="","",INDEX(מלאי!$N$2:$N$500,$K62))</f>
        <v/>
      </c>
      <c r="G62" s="9">
        <f>IF($K62="","",INDEX(מלאי!$O$2:$O$500,$K62))</f>
        <v/>
      </c>
      <c r="H62" s="9">
        <f>IF($K62="","",INDEX(מלאי!$U$2:$U$500,$K62))</f>
        <v/>
      </c>
      <c r="I62" s="9">
        <f>IF($K62="","",INDEX(מלאי!$X$2:$X$500,$K62))</f>
        <v/>
      </c>
      <c r="J62" s="9">
        <f>IF($K62="","",INDEX(מלאי!$AC$2:$AC$500,$K62))</f>
        <v/>
      </c>
      <c r="K6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42),"")</f>
        <v/>
      </c>
    </row>
    <row r="63">
      <c r="A63" s="8">
        <f>IF($K63="","",INDEX(מלאי!$D$2:$D$500,$K63))</f>
        <v/>
      </c>
      <c r="B63" s="8">
        <f>IF($K63="","",INDEX(מלאי!$B$2:$B$500,$K63))</f>
        <v/>
      </c>
      <c r="C63" s="8">
        <f>IF($K63="","",INDEX(מלאי!$C$2:$C$500,$K63))</f>
        <v/>
      </c>
      <c r="D63" s="8">
        <f>IF($K63="","",INDEX(מלאי!$G$2:$G$500,$K63))</f>
        <v/>
      </c>
      <c r="E63" s="8">
        <f>IF($K63="","",INDEX(מלאי!$M$2:$M$500,$K63))</f>
        <v/>
      </c>
      <c r="F63" s="8">
        <f>IF($K63="","",INDEX(מלאי!$N$2:$N$500,$K63))</f>
        <v/>
      </c>
      <c r="G63" s="8">
        <f>IF($K63="","",INDEX(מלאי!$O$2:$O$500,$K63))</f>
        <v/>
      </c>
      <c r="H63" s="8">
        <f>IF($K63="","",INDEX(מלאי!$U$2:$U$500,$K63))</f>
        <v/>
      </c>
      <c r="I63" s="8">
        <f>IF($K63="","",INDEX(מלאי!$X$2:$X$500,$K63))</f>
        <v/>
      </c>
      <c r="J63" s="8">
        <f>IF($K63="","",INDEX(מלאי!$AC$2:$AC$500,$K63))</f>
        <v/>
      </c>
      <c r="K6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43),"")</f>
        <v/>
      </c>
    </row>
    <row r="64">
      <c r="A64" s="9">
        <f>IF($K64="","",INDEX(מלאי!$D$2:$D$500,$K64))</f>
        <v/>
      </c>
      <c r="B64" s="9">
        <f>IF($K64="","",INDEX(מלאי!$B$2:$B$500,$K64))</f>
        <v/>
      </c>
      <c r="C64" s="9">
        <f>IF($K64="","",INDEX(מלאי!$C$2:$C$500,$K64))</f>
        <v/>
      </c>
      <c r="D64" s="9">
        <f>IF($K64="","",INDEX(מלאי!$G$2:$G$500,$K64))</f>
        <v/>
      </c>
      <c r="E64" s="9">
        <f>IF($K64="","",INDEX(מלאי!$M$2:$M$500,$K64))</f>
        <v/>
      </c>
      <c r="F64" s="9">
        <f>IF($K64="","",INDEX(מלאי!$N$2:$N$500,$K64))</f>
        <v/>
      </c>
      <c r="G64" s="9">
        <f>IF($K64="","",INDEX(מלאי!$O$2:$O$500,$K64))</f>
        <v/>
      </c>
      <c r="H64" s="9">
        <f>IF($K64="","",INDEX(מלאי!$U$2:$U$500,$K64))</f>
        <v/>
      </c>
      <c r="I64" s="9">
        <f>IF($K64="","",INDEX(מלאי!$X$2:$X$500,$K64))</f>
        <v/>
      </c>
      <c r="J64" s="9">
        <f>IF($K64="","",INDEX(מלאי!$AC$2:$AC$500,$K64))</f>
        <v/>
      </c>
      <c r="K6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44),"")</f>
        <v/>
      </c>
    </row>
    <row r="65">
      <c r="A65" s="8">
        <f>IF($K65="","",INDEX(מלאי!$D$2:$D$500,$K65))</f>
        <v/>
      </c>
      <c r="B65" s="8">
        <f>IF($K65="","",INDEX(מלאי!$B$2:$B$500,$K65))</f>
        <v/>
      </c>
      <c r="C65" s="8">
        <f>IF($K65="","",INDEX(מלאי!$C$2:$C$500,$K65))</f>
        <v/>
      </c>
      <c r="D65" s="8">
        <f>IF($K65="","",INDEX(מלאי!$G$2:$G$500,$K65))</f>
        <v/>
      </c>
      <c r="E65" s="8">
        <f>IF($K65="","",INDEX(מלאי!$M$2:$M$500,$K65))</f>
        <v/>
      </c>
      <c r="F65" s="8">
        <f>IF($K65="","",INDEX(מלאי!$N$2:$N$500,$K65))</f>
        <v/>
      </c>
      <c r="G65" s="8">
        <f>IF($K65="","",INDEX(מלאי!$O$2:$O$500,$K65))</f>
        <v/>
      </c>
      <c r="H65" s="8">
        <f>IF($K65="","",INDEX(מלאי!$U$2:$U$500,$K65))</f>
        <v/>
      </c>
      <c r="I65" s="8">
        <f>IF($K65="","",INDEX(מלאי!$X$2:$X$500,$K65))</f>
        <v/>
      </c>
      <c r="J65" s="8">
        <f>IF($K65="","",INDEX(מלאי!$AC$2:$AC$500,$K65))</f>
        <v/>
      </c>
      <c r="K6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45),"")</f>
        <v/>
      </c>
    </row>
    <row r="66">
      <c r="A66" s="9">
        <f>IF($K66="","",INDEX(מלאי!$D$2:$D$500,$K66))</f>
        <v/>
      </c>
      <c r="B66" s="9">
        <f>IF($K66="","",INDEX(מלאי!$B$2:$B$500,$K66))</f>
        <v/>
      </c>
      <c r="C66" s="9">
        <f>IF($K66="","",INDEX(מלאי!$C$2:$C$500,$K66))</f>
        <v/>
      </c>
      <c r="D66" s="9">
        <f>IF($K66="","",INDEX(מלאי!$G$2:$G$500,$K66))</f>
        <v/>
      </c>
      <c r="E66" s="9">
        <f>IF($K66="","",INDEX(מלאי!$M$2:$M$500,$K66))</f>
        <v/>
      </c>
      <c r="F66" s="9">
        <f>IF($K66="","",INDEX(מלאי!$N$2:$N$500,$K66))</f>
        <v/>
      </c>
      <c r="G66" s="9">
        <f>IF($K66="","",INDEX(מלאי!$O$2:$O$500,$K66))</f>
        <v/>
      </c>
      <c r="H66" s="9">
        <f>IF($K66="","",INDEX(מלאי!$U$2:$U$500,$K66))</f>
        <v/>
      </c>
      <c r="I66" s="9">
        <f>IF($K66="","",INDEX(מלאי!$X$2:$X$500,$K66))</f>
        <v/>
      </c>
      <c r="J66" s="9">
        <f>IF($K66="","",INDEX(מלאי!$AC$2:$AC$500,$K66))</f>
        <v/>
      </c>
      <c r="K6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46),"")</f>
        <v/>
      </c>
    </row>
    <row r="67">
      <c r="A67" s="8">
        <f>IF($K67="","",INDEX(מלאי!$D$2:$D$500,$K67))</f>
        <v/>
      </c>
      <c r="B67" s="8">
        <f>IF($K67="","",INDEX(מלאי!$B$2:$B$500,$K67))</f>
        <v/>
      </c>
      <c r="C67" s="8">
        <f>IF($K67="","",INDEX(מלאי!$C$2:$C$500,$K67))</f>
        <v/>
      </c>
      <c r="D67" s="8">
        <f>IF($K67="","",INDEX(מלאי!$G$2:$G$500,$K67))</f>
        <v/>
      </c>
      <c r="E67" s="8">
        <f>IF($K67="","",INDEX(מלאי!$M$2:$M$500,$K67))</f>
        <v/>
      </c>
      <c r="F67" s="8">
        <f>IF($K67="","",INDEX(מלאי!$N$2:$N$500,$K67))</f>
        <v/>
      </c>
      <c r="G67" s="8">
        <f>IF($K67="","",INDEX(מלאי!$O$2:$O$500,$K67))</f>
        <v/>
      </c>
      <c r="H67" s="8">
        <f>IF($K67="","",INDEX(מלאי!$U$2:$U$500,$K67))</f>
        <v/>
      </c>
      <c r="I67" s="8">
        <f>IF($K67="","",INDEX(מלאי!$X$2:$X$500,$K67))</f>
        <v/>
      </c>
      <c r="J67" s="8">
        <f>IF($K67="","",INDEX(מלאי!$AC$2:$AC$500,$K67))</f>
        <v/>
      </c>
      <c r="K6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47),"")</f>
        <v/>
      </c>
    </row>
    <row r="68">
      <c r="A68" s="9">
        <f>IF($K68="","",INDEX(מלאי!$D$2:$D$500,$K68))</f>
        <v/>
      </c>
      <c r="B68" s="9">
        <f>IF($K68="","",INDEX(מלאי!$B$2:$B$500,$K68))</f>
        <v/>
      </c>
      <c r="C68" s="9">
        <f>IF($K68="","",INDEX(מלאי!$C$2:$C$500,$K68))</f>
        <v/>
      </c>
      <c r="D68" s="9">
        <f>IF($K68="","",INDEX(מלאי!$G$2:$G$500,$K68))</f>
        <v/>
      </c>
      <c r="E68" s="9">
        <f>IF($K68="","",INDEX(מלאי!$M$2:$M$500,$K68))</f>
        <v/>
      </c>
      <c r="F68" s="9">
        <f>IF($K68="","",INDEX(מלאי!$N$2:$N$500,$K68))</f>
        <v/>
      </c>
      <c r="G68" s="9">
        <f>IF($K68="","",INDEX(מלאי!$O$2:$O$500,$K68))</f>
        <v/>
      </c>
      <c r="H68" s="9">
        <f>IF($K68="","",INDEX(מלאי!$U$2:$U$500,$K68))</f>
        <v/>
      </c>
      <c r="I68" s="9">
        <f>IF($K68="","",INDEX(מלאי!$X$2:$X$500,$K68))</f>
        <v/>
      </c>
      <c r="J68" s="9">
        <f>IF($K68="","",INDEX(מלאי!$AC$2:$AC$500,$K68))</f>
        <v/>
      </c>
      <c r="K6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48),"")</f>
        <v/>
      </c>
    </row>
    <row r="69">
      <c r="A69" s="8">
        <f>IF($K69="","",INDEX(מלאי!$D$2:$D$500,$K69))</f>
        <v/>
      </c>
      <c r="B69" s="8">
        <f>IF($K69="","",INDEX(מלאי!$B$2:$B$500,$K69))</f>
        <v/>
      </c>
      <c r="C69" s="8">
        <f>IF($K69="","",INDEX(מלאי!$C$2:$C$500,$K69))</f>
        <v/>
      </c>
      <c r="D69" s="8">
        <f>IF($K69="","",INDEX(מלאי!$G$2:$G$500,$K69))</f>
        <v/>
      </c>
      <c r="E69" s="8">
        <f>IF($K69="","",INDEX(מלאי!$M$2:$M$500,$K69))</f>
        <v/>
      </c>
      <c r="F69" s="8">
        <f>IF($K69="","",INDEX(מלאי!$N$2:$N$500,$K69))</f>
        <v/>
      </c>
      <c r="G69" s="8">
        <f>IF($K69="","",INDEX(מלאי!$O$2:$O$500,$K69))</f>
        <v/>
      </c>
      <c r="H69" s="8">
        <f>IF($K69="","",INDEX(מלאי!$U$2:$U$500,$K69))</f>
        <v/>
      </c>
      <c r="I69" s="8">
        <f>IF($K69="","",INDEX(מלאי!$X$2:$X$500,$K69))</f>
        <v/>
      </c>
      <c r="J69" s="8">
        <f>IF($K69="","",INDEX(מלאי!$AC$2:$AC$500,$K69))</f>
        <v/>
      </c>
      <c r="K6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49),"")</f>
        <v/>
      </c>
    </row>
    <row r="70">
      <c r="A70" s="9">
        <f>IF($K70="","",INDEX(מלאי!$D$2:$D$500,$K70))</f>
        <v/>
      </c>
      <c r="B70" s="9">
        <f>IF($K70="","",INDEX(מלאי!$B$2:$B$500,$K70))</f>
        <v/>
      </c>
      <c r="C70" s="9">
        <f>IF($K70="","",INDEX(מלאי!$C$2:$C$500,$K70))</f>
        <v/>
      </c>
      <c r="D70" s="9">
        <f>IF($K70="","",INDEX(מלאי!$G$2:$G$500,$K70))</f>
        <v/>
      </c>
      <c r="E70" s="9">
        <f>IF($K70="","",INDEX(מלאי!$M$2:$M$500,$K70))</f>
        <v/>
      </c>
      <c r="F70" s="9">
        <f>IF($K70="","",INDEX(מלאי!$N$2:$N$500,$K70))</f>
        <v/>
      </c>
      <c r="G70" s="9">
        <f>IF($K70="","",INDEX(מלאי!$O$2:$O$500,$K70))</f>
        <v/>
      </c>
      <c r="H70" s="9">
        <f>IF($K70="","",INDEX(מלאי!$U$2:$U$500,$K70))</f>
        <v/>
      </c>
      <c r="I70" s="9">
        <f>IF($K70="","",INDEX(מלאי!$X$2:$X$500,$K70))</f>
        <v/>
      </c>
      <c r="J70" s="9">
        <f>IF($K70="","",INDEX(מלאי!$AC$2:$AC$500,$K70))</f>
        <v/>
      </c>
      <c r="K7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50),"")</f>
        <v/>
      </c>
    </row>
    <row r="71">
      <c r="A71" s="8">
        <f>IF($K71="","",INDEX(מלאי!$D$2:$D$500,$K71))</f>
        <v/>
      </c>
      <c r="B71" s="8">
        <f>IF($K71="","",INDEX(מלאי!$B$2:$B$500,$K71))</f>
        <v/>
      </c>
      <c r="C71" s="8">
        <f>IF($K71="","",INDEX(מלאי!$C$2:$C$500,$K71))</f>
        <v/>
      </c>
      <c r="D71" s="8">
        <f>IF($K71="","",INDEX(מלאי!$G$2:$G$500,$K71))</f>
        <v/>
      </c>
      <c r="E71" s="8">
        <f>IF($K71="","",INDEX(מלאי!$M$2:$M$500,$K71))</f>
        <v/>
      </c>
      <c r="F71" s="8">
        <f>IF($K71="","",INDEX(מלאי!$N$2:$N$500,$K71))</f>
        <v/>
      </c>
      <c r="G71" s="8">
        <f>IF($K71="","",INDEX(מלאי!$O$2:$O$500,$K71))</f>
        <v/>
      </c>
      <c r="H71" s="8">
        <f>IF($K71="","",INDEX(מלאי!$U$2:$U$500,$K71))</f>
        <v/>
      </c>
      <c r="I71" s="8">
        <f>IF($K71="","",INDEX(מלאי!$X$2:$X$500,$K71))</f>
        <v/>
      </c>
      <c r="J71" s="8">
        <f>IF($K71="","",INDEX(מלאי!$AC$2:$AC$500,$K71))</f>
        <v/>
      </c>
      <c r="K7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51),"")</f>
        <v/>
      </c>
    </row>
    <row r="72">
      <c r="A72" s="9">
        <f>IF($K72="","",INDEX(מלאי!$D$2:$D$500,$K72))</f>
        <v/>
      </c>
      <c r="B72" s="9">
        <f>IF($K72="","",INDEX(מלאי!$B$2:$B$500,$K72))</f>
        <v/>
      </c>
      <c r="C72" s="9">
        <f>IF($K72="","",INDEX(מלאי!$C$2:$C$500,$K72))</f>
        <v/>
      </c>
      <c r="D72" s="9">
        <f>IF($K72="","",INDEX(מלאי!$G$2:$G$500,$K72))</f>
        <v/>
      </c>
      <c r="E72" s="9">
        <f>IF($K72="","",INDEX(מלאי!$M$2:$M$500,$K72))</f>
        <v/>
      </c>
      <c r="F72" s="9">
        <f>IF($K72="","",INDEX(מלאי!$N$2:$N$500,$K72))</f>
        <v/>
      </c>
      <c r="G72" s="9">
        <f>IF($K72="","",INDEX(מלאי!$O$2:$O$500,$K72))</f>
        <v/>
      </c>
      <c r="H72" s="9">
        <f>IF($K72="","",INDEX(מלאי!$U$2:$U$500,$K72))</f>
        <v/>
      </c>
      <c r="I72" s="9">
        <f>IF($K72="","",INDEX(מלאי!$X$2:$X$500,$K72))</f>
        <v/>
      </c>
      <c r="J72" s="9">
        <f>IF($K72="","",INDEX(מלאי!$AC$2:$AC$500,$K72))</f>
        <v/>
      </c>
      <c r="K7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52),"")</f>
        <v/>
      </c>
    </row>
    <row r="73">
      <c r="A73" s="8">
        <f>IF($K73="","",INDEX(מלאי!$D$2:$D$500,$K73))</f>
        <v/>
      </c>
      <c r="B73" s="8">
        <f>IF($K73="","",INDEX(מלאי!$B$2:$B$500,$K73))</f>
        <v/>
      </c>
      <c r="C73" s="8">
        <f>IF($K73="","",INDEX(מלאי!$C$2:$C$500,$K73))</f>
        <v/>
      </c>
      <c r="D73" s="8">
        <f>IF($K73="","",INDEX(מלאי!$G$2:$G$500,$K73))</f>
        <v/>
      </c>
      <c r="E73" s="8">
        <f>IF($K73="","",INDEX(מלאי!$M$2:$M$500,$K73))</f>
        <v/>
      </c>
      <c r="F73" s="8">
        <f>IF($K73="","",INDEX(מלאי!$N$2:$N$500,$K73))</f>
        <v/>
      </c>
      <c r="G73" s="8">
        <f>IF($K73="","",INDEX(מלאי!$O$2:$O$500,$K73))</f>
        <v/>
      </c>
      <c r="H73" s="8">
        <f>IF($K73="","",INDEX(מלאי!$U$2:$U$500,$K73))</f>
        <v/>
      </c>
      <c r="I73" s="8">
        <f>IF($K73="","",INDEX(מלאי!$X$2:$X$500,$K73))</f>
        <v/>
      </c>
      <c r="J73" s="8">
        <f>IF($K73="","",INDEX(מלאי!$AC$2:$AC$500,$K73))</f>
        <v/>
      </c>
      <c r="K7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53),"")</f>
        <v/>
      </c>
    </row>
    <row r="74">
      <c r="A74" s="9">
        <f>IF($K74="","",INDEX(מלאי!$D$2:$D$500,$K74))</f>
        <v/>
      </c>
      <c r="B74" s="9">
        <f>IF($K74="","",INDEX(מלאי!$B$2:$B$500,$K74))</f>
        <v/>
      </c>
      <c r="C74" s="9">
        <f>IF($K74="","",INDEX(מלאי!$C$2:$C$500,$K74))</f>
        <v/>
      </c>
      <c r="D74" s="9">
        <f>IF($K74="","",INDEX(מלאי!$G$2:$G$500,$K74))</f>
        <v/>
      </c>
      <c r="E74" s="9">
        <f>IF($K74="","",INDEX(מלאי!$M$2:$M$500,$K74))</f>
        <v/>
      </c>
      <c r="F74" s="9">
        <f>IF($K74="","",INDEX(מלאי!$N$2:$N$500,$K74))</f>
        <v/>
      </c>
      <c r="G74" s="9">
        <f>IF($K74="","",INDEX(מלאי!$O$2:$O$500,$K74))</f>
        <v/>
      </c>
      <c r="H74" s="9">
        <f>IF($K74="","",INDEX(מלאי!$U$2:$U$500,$K74))</f>
        <v/>
      </c>
      <c r="I74" s="9">
        <f>IF($K74="","",INDEX(מלאי!$X$2:$X$500,$K74))</f>
        <v/>
      </c>
      <c r="J74" s="9">
        <f>IF($K74="","",INDEX(מלאי!$AC$2:$AC$500,$K74))</f>
        <v/>
      </c>
      <c r="K7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54),"")</f>
        <v/>
      </c>
    </row>
    <row r="75">
      <c r="A75" s="8">
        <f>IF($K75="","",INDEX(מלאי!$D$2:$D$500,$K75))</f>
        <v/>
      </c>
      <c r="B75" s="8">
        <f>IF($K75="","",INDEX(מלאי!$B$2:$B$500,$K75))</f>
        <v/>
      </c>
      <c r="C75" s="8">
        <f>IF($K75="","",INDEX(מלאי!$C$2:$C$500,$K75))</f>
        <v/>
      </c>
      <c r="D75" s="8">
        <f>IF($K75="","",INDEX(מלאי!$G$2:$G$500,$K75))</f>
        <v/>
      </c>
      <c r="E75" s="8">
        <f>IF($K75="","",INDEX(מלאי!$M$2:$M$500,$K75))</f>
        <v/>
      </c>
      <c r="F75" s="8">
        <f>IF($K75="","",INDEX(מלאי!$N$2:$N$500,$K75))</f>
        <v/>
      </c>
      <c r="G75" s="8">
        <f>IF($K75="","",INDEX(מלאי!$O$2:$O$500,$K75))</f>
        <v/>
      </c>
      <c r="H75" s="8">
        <f>IF($K75="","",INDEX(מלאי!$U$2:$U$500,$K75))</f>
        <v/>
      </c>
      <c r="I75" s="8">
        <f>IF($K75="","",INDEX(מלאי!$X$2:$X$500,$K75))</f>
        <v/>
      </c>
      <c r="J75" s="8">
        <f>IF($K75="","",INDEX(מלאי!$AC$2:$AC$500,$K75))</f>
        <v/>
      </c>
      <c r="K7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55),"")</f>
        <v/>
      </c>
    </row>
    <row r="76">
      <c r="A76" s="9">
        <f>IF($K76="","",INDEX(מלאי!$D$2:$D$500,$K76))</f>
        <v/>
      </c>
      <c r="B76" s="9">
        <f>IF($K76="","",INDEX(מלאי!$B$2:$B$500,$K76))</f>
        <v/>
      </c>
      <c r="C76" s="9">
        <f>IF($K76="","",INDEX(מלאי!$C$2:$C$500,$K76))</f>
        <v/>
      </c>
      <c r="D76" s="9">
        <f>IF($K76="","",INDEX(מלאי!$G$2:$G$500,$K76))</f>
        <v/>
      </c>
      <c r="E76" s="9">
        <f>IF($K76="","",INDEX(מלאי!$M$2:$M$500,$K76))</f>
        <v/>
      </c>
      <c r="F76" s="9">
        <f>IF($K76="","",INDEX(מלאי!$N$2:$N$500,$K76))</f>
        <v/>
      </c>
      <c r="G76" s="9">
        <f>IF($K76="","",INDEX(מלאי!$O$2:$O$500,$K76))</f>
        <v/>
      </c>
      <c r="H76" s="9">
        <f>IF($K76="","",INDEX(מלאי!$U$2:$U$500,$K76))</f>
        <v/>
      </c>
      <c r="I76" s="9">
        <f>IF($K76="","",INDEX(מלאי!$X$2:$X$500,$K76))</f>
        <v/>
      </c>
      <c r="J76" s="9">
        <f>IF($K76="","",INDEX(מלאי!$AC$2:$AC$500,$K76))</f>
        <v/>
      </c>
      <c r="K7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56),"")</f>
        <v/>
      </c>
    </row>
    <row r="77">
      <c r="A77" s="8">
        <f>IF($K77="","",INDEX(מלאי!$D$2:$D$500,$K77))</f>
        <v/>
      </c>
      <c r="B77" s="8">
        <f>IF($K77="","",INDEX(מלאי!$B$2:$B$500,$K77))</f>
        <v/>
      </c>
      <c r="C77" s="8">
        <f>IF($K77="","",INDEX(מלאי!$C$2:$C$500,$K77))</f>
        <v/>
      </c>
      <c r="D77" s="8">
        <f>IF($K77="","",INDEX(מלאי!$G$2:$G$500,$K77))</f>
        <v/>
      </c>
      <c r="E77" s="8">
        <f>IF($K77="","",INDEX(מלאי!$M$2:$M$500,$K77))</f>
        <v/>
      </c>
      <c r="F77" s="8">
        <f>IF($K77="","",INDEX(מלאי!$N$2:$N$500,$K77))</f>
        <v/>
      </c>
      <c r="G77" s="8">
        <f>IF($K77="","",INDEX(מלאי!$O$2:$O$500,$K77))</f>
        <v/>
      </c>
      <c r="H77" s="8">
        <f>IF($K77="","",INDEX(מלאי!$U$2:$U$500,$K77))</f>
        <v/>
      </c>
      <c r="I77" s="8">
        <f>IF($K77="","",INDEX(מלאי!$X$2:$X$500,$K77))</f>
        <v/>
      </c>
      <c r="J77" s="8">
        <f>IF($K77="","",INDEX(מלאי!$AC$2:$AC$500,$K77))</f>
        <v/>
      </c>
      <c r="K7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57),"")</f>
        <v/>
      </c>
    </row>
    <row r="78">
      <c r="A78" s="9">
        <f>IF($K78="","",INDEX(מלאי!$D$2:$D$500,$K78))</f>
        <v/>
      </c>
      <c r="B78" s="9">
        <f>IF($K78="","",INDEX(מלאי!$B$2:$B$500,$K78))</f>
        <v/>
      </c>
      <c r="C78" s="9">
        <f>IF($K78="","",INDEX(מלאי!$C$2:$C$500,$K78))</f>
        <v/>
      </c>
      <c r="D78" s="9">
        <f>IF($K78="","",INDEX(מלאי!$G$2:$G$500,$K78))</f>
        <v/>
      </c>
      <c r="E78" s="9">
        <f>IF($K78="","",INDEX(מלאי!$M$2:$M$500,$K78))</f>
        <v/>
      </c>
      <c r="F78" s="9">
        <f>IF($K78="","",INDEX(מלאי!$N$2:$N$500,$K78))</f>
        <v/>
      </c>
      <c r="G78" s="9">
        <f>IF($K78="","",INDEX(מלאי!$O$2:$O$500,$K78))</f>
        <v/>
      </c>
      <c r="H78" s="9">
        <f>IF($K78="","",INDEX(מלאי!$U$2:$U$500,$K78))</f>
        <v/>
      </c>
      <c r="I78" s="9">
        <f>IF($K78="","",INDEX(מלאי!$X$2:$X$500,$K78))</f>
        <v/>
      </c>
      <c r="J78" s="9">
        <f>IF($K78="","",INDEX(מלאי!$AC$2:$AC$500,$K78))</f>
        <v/>
      </c>
      <c r="K7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58),"")</f>
        <v/>
      </c>
    </row>
    <row r="79">
      <c r="A79" s="8">
        <f>IF($K79="","",INDEX(מלאי!$D$2:$D$500,$K79))</f>
        <v/>
      </c>
      <c r="B79" s="8">
        <f>IF($K79="","",INDEX(מלאי!$B$2:$B$500,$K79))</f>
        <v/>
      </c>
      <c r="C79" s="8">
        <f>IF($K79="","",INDEX(מלאי!$C$2:$C$500,$K79))</f>
        <v/>
      </c>
      <c r="D79" s="8">
        <f>IF($K79="","",INDEX(מלאי!$G$2:$G$500,$K79))</f>
        <v/>
      </c>
      <c r="E79" s="8">
        <f>IF($K79="","",INDEX(מלאי!$M$2:$M$500,$K79))</f>
        <v/>
      </c>
      <c r="F79" s="8">
        <f>IF($K79="","",INDEX(מלאי!$N$2:$N$500,$K79))</f>
        <v/>
      </c>
      <c r="G79" s="8">
        <f>IF($K79="","",INDEX(מלאי!$O$2:$O$500,$K79))</f>
        <v/>
      </c>
      <c r="H79" s="8">
        <f>IF($K79="","",INDEX(מלאי!$U$2:$U$500,$K79))</f>
        <v/>
      </c>
      <c r="I79" s="8">
        <f>IF($K79="","",INDEX(מלאי!$X$2:$X$500,$K79))</f>
        <v/>
      </c>
      <c r="J79" s="8">
        <f>IF($K79="","",INDEX(מלאי!$AC$2:$AC$500,$K79))</f>
        <v/>
      </c>
      <c r="K7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59),"")</f>
        <v/>
      </c>
    </row>
    <row r="80">
      <c r="A80" s="9">
        <f>IF($K80="","",INDEX(מלאי!$D$2:$D$500,$K80))</f>
        <v/>
      </c>
      <c r="B80" s="9">
        <f>IF($K80="","",INDEX(מלאי!$B$2:$B$500,$K80))</f>
        <v/>
      </c>
      <c r="C80" s="9">
        <f>IF($K80="","",INDEX(מלאי!$C$2:$C$500,$K80))</f>
        <v/>
      </c>
      <c r="D80" s="9">
        <f>IF($K80="","",INDEX(מלאי!$G$2:$G$500,$K80))</f>
        <v/>
      </c>
      <c r="E80" s="9">
        <f>IF($K80="","",INDEX(מלאי!$M$2:$M$500,$K80))</f>
        <v/>
      </c>
      <c r="F80" s="9">
        <f>IF($K80="","",INDEX(מלאי!$N$2:$N$500,$K80))</f>
        <v/>
      </c>
      <c r="G80" s="9">
        <f>IF($K80="","",INDEX(מלאי!$O$2:$O$500,$K80))</f>
        <v/>
      </c>
      <c r="H80" s="9">
        <f>IF($K80="","",INDEX(מלאי!$U$2:$U$500,$K80))</f>
        <v/>
      </c>
      <c r="I80" s="9">
        <f>IF($K80="","",INDEX(מלאי!$X$2:$X$500,$K80))</f>
        <v/>
      </c>
      <c r="J80" s="9">
        <f>IF($K80="","",INDEX(מלאי!$AC$2:$AC$500,$K80))</f>
        <v/>
      </c>
      <c r="K8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60),"")</f>
        <v/>
      </c>
    </row>
    <row r="81">
      <c r="A81" s="8">
        <f>IF($K81="","",INDEX(מלאי!$D$2:$D$500,$K81))</f>
        <v/>
      </c>
      <c r="B81" s="8">
        <f>IF($K81="","",INDEX(מלאי!$B$2:$B$500,$K81))</f>
        <v/>
      </c>
      <c r="C81" s="8">
        <f>IF($K81="","",INDEX(מלאי!$C$2:$C$500,$K81))</f>
        <v/>
      </c>
      <c r="D81" s="8">
        <f>IF($K81="","",INDEX(מלאי!$G$2:$G$500,$K81))</f>
        <v/>
      </c>
      <c r="E81" s="8">
        <f>IF($K81="","",INDEX(מלאי!$M$2:$M$500,$K81))</f>
        <v/>
      </c>
      <c r="F81" s="8">
        <f>IF($K81="","",INDEX(מלאי!$N$2:$N$500,$K81))</f>
        <v/>
      </c>
      <c r="G81" s="8">
        <f>IF($K81="","",INDEX(מלאי!$O$2:$O$500,$K81))</f>
        <v/>
      </c>
      <c r="H81" s="8">
        <f>IF($K81="","",INDEX(מלאי!$U$2:$U$500,$K81))</f>
        <v/>
      </c>
      <c r="I81" s="8">
        <f>IF($K81="","",INDEX(מלאי!$X$2:$X$500,$K81))</f>
        <v/>
      </c>
      <c r="J81" s="8">
        <f>IF($K81="","",INDEX(מלאי!$AC$2:$AC$500,$K81))</f>
        <v/>
      </c>
      <c r="K8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61),"")</f>
        <v/>
      </c>
    </row>
    <row r="82">
      <c r="A82" s="9">
        <f>IF($K82="","",INDEX(מלאי!$D$2:$D$500,$K82))</f>
        <v/>
      </c>
      <c r="B82" s="9">
        <f>IF($K82="","",INDEX(מלאי!$B$2:$B$500,$K82))</f>
        <v/>
      </c>
      <c r="C82" s="9">
        <f>IF($K82="","",INDEX(מלאי!$C$2:$C$500,$K82))</f>
        <v/>
      </c>
      <c r="D82" s="9">
        <f>IF($K82="","",INDEX(מלאי!$G$2:$G$500,$K82))</f>
        <v/>
      </c>
      <c r="E82" s="9">
        <f>IF($K82="","",INDEX(מלאי!$M$2:$M$500,$K82))</f>
        <v/>
      </c>
      <c r="F82" s="9">
        <f>IF($K82="","",INDEX(מלאי!$N$2:$N$500,$K82))</f>
        <v/>
      </c>
      <c r="G82" s="9">
        <f>IF($K82="","",INDEX(מלאי!$O$2:$O$500,$K82))</f>
        <v/>
      </c>
      <c r="H82" s="9">
        <f>IF($K82="","",INDEX(מלאי!$U$2:$U$500,$K82))</f>
        <v/>
      </c>
      <c r="I82" s="9">
        <f>IF($K82="","",INDEX(מלאי!$X$2:$X$500,$K82))</f>
        <v/>
      </c>
      <c r="J82" s="9">
        <f>IF($K82="","",INDEX(מלאי!$AC$2:$AC$500,$K82))</f>
        <v/>
      </c>
      <c r="K8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62),"")</f>
        <v/>
      </c>
    </row>
    <row r="83">
      <c r="A83" s="8">
        <f>IF($K83="","",INDEX(מלאי!$D$2:$D$500,$K83))</f>
        <v/>
      </c>
      <c r="B83" s="8">
        <f>IF($K83="","",INDEX(מלאי!$B$2:$B$500,$K83))</f>
        <v/>
      </c>
      <c r="C83" s="8">
        <f>IF($K83="","",INDEX(מלאי!$C$2:$C$500,$K83))</f>
        <v/>
      </c>
      <c r="D83" s="8">
        <f>IF($K83="","",INDEX(מלאי!$G$2:$G$500,$K83))</f>
        <v/>
      </c>
      <c r="E83" s="8">
        <f>IF($K83="","",INDEX(מלאי!$M$2:$M$500,$K83))</f>
        <v/>
      </c>
      <c r="F83" s="8">
        <f>IF($K83="","",INDEX(מלאי!$N$2:$N$500,$K83))</f>
        <v/>
      </c>
      <c r="G83" s="8">
        <f>IF($K83="","",INDEX(מלאי!$O$2:$O$500,$K83))</f>
        <v/>
      </c>
      <c r="H83" s="8">
        <f>IF($K83="","",INDEX(מלאי!$U$2:$U$500,$K83))</f>
        <v/>
      </c>
      <c r="I83" s="8">
        <f>IF($K83="","",INDEX(מלאי!$X$2:$X$500,$K83))</f>
        <v/>
      </c>
      <c r="J83" s="8">
        <f>IF($K83="","",INDEX(מלאי!$AC$2:$AC$500,$K83))</f>
        <v/>
      </c>
      <c r="K8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63),"")</f>
        <v/>
      </c>
    </row>
    <row r="84">
      <c r="A84" s="9">
        <f>IF($K84="","",INDEX(מלאי!$D$2:$D$500,$K84))</f>
        <v/>
      </c>
      <c r="B84" s="9">
        <f>IF($K84="","",INDEX(מלאי!$B$2:$B$500,$K84))</f>
        <v/>
      </c>
      <c r="C84" s="9">
        <f>IF($K84="","",INDEX(מלאי!$C$2:$C$500,$K84))</f>
        <v/>
      </c>
      <c r="D84" s="9">
        <f>IF($K84="","",INDEX(מלאי!$G$2:$G$500,$K84))</f>
        <v/>
      </c>
      <c r="E84" s="9">
        <f>IF($K84="","",INDEX(מלאי!$M$2:$M$500,$K84))</f>
        <v/>
      </c>
      <c r="F84" s="9">
        <f>IF($K84="","",INDEX(מלאי!$N$2:$N$500,$K84))</f>
        <v/>
      </c>
      <c r="G84" s="9">
        <f>IF($K84="","",INDEX(מלאי!$O$2:$O$500,$K84))</f>
        <v/>
      </c>
      <c r="H84" s="9">
        <f>IF($K84="","",INDEX(מלאי!$U$2:$U$500,$K84))</f>
        <v/>
      </c>
      <c r="I84" s="9">
        <f>IF($K84="","",INDEX(מלאי!$X$2:$X$500,$K84))</f>
        <v/>
      </c>
      <c r="J84" s="9">
        <f>IF($K84="","",INDEX(מלאי!$AC$2:$AC$500,$K84))</f>
        <v/>
      </c>
      <c r="K8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64),"")</f>
        <v/>
      </c>
    </row>
    <row r="85">
      <c r="A85" s="8">
        <f>IF($K85="","",INDEX(מלאי!$D$2:$D$500,$K85))</f>
        <v/>
      </c>
      <c r="B85" s="8">
        <f>IF($K85="","",INDEX(מלאי!$B$2:$B$500,$K85))</f>
        <v/>
      </c>
      <c r="C85" s="8">
        <f>IF($K85="","",INDEX(מלאי!$C$2:$C$500,$K85))</f>
        <v/>
      </c>
      <c r="D85" s="8">
        <f>IF($K85="","",INDEX(מלאי!$G$2:$G$500,$K85))</f>
        <v/>
      </c>
      <c r="E85" s="8">
        <f>IF($K85="","",INDEX(מלאי!$M$2:$M$500,$K85))</f>
        <v/>
      </c>
      <c r="F85" s="8">
        <f>IF($K85="","",INDEX(מלאי!$N$2:$N$500,$K85))</f>
        <v/>
      </c>
      <c r="G85" s="8">
        <f>IF($K85="","",INDEX(מלאי!$O$2:$O$500,$K85))</f>
        <v/>
      </c>
      <c r="H85" s="8">
        <f>IF($K85="","",INDEX(מלאי!$U$2:$U$500,$K85))</f>
        <v/>
      </c>
      <c r="I85" s="8">
        <f>IF($K85="","",INDEX(מלאי!$X$2:$X$500,$K85))</f>
        <v/>
      </c>
      <c r="J85" s="8">
        <f>IF($K85="","",INDEX(מלאי!$AC$2:$AC$500,$K85))</f>
        <v/>
      </c>
      <c r="K8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65),"")</f>
        <v/>
      </c>
    </row>
    <row r="86">
      <c r="A86" s="9">
        <f>IF($K86="","",INDEX(מלאי!$D$2:$D$500,$K86))</f>
        <v/>
      </c>
      <c r="B86" s="9">
        <f>IF($K86="","",INDEX(מלאי!$B$2:$B$500,$K86))</f>
        <v/>
      </c>
      <c r="C86" s="9">
        <f>IF($K86="","",INDEX(מלאי!$C$2:$C$500,$K86))</f>
        <v/>
      </c>
      <c r="D86" s="9">
        <f>IF($K86="","",INDEX(מלאי!$G$2:$G$500,$K86))</f>
        <v/>
      </c>
      <c r="E86" s="9">
        <f>IF($K86="","",INDEX(מלאי!$M$2:$M$500,$K86))</f>
        <v/>
      </c>
      <c r="F86" s="9">
        <f>IF($K86="","",INDEX(מלאי!$N$2:$N$500,$K86))</f>
        <v/>
      </c>
      <c r="G86" s="9">
        <f>IF($K86="","",INDEX(מלאי!$O$2:$O$500,$K86))</f>
        <v/>
      </c>
      <c r="H86" s="9">
        <f>IF($K86="","",INDEX(מלאי!$U$2:$U$500,$K86))</f>
        <v/>
      </c>
      <c r="I86" s="9">
        <f>IF($K86="","",INDEX(מלאי!$X$2:$X$500,$K86))</f>
        <v/>
      </c>
      <c r="J86" s="9">
        <f>IF($K86="","",INDEX(מלאי!$AC$2:$AC$500,$K86))</f>
        <v/>
      </c>
      <c r="K8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66),"")</f>
        <v/>
      </c>
    </row>
    <row r="87">
      <c r="A87" s="8">
        <f>IF($K87="","",INDEX(מלאי!$D$2:$D$500,$K87))</f>
        <v/>
      </c>
      <c r="B87" s="8">
        <f>IF($K87="","",INDEX(מלאי!$B$2:$B$500,$K87))</f>
        <v/>
      </c>
      <c r="C87" s="8">
        <f>IF($K87="","",INDEX(מלאי!$C$2:$C$500,$K87))</f>
        <v/>
      </c>
      <c r="D87" s="8">
        <f>IF($K87="","",INDEX(מלאי!$G$2:$G$500,$K87))</f>
        <v/>
      </c>
      <c r="E87" s="8">
        <f>IF($K87="","",INDEX(מלאי!$M$2:$M$500,$K87))</f>
        <v/>
      </c>
      <c r="F87" s="8">
        <f>IF($K87="","",INDEX(מלאי!$N$2:$N$500,$K87))</f>
        <v/>
      </c>
      <c r="G87" s="8">
        <f>IF($K87="","",INDEX(מלאי!$O$2:$O$500,$K87))</f>
        <v/>
      </c>
      <c r="H87" s="8">
        <f>IF($K87="","",INDEX(מלאי!$U$2:$U$500,$K87))</f>
        <v/>
      </c>
      <c r="I87" s="8">
        <f>IF($K87="","",INDEX(מלאי!$X$2:$X$500,$K87))</f>
        <v/>
      </c>
      <c r="J87" s="8">
        <f>IF($K87="","",INDEX(מלאי!$AC$2:$AC$500,$K87))</f>
        <v/>
      </c>
      <c r="K8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67),"")</f>
        <v/>
      </c>
    </row>
    <row r="88">
      <c r="A88" s="9">
        <f>IF($K88="","",INDEX(מלאי!$D$2:$D$500,$K88))</f>
        <v/>
      </c>
      <c r="B88" s="9">
        <f>IF($K88="","",INDEX(מלאי!$B$2:$B$500,$K88))</f>
        <v/>
      </c>
      <c r="C88" s="9">
        <f>IF($K88="","",INDEX(מלאי!$C$2:$C$500,$K88))</f>
        <v/>
      </c>
      <c r="D88" s="9">
        <f>IF($K88="","",INDEX(מלאי!$G$2:$G$500,$K88))</f>
        <v/>
      </c>
      <c r="E88" s="9">
        <f>IF($K88="","",INDEX(מלאי!$M$2:$M$500,$K88))</f>
        <v/>
      </c>
      <c r="F88" s="9">
        <f>IF($K88="","",INDEX(מלאי!$N$2:$N$500,$K88))</f>
        <v/>
      </c>
      <c r="G88" s="9">
        <f>IF($K88="","",INDEX(מלאי!$O$2:$O$500,$K88))</f>
        <v/>
      </c>
      <c r="H88" s="9">
        <f>IF($K88="","",INDEX(מלאי!$U$2:$U$500,$K88))</f>
        <v/>
      </c>
      <c r="I88" s="9">
        <f>IF($K88="","",INDEX(מלאי!$X$2:$X$500,$K88))</f>
        <v/>
      </c>
      <c r="J88" s="9">
        <f>IF($K88="","",INDEX(מלאי!$AC$2:$AC$500,$K88))</f>
        <v/>
      </c>
      <c r="K8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68),"")</f>
        <v/>
      </c>
    </row>
    <row r="89">
      <c r="A89" s="8">
        <f>IF($K89="","",INDEX(מלאי!$D$2:$D$500,$K89))</f>
        <v/>
      </c>
      <c r="B89" s="8">
        <f>IF($K89="","",INDEX(מלאי!$B$2:$B$500,$K89))</f>
        <v/>
      </c>
      <c r="C89" s="8">
        <f>IF($K89="","",INDEX(מלאי!$C$2:$C$500,$K89))</f>
        <v/>
      </c>
      <c r="D89" s="8">
        <f>IF($K89="","",INDEX(מלאי!$G$2:$G$500,$K89))</f>
        <v/>
      </c>
      <c r="E89" s="8">
        <f>IF($K89="","",INDEX(מלאי!$M$2:$M$500,$K89))</f>
        <v/>
      </c>
      <c r="F89" s="8">
        <f>IF($K89="","",INDEX(מלאי!$N$2:$N$500,$K89))</f>
        <v/>
      </c>
      <c r="G89" s="8">
        <f>IF($K89="","",INDEX(מלאי!$O$2:$O$500,$K89))</f>
        <v/>
      </c>
      <c r="H89" s="8">
        <f>IF($K89="","",INDEX(מלאי!$U$2:$U$500,$K89))</f>
        <v/>
      </c>
      <c r="I89" s="8">
        <f>IF($K89="","",INDEX(מלאי!$X$2:$X$500,$K89))</f>
        <v/>
      </c>
      <c r="J89" s="8">
        <f>IF($K89="","",INDEX(מלאי!$AC$2:$AC$500,$K89))</f>
        <v/>
      </c>
      <c r="K8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69),"")</f>
        <v/>
      </c>
    </row>
    <row r="90">
      <c r="A90" s="9">
        <f>IF($K90="","",INDEX(מלאי!$D$2:$D$500,$K90))</f>
        <v/>
      </c>
      <c r="B90" s="9">
        <f>IF($K90="","",INDEX(מלאי!$B$2:$B$500,$K90))</f>
        <v/>
      </c>
      <c r="C90" s="9">
        <f>IF($K90="","",INDEX(מלאי!$C$2:$C$500,$K90))</f>
        <v/>
      </c>
      <c r="D90" s="9">
        <f>IF($K90="","",INDEX(מלאי!$G$2:$G$500,$K90))</f>
        <v/>
      </c>
      <c r="E90" s="9">
        <f>IF($K90="","",INDEX(מלאי!$M$2:$M$500,$K90))</f>
        <v/>
      </c>
      <c r="F90" s="9">
        <f>IF($K90="","",INDEX(מלאי!$N$2:$N$500,$K90))</f>
        <v/>
      </c>
      <c r="G90" s="9">
        <f>IF($K90="","",INDEX(מלאי!$O$2:$O$500,$K90))</f>
        <v/>
      </c>
      <c r="H90" s="9">
        <f>IF($K90="","",INDEX(מלאי!$U$2:$U$500,$K90))</f>
        <v/>
      </c>
      <c r="I90" s="9">
        <f>IF($K90="","",INDEX(מלאי!$X$2:$X$500,$K90))</f>
        <v/>
      </c>
      <c r="J90" s="9">
        <f>IF($K90="","",INDEX(מלאי!$AC$2:$AC$500,$K90))</f>
        <v/>
      </c>
      <c r="K9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70),"")</f>
        <v/>
      </c>
    </row>
    <row r="91">
      <c r="A91" s="8">
        <f>IF($K91="","",INDEX(מלאי!$D$2:$D$500,$K91))</f>
        <v/>
      </c>
      <c r="B91" s="8">
        <f>IF($K91="","",INDEX(מלאי!$B$2:$B$500,$K91))</f>
        <v/>
      </c>
      <c r="C91" s="8">
        <f>IF($K91="","",INDEX(מלאי!$C$2:$C$500,$K91))</f>
        <v/>
      </c>
      <c r="D91" s="8">
        <f>IF($K91="","",INDEX(מלאי!$G$2:$G$500,$K91))</f>
        <v/>
      </c>
      <c r="E91" s="8">
        <f>IF($K91="","",INDEX(מלאי!$M$2:$M$500,$K91))</f>
        <v/>
      </c>
      <c r="F91" s="8">
        <f>IF($K91="","",INDEX(מלאי!$N$2:$N$500,$K91))</f>
        <v/>
      </c>
      <c r="G91" s="8">
        <f>IF($K91="","",INDEX(מלאי!$O$2:$O$500,$K91))</f>
        <v/>
      </c>
      <c r="H91" s="8">
        <f>IF($K91="","",INDEX(מלאי!$U$2:$U$500,$K91))</f>
        <v/>
      </c>
      <c r="I91" s="8">
        <f>IF($K91="","",INDEX(מלאי!$X$2:$X$500,$K91))</f>
        <v/>
      </c>
      <c r="J91" s="8">
        <f>IF($K91="","",INDEX(מלאי!$AC$2:$AC$500,$K91))</f>
        <v/>
      </c>
      <c r="K9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71),"")</f>
        <v/>
      </c>
    </row>
    <row r="92">
      <c r="A92" s="9">
        <f>IF($K92="","",INDEX(מלאי!$D$2:$D$500,$K92))</f>
        <v/>
      </c>
      <c r="B92" s="9">
        <f>IF($K92="","",INDEX(מלאי!$B$2:$B$500,$K92))</f>
        <v/>
      </c>
      <c r="C92" s="9">
        <f>IF($K92="","",INDEX(מלאי!$C$2:$C$500,$K92))</f>
        <v/>
      </c>
      <c r="D92" s="9">
        <f>IF($K92="","",INDEX(מלאי!$G$2:$G$500,$K92))</f>
        <v/>
      </c>
      <c r="E92" s="9">
        <f>IF($K92="","",INDEX(מלאי!$M$2:$M$500,$K92))</f>
        <v/>
      </c>
      <c r="F92" s="9">
        <f>IF($K92="","",INDEX(מלאי!$N$2:$N$500,$K92))</f>
        <v/>
      </c>
      <c r="G92" s="9">
        <f>IF($K92="","",INDEX(מלאי!$O$2:$O$500,$K92))</f>
        <v/>
      </c>
      <c r="H92" s="9">
        <f>IF($K92="","",INDEX(מלאי!$U$2:$U$500,$K92))</f>
        <v/>
      </c>
      <c r="I92" s="9">
        <f>IF($K92="","",INDEX(מלאי!$X$2:$X$500,$K92))</f>
        <v/>
      </c>
      <c r="J92" s="9">
        <f>IF($K92="","",INDEX(מלאי!$AC$2:$AC$500,$K92))</f>
        <v/>
      </c>
      <c r="K9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72),"")</f>
        <v/>
      </c>
    </row>
    <row r="93">
      <c r="A93" s="8">
        <f>IF($K93="","",INDEX(מלאי!$D$2:$D$500,$K93))</f>
        <v/>
      </c>
      <c r="B93" s="8">
        <f>IF($K93="","",INDEX(מלאי!$B$2:$B$500,$K93))</f>
        <v/>
      </c>
      <c r="C93" s="8">
        <f>IF($K93="","",INDEX(מלאי!$C$2:$C$500,$K93))</f>
        <v/>
      </c>
      <c r="D93" s="8">
        <f>IF($K93="","",INDEX(מלאי!$G$2:$G$500,$K93))</f>
        <v/>
      </c>
      <c r="E93" s="8">
        <f>IF($K93="","",INDEX(מלאי!$M$2:$M$500,$K93))</f>
        <v/>
      </c>
      <c r="F93" s="8">
        <f>IF($K93="","",INDEX(מלאי!$N$2:$N$500,$K93))</f>
        <v/>
      </c>
      <c r="G93" s="8">
        <f>IF($K93="","",INDEX(מלאי!$O$2:$O$500,$K93))</f>
        <v/>
      </c>
      <c r="H93" s="8">
        <f>IF($K93="","",INDEX(מלאי!$U$2:$U$500,$K93))</f>
        <v/>
      </c>
      <c r="I93" s="8">
        <f>IF($K93="","",INDEX(מלאי!$X$2:$X$500,$K93))</f>
        <v/>
      </c>
      <c r="J93" s="8">
        <f>IF($K93="","",INDEX(מלאי!$AC$2:$AC$500,$K93))</f>
        <v/>
      </c>
      <c r="K9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73),"")</f>
        <v/>
      </c>
    </row>
    <row r="94">
      <c r="A94" s="9">
        <f>IF($K94="","",INDEX(מלאי!$D$2:$D$500,$K94))</f>
        <v/>
      </c>
      <c r="B94" s="9">
        <f>IF($K94="","",INDEX(מלאי!$B$2:$B$500,$K94))</f>
        <v/>
      </c>
      <c r="C94" s="9">
        <f>IF($K94="","",INDEX(מלאי!$C$2:$C$500,$K94))</f>
        <v/>
      </c>
      <c r="D94" s="9">
        <f>IF($K94="","",INDEX(מלאי!$G$2:$G$500,$K94))</f>
        <v/>
      </c>
      <c r="E94" s="9">
        <f>IF($K94="","",INDEX(מלאי!$M$2:$M$500,$K94))</f>
        <v/>
      </c>
      <c r="F94" s="9">
        <f>IF($K94="","",INDEX(מלאי!$N$2:$N$500,$K94))</f>
        <v/>
      </c>
      <c r="G94" s="9">
        <f>IF($K94="","",INDEX(מלאי!$O$2:$O$500,$K94))</f>
        <v/>
      </c>
      <c r="H94" s="9">
        <f>IF($K94="","",INDEX(מלאי!$U$2:$U$500,$K94))</f>
        <v/>
      </c>
      <c r="I94" s="9">
        <f>IF($K94="","",INDEX(מלאי!$X$2:$X$500,$K94))</f>
        <v/>
      </c>
      <c r="J94" s="9">
        <f>IF($K94="","",INDEX(מלאי!$AC$2:$AC$500,$K94))</f>
        <v/>
      </c>
      <c r="K9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74),"")</f>
        <v/>
      </c>
    </row>
    <row r="95">
      <c r="A95" s="8">
        <f>IF($K95="","",INDEX(מלאי!$D$2:$D$500,$K95))</f>
        <v/>
      </c>
      <c r="B95" s="8">
        <f>IF($K95="","",INDEX(מלאי!$B$2:$B$500,$K95))</f>
        <v/>
      </c>
      <c r="C95" s="8">
        <f>IF($K95="","",INDEX(מלאי!$C$2:$C$500,$K95))</f>
        <v/>
      </c>
      <c r="D95" s="8">
        <f>IF($K95="","",INDEX(מלאי!$G$2:$G$500,$K95))</f>
        <v/>
      </c>
      <c r="E95" s="8">
        <f>IF($K95="","",INDEX(מלאי!$M$2:$M$500,$K95))</f>
        <v/>
      </c>
      <c r="F95" s="8">
        <f>IF($K95="","",INDEX(מלאי!$N$2:$N$500,$K95))</f>
        <v/>
      </c>
      <c r="G95" s="8">
        <f>IF($K95="","",INDEX(מלאי!$O$2:$O$500,$K95))</f>
        <v/>
      </c>
      <c r="H95" s="8">
        <f>IF($K95="","",INDEX(מלאי!$U$2:$U$500,$K95))</f>
        <v/>
      </c>
      <c r="I95" s="8">
        <f>IF($K95="","",INDEX(מלאי!$X$2:$X$500,$K95))</f>
        <v/>
      </c>
      <c r="J95" s="8">
        <f>IF($K95="","",INDEX(מלאי!$AC$2:$AC$500,$K95))</f>
        <v/>
      </c>
      <c r="K9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75),"")</f>
        <v/>
      </c>
    </row>
    <row r="96">
      <c r="A96" s="9">
        <f>IF($K96="","",INDEX(מלאי!$D$2:$D$500,$K96))</f>
        <v/>
      </c>
      <c r="B96" s="9">
        <f>IF($K96="","",INDEX(מלאי!$B$2:$B$500,$K96))</f>
        <v/>
      </c>
      <c r="C96" s="9">
        <f>IF($K96="","",INDEX(מלאי!$C$2:$C$500,$K96))</f>
        <v/>
      </c>
      <c r="D96" s="9">
        <f>IF($K96="","",INDEX(מלאי!$G$2:$G$500,$K96))</f>
        <v/>
      </c>
      <c r="E96" s="9">
        <f>IF($K96="","",INDEX(מלאי!$M$2:$M$500,$K96))</f>
        <v/>
      </c>
      <c r="F96" s="9">
        <f>IF($K96="","",INDEX(מלאי!$N$2:$N$500,$K96))</f>
        <v/>
      </c>
      <c r="G96" s="9">
        <f>IF($K96="","",INDEX(מלאי!$O$2:$O$500,$K96))</f>
        <v/>
      </c>
      <c r="H96" s="9">
        <f>IF($K96="","",INDEX(מלאי!$U$2:$U$500,$K96))</f>
        <v/>
      </c>
      <c r="I96" s="9">
        <f>IF($K96="","",INDEX(מלאי!$X$2:$X$500,$K96))</f>
        <v/>
      </c>
      <c r="J96" s="9">
        <f>IF($K96="","",INDEX(מלאי!$AC$2:$AC$500,$K96))</f>
        <v/>
      </c>
      <c r="K9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76),"")</f>
        <v/>
      </c>
    </row>
    <row r="97">
      <c r="A97" s="8">
        <f>IF($K97="","",INDEX(מלאי!$D$2:$D$500,$K97))</f>
        <v/>
      </c>
      <c r="B97" s="8">
        <f>IF($K97="","",INDEX(מלאי!$B$2:$B$500,$K97))</f>
        <v/>
      </c>
      <c r="C97" s="8">
        <f>IF($K97="","",INDEX(מלאי!$C$2:$C$500,$K97))</f>
        <v/>
      </c>
      <c r="D97" s="8">
        <f>IF($K97="","",INDEX(מלאי!$G$2:$G$500,$K97))</f>
        <v/>
      </c>
      <c r="E97" s="8">
        <f>IF($K97="","",INDEX(מלאי!$M$2:$M$500,$K97))</f>
        <v/>
      </c>
      <c r="F97" s="8">
        <f>IF($K97="","",INDEX(מלאי!$N$2:$N$500,$K97))</f>
        <v/>
      </c>
      <c r="G97" s="8">
        <f>IF($K97="","",INDEX(מלאי!$O$2:$O$500,$K97))</f>
        <v/>
      </c>
      <c r="H97" s="8">
        <f>IF($K97="","",INDEX(מלאי!$U$2:$U$500,$K97))</f>
        <v/>
      </c>
      <c r="I97" s="8">
        <f>IF($K97="","",INDEX(מלאי!$X$2:$X$500,$K97))</f>
        <v/>
      </c>
      <c r="J97" s="8">
        <f>IF($K97="","",INDEX(מלאי!$AC$2:$AC$500,$K97))</f>
        <v/>
      </c>
      <c r="K9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77),"")</f>
        <v/>
      </c>
    </row>
    <row r="98">
      <c r="A98" s="9">
        <f>IF($K98="","",INDEX(מלאי!$D$2:$D$500,$K98))</f>
        <v/>
      </c>
      <c r="B98" s="9">
        <f>IF($K98="","",INDEX(מלאי!$B$2:$B$500,$K98))</f>
        <v/>
      </c>
      <c r="C98" s="9">
        <f>IF($K98="","",INDEX(מלאי!$C$2:$C$500,$K98))</f>
        <v/>
      </c>
      <c r="D98" s="9">
        <f>IF($K98="","",INDEX(מלאי!$G$2:$G$500,$K98))</f>
        <v/>
      </c>
      <c r="E98" s="9">
        <f>IF($K98="","",INDEX(מלאי!$M$2:$M$500,$K98))</f>
        <v/>
      </c>
      <c r="F98" s="9">
        <f>IF($K98="","",INDEX(מלאי!$N$2:$N$500,$K98))</f>
        <v/>
      </c>
      <c r="G98" s="9">
        <f>IF($K98="","",INDEX(מלאי!$O$2:$O$500,$K98))</f>
        <v/>
      </c>
      <c r="H98" s="9">
        <f>IF($K98="","",INDEX(מלאי!$U$2:$U$500,$K98))</f>
        <v/>
      </c>
      <c r="I98" s="9">
        <f>IF($K98="","",INDEX(מלאי!$X$2:$X$500,$K98))</f>
        <v/>
      </c>
      <c r="J98" s="9">
        <f>IF($K98="","",INDEX(מלאי!$AC$2:$AC$500,$K98))</f>
        <v/>
      </c>
      <c r="K9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78),"")</f>
        <v/>
      </c>
    </row>
    <row r="99">
      <c r="A99" s="8">
        <f>IF($K99="","",INDEX(מלאי!$D$2:$D$500,$K99))</f>
        <v/>
      </c>
      <c r="B99" s="8">
        <f>IF($K99="","",INDEX(מלאי!$B$2:$B$500,$K99))</f>
        <v/>
      </c>
      <c r="C99" s="8">
        <f>IF($K99="","",INDEX(מלאי!$C$2:$C$500,$K99))</f>
        <v/>
      </c>
      <c r="D99" s="8">
        <f>IF($K99="","",INDEX(מלאי!$G$2:$G$500,$K99))</f>
        <v/>
      </c>
      <c r="E99" s="8">
        <f>IF($K99="","",INDEX(מלאי!$M$2:$M$500,$K99))</f>
        <v/>
      </c>
      <c r="F99" s="8">
        <f>IF($K99="","",INDEX(מלאי!$N$2:$N$500,$K99))</f>
        <v/>
      </c>
      <c r="G99" s="8">
        <f>IF($K99="","",INDEX(מלאי!$O$2:$O$500,$K99))</f>
        <v/>
      </c>
      <c r="H99" s="8">
        <f>IF($K99="","",INDEX(מלאי!$U$2:$U$500,$K99))</f>
        <v/>
      </c>
      <c r="I99" s="8">
        <f>IF($K99="","",INDEX(מלאי!$X$2:$X$500,$K99))</f>
        <v/>
      </c>
      <c r="J99" s="8">
        <f>IF($K99="","",INDEX(מלאי!$AC$2:$AC$500,$K99))</f>
        <v/>
      </c>
      <c r="K9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79),"")</f>
        <v/>
      </c>
    </row>
    <row r="100">
      <c r="A100" s="9">
        <f>IF($K100="","",INDEX(מלאי!$D$2:$D$500,$K100))</f>
        <v/>
      </c>
      <c r="B100" s="9">
        <f>IF($K100="","",INDEX(מלאי!$B$2:$B$500,$K100))</f>
        <v/>
      </c>
      <c r="C100" s="9">
        <f>IF($K100="","",INDEX(מלאי!$C$2:$C$500,$K100))</f>
        <v/>
      </c>
      <c r="D100" s="9">
        <f>IF($K100="","",INDEX(מלאי!$G$2:$G$500,$K100))</f>
        <v/>
      </c>
      <c r="E100" s="9">
        <f>IF($K100="","",INDEX(מלאי!$M$2:$M$500,$K100))</f>
        <v/>
      </c>
      <c r="F100" s="9">
        <f>IF($K100="","",INDEX(מלאי!$N$2:$N$500,$K100))</f>
        <v/>
      </c>
      <c r="G100" s="9">
        <f>IF($K100="","",INDEX(מלאי!$O$2:$O$500,$K100))</f>
        <v/>
      </c>
      <c r="H100" s="9">
        <f>IF($K100="","",INDEX(מלאי!$U$2:$U$500,$K100))</f>
        <v/>
      </c>
      <c r="I100" s="9">
        <f>IF($K100="","",INDEX(מלאי!$X$2:$X$500,$K100))</f>
        <v/>
      </c>
      <c r="J100" s="9">
        <f>IF($K100="","",INDEX(מלאי!$AC$2:$AC$500,$K100))</f>
        <v/>
      </c>
      <c r="K10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80),"")</f>
        <v/>
      </c>
    </row>
    <row r="101">
      <c r="A101" s="8">
        <f>IF($K101="","",INDEX(מלאי!$D$2:$D$500,$K101))</f>
        <v/>
      </c>
      <c r="B101" s="8">
        <f>IF($K101="","",INDEX(מלאי!$B$2:$B$500,$K101))</f>
        <v/>
      </c>
      <c r="C101" s="8">
        <f>IF($K101="","",INDEX(מלאי!$C$2:$C$500,$K101))</f>
        <v/>
      </c>
      <c r="D101" s="8">
        <f>IF($K101="","",INDEX(מלאי!$G$2:$G$500,$K101))</f>
        <v/>
      </c>
      <c r="E101" s="8">
        <f>IF($K101="","",INDEX(מלאי!$M$2:$M$500,$K101))</f>
        <v/>
      </c>
      <c r="F101" s="8">
        <f>IF($K101="","",INDEX(מלאי!$N$2:$N$500,$K101))</f>
        <v/>
      </c>
      <c r="G101" s="8">
        <f>IF($K101="","",INDEX(מלאי!$O$2:$O$500,$K101))</f>
        <v/>
      </c>
      <c r="H101" s="8">
        <f>IF($K101="","",INDEX(מלאי!$U$2:$U$500,$K101))</f>
        <v/>
      </c>
      <c r="I101" s="8">
        <f>IF($K101="","",INDEX(מלאי!$X$2:$X$500,$K101))</f>
        <v/>
      </c>
      <c r="J101" s="8">
        <f>IF($K101="","",INDEX(מלאי!$AC$2:$AC$500,$K101))</f>
        <v/>
      </c>
      <c r="K10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81),"")</f>
        <v/>
      </c>
    </row>
    <row r="102">
      <c r="A102" s="9">
        <f>IF($K102="","",INDEX(מלאי!$D$2:$D$500,$K102))</f>
        <v/>
      </c>
      <c r="B102" s="9">
        <f>IF($K102="","",INDEX(מלאי!$B$2:$B$500,$K102))</f>
        <v/>
      </c>
      <c r="C102" s="9">
        <f>IF($K102="","",INDEX(מלאי!$C$2:$C$500,$K102))</f>
        <v/>
      </c>
      <c r="D102" s="9">
        <f>IF($K102="","",INDEX(מלאי!$G$2:$G$500,$K102))</f>
        <v/>
      </c>
      <c r="E102" s="9">
        <f>IF($K102="","",INDEX(מלאי!$M$2:$M$500,$K102))</f>
        <v/>
      </c>
      <c r="F102" s="9">
        <f>IF($K102="","",INDEX(מלאי!$N$2:$N$500,$K102))</f>
        <v/>
      </c>
      <c r="G102" s="9">
        <f>IF($K102="","",INDEX(מלאי!$O$2:$O$500,$K102))</f>
        <v/>
      </c>
      <c r="H102" s="9">
        <f>IF($K102="","",INDEX(מלאי!$U$2:$U$500,$K102))</f>
        <v/>
      </c>
      <c r="I102" s="9">
        <f>IF($K102="","",INDEX(מלאי!$X$2:$X$500,$K102))</f>
        <v/>
      </c>
      <c r="J102" s="9">
        <f>IF($K102="","",INDEX(מלאי!$AC$2:$AC$500,$K102))</f>
        <v/>
      </c>
      <c r="K10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82),"")</f>
        <v/>
      </c>
    </row>
    <row r="103">
      <c r="A103" s="8">
        <f>IF($K103="","",INDEX(מלאי!$D$2:$D$500,$K103))</f>
        <v/>
      </c>
      <c r="B103" s="8">
        <f>IF($K103="","",INDEX(מלאי!$B$2:$B$500,$K103))</f>
        <v/>
      </c>
      <c r="C103" s="8">
        <f>IF($K103="","",INDEX(מלאי!$C$2:$C$500,$K103))</f>
        <v/>
      </c>
      <c r="D103" s="8">
        <f>IF($K103="","",INDEX(מלאי!$G$2:$G$500,$K103))</f>
        <v/>
      </c>
      <c r="E103" s="8">
        <f>IF($K103="","",INDEX(מלאי!$M$2:$M$500,$K103))</f>
        <v/>
      </c>
      <c r="F103" s="8">
        <f>IF($K103="","",INDEX(מלאי!$N$2:$N$500,$K103))</f>
        <v/>
      </c>
      <c r="G103" s="8">
        <f>IF($K103="","",INDEX(מלאי!$O$2:$O$500,$K103))</f>
        <v/>
      </c>
      <c r="H103" s="8">
        <f>IF($K103="","",INDEX(מלאי!$U$2:$U$500,$K103))</f>
        <v/>
      </c>
      <c r="I103" s="8">
        <f>IF($K103="","",INDEX(מלאי!$X$2:$X$500,$K103))</f>
        <v/>
      </c>
      <c r="J103" s="8">
        <f>IF($K103="","",INDEX(מלאי!$AC$2:$AC$500,$K103))</f>
        <v/>
      </c>
      <c r="K10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83),"")</f>
        <v/>
      </c>
    </row>
    <row r="104">
      <c r="A104" s="9">
        <f>IF($K104="","",INDEX(מלאי!$D$2:$D$500,$K104))</f>
        <v/>
      </c>
      <c r="B104" s="9">
        <f>IF($K104="","",INDEX(מלאי!$B$2:$B$500,$K104))</f>
        <v/>
      </c>
      <c r="C104" s="9">
        <f>IF($K104="","",INDEX(מלאי!$C$2:$C$500,$K104))</f>
        <v/>
      </c>
      <c r="D104" s="9">
        <f>IF($K104="","",INDEX(מלאי!$G$2:$G$500,$K104))</f>
        <v/>
      </c>
      <c r="E104" s="9">
        <f>IF($K104="","",INDEX(מלאי!$M$2:$M$500,$K104))</f>
        <v/>
      </c>
      <c r="F104" s="9">
        <f>IF($K104="","",INDEX(מלאי!$N$2:$N$500,$K104))</f>
        <v/>
      </c>
      <c r="G104" s="9">
        <f>IF($K104="","",INDEX(מלאי!$O$2:$O$500,$K104))</f>
        <v/>
      </c>
      <c r="H104" s="9">
        <f>IF($K104="","",INDEX(מלאי!$U$2:$U$500,$K104))</f>
        <v/>
      </c>
      <c r="I104" s="9">
        <f>IF($K104="","",INDEX(מלאי!$X$2:$X$500,$K104))</f>
        <v/>
      </c>
      <c r="J104" s="9">
        <f>IF($K104="","",INDEX(מלאי!$AC$2:$AC$500,$K104))</f>
        <v/>
      </c>
      <c r="K10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84),"")</f>
        <v/>
      </c>
    </row>
    <row r="105">
      <c r="A105" s="8">
        <f>IF($K105="","",INDEX(מלאי!$D$2:$D$500,$K105))</f>
        <v/>
      </c>
      <c r="B105" s="8">
        <f>IF($K105="","",INDEX(מלאי!$B$2:$B$500,$K105))</f>
        <v/>
      </c>
      <c r="C105" s="8">
        <f>IF($K105="","",INDEX(מלאי!$C$2:$C$500,$K105))</f>
        <v/>
      </c>
      <c r="D105" s="8">
        <f>IF($K105="","",INDEX(מלאי!$G$2:$G$500,$K105))</f>
        <v/>
      </c>
      <c r="E105" s="8">
        <f>IF($K105="","",INDEX(מלאי!$M$2:$M$500,$K105))</f>
        <v/>
      </c>
      <c r="F105" s="8">
        <f>IF($K105="","",INDEX(מלאי!$N$2:$N$500,$K105))</f>
        <v/>
      </c>
      <c r="G105" s="8">
        <f>IF($K105="","",INDEX(מלאי!$O$2:$O$500,$K105))</f>
        <v/>
      </c>
      <c r="H105" s="8">
        <f>IF($K105="","",INDEX(מלאי!$U$2:$U$500,$K105))</f>
        <v/>
      </c>
      <c r="I105" s="8">
        <f>IF($K105="","",INDEX(מלאי!$X$2:$X$500,$K105))</f>
        <v/>
      </c>
      <c r="J105" s="8">
        <f>IF($K105="","",INDEX(מלאי!$AC$2:$AC$500,$K105))</f>
        <v/>
      </c>
      <c r="K10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85),"")</f>
        <v/>
      </c>
    </row>
    <row r="106">
      <c r="A106" s="9">
        <f>IF($K106="","",INDEX(מלאי!$D$2:$D$500,$K106))</f>
        <v/>
      </c>
      <c r="B106" s="9">
        <f>IF($K106="","",INDEX(מלאי!$B$2:$B$500,$K106))</f>
        <v/>
      </c>
      <c r="C106" s="9">
        <f>IF($K106="","",INDEX(מלאי!$C$2:$C$500,$K106))</f>
        <v/>
      </c>
      <c r="D106" s="9">
        <f>IF($K106="","",INDEX(מלאי!$G$2:$G$500,$K106))</f>
        <v/>
      </c>
      <c r="E106" s="9">
        <f>IF($K106="","",INDEX(מלאי!$M$2:$M$500,$K106))</f>
        <v/>
      </c>
      <c r="F106" s="9">
        <f>IF($K106="","",INDEX(מלאי!$N$2:$N$500,$K106))</f>
        <v/>
      </c>
      <c r="G106" s="9">
        <f>IF($K106="","",INDEX(מלאי!$O$2:$O$500,$K106))</f>
        <v/>
      </c>
      <c r="H106" s="9">
        <f>IF($K106="","",INDEX(מלאי!$U$2:$U$500,$K106))</f>
        <v/>
      </c>
      <c r="I106" s="9">
        <f>IF($K106="","",INDEX(מלאי!$X$2:$X$500,$K106))</f>
        <v/>
      </c>
      <c r="J106" s="9">
        <f>IF($K106="","",INDEX(מלאי!$AC$2:$AC$500,$K106))</f>
        <v/>
      </c>
      <c r="K10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86),"")</f>
        <v/>
      </c>
    </row>
    <row r="107">
      <c r="A107" s="8">
        <f>IF($K107="","",INDEX(מלאי!$D$2:$D$500,$K107))</f>
        <v/>
      </c>
      <c r="B107" s="8">
        <f>IF($K107="","",INDEX(מלאי!$B$2:$B$500,$K107))</f>
        <v/>
      </c>
      <c r="C107" s="8">
        <f>IF($K107="","",INDEX(מלאי!$C$2:$C$500,$K107))</f>
        <v/>
      </c>
      <c r="D107" s="8">
        <f>IF($K107="","",INDEX(מלאי!$G$2:$G$500,$K107))</f>
        <v/>
      </c>
      <c r="E107" s="8">
        <f>IF($K107="","",INDEX(מלאי!$M$2:$M$500,$K107))</f>
        <v/>
      </c>
      <c r="F107" s="8">
        <f>IF($K107="","",INDEX(מלאי!$N$2:$N$500,$K107))</f>
        <v/>
      </c>
      <c r="G107" s="8">
        <f>IF($K107="","",INDEX(מלאי!$O$2:$O$500,$K107))</f>
        <v/>
      </c>
      <c r="H107" s="8">
        <f>IF($K107="","",INDEX(מלאי!$U$2:$U$500,$K107))</f>
        <v/>
      </c>
      <c r="I107" s="8">
        <f>IF($K107="","",INDEX(מלאי!$X$2:$X$500,$K107))</f>
        <v/>
      </c>
      <c r="J107" s="8">
        <f>IF($K107="","",INDEX(מלאי!$AC$2:$AC$500,$K107))</f>
        <v/>
      </c>
      <c r="K10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87),"")</f>
        <v/>
      </c>
    </row>
    <row r="108">
      <c r="A108" s="9">
        <f>IF($K108="","",INDEX(מלאי!$D$2:$D$500,$K108))</f>
        <v/>
      </c>
      <c r="B108" s="9">
        <f>IF($K108="","",INDEX(מלאי!$B$2:$B$500,$K108))</f>
        <v/>
      </c>
      <c r="C108" s="9">
        <f>IF($K108="","",INDEX(מלאי!$C$2:$C$500,$K108))</f>
        <v/>
      </c>
      <c r="D108" s="9">
        <f>IF($K108="","",INDEX(מלאי!$G$2:$G$500,$K108))</f>
        <v/>
      </c>
      <c r="E108" s="9">
        <f>IF($K108="","",INDEX(מלאי!$M$2:$M$500,$K108))</f>
        <v/>
      </c>
      <c r="F108" s="9">
        <f>IF($K108="","",INDEX(מלאי!$N$2:$N$500,$K108))</f>
        <v/>
      </c>
      <c r="G108" s="9">
        <f>IF($K108="","",INDEX(מלאי!$O$2:$O$500,$K108))</f>
        <v/>
      </c>
      <c r="H108" s="9">
        <f>IF($K108="","",INDEX(מלאי!$U$2:$U$500,$K108))</f>
        <v/>
      </c>
      <c r="I108" s="9">
        <f>IF($K108="","",INDEX(מלאי!$X$2:$X$500,$K108))</f>
        <v/>
      </c>
      <c r="J108" s="9">
        <f>IF($K108="","",INDEX(מלאי!$AC$2:$AC$500,$K108))</f>
        <v/>
      </c>
      <c r="K10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88),"")</f>
        <v/>
      </c>
    </row>
    <row r="109">
      <c r="A109" s="8">
        <f>IF($K109="","",INDEX(מלאי!$D$2:$D$500,$K109))</f>
        <v/>
      </c>
      <c r="B109" s="8">
        <f>IF($K109="","",INDEX(מלאי!$B$2:$B$500,$K109))</f>
        <v/>
      </c>
      <c r="C109" s="8">
        <f>IF($K109="","",INDEX(מלאי!$C$2:$C$500,$K109))</f>
        <v/>
      </c>
      <c r="D109" s="8">
        <f>IF($K109="","",INDEX(מלאי!$G$2:$G$500,$K109))</f>
        <v/>
      </c>
      <c r="E109" s="8">
        <f>IF($K109="","",INDEX(מלאי!$M$2:$M$500,$K109))</f>
        <v/>
      </c>
      <c r="F109" s="8">
        <f>IF($K109="","",INDEX(מלאי!$N$2:$N$500,$K109))</f>
        <v/>
      </c>
      <c r="G109" s="8">
        <f>IF($K109="","",INDEX(מלאי!$O$2:$O$500,$K109))</f>
        <v/>
      </c>
      <c r="H109" s="8">
        <f>IF($K109="","",INDEX(מלאי!$U$2:$U$500,$K109))</f>
        <v/>
      </c>
      <c r="I109" s="8">
        <f>IF($K109="","",INDEX(מלאי!$X$2:$X$500,$K109))</f>
        <v/>
      </c>
      <c r="J109" s="8">
        <f>IF($K109="","",INDEX(מלאי!$AC$2:$AC$500,$K109))</f>
        <v/>
      </c>
      <c r="K10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89),"")</f>
        <v/>
      </c>
    </row>
    <row r="110">
      <c r="A110" s="9">
        <f>IF($K110="","",INDEX(מלאי!$D$2:$D$500,$K110))</f>
        <v/>
      </c>
      <c r="B110" s="9">
        <f>IF($K110="","",INDEX(מלאי!$B$2:$B$500,$K110))</f>
        <v/>
      </c>
      <c r="C110" s="9">
        <f>IF($K110="","",INDEX(מלאי!$C$2:$C$500,$K110))</f>
        <v/>
      </c>
      <c r="D110" s="9">
        <f>IF($K110="","",INDEX(מלאי!$G$2:$G$500,$K110))</f>
        <v/>
      </c>
      <c r="E110" s="9">
        <f>IF($K110="","",INDEX(מלאי!$M$2:$M$500,$K110))</f>
        <v/>
      </c>
      <c r="F110" s="9">
        <f>IF($K110="","",INDEX(מלאי!$N$2:$N$500,$K110))</f>
        <v/>
      </c>
      <c r="G110" s="9">
        <f>IF($K110="","",INDEX(מלאי!$O$2:$O$500,$K110))</f>
        <v/>
      </c>
      <c r="H110" s="9">
        <f>IF($K110="","",INDEX(מלאי!$U$2:$U$500,$K110))</f>
        <v/>
      </c>
      <c r="I110" s="9">
        <f>IF($K110="","",INDEX(מלאי!$X$2:$X$500,$K110))</f>
        <v/>
      </c>
      <c r="J110" s="9">
        <f>IF($K110="","",INDEX(מלאי!$AC$2:$AC$500,$K110))</f>
        <v/>
      </c>
      <c r="K11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90),"")</f>
        <v/>
      </c>
    </row>
    <row r="111">
      <c r="A111" s="8">
        <f>IF($K111="","",INDEX(מלאי!$D$2:$D$500,$K111))</f>
        <v/>
      </c>
      <c r="B111" s="8">
        <f>IF($K111="","",INDEX(מלאי!$B$2:$B$500,$K111))</f>
        <v/>
      </c>
      <c r="C111" s="8">
        <f>IF($K111="","",INDEX(מלאי!$C$2:$C$500,$K111))</f>
        <v/>
      </c>
      <c r="D111" s="8">
        <f>IF($K111="","",INDEX(מלאי!$G$2:$G$500,$K111))</f>
        <v/>
      </c>
      <c r="E111" s="8">
        <f>IF($K111="","",INDEX(מלאי!$M$2:$M$500,$K111))</f>
        <v/>
      </c>
      <c r="F111" s="8">
        <f>IF($K111="","",INDEX(מלאי!$N$2:$N$500,$K111))</f>
        <v/>
      </c>
      <c r="G111" s="8">
        <f>IF($K111="","",INDEX(מלאי!$O$2:$O$500,$K111))</f>
        <v/>
      </c>
      <c r="H111" s="8">
        <f>IF($K111="","",INDEX(מלאי!$U$2:$U$500,$K111))</f>
        <v/>
      </c>
      <c r="I111" s="8">
        <f>IF($K111="","",INDEX(מלאי!$X$2:$X$500,$K111))</f>
        <v/>
      </c>
      <c r="J111" s="8">
        <f>IF($K111="","",INDEX(מלאי!$AC$2:$AC$500,$K111))</f>
        <v/>
      </c>
      <c r="K11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91),"")</f>
        <v/>
      </c>
    </row>
    <row r="112">
      <c r="A112" s="9">
        <f>IF($K112="","",INDEX(מלאי!$D$2:$D$500,$K112))</f>
        <v/>
      </c>
      <c r="B112" s="9">
        <f>IF($K112="","",INDEX(מלאי!$B$2:$B$500,$K112))</f>
        <v/>
      </c>
      <c r="C112" s="9">
        <f>IF($K112="","",INDEX(מלאי!$C$2:$C$500,$K112))</f>
        <v/>
      </c>
      <c r="D112" s="9">
        <f>IF($K112="","",INDEX(מלאי!$G$2:$G$500,$K112))</f>
        <v/>
      </c>
      <c r="E112" s="9">
        <f>IF($K112="","",INDEX(מלאי!$M$2:$M$500,$K112))</f>
        <v/>
      </c>
      <c r="F112" s="9">
        <f>IF($K112="","",INDEX(מלאי!$N$2:$N$500,$K112))</f>
        <v/>
      </c>
      <c r="G112" s="9">
        <f>IF($K112="","",INDEX(מלאי!$O$2:$O$500,$K112))</f>
        <v/>
      </c>
      <c r="H112" s="9">
        <f>IF($K112="","",INDEX(מלאי!$U$2:$U$500,$K112))</f>
        <v/>
      </c>
      <c r="I112" s="9">
        <f>IF($K112="","",INDEX(מלאי!$X$2:$X$500,$K112))</f>
        <v/>
      </c>
      <c r="J112" s="9">
        <f>IF($K112="","",INDEX(מלאי!$AC$2:$AC$500,$K112))</f>
        <v/>
      </c>
      <c r="K11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92),"")</f>
        <v/>
      </c>
    </row>
    <row r="113">
      <c r="A113" s="8">
        <f>IF($K113="","",INDEX(מלאי!$D$2:$D$500,$K113))</f>
        <v/>
      </c>
      <c r="B113" s="8">
        <f>IF($K113="","",INDEX(מלאי!$B$2:$B$500,$K113))</f>
        <v/>
      </c>
      <c r="C113" s="8">
        <f>IF($K113="","",INDEX(מלאי!$C$2:$C$500,$K113))</f>
        <v/>
      </c>
      <c r="D113" s="8">
        <f>IF($K113="","",INDEX(מלאי!$G$2:$G$500,$K113))</f>
        <v/>
      </c>
      <c r="E113" s="8">
        <f>IF($K113="","",INDEX(מלאי!$M$2:$M$500,$K113))</f>
        <v/>
      </c>
      <c r="F113" s="8">
        <f>IF($K113="","",INDEX(מלאי!$N$2:$N$500,$K113))</f>
        <v/>
      </c>
      <c r="G113" s="8">
        <f>IF($K113="","",INDEX(מלאי!$O$2:$O$500,$K113))</f>
        <v/>
      </c>
      <c r="H113" s="8">
        <f>IF($K113="","",INDEX(מלאי!$U$2:$U$500,$K113))</f>
        <v/>
      </c>
      <c r="I113" s="8">
        <f>IF($K113="","",INDEX(מלאי!$X$2:$X$500,$K113))</f>
        <v/>
      </c>
      <c r="J113" s="8">
        <f>IF($K113="","",INDEX(מלאי!$AC$2:$AC$500,$K113))</f>
        <v/>
      </c>
      <c r="K11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93),"")</f>
        <v/>
      </c>
    </row>
    <row r="114">
      <c r="A114" s="9">
        <f>IF($K114="","",INDEX(מלאי!$D$2:$D$500,$K114))</f>
        <v/>
      </c>
      <c r="B114" s="9">
        <f>IF($K114="","",INDEX(מלאי!$B$2:$B$500,$K114))</f>
        <v/>
      </c>
      <c r="C114" s="9">
        <f>IF($K114="","",INDEX(מלאי!$C$2:$C$500,$K114))</f>
        <v/>
      </c>
      <c r="D114" s="9">
        <f>IF($K114="","",INDEX(מלאי!$G$2:$G$500,$K114))</f>
        <v/>
      </c>
      <c r="E114" s="9">
        <f>IF($K114="","",INDEX(מלאי!$M$2:$M$500,$K114))</f>
        <v/>
      </c>
      <c r="F114" s="9">
        <f>IF($K114="","",INDEX(מלאי!$N$2:$N$500,$K114))</f>
        <v/>
      </c>
      <c r="G114" s="9">
        <f>IF($K114="","",INDEX(מלאי!$O$2:$O$500,$K114))</f>
        <v/>
      </c>
      <c r="H114" s="9">
        <f>IF($K114="","",INDEX(מלאי!$U$2:$U$500,$K114))</f>
        <v/>
      </c>
      <c r="I114" s="9">
        <f>IF($K114="","",INDEX(מלאי!$X$2:$X$500,$K114))</f>
        <v/>
      </c>
      <c r="J114" s="9">
        <f>IF($K114="","",INDEX(מלאי!$AC$2:$AC$500,$K114))</f>
        <v/>
      </c>
      <c r="K11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94),"")</f>
        <v/>
      </c>
    </row>
    <row r="115">
      <c r="A115" s="8">
        <f>IF($K115="","",INDEX(מלאי!$D$2:$D$500,$K115))</f>
        <v/>
      </c>
      <c r="B115" s="8">
        <f>IF($K115="","",INDEX(מלאי!$B$2:$B$500,$K115))</f>
        <v/>
      </c>
      <c r="C115" s="8">
        <f>IF($K115="","",INDEX(מלאי!$C$2:$C$500,$K115))</f>
        <v/>
      </c>
      <c r="D115" s="8">
        <f>IF($K115="","",INDEX(מלאי!$G$2:$G$500,$K115))</f>
        <v/>
      </c>
      <c r="E115" s="8">
        <f>IF($K115="","",INDEX(מלאי!$M$2:$M$500,$K115))</f>
        <v/>
      </c>
      <c r="F115" s="8">
        <f>IF($K115="","",INDEX(מלאי!$N$2:$N$500,$K115))</f>
        <v/>
      </c>
      <c r="G115" s="8">
        <f>IF($K115="","",INDEX(מלאי!$O$2:$O$500,$K115))</f>
        <v/>
      </c>
      <c r="H115" s="8">
        <f>IF($K115="","",INDEX(מלאי!$U$2:$U$500,$K115))</f>
        <v/>
      </c>
      <c r="I115" s="8">
        <f>IF($K115="","",INDEX(מלאי!$X$2:$X$500,$K115))</f>
        <v/>
      </c>
      <c r="J115" s="8">
        <f>IF($K115="","",INDEX(מלאי!$AC$2:$AC$500,$K115))</f>
        <v/>
      </c>
      <c r="K11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95),"")</f>
        <v/>
      </c>
    </row>
    <row r="116">
      <c r="A116" s="9">
        <f>IF($K116="","",INDEX(מלאי!$D$2:$D$500,$K116))</f>
        <v/>
      </c>
      <c r="B116" s="9">
        <f>IF($K116="","",INDEX(מלאי!$B$2:$B$500,$K116))</f>
        <v/>
      </c>
      <c r="C116" s="9">
        <f>IF($K116="","",INDEX(מלאי!$C$2:$C$500,$K116))</f>
        <v/>
      </c>
      <c r="D116" s="9">
        <f>IF($K116="","",INDEX(מלאי!$G$2:$G$500,$K116))</f>
        <v/>
      </c>
      <c r="E116" s="9">
        <f>IF($K116="","",INDEX(מלאי!$M$2:$M$500,$K116))</f>
        <v/>
      </c>
      <c r="F116" s="9">
        <f>IF($K116="","",INDEX(מלאי!$N$2:$N$500,$K116))</f>
        <v/>
      </c>
      <c r="G116" s="9">
        <f>IF($K116="","",INDEX(מלאי!$O$2:$O$500,$K116))</f>
        <v/>
      </c>
      <c r="H116" s="9">
        <f>IF($K116="","",INDEX(מלאי!$U$2:$U$500,$K116))</f>
        <v/>
      </c>
      <c r="I116" s="9">
        <f>IF($K116="","",INDEX(מלאי!$X$2:$X$500,$K116))</f>
        <v/>
      </c>
      <c r="J116" s="9">
        <f>IF($K116="","",INDEX(מלאי!$AC$2:$AC$500,$K116))</f>
        <v/>
      </c>
      <c r="K11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96),"")</f>
        <v/>
      </c>
    </row>
    <row r="117">
      <c r="A117" s="8">
        <f>IF($K117="","",INDEX(מלאי!$D$2:$D$500,$K117))</f>
        <v/>
      </c>
      <c r="B117" s="8">
        <f>IF($K117="","",INDEX(מלאי!$B$2:$B$500,$K117))</f>
        <v/>
      </c>
      <c r="C117" s="8">
        <f>IF($K117="","",INDEX(מלאי!$C$2:$C$500,$K117))</f>
        <v/>
      </c>
      <c r="D117" s="8">
        <f>IF($K117="","",INDEX(מלאי!$G$2:$G$500,$K117))</f>
        <v/>
      </c>
      <c r="E117" s="8">
        <f>IF($K117="","",INDEX(מלאי!$M$2:$M$500,$K117))</f>
        <v/>
      </c>
      <c r="F117" s="8">
        <f>IF($K117="","",INDEX(מלאי!$N$2:$N$500,$K117))</f>
        <v/>
      </c>
      <c r="G117" s="8">
        <f>IF($K117="","",INDEX(מלאי!$O$2:$O$500,$K117))</f>
        <v/>
      </c>
      <c r="H117" s="8">
        <f>IF($K117="","",INDEX(מלאי!$U$2:$U$500,$K117))</f>
        <v/>
      </c>
      <c r="I117" s="8">
        <f>IF($K117="","",INDEX(מלאי!$X$2:$X$500,$K117))</f>
        <v/>
      </c>
      <c r="J117" s="8">
        <f>IF($K117="","",INDEX(מלאי!$AC$2:$AC$500,$K117))</f>
        <v/>
      </c>
      <c r="K11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97),"")</f>
        <v/>
      </c>
    </row>
    <row r="118">
      <c r="A118" s="9">
        <f>IF($K118="","",INDEX(מלאי!$D$2:$D$500,$K118))</f>
        <v/>
      </c>
      <c r="B118" s="9">
        <f>IF($K118="","",INDEX(מלאי!$B$2:$B$500,$K118))</f>
        <v/>
      </c>
      <c r="C118" s="9">
        <f>IF($K118="","",INDEX(מלאי!$C$2:$C$500,$K118))</f>
        <v/>
      </c>
      <c r="D118" s="9">
        <f>IF($K118="","",INDEX(מלאי!$G$2:$G$500,$K118))</f>
        <v/>
      </c>
      <c r="E118" s="9">
        <f>IF($K118="","",INDEX(מלאי!$M$2:$M$500,$K118))</f>
        <v/>
      </c>
      <c r="F118" s="9">
        <f>IF($K118="","",INDEX(מלאי!$N$2:$N$500,$K118))</f>
        <v/>
      </c>
      <c r="G118" s="9">
        <f>IF($K118="","",INDEX(מלאי!$O$2:$O$500,$K118))</f>
        <v/>
      </c>
      <c r="H118" s="9">
        <f>IF($K118="","",INDEX(מלאי!$U$2:$U$500,$K118))</f>
        <v/>
      </c>
      <c r="I118" s="9">
        <f>IF($K118="","",INDEX(מלאי!$X$2:$X$500,$K118))</f>
        <v/>
      </c>
      <c r="J118" s="9">
        <f>IF($K118="","",INDEX(מלאי!$AC$2:$AC$500,$K118))</f>
        <v/>
      </c>
      <c r="K11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98),"")</f>
        <v/>
      </c>
    </row>
    <row r="119">
      <c r="A119" s="8">
        <f>IF($K119="","",INDEX(מלאי!$D$2:$D$500,$K119))</f>
        <v/>
      </c>
      <c r="B119" s="8">
        <f>IF($K119="","",INDEX(מלאי!$B$2:$B$500,$K119))</f>
        <v/>
      </c>
      <c r="C119" s="8">
        <f>IF($K119="","",INDEX(מלאי!$C$2:$C$500,$K119))</f>
        <v/>
      </c>
      <c r="D119" s="8">
        <f>IF($K119="","",INDEX(מלאי!$G$2:$G$500,$K119))</f>
        <v/>
      </c>
      <c r="E119" s="8">
        <f>IF($K119="","",INDEX(מלאי!$M$2:$M$500,$K119))</f>
        <v/>
      </c>
      <c r="F119" s="8">
        <f>IF($K119="","",INDEX(מלאי!$N$2:$N$500,$K119))</f>
        <v/>
      </c>
      <c r="G119" s="8">
        <f>IF($K119="","",INDEX(מלאי!$O$2:$O$500,$K119))</f>
        <v/>
      </c>
      <c r="H119" s="8">
        <f>IF($K119="","",INDEX(מלאי!$U$2:$U$500,$K119))</f>
        <v/>
      </c>
      <c r="I119" s="8">
        <f>IF($K119="","",INDEX(מלאי!$X$2:$X$500,$K119))</f>
        <v/>
      </c>
      <c r="J119" s="8">
        <f>IF($K119="","",INDEX(מלאי!$AC$2:$AC$500,$K119))</f>
        <v/>
      </c>
      <c r="K11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99),"")</f>
        <v/>
      </c>
    </row>
    <row r="120">
      <c r="A120" s="9">
        <f>IF($K120="","",INDEX(מלאי!$D$2:$D$500,$K120))</f>
        <v/>
      </c>
      <c r="B120" s="9">
        <f>IF($K120="","",INDEX(מלאי!$B$2:$B$500,$K120))</f>
        <v/>
      </c>
      <c r="C120" s="9">
        <f>IF($K120="","",INDEX(מלאי!$C$2:$C$500,$K120))</f>
        <v/>
      </c>
      <c r="D120" s="9">
        <f>IF($K120="","",INDEX(מלאי!$G$2:$G$500,$K120))</f>
        <v/>
      </c>
      <c r="E120" s="9">
        <f>IF($K120="","",INDEX(מלאי!$M$2:$M$500,$K120))</f>
        <v/>
      </c>
      <c r="F120" s="9">
        <f>IF($K120="","",INDEX(מלאי!$N$2:$N$500,$K120))</f>
        <v/>
      </c>
      <c r="G120" s="9">
        <f>IF($K120="","",INDEX(מלאי!$O$2:$O$500,$K120))</f>
        <v/>
      </c>
      <c r="H120" s="9">
        <f>IF($K120="","",INDEX(מלאי!$U$2:$U$500,$K120))</f>
        <v/>
      </c>
      <c r="I120" s="9">
        <f>IF($K120="","",INDEX(מלאי!$X$2:$X$500,$K120))</f>
        <v/>
      </c>
      <c r="J120" s="9">
        <f>IF($K120="","",INDEX(מלאי!$AC$2:$AC$500,$K120))</f>
        <v/>
      </c>
      <c r="K12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100),"")</f>
        <v/>
      </c>
    </row>
    <row r="121">
      <c r="A121" s="8">
        <f>IF($K121="","",INDEX(מלאי!$D$2:$D$500,$K121))</f>
        <v/>
      </c>
      <c r="B121" s="8">
        <f>IF($K121="","",INDEX(מלאי!$B$2:$B$500,$K121))</f>
        <v/>
      </c>
      <c r="C121" s="8">
        <f>IF($K121="","",INDEX(מלאי!$C$2:$C$500,$K121))</f>
        <v/>
      </c>
      <c r="D121" s="8">
        <f>IF($K121="","",INDEX(מלאי!$G$2:$G$500,$K121))</f>
        <v/>
      </c>
      <c r="E121" s="8">
        <f>IF($K121="","",INDEX(מלאי!$M$2:$M$500,$K121))</f>
        <v/>
      </c>
      <c r="F121" s="8">
        <f>IF($K121="","",INDEX(מלאי!$N$2:$N$500,$K121))</f>
        <v/>
      </c>
      <c r="G121" s="8">
        <f>IF($K121="","",INDEX(מלאי!$O$2:$O$500,$K121))</f>
        <v/>
      </c>
      <c r="H121" s="8">
        <f>IF($K121="","",INDEX(מלאי!$U$2:$U$500,$K121))</f>
        <v/>
      </c>
      <c r="I121" s="8">
        <f>IF($K121="","",INDEX(מלאי!$X$2:$X$500,$K121))</f>
        <v/>
      </c>
      <c r="J121" s="8">
        <f>IF($K121="","",INDEX(מלאי!$AC$2:$AC$500,$K121))</f>
        <v/>
      </c>
      <c r="K12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101),"")</f>
        <v/>
      </c>
    </row>
    <row r="122">
      <c r="A122" s="9">
        <f>IF($K122="","",INDEX(מלאי!$D$2:$D$500,$K122))</f>
        <v/>
      </c>
      <c r="B122" s="9">
        <f>IF($K122="","",INDEX(מלאי!$B$2:$B$500,$K122))</f>
        <v/>
      </c>
      <c r="C122" s="9">
        <f>IF($K122="","",INDEX(מלאי!$C$2:$C$500,$K122))</f>
        <v/>
      </c>
      <c r="D122" s="9">
        <f>IF($K122="","",INDEX(מלאי!$G$2:$G$500,$K122))</f>
        <v/>
      </c>
      <c r="E122" s="9">
        <f>IF($K122="","",INDEX(מלאי!$M$2:$M$500,$K122))</f>
        <v/>
      </c>
      <c r="F122" s="9">
        <f>IF($K122="","",INDEX(מלאי!$N$2:$N$500,$K122))</f>
        <v/>
      </c>
      <c r="G122" s="9">
        <f>IF($K122="","",INDEX(מלאי!$O$2:$O$500,$K122))</f>
        <v/>
      </c>
      <c r="H122" s="9">
        <f>IF($K122="","",INDEX(מלאי!$U$2:$U$500,$K122))</f>
        <v/>
      </c>
      <c r="I122" s="9">
        <f>IF($K122="","",INDEX(מלאי!$X$2:$X$500,$K122))</f>
        <v/>
      </c>
      <c r="J122" s="9">
        <f>IF($K122="","",INDEX(מלאי!$AC$2:$AC$500,$K122))</f>
        <v/>
      </c>
      <c r="K12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102),"")</f>
        <v/>
      </c>
    </row>
    <row r="123">
      <c r="A123" s="8">
        <f>IF($K123="","",INDEX(מלאי!$D$2:$D$500,$K123))</f>
        <v/>
      </c>
      <c r="B123" s="8">
        <f>IF($K123="","",INDEX(מלאי!$B$2:$B$500,$K123))</f>
        <v/>
      </c>
      <c r="C123" s="8">
        <f>IF($K123="","",INDEX(מלאי!$C$2:$C$500,$K123))</f>
        <v/>
      </c>
      <c r="D123" s="8">
        <f>IF($K123="","",INDEX(מלאי!$G$2:$G$500,$K123))</f>
        <v/>
      </c>
      <c r="E123" s="8">
        <f>IF($K123="","",INDEX(מלאי!$M$2:$M$500,$K123))</f>
        <v/>
      </c>
      <c r="F123" s="8">
        <f>IF($K123="","",INDEX(מלאי!$N$2:$N$500,$K123))</f>
        <v/>
      </c>
      <c r="G123" s="8">
        <f>IF($K123="","",INDEX(מלאי!$O$2:$O$500,$K123))</f>
        <v/>
      </c>
      <c r="H123" s="8">
        <f>IF($K123="","",INDEX(מלאי!$U$2:$U$500,$K123))</f>
        <v/>
      </c>
      <c r="I123" s="8">
        <f>IF($K123="","",INDEX(מלאי!$X$2:$X$500,$K123))</f>
        <v/>
      </c>
      <c r="J123" s="8">
        <f>IF($K123="","",INDEX(מלאי!$AC$2:$AC$500,$K123))</f>
        <v/>
      </c>
      <c r="K12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103),"")</f>
        <v/>
      </c>
    </row>
    <row r="124">
      <c r="A124" s="9">
        <f>IF($K124="","",INDEX(מלאי!$D$2:$D$500,$K124))</f>
        <v/>
      </c>
      <c r="B124" s="9">
        <f>IF($K124="","",INDEX(מלאי!$B$2:$B$500,$K124))</f>
        <v/>
      </c>
      <c r="C124" s="9">
        <f>IF($K124="","",INDEX(מלאי!$C$2:$C$500,$K124))</f>
        <v/>
      </c>
      <c r="D124" s="9">
        <f>IF($K124="","",INDEX(מלאי!$G$2:$G$500,$K124))</f>
        <v/>
      </c>
      <c r="E124" s="9">
        <f>IF($K124="","",INDEX(מלאי!$M$2:$M$500,$K124))</f>
        <v/>
      </c>
      <c r="F124" s="9">
        <f>IF($K124="","",INDEX(מלאי!$N$2:$N$500,$K124))</f>
        <v/>
      </c>
      <c r="G124" s="9">
        <f>IF($K124="","",INDEX(מלאי!$O$2:$O$500,$K124))</f>
        <v/>
      </c>
      <c r="H124" s="9">
        <f>IF($K124="","",INDEX(מלאי!$U$2:$U$500,$K124))</f>
        <v/>
      </c>
      <c r="I124" s="9">
        <f>IF($K124="","",INDEX(מלאי!$X$2:$X$500,$K124))</f>
        <v/>
      </c>
      <c r="J124" s="9">
        <f>IF($K124="","",INDEX(מלאי!$AC$2:$AC$500,$K124))</f>
        <v/>
      </c>
      <c r="K12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104),"")</f>
        <v/>
      </c>
    </row>
    <row r="125">
      <c r="A125" s="8">
        <f>IF($K125="","",INDEX(מלאי!$D$2:$D$500,$K125))</f>
        <v/>
      </c>
      <c r="B125" s="8">
        <f>IF($K125="","",INDEX(מלאי!$B$2:$B$500,$K125))</f>
        <v/>
      </c>
      <c r="C125" s="8">
        <f>IF($K125="","",INDEX(מלאי!$C$2:$C$500,$K125))</f>
        <v/>
      </c>
      <c r="D125" s="8">
        <f>IF($K125="","",INDEX(מלאי!$G$2:$G$500,$K125))</f>
        <v/>
      </c>
      <c r="E125" s="8">
        <f>IF($K125="","",INDEX(מלאי!$M$2:$M$500,$K125))</f>
        <v/>
      </c>
      <c r="F125" s="8">
        <f>IF($K125="","",INDEX(מלאי!$N$2:$N$500,$K125))</f>
        <v/>
      </c>
      <c r="G125" s="8">
        <f>IF($K125="","",INDEX(מלאי!$O$2:$O$500,$K125))</f>
        <v/>
      </c>
      <c r="H125" s="8">
        <f>IF($K125="","",INDEX(מלאי!$U$2:$U$500,$K125))</f>
        <v/>
      </c>
      <c r="I125" s="8">
        <f>IF($K125="","",INDEX(מלאי!$X$2:$X$500,$K125))</f>
        <v/>
      </c>
      <c r="J125" s="8">
        <f>IF($K125="","",INDEX(מלאי!$AC$2:$AC$500,$K125))</f>
        <v/>
      </c>
      <c r="K12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105),"")</f>
        <v/>
      </c>
    </row>
    <row r="126">
      <c r="A126" s="9">
        <f>IF($K126="","",INDEX(מלאי!$D$2:$D$500,$K126))</f>
        <v/>
      </c>
      <c r="B126" s="9">
        <f>IF($K126="","",INDEX(מלאי!$B$2:$B$500,$K126))</f>
        <v/>
      </c>
      <c r="C126" s="9">
        <f>IF($K126="","",INDEX(מלאי!$C$2:$C$500,$K126))</f>
        <v/>
      </c>
      <c r="D126" s="9">
        <f>IF($K126="","",INDEX(מלאי!$G$2:$G$500,$K126))</f>
        <v/>
      </c>
      <c r="E126" s="9">
        <f>IF($K126="","",INDEX(מלאי!$M$2:$M$500,$K126))</f>
        <v/>
      </c>
      <c r="F126" s="9">
        <f>IF($K126="","",INDEX(מלאי!$N$2:$N$500,$K126))</f>
        <v/>
      </c>
      <c r="G126" s="9">
        <f>IF($K126="","",INDEX(מלאי!$O$2:$O$500,$K126))</f>
        <v/>
      </c>
      <c r="H126" s="9">
        <f>IF($K126="","",INDEX(מלאי!$U$2:$U$500,$K126))</f>
        <v/>
      </c>
      <c r="I126" s="9">
        <f>IF($K126="","",INDEX(מלאי!$X$2:$X$500,$K126))</f>
        <v/>
      </c>
      <c r="J126" s="9">
        <f>IF($K126="","",INDEX(מלאי!$AC$2:$AC$500,$K126))</f>
        <v/>
      </c>
      <c r="K12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106),"")</f>
        <v/>
      </c>
    </row>
    <row r="127">
      <c r="A127" s="8">
        <f>IF($K127="","",INDEX(מלאי!$D$2:$D$500,$K127))</f>
        <v/>
      </c>
      <c r="B127" s="8">
        <f>IF($K127="","",INDEX(מלאי!$B$2:$B$500,$K127))</f>
        <v/>
      </c>
      <c r="C127" s="8">
        <f>IF($K127="","",INDEX(מלאי!$C$2:$C$500,$K127))</f>
        <v/>
      </c>
      <c r="D127" s="8">
        <f>IF($K127="","",INDEX(מלאי!$G$2:$G$500,$K127))</f>
        <v/>
      </c>
      <c r="E127" s="8">
        <f>IF($K127="","",INDEX(מלאי!$M$2:$M$500,$K127))</f>
        <v/>
      </c>
      <c r="F127" s="8">
        <f>IF($K127="","",INDEX(מלאי!$N$2:$N$500,$K127))</f>
        <v/>
      </c>
      <c r="G127" s="8">
        <f>IF($K127="","",INDEX(מלאי!$O$2:$O$500,$K127))</f>
        <v/>
      </c>
      <c r="H127" s="8">
        <f>IF($K127="","",INDEX(מלאי!$U$2:$U$500,$K127))</f>
        <v/>
      </c>
      <c r="I127" s="8">
        <f>IF($K127="","",INDEX(מלאי!$X$2:$X$500,$K127))</f>
        <v/>
      </c>
      <c r="J127" s="8">
        <f>IF($K127="","",INDEX(מלאי!$AC$2:$AC$500,$K127))</f>
        <v/>
      </c>
      <c r="K12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107),"")</f>
        <v/>
      </c>
    </row>
    <row r="128">
      <c r="A128" s="9">
        <f>IF($K128="","",INDEX(מלאי!$D$2:$D$500,$K128))</f>
        <v/>
      </c>
      <c r="B128" s="9">
        <f>IF($K128="","",INDEX(מלאי!$B$2:$B$500,$K128))</f>
        <v/>
      </c>
      <c r="C128" s="9">
        <f>IF($K128="","",INDEX(מלאי!$C$2:$C$500,$K128))</f>
        <v/>
      </c>
      <c r="D128" s="9">
        <f>IF($K128="","",INDEX(מלאי!$G$2:$G$500,$K128))</f>
        <v/>
      </c>
      <c r="E128" s="9">
        <f>IF($K128="","",INDEX(מלאי!$M$2:$M$500,$K128))</f>
        <v/>
      </c>
      <c r="F128" s="9">
        <f>IF($K128="","",INDEX(מלאי!$N$2:$N$500,$K128))</f>
        <v/>
      </c>
      <c r="G128" s="9">
        <f>IF($K128="","",INDEX(מלאי!$O$2:$O$500,$K128))</f>
        <v/>
      </c>
      <c r="H128" s="9">
        <f>IF($K128="","",INDEX(מלאי!$U$2:$U$500,$K128))</f>
        <v/>
      </c>
      <c r="I128" s="9">
        <f>IF($K128="","",INDEX(מלאי!$X$2:$X$500,$K128))</f>
        <v/>
      </c>
      <c r="J128" s="9">
        <f>IF($K128="","",INDEX(מלאי!$AC$2:$AC$500,$K128))</f>
        <v/>
      </c>
      <c r="K12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108),"")</f>
        <v/>
      </c>
    </row>
    <row r="129">
      <c r="A129" s="8">
        <f>IF($K129="","",INDEX(מלאי!$D$2:$D$500,$K129))</f>
        <v/>
      </c>
      <c r="B129" s="8">
        <f>IF($K129="","",INDEX(מלאי!$B$2:$B$500,$K129))</f>
        <v/>
      </c>
      <c r="C129" s="8">
        <f>IF($K129="","",INDEX(מלאי!$C$2:$C$500,$K129))</f>
        <v/>
      </c>
      <c r="D129" s="8">
        <f>IF($K129="","",INDEX(מלאי!$G$2:$G$500,$K129))</f>
        <v/>
      </c>
      <c r="E129" s="8">
        <f>IF($K129="","",INDEX(מלאי!$M$2:$M$500,$K129))</f>
        <v/>
      </c>
      <c r="F129" s="8">
        <f>IF($K129="","",INDEX(מלאי!$N$2:$N$500,$K129))</f>
        <v/>
      </c>
      <c r="G129" s="8">
        <f>IF($K129="","",INDEX(מלאי!$O$2:$O$500,$K129))</f>
        <v/>
      </c>
      <c r="H129" s="8">
        <f>IF($K129="","",INDEX(מלאי!$U$2:$U$500,$K129))</f>
        <v/>
      </c>
      <c r="I129" s="8">
        <f>IF($K129="","",INDEX(מלאי!$X$2:$X$500,$K129))</f>
        <v/>
      </c>
      <c r="J129" s="8">
        <f>IF($K129="","",INDEX(מלאי!$AC$2:$AC$500,$K129))</f>
        <v/>
      </c>
      <c r="K12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109),"")</f>
        <v/>
      </c>
    </row>
    <row r="130">
      <c r="A130" s="9">
        <f>IF($K130="","",INDEX(מלאי!$D$2:$D$500,$K130))</f>
        <v/>
      </c>
      <c r="B130" s="9">
        <f>IF($K130="","",INDEX(מלאי!$B$2:$B$500,$K130))</f>
        <v/>
      </c>
      <c r="C130" s="9">
        <f>IF($K130="","",INDEX(מלאי!$C$2:$C$500,$K130))</f>
        <v/>
      </c>
      <c r="D130" s="9">
        <f>IF($K130="","",INDEX(מלאי!$G$2:$G$500,$K130))</f>
        <v/>
      </c>
      <c r="E130" s="9">
        <f>IF($K130="","",INDEX(מלאי!$M$2:$M$500,$K130))</f>
        <v/>
      </c>
      <c r="F130" s="9">
        <f>IF($K130="","",INDEX(מלאי!$N$2:$N$500,$K130))</f>
        <v/>
      </c>
      <c r="G130" s="9">
        <f>IF($K130="","",INDEX(מלאי!$O$2:$O$500,$K130))</f>
        <v/>
      </c>
      <c r="H130" s="9">
        <f>IF($K130="","",INDEX(מלאי!$U$2:$U$500,$K130))</f>
        <v/>
      </c>
      <c r="I130" s="9">
        <f>IF($K130="","",INDEX(מלאי!$X$2:$X$500,$K130))</f>
        <v/>
      </c>
      <c r="J130" s="9">
        <f>IF($K130="","",INDEX(מלאי!$AC$2:$AC$500,$K130))</f>
        <v/>
      </c>
      <c r="K13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110),"")</f>
        <v/>
      </c>
    </row>
    <row r="131">
      <c r="A131" s="8">
        <f>IF($K131="","",INDEX(מלאי!$D$2:$D$500,$K131))</f>
        <v/>
      </c>
      <c r="B131" s="8">
        <f>IF($K131="","",INDEX(מלאי!$B$2:$B$500,$K131))</f>
        <v/>
      </c>
      <c r="C131" s="8">
        <f>IF($K131="","",INDEX(מלאי!$C$2:$C$500,$K131))</f>
        <v/>
      </c>
      <c r="D131" s="8">
        <f>IF($K131="","",INDEX(מלאי!$G$2:$G$500,$K131))</f>
        <v/>
      </c>
      <c r="E131" s="8">
        <f>IF($K131="","",INDEX(מלאי!$M$2:$M$500,$K131))</f>
        <v/>
      </c>
      <c r="F131" s="8">
        <f>IF($K131="","",INDEX(מלאי!$N$2:$N$500,$K131))</f>
        <v/>
      </c>
      <c r="G131" s="8">
        <f>IF($K131="","",INDEX(מלאי!$O$2:$O$500,$K131))</f>
        <v/>
      </c>
      <c r="H131" s="8">
        <f>IF($K131="","",INDEX(מלאי!$U$2:$U$500,$K131))</f>
        <v/>
      </c>
      <c r="I131" s="8">
        <f>IF($K131="","",INDEX(מלאי!$X$2:$X$500,$K131))</f>
        <v/>
      </c>
      <c r="J131" s="8">
        <f>IF($K131="","",INDEX(מלאי!$AC$2:$AC$500,$K131))</f>
        <v/>
      </c>
      <c r="K13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111),"")</f>
        <v/>
      </c>
    </row>
    <row r="132">
      <c r="A132" s="9">
        <f>IF($K132="","",INDEX(מלאי!$D$2:$D$500,$K132))</f>
        <v/>
      </c>
      <c r="B132" s="9">
        <f>IF($K132="","",INDEX(מלאי!$B$2:$B$500,$K132))</f>
        <v/>
      </c>
      <c r="C132" s="9">
        <f>IF($K132="","",INDEX(מלאי!$C$2:$C$500,$K132))</f>
        <v/>
      </c>
      <c r="D132" s="9">
        <f>IF($K132="","",INDEX(מלאי!$G$2:$G$500,$K132))</f>
        <v/>
      </c>
      <c r="E132" s="9">
        <f>IF($K132="","",INDEX(מלאי!$M$2:$M$500,$K132))</f>
        <v/>
      </c>
      <c r="F132" s="9">
        <f>IF($K132="","",INDEX(מלאי!$N$2:$N$500,$K132))</f>
        <v/>
      </c>
      <c r="G132" s="9">
        <f>IF($K132="","",INDEX(מלאי!$O$2:$O$500,$K132))</f>
        <v/>
      </c>
      <c r="H132" s="9">
        <f>IF($K132="","",INDEX(מלאי!$U$2:$U$500,$K132))</f>
        <v/>
      </c>
      <c r="I132" s="9">
        <f>IF($K132="","",INDEX(מלאי!$X$2:$X$500,$K132))</f>
        <v/>
      </c>
      <c r="J132" s="9">
        <f>IF($K132="","",INDEX(מלאי!$AC$2:$AC$500,$K132))</f>
        <v/>
      </c>
      <c r="K13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112),"")</f>
        <v/>
      </c>
    </row>
    <row r="133">
      <c r="A133" s="8">
        <f>IF($K133="","",INDEX(מלאי!$D$2:$D$500,$K133))</f>
        <v/>
      </c>
      <c r="B133" s="8">
        <f>IF($K133="","",INDEX(מלאי!$B$2:$B$500,$K133))</f>
        <v/>
      </c>
      <c r="C133" s="8">
        <f>IF($K133="","",INDEX(מלאי!$C$2:$C$500,$K133))</f>
        <v/>
      </c>
      <c r="D133" s="8">
        <f>IF($K133="","",INDEX(מלאי!$G$2:$G$500,$K133))</f>
        <v/>
      </c>
      <c r="E133" s="8">
        <f>IF($K133="","",INDEX(מלאי!$M$2:$M$500,$K133))</f>
        <v/>
      </c>
      <c r="F133" s="8">
        <f>IF($K133="","",INDEX(מלאי!$N$2:$N$500,$K133))</f>
        <v/>
      </c>
      <c r="G133" s="8">
        <f>IF($K133="","",INDEX(מלאי!$O$2:$O$500,$K133))</f>
        <v/>
      </c>
      <c r="H133" s="8">
        <f>IF($K133="","",INDEX(מלאי!$U$2:$U$500,$K133))</f>
        <v/>
      </c>
      <c r="I133" s="8">
        <f>IF($K133="","",INDEX(מלאי!$X$2:$X$500,$K133))</f>
        <v/>
      </c>
      <c r="J133" s="8">
        <f>IF($K133="","",INDEX(מלאי!$AC$2:$AC$500,$K133))</f>
        <v/>
      </c>
      <c r="K13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113),"")</f>
        <v/>
      </c>
    </row>
    <row r="134">
      <c r="A134" s="9">
        <f>IF($K134="","",INDEX(מלאי!$D$2:$D$500,$K134))</f>
        <v/>
      </c>
      <c r="B134" s="9">
        <f>IF($K134="","",INDEX(מלאי!$B$2:$B$500,$K134))</f>
        <v/>
      </c>
      <c r="C134" s="9">
        <f>IF($K134="","",INDEX(מלאי!$C$2:$C$500,$K134))</f>
        <v/>
      </c>
      <c r="D134" s="9">
        <f>IF($K134="","",INDEX(מלאי!$G$2:$G$500,$K134))</f>
        <v/>
      </c>
      <c r="E134" s="9">
        <f>IF($K134="","",INDEX(מלאי!$M$2:$M$500,$K134))</f>
        <v/>
      </c>
      <c r="F134" s="9">
        <f>IF($K134="","",INDEX(מלאי!$N$2:$N$500,$K134))</f>
        <v/>
      </c>
      <c r="G134" s="9">
        <f>IF($K134="","",INDEX(מלאי!$O$2:$O$500,$K134))</f>
        <v/>
      </c>
      <c r="H134" s="9">
        <f>IF($K134="","",INDEX(מלאי!$U$2:$U$500,$K134))</f>
        <v/>
      </c>
      <c r="I134" s="9">
        <f>IF($K134="","",INDEX(מלאי!$X$2:$X$500,$K134))</f>
        <v/>
      </c>
      <c r="J134" s="9">
        <f>IF($K134="","",INDEX(מלאי!$AC$2:$AC$500,$K134))</f>
        <v/>
      </c>
      <c r="K13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114),"")</f>
        <v/>
      </c>
    </row>
    <row r="135">
      <c r="A135" s="8">
        <f>IF($K135="","",INDEX(מלאי!$D$2:$D$500,$K135))</f>
        <v/>
      </c>
      <c r="B135" s="8">
        <f>IF($K135="","",INDEX(מלאי!$B$2:$B$500,$K135))</f>
        <v/>
      </c>
      <c r="C135" s="8">
        <f>IF($K135="","",INDEX(מלאי!$C$2:$C$500,$K135))</f>
        <v/>
      </c>
      <c r="D135" s="8">
        <f>IF($K135="","",INDEX(מלאי!$G$2:$G$500,$K135))</f>
        <v/>
      </c>
      <c r="E135" s="8">
        <f>IF($K135="","",INDEX(מלאי!$M$2:$M$500,$K135))</f>
        <v/>
      </c>
      <c r="F135" s="8">
        <f>IF($K135="","",INDEX(מלאי!$N$2:$N$500,$K135))</f>
        <v/>
      </c>
      <c r="G135" s="8">
        <f>IF($K135="","",INDEX(מלאי!$O$2:$O$500,$K135))</f>
        <v/>
      </c>
      <c r="H135" s="8">
        <f>IF($K135="","",INDEX(מלאי!$U$2:$U$500,$K135))</f>
        <v/>
      </c>
      <c r="I135" s="8">
        <f>IF($K135="","",INDEX(מלאי!$X$2:$X$500,$K135))</f>
        <v/>
      </c>
      <c r="J135" s="8">
        <f>IF($K135="","",INDEX(מלאי!$AC$2:$AC$500,$K135))</f>
        <v/>
      </c>
      <c r="K13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115),"")</f>
        <v/>
      </c>
    </row>
    <row r="136">
      <c r="A136" s="9">
        <f>IF($K136="","",INDEX(מלאי!$D$2:$D$500,$K136))</f>
        <v/>
      </c>
      <c r="B136" s="9">
        <f>IF($K136="","",INDEX(מלאי!$B$2:$B$500,$K136))</f>
        <v/>
      </c>
      <c r="C136" s="9">
        <f>IF($K136="","",INDEX(מלאי!$C$2:$C$500,$K136))</f>
        <v/>
      </c>
      <c r="D136" s="9">
        <f>IF($K136="","",INDEX(מלאי!$G$2:$G$500,$K136))</f>
        <v/>
      </c>
      <c r="E136" s="9">
        <f>IF($K136="","",INDEX(מלאי!$M$2:$M$500,$K136))</f>
        <v/>
      </c>
      <c r="F136" s="9">
        <f>IF($K136="","",INDEX(מלאי!$N$2:$N$500,$K136))</f>
        <v/>
      </c>
      <c r="G136" s="9">
        <f>IF($K136="","",INDEX(מלאי!$O$2:$O$500,$K136))</f>
        <v/>
      </c>
      <c r="H136" s="9">
        <f>IF($K136="","",INDEX(מלאי!$U$2:$U$500,$K136))</f>
        <v/>
      </c>
      <c r="I136" s="9">
        <f>IF($K136="","",INDEX(מלאי!$X$2:$X$500,$K136))</f>
        <v/>
      </c>
      <c r="J136" s="9">
        <f>IF($K136="","",INDEX(מלאי!$AC$2:$AC$500,$K136))</f>
        <v/>
      </c>
      <c r="K13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116),"")</f>
        <v/>
      </c>
    </row>
    <row r="137">
      <c r="A137" s="8">
        <f>IF($K137="","",INDEX(מלאי!$D$2:$D$500,$K137))</f>
        <v/>
      </c>
      <c r="B137" s="8">
        <f>IF($K137="","",INDEX(מלאי!$B$2:$B$500,$K137))</f>
        <v/>
      </c>
      <c r="C137" s="8">
        <f>IF($K137="","",INDEX(מלאי!$C$2:$C$500,$K137))</f>
        <v/>
      </c>
      <c r="D137" s="8">
        <f>IF($K137="","",INDEX(מלאי!$G$2:$G$500,$K137))</f>
        <v/>
      </c>
      <c r="E137" s="8">
        <f>IF($K137="","",INDEX(מלאי!$M$2:$M$500,$K137))</f>
        <v/>
      </c>
      <c r="F137" s="8">
        <f>IF($K137="","",INDEX(מלאי!$N$2:$N$500,$K137))</f>
        <v/>
      </c>
      <c r="G137" s="8">
        <f>IF($K137="","",INDEX(מלאי!$O$2:$O$500,$K137))</f>
        <v/>
      </c>
      <c r="H137" s="8">
        <f>IF($K137="","",INDEX(מלאי!$U$2:$U$500,$K137))</f>
        <v/>
      </c>
      <c r="I137" s="8">
        <f>IF($K137="","",INDEX(מלאי!$X$2:$X$500,$K137))</f>
        <v/>
      </c>
      <c r="J137" s="8">
        <f>IF($K137="","",INDEX(מלאי!$AC$2:$AC$500,$K137))</f>
        <v/>
      </c>
      <c r="K13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117),"")</f>
        <v/>
      </c>
    </row>
    <row r="138">
      <c r="A138" s="9">
        <f>IF($K138="","",INDEX(מלאי!$D$2:$D$500,$K138))</f>
        <v/>
      </c>
      <c r="B138" s="9">
        <f>IF($K138="","",INDEX(מלאי!$B$2:$B$500,$K138))</f>
        <v/>
      </c>
      <c r="C138" s="9">
        <f>IF($K138="","",INDEX(מלאי!$C$2:$C$500,$K138))</f>
        <v/>
      </c>
      <c r="D138" s="9">
        <f>IF($K138="","",INDEX(מלאי!$G$2:$G$500,$K138))</f>
        <v/>
      </c>
      <c r="E138" s="9">
        <f>IF($K138="","",INDEX(מלאי!$M$2:$M$500,$K138))</f>
        <v/>
      </c>
      <c r="F138" s="9">
        <f>IF($K138="","",INDEX(מלאי!$N$2:$N$500,$K138))</f>
        <v/>
      </c>
      <c r="G138" s="9">
        <f>IF($K138="","",INDEX(מלאי!$O$2:$O$500,$K138))</f>
        <v/>
      </c>
      <c r="H138" s="9">
        <f>IF($K138="","",INDEX(מלאי!$U$2:$U$500,$K138))</f>
        <v/>
      </c>
      <c r="I138" s="9">
        <f>IF($K138="","",INDEX(מלאי!$X$2:$X$500,$K138))</f>
        <v/>
      </c>
      <c r="J138" s="9">
        <f>IF($K138="","",INDEX(מלאי!$AC$2:$AC$500,$K138))</f>
        <v/>
      </c>
      <c r="K13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118),"")</f>
        <v/>
      </c>
    </row>
    <row r="139">
      <c r="A139" s="8">
        <f>IF($K139="","",INDEX(מלאי!$D$2:$D$500,$K139))</f>
        <v/>
      </c>
      <c r="B139" s="8">
        <f>IF($K139="","",INDEX(מלאי!$B$2:$B$500,$K139))</f>
        <v/>
      </c>
      <c r="C139" s="8">
        <f>IF($K139="","",INDEX(מלאי!$C$2:$C$500,$K139))</f>
        <v/>
      </c>
      <c r="D139" s="8">
        <f>IF($K139="","",INDEX(מלאי!$G$2:$G$500,$K139))</f>
        <v/>
      </c>
      <c r="E139" s="8">
        <f>IF($K139="","",INDEX(מלאי!$M$2:$M$500,$K139))</f>
        <v/>
      </c>
      <c r="F139" s="8">
        <f>IF($K139="","",INDEX(מלאי!$N$2:$N$500,$K139))</f>
        <v/>
      </c>
      <c r="G139" s="8">
        <f>IF($K139="","",INDEX(מלאי!$O$2:$O$500,$K139))</f>
        <v/>
      </c>
      <c r="H139" s="8">
        <f>IF($K139="","",INDEX(מלאי!$U$2:$U$500,$K139))</f>
        <v/>
      </c>
      <c r="I139" s="8">
        <f>IF($K139="","",INDEX(מלאי!$X$2:$X$500,$K139))</f>
        <v/>
      </c>
      <c r="J139" s="8">
        <f>IF($K139="","",INDEX(מלאי!$AC$2:$AC$500,$K139))</f>
        <v/>
      </c>
      <c r="K13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119),"")</f>
        <v/>
      </c>
    </row>
    <row r="140">
      <c r="A140" s="9">
        <f>IF($K140="","",INDEX(מלאי!$D$2:$D$500,$K140))</f>
        <v/>
      </c>
      <c r="B140" s="9">
        <f>IF($K140="","",INDEX(מלאי!$B$2:$B$500,$K140))</f>
        <v/>
      </c>
      <c r="C140" s="9">
        <f>IF($K140="","",INDEX(מלאי!$C$2:$C$500,$K140))</f>
        <v/>
      </c>
      <c r="D140" s="9">
        <f>IF($K140="","",INDEX(מלאי!$G$2:$G$500,$K140))</f>
        <v/>
      </c>
      <c r="E140" s="9">
        <f>IF($K140="","",INDEX(מלאי!$M$2:$M$500,$K140))</f>
        <v/>
      </c>
      <c r="F140" s="9">
        <f>IF($K140="","",INDEX(מלאי!$N$2:$N$500,$K140))</f>
        <v/>
      </c>
      <c r="G140" s="9">
        <f>IF($K140="","",INDEX(מלאי!$O$2:$O$500,$K140))</f>
        <v/>
      </c>
      <c r="H140" s="9">
        <f>IF($K140="","",INDEX(מלאי!$U$2:$U$500,$K140))</f>
        <v/>
      </c>
      <c r="I140" s="9">
        <f>IF($K140="","",INDEX(מלאי!$X$2:$X$500,$K140))</f>
        <v/>
      </c>
      <c r="J140" s="9">
        <f>IF($K140="","",INDEX(מלאי!$AC$2:$AC$500,$K140))</f>
        <v/>
      </c>
      <c r="K14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120),"")</f>
        <v/>
      </c>
    </row>
    <row r="141">
      <c r="A141" s="8">
        <f>IF($K141="","",INDEX(מלאי!$D$2:$D$500,$K141))</f>
        <v/>
      </c>
      <c r="B141" s="8">
        <f>IF($K141="","",INDEX(מלאי!$B$2:$B$500,$K141))</f>
        <v/>
      </c>
      <c r="C141" s="8">
        <f>IF($K141="","",INDEX(מלאי!$C$2:$C$500,$K141))</f>
        <v/>
      </c>
      <c r="D141" s="8">
        <f>IF($K141="","",INDEX(מלאי!$G$2:$G$500,$K141))</f>
        <v/>
      </c>
      <c r="E141" s="8">
        <f>IF($K141="","",INDEX(מלאי!$M$2:$M$500,$K141))</f>
        <v/>
      </c>
      <c r="F141" s="8">
        <f>IF($K141="","",INDEX(מלאי!$N$2:$N$500,$K141))</f>
        <v/>
      </c>
      <c r="G141" s="8">
        <f>IF($K141="","",INDEX(מלאי!$O$2:$O$500,$K141))</f>
        <v/>
      </c>
      <c r="H141" s="8">
        <f>IF($K141="","",INDEX(מלאי!$U$2:$U$500,$K141))</f>
        <v/>
      </c>
      <c r="I141" s="8">
        <f>IF($K141="","",INDEX(מלאי!$X$2:$X$500,$K141))</f>
        <v/>
      </c>
      <c r="J141" s="8">
        <f>IF($K141="","",INDEX(מלאי!$AC$2:$AC$500,$K141))</f>
        <v/>
      </c>
      <c r="K14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121),"")</f>
        <v/>
      </c>
    </row>
    <row r="142">
      <c r="A142" s="9">
        <f>IF($K142="","",INDEX(מלאי!$D$2:$D$500,$K142))</f>
        <v/>
      </c>
      <c r="B142" s="9">
        <f>IF($K142="","",INDEX(מלאי!$B$2:$B$500,$K142))</f>
        <v/>
      </c>
      <c r="C142" s="9">
        <f>IF($K142="","",INDEX(מלאי!$C$2:$C$500,$K142))</f>
        <v/>
      </c>
      <c r="D142" s="9">
        <f>IF($K142="","",INDEX(מלאי!$G$2:$G$500,$K142))</f>
        <v/>
      </c>
      <c r="E142" s="9">
        <f>IF($K142="","",INDEX(מלאי!$M$2:$M$500,$K142))</f>
        <v/>
      </c>
      <c r="F142" s="9">
        <f>IF($K142="","",INDEX(מלאי!$N$2:$N$500,$K142))</f>
        <v/>
      </c>
      <c r="G142" s="9">
        <f>IF($K142="","",INDEX(מלאי!$O$2:$O$500,$K142))</f>
        <v/>
      </c>
      <c r="H142" s="9">
        <f>IF($K142="","",INDEX(מלאי!$U$2:$U$500,$K142))</f>
        <v/>
      </c>
      <c r="I142" s="9">
        <f>IF($K142="","",INDEX(מלאי!$X$2:$X$500,$K142))</f>
        <v/>
      </c>
      <c r="J142" s="9">
        <f>IF($K142="","",INDEX(מלאי!$AC$2:$AC$500,$K142))</f>
        <v/>
      </c>
      <c r="K14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122),"")</f>
        <v/>
      </c>
    </row>
    <row r="143">
      <c r="A143" s="8">
        <f>IF($K143="","",INDEX(מלאי!$D$2:$D$500,$K143))</f>
        <v/>
      </c>
      <c r="B143" s="8">
        <f>IF($K143="","",INDEX(מלאי!$B$2:$B$500,$K143))</f>
        <v/>
      </c>
      <c r="C143" s="8">
        <f>IF($K143="","",INDEX(מלאי!$C$2:$C$500,$K143))</f>
        <v/>
      </c>
      <c r="D143" s="8">
        <f>IF($K143="","",INDEX(מלאי!$G$2:$G$500,$K143))</f>
        <v/>
      </c>
      <c r="E143" s="8">
        <f>IF($K143="","",INDEX(מלאי!$M$2:$M$500,$K143))</f>
        <v/>
      </c>
      <c r="F143" s="8">
        <f>IF($K143="","",INDEX(מלאי!$N$2:$N$500,$K143))</f>
        <v/>
      </c>
      <c r="G143" s="8">
        <f>IF($K143="","",INDEX(מלאי!$O$2:$O$500,$K143))</f>
        <v/>
      </c>
      <c r="H143" s="8">
        <f>IF($K143="","",INDEX(מלאי!$U$2:$U$500,$K143))</f>
        <v/>
      </c>
      <c r="I143" s="8">
        <f>IF($K143="","",INDEX(מלאי!$X$2:$X$500,$K143))</f>
        <v/>
      </c>
      <c r="J143" s="8">
        <f>IF($K143="","",INDEX(מלאי!$AC$2:$AC$500,$K143))</f>
        <v/>
      </c>
      <c r="K14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123),"")</f>
        <v/>
      </c>
    </row>
    <row r="144">
      <c r="A144" s="9">
        <f>IF($K144="","",INDEX(מלאי!$D$2:$D$500,$K144))</f>
        <v/>
      </c>
      <c r="B144" s="9">
        <f>IF($K144="","",INDEX(מלאי!$B$2:$B$500,$K144))</f>
        <v/>
      </c>
      <c r="C144" s="9">
        <f>IF($K144="","",INDEX(מלאי!$C$2:$C$500,$K144))</f>
        <v/>
      </c>
      <c r="D144" s="9">
        <f>IF($K144="","",INDEX(מלאי!$G$2:$G$500,$K144))</f>
        <v/>
      </c>
      <c r="E144" s="9">
        <f>IF($K144="","",INDEX(מלאי!$M$2:$M$500,$K144))</f>
        <v/>
      </c>
      <c r="F144" s="9">
        <f>IF($K144="","",INDEX(מלאי!$N$2:$N$500,$K144))</f>
        <v/>
      </c>
      <c r="G144" s="9">
        <f>IF($K144="","",INDEX(מלאי!$O$2:$O$500,$K144))</f>
        <v/>
      </c>
      <c r="H144" s="9">
        <f>IF($K144="","",INDEX(מלאי!$U$2:$U$500,$K144))</f>
        <v/>
      </c>
      <c r="I144" s="9">
        <f>IF($K144="","",INDEX(מלאי!$X$2:$X$500,$K144))</f>
        <v/>
      </c>
      <c r="J144" s="9">
        <f>IF($K144="","",INDEX(מלאי!$AC$2:$AC$500,$K144))</f>
        <v/>
      </c>
      <c r="K14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124),"")</f>
        <v/>
      </c>
    </row>
    <row r="145">
      <c r="A145" s="8">
        <f>IF($K145="","",INDEX(מלאי!$D$2:$D$500,$K145))</f>
        <v/>
      </c>
      <c r="B145" s="8">
        <f>IF($K145="","",INDEX(מלאי!$B$2:$B$500,$K145))</f>
        <v/>
      </c>
      <c r="C145" s="8">
        <f>IF($K145="","",INDEX(מלאי!$C$2:$C$500,$K145))</f>
        <v/>
      </c>
      <c r="D145" s="8">
        <f>IF($K145="","",INDEX(מלאי!$G$2:$G$500,$K145))</f>
        <v/>
      </c>
      <c r="E145" s="8">
        <f>IF($K145="","",INDEX(מלאי!$M$2:$M$500,$K145))</f>
        <v/>
      </c>
      <c r="F145" s="8">
        <f>IF($K145="","",INDEX(מלאי!$N$2:$N$500,$K145))</f>
        <v/>
      </c>
      <c r="G145" s="8">
        <f>IF($K145="","",INDEX(מלאי!$O$2:$O$500,$K145))</f>
        <v/>
      </c>
      <c r="H145" s="8">
        <f>IF($K145="","",INDEX(מלאי!$U$2:$U$500,$K145))</f>
        <v/>
      </c>
      <c r="I145" s="8">
        <f>IF($K145="","",INDEX(מלאי!$X$2:$X$500,$K145))</f>
        <v/>
      </c>
      <c r="J145" s="8">
        <f>IF($K145="","",INDEX(מלאי!$AC$2:$AC$500,$K145))</f>
        <v/>
      </c>
      <c r="K14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125),"")</f>
        <v/>
      </c>
    </row>
    <row r="146">
      <c r="A146" s="9">
        <f>IF($K146="","",INDEX(מלאי!$D$2:$D$500,$K146))</f>
        <v/>
      </c>
      <c r="B146" s="9">
        <f>IF($K146="","",INDEX(מלאי!$B$2:$B$500,$K146))</f>
        <v/>
      </c>
      <c r="C146" s="9">
        <f>IF($K146="","",INDEX(מלאי!$C$2:$C$500,$K146))</f>
        <v/>
      </c>
      <c r="D146" s="9">
        <f>IF($K146="","",INDEX(מלאי!$G$2:$G$500,$K146))</f>
        <v/>
      </c>
      <c r="E146" s="9">
        <f>IF($K146="","",INDEX(מלאי!$M$2:$M$500,$K146))</f>
        <v/>
      </c>
      <c r="F146" s="9">
        <f>IF($K146="","",INDEX(מלאי!$N$2:$N$500,$K146))</f>
        <v/>
      </c>
      <c r="G146" s="9">
        <f>IF($K146="","",INDEX(מלאי!$O$2:$O$500,$K146))</f>
        <v/>
      </c>
      <c r="H146" s="9">
        <f>IF($K146="","",INDEX(מלאי!$U$2:$U$500,$K146))</f>
        <v/>
      </c>
      <c r="I146" s="9">
        <f>IF($K146="","",INDEX(מלאי!$X$2:$X$500,$K146))</f>
        <v/>
      </c>
      <c r="J146" s="9">
        <f>IF($K146="","",INDEX(מלאי!$AC$2:$AC$500,$K146))</f>
        <v/>
      </c>
      <c r="K14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126),"")</f>
        <v/>
      </c>
    </row>
    <row r="147">
      <c r="A147" s="8">
        <f>IF($K147="","",INDEX(מלאי!$D$2:$D$500,$K147))</f>
        <v/>
      </c>
      <c r="B147" s="8">
        <f>IF($K147="","",INDEX(מלאי!$B$2:$B$500,$K147))</f>
        <v/>
      </c>
      <c r="C147" s="8">
        <f>IF($K147="","",INDEX(מלאי!$C$2:$C$500,$K147))</f>
        <v/>
      </c>
      <c r="D147" s="8">
        <f>IF($K147="","",INDEX(מלאי!$G$2:$G$500,$K147))</f>
        <v/>
      </c>
      <c r="E147" s="8">
        <f>IF($K147="","",INDEX(מלאי!$M$2:$M$500,$K147))</f>
        <v/>
      </c>
      <c r="F147" s="8">
        <f>IF($K147="","",INDEX(מלאי!$N$2:$N$500,$K147))</f>
        <v/>
      </c>
      <c r="G147" s="8">
        <f>IF($K147="","",INDEX(מלאי!$O$2:$O$500,$K147))</f>
        <v/>
      </c>
      <c r="H147" s="8">
        <f>IF($K147="","",INDEX(מלאי!$U$2:$U$500,$K147))</f>
        <v/>
      </c>
      <c r="I147" s="8">
        <f>IF($K147="","",INDEX(מלאי!$X$2:$X$500,$K147))</f>
        <v/>
      </c>
      <c r="J147" s="8">
        <f>IF($K147="","",INDEX(מלאי!$AC$2:$AC$500,$K147))</f>
        <v/>
      </c>
      <c r="K14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127),"")</f>
        <v/>
      </c>
    </row>
    <row r="148">
      <c r="A148" s="9">
        <f>IF($K148="","",INDEX(מלאי!$D$2:$D$500,$K148))</f>
        <v/>
      </c>
      <c r="B148" s="9">
        <f>IF($K148="","",INDEX(מלאי!$B$2:$B$500,$K148))</f>
        <v/>
      </c>
      <c r="C148" s="9">
        <f>IF($K148="","",INDEX(מלאי!$C$2:$C$500,$K148))</f>
        <v/>
      </c>
      <c r="D148" s="9">
        <f>IF($K148="","",INDEX(מלאי!$G$2:$G$500,$K148))</f>
        <v/>
      </c>
      <c r="E148" s="9">
        <f>IF($K148="","",INDEX(מלאי!$M$2:$M$500,$K148))</f>
        <v/>
      </c>
      <c r="F148" s="9">
        <f>IF($K148="","",INDEX(מלאי!$N$2:$N$500,$K148))</f>
        <v/>
      </c>
      <c r="G148" s="9">
        <f>IF($K148="","",INDEX(מלאי!$O$2:$O$500,$K148))</f>
        <v/>
      </c>
      <c r="H148" s="9">
        <f>IF($K148="","",INDEX(מלאי!$U$2:$U$500,$K148))</f>
        <v/>
      </c>
      <c r="I148" s="9">
        <f>IF($K148="","",INDEX(מלאי!$X$2:$X$500,$K148))</f>
        <v/>
      </c>
      <c r="J148" s="9">
        <f>IF($K148="","",INDEX(מלאי!$AC$2:$AC$500,$K148))</f>
        <v/>
      </c>
      <c r="K14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128),"")</f>
        <v/>
      </c>
    </row>
    <row r="149">
      <c r="A149" s="8">
        <f>IF($K149="","",INDEX(מלאי!$D$2:$D$500,$K149))</f>
        <v/>
      </c>
      <c r="B149" s="8">
        <f>IF($K149="","",INDEX(מלאי!$B$2:$B$500,$K149))</f>
        <v/>
      </c>
      <c r="C149" s="8">
        <f>IF($K149="","",INDEX(מלאי!$C$2:$C$500,$K149))</f>
        <v/>
      </c>
      <c r="D149" s="8">
        <f>IF($K149="","",INDEX(מלאי!$G$2:$G$500,$K149))</f>
        <v/>
      </c>
      <c r="E149" s="8">
        <f>IF($K149="","",INDEX(מלאי!$M$2:$M$500,$K149))</f>
        <v/>
      </c>
      <c r="F149" s="8">
        <f>IF($K149="","",INDEX(מלאי!$N$2:$N$500,$K149))</f>
        <v/>
      </c>
      <c r="G149" s="8">
        <f>IF($K149="","",INDEX(מלאי!$O$2:$O$500,$K149))</f>
        <v/>
      </c>
      <c r="H149" s="8">
        <f>IF($K149="","",INDEX(מלאי!$U$2:$U$500,$K149))</f>
        <v/>
      </c>
      <c r="I149" s="8">
        <f>IF($K149="","",INDEX(מלאי!$X$2:$X$500,$K149))</f>
        <v/>
      </c>
      <c r="J149" s="8">
        <f>IF($K149="","",INDEX(מלאי!$AC$2:$AC$500,$K149))</f>
        <v/>
      </c>
      <c r="K14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129),"")</f>
        <v/>
      </c>
    </row>
    <row r="150">
      <c r="A150" s="9">
        <f>IF($K150="","",INDEX(מלאי!$D$2:$D$500,$K150))</f>
        <v/>
      </c>
      <c r="B150" s="9">
        <f>IF($K150="","",INDEX(מלאי!$B$2:$B$500,$K150))</f>
        <v/>
      </c>
      <c r="C150" s="9">
        <f>IF($K150="","",INDEX(מלאי!$C$2:$C$500,$K150))</f>
        <v/>
      </c>
      <c r="D150" s="9">
        <f>IF($K150="","",INDEX(מלאי!$G$2:$G$500,$K150))</f>
        <v/>
      </c>
      <c r="E150" s="9">
        <f>IF($K150="","",INDEX(מלאי!$M$2:$M$500,$K150))</f>
        <v/>
      </c>
      <c r="F150" s="9">
        <f>IF($K150="","",INDEX(מלאי!$N$2:$N$500,$K150))</f>
        <v/>
      </c>
      <c r="G150" s="9">
        <f>IF($K150="","",INDEX(מלאי!$O$2:$O$500,$K150))</f>
        <v/>
      </c>
      <c r="H150" s="9">
        <f>IF($K150="","",INDEX(מלאי!$U$2:$U$500,$K150))</f>
        <v/>
      </c>
      <c r="I150" s="9">
        <f>IF($K150="","",INDEX(מלאי!$X$2:$X$500,$K150))</f>
        <v/>
      </c>
      <c r="J150" s="9">
        <f>IF($K150="","",INDEX(מלאי!$AC$2:$AC$500,$K150))</f>
        <v/>
      </c>
      <c r="K15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130),"")</f>
        <v/>
      </c>
    </row>
    <row r="151">
      <c r="A151" s="8">
        <f>IF($K151="","",INDEX(מלאי!$D$2:$D$500,$K151))</f>
        <v/>
      </c>
      <c r="B151" s="8">
        <f>IF($K151="","",INDEX(מלאי!$B$2:$B$500,$K151))</f>
        <v/>
      </c>
      <c r="C151" s="8">
        <f>IF($K151="","",INDEX(מלאי!$C$2:$C$500,$K151))</f>
        <v/>
      </c>
      <c r="D151" s="8">
        <f>IF($K151="","",INDEX(מלאי!$G$2:$G$500,$K151))</f>
        <v/>
      </c>
      <c r="E151" s="8">
        <f>IF($K151="","",INDEX(מלאי!$M$2:$M$500,$K151))</f>
        <v/>
      </c>
      <c r="F151" s="8">
        <f>IF($K151="","",INDEX(מלאי!$N$2:$N$500,$K151))</f>
        <v/>
      </c>
      <c r="G151" s="8">
        <f>IF($K151="","",INDEX(מלאי!$O$2:$O$500,$K151))</f>
        <v/>
      </c>
      <c r="H151" s="8">
        <f>IF($K151="","",INDEX(מלאי!$U$2:$U$500,$K151))</f>
        <v/>
      </c>
      <c r="I151" s="8">
        <f>IF($K151="","",INDEX(מלאי!$X$2:$X$500,$K151))</f>
        <v/>
      </c>
      <c r="J151" s="8">
        <f>IF($K151="","",INDEX(מלאי!$AC$2:$AC$500,$K151))</f>
        <v/>
      </c>
      <c r="K15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131),"")</f>
        <v/>
      </c>
    </row>
    <row r="152">
      <c r="A152" s="9">
        <f>IF($K152="","",INDEX(מלאי!$D$2:$D$500,$K152))</f>
        <v/>
      </c>
      <c r="B152" s="9">
        <f>IF($K152="","",INDEX(מלאי!$B$2:$B$500,$K152))</f>
        <v/>
      </c>
      <c r="C152" s="9">
        <f>IF($K152="","",INDEX(מלאי!$C$2:$C$500,$K152))</f>
        <v/>
      </c>
      <c r="D152" s="9">
        <f>IF($K152="","",INDEX(מלאי!$G$2:$G$500,$K152))</f>
        <v/>
      </c>
      <c r="E152" s="9">
        <f>IF($K152="","",INDEX(מלאי!$M$2:$M$500,$K152))</f>
        <v/>
      </c>
      <c r="F152" s="9">
        <f>IF($K152="","",INDEX(מלאי!$N$2:$N$500,$K152))</f>
        <v/>
      </c>
      <c r="G152" s="9">
        <f>IF($K152="","",INDEX(מלאי!$O$2:$O$500,$K152))</f>
        <v/>
      </c>
      <c r="H152" s="9">
        <f>IF($K152="","",INDEX(מלאי!$U$2:$U$500,$K152))</f>
        <v/>
      </c>
      <c r="I152" s="9">
        <f>IF($K152="","",INDEX(מלאי!$X$2:$X$500,$K152))</f>
        <v/>
      </c>
      <c r="J152" s="9">
        <f>IF($K152="","",INDEX(מלאי!$AC$2:$AC$500,$K152))</f>
        <v/>
      </c>
      <c r="K15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132),"")</f>
        <v/>
      </c>
    </row>
    <row r="153">
      <c r="A153" s="8">
        <f>IF($K153="","",INDEX(מלאי!$D$2:$D$500,$K153))</f>
        <v/>
      </c>
      <c r="B153" s="8">
        <f>IF($K153="","",INDEX(מלאי!$B$2:$B$500,$K153))</f>
        <v/>
      </c>
      <c r="C153" s="8">
        <f>IF($K153="","",INDEX(מלאי!$C$2:$C$500,$K153))</f>
        <v/>
      </c>
      <c r="D153" s="8">
        <f>IF($K153="","",INDEX(מלאי!$G$2:$G$500,$K153))</f>
        <v/>
      </c>
      <c r="E153" s="8">
        <f>IF($K153="","",INDEX(מלאי!$M$2:$M$500,$K153))</f>
        <v/>
      </c>
      <c r="F153" s="8">
        <f>IF($K153="","",INDEX(מלאי!$N$2:$N$500,$K153))</f>
        <v/>
      </c>
      <c r="G153" s="8">
        <f>IF($K153="","",INDEX(מלאי!$O$2:$O$500,$K153))</f>
        <v/>
      </c>
      <c r="H153" s="8">
        <f>IF($K153="","",INDEX(מלאי!$U$2:$U$500,$K153))</f>
        <v/>
      </c>
      <c r="I153" s="8">
        <f>IF($K153="","",INDEX(מלאי!$X$2:$X$500,$K153))</f>
        <v/>
      </c>
      <c r="J153" s="8">
        <f>IF($K153="","",INDEX(מלאי!$AC$2:$AC$500,$K153))</f>
        <v/>
      </c>
      <c r="K15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133),"")</f>
        <v/>
      </c>
    </row>
    <row r="154">
      <c r="A154" s="9">
        <f>IF($K154="","",INDEX(מלאי!$D$2:$D$500,$K154))</f>
        <v/>
      </c>
      <c r="B154" s="9">
        <f>IF($K154="","",INDEX(מלאי!$B$2:$B$500,$K154))</f>
        <v/>
      </c>
      <c r="C154" s="9">
        <f>IF($K154="","",INDEX(מלאי!$C$2:$C$500,$K154))</f>
        <v/>
      </c>
      <c r="D154" s="9">
        <f>IF($K154="","",INDEX(מלאי!$G$2:$G$500,$K154))</f>
        <v/>
      </c>
      <c r="E154" s="9">
        <f>IF($K154="","",INDEX(מלאי!$M$2:$M$500,$K154))</f>
        <v/>
      </c>
      <c r="F154" s="9">
        <f>IF($K154="","",INDEX(מלאי!$N$2:$N$500,$K154))</f>
        <v/>
      </c>
      <c r="G154" s="9">
        <f>IF($K154="","",INDEX(מלאי!$O$2:$O$500,$K154))</f>
        <v/>
      </c>
      <c r="H154" s="9">
        <f>IF($K154="","",INDEX(מלאי!$U$2:$U$500,$K154))</f>
        <v/>
      </c>
      <c r="I154" s="9">
        <f>IF($K154="","",INDEX(מלאי!$X$2:$X$500,$K154))</f>
        <v/>
      </c>
      <c r="J154" s="9">
        <f>IF($K154="","",INDEX(מלאי!$AC$2:$AC$500,$K154))</f>
        <v/>
      </c>
      <c r="K15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134),"")</f>
        <v/>
      </c>
    </row>
    <row r="155">
      <c r="A155" s="8">
        <f>IF($K155="","",INDEX(מלאי!$D$2:$D$500,$K155))</f>
        <v/>
      </c>
      <c r="B155" s="8">
        <f>IF($K155="","",INDEX(מלאי!$B$2:$B$500,$K155))</f>
        <v/>
      </c>
      <c r="C155" s="8">
        <f>IF($K155="","",INDEX(מלאי!$C$2:$C$500,$K155))</f>
        <v/>
      </c>
      <c r="D155" s="8">
        <f>IF($K155="","",INDEX(מלאי!$G$2:$G$500,$K155))</f>
        <v/>
      </c>
      <c r="E155" s="8">
        <f>IF($K155="","",INDEX(מלאי!$M$2:$M$500,$K155))</f>
        <v/>
      </c>
      <c r="F155" s="8">
        <f>IF($K155="","",INDEX(מלאי!$N$2:$N$500,$K155))</f>
        <v/>
      </c>
      <c r="G155" s="8">
        <f>IF($K155="","",INDEX(מלאי!$O$2:$O$500,$K155))</f>
        <v/>
      </c>
      <c r="H155" s="8">
        <f>IF($K155="","",INDEX(מלאי!$U$2:$U$500,$K155))</f>
        <v/>
      </c>
      <c r="I155" s="8">
        <f>IF($K155="","",INDEX(מלאי!$X$2:$X$500,$K155))</f>
        <v/>
      </c>
      <c r="J155" s="8">
        <f>IF($K155="","",INDEX(מלאי!$AC$2:$AC$500,$K155))</f>
        <v/>
      </c>
      <c r="K15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135),"")</f>
        <v/>
      </c>
    </row>
    <row r="156">
      <c r="A156" s="9">
        <f>IF($K156="","",INDEX(מלאי!$D$2:$D$500,$K156))</f>
        <v/>
      </c>
      <c r="B156" s="9">
        <f>IF($K156="","",INDEX(מלאי!$B$2:$B$500,$K156))</f>
        <v/>
      </c>
      <c r="C156" s="9">
        <f>IF($K156="","",INDEX(מלאי!$C$2:$C$500,$K156))</f>
        <v/>
      </c>
      <c r="D156" s="9">
        <f>IF($K156="","",INDEX(מלאי!$G$2:$G$500,$K156))</f>
        <v/>
      </c>
      <c r="E156" s="9">
        <f>IF($K156="","",INDEX(מלאי!$M$2:$M$500,$K156))</f>
        <v/>
      </c>
      <c r="F156" s="9">
        <f>IF($K156="","",INDEX(מלאי!$N$2:$N$500,$K156))</f>
        <v/>
      </c>
      <c r="G156" s="9">
        <f>IF($K156="","",INDEX(מלאי!$O$2:$O$500,$K156))</f>
        <v/>
      </c>
      <c r="H156" s="9">
        <f>IF($K156="","",INDEX(מלאי!$U$2:$U$500,$K156))</f>
        <v/>
      </c>
      <c r="I156" s="9">
        <f>IF($K156="","",INDEX(מלאי!$X$2:$X$500,$K156))</f>
        <v/>
      </c>
      <c r="J156" s="9">
        <f>IF($K156="","",INDEX(מלאי!$AC$2:$AC$500,$K156))</f>
        <v/>
      </c>
      <c r="K15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136),"")</f>
        <v/>
      </c>
    </row>
    <row r="157">
      <c r="A157" s="8">
        <f>IF($K157="","",INDEX(מלאי!$D$2:$D$500,$K157))</f>
        <v/>
      </c>
      <c r="B157" s="8">
        <f>IF($K157="","",INDEX(מלאי!$B$2:$B$500,$K157))</f>
        <v/>
      </c>
      <c r="C157" s="8">
        <f>IF($K157="","",INDEX(מלאי!$C$2:$C$500,$K157))</f>
        <v/>
      </c>
      <c r="D157" s="8">
        <f>IF($K157="","",INDEX(מלאי!$G$2:$G$500,$K157))</f>
        <v/>
      </c>
      <c r="E157" s="8">
        <f>IF($K157="","",INDEX(מלאי!$M$2:$M$500,$K157))</f>
        <v/>
      </c>
      <c r="F157" s="8">
        <f>IF($K157="","",INDEX(מלאי!$N$2:$N$500,$K157))</f>
        <v/>
      </c>
      <c r="G157" s="8">
        <f>IF($K157="","",INDEX(מלאי!$O$2:$O$500,$K157))</f>
        <v/>
      </c>
      <c r="H157" s="8">
        <f>IF($K157="","",INDEX(מלאי!$U$2:$U$500,$K157))</f>
        <v/>
      </c>
      <c r="I157" s="8">
        <f>IF($K157="","",INDEX(מלאי!$X$2:$X$500,$K157))</f>
        <v/>
      </c>
      <c r="J157" s="8">
        <f>IF($K157="","",INDEX(מלאי!$AC$2:$AC$500,$K157))</f>
        <v/>
      </c>
      <c r="K15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137),"")</f>
        <v/>
      </c>
    </row>
    <row r="158">
      <c r="A158" s="9">
        <f>IF($K158="","",INDEX(מלאי!$D$2:$D$500,$K158))</f>
        <v/>
      </c>
      <c r="B158" s="9">
        <f>IF($K158="","",INDEX(מלאי!$B$2:$B$500,$K158))</f>
        <v/>
      </c>
      <c r="C158" s="9">
        <f>IF($K158="","",INDEX(מלאי!$C$2:$C$500,$K158))</f>
        <v/>
      </c>
      <c r="D158" s="9">
        <f>IF($K158="","",INDEX(מלאי!$G$2:$G$500,$K158))</f>
        <v/>
      </c>
      <c r="E158" s="9">
        <f>IF($K158="","",INDEX(מלאי!$M$2:$M$500,$K158))</f>
        <v/>
      </c>
      <c r="F158" s="9">
        <f>IF($K158="","",INDEX(מלאי!$N$2:$N$500,$K158))</f>
        <v/>
      </c>
      <c r="G158" s="9">
        <f>IF($K158="","",INDEX(מלאי!$O$2:$O$500,$K158))</f>
        <v/>
      </c>
      <c r="H158" s="9">
        <f>IF($K158="","",INDEX(מלאי!$U$2:$U$500,$K158))</f>
        <v/>
      </c>
      <c r="I158" s="9">
        <f>IF($K158="","",INDEX(מלאי!$X$2:$X$500,$K158))</f>
        <v/>
      </c>
      <c r="J158" s="9">
        <f>IF($K158="","",INDEX(מלאי!$AC$2:$AC$500,$K158))</f>
        <v/>
      </c>
      <c r="K15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138),"")</f>
        <v/>
      </c>
    </row>
    <row r="159">
      <c r="A159" s="8">
        <f>IF($K159="","",INDEX(מלאי!$D$2:$D$500,$K159))</f>
        <v/>
      </c>
      <c r="B159" s="8">
        <f>IF($K159="","",INDEX(מלאי!$B$2:$B$500,$K159))</f>
        <v/>
      </c>
      <c r="C159" s="8">
        <f>IF($K159="","",INDEX(מלאי!$C$2:$C$500,$K159))</f>
        <v/>
      </c>
      <c r="D159" s="8">
        <f>IF($K159="","",INDEX(מלאי!$G$2:$G$500,$K159))</f>
        <v/>
      </c>
      <c r="E159" s="8">
        <f>IF($K159="","",INDEX(מלאי!$M$2:$M$500,$K159))</f>
        <v/>
      </c>
      <c r="F159" s="8">
        <f>IF($K159="","",INDEX(מלאי!$N$2:$N$500,$K159))</f>
        <v/>
      </c>
      <c r="G159" s="8">
        <f>IF($K159="","",INDEX(מלאי!$O$2:$O$500,$K159))</f>
        <v/>
      </c>
      <c r="H159" s="8">
        <f>IF($K159="","",INDEX(מלאי!$U$2:$U$500,$K159))</f>
        <v/>
      </c>
      <c r="I159" s="8">
        <f>IF($K159="","",INDEX(מלאי!$X$2:$X$500,$K159))</f>
        <v/>
      </c>
      <c r="J159" s="8">
        <f>IF($K159="","",INDEX(מלאי!$AC$2:$AC$500,$K159))</f>
        <v/>
      </c>
      <c r="K15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139),"")</f>
        <v/>
      </c>
    </row>
    <row r="160">
      <c r="A160" s="9">
        <f>IF($K160="","",INDEX(מלאי!$D$2:$D$500,$K160))</f>
        <v/>
      </c>
      <c r="B160" s="9">
        <f>IF($K160="","",INDEX(מלאי!$B$2:$B$500,$K160))</f>
        <v/>
      </c>
      <c r="C160" s="9">
        <f>IF($K160="","",INDEX(מלאי!$C$2:$C$500,$K160))</f>
        <v/>
      </c>
      <c r="D160" s="9">
        <f>IF($K160="","",INDEX(מלאי!$G$2:$G$500,$K160))</f>
        <v/>
      </c>
      <c r="E160" s="9">
        <f>IF($K160="","",INDEX(מלאי!$M$2:$M$500,$K160))</f>
        <v/>
      </c>
      <c r="F160" s="9">
        <f>IF($K160="","",INDEX(מלאי!$N$2:$N$500,$K160))</f>
        <v/>
      </c>
      <c r="G160" s="9">
        <f>IF($K160="","",INDEX(מלאי!$O$2:$O$500,$K160))</f>
        <v/>
      </c>
      <c r="H160" s="9">
        <f>IF($K160="","",INDEX(מלאי!$U$2:$U$500,$K160))</f>
        <v/>
      </c>
      <c r="I160" s="9">
        <f>IF($K160="","",INDEX(מלאי!$X$2:$X$500,$K160))</f>
        <v/>
      </c>
      <c r="J160" s="9">
        <f>IF($K160="","",INDEX(מלאי!$AC$2:$AC$500,$K160))</f>
        <v/>
      </c>
      <c r="K16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140),"")</f>
        <v/>
      </c>
    </row>
    <row r="161">
      <c r="A161" s="8">
        <f>IF($K161="","",INDEX(מלאי!$D$2:$D$500,$K161))</f>
        <v/>
      </c>
      <c r="B161" s="8">
        <f>IF($K161="","",INDEX(מלאי!$B$2:$B$500,$K161))</f>
        <v/>
      </c>
      <c r="C161" s="8">
        <f>IF($K161="","",INDEX(מלאי!$C$2:$C$500,$K161))</f>
        <v/>
      </c>
      <c r="D161" s="8">
        <f>IF($K161="","",INDEX(מלאי!$G$2:$G$500,$K161))</f>
        <v/>
      </c>
      <c r="E161" s="8">
        <f>IF($K161="","",INDEX(מלאי!$M$2:$M$500,$K161))</f>
        <v/>
      </c>
      <c r="F161" s="8">
        <f>IF($K161="","",INDEX(מלאי!$N$2:$N$500,$K161))</f>
        <v/>
      </c>
      <c r="G161" s="8">
        <f>IF($K161="","",INDEX(מלאי!$O$2:$O$500,$K161))</f>
        <v/>
      </c>
      <c r="H161" s="8">
        <f>IF($K161="","",INDEX(מלאי!$U$2:$U$500,$K161))</f>
        <v/>
      </c>
      <c r="I161" s="8">
        <f>IF($K161="","",INDEX(מלאי!$X$2:$X$500,$K161))</f>
        <v/>
      </c>
      <c r="J161" s="8">
        <f>IF($K161="","",INDEX(מלאי!$AC$2:$AC$500,$K161))</f>
        <v/>
      </c>
      <c r="K16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141),"")</f>
        <v/>
      </c>
    </row>
    <row r="162">
      <c r="A162" s="9">
        <f>IF($K162="","",INDEX(מלאי!$D$2:$D$500,$K162))</f>
        <v/>
      </c>
      <c r="B162" s="9">
        <f>IF($K162="","",INDEX(מלאי!$B$2:$B$500,$K162))</f>
        <v/>
      </c>
      <c r="C162" s="9">
        <f>IF($K162="","",INDEX(מלאי!$C$2:$C$500,$K162))</f>
        <v/>
      </c>
      <c r="D162" s="9">
        <f>IF($K162="","",INDEX(מלאי!$G$2:$G$500,$K162))</f>
        <v/>
      </c>
      <c r="E162" s="9">
        <f>IF($K162="","",INDEX(מלאי!$M$2:$M$500,$K162))</f>
        <v/>
      </c>
      <c r="F162" s="9">
        <f>IF($K162="","",INDEX(מלאי!$N$2:$N$500,$K162))</f>
        <v/>
      </c>
      <c r="G162" s="9">
        <f>IF($K162="","",INDEX(מלאי!$O$2:$O$500,$K162))</f>
        <v/>
      </c>
      <c r="H162" s="9">
        <f>IF($K162="","",INDEX(מלאי!$U$2:$U$500,$K162))</f>
        <v/>
      </c>
      <c r="I162" s="9">
        <f>IF($K162="","",INDEX(מלאי!$X$2:$X$500,$K162))</f>
        <v/>
      </c>
      <c r="J162" s="9">
        <f>IF($K162="","",INDEX(מלאי!$AC$2:$AC$500,$K162))</f>
        <v/>
      </c>
      <c r="K16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142),"")</f>
        <v/>
      </c>
    </row>
    <row r="163">
      <c r="A163" s="8">
        <f>IF($K163="","",INDEX(מלאי!$D$2:$D$500,$K163))</f>
        <v/>
      </c>
      <c r="B163" s="8">
        <f>IF($K163="","",INDEX(מלאי!$B$2:$B$500,$K163))</f>
        <v/>
      </c>
      <c r="C163" s="8">
        <f>IF($K163="","",INDEX(מלאי!$C$2:$C$500,$K163))</f>
        <v/>
      </c>
      <c r="D163" s="8">
        <f>IF($K163="","",INDEX(מלאי!$G$2:$G$500,$K163))</f>
        <v/>
      </c>
      <c r="E163" s="8">
        <f>IF($K163="","",INDEX(מלאי!$M$2:$M$500,$K163))</f>
        <v/>
      </c>
      <c r="F163" s="8">
        <f>IF($K163="","",INDEX(מלאי!$N$2:$N$500,$K163))</f>
        <v/>
      </c>
      <c r="G163" s="8">
        <f>IF($K163="","",INDEX(מלאי!$O$2:$O$500,$K163))</f>
        <v/>
      </c>
      <c r="H163" s="8">
        <f>IF($K163="","",INDEX(מלאי!$U$2:$U$500,$K163))</f>
        <v/>
      </c>
      <c r="I163" s="8">
        <f>IF($K163="","",INDEX(מלאי!$X$2:$X$500,$K163))</f>
        <v/>
      </c>
      <c r="J163" s="8">
        <f>IF($K163="","",INDEX(מלאי!$AC$2:$AC$500,$K163))</f>
        <v/>
      </c>
      <c r="K16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143),"")</f>
        <v/>
      </c>
    </row>
    <row r="164">
      <c r="A164" s="9">
        <f>IF($K164="","",INDEX(מלאי!$D$2:$D$500,$K164))</f>
        <v/>
      </c>
      <c r="B164" s="9">
        <f>IF($K164="","",INDEX(מלאי!$B$2:$B$500,$K164))</f>
        <v/>
      </c>
      <c r="C164" s="9">
        <f>IF($K164="","",INDEX(מלאי!$C$2:$C$500,$K164))</f>
        <v/>
      </c>
      <c r="D164" s="9">
        <f>IF($K164="","",INDEX(מלאי!$G$2:$G$500,$K164))</f>
        <v/>
      </c>
      <c r="E164" s="9">
        <f>IF($K164="","",INDEX(מלאי!$M$2:$M$500,$K164))</f>
        <v/>
      </c>
      <c r="F164" s="9">
        <f>IF($K164="","",INDEX(מלאי!$N$2:$N$500,$K164))</f>
        <v/>
      </c>
      <c r="G164" s="9">
        <f>IF($K164="","",INDEX(מלאי!$O$2:$O$500,$K164))</f>
        <v/>
      </c>
      <c r="H164" s="9">
        <f>IF($K164="","",INDEX(מלאי!$U$2:$U$500,$K164))</f>
        <v/>
      </c>
      <c r="I164" s="9">
        <f>IF($K164="","",INDEX(מלאי!$X$2:$X$500,$K164))</f>
        <v/>
      </c>
      <c r="J164" s="9">
        <f>IF($K164="","",INDEX(מלאי!$AC$2:$AC$500,$K164))</f>
        <v/>
      </c>
      <c r="K16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144),"")</f>
        <v/>
      </c>
    </row>
    <row r="165">
      <c r="A165" s="8">
        <f>IF($K165="","",INDEX(מלאי!$D$2:$D$500,$K165))</f>
        <v/>
      </c>
      <c r="B165" s="8">
        <f>IF($K165="","",INDEX(מלאי!$B$2:$B$500,$K165))</f>
        <v/>
      </c>
      <c r="C165" s="8">
        <f>IF($K165="","",INDEX(מלאי!$C$2:$C$500,$K165))</f>
        <v/>
      </c>
      <c r="D165" s="8">
        <f>IF($K165="","",INDEX(מלאי!$G$2:$G$500,$K165))</f>
        <v/>
      </c>
      <c r="E165" s="8">
        <f>IF($K165="","",INDEX(מלאי!$M$2:$M$500,$K165))</f>
        <v/>
      </c>
      <c r="F165" s="8">
        <f>IF($K165="","",INDEX(מלאי!$N$2:$N$500,$K165))</f>
        <v/>
      </c>
      <c r="G165" s="8">
        <f>IF($K165="","",INDEX(מלאי!$O$2:$O$500,$K165))</f>
        <v/>
      </c>
      <c r="H165" s="8">
        <f>IF($K165="","",INDEX(מלאי!$U$2:$U$500,$K165))</f>
        <v/>
      </c>
      <c r="I165" s="8">
        <f>IF($K165="","",INDEX(מלאי!$X$2:$X$500,$K165))</f>
        <v/>
      </c>
      <c r="J165" s="8">
        <f>IF($K165="","",INDEX(מלאי!$AC$2:$AC$500,$K165))</f>
        <v/>
      </c>
      <c r="K16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145),"")</f>
        <v/>
      </c>
    </row>
    <row r="166">
      <c r="A166" s="9">
        <f>IF($K166="","",INDEX(מלאי!$D$2:$D$500,$K166))</f>
        <v/>
      </c>
      <c r="B166" s="9">
        <f>IF($K166="","",INDEX(מלאי!$B$2:$B$500,$K166))</f>
        <v/>
      </c>
      <c r="C166" s="9">
        <f>IF($K166="","",INDEX(מלאי!$C$2:$C$500,$K166))</f>
        <v/>
      </c>
      <c r="D166" s="9">
        <f>IF($K166="","",INDEX(מלאי!$G$2:$G$500,$K166))</f>
        <v/>
      </c>
      <c r="E166" s="9">
        <f>IF($K166="","",INDEX(מלאי!$M$2:$M$500,$K166))</f>
        <v/>
      </c>
      <c r="F166" s="9">
        <f>IF($K166="","",INDEX(מלאי!$N$2:$N$500,$K166))</f>
        <v/>
      </c>
      <c r="G166" s="9">
        <f>IF($K166="","",INDEX(מלאי!$O$2:$O$500,$K166))</f>
        <v/>
      </c>
      <c r="H166" s="9">
        <f>IF($K166="","",INDEX(מלאי!$U$2:$U$500,$K166))</f>
        <v/>
      </c>
      <c r="I166" s="9">
        <f>IF($K166="","",INDEX(מלאי!$X$2:$X$500,$K166))</f>
        <v/>
      </c>
      <c r="J166" s="9">
        <f>IF($K166="","",INDEX(מלאי!$AC$2:$AC$500,$K166))</f>
        <v/>
      </c>
      <c r="K16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146),"")</f>
        <v/>
      </c>
    </row>
    <row r="167">
      <c r="A167" s="8">
        <f>IF($K167="","",INDEX(מלאי!$D$2:$D$500,$K167))</f>
        <v/>
      </c>
      <c r="B167" s="8">
        <f>IF($K167="","",INDEX(מלאי!$B$2:$B$500,$K167))</f>
        <v/>
      </c>
      <c r="C167" s="8">
        <f>IF($K167="","",INDEX(מלאי!$C$2:$C$500,$K167))</f>
        <v/>
      </c>
      <c r="D167" s="8">
        <f>IF($K167="","",INDEX(מלאי!$G$2:$G$500,$K167))</f>
        <v/>
      </c>
      <c r="E167" s="8">
        <f>IF($K167="","",INDEX(מלאי!$M$2:$M$500,$K167))</f>
        <v/>
      </c>
      <c r="F167" s="8">
        <f>IF($K167="","",INDEX(מלאי!$N$2:$N$500,$K167))</f>
        <v/>
      </c>
      <c r="G167" s="8">
        <f>IF($K167="","",INDEX(מלאי!$O$2:$O$500,$K167))</f>
        <v/>
      </c>
      <c r="H167" s="8">
        <f>IF($K167="","",INDEX(מלאי!$U$2:$U$500,$K167))</f>
        <v/>
      </c>
      <c r="I167" s="8">
        <f>IF($K167="","",INDEX(מלאי!$X$2:$X$500,$K167))</f>
        <v/>
      </c>
      <c r="J167" s="8">
        <f>IF($K167="","",INDEX(מלאי!$AC$2:$AC$500,$K167))</f>
        <v/>
      </c>
      <c r="K16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147),"")</f>
        <v/>
      </c>
    </row>
    <row r="168">
      <c r="A168" s="9">
        <f>IF($K168="","",INDEX(מלאי!$D$2:$D$500,$K168))</f>
        <v/>
      </c>
      <c r="B168" s="9">
        <f>IF($K168="","",INDEX(מלאי!$B$2:$B$500,$K168))</f>
        <v/>
      </c>
      <c r="C168" s="9">
        <f>IF($K168="","",INDEX(מלאי!$C$2:$C$500,$K168))</f>
        <v/>
      </c>
      <c r="D168" s="9">
        <f>IF($K168="","",INDEX(מלאי!$G$2:$G$500,$K168))</f>
        <v/>
      </c>
      <c r="E168" s="9">
        <f>IF($K168="","",INDEX(מלאי!$M$2:$M$500,$K168))</f>
        <v/>
      </c>
      <c r="F168" s="9">
        <f>IF($K168="","",INDEX(מלאי!$N$2:$N$500,$K168))</f>
        <v/>
      </c>
      <c r="G168" s="9">
        <f>IF($K168="","",INDEX(מלאי!$O$2:$O$500,$K168))</f>
        <v/>
      </c>
      <c r="H168" s="9">
        <f>IF($K168="","",INDEX(מלאי!$U$2:$U$500,$K168))</f>
        <v/>
      </c>
      <c r="I168" s="9">
        <f>IF($K168="","",INDEX(מלאי!$X$2:$X$500,$K168))</f>
        <v/>
      </c>
      <c r="J168" s="9">
        <f>IF($K168="","",INDEX(מלאי!$AC$2:$AC$500,$K168))</f>
        <v/>
      </c>
      <c r="K16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148),"")</f>
        <v/>
      </c>
    </row>
    <row r="169">
      <c r="A169" s="8">
        <f>IF($K169="","",INDEX(מלאי!$D$2:$D$500,$K169))</f>
        <v/>
      </c>
      <c r="B169" s="8">
        <f>IF($K169="","",INDEX(מלאי!$B$2:$B$500,$K169))</f>
        <v/>
      </c>
      <c r="C169" s="8">
        <f>IF($K169="","",INDEX(מלאי!$C$2:$C$500,$K169))</f>
        <v/>
      </c>
      <c r="D169" s="8">
        <f>IF($K169="","",INDEX(מלאי!$G$2:$G$500,$K169))</f>
        <v/>
      </c>
      <c r="E169" s="8">
        <f>IF($K169="","",INDEX(מלאי!$M$2:$M$500,$K169))</f>
        <v/>
      </c>
      <c r="F169" s="8">
        <f>IF($K169="","",INDEX(מלאי!$N$2:$N$500,$K169))</f>
        <v/>
      </c>
      <c r="G169" s="8">
        <f>IF($K169="","",INDEX(מלאי!$O$2:$O$500,$K169))</f>
        <v/>
      </c>
      <c r="H169" s="8">
        <f>IF($K169="","",INDEX(מלאי!$U$2:$U$500,$K169))</f>
        <v/>
      </c>
      <c r="I169" s="8">
        <f>IF($K169="","",INDEX(מלאי!$X$2:$X$500,$K169))</f>
        <v/>
      </c>
      <c r="J169" s="8">
        <f>IF($K169="","",INDEX(מלאי!$AC$2:$AC$500,$K169))</f>
        <v/>
      </c>
      <c r="K16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149),"")</f>
        <v/>
      </c>
    </row>
    <row r="170">
      <c r="A170" s="9">
        <f>IF($K170="","",INDEX(מלאי!$D$2:$D$500,$K170))</f>
        <v/>
      </c>
      <c r="B170" s="9">
        <f>IF($K170="","",INDEX(מלאי!$B$2:$B$500,$K170))</f>
        <v/>
      </c>
      <c r="C170" s="9">
        <f>IF($K170="","",INDEX(מלאי!$C$2:$C$500,$K170))</f>
        <v/>
      </c>
      <c r="D170" s="9">
        <f>IF($K170="","",INDEX(מלאי!$G$2:$G$500,$K170))</f>
        <v/>
      </c>
      <c r="E170" s="9">
        <f>IF($K170="","",INDEX(מלאי!$M$2:$M$500,$K170))</f>
        <v/>
      </c>
      <c r="F170" s="9">
        <f>IF($K170="","",INDEX(מלאי!$N$2:$N$500,$K170))</f>
        <v/>
      </c>
      <c r="G170" s="9">
        <f>IF($K170="","",INDEX(מלאי!$O$2:$O$500,$K170))</f>
        <v/>
      </c>
      <c r="H170" s="9">
        <f>IF($K170="","",INDEX(מלאי!$U$2:$U$500,$K170))</f>
        <v/>
      </c>
      <c r="I170" s="9">
        <f>IF($K170="","",INDEX(מלאי!$X$2:$X$500,$K170))</f>
        <v/>
      </c>
      <c r="J170" s="9">
        <f>IF($K170="","",INDEX(מלאי!$AC$2:$AC$500,$K170))</f>
        <v/>
      </c>
      <c r="K17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150),"")</f>
        <v/>
      </c>
    </row>
    <row r="171">
      <c r="A171" s="8">
        <f>IF($K171="","",INDEX(מלאי!$D$2:$D$500,$K171))</f>
        <v/>
      </c>
      <c r="B171" s="8">
        <f>IF($K171="","",INDEX(מלאי!$B$2:$B$500,$K171))</f>
        <v/>
      </c>
      <c r="C171" s="8">
        <f>IF($K171="","",INDEX(מלאי!$C$2:$C$500,$K171))</f>
        <v/>
      </c>
      <c r="D171" s="8">
        <f>IF($K171="","",INDEX(מלאי!$G$2:$G$500,$K171))</f>
        <v/>
      </c>
      <c r="E171" s="8">
        <f>IF($K171="","",INDEX(מלאי!$M$2:$M$500,$K171))</f>
        <v/>
      </c>
      <c r="F171" s="8">
        <f>IF($K171="","",INDEX(מלאי!$N$2:$N$500,$K171))</f>
        <v/>
      </c>
      <c r="G171" s="8">
        <f>IF($K171="","",INDEX(מלאי!$O$2:$O$500,$K171))</f>
        <v/>
      </c>
      <c r="H171" s="8">
        <f>IF($K171="","",INDEX(מלאי!$U$2:$U$500,$K171))</f>
        <v/>
      </c>
      <c r="I171" s="8">
        <f>IF($K171="","",INDEX(מלאי!$X$2:$X$500,$K171))</f>
        <v/>
      </c>
      <c r="J171" s="8">
        <f>IF($K171="","",INDEX(מלאי!$AC$2:$AC$500,$K171))</f>
        <v/>
      </c>
      <c r="K17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151),"")</f>
        <v/>
      </c>
    </row>
    <row r="172">
      <c r="A172" s="9">
        <f>IF($K172="","",INDEX(מלאי!$D$2:$D$500,$K172))</f>
        <v/>
      </c>
      <c r="B172" s="9">
        <f>IF($K172="","",INDEX(מלאי!$B$2:$B$500,$K172))</f>
        <v/>
      </c>
      <c r="C172" s="9">
        <f>IF($K172="","",INDEX(מלאי!$C$2:$C$500,$K172))</f>
        <v/>
      </c>
      <c r="D172" s="9">
        <f>IF($K172="","",INDEX(מלאי!$G$2:$G$500,$K172))</f>
        <v/>
      </c>
      <c r="E172" s="9">
        <f>IF($K172="","",INDEX(מלאי!$M$2:$M$500,$K172))</f>
        <v/>
      </c>
      <c r="F172" s="9">
        <f>IF($K172="","",INDEX(מלאי!$N$2:$N$500,$K172))</f>
        <v/>
      </c>
      <c r="G172" s="9">
        <f>IF($K172="","",INDEX(מלאי!$O$2:$O$500,$K172))</f>
        <v/>
      </c>
      <c r="H172" s="9">
        <f>IF($K172="","",INDEX(מלאי!$U$2:$U$500,$K172))</f>
        <v/>
      </c>
      <c r="I172" s="9">
        <f>IF($K172="","",INDEX(מלאי!$X$2:$X$500,$K172))</f>
        <v/>
      </c>
      <c r="J172" s="9">
        <f>IF($K172="","",INDEX(מלאי!$AC$2:$AC$500,$K172))</f>
        <v/>
      </c>
      <c r="K17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152),"")</f>
        <v/>
      </c>
    </row>
    <row r="173">
      <c r="A173" s="8">
        <f>IF($K173="","",INDEX(מלאי!$D$2:$D$500,$K173))</f>
        <v/>
      </c>
      <c r="B173" s="8">
        <f>IF($K173="","",INDEX(מלאי!$B$2:$B$500,$K173))</f>
        <v/>
      </c>
      <c r="C173" s="8">
        <f>IF($K173="","",INDEX(מלאי!$C$2:$C$500,$K173))</f>
        <v/>
      </c>
      <c r="D173" s="8">
        <f>IF($K173="","",INDEX(מלאי!$G$2:$G$500,$K173))</f>
        <v/>
      </c>
      <c r="E173" s="8">
        <f>IF($K173="","",INDEX(מלאי!$M$2:$M$500,$K173))</f>
        <v/>
      </c>
      <c r="F173" s="8">
        <f>IF($K173="","",INDEX(מלאי!$N$2:$N$500,$K173))</f>
        <v/>
      </c>
      <c r="G173" s="8">
        <f>IF($K173="","",INDEX(מלאי!$O$2:$O$500,$K173))</f>
        <v/>
      </c>
      <c r="H173" s="8">
        <f>IF($K173="","",INDEX(מלאי!$U$2:$U$500,$K173))</f>
        <v/>
      </c>
      <c r="I173" s="8">
        <f>IF($K173="","",INDEX(מלאי!$X$2:$X$500,$K173))</f>
        <v/>
      </c>
      <c r="J173" s="8">
        <f>IF($K173="","",INDEX(מלאי!$AC$2:$AC$500,$K173))</f>
        <v/>
      </c>
      <c r="K17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153),"")</f>
        <v/>
      </c>
    </row>
    <row r="174">
      <c r="A174" s="9">
        <f>IF($K174="","",INDEX(מלאי!$D$2:$D$500,$K174))</f>
        <v/>
      </c>
      <c r="B174" s="9">
        <f>IF($K174="","",INDEX(מלאי!$B$2:$B$500,$K174))</f>
        <v/>
      </c>
      <c r="C174" s="9">
        <f>IF($K174="","",INDEX(מלאי!$C$2:$C$500,$K174))</f>
        <v/>
      </c>
      <c r="D174" s="9">
        <f>IF($K174="","",INDEX(מלאי!$G$2:$G$500,$K174))</f>
        <v/>
      </c>
      <c r="E174" s="9">
        <f>IF($K174="","",INDEX(מלאי!$M$2:$M$500,$K174))</f>
        <v/>
      </c>
      <c r="F174" s="9">
        <f>IF($K174="","",INDEX(מלאי!$N$2:$N$500,$K174))</f>
        <v/>
      </c>
      <c r="G174" s="9">
        <f>IF($K174="","",INDEX(מלאי!$O$2:$O$500,$K174))</f>
        <v/>
      </c>
      <c r="H174" s="9">
        <f>IF($K174="","",INDEX(מלאי!$U$2:$U$500,$K174))</f>
        <v/>
      </c>
      <c r="I174" s="9">
        <f>IF($K174="","",INDEX(מלאי!$X$2:$X$500,$K174))</f>
        <v/>
      </c>
      <c r="J174" s="9">
        <f>IF($K174="","",INDEX(מלאי!$AC$2:$AC$500,$K174))</f>
        <v/>
      </c>
      <c r="K17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154),"")</f>
        <v/>
      </c>
    </row>
    <row r="175">
      <c r="A175" s="8">
        <f>IF($K175="","",INDEX(מלאי!$D$2:$D$500,$K175))</f>
        <v/>
      </c>
      <c r="B175" s="8">
        <f>IF($K175="","",INDEX(מלאי!$B$2:$B$500,$K175))</f>
        <v/>
      </c>
      <c r="C175" s="8">
        <f>IF($K175="","",INDEX(מלאי!$C$2:$C$500,$K175))</f>
        <v/>
      </c>
      <c r="D175" s="8">
        <f>IF($K175="","",INDEX(מלאי!$G$2:$G$500,$K175))</f>
        <v/>
      </c>
      <c r="E175" s="8">
        <f>IF($K175="","",INDEX(מלאי!$M$2:$M$500,$K175))</f>
        <v/>
      </c>
      <c r="F175" s="8">
        <f>IF($K175="","",INDEX(מלאי!$N$2:$N$500,$K175))</f>
        <v/>
      </c>
      <c r="G175" s="8">
        <f>IF($K175="","",INDEX(מלאי!$O$2:$O$500,$K175))</f>
        <v/>
      </c>
      <c r="H175" s="8">
        <f>IF($K175="","",INDEX(מלאי!$U$2:$U$500,$K175))</f>
        <v/>
      </c>
      <c r="I175" s="8">
        <f>IF($K175="","",INDEX(מלאי!$X$2:$X$500,$K175))</f>
        <v/>
      </c>
      <c r="J175" s="8">
        <f>IF($K175="","",INDEX(מלאי!$AC$2:$AC$500,$K175))</f>
        <v/>
      </c>
      <c r="K17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155),"")</f>
        <v/>
      </c>
    </row>
    <row r="176">
      <c r="A176" s="9">
        <f>IF($K176="","",INDEX(מלאי!$D$2:$D$500,$K176))</f>
        <v/>
      </c>
      <c r="B176" s="9">
        <f>IF($K176="","",INDEX(מלאי!$B$2:$B$500,$K176))</f>
        <v/>
      </c>
      <c r="C176" s="9">
        <f>IF($K176="","",INDEX(מלאי!$C$2:$C$500,$K176))</f>
        <v/>
      </c>
      <c r="D176" s="9">
        <f>IF($K176="","",INDEX(מלאי!$G$2:$G$500,$K176))</f>
        <v/>
      </c>
      <c r="E176" s="9">
        <f>IF($K176="","",INDEX(מלאי!$M$2:$M$500,$K176))</f>
        <v/>
      </c>
      <c r="F176" s="9">
        <f>IF($K176="","",INDEX(מלאי!$N$2:$N$500,$K176))</f>
        <v/>
      </c>
      <c r="G176" s="9">
        <f>IF($K176="","",INDEX(מלאי!$O$2:$O$500,$K176))</f>
        <v/>
      </c>
      <c r="H176" s="9">
        <f>IF($K176="","",INDEX(מלאי!$U$2:$U$500,$K176))</f>
        <v/>
      </c>
      <c r="I176" s="9">
        <f>IF($K176="","",INDEX(מלאי!$X$2:$X$500,$K176))</f>
        <v/>
      </c>
      <c r="J176" s="9">
        <f>IF($K176="","",INDEX(מלאי!$AC$2:$AC$500,$K176))</f>
        <v/>
      </c>
      <c r="K17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156),"")</f>
        <v/>
      </c>
    </row>
    <row r="177">
      <c r="A177" s="8">
        <f>IF($K177="","",INDEX(מלאי!$D$2:$D$500,$K177))</f>
        <v/>
      </c>
      <c r="B177" s="8">
        <f>IF($K177="","",INDEX(מלאי!$B$2:$B$500,$K177))</f>
        <v/>
      </c>
      <c r="C177" s="8">
        <f>IF($K177="","",INDEX(מלאי!$C$2:$C$500,$K177))</f>
        <v/>
      </c>
      <c r="D177" s="8">
        <f>IF($K177="","",INDEX(מלאי!$G$2:$G$500,$K177))</f>
        <v/>
      </c>
      <c r="E177" s="8">
        <f>IF($K177="","",INDEX(מלאי!$M$2:$M$500,$K177))</f>
        <v/>
      </c>
      <c r="F177" s="8">
        <f>IF($K177="","",INDEX(מלאי!$N$2:$N$500,$K177))</f>
        <v/>
      </c>
      <c r="G177" s="8">
        <f>IF($K177="","",INDEX(מלאי!$O$2:$O$500,$K177))</f>
        <v/>
      </c>
      <c r="H177" s="8">
        <f>IF($K177="","",INDEX(מלאי!$U$2:$U$500,$K177))</f>
        <v/>
      </c>
      <c r="I177" s="8">
        <f>IF($K177="","",INDEX(מלאי!$X$2:$X$500,$K177))</f>
        <v/>
      </c>
      <c r="J177" s="8">
        <f>IF($K177="","",INDEX(מלאי!$AC$2:$AC$500,$K177))</f>
        <v/>
      </c>
      <c r="K17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157),"")</f>
        <v/>
      </c>
    </row>
    <row r="178">
      <c r="A178" s="9">
        <f>IF($K178="","",INDEX(מלאי!$D$2:$D$500,$K178))</f>
        <v/>
      </c>
      <c r="B178" s="9">
        <f>IF($K178="","",INDEX(מלאי!$B$2:$B$500,$K178))</f>
        <v/>
      </c>
      <c r="C178" s="9">
        <f>IF($K178="","",INDEX(מלאי!$C$2:$C$500,$K178))</f>
        <v/>
      </c>
      <c r="D178" s="9">
        <f>IF($K178="","",INDEX(מלאי!$G$2:$G$500,$K178))</f>
        <v/>
      </c>
      <c r="E178" s="9">
        <f>IF($K178="","",INDEX(מלאי!$M$2:$M$500,$K178))</f>
        <v/>
      </c>
      <c r="F178" s="9">
        <f>IF($K178="","",INDEX(מלאי!$N$2:$N$500,$K178))</f>
        <v/>
      </c>
      <c r="G178" s="9">
        <f>IF($K178="","",INDEX(מלאי!$O$2:$O$500,$K178))</f>
        <v/>
      </c>
      <c r="H178" s="9">
        <f>IF($K178="","",INDEX(מלאי!$U$2:$U$500,$K178))</f>
        <v/>
      </c>
      <c r="I178" s="9">
        <f>IF($K178="","",INDEX(מלאי!$X$2:$X$500,$K178))</f>
        <v/>
      </c>
      <c r="J178" s="9">
        <f>IF($K178="","",INDEX(מלאי!$AC$2:$AC$500,$K178))</f>
        <v/>
      </c>
      <c r="K17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158),"")</f>
        <v/>
      </c>
    </row>
    <row r="179">
      <c r="A179" s="8">
        <f>IF($K179="","",INDEX(מלאי!$D$2:$D$500,$K179))</f>
        <v/>
      </c>
      <c r="B179" s="8">
        <f>IF($K179="","",INDEX(מלאי!$B$2:$B$500,$K179))</f>
        <v/>
      </c>
      <c r="C179" s="8">
        <f>IF($K179="","",INDEX(מלאי!$C$2:$C$500,$K179))</f>
        <v/>
      </c>
      <c r="D179" s="8">
        <f>IF($K179="","",INDEX(מלאי!$G$2:$G$500,$K179))</f>
        <v/>
      </c>
      <c r="E179" s="8">
        <f>IF($K179="","",INDEX(מלאי!$M$2:$M$500,$K179))</f>
        <v/>
      </c>
      <c r="F179" s="8">
        <f>IF($K179="","",INDEX(מלאי!$N$2:$N$500,$K179))</f>
        <v/>
      </c>
      <c r="G179" s="8">
        <f>IF($K179="","",INDEX(מלאי!$O$2:$O$500,$K179))</f>
        <v/>
      </c>
      <c r="H179" s="8">
        <f>IF($K179="","",INDEX(מלאי!$U$2:$U$500,$K179))</f>
        <v/>
      </c>
      <c r="I179" s="8">
        <f>IF($K179="","",INDEX(מלאי!$X$2:$X$500,$K179))</f>
        <v/>
      </c>
      <c r="J179" s="8">
        <f>IF($K179="","",INDEX(מלאי!$AC$2:$AC$500,$K179))</f>
        <v/>
      </c>
      <c r="K17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159),"")</f>
        <v/>
      </c>
    </row>
    <row r="180">
      <c r="A180" s="9">
        <f>IF($K180="","",INDEX(מלאי!$D$2:$D$500,$K180))</f>
        <v/>
      </c>
      <c r="B180" s="9">
        <f>IF($K180="","",INDEX(מלאי!$B$2:$B$500,$K180))</f>
        <v/>
      </c>
      <c r="C180" s="9">
        <f>IF($K180="","",INDEX(מלאי!$C$2:$C$500,$K180))</f>
        <v/>
      </c>
      <c r="D180" s="9">
        <f>IF($K180="","",INDEX(מלאי!$G$2:$G$500,$K180))</f>
        <v/>
      </c>
      <c r="E180" s="9">
        <f>IF($K180="","",INDEX(מלאי!$M$2:$M$500,$K180))</f>
        <v/>
      </c>
      <c r="F180" s="9">
        <f>IF($K180="","",INDEX(מלאי!$N$2:$N$500,$K180))</f>
        <v/>
      </c>
      <c r="G180" s="9">
        <f>IF($K180="","",INDEX(מלאי!$O$2:$O$500,$K180))</f>
        <v/>
      </c>
      <c r="H180" s="9">
        <f>IF($K180="","",INDEX(מלאי!$U$2:$U$500,$K180))</f>
        <v/>
      </c>
      <c r="I180" s="9">
        <f>IF($K180="","",INDEX(מלאי!$X$2:$X$500,$K180))</f>
        <v/>
      </c>
      <c r="J180" s="9">
        <f>IF($K180="","",INDEX(מלאי!$AC$2:$AC$500,$K180))</f>
        <v/>
      </c>
      <c r="K18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160),"")</f>
        <v/>
      </c>
    </row>
    <row r="181">
      <c r="A181" s="8">
        <f>IF($K181="","",INDEX(מלאי!$D$2:$D$500,$K181))</f>
        <v/>
      </c>
      <c r="B181" s="8">
        <f>IF($K181="","",INDEX(מלאי!$B$2:$B$500,$K181))</f>
        <v/>
      </c>
      <c r="C181" s="8">
        <f>IF($K181="","",INDEX(מלאי!$C$2:$C$500,$K181))</f>
        <v/>
      </c>
      <c r="D181" s="8">
        <f>IF($K181="","",INDEX(מלאי!$G$2:$G$500,$K181))</f>
        <v/>
      </c>
      <c r="E181" s="8">
        <f>IF($K181="","",INDEX(מלאי!$M$2:$M$500,$K181))</f>
        <v/>
      </c>
      <c r="F181" s="8">
        <f>IF($K181="","",INDEX(מלאי!$N$2:$N$500,$K181))</f>
        <v/>
      </c>
      <c r="G181" s="8">
        <f>IF($K181="","",INDEX(מלאי!$O$2:$O$500,$K181))</f>
        <v/>
      </c>
      <c r="H181" s="8">
        <f>IF($K181="","",INDEX(מלאי!$U$2:$U$500,$K181))</f>
        <v/>
      </c>
      <c r="I181" s="8">
        <f>IF($K181="","",INDEX(מלאי!$X$2:$X$500,$K181))</f>
        <v/>
      </c>
      <c r="J181" s="8">
        <f>IF($K181="","",INDEX(מלאי!$AC$2:$AC$500,$K181))</f>
        <v/>
      </c>
      <c r="K18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161),"")</f>
        <v/>
      </c>
    </row>
    <row r="182">
      <c r="A182" s="9">
        <f>IF($K182="","",INDEX(מלאי!$D$2:$D$500,$K182))</f>
        <v/>
      </c>
      <c r="B182" s="9">
        <f>IF($K182="","",INDEX(מלאי!$B$2:$B$500,$K182))</f>
        <v/>
      </c>
      <c r="C182" s="9">
        <f>IF($K182="","",INDEX(מלאי!$C$2:$C$500,$K182))</f>
        <v/>
      </c>
      <c r="D182" s="9">
        <f>IF($K182="","",INDEX(מלאי!$G$2:$G$500,$K182))</f>
        <v/>
      </c>
      <c r="E182" s="9">
        <f>IF($K182="","",INDEX(מלאי!$M$2:$M$500,$K182))</f>
        <v/>
      </c>
      <c r="F182" s="9">
        <f>IF($K182="","",INDEX(מלאי!$N$2:$N$500,$K182))</f>
        <v/>
      </c>
      <c r="G182" s="9">
        <f>IF($K182="","",INDEX(מלאי!$O$2:$O$500,$K182))</f>
        <v/>
      </c>
      <c r="H182" s="9">
        <f>IF($K182="","",INDEX(מלאי!$U$2:$U$500,$K182))</f>
        <v/>
      </c>
      <c r="I182" s="9">
        <f>IF($K182="","",INDEX(מלאי!$X$2:$X$500,$K182))</f>
        <v/>
      </c>
      <c r="J182" s="9">
        <f>IF($K182="","",INDEX(מלאי!$AC$2:$AC$500,$K182))</f>
        <v/>
      </c>
      <c r="K18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162),"")</f>
        <v/>
      </c>
    </row>
    <row r="183">
      <c r="A183" s="8">
        <f>IF($K183="","",INDEX(מלאי!$D$2:$D$500,$K183))</f>
        <v/>
      </c>
      <c r="B183" s="8">
        <f>IF($K183="","",INDEX(מלאי!$B$2:$B$500,$K183))</f>
        <v/>
      </c>
      <c r="C183" s="8">
        <f>IF($K183="","",INDEX(מלאי!$C$2:$C$500,$K183))</f>
        <v/>
      </c>
      <c r="D183" s="8">
        <f>IF($K183="","",INDEX(מלאי!$G$2:$G$500,$K183))</f>
        <v/>
      </c>
      <c r="E183" s="8">
        <f>IF($K183="","",INDEX(מלאי!$M$2:$M$500,$K183))</f>
        <v/>
      </c>
      <c r="F183" s="8">
        <f>IF($K183="","",INDEX(מלאי!$N$2:$N$500,$K183))</f>
        <v/>
      </c>
      <c r="G183" s="8">
        <f>IF($K183="","",INDEX(מלאי!$O$2:$O$500,$K183))</f>
        <v/>
      </c>
      <c r="H183" s="8">
        <f>IF($K183="","",INDEX(מלאי!$U$2:$U$500,$K183))</f>
        <v/>
      </c>
      <c r="I183" s="8">
        <f>IF($K183="","",INDEX(מלאי!$X$2:$X$500,$K183))</f>
        <v/>
      </c>
      <c r="J183" s="8">
        <f>IF($K183="","",INDEX(מלאי!$AC$2:$AC$500,$K183))</f>
        <v/>
      </c>
      <c r="K18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163),"")</f>
        <v/>
      </c>
    </row>
    <row r="184">
      <c r="A184" s="9">
        <f>IF($K184="","",INDEX(מלאי!$D$2:$D$500,$K184))</f>
        <v/>
      </c>
      <c r="B184" s="9">
        <f>IF($K184="","",INDEX(מלאי!$B$2:$B$500,$K184))</f>
        <v/>
      </c>
      <c r="C184" s="9">
        <f>IF($K184="","",INDEX(מלאי!$C$2:$C$500,$K184))</f>
        <v/>
      </c>
      <c r="D184" s="9">
        <f>IF($K184="","",INDEX(מלאי!$G$2:$G$500,$K184))</f>
        <v/>
      </c>
      <c r="E184" s="9">
        <f>IF($K184="","",INDEX(מלאי!$M$2:$M$500,$K184))</f>
        <v/>
      </c>
      <c r="F184" s="9">
        <f>IF($K184="","",INDEX(מלאי!$N$2:$N$500,$K184))</f>
        <v/>
      </c>
      <c r="G184" s="9">
        <f>IF($K184="","",INDEX(מלאי!$O$2:$O$500,$K184))</f>
        <v/>
      </c>
      <c r="H184" s="9">
        <f>IF($K184="","",INDEX(מלאי!$U$2:$U$500,$K184))</f>
        <v/>
      </c>
      <c r="I184" s="9">
        <f>IF($K184="","",INDEX(מלאי!$X$2:$X$500,$K184))</f>
        <v/>
      </c>
      <c r="J184" s="9">
        <f>IF($K184="","",INDEX(מלאי!$AC$2:$AC$500,$K184))</f>
        <v/>
      </c>
      <c r="K18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164),"")</f>
        <v/>
      </c>
    </row>
    <row r="185">
      <c r="A185" s="8">
        <f>IF($K185="","",INDEX(מלאי!$D$2:$D$500,$K185))</f>
        <v/>
      </c>
      <c r="B185" s="8">
        <f>IF($K185="","",INDEX(מלאי!$B$2:$B$500,$K185))</f>
        <v/>
      </c>
      <c r="C185" s="8">
        <f>IF($K185="","",INDEX(מלאי!$C$2:$C$500,$K185))</f>
        <v/>
      </c>
      <c r="D185" s="8">
        <f>IF($K185="","",INDEX(מלאי!$G$2:$G$500,$K185))</f>
        <v/>
      </c>
      <c r="E185" s="8">
        <f>IF($K185="","",INDEX(מלאי!$M$2:$M$500,$K185))</f>
        <v/>
      </c>
      <c r="F185" s="8">
        <f>IF($K185="","",INDEX(מלאי!$N$2:$N$500,$K185))</f>
        <v/>
      </c>
      <c r="G185" s="8">
        <f>IF($K185="","",INDEX(מלאי!$O$2:$O$500,$K185))</f>
        <v/>
      </c>
      <c r="H185" s="8">
        <f>IF($K185="","",INDEX(מלאי!$U$2:$U$500,$K185))</f>
        <v/>
      </c>
      <c r="I185" s="8">
        <f>IF($K185="","",INDEX(מלאי!$X$2:$X$500,$K185))</f>
        <v/>
      </c>
      <c r="J185" s="8">
        <f>IF($K185="","",INDEX(מלאי!$AC$2:$AC$500,$K185))</f>
        <v/>
      </c>
      <c r="K18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165),"")</f>
        <v/>
      </c>
    </row>
    <row r="186">
      <c r="A186" s="9">
        <f>IF($K186="","",INDEX(מלאי!$D$2:$D$500,$K186))</f>
        <v/>
      </c>
      <c r="B186" s="9">
        <f>IF($K186="","",INDEX(מלאי!$B$2:$B$500,$K186))</f>
        <v/>
      </c>
      <c r="C186" s="9">
        <f>IF($K186="","",INDEX(מלאי!$C$2:$C$500,$K186))</f>
        <v/>
      </c>
      <c r="D186" s="9">
        <f>IF($K186="","",INDEX(מלאי!$G$2:$G$500,$K186))</f>
        <v/>
      </c>
      <c r="E186" s="9">
        <f>IF($K186="","",INDEX(מלאי!$M$2:$M$500,$K186))</f>
        <v/>
      </c>
      <c r="F186" s="9">
        <f>IF($K186="","",INDEX(מלאי!$N$2:$N$500,$K186))</f>
        <v/>
      </c>
      <c r="G186" s="9">
        <f>IF($K186="","",INDEX(מלאי!$O$2:$O$500,$K186))</f>
        <v/>
      </c>
      <c r="H186" s="9">
        <f>IF($K186="","",INDEX(מלאי!$U$2:$U$500,$K186))</f>
        <v/>
      </c>
      <c r="I186" s="9">
        <f>IF($K186="","",INDEX(מלאי!$X$2:$X$500,$K186))</f>
        <v/>
      </c>
      <c r="J186" s="9">
        <f>IF($K186="","",INDEX(מלאי!$AC$2:$AC$500,$K186))</f>
        <v/>
      </c>
      <c r="K18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166),"")</f>
        <v/>
      </c>
    </row>
    <row r="187">
      <c r="A187" s="8">
        <f>IF($K187="","",INDEX(מלאי!$D$2:$D$500,$K187))</f>
        <v/>
      </c>
      <c r="B187" s="8">
        <f>IF($K187="","",INDEX(מלאי!$B$2:$B$500,$K187))</f>
        <v/>
      </c>
      <c r="C187" s="8">
        <f>IF($K187="","",INDEX(מלאי!$C$2:$C$500,$K187))</f>
        <v/>
      </c>
      <c r="D187" s="8">
        <f>IF($K187="","",INDEX(מלאי!$G$2:$G$500,$K187))</f>
        <v/>
      </c>
      <c r="E187" s="8">
        <f>IF($K187="","",INDEX(מלאי!$M$2:$M$500,$K187))</f>
        <v/>
      </c>
      <c r="F187" s="8">
        <f>IF($K187="","",INDEX(מלאי!$N$2:$N$500,$K187))</f>
        <v/>
      </c>
      <c r="G187" s="8">
        <f>IF($K187="","",INDEX(מלאי!$O$2:$O$500,$K187))</f>
        <v/>
      </c>
      <c r="H187" s="8">
        <f>IF($K187="","",INDEX(מלאי!$U$2:$U$500,$K187))</f>
        <v/>
      </c>
      <c r="I187" s="8">
        <f>IF($K187="","",INDEX(מלאי!$X$2:$X$500,$K187))</f>
        <v/>
      </c>
      <c r="J187" s="8">
        <f>IF($K187="","",INDEX(מלאי!$AC$2:$AC$500,$K187))</f>
        <v/>
      </c>
      <c r="K18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167),"")</f>
        <v/>
      </c>
    </row>
    <row r="188">
      <c r="A188" s="9">
        <f>IF($K188="","",INDEX(מלאי!$D$2:$D$500,$K188))</f>
        <v/>
      </c>
      <c r="B188" s="9">
        <f>IF($K188="","",INDEX(מלאי!$B$2:$B$500,$K188))</f>
        <v/>
      </c>
      <c r="C188" s="9">
        <f>IF($K188="","",INDEX(מלאי!$C$2:$C$500,$K188))</f>
        <v/>
      </c>
      <c r="D188" s="9">
        <f>IF($K188="","",INDEX(מלאי!$G$2:$G$500,$K188))</f>
        <v/>
      </c>
      <c r="E188" s="9">
        <f>IF($K188="","",INDEX(מלאי!$M$2:$M$500,$K188))</f>
        <v/>
      </c>
      <c r="F188" s="9">
        <f>IF($K188="","",INDEX(מלאי!$N$2:$N$500,$K188))</f>
        <v/>
      </c>
      <c r="G188" s="9">
        <f>IF($K188="","",INDEX(מלאי!$O$2:$O$500,$K188))</f>
        <v/>
      </c>
      <c r="H188" s="9">
        <f>IF($K188="","",INDEX(מלאי!$U$2:$U$500,$K188))</f>
        <v/>
      </c>
      <c r="I188" s="9">
        <f>IF($K188="","",INDEX(מלאי!$X$2:$X$500,$K188))</f>
        <v/>
      </c>
      <c r="J188" s="9">
        <f>IF($K188="","",INDEX(מלאי!$AC$2:$AC$500,$K188))</f>
        <v/>
      </c>
      <c r="K18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168),"")</f>
        <v/>
      </c>
    </row>
    <row r="189">
      <c r="A189" s="8">
        <f>IF($K189="","",INDEX(מלאי!$D$2:$D$500,$K189))</f>
        <v/>
      </c>
      <c r="B189" s="8">
        <f>IF($K189="","",INDEX(מלאי!$B$2:$B$500,$K189))</f>
        <v/>
      </c>
      <c r="C189" s="8">
        <f>IF($K189="","",INDEX(מלאי!$C$2:$C$500,$K189))</f>
        <v/>
      </c>
      <c r="D189" s="8">
        <f>IF($K189="","",INDEX(מלאי!$G$2:$G$500,$K189))</f>
        <v/>
      </c>
      <c r="E189" s="8">
        <f>IF($K189="","",INDEX(מלאי!$M$2:$M$500,$K189))</f>
        <v/>
      </c>
      <c r="F189" s="8">
        <f>IF($K189="","",INDEX(מלאי!$N$2:$N$500,$K189))</f>
        <v/>
      </c>
      <c r="G189" s="8">
        <f>IF($K189="","",INDEX(מלאי!$O$2:$O$500,$K189))</f>
        <v/>
      </c>
      <c r="H189" s="8">
        <f>IF($K189="","",INDEX(מלאי!$U$2:$U$500,$K189))</f>
        <v/>
      </c>
      <c r="I189" s="8">
        <f>IF($K189="","",INDEX(מלאי!$X$2:$X$500,$K189))</f>
        <v/>
      </c>
      <c r="J189" s="8">
        <f>IF($K189="","",INDEX(מלאי!$AC$2:$AC$500,$K189))</f>
        <v/>
      </c>
      <c r="K18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169),"")</f>
        <v/>
      </c>
    </row>
    <row r="190">
      <c r="A190" s="9">
        <f>IF($K190="","",INDEX(מלאי!$D$2:$D$500,$K190))</f>
        <v/>
      </c>
      <c r="B190" s="9">
        <f>IF($K190="","",INDEX(מלאי!$B$2:$B$500,$K190))</f>
        <v/>
      </c>
      <c r="C190" s="9">
        <f>IF($K190="","",INDEX(מלאי!$C$2:$C$500,$K190))</f>
        <v/>
      </c>
      <c r="D190" s="9">
        <f>IF($K190="","",INDEX(מלאי!$G$2:$G$500,$K190))</f>
        <v/>
      </c>
      <c r="E190" s="9">
        <f>IF($K190="","",INDEX(מלאי!$M$2:$M$500,$K190))</f>
        <v/>
      </c>
      <c r="F190" s="9">
        <f>IF($K190="","",INDEX(מלאי!$N$2:$N$500,$K190))</f>
        <v/>
      </c>
      <c r="G190" s="9">
        <f>IF($K190="","",INDEX(מלאי!$O$2:$O$500,$K190))</f>
        <v/>
      </c>
      <c r="H190" s="9">
        <f>IF($K190="","",INDEX(מלאי!$U$2:$U$500,$K190))</f>
        <v/>
      </c>
      <c r="I190" s="9">
        <f>IF($K190="","",INDEX(מלאי!$X$2:$X$500,$K190))</f>
        <v/>
      </c>
      <c r="J190" s="9">
        <f>IF($K190="","",INDEX(מלאי!$AC$2:$AC$500,$K190))</f>
        <v/>
      </c>
      <c r="K19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170),"")</f>
        <v/>
      </c>
    </row>
    <row r="191">
      <c r="A191" s="8">
        <f>IF($K191="","",INDEX(מלאי!$D$2:$D$500,$K191))</f>
        <v/>
      </c>
      <c r="B191" s="8">
        <f>IF($K191="","",INDEX(מלאי!$B$2:$B$500,$K191))</f>
        <v/>
      </c>
      <c r="C191" s="8">
        <f>IF($K191="","",INDEX(מלאי!$C$2:$C$500,$K191))</f>
        <v/>
      </c>
      <c r="D191" s="8">
        <f>IF($K191="","",INDEX(מלאי!$G$2:$G$500,$K191))</f>
        <v/>
      </c>
      <c r="E191" s="8">
        <f>IF($K191="","",INDEX(מלאי!$M$2:$M$500,$K191))</f>
        <v/>
      </c>
      <c r="F191" s="8">
        <f>IF($K191="","",INDEX(מלאי!$N$2:$N$500,$K191))</f>
        <v/>
      </c>
      <c r="G191" s="8">
        <f>IF($K191="","",INDEX(מלאי!$O$2:$O$500,$K191))</f>
        <v/>
      </c>
      <c r="H191" s="8">
        <f>IF($K191="","",INDEX(מלאי!$U$2:$U$500,$K191))</f>
        <v/>
      </c>
      <c r="I191" s="8">
        <f>IF($K191="","",INDEX(מלאי!$X$2:$X$500,$K191))</f>
        <v/>
      </c>
      <c r="J191" s="8">
        <f>IF($K191="","",INDEX(מלאי!$AC$2:$AC$500,$K191))</f>
        <v/>
      </c>
      <c r="K19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171),"")</f>
        <v/>
      </c>
    </row>
    <row r="192">
      <c r="A192" s="9">
        <f>IF($K192="","",INDEX(מלאי!$D$2:$D$500,$K192))</f>
        <v/>
      </c>
      <c r="B192" s="9">
        <f>IF($K192="","",INDEX(מלאי!$B$2:$B$500,$K192))</f>
        <v/>
      </c>
      <c r="C192" s="9">
        <f>IF($K192="","",INDEX(מלאי!$C$2:$C$500,$K192))</f>
        <v/>
      </c>
      <c r="D192" s="9">
        <f>IF($K192="","",INDEX(מלאי!$G$2:$G$500,$K192))</f>
        <v/>
      </c>
      <c r="E192" s="9">
        <f>IF($K192="","",INDEX(מלאי!$M$2:$M$500,$K192))</f>
        <v/>
      </c>
      <c r="F192" s="9">
        <f>IF($K192="","",INDEX(מלאי!$N$2:$N$500,$K192))</f>
        <v/>
      </c>
      <c r="G192" s="9">
        <f>IF($K192="","",INDEX(מלאי!$O$2:$O$500,$K192))</f>
        <v/>
      </c>
      <c r="H192" s="9">
        <f>IF($K192="","",INDEX(מלאי!$U$2:$U$500,$K192))</f>
        <v/>
      </c>
      <c r="I192" s="9">
        <f>IF($K192="","",INDEX(מלאי!$X$2:$X$500,$K192))</f>
        <v/>
      </c>
      <c r="J192" s="9">
        <f>IF($K192="","",INDEX(מלאי!$AC$2:$AC$500,$K192))</f>
        <v/>
      </c>
      <c r="K19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172),"")</f>
        <v/>
      </c>
    </row>
    <row r="193">
      <c r="A193" s="8">
        <f>IF($K193="","",INDEX(מלאי!$D$2:$D$500,$K193))</f>
        <v/>
      </c>
      <c r="B193" s="8">
        <f>IF($K193="","",INDEX(מלאי!$B$2:$B$500,$K193))</f>
        <v/>
      </c>
      <c r="C193" s="8">
        <f>IF($K193="","",INDEX(מלאי!$C$2:$C$500,$K193))</f>
        <v/>
      </c>
      <c r="D193" s="8">
        <f>IF($K193="","",INDEX(מלאי!$G$2:$G$500,$K193))</f>
        <v/>
      </c>
      <c r="E193" s="8">
        <f>IF($K193="","",INDEX(מלאי!$M$2:$M$500,$K193))</f>
        <v/>
      </c>
      <c r="F193" s="8">
        <f>IF($K193="","",INDEX(מלאי!$N$2:$N$500,$K193))</f>
        <v/>
      </c>
      <c r="G193" s="8">
        <f>IF($K193="","",INDEX(מלאי!$O$2:$O$500,$K193))</f>
        <v/>
      </c>
      <c r="H193" s="8">
        <f>IF($K193="","",INDEX(מלאי!$U$2:$U$500,$K193))</f>
        <v/>
      </c>
      <c r="I193" s="8">
        <f>IF($K193="","",INDEX(מלאי!$X$2:$X$500,$K193))</f>
        <v/>
      </c>
      <c r="J193" s="8">
        <f>IF($K193="","",INDEX(מלאי!$AC$2:$AC$500,$K193))</f>
        <v/>
      </c>
      <c r="K19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173),"")</f>
        <v/>
      </c>
    </row>
    <row r="194">
      <c r="A194" s="9">
        <f>IF($K194="","",INDEX(מלאי!$D$2:$D$500,$K194))</f>
        <v/>
      </c>
      <c r="B194" s="9">
        <f>IF($K194="","",INDEX(מלאי!$B$2:$B$500,$K194))</f>
        <v/>
      </c>
      <c r="C194" s="9">
        <f>IF($K194="","",INDEX(מלאי!$C$2:$C$500,$K194))</f>
        <v/>
      </c>
      <c r="D194" s="9">
        <f>IF($K194="","",INDEX(מלאי!$G$2:$G$500,$K194))</f>
        <v/>
      </c>
      <c r="E194" s="9">
        <f>IF($K194="","",INDEX(מלאי!$M$2:$M$500,$K194))</f>
        <v/>
      </c>
      <c r="F194" s="9">
        <f>IF($K194="","",INDEX(מלאי!$N$2:$N$500,$K194))</f>
        <v/>
      </c>
      <c r="G194" s="9">
        <f>IF($K194="","",INDEX(מלאי!$O$2:$O$500,$K194))</f>
        <v/>
      </c>
      <c r="H194" s="9">
        <f>IF($K194="","",INDEX(מלאי!$U$2:$U$500,$K194))</f>
        <v/>
      </c>
      <c r="I194" s="9">
        <f>IF($K194="","",INDEX(מלאי!$X$2:$X$500,$K194))</f>
        <v/>
      </c>
      <c r="J194" s="9">
        <f>IF($K194="","",INDEX(מלאי!$AC$2:$AC$500,$K194))</f>
        <v/>
      </c>
      <c r="K19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174),"")</f>
        <v/>
      </c>
    </row>
    <row r="195">
      <c r="A195" s="8">
        <f>IF($K195="","",INDEX(מלאי!$D$2:$D$500,$K195))</f>
        <v/>
      </c>
      <c r="B195" s="8">
        <f>IF($K195="","",INDEX(מלאי!$B$2:$B$500,$K195))</f>
        <v/>
      </c>
      <c r="C195" s="8">
        <f>IF($K195="","",INDEX(מלאי!$C$2:$C$500,$K195))</f>
        <v/>
      </c>
      <c r="D195" s="8">
        <f>IF($K195="","",INDEX(מלאי!$G$2:$G$500,$K195))</f>
        <v/>
      </c>
      <c r="E195" s="8">
        <f>IF($K195="","",INDEX(מלאי!$M$2:$M$500,$K195))</f>
        <v/>
      </c>
      <c r="F195" s="8">
        <f>IF($K195="","",INDEX(מלאי!$N$2:$N$500,$K195))</f>
        <v/>
      </c>
      <c r="G195" s="8">
        <f>IF($K195="","",INDEX(מלאי!$O$2:$O$500,$K195))</f>
        <v/>
      </c>
      <c r="H195" s="8">
        <f>IF($K195="","",INDEX(מלאי!$U$2:$U$500,$K195))</f>
        <v/>
      </c>
      <c r="I195" s="8">
        <f>IF($K195="","",INDEX(מלאי!$X$2:$X$500,$K195))</f>
        <v/>
      </c>
      <c r="J195" s="8">
        <f>IF($K195="","",INDEX(מלאי!$AC$2:$AC$500,$K195))</f>
        <v/>
      </c>
      <c r="K19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175),"")</f>
        <v/>
      </c>
    </row>
    <row r="196">
      <c r="A196" s="9">
        <f>IF($K196="","",INDEX(מלאי!$D$2:$D$500,$K196))</f>
        <v/>
      </c>
      <c r="B196" s="9">
        <f>IF($K196="","",INDEX(מלאי!$B$2:$B$500,$K196))</f>
        <v/>
      </c>
      <c r="C196" s="9">
        <f>IF($K196="","",INDEX(מלאי!$C$2:$C$500,$K196))</f>
        <v/>
      </c>
      <c r="D196" s="9">
        <f>IF($K196="","",INDEX(מלאי!$G$2:$G$500,$K196))</f>
        <v/>
      </c>
      <c r="E196" s="9">
        <f>IF($K196="","",INDEX(מלאי!$M$2:$M$500,$K196))</f>
        <v/>
      </c>
      <c r="F196" s="9">
        <f>IF($K196="","",INDEX(מלאי!$N$2:$N$500,$K196))</f>
        <v/>
      </c>
      <c r="G196" s="9">
        <f>IF($K196="","",INDEX(מלאי!$O$2:$O$500,$K196))</f>
        <v/>
      </c>
      <c r="H196" s="9">
        <f>IF($K196="","",INDEX(מלאי!$U$2:$U$500,$K196))</f>
        <v/>
      </c>
      <c r="I196" s="9">
        <f>IF($K196="","",INDEX(מלאי!$X$2:$X$500,$K196))</f>
        <v/>
      </c>
      <c r="J196" s="9">
        <f>IF($K196="","",INDEX(מלאי!$AC$2:$AC$500,$K196))</f>
        <v/>
      </c>
      <c r="K19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176),"")</f>
        <v/>
      </c>
    </row>
    <row r="197">
      <c r="A197" s="8">
        <f>IF($K197="","",INDEX(מלאי!$D$2:$D$500,$K197))</f>
        <v/>
      </c>
      <c r="B197" s="8">
        <f>IF($K197="","",INDEX(מלאי!$B$2:$B$500,$K197))</f>
        <v/>
      </c>
      <c r="C197" s="8">
        <f>IF($K197="","",INDEX(מלאי!$C$2:$C$500,$K197))</f>
        <v/>
      </c>
      <c r="D197" s="8">
        <f>IF($K197="","",INDEX(מלאי!$G$2:$G$500,$K197))</f>
        <v/>
      </c>
      <c r="E197" s="8">
        <f>IF($K197="","",INDEX(מלאי!$M$2:$M$500,$K197))</f>
        <v/>
      </c>
      <c r="F197" s="8">
        <f>IF($K197="","",INDEX(מלאי!$N$2:$N$500,$K197))</f>
        <v/>
      </c>
      <c r="G197" s="8">
        <f>IF($K197="","",INDEX(מלאי!$O$2:$O$500,$K197))</f>
        <v/>
      </c>
      <c r="H197" s="8">
        <f>IF($K197="","",INDEX(מלאי!$U$2:$U$500,$K197))</f>
        <v/>
      </c>
      <c r="I197" s="8">
        <f>IF($K197="","",INDEX(מלאי!$X$2:$X$500,$K197))</f>
        <v/>
      </c>
      <c r="J197" s="8">
        <f>IF($K197="","",INDEX(מלאי!$AC$2:$AC$500,$K197))</f>
        <v/>
      </c>
      <c r="K19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177),"")</f>
        <v/>
      </c>
    </row>
    <row r="198">
      <c r="A198" s="9">
        <f>IF($K198="","",INDEX(מלאי!$D$2:$D$500,$K198))</f>
        <v/>
      </c>
      <c r="B198" s="9">
        <f>IF($K198="","",INDEX(מלאי!$B$2:$B$500,$K198))</f>
        <v/>
      </c>
      <c r="C198" s="9">
        <f>IF($K198="","",INDEX(מלאי!$C$2:$C$500,$K198))</f>
        <v/>
      </c>
      <c r="D198" s="9">
        <f>IF($K198="","",INDEX(מלאי!$G$2:$G$500,$K198))</f>
        <v/>
      </c>
      <c r="E198" s="9">
        <f>IF($K198="","",INDEX(מלאי!$M$2:$M$500,$K198))</f>
        <v/>
      </c>
      <c r="F198" s="9">
        <f>IF($K198="","",INDEX(מלאי!$N$2:$N$500,$K198))</f>
        <v/>
      </c>
      <c r="G198" s="9">
        <f>IF($K198="","",INDEX(מלאי!$O$2:$O$500,$K198))</f>
        <v/>
      </c>
      <c r="H198" s="9">
        <f>IF($K198="","",INDEX(מלאי!$U$2:$U$500,$K198))</f>
        <v/>
      </c>
      <c r="I198" s="9">
        <f>IF($K198="","",INDEX(מלאי!$X$2:$X$500,$K198))</f>
        <v/>
      </c>
      <c r="J198" s="9">
        <f>IF($K198="","",INDEX(מלאי!$AC$2:$AC$500,$K198))</f>
        <v/>
      </c>
      <c r="K19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178),"")</f>
        <v/>
      </c>
    </row>
    <row r="199">
      <c r="A199" s="8">
        <f>IF($K199="","",INDEX(מלאי!$D$2:$D$500,$K199))</f>
        <v/>
      </c>
      <c r="B199" s="8">
        <f>IF($K199="","",INDEX(מלאי!$B$2:$B$500,$K199))</f>
        <v/>
      </c>
      <c r="C199" s="8">
        <f>IF($K199="","",INDEX(מלאי!$C$2:$C$500,$K199))</f>
        <v/>
      </c>
      <c r="D199" s="8">
        <f>IF($K199="","",INDEX(מלאי!$G$2:$G$500,$K199))</f>
        <v/>
      </c>
      <c r="E199" s="8">
        <f>IF($K199="","",INDEX(מלאי!$M$2:$M$500,$K199))</f>
        <v/>
      </c>
      <c r="F199" s="8">
        <f>IF($K199="","",INDEX(מלאי!$N$2:$N$500,$K199))</f>
        <v/>
      </c>
      <c r="G199" s="8">
        <f>IF($K199="","",INDEX(מלאי!$O$2:$O$500,$K199))</f>
        <v/>
      </c>
      <c r="H199" s="8">
        <f>IF($K199="","",INDEX(מלאי!$U$2:$U$500,$K199))</f>
        <v/>
      </c>
      <c r="I199" s="8">
        <f>IF($K199="","",INDEX(מלאי!$X$2:$X$500,$K199))</f>
        <v/>
      </c>
      <c r="J199" s="8">
        <f>IF($K199="","",INDEX(מלאי!$AC$2:$AC$500,$K199))</f>
        <v/>
      </c>
      <c r="K19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179),"")</f>
        <v/>
      </c>
    </row>
    <row r="200">
      <c r="A200" s="9">
        <f>IF($K200="","",INDEX(מלאי!$D$2:$D$500,$K200))</f>
        <v/>
      </c>
      <c r="B200" s="9">
        <f>IF($K200="","",INDEX(מלאי!$B$2:$B$500,$K200))</f>
        <v/>
      </c>
      <c r="C200" s="9">
        <f>IF($K200="","",INDEX(מלאי!$C$2:$C$500,$K200))</f>
        <v/>
      </c>
      <c r="D200" s="9">
        <f>IF($K200="","",INDEX(מלאי!$G$2:$G$500,$K200))</f>
        <v/>
      </c>
      <c r="E200" s="9">
        <f>IF($K200="","",INDEX(מלאי!$M$2:$M$500,$K200))</f>
        <v/>
      </c>
      <c r="F200" s="9">
        <f>IF($K200="","",INDEX(מלאי!$N$2:$N$500,$K200))</f>
        <v/>
      </c>
      <c r="G200" s="9">
        <f>IF($K200="","",INDEX(מלאי!$O$2:$O$500,$K200))</f>
        <v/>
      </c>
      <c r="H200" s="9">
        <f>IF($K200="","",INDEX(מלאי!$U$2:$U$500,$K200))</f>
        <v/>
      </c>
      <c r="I200" s="9">
        <f>IF($K200="","",INDEX(מלאי!$X$2:$X$500,$K200))</f>
        <v/>
      </c>
      <c r="J200" s="9">
        <f>IF($K200="","",INDEX(מלאי!$AC$2:$AC$500,$K200))</f>
        <v/>
      </c>
      <c r="K20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180),"")</f>
        <v/>
      </c>
    </row>
    <row r="201">
      <c r="A201" s="8">
        <f>IF($K201="","",INDEX(מלאי!$D$2:$D$500,$K201))</f>
        <v/>
      </c>
      <c r="B201" s="8">
        <f>IF($K201="","",INDEX(מלאי!$B$2:$B$500,$K201))</f>
        <v/>
      </c>
      <c r="C201" s="8">
        <f>IF($K201="","",INDEX(מלאי!$C$2:$C$500,$K201))</f>
        <v/>
      </c>
      <c r="D201" s="8">
        <f>IF($K201="","",INDEX(מלאי!$G$2:$G$500,$K201))</f>
        <v/>
      </c>
      <c r="E201" s="8">
        <f>IF($K201="","",INDEX(מלאי!$M$2:$M$500,$K201))</f>
        <v/>
      </c>
      <c r="F201" s="8">
        <f>IF($K201="","",INDEX(מלאי!$N$2:$N$500,$K201))</f>
        <v/>
      </c>
      <c r="G201" s="8">
        <f>IF($K201="","",INDEX(מלאי!$O$2:$O$500,$K201))</f>
        <v/>
      </c>
      <c r="H201" s="8">
        <f>IF($K201="","",INDEX(מלאי!$U$2:$U$500,$K201))</f>
        <v/>
      </c>
      <c r="I201" s="8">
        <f>IF($K201="","",INDEX(מלאי!$X$2:$X$500,$K201))</f>
        <v/>
      </c>
      <c r="J201" s="8">
        <f>IF($K201="","",INDEX(מלאי!$AC$2:$AC$500,$K201))</f>
        <v/>
      </c>
      <c r="K20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181),"")</f>
        <v/>
      </c>
    </row>
    <row r="202">
      <c r="A202" s="9">
        <f>IF($K202="","",INDEX(מלאי!$D$2:$D$500,$K202))</f>
        <v/>
      </c>
      <c r="B202" s="9">
        <f>IF($K202="","",INDEX(מלאי!$B$2:$B$500,$K202))</f>
        <v/>
      </c>
      <c r="C202" s="9">
        <f>IF($K202="","",INDEX(מלאי!$C$2:$C$500,$K202))</f>
        <v/>
      </c>
      <c r="D202" s="9">
        <f>IF($K202="","",INDEX(מלאי!$G$2:$G$500,$K202))</f>
        <v/>
      </c>
      <c r="E202" s="9">
        <f>IF($K202="","",INDEX(מלאי!$M$2:$M$500,$K202))</f>
        <v/>
      </c>
      <c r="F202" s="9">
        <f>IF($K202="","",INDEX(מלאי!$N$2:$N$500,$K202))</f>
        <v/>
      </c>
      <c r="G202" s="9">
        <f>IF($K202="","",INDEX(מלאי!$O$2:$O$500,$K202))</f>
        <v/>
      </c>
      <c r="H202" s="9">
        <f>IF($K202="","",INDEX(מלאי!$U$2:$U$500,$K202))</f>
        <v/>
      </c>
      <c r="I202" s="9">
        <f>IF($K202="","",INDEX(מלאי!$X$2:$X$500,$K202))</f>
        <v/>
      </c>
      <c r="J202" s="9">
        <f>IF($K202="","",INDEX(מלאי!$AC$2:$AC$500,$K202))</f>
        <v/>
      </c>
      <c r="K20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182),"")</f>
        <v/>
      </c>
    </row>
    <row r="203">
      <c r="A203" s="8">
        <f>IF($K203="","",INDEX(מלאי!$D$2:$D$500,$K203))</f>
        <v/>
      </c>
      <c r="B203" s="8">
        <f>IF($K203="","",INDEX(מלאי!$B$2:$B$500,$K203))</f>
        <v/>
      </c>
      <c r="C203" s="8">
        <f>IF($K203="","",INDEX(מלאי!$C$2:$C$500,$K203))</f>
        <v/>
      </c>
      <c r="D203" s="8">
        <f>IF($K203="","",INDEX(מלאי!$G$2:$G$500,$K203))</f>
        <v/>
      </c>
      <c r="E203" s="8">
        <f>IF($K203="","",INDEX(מלאי!$M$2:$M$500,$K203))</f>
        <v/>
      </c>
      <c r="F203" s="8">
        <f>IF($K203="","",INDEX(מלאי!$N$2:$N$500,$K203))</f>
        <v/>
      </c>
      <c r="G203" s="8">
        <f>IF($K203="","",INDEX(מלאי!$O$2:$O$500,$K203))</f>
        <v/>
      </c>
      <c r="H203" s="8">
        <f>IF($K203="","",INDEX(מלאי!$U$2:$U$500,$K203))</f>
        <v/>
      </c>
      <c r="I203" s="8">
        <f>IF($K203="","",INDEX(מלאי!$X$2:$X$500,$K203))</f>
        <v/>
      </c>
      <c r="J203" s="8">
        <f>IF($K203="","",INDEX(מלאי!$AC$2:$AC$500,$K203))</f>
        <v/>
      </c>
      <c r="K20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183),"")</f>
        <v/>
      </c>
    </row>
    <row r="204">
      <c r="A204" s="9">
        <f>IF($K204="","",INDEX(מלאי!$D$2:$D$500,$K204))</f>
        <v/>
      </c>
      <c r="B204" s="9">
        <f>IF($K204="","",INDEX(מלאי!$B$2:$B$500,$K204))</f>
        <v/>
      </c>
      <c r="C204" s="9">
        <f>IF($K204="","",INDEX(מלאי!$C$2:$C$500,$K204))</f>
        <v/>
      </c>
      <c r="D204" s="9">
        <f>IF($K204="","",INDEX(מלאי!$G$2:$G$500,$K204))</f>
        <v/>
      </c>
      <c r="E204" s="9">
        <f>IF($K204="","",INDEX(מלאי!$M$2:$M$500,$K204))</f>
        <v/>
      </c>
      <c r="F204" s="9">
        <f>IF($K204="","",INDEX(מלאי!$N$2:$N$500,$K204))</f>
        <v/>
      </c>
      <c r="G204" s="9">
        <f>IF($K204="","",INDEX(מלאי!$O$2:$O$500,$K204))</f>
        <v/>
      </c>
      <c r="H204" s="9">
        <f>IF($K204="","",INDEX(מלאי!$U$2:$U$500,$K204))</f>
        <v/>
      </c>
      <c r="I204" s="9">
        <f>IF($K204="","",INDEX(מלאי!$X$2:$X$500,$K204))</f>
        <v/>
      </c>
      <c r="J204" s="9">
        <f>IF($K204="","",INDEX(מלאי!$AC$2:$AC$500,$K204))</f>
        <v/>
      </c>
      <c r="K20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184),"")</f>
        <v/>
      </c>
    </row>
    <row r="205">
      <c r="A205" s="8">
        <f>IF($K205="","",INDEX(מלאי!$D$2:$D$500,$K205))</f>
        <v/>
      </c>
      <c r="B205" s="8">
        <f>IF($K205="","",INDEX(מלאי!$B$2:$B$500,$K205))</f>
        <v/>
      </c>
      <c r="C205" s="8">
        <f>IF($K205="","",INDEX(מלאי!$C$2:$C$500,$K205))</f>
        <v/>
      </c>
      <c r="D205" s="8">
        <f>IF($K205="","",INDEX(מלאי!$G$2:$G$500,$K205))</f>
        <v/>
      </c>
      <c r="E205" s="8">
        <f>IF($K205="","",INDEX(מלאי!$M$2:$M$500,$K205))</f>
        <v/>
      </c>
      <c r="F205" s="8">
        <f>IF($K205="","",INDEX(מלאי!$N$2:$N$500,$K205))</f>
        <v/>
      </c>
      <c r="G205" s="8">
        <f>IF($K205="","",INDEX(מלאי!$O$2:$O$500,$K205))</f>
        <v/>
      </c>
      <c r="H205" s="8">
        <f>IF($K205="","",INDEX(מלאי!$U$2:$U$500,$K205))</f>
        <v/>
      </c>
      <c r="I205" s="8">
        <f>IF($K205="","",INDEX(מלאי!$X$2:$X$500,$K205))</f>
        <v/>
      </c>
      <c r="J205" s="8">
        <f>IF($K205="","",INDEX(מלאי!$AC$2:$AC$500,$K205))</f>
        <v/>
      </c>
      <c r="K20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185),"")</f>
        <v/>
      </c>
    </row>
    <row r="206">
      <c r="A206" s="9">
        <f>IF($K206="","",INDEX(מלאי!$D$2:$D$500,$K206))</f>
        <v/>
      </c>
      <c r="B206" s="9">
        <f>IF($K206="","",INDEX(מלאי!$B$2:$B$500,$K206))</f>
        <v/>
      </c>
      <c r="C206" s="9">
        <f>IF($K206="","",INDEX(מלאי!$C$2:$C$500,$K206))</f>
        <v/>
      </c>
      <c r="D206" s="9">
        <f>IF($K206="","",INDEX(מלאי!$G$2:$G$500,$K206))</f>
        <v/>
      </c>
      <c r="E206" s="9">
        <f>IF($K206="","",INDEX(מלאי!$M$2:$M$500,$K206))</f>
        <v/>
      </c>
      <c r="F206" s="9">
        <f>IF($K206="","",INDEX(מלאי!$N$2:$N$500,$K206))</f>
        <v/>
      </c>
      <c r="G206" s="9">
        <f>IF($K206="","",INDEX(מלאי!$O$2:$O$500,$K206))</f>
        <v/>
      </c>
      <c r="H206" s="9">
        <f>IF($K206="","",INDEX(מלאי!$U$2:$U$500,$K206))</f>
        <v/>
      </c>
      <c r="I206" s="9">
        <f>IF($K206="","",INDEX(מלאי!$X$2:$X$500,$K206))</f>
        <v/>
      </c>
      <c r="J206" s="9">
        <f>IF($K206="","",INDEX(מלאי!$AC$2:$AC$500,$K206))</f>
        <v/>
      </c>
      <c r="K20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186),"")</f>
        <v/>
      </c>
    </row>
    <row r="207">
      <c r="A207" s="8">
        <f>IF($K207="","",INDEX(מלאי!$D$2:$D$500,$K207))</f>
        <v/>
      </c>
      <c r="B207" s="8">
        <f>IF($K207="","",INDEX(מלאי!$B$2:$B$500,$K207))</f>
        <v/>
      </c>
      <c r="C207" s="8">
        <f>IF($K207="","",INDEX(מלאי!$C$2:$C$500,$K207))</f>
        <v/>
      </c>
      <c r="D207" s="8">
        <f>IF($K207="","",INDEX(מלאי!$G$2:$G$500,$K207))</f>
        <v/>
      </c>
      <c r="E207" s="8">
        <f>IF($K207="","",INDEX(מלאי!$M$2:$M$500,$K207))</f>
        <v/>
      </c>
      <c r="F207" s="8">
        <f>IF($K207="","",INDEX(מלאי!$N$2:$N$500,$K207))</f>
        <v/>
      </c>
      <c r="G207" s="8">
        <f>IF($K207="","",INDEX(מלאי!$O$2:$O$500,$K207))</f>
        <v/>
      </c>
      <c r="H207" s="8">
        <f>IF($K207="","",INDEX(מלאי!$U$2:$U$500,$K207))</f>
        <v/>
      </c>
      <c r="I207" s="8">
        <f>IF($K207="","",INDEX(מלאי!$X$2:$X$500,$K207))</f>
        <v/>
      </c>
      <c r="J207" s="8">
        <f>IF($K207="","",INDEX(מלאי!$AC$2:$AC$500,$K207))</f>
        <v/>
      </c>
      <c r="K20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187),"")</f>
        <v/>
      </c>
    </row>
    <row r="208">
      <c r="A208" s="9">
        <f>IF($K208="","",INDEX(מלאי!$D$2:$D$500,$K208))</f>
        <v/>
      </c>
      <c r="B208" s="9">
        <f>IF($K208="","",INDEX(מלאי!$B$2:$B$500,$K208))</f>
        <v/>
      </c>
      <c r="C208" s="9">
        <f>IF($K208="","",INDEX(מלאי!$C$2:$C$500,$K208))</f>
        <v/>
      </c>
      <c r="D208" s="9">
        <f>IF($K208="","",INDEX(מלאי!$G$2:$G$500,$K208))</f>
        <v/>
      </c>
      <c r="E208" s="9">
        <f>IF($K208="","",INDEX(מלאי!$M$2:$M$500,$K208))</f>
        <v/>
      </c>
      <c r="F208" s="9">
        <f>IF($K208="","",INDEX(מלאי!$N$2:$N$500,$K208))</f>
        <v/>
      </c>
      <c r="G208" s="9">
        <f>IF($K208="","",INDEX(מלאי!$O$2:$O$500,$K208))</f>
        <v/>
      </c>
      <c r="H208" s="9">
        <f>IF($K208="","",INDEX(מלאי!$U$2:$U$500,$K208))</f>
        <v/>
      </c>
      <c r="I208" s="9">
        <f>IF($K208="","",INDEX(מלאי!$X$2:$X$500,$K208))</f>
        <v/>
      </c>
      <c r="J208" s="9">
        <f>IF($K208="","",INDEX(מלאי!$AC$2:$AC$500,$K208))</f>
        <v/>
      </c>
      <c r="K20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188),"")</f>
        <v/>
      </c>
    </row>
    <row r="209">
      <c r="A209" s="8">
        <f>IF($K209="","",INDEX(מלאי!$D$2:$D$500,$K209))</f>
        <v/>
      </c>
      <c r="B209" s="8">
        <f>IF($K209="","",INDEX(מלאי!$B$2:$B$500,$K209))</f>
        <v/>
      </c>
      <c r="C209" s="8">
        <f>IF($K209="","",INDEX(מלאי!$C$2:$C$500,$K209))</f>
        <v/>
      </c>
      <c r="D209" s="8">
        <f>IF($K209="","",INDEX(מלאי!$G$2:$G$500,$K209))</f>
        <v/>
      </c>
      <c r="E209" s="8">
        <f>IF($K209="","",INDEX(מלאי!$M$2:$M$500,$K209))</f>
        <v/>
      </c>
      <c r="F209" s="8">
        <f>IF($K209="","",INDEX(מלאי!$N$2:$N$500,$K209))</f>
        <v/>
      </c>
      <c r="G209" s="8">
        <f>IF($K209="","",INDEX(מלאי!$O$2:$O$500,$K209))</f>
        <v/>
      </c>
      <c r="H209" s="8">
        <f>IF($K209="","",INDEX(מלאי!$U$2:$U$500,$K209))</f>
        <v/>
      </c>
      <c r="I209" s="8">
        <f>IF($K209="","",INDEX(מלאי!$X$2:$X$500,$K209))</f>
        <v/>
      </c>
      <c r="J209" s="8">
        <f>IF($K209="","",INDEX(מלאי!$AC$2:$AC$500,$K209))</f>
        <v/>
      </c>
      <c r="K20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189),"")</f>
        <v/>
      </c>
    </row>
    <row r="210">
      <c r="A210" s="9">
        <f>IF($K210="","",INDEX(מלאי!$D$2:$D$500,$K210))</f>
        <v/>
      </c>
      <c r="B210" s="9">
        <f>IF($K210="","",INDEX(מלאי!$B$2:$B$500,$K210))</f>
        <v/>
      </c>
      <c r="C210" s="9">
        <f>IF($K210="","",INDEX(מלאי!$C$2:$C$500,$K210))</f>
        <v/>
      </c>
      <c r="D210" s="9">
        <f>IF($K210="","",INDEX(מלאי!$G$2:$G$500,$K210))</f>
        <v/>
      </c>
      <c r="E210" s="9">
        <f>IF($K210="","",INDEX(מלאי!$M$2:$M$500,$K210))</f>
        <v/>
      </c>
      <c r="F210" s="9">
        <f>IF($K210="","",INDEX(מלאי!$N$2:$N$500,$K210))</f>
        <v/>
      </c>
      <c r="G210" s="9">
        <f>IF($K210="","",INDEX(מלאי!$O$2:$O$500,$K210))</f>
        <v/>
      </c>
      <c r="H210" s="9">
        <f>IF($K210="","",INDEX(מלאי!$U$2:$U$500,$K210))</f>
        <v/>
      </c>
      <c r="I210" s="9">
        <f>IF($K210="","",INDEX(מלאי!$X$2:$X$500,$K210))</f>
        <v/>
      </c>
      <c r="J210" s="9">
        <f>IF($K210="","",INDEX(מלאי!$AC$2:$AC$500,$K210))</f>
        <v/>
      </c>
      <c r="K21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190),"")</f>
        <v/>
      </c>
    </row>
    <row r="211">
      <c r="A211" s="8">
        <f>IF($K211="","",INDEX(מלאי!$D$2:$D$500,$K211))</f>
        <v/>
      </c>
      <c r="B211" s="8">
        <f>IF($K211="","",INDEX(מלאי!$B$2:$B$500,$K211))</f>
        <v/>
      </c>
      <c r="C211" s="8">
        <f>IF($K211="","",INDEX(מלאי!$C$2:$C$500,$K211))</f>
        <v/>
      </c>
      <c r="D211" s="8">
        <f>IF($K211="","",INDEX(מלאי!$G$2:$G$500,$K211))</f>
        <v/>
      </c>
      <c r="E211" s="8">
        <f>IF($K211="","",INDEX(מלאי!$M$2:$M$500,$K211))</f>
        <v/>
      </c>
      <c r="F211" s="8">
        <f>IF($K211="","",INDEX(מלאי!$N$2:$N$500,$K211))</f>
        <v/>
      </c>
      <c r="G211" s="8">
        <f>IF($K211="","",INDEX(מלאי!$O$2:$O$500,$K211))</f>
        <v/>
      </c>
      <c r="H211" s="8">
        <f>IF($K211="","",INDEX(מלאי!$U$2:$U$500,$K211))</f>
        <v/>
      </c>
      <c r="I211" s="8">
        <f>IF($K211="","",INDEX(מלאי!$X$2:$X$500,$K211))</f>
        <v/>
      </c>
      <c r="J211" s="8">
        <f>IF($K211="","",INDEX(מלאי!$AC$2:$AC$500,$K211))</f>
        <v/>
      </c>
      <c r="K21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191),"")</f>
        <v/>
      </c>
    </row>
    <row r="212">
      <c r="A212" s="9">
        <f>IF($K212="","",INDEX(מלאי!$D$2:$D$500,$K212))</f>
        <v/>
      </c>
      <c r="B212" s="9">
        <f>IF($K212="","",INDEX(מלאי!$B$2:$B$500,$K212))</f>
        <v/>
      </c>
      <c r="C212" s="9">
        <f>IF($K212="","",INDEX(מלאי!$C$2:$C$500,$K212))</f>
        <v/>
      </c>
      <c r="D212" s="9">
        <f>IF($K212="","",INDEX(מלאי!$G$2:$G$500,$K212))</f>
        <v/>
      </c>
      <c r="E212" s="9">
        <f>IF($K212="","",INDEX(מלאי!$M$2:$M$500,$K212))</f>
        <v/>
      </c>
      <c r="F212" s="9">
        <f>IF($K212="","",INDEX(מלאי!$N$2:$N$500,$K212))</f>
        <v/>
      </c>
      <c r="G212" s="9">
        <f>IF($K212="","",INDEX(מלאי!$O$2:$O$500,$K212))</f>
        <v/>
      </c>
      <c r="H212" s="9">
        <f>IF($K212="","",INDEX(מלאי!$U$2:$U$500,$K212))</f>
        <v/>
      </c>
      <c r="I212" s="9">
        <f>IF($K212="","",INDEX(מלאי!$X$2:$X$500,$K212))</f>
        <v/>
      </c>
      <c r="J212" s="9">
        <f>IF($K212="","",INDEX(מלאי!$AC$2:$AC$500,$K212))</f>
        <v/>
      </c>
      <c r="K21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192),"")</f>
        <v/>
      </c>
    </row>
    <row r="213">
      <c r="A213" s="8">
        <f>IF($K213="","",INDEX(מלאי!$D$2:$D$500,$K213))</f>
        <v/>
      </c>
      <c r="B213" s="8">
        <f>IF($K213="","",INDEX(מלאי!$B$2:$B$500,$K213))</f>
        <v/>
      </c>
      <c r="C213" s="8">
        <f>IF($K213="","",INDEX(מלאי!$C$2:$C$500,$K213))</f>
        <v/>
      </c>
      <c r="D213" s="8">
        <f>IF($K213="","",INDEX(מלאי!$G$2:$G$500,$K213))</f>
        <v/>
      </c>
      <c r="E213" s="8">
        <f>IF($K213="","",INDEX(מלאי!$M$2:$M$500,$K213))</f>
        <v/>
      </c>
      <c r="F213" s="8">
        <f>IF($K213="","",INDEX(מלאי!$N$2:$N$500,$K213))</f>
        <v/>
      </c>
      <c r="G213" s="8">
        <f>IF($K213="","",INDEX(מלאי!$O$2:$O$500,$K213))</f>
        <v/>
      </c>
      <c r="H213" s="8">
        <f>IF($K213="","",INDEX(מלאי!$U$2:$U$500,$K213))</f>
        <v/>
      </c>
      <c r="I213" s="8">
        <f>IF($K213="","",INDEX(מלאי!$X$2:$X$500,$K213))</f>
        <v/>
      </c>
      <c r="J213" s="8">
        <f>IF($K213="","",INDEX(מלאי!$AC$2:$AC$500,$K213))</f>
        <v/>
      </c>
      <c r="K21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193),"")</f>
        <v/>
      </c>
    </row>
    <row r="214">
      <c r="A214" s="9">
        <f>IF($K214="","",INDEX(מלאי!$D$2:$D$500,$K214))</f>
        <v/>
      </c>
      <c r="B214" s="9">
        <f>IF($K214="","",INDEX(מלאי!$B$2:$B$500,$K214))</f>
        <v/>
      </c>
      <c r="C214" s="9">
        <f>IF($K214="","",INDEX(מלאי!$C$2:$C$500,$K214))</f>
        <v/>
      </c>
      <c r="D214" s="9">
        <f>IF($K214="","",INDEX(מלאי!$G$2:$G$500,$K214))</f>
        <v/>
      </c>
      <c r="E214" s="9">
        <f>IF($K214="","",INDEX(מלאי!$M$2:$M$500,$K214))</f>
        <v/>
      </c>
      <c r="F214" s="9">
        <f>IF($K214="","",INDEX(מלאי!$N$2:$N$500,$K214))</f>
        <v/>
      </c>
      <c r="G214" s="9">
        <f>IF($K214="","",INDEX(מלאי!$O$2:$O$500,$K214))</f>
        <v/>
      </c>
      <c r="H214" s="9">
        <f>IF($K214="","",INDEX(מלאי!$U$2:$U$500,$K214))</f>
        <v/>
      </c>
      <c r="I214" s="9">
        <f>IF($K214="","",INDEX(מלאי!$X$2:$X$500,$K214))</f>
        <v/>
      </c>
      <c r="J214" s="9">
        <f>IF($K214="","",INDEX(מלאי!$AC$2:$AC$500,$K214))</f>
        <v/>
      </c>
      <c r="K21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194),"")</f>
        <v/>
      </c>
    </row>
    <row r="215">
      <c r="A215" s="8">
        <f>IF($K215="","",INDEX(מלאי!$D$2:$D$500,$K215))</f>
        <v/>
      </c>
      <c r="B215" s="8">
        <f>IF($K215="","",INDEX(מלאי!$B$2:$B$500,$K215))</f>
        <v/>
      </c>
      <c r="C215" s="8">
        <f>IF($K215="","",INDEX(מלאי!$C$2:$C$500,$K215))</f>
        <v/>
      </c>
      <c r="D215" s="8">
        <f>IF($K215="","",INDEX(מלאי!$G$2:$G$500,$K215))</f>
        <v/>
      </c>
      <c r="E215" s="8">
        <f>IF($K215="","",INDEX(מלאי!$M$2:$M$500,$K215))</f>
        <v/>
      </c>
      <c r="F215" s="8">
        <f>IF($K215="","",INDEX(מלאי!$N$2:$N$500,$K215))</f>
        <v/>
      </c>
      <c r="G215" s="8">
        <f>IF($K215="","",INDEX(מלאי!$O$2:$O$500,$K215))</f>
        <v/>
      </c>
      <c r="H215" s="8">
        <f>IF($K215="","",INDEX(מלאי!$U$2:$U$500,$K215))</f>
        <v/>
      </c>
      <c r="I215" s="8">
        <f>IF($K215="","",INDEX(מלאי!$X$2:$X$500,$K215))</f>
        <v/>
      </c>
      <c r="J215" s="8">
        <f>IF($K215="","",INDEX(מלאי!$AC$2:$AC$500,$K215))</f>
        <v/>
      </c>
      <c r="K21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195),"")</f>
        <v/>
      </c>
    </row>
    <row r="216">
      <c r="A216" s="9">
        <f>IF($K216="","",INDEX(מלאי!$D$2:$D$500,$K216))</f>
        <v/>
      </c>
      <c r="B216" s="9">
        <f>IF($K216="","",INDEX(מלאי!$B$2:$B$500,$K216))</f>
        <v/>
      </c>
      <c r="C216" s="9">
        <f>IF($K216="","",INDEX(מלאי!$C$2:$C$500,$K216))</f>
        <v/>
      </c>
      <c r="D216" s="9">
        <f>IF($K216="","",INDEX(מלאי!$G$2:$G$500,$K216))</f>
        <v/>
      </c>
      <c r="E216" s="9">
        <f>IF($K216="","",INDEX(מלאי!$M$2:$M$500,$K216))</f>
        <v/>
      </c>
      <c r="F216" s="9">
        <f>IF($K216="","",INDEX(מלאי!$N$2:$N$500,$K216))</f>
        <v/>
      </c>
      <c r="G216" s="9">
        <f>IF($K216="","",INDEX(מלאי!$O$2:$O$500,$K216))</f>
        <v/>
      </c>
      <c r="H216" s="9">
        <f>IF($K216="","",INDEX(מלאי!$U$2:$U$500,$K216))</f>
        <v/>
      </c>
      <c r="I216" s="9">
        <f>IF($K216="","",INDEX(מלאי!$X$2:$X$500,$K216))</f>
        <v/>
      </c>
      <c r="J216" s="9">
        <f>IF($K216="","",INDEX(מלאי!$AC$2:$AC$500,$K216))</f>
        <v/>
      </c>
      <c r="K21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196),"")</f>
        <v/>
      </c>
    </row>
    <row r="217">
      <c r="A217" s="8">
        <f>IF($K217="","",INDEX(מלאי!$D$2:$D$500,$K217))</f>
        <v/>
      </c>
      <c r="B217" s="8">
        <f>IF($K217="","",INDEX(מלאי!$B$2:$B$500,$K217))</f>
        <v/>
      </c>
      <c r="C217" s="8">
        <f>IF($K217="","",INDEX(מלאי!$C$2:$C$500,$K217))</f>
        <v/>
      </c>
      <c r="D217" s="8">
        <f>IF($K217="","",INDEX(מלאי!$G$2:$G$500,$K217))</f>
        <v/>
      </c>
      <c r="E217" s="8">
        <f>IF($K217="","",INDEX(מלאי!$M$2:$M$500,$K217))</f>
        <v/>
      </c>
      <c r="F217" s="8">
        <f>IF($K217="","",INDEX(מלאי!$N$2:$N$500,$K217))</f>
        <v/>
      </c>
      <c r="G217" s="8">
        <f>IF($K217="","",INDEX(מלאי!$O$2:$O$500,$K217))</f>
        <v/>
      </c>
      <c r="H217" s="8">
        <f>IF($K217="","",INDEX(מלאי!$U$2:$U$500,$K217))</f>
        <v/>
      </c>
      <c r="I217" s="8">
        <f>IF($K217="","",INDEX(מלאי!$X$2:$X$500,$K217))</f>
        <v/>
      </c>
      <c r="J217" s="8">
        <f>IF($K217="","",INDEX(מלאי!$AC$2:$AC$500,$K217))</f>
        <v/>
      </c>
      <c r="K21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197),"")</f>
        <v/>
      </c>
    </row>
    <row r="218">
      <c r="A218" s="9">
        <f>IF($K218="","",INDEX(מלאי!$D$2:$D$500,$K218))</f>
        <v/>
      </c>
      <c r="B218" s="9">
        <f>IF($K218="","",INDEX(מלאי!$B$2:$B$500,$K218))</f>
        <v/>
      </c>
      <c r="C218" s="9">
        <f>IF($K218="","",INDEX(מלאי!$C$2:$C$500,$K218))</f>
        <v/>
      </c>
      <c r="D218" s="9">
        <f>IF($K218="","",INDEX(מלאי!$G$2:$G$500,$K218))</f>
        <v/>
      </c>
      <c r="E218" s="9">
        <f>IF($K218="","",INDEX(מלאי!$M$2:$M$500,$K218))</f>
        <v/>
      </c>
      <c r="F218" s="9">
        <f>IF($K218="","",INDEX(מלאי!$N$2:$N$500,$K218))</f>
        <v/>
      </c>
      <c r="G218" s="9">
        <f>IF($K218="","",INDEX(מלאי!$O$2:$O$500,$K218))</f>
        <v/>
      </c>
      <c r="H218" s="9">
        <f>IF($K218="","",INDEX(מלאי!$U$2:$U$500,$K218))</f>
        <v/>
      </c>
      <c r="I218" s="9">
        <f>IF($K218="","",INDEX(מלאי!$X$2:$X$500,$K218))</f>
        <v/>
      </c>
      <c r="J218" s="9">
        <f>IF($K218="","",INDEX(מלאי!$AC$2:$AC$500,$K218))</f>
        <v/>
      </c>
      <c r="K21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198),"")</f>
        <v/>
      </c>
    </row>
    <row r="219">
      <c r="A219" s="8">
        <f>IF($K219="","",INDEX(מלאי!$D$2:$D$500,$K219))</f>
        <v/>
      </c>
      <c r="B219" s="8">
        <f>IF($K219="","",INDEX(מלאי!$B$2:$B$500,$K219))</f>
        <v/>
      </c>
      <c r="C219" s="8">
        <f>IF($K219="","",INDEX(מלאי!$C$2:$C$500,$K219))</f>
        <v/>
      </c>
      <c r="D219" s="8">
        <f>IF($K219="","",INDEX(מלאי!$G$2:$G$500,$K219))</f>
        <v/>
      </c>
      <c r="E219" s="8">
        <f>IF($K219="","",INDEX(מלאי!$M$2:$M$500,$K219))</f>
        <v/>
      </c>
      <c r="F219" s="8">
        <f>IF($K219="","",INDEX(מלאי!$N$2:$N$500,$K219))</f>
        <v/>
      </c>
      <c r="G219" s="8">
        <f>IF($K219="","",INDEX(מלאי!$O$2:$O$500,$K219))</f>
        <v/>
      </c>
      <c r="H219" s="8">
        <f>IF($K219="","",INDEX(מלאי!$U$2:$U$500,$K219))</f>
        <v/>
      </c>
      <c r="I219" s="8">
        <f>IF($K219="","",INDEX(מלאי!$X$2:$X$500,$K219))</f>
        <v/>
      </c>
      <c r="J219" s="8">
        <f>IF($K219="","",INDEX(מלאי!$AC$2:$AC$500,$K219))</f>
        <v/>
      </c>
      <c r="K21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199),"")</f>
        <v/>
      </c>
    </row>
    <row r="220">
      <c r="A220" s="9">
        <f>IF($K220="","",INDEX(מלאי!$D$2:$D$500,$K220))</f>
        <v/>
      </c>
      <c r="B220" s="9">
        <f>IF($K220="","",INDEX(מלאי!$B$2:$B$500,$K220))</f>
        <v/>
      </c>
      <c r="C220" s="9">
        <f>IF($K220="","",INDEX(מלאי!$C$2:$C$500,$K220))</f>
        <v/>
      </c>
      <c r="D220" s="9">
        <f>IF($K220="","",INDEX(מלאי!$G$2:$G$500,$K220))</f>
        <v/>
      </c>
      <c r="E220" s="9">
        <f>IF($K220="","",INDEX(מלאי!$M$2:$M$500,$K220))</f>
        <v/>
      </c>
      <c r="F220" s="9">
        <f>IF($K220="","",INDEX(מלאי!$N$2:$N$500,$K220))</f>
        <v/>
      </c>
      <c r="G220" s="9">
        <f>IF($K220="","",INDEX(מלאי!$O$2:$O$500,$K220))</f>
        <v/>
      </c>
      <c r="H220" s="9">
        <f>IF($K220="","",INDEX(מלאי!$U$2:$U$500,$K220))</f>
        <v/>
      </c>
      <c r="I220" s="9">
        <f>IF($K220="","",INDEX(מלאי!$X$2:$X$500,$K220))</f>
        <v/>
      </c>
      <c r="J220" s="9">
        <f>IF($K220="","",INDEX(מלאי!$AC$2:$AC$500,$K220))</f>
        <v/>
      </c>
      <c r="K22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200),"")</f>
        <v/>
      </c>
    </row>
    <row r="221">
      <c r="A221" s="8">
        <f>IF($K221="","",INDEX(מלאי!$D$2:$D$500,$K221))</f>
        <v/>
      </c>
      <c r="B221" s="8">
        <f>IF($K221="","",INDEX(מלאי!$B$2:$B$500,$K221))</f>
        <v/>
      </c>
      <c r="C221" s="8">
        <f>IF($K221="","",INDEX(מלאי!$C$2:$C$500,$K221))</f>
        <v/>
      </c>
      <c r="D221" s="8">
        <f>IF($K221="","",INDEX(מלאי!$G$2:$G$500,$K221))</f>
        <v/>
      </c>
      <c r="E221" s="8">
        <f>IF($K221="","",INDEX(מלאי!$M$2:$M$500,$K221))</f>
        <v/>
      </c>
      <c r="F221" s="8">
        <f>IF($K221="","",INDEX(מלאי!$N$2:$N$500,$K221))</f>
        <v/>
      </c>
      <c r="G221" s="8">
        <f>IF($K221="","",INDEX(מלאי!$O$2:$O$500,$K221))</f>
        <v/>
      </c>
      <c r="H221" s="8">
        <f>IF($K221="","",INDEX(מלאי!$U$2:$U$500,$K221))</f>
        <v/>
      </c>
      <c r="I221" s="8">
        <f>IF($K221="","",INDEX(מלאי!$X$2:$X$500,$K221))</f>
        <v/>
      </c>
      <c r="J221" s="8">
        <f>IF($K221="","",INDEX(מלאי!$AC$2:$AC$500,$K221))</f>
        <v/>
      </c>
      <c r="K22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201),"")</f>
        <v/>
      </c>
    </row>
    <row r="222">
      <c r="A222" s="9">
        <f>IF($K222="","",INDEX(מלאי!$D$2:$D$500,$K222))</f>
        <v/>
      </c>
      <c r="B222" s="9">
        <f>IF($K222="","",INDEX(מלאי!$B$2:$B$500,$K222))</f>
        <v/>
      </c>
      <c r="C222" s="9">
        <f>IF($K222="","",INDEX(מלאי!$C$2:$C$500,$K222))</f>
        <v/>
      </c>
      <c r="D222" s="9">
        <f>IF($K222="","",INDEX(מלאי!$G$2:$G$500,$K222))</f>
        <v/>
      </c>
      <c r="E222" s="9">
        <f>IF($K222="","",INDEX(מלאי!$M$2:$M$500,$K222))</f>
        <v/>
      </c>
      <c r="F222" s="9">
        <f>IF($K222="","",INDEX(מלאי!$N$2:$N$500,$K222))</f>
        <v/>
      </c>
      <c r="G222" s="9">
        <f>IF($K222="","",INDEX(מלאי!$O$2:$O$500,$K222))</f>
        <v/>
      </c>
      <c r="H222" s="9">
        <f>IF($K222="","",INDEX(מלאי!$U$2:$U$500,$K222))</f>
        <v/>
      </c>
      <c r="I222" s="9">
        <f>IF($K222="","",INDEX(מלאי!$X$2:$X$500,$K222))</f>
        <v/>
      </c>
      <c r="J222" s="9">
        <f>IF($K222="","",INDEX(מלאי!$AC$2:$AC$500,$K222))</f>
        <v/>
      </c>
      <c r="K22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202),"")</f>
        <v/>
      </c>
    </row>
    <row r="223">
      <c r="A223" s="8">
        <f>IF($K223="","",INDEX(מלאי!$D$2:$D$500,$K223))</f>
        <v/>
      </c>
      <c r="B223" s="8">
        <f>IF($K223="","",INDEX(מלאי!$B$2:$B$500,$K223))</f>
        <v/>
      </c>
      <c r="C223" s="8">
        <f>IF($K223="","",INDEX(מלאי!$C$2:$C$500,$K223))</f>
        <v/>
      </c>
      <c r="D223" s="8">
        <f>IF($K223="","",INDEX(מלאי!$G$2:$G$500,$K223))</f>
        <v/>
      </c>
      <c r="E223" s="8">
        <f>IF($K223="","",INDEX(מלאי!$M$2:$M$500,$K223))</f>
        <v/>
      </c>
      <c r="F223" s="8">
        <f>IF($K223="","",INDEX(מלאי!$N$2:$N$500,$K223))</f>
        <v/>
      </c>
      <c r="G223" s="8">
        <f>IF($K223="","",INDEX(מלאי!$O$2:$O$500,$K223))</f>
        <v/>
      </c>
      <c r="H223" s="8">
        <f>IF($K223="","",INDEX(מלאי!$U$2:$U$500,$K223))</f>
        <v/>
      </c>
      <c r="I223" s="8">
        <f>IF($K223="","",INDEX(מלאי!$X$2:$X$500,$K223))</f>
        <v/>
      </c>
      <c r="J223" s="8">
        <f>IF($K223="","",INDEX(מלאי!$AC$2:$AC$500,$K223))</f>
        <v/>
      </c>
      <c r="K22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203),"")</f>
        <v/>
      </c>
    </row>
    <row r="224">
      <c r="A224" s="9">
        <f>IF($K224="","",INDEX(מלאי!$D$2:$D$500,$K224))</f>
        <v/>
      </c>
      <c r="B224" s="9">
        <f>IF($K224="","",INDEX(מלאי!$B$2:$B$500,$K224))</f>
        <v/>
      </c>
      <c r="C224" s="9">
        <f>IF($K224="","",INDEX(מלאי!$C$2:$C$500,$K224))</f>
        <v/>
      </c>
      <c r="D224" s="9">
        <f>IF($K224="","",INDEX(מלאי!$G$2:$G$500,$K224))</f>
        <v/>
      </c>
      <c r="E224" s="9">
        <f>IF($K224="","",INDEX(מלאי!$M$2:$M$500,$K224))</f>
        <v/>
      </c>
      <c r="F224" s="9">
        <f>IF($K224="","",INDEX(מלאי!$N$2:$N$500,$K224))</f>
        <v/>
      </c>
      <c r="G224" s="9">
        <f>IF($K224="","",INDEX(מלאי!$O$2:$O$500,$K224))</f>
        <v/>
      </c>
      <c r="H224" s="9">
        <f>IF($K224="","",INDEX(מלאי!$U$2:$U$500,$K224))</f>
        <v/>
      </c>
      <c r="I224" s="9">
        <f>IF($K224="","",INDEX(מלאי!$X$2:$X$500,$K224))</f>
        <v/>
      </c>
      <c r="J224" s="9">
        <f>IF($K224="","",INDEX(מלאי!$AC$2:$AC$500,$K224))</f>
        <v/>
      </c>
      <c r="K22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204),"")</f>
        <v/>
      </c>
    </row>
    <row r="225">
      <c r="A225" s="8">
        <f>IF($K225="","",INDEX(מלאי!$D$2:$D$500,$K225))</f>
        <v/>
      </c>
      <c r="B225" s="8">
        <f>IF($K225="","",INDEX(מלאי!$B$2:$B$500,$K225))</f>
        <v/>
      </c>
      <c r="C225" s="8">
        <f>IF($K225="","",INDEX(מלאי!$C$2:$C$500,$K225))</f>
        <v/>
      </c>
      <c r="D225" s="8">
        <f>IF($K225="","",INDEX(מלאי!$G$2:$G$500,$K225))</f>
        <v/>
      </c>
      <c r="E225" s="8">
        <f>IF($K225="","",INDEX(מלאי!$M$2:$M$500,$K225))</f>
        <v/>
      </c>
      <c r="F225" s="8">
        <f>IF($K225="","",INDEX(מלאי!$N$2:$N$500,$K225))</f>
        <v/>
      </c>
      <c r="G225" s="8">
        <f>IF($K225="","",INDEX(מלאי!$O$2:$O$500,$K225))</f>
        <v/>
      </c>
      <c r="H225" s="8">
        <f>IF($K225="","",INDEX(מלאי!$U$2:$U$500,$K225))</f>
        <v/>
      </c>
      <c r="I225" s="8">
        <f>IF($K225="","",INDEX(מלאי!$X$2:$X$500,$K225))</f>
        <v/>
      </c>
      <c r="J225" s="8">
        <f>IF($K225="","",INDEX(מלאי!$AC$2:$AC$500,$K225))</f>
        <v/>
      </c>
      <c r="K22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205),"")</f>
        <v/>
      </c>
    </row>
    <row r="226">
      <c r="A226" s="9">
        <f>IF($K226="","",INDEX(מלאי!$D$2:$D$500,$K226))</f>
        <v/>
      </c>
      <c r="B226" s="9">
        <f>IF($K226="","",INDEX(מלאי!$B$2:$B$500,$K226))</f>
        <v/>
      </c>
      <c r="C226" s="9">
        <f>IF($K226="","",INDEX(מלאי!$C$2:$C$500,$K226))</f>
        <v/>
      </c>
      <c r="D226" s="9">
        <f>IF($K226="","",INDEX(מלאי!$G$2:$G$500,$K226))</f>
        <v/>
      </c>
      <c r="E226" s="9">
        <f>IF($K226="","",INDEX(מלאי!$M$2:$M$500,$K226))</f>
        <v/>
      </c>
      <c r="F226" s="9">
        <f>IF($K226="","",INDEX(מלאי!$N$2:$N$500,$K226))</f>
        <v/>
      </c>
      <c r="G226" s="9">
        <f>IF($K226="","",INDEX(מלאי!$O$2:$O$500,$K226))</f>
        <v/>
      </c>
      <c r="H226" s="9">
        <f>IF($K226="","",INDEX(מלאי!$U$2:$U$500,$K226))</f>
        <v/>
      </c>
      <c r="I226" s="9">
        <f>IF($K226="","",INDEX(מלאי!$X$2:$X$500,$K226))</f>
        <v/>
      </c>
      <c r="J226" s="9">
        <f>IF($K226="","",INDEX(מלאי!$AC$2:$AC$500,$K226))</f>
        <v/>
      </c>
      <c r="K22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206),"")</f>
        <v/>
      </c>
    </row>
    <row r="227">
      <c r="A227" s="8">
        <f>IF($K227="","",INDEX(מלאי!$D$2:$D$500,$K227))</f>
        <v/>
      </c>
      <c r="B227" s="8">
        <f>IF($K227="","",INDEX(מלאי!$B$2:$B$500,$K227))</f>
        <v/>
      </c>
      <c r="C227" s="8">
        <f>IF($K227="","",INDEX(מלאי!$C$2:$C$500,$K227))</f>
        <v/>
      </c>
      <c r="D227" s="8">
        <f>IF($K227="","",INDEX(מלאי!$G$2:$G$500,$K227))</f>
        <v/>
      </c>
      <c r="E227" s="8">
        <f>IF($K227="","",INDEX(מלאי!$M$2:$M$500,$K227))</f>
        <v/>
      </c>
      <c r="F227" s="8">
        <f>IF($K227="","",INDEX(מלאי!$N$2:$N$500,$K227))</f>
        <v/>
      </c>
      <c r="G227" s="8">
        <f>IF($K227="","",INDEX(מלאי!$O$2:$O$500,$K227))</f>
        <v/>
      </c>
      <c r="H227" s="8">
        <f>IF($K227="","",INDEX(מלאי!$U$2:$U$500,$K227))</f>
        <v/>
      </c>
      <c r="I227" s="8">
        <f>IF($K227="","",INDEX(מלאי!$X$2:$X$500,$K227))</f>
        <v/>
      </c>
      <c r="J227" s="8">
        <f>IF($K227="","",INDEX(מלאי!$AC$2:$AC$500,$K227))</f>
        <v/>
      </c>
      <c r="K22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207),"")</f>
        <v/>
      </c>
    </row>
    <row r="228">
      <c r="A228" s="9">
        <f>IF($K228="","",INDEX(מלאי!$D$2:$D$500,$K228))</f>
        <v/>
      </c>
      <c r="B228" s="9">
        <f>IF($K228="","",INDEX(מלאי!$B$2:$B$500,$K228))</f>
        <v/>
      </c>
      <c r="C228" s="9">
        <f>IF($K228="","",INDEX(מלאי!$C$2:$C$500,$K228))</f>
        <v/>
      </c>
      <c r="D228" s="9">
        <f>IF($K228="","",INDEX(מלאי!$G$2:$G$500,$K228))</f>
        <v/>
      </c>
      <c r="E228" s="9">
        <f>IF($K228="","",INDEX(מלאי!$M$2:$M$500,$K228))</f>
        <v/>
      </c>
      <c r="F228" s="9">
        <f>IF($K228="","",INDEX(מלאי!$N$2:$N$500,$K228))</f>
        <v/>
      </c>
      <c r="G228" s="9">
        <f>IF($K228="","",INDEX(מלאי!$O$2:$O$500,$K228))</f>
        <v/>
      </c>
      <c r="H228" s="9">
        <f>IF($K228="","",INDEX(מלאי!$U$2:$U$500,$K228))</f>
        <v/>
      </c>
      <c r="I228" s="9">
        <f>IF($K228="","",INDEX(מלאי!$X$2:$X$500,$K228))</f>
        <v/>
      </c>
      <c r="J228" s="9">
        <f>IF($K228="","",INDEX(מלאי!$AC$2:$AC$500,$K228))</f>
        <v/>
      </c>
      <c r="K22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208),"")</f>
        <v/>
      </c>
    </row>
    <row r="229">
      <c r="A229" s="8">
        <f>IF($K229="","",INDEX(מלאי!$D$2:$D$500,$K229))</f>
        <v/>
      </c>
      <c r="B229" s="8">
        <f>IF($K229="","",INDEX(מלאי!$B$2:$B$500,$K229))</f>
        <v/>
      </c>
      <c r="C229" s="8">
        <f>IF($K229="","",INDEX(מלאי!$C$2:$C$500,$K229))</f>
        <v/>
      </c>
      <c r="D229" s="8">
        <f>IF($K229="","",INDEX(מלאי!$G$2:$G$500,$K229))</f>
        <v/>
      </c>
      <c r="E229" s="8">
        <f>IF($K229="","",INDEX(מלאי!$M$2:$M$500,$K229))</f>
        <v/>
      </c>
      <c r="F229" s="8">
        <f>IF($K229="","",INDEX(מלאי!$N$2:$N$500,$K229))</f>
        <v/>
      </c>
      <c r="G229" s="8">
        <f>IF($K229="","",INDEX(מלאי!$O$2:$O$500,$K229))</f>
        <v/>
      </c>
      <c r="H229" s="8">
        <f>IF($K229="","",INDEX(מלאי!$U$2:$U$500,$K229))</f>
        <v/>
      </c>
      <c r="I229" s="8">
        <f>IF($K229="","",INDEX(מלאי!$X$2:$X$500,$K229))</f>
        <v/>
      </c>
      <c r="J229" s="8">
        <f>IF($K229="","",INDEX(מלאי!$AC$2:$AC$500,$K229))</f>
        <v/>
      </c>
      <c r="K22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209),"")</f>
        <v/>
      </c>
    </row>
    <row r="230">
      <c r="A230" s="9">
        <f>IF($K230="","",INDEX(מלאי!$D$2:$D$500,$K230))</f>
        <v/>
      </c>
      <c r="B230" s="9">
        <f>IF($K230="","",INDEX(מלאי!$B$2:$B$500,$K230))</f>
        <v/>
      </c>
      <c r="C230" s="9">
        <f>IF($K230="","",INDEX(מלאי!$C$2:$C$500,$K230))</f>
        <v/>
      </c>
      <c r="D230" s="9">
        <f>IF($K230="","",INDEX(מלאי!$G$2:$G$500,$K230))</f>
        <v/>
      </c>
      <c r="E230" s="9">
        <f>IF($K230="","",INDEX(מלאי!$M$2:$M$500,$K230))</f>
        <v/>
      </c>
      <c r="F230" s="9">
        <f>IF($K230="","",INDEX(מלאי!$N$2:$N$500,$K230))</f>
        <v/>
      </c>
      <c r="G230" s="9">
        <f>IF($K230="","",INDEX(מלאי!$O$2:$O$500,$K230))</f>
        <v/>
      </c>
      <c r="H230" s="9">
        <f>IF($K230="","",INDEX(מלאי!$U$2:$U$500,$K230))</f>
        <v/>
      </c>
      <c r="I230" s="9">
        <f>IF($K230="","",INDEX(מלאי!$X$2:$X$500,$K230))</f>
        <v/>
      </c>
      <c r="J230" s="9">
        <f>IF($K230="","",INDEX(מלאי!$AC$2:$AC$500,$K230))</f>
        <v/>
      </c>
      <c r="K23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210),"")</f>
        <v/>
      </c>
    </row>
    <row r="231">
      <c r="A231" s="8">
        <f>IF($K231="","",INDEX(מלאי!$D$2:$D$500,$K231))</f>
        <v/>
      </c>
      <c r="B231" s="8">
        <f>IF($K231="","",INDEX(מלאי!$B$2:$B$500,$K231))</f>
        <v/>
      </c>
      <c r="C231" s="8">
        <f>IF($K231="","",INDEX(מלאי!$C$2:$C$500,$K231))</f>
        <v/>
      </c>
      <c r="D231" s="8">
        <f>IF($K231="","",INDEX(מלאי!$G$2:$G$500,$K231))</f>
        <v/>
      </c>
      <c r="E231" s="8">
        <f>IF($K231="","",INDEX(מלאי!$M$2:$M$500,$K231))</f>
        <v/>
      </c>
      <c r="F231" s="8">
        <f>IF($K231="","",INDEX(מלאי!$N$2:$N$500,$K231))</f>
        <v/>
      </c>
      <c r="G231" s="8">
        <f>IF($K231="","",INDEX(מלאי!$O$2:$O$500,$K231))</f>
        <v/>
      </c>
      <c r="H231" s="8">
        <f>IF($K231="","",INDEX(מלאי!$U$2:$U$500,$K231))</f>
        <v/>
      </c>
      <c r="I231" s="8">
        <f>IF($K231="","",INDEX(מלאי!$X$2:$X$500,$K231))</f>
        <v/>
      </c>
      <c r="J231" s="8">
        <f>IF($K231="","",INDEX(מלאי!$AC$2:$AC$500,$K231))</f>
        <v/>
      </c>
      <c r="K23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211),"")</f>
        <v/>
      </c>
    </row>
    <row r="232">
      <c r="A232" s="9">
        <f>IF($K232="","",INDEX(מלאי!$D$2:$D$500,$K232))</f>
        <v/>
      </c>
      <c r="B232" s="9">
        <f>IF($K232="","",INDEX(מלאי!$B$2:$B$500,$K232))</f>
        <v/>
      </c>
      <c r="C232" s="9">
        <f>IF($K232="","",INDEX(מלאי!$C$2:$C$500,$K232))</f>
        <v/>
      </c>
      <c r="D232" s="9">
        <f>IF($K232="","",INDEX(מלאי!$G$2:$G$500,$K232))</f>
        <v/>
      </c>
      <c r="E232" s="9">
        <f>IF($K232="","",INDEX(מלאי!$M$2:$M$500,$K232))</f>
        <v/>
      </c>
      <c r="F232" s="9">
        <f>IF($K232="","",INDEX(מלאי!$N$2:$N$500,$K232))</f>
        <v/>
      </c>
      <c r="G232" s="9">
        <f>IF($K232="","",INDEX(מלאי!$O$2:$O$500,$K232))</f>
        <v/>
      </c>
      <c r="H232" s="9">
        <f>IF($K232="","",INDEX(מלאי!$U$2:$U$500,$K232))</f>
        <v/>
      </c>
      <c r="I232" s="9">
        <f>IF($K232="","",INDEX(מלאי!$X$2:$X$500,$K232))</f>
        <v/>
      </c>
      <c r="J232" s="9">
        <f>IF($K232="","",INDEX(מלאי!$AC$2:$AC$500,$K232))</f>
        <v/>
      </c>
      <c r="K23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212),"")</f>
        <v/>
      </c>
    </row>
    <row r="233">
      <c r="A233" s="8">
        <f>IF($K233="","",INDEX(מלאי!$D$2:$D$500,$K233))</f>
        <v/>
      </c>
      <c r="B233" s="8">
        <f>IF($K233="","",INDEX(מלאי!$B$2:$B$500,$K233))</f>
        <v/>
      </c>
      <c r="C233" s="8">
        <f>IF($K233="","",INDEX(מלאי!$C$2:$C$500,$K233))</f>
        <v/>
      </c>
      <c r="D233" s="8">
        <f>IF($K233="","",INDEX(מלאי!$G$2:$G$500,$K233))</f>
        <v/>
      </c>
      <c r="E233" s="8">
        <f>IF($K233="","",INDEX(מלאי!$M$2:$M$500,$K233))</f>
        <v/>
      </c>
      <c r="F233" s="8">
        <f>IF($K233="","",INDEX(מלאי!$N$2:$N$500,$K233))</f>
        <v/>
      </c>
      <c r="G233" s="8">
        <f>IF($K233="","",INDEX(מלאי!$O$2:$O$500,$K233))</f>
        <v/>
      </c>
      <c r="H233" s="8">
        <f>IF($K233="","",INDEX(מלאי!$U$2:$U$500,$K233))</f>
        <v/>
      </c>
      <c r="I233" s="8">
        <f>IF($K233="","",INDEX(מלאי!$X$2:$X$500,$K233))</f>
        <v/>
      </c>
      <c r="J233" s="8">
        <f>IF($K233="","",INDEX(מלאי!$AC$2:$AC$500,$K233))</f>
        <v/>
      </c>
      <c r="K23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213),"")</f>
        <v/>
      </c>
    </row>
    <row r="234">
      <c r="A234" s="9">
        <f>IF($K234="","",INDEX(מלאי!$D$2:$D$500,$K234))</f>
        <v/>
      </c>
      <c r="B234" s="9">
        <f>IF($K234="","",INDEX(מלאי!$B$2:$B$500,$K234))</f>
        <v/>
      </c>
      <c r="C234" s="9">
        <f>IF($K234="","",INDEX(מלאי!$C$2:$C$500,$K234))</f>
        <v/>
      </c>
      <c r="D234" s="9">
        <f>IF($K234="","",INDEX(מלאי!$G$2:$G$500,$K234))</f>
        <v/>
      </c>
      <c r="E234" s="9">
        <f>IF($K234="","",INDEX(מלאי!$M$2:$M$500,$K234))</f>
        <v/>
      </c>
      <c r="F234" s="9">
        <f>IF($K234="","",INDEX(מלאי!$N$2:$N$500,$K234))</f>
        <v/>
      </c>
      <c r="G234" s="9">
        <f>IF($K234="","",INDEX(מלאי!$O$2:$O$500,$K234))</f>
        <v/>
      </c>
      <c r="H234" s="9">
        <f>IF($K234="","",INDEX(מלאי!$U$2:$U$500,$K234))</f>
        <v/>
      </c>
      <c r="I234" s="9">
        <f>IF($K234="","",INDEX(מלאי!$X$2:$X$500,$K234))</f>
        <v/>
      </c>
      <c r="J234" s="9">
        <f>IF($K234="","",INDEX(מלאי!$AC$2:$AC$500,$K234))</f>
        <v/>
      </c>
      <c r="K23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214),"")</f>
        <v/>
      </c>
    </row>
    <row r="235">
      <c r="A235" s="8">
        <f>IF($K235="","",INDEX(מלאי!$D$2:$D$500,$K235))</f>
        <v/>
      </c>
      <c r="B235" s="8">
        <f>IF($K235="","",INDEX(מלאי!$B$2:$B$500,$K235))</f>
        <v/>
      </c>
      <c r="C235" s="8">
        <f>IF($K235="","",INDEX(מלאי!$C$2:$C$500,$K235))</f>
        <v/>
      </c>
      <c r="D235" s="8">
        <f>IF($K235="","",INDEX(מלאי!$G$2:$G$500,$K235))</f>
        <v/>
      </c>
      <c r="E235" s="8">
        <f>IF($K235="","",INDEX(מלאי!$M$2:$M$500,$K235))</f>
        <v/>
      </c>
      <c r="F235" s="8">
        <f>IF($K235="","",INDEX(מלאי!$N$2:$N$500,$K235))</f>
        <v/>
      </c>
      <c r="G235" s="8">
        <f>IF($K235="","",INDEX(מלאי!$O$2:$O$500,$K235))</f>
        <v/>
      </c>
      <c r="H235" s="8">
        <f>IF($K235="","",INDEX(מלאי!$U$2:$U$500,$K235))</f>
        <v/>
      </c>
      <c r="I235" s="8">
        <f>IF($K235="","",INDEX(מלאי!$X$2:$X$500,$K235))</f>
        <v/>
      </c>
      <c r="J235" s="8">
        <f>IF($K235="","",INDEX(מלאי!$AC$2:$AC$500,$K235))</f>
        <v/>
      </c>
      <c r="K23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215),"")</f>
        <v/>
      </c>
    </row>
    <row r="236">
      <c r="A236" s="9">
        <f>IF($K236="","",INDEX(מלאי!$D$2:$D$500,$K236))</f>
        <v/>
      </c>
      <c r="B236" s="9">
        <f>IF($K236="","",INDEX(מלאי!$B$2:$B$500,$K236))</f>
        <v/>
      </c>
      <c r="C236" s="9">
        <f>IF($K236="","",INDEX(מלאי!$C$2:$C$500,$K236))</f>
        <v/>
      </c>
      <c r="D236" s="9">
        <f>IF($K236="","",INDEX(מלאי!$G$2:$G$500,$K236))</f>
        <v/>
      </c>
      <c r="E236" s="9">
        <f>IF($K236="","",INDEX(מלאי!$M$2:$M$500,$K236))</f>
        <v/>
      </c>
      <c r="F236" s="9">
        <f>IF($K236="","",INDEX(מלאי!$N$2:$N$500,$K236))</f>
        <v/>
      </c>
      <c r="G236" s="9">
        <f>IF($K236="","",INDEX(מלאי!$O$2:$O$500,$K236))</f>
        <v/>
      </c>
      <c r="H236" s="9">
        <f>IF($K236="","",INDEX(מלאי!$U$2:$U$500,$K236))</f>
        <v/>
      </c>
      <c r="I236" s="9">
        <f>IF($K236="","",INDEX(מלאי!$X$2:$X$500,$K236))</f>
        <v/>
      </c>
      <c r="J236" s="9">
        <f>IF($K236="","",INDEX(מלאי!$AC$2:$AC$500,$K236))</f>
        <v/>
      </c>
      <c r="K23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216),"")</f>
        <v/>
      </c>
    </row>
    <row r="237">
      <c r="A237" s="8">
        <f>IF($K237="","",INDEX(מלאי!$D$2:$D$500,$K237))</f>
        <v/>
      </c>
      <c r="B237" s="8">
        <f>IF($K237="","",INDEX(מלאי!$B$2:$B$500,$K237))</f>
        <v/>
      </c>
      <c r="C237" s="8">
        <f>IF($K237="","",INDEX(מלאי!$C$2:$C$500,$K237))</f>
        <v/>
      </c>
      <c r="D237" s="8">
        <f>IF($K237="","",INDEX(מלאי!$G$2:$G$500,$K237))</f>
        <v/>
      </c>
      <c r="E237" s="8">
        <f>IF($K237="","",INDEX(מלאי!$M$2:$M$500,$K237))</f>
        <v/>
      </c>
      <c r="F237" s="8">
        <f>IF($K237="","",INDEX(מלאי!$N$2:$N$500,$K237))</f>
        <v/>
      </c>
      <c r="G237" s="8">
        <f>IF($K237="","",INDEX(מלאי!$O$2:$O$500,$K237))</f>
        <v/>
      </c>
      <c r="H237" s="8">
        <f>IF($K237="","",INDEX(מלאי!$U$2:$U$500,$K237))</f>
        <v/>
      </c>
      <c r="I237" s="8">
        <f>IF($K237="","",INDEX(מלאי!$X$2:$X$500,$K237))</f>
        <v/>
      </c>
      <c r="J237" s="8">
        <f>IF($K237="","",INDEX(מלאי!$AC$2:$AC$500,$K237))</f>
        <v/>
      </c>
      <c r="K23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217),"")</f>
        <v/>
      </c>
    </row>
    <row r="238">
      <c r="A238" s="9">
        <f>IF($K238="","",INDEX(מלאי!$D$2:$D$500,$K238))</f>
        <v/>
      </c>
      <c r="B238" s="9">
        <f>IF($K238="","",INDEX(מלאי!$B$2:$B$500,$K238))</f>
        <v/>
      </c>
      <c r="C238" s="9">
        <f>IF($K238="","",INDEX(מלאי!$C$2:$C$500,$K238))</f>
        <v/>
      </c>
      <c r="D238" s="9">
        <f>IF($K238="","",INDEX(מלאי!$G$2:$G$500,$K238))</f>
        <v/>
      </c>
      <c r="E238" s="9">
        <f>IF($K238="","",INDEX(מלאי!$M$2:$M$500,$K238))</f>
        <v/>
      </c>
      <c r="F238" s="9">
        <f>IF($K238="","",INDEX(מלאי!$N$2:$N$500,$K238))</f>
        <v/>
      </c>
      <c r="G238" s="9">
        <f>IF($K238="","",INDEX(מלאי!$O$2:$O$500,$K238))</f>
        <v/>
      </c>
      <c r="H238" s="9">
        <f>IF($K238="","",INDEX(מלאי!$U$2:$U$500,$K238))</f>
        <v/>
      </c>
      <c r="I238" s="9">
        <f>IF($K238="","",INDEX(מלאי!$X$2:$X$500,$K238))</f>
        <v/>
      </c>
      <c r="J238" s="9">
        <f>IF($K238="","",INDEX(מלאי!$AC$2:$AC$500,$K238))</f>
        <v/>
      </c>
      <c r="K23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218),"")</f>
        <v/>
      </c>
    </row>
    <row r="239">
      <c r="A239" s="8">
        <f>IF($K239="","",INDEX(מלאי!$D$2:$D$500,$K239))</f>
        <v/>
      </c>
      <c r="B239" s="8">
        <f>IF($K239="","",INDEX(מלאי!$B$2:$B$500,$K239))</f>
        <v/>
      </c>
      <c r="C239" s="8">
        <f>IF($K239="","",INDEX(מלאי!$C$2:$C$500,$K239))</f>
        <v/>
      </c>
      <c r="D239" s="8">
        <f>IF($K239="","",INDEX(מלאי!$G$2:$G$500,$K239))</f>
        <v/>
      </c>
      <c r="E239" s="8">
        <f>IF($K239="","",INDEX(מלאי!$M$2:$M$500,$K239))</f>
        <v/>
      </c>
      <c r="F239" s="8">
        <f>IF($K239="","",INDEX(מלאי!$N$2:$N$500,$K239))</f>
        <v/>
      </c>
      <c r="G239" s="8">
        <f>IF($K239="","",INDEX(מלאי!$O$2:$O$500,$K239))</f>
        <v/>
      </c>
      <c r="H239" s="8">
        <f>IF($K239="","",INDEX(מלאי!$U$2:$U$500,$K239))</f>
        <v/>
      </c>
      <c r="I239" s="8">
        <f>IF($K239="","",INDEX(מלאי!$X$2:$X$500,$K239))</f>
        <v/>
      </c>
      <c r="J239" s="8">
        <f>IF($K239="","",INDEX(מלאי!$AC$2:$AC$500,$K239))</f>
        <v/>
      </c>
      <c r="K23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219),"")</f>
        <v/>
      </c>
    </row>
    <row r="240">
      <c r="A240" s="9">
        <f>IF($K240="","",INDEX(מלאי!$D$2:$D$500,$K240))</f>
        <v/>
      </c>
      <c r="B240" s="9">
        <f>IF($K240="","",INDEX(מלאי!$B$2:$B$500,$K240))</f>
        <v/>
      </c>
      <c r="C240" s="9">
        <f>IF($K240="","",INDEX(מלאי!$C$2:$C$500,$K240))</f>
        <v/>
      </c>
      <c r="D240" s="9">
        <f>IF($K240="","",INDEX(מלאי!$G$2:$G$500,$K240))</f>
        <v/>
      </c>
      <c r="E240" s="9">
        <f>IF($K240="","",INDEX(מלאי!$M$2:$M$500,$K240))</f>
        <v/>
      </c>
      <c r="F240" s="9">
        <f>IF($K240="","",INDEX(מלאי!$N$2:$N$500,$K240))</f>
        <v/>
      </c>
      <c r="G240" s="9">
        <f>IF($K240="","",INDEX(מלאי!$O$2:$O$500,$K240))</f>
        <v/>
      </c>
      <c r="H240" s="9">
        <f>IF($K240="","",INDEX(מלאי!$U$2:$U$500,$K240))</f>
        <v/>
      </c>
      <c r="I240" s="9">
        <f>IF($K240="","",INDEX(מלאי!$X$2:$X$500,$K240))</f>
        <v/>
      </c>
      <c r="J240" s="9">
        <f>IF($K240="","",INDEX(מלאי!$AC$2:$AC$500,$K240))</f>
        <v/>
      </c>
      <c r="K24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220),"")</f>
        <v/>
      </c>
    </row>
    <row r="241">
      <c r="A241" s="8">
        <f>IF($K241="","",INDEX(מלאי!$D$2:$D$500,$K241))</f>
        <v/>
      </c>
      <c r="B241" s="8">
        <f>IF($K241="","",INDEX(מלאי!$B$2:$B$500,$K241))</f>
        <v/>
      </c>
      <c r="C241" s="8">
        <f>IF($K241="","",INDEX(מלאי!$C$2:$C$500,$K241))</f>
        <v/>
      </c>
      <c r="D241" s="8">
        <f>IF($K241="","",INDEX(מלאי!$G$2:$G$500,$K241))</f>
        <v/>
      </c>
      <c r="E241" s="8">
        <f>IF($K241="","",INDEX(מלאי!$M$2:$M$500,$K241))</f>
        <v/>
      </c>
      <c r="F241" s="8">
        <f>IF($K241="","",INDEX(מלאי!$N$2:$N$500,$K241))</f>
        <v/>
      </c>
      <c r="G241" s="8">
        <f>IF($K241="","",INDEX(מלאי!$O$2:$O$500,$K241))</f>
        <v/>
      </c>
      <c r="H241" s="8">
        <f>IF($K241="","",INDEX(מלאי!$U$2:$U$500,$K241))</f>
        <v/>
      </c>
      <c r="I241" s="8">
        <f>IF($K241="","",INDEX(מלאי!$X$2:$X$500,$K241))</f>
        <v/>
      </c>
      <c r="J241" s="8">
        <f>IF($K241="","",INDEX(מלאי!$AC$2:$AC$500,$K241))</f>
        <v/>
      </c>
      <c r="K24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221),"")</f>
        <v/>
      </c>
    </row>
    <row r="242">
      <c r="A242" s="9">
        <f>IF($K242="","",INDEX(מלאי!$D$2:$D$500,$K242))</f>
        <v/>
      </c>
      <c r="B242" s="9">
        <f>IF($K242="","",INDEX(מלאי!$B$2:$B$500,$K242))</f>
        <v/>
      </c>
      <c r="C242" s="9">
        <f>IF($K242="","",INDEX(מלאי!$C$2:$C$500,$K242))</f>
        <v/>
      </c>
      <c r="D242" s="9">
        <f>IF($K242="","",INDEX(מלאי!$G$2:$G$500,$K242))</f>
        <v/>
      </c>
      <c r="E242" s="9">
        <f>IF($K242="","",INDEX(מלאי!$M$2:$M$500,$K242))</f>
        <v/>
      </c>
      <c r="F242" s="9">
        <f>IF($K242="","",INDEX(מלאי!$N$2:$N$500,$K242))</f>
        <v/>
      </c>
      <c r="G242" s="9">
        <f>IF($K242="","",INDEX(מלאי!$O$2:$O$500,$K242))</f>
        <v/>
      </c>
      <c r="H242" s="9">
        <f>IF($K242="","",INDEX(מלאי!$U$2:$U$500,$K242))</f>
        <v/>
      </c>
      <c r="I242" s="9">
        <f>IF($K242="","",INDEX(מלאי!$X$2:$X$500,$K242))</f>
        <v/>
      </c>
      <c r="J242" s="9">
        <f>IF($K242="","",INDEX(מלאי!$AC$2:$AC$500,$K242))</f>
        <v/>
      </c>
      <c r="K24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222),"")</f>
        <v/>
      </c>
    </row>
    <row r="243">
      <c r="A243" s="8">
        <f>IF($K243="","",INDEX(מלאי!$D$2:$D$500,$K243))</f>
        <v/>
      </c>
      <c r="B243" s="8">
        <f>IF($K243="","",INDEX(מלאי!$B$2:$B$500,$K243))</f>
        <v/>
      </c>
      <c r="C243" s="8">
        <f>IF($K243="","",INDEX(מלאי!$C$2:$C$500,$K243))</f>
        <v/>
      </c>
      <c r="D243" s="8">
        <f>IF($K243="","",INDEX(מלאי!$G$2:$G$500,$K243))</f>
        <v/>
      </c>
      <c r="E243" s="8">
        <f>IF($K243="","",INDEX(מלאי!$M$2:$M$500,$K243))</f>
        <v/>
      </c>
      <c r="F243" s="8">
        <f>IF($K243="","",INDEX(מלאי!$N$2:$N$500,$K243))</f>
        <v/>
      </c>
      <c r="G243" s="8">
        <f>IF($K243="","",INDEX(מלאי!$O$2:$O$500,$K243))</f>
        <v/>
      </c>
      <c r="H243" s="8">
        <f>IF($K243="","",INDEX(מלאי!$U$2:$U$500,$K243))</f>
        <v/>
      </c>
      <c r="I243" s="8">
        <f>IF($K243="","",INDEX(מלאי!$X$2:$X$500,$K243))</f>
        <v/>
      </c>
      <c r="J243" s="8">
        <f>IF($K243="","",INDEX(מלאי!$AC$2:$AC$500,$K243))</f>
        <v/>
      </c>
      <c r="K24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223),"")</f>
        <v/>
      </c>
    </row>
    <row r="244">
      <c r="A244" s="9">
        <f>IF($K244="","",INDEX(מלאי!$D$2:$D$500,$K244))</f>
        <v/>
      </c>
      <c r="B244" s="9">
        <f>IF($K244="","",INDEX(מלאי!$B$2:$B$500,$K244))</f>
        <v/>
      </c>
      <c r="C244" s="9">
        <f>IF($K244="","",INDEX(מלאי!$C$2:$C$500,$K244))</f>
        <v/>
      </c>
      <c r="D244" s="9">
        <f>IF($K244="","",INDEX(מלאי!$G$2:$G$500,$K244))</f>
        <v/>
      </c>
      <c r="E244" s="9">
        <f>IF($K244="","",INDEX(מלאי!$M$2:$M$500,$K244))</f>
        <v/>
      </c>
      <c r="F244" s="9">
        <f>IF($K244="","",INDEX(מלאי!$N$2:$N$500,$K244))</f>
        <v/>
      </c>
      <c r="G244" s="9">
        <f>IF($K244="","",INDEX(מלאי!$O$2:$O$500,$K244))</f>
        <v/>
      </c>
      <c r="H244" s="9">
        <f>IF($K244="","",INDEX(מלאי!$U$2:$U$500,$K244))</f>
        <v/>
      </c>
      <c r="I244" s="9">
        <f>IF($K244="","",INDEX(מלאי!$X$2:$X$500,$K244))</f>
        <v/>
      </c>
      <c r="J244" s="9">
        <f>IF($K244="","",INDEX(מלאי!$AC$2:$AC$500,$K244))</f>
        <v/>
      </c>
      <c r="K24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224),"")</f>
        <v/>
      </c>
    </row>
    <row r="245">
      <c r="A245" s="8">
        <f>IF($K245="","",INDEX(מלאי!$D$2:$D$500,$K245))</f>
        <v/>
      </c>
      <c r="B245" s="8">
        <f>IF($K245="","",INDEX(מלאי!$B$2:$B$500,$K245))</f>
        <v/>
      </c>
      <c r="C245" s="8">
        <f>IF($K245="","",INDEX(מלאי!$C$2:$C$500,$K245))</f>
        <v/>
      </c>
      <c r="D245" s="8">
        <f>IF($K245="","",INDEX(מלאי!$G$2:$G$500,$K245))</f>
        <v/>
      </c>
      <c r="E245" s="8">
        <f>IF($K245="","",INDEX(מלאי!$M$2:$M$500,$K245))</f>
        <v/>
      </c>
      <c r="F245" s="8">
        <f>IF($K245="","",INDEX(מלאי!$N$2:$N$500,$K245))</f>
        <v/>
      </c>
      <c r="G245" s="8">
        <f>IF($K245="","",INDEX(מלאי!$O$2:$O$500,$K245))</f>
        <v/>
      </c>
      <c r="H245" s="8">
        <f>IF($K245="","",INDEX(מלאי!$U$2:$U$500,$K245))</f>
        <v/>
      </c>
      <c r="I245" s="8">
        <f>IF($K245="","",INDEX(מלאי!$X$2:$X$500,$K245))</f>
        <v/>
      </c>
      <c r="J245" s="8">
        <f>IF($K245="","",INDEX(מלאי!$AC$2:$AC$500,$K245))</f>
        <v/>
      </c>
      <c r="K24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225),"")</f>
        <v/>
      </c>
    </row>
    <row r="246">
      <c r="A246" s="9">
        <f>IF($K246="","",INDEX(מלאי!$D$2:$D$500,$K246))</f>
        <v/>
      </c>
      <c r="B246" s="9">
        <f>IF($K246="","",INDEX(מלאי!$B$2:$B$500,$K246))</f>
        <v/>
      </c>
      <c r="C246" s="9">
        <f>IF($K246="","",INDEX(מלאי!$C$2:$C$500,$K246))</f>
        <v/>
      </c>
      <c r="D246" s="9">
        <f>IF($K246="","",INDEX(מלאי!$G$2:$G$500,$K246))</f>
        <v/>
      </c>
      <c r="E246" s="9">
        <f>IF($K246="","",INDEX(מלאי!$M$2:$M$500,$K246))</f>
        <v/>
      </c>
      <c r="F246" s="9">
        <f>IF($K246="","",INDEX(מלאי!$N$2:$N$500,$K246))</f>
        <v/>
      </c>
      <c r="G246" s="9">
        <f>IF($K246="","",INDEX(מלאי!$O$2:$O$500,$K246))</f>
        <v/>
      </c>
      <c r="H246" s="9">
        <f>IF($K246="","",INDEX(מלאי!$U$2:$U$500,$K246))</f>
        <v/>
      </c>
      <c r="I246" s="9">
        <f>IF($K246="","",INDEX(מלאי!$X$2:$X$500,$K246))</f>
        <v/>
      </c>
      <c r="J246" s="9">
        <f>IF($K246="","",INDEX(מלאי!$AC$2:$AC$500,$K246))</f>
        <v/>
      </c>
      <c r="K24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226),"")</f>
        <v/>
      </c>
    </row>
    <row r="247">
      <c r="A247" s="8">
        <f>IF($K247="","",INDEX(מלאי!$D$2:$D$500,$K247))</f>
        <v/>
      </c>
      <c r="B247" s="8">
        <f>IF($K247="","",INDEX(מלאי!$B$2:$B$500,$K247))</f>
        <v/>
      </c>
      <c r="C247" s="8">
        <f>IF($K247="","",INDEX(מלאי!$C$2:$C$500,$K247))</f>
        <v/>
      </c>
      <c r="D247" s="8">
        <f>IF($K247="","",INDEX(מלאי!$G$2:$G$500,$K247))</f>
        <v/>
      </c>
      <c r="E247" s="8">
        <f>IF($K247="","",INDEX(מלאי!$M$2:$M$500,$K247))</f>
        <v/>
      </c>
      <c r="F247" s="8">
        <f>IF($K247="","",INDEX(מלאי!$N$2:$N$500,$K247))</f>
        <v/>
      </c>
      <c r="G247" s="8">
        <f>IF($K247="","",INDEX(מלאי!$O$2:$O$500,$K247))</f>
        <v/>
      </c>
      <c r="H247" s="8">
        <f>IF($K247="","",INDEX(מלאי!$U$2:$U$500,$K247))</f>
        <v/>
      </c>
      <c r="I247" s="8">
        <f>IF($K247="","",INDEX(מלאי!$X$2:$X$500,$K247))</f>
        <v/>
      </c>
      <c r="J247" s="8">
        <f>IF($K247="","",INDEX(מלאי!$AC$2:$AC$500,$K247))</f>
        <v/>
      </c>
      <c r="K24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227),"")</f>
        <v/>
      </c>
    </row>
    <row r="248">
      <c r="A248" s="9">
        <f>IF($K248="","",INDEX(מלאי!$D$2:$D$500,$K248))</f>
        <v/>
      </c>
      <c r="B248" s="9">
        <f>IF($K248="","",INDEX(מלאי!$B$2:$B$500,$K248))</f>
        <v/>
      </c>
      <c r="C248" s="9">
        <f>IF($K248="","",INDEX(מלאי!$C$2:$C$500,$K248))</f>
        <v/>
      </c>
      <c r="D248" s="9">
        <f>IF($K248="","",INDEX(מלאי!$G$2:$G$500,$K248))</f>
        <v/>
      </c>
      <c r="E248" s="9">
        <f>IF($K248="","",INDEX(מלאי!$M$2:$M$500,$K248))</f>
        <v/>
      </c>
      <c r="F248" s="9">
        <f>IF($K248="","",INDEX(מלאי!$N$2:$N$500,$K248))</f>
        <v/>
      </c>
      <c r="G248" s="9">
        <f>IF($K248="","",INDEX(מלאי!$O$2:$O$500,$K248))</f>
        <v/>
      </c>
      <c r="H248" s="9">
        <f>IF($K248="","",INDEX(מלאי!$U$2:$U$500,$K248))</f>
        <v/>
      </c>
      <c r="I248" s="9">
        <f>IF($K248="","",INDEX(מלאי!$X$2:$X$500,$K248))</f>
        <v/>
      </c>
      <c r="J248" s="9">
        <f>IF($K248="","",INDEX(מלאי!$AC$2:$AC$500,$K248))</f>
        <v/>
      </c>
      <c r="K24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228),"")</f>
        <v/>
      </c>
    </row>
    <row r="249">
      <c r="A249" s="8">
        <f>IF($K249="","",INDEX(מלאי!$D$2:$D$500,$K249))</f>
        <v/>
      </c>
      <c r="B249" s="8">
        <f>IF($K249="","",INDEX(מלאי!$B$2:$B$500,$K249))</f>
        <v/>
      </c>
      <c r="C249" s="8">
        <f>IF($K249="","",INDEX(מלאי!$C$2:$C$500,$K249))</f>
        <v/>
      </c>
      <c r="D249" s="8">
        <f>IF($K249="","",INDEX(מלאי!$G$2:$G$500,$K249))</f>
        <v/>
      </c>
      <c r="E249" s="8">
        <f>IF($K249="","",INDEX(מלאי!$M$2:$M$500,$K249))</f>
        <v/>
      </c>
      <c r="F249" s="8">
        <f>IF($K249="","",INDEX(מלאי!$N$2:$N$500,$K249))</f>
        <v/>
      </c>
      <c r="G249" s="8">
        <f>IF($K249="","",INDEX(מלאי!$O$2:$O$500,$K249))</f>
        <v/>
      </c>
      <c r="H249" s="8">
        <f>IF($K249="","",INDEX(מלאי!$U$2:$U$500,$K249))</f>
        <v/>
      </c>
      <c r="I249" s="8">
        <f>IF($K249="","",INDEX(מלאי!$X$2:$X$500,$K249))</f>
        <v/>
      </c>
      <c r="J249" s="8">
        <f>IF($K249="","",INDEX(מלאי!$AC$2:$AC$500,$K249))</f>
        <v/>
      </c>
      <c r="K24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229),"")</f>
        <v/>
      </c>
    </row>
    <row r="250">
      <c r="A250" s="9">
        <f>IF($K250="","",INDEX(מלאי!$D$2:$D$500,$K250))</f>
        <v/>
      </c>
      <c r="B250" s="9">
        <f>IF($K250="","",INDEX(מלאי!$B$2:$B$500,$K250))</f>
        <v/>
      </c>
      <c r="C250" s="9">
        <f>IF($K250="","",INDEX(מלאי!$C$2:$C$500,$K250))</f>
        <v/>
      </c>
      <c r="D250" s="9">
        <f>IF($K250="","",INDEX(מלאי!$G$2:$G$500,$K250))</f>
        <v/>
      </c>
      <c r="E250" s="9">
        <f>IF($K250="","",INDEX(מלאי!$M$2:$M$500,$K250))</f>
        <v/>
      </c>
      <c r="F250" s="9">
        <f>IF($K250="","",INDEX(מלאי!$N$2:$N$500,$K250))</f>
        <v/>
      </c>
      <c r="G250" s="9">
        <f>IF($K250="","",INDEX(מלאי!$O$2:$O$500,$K250))</f>
        <v/>
      </c>
      <c r="H250" s="9">
        <f>IF($K250="","",INDEX(מלאי!$U$2:$U$500,$K250))</f>
        <v/>
      </c>
      <c r="I250" s="9">
        <f>IF($K250="","",INDEX(מלאי!$X$2:$X$500,$K250))</f>
        <v/>
      </c>
      <c r="J250" s="9">
        <f>IF($K250="","",INDEX(מלאי!$AC$2:$AC$500,$K250))</f>
        <v/>
      </c>
      <c r="K25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230),"")</f>
        <v/>
      </c>
    </row>
    <row r="251">
      <c r="A251" s="8">
        <f>IF($K251="","",INDEX(מלאי!$D$2:$D$500,$K251))</f>
        <v/>
      </c>
      <c r="B251" s="8">
        <f>IF($K251="","",INDEX(מלאי!$B$2:$B$500,$K251))</f>
        <v/>
      </c>
      <c r="C251" s="8">
        <f>IF($K251="","",INDEX(מלאי!$C$2:$C$500,$K251))</f>
        <v/>
      </c>
      <c r="D251" s="8">
        <f>IF($K251="","",INDEX(מלאי!$G$2:$G$500,$K251))</f>
        <v/>
      </c>
      <c r="E251" s="8">
        <f>IF($K251="","",INDEX(מלאי!$M$2:$M$500,$K251))</f>
        <v/>
      </c>
      <c r="F251" s="8">
        <f>IF($K251="","",INDEX(מלאי!$N$2:$N$500,$K251))</f>
        <v/>
      </c>
      <c r="G251" s="8">
        <f>IF($K251="","",INDEX(מלאי!$O$2:$O$500,$K251))</f>
        <v/>
      </c>
      <c r="H251" s="8">
        <f>IF($K251="","",INDEX(מלאי!$U$2:$U$500,$K251))</f>
        <v/>
      </c>
      <c r="I251" s="8">
        <f>IF($K251="","",INDEX(מלאי!$X$2:$X$500,$K251))</f>
        <v/>
      </c>
      <c r="J251" s="8">
        <f>IF($K251="","",INDEX(מלאי!$AC$2:$AC$500,$K251))</f>
        <v/>
      </c>
      <c r="K25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231),"")</f>
        <v/>
      </c>
    </row>
    <row r="252">
      <c r="A252" s="9">
        <f>IF($K252="","",INDEX(מלאי!$D$2:$D$500,$K252))</f>
        <v/>
      </c>
      <c r="B252" s="9">
        <f>IF($K252="","",INDEX(מלאי!$B$2:$B$500,$K252))</f>
        <v/>
      </c>
      <c r="C252" s="9">
        <f>IF($K252="","",INDEX(מלאי!$C$2:$C$500,$K252))</f>
        <v/>
      </c>
      <c r="D252" s="9">
        <f>IF($K252="","",INDEX(מלאי!$G$2:$G$500,$K252))</f>
        <v/>
      </c>
      <c r="E252" s="9">
        <f>IF($K252="","",INDEX(מלאי!$M$2:$M$500,$K252))</f>
        <v/>
      </c>
      <c r="F252" s="9">
        <f>IF($K252="","",INDEX(מלאי!$N$2:$N$500,$K252))</f>
        <v/>
      </c>
      <c r="G252" s="9">
        <f>IF($K252="","",INDEX(מלאי!$O$2:$O$500,$K252))</f>
        <v/>
      </c>
      <c r="H252" s="9">
        <f>IF($K252="","",INDEX(מלאי!$U$2:$U$500,$K252))</f>
        <v/>
      </c>
      <c r="I252" s="9">
        <f>IF($K252="","",INDEX(מלאי!$X$2:$X$500,$K252))</f>
        <v/>
      </c>
      <c r="J252" s="9">
        <f>IF($K252="","",INDEX(מלאי!$AC$2:$AC$500,$K252))</f>
        <v/>
      </c>
      <c r="K25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232),"")</f>
        <v/>
      </c>
    </row>
    <row r="253">
      <c r="A253" s="8">
        <f>IF($K253="","",INDEX(מלאי!$D$2:$D$500,$K253))</f>
        <v/>
      </c>
      <c r="B253" s="8">
        <f>IF($K253="","",INDEX(מלאי!$B$2:$B$500,$K253))</f>
        <v/>
      </c>
      <c r="C253" s="8">
        <f>IF($K253="","",INDEX(מלאי!$C$2:$C$500,$K253))</f>
        <v/>
      </c>
      <c r="D253" s="8">
        <f>IF($K253="","",INDEX(מלאי!$G$2:$G$500,$K253))</f>
        <v/>
      </c>
      <c r="E253" s="8">
        <f>IF($K253="","",INDEX(מלאי!$M$2:$M$500,$K253))</f>
        <v/>
      </c>
      <c r="F253" s="8">
        <f>IF($K253="","",INDEX(מלאי!$N$2:$N$500,$K253))</f>
        <v/>
      </c>
      <c r="G253" s="8">
        <f>IF($K253="","",INDEX(מלאי!$O$2:$O$500,$K253))</f>
        <v/>
      </c>
      <c r="H253" s="8">
        <f>IF($K253="","",INDEX(מלאי!$U$2:$U$500,$K253))</f>
        <v/>
      </c>
      <c r="I253" s="8">
        <f>IF($K253="","",INDEX(מלאי!$X$2:$X$500,$K253))</f>
        <v/>
      </c>
      <c r="J253" s="8">
        <f>IF($K253="","",INDEX(מלאי!$AC$2:$AC$500,$K253))</f>
        <v/>
      </c>
      <c r="K25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233),"")</f>
        <v/>
      </c>
    </row>
    <row r="254">
      <c r="A254" s="9">
        <f>IF($K254="","",INDEX(מלאי!$D$2:$D$500,$K254))</f>
        <v/>
      </c>
      <c r="B254" s="9">
        <f>IF($K254="","",INDEX(מלאי!$B$2:$B$500,$K254))</f>
        <v/>
      </c>
      <c r="C254" s="9">
        <f>IF($K254="","",INDEX(מלאי!$C$2:$C$500,$K254))</f>
        <v/>
      </c>
      <c r="D254" s="9">
        <f>IF($K254="","",INDEX(מלאי!$G$2:$G$500,$K254))</f>
        <v/>
      </c>
      <c r="E254" s="9">
        <f>IF($K254="","",INDEX(מלאי!$M$2:$M$500,$K254))</f>
        <v/>
      </c>
      <c r="F254" s="9">
        <f>IF($K254="","",INDEX(מלאי!$N$2:$N$500,$K254))</f>
        <v/>
      </c>
      <c r="G254" s="9">
        <f>IF($K254="","",INDEX(מלאי!$O$2:$O$500,$K254))</f>
        <v/>
      </c>
      <c r="H254" s="9">
        <f>IF($K254="","",INDEX(מלאי!$U$2:$U$500,$K254))</f>
        <v/>
      </c>
      <c r="I254" s="9">
        <f>IF($K254="","",INDEX(מלאי!$X$2:$X$500,$K254))</f>
        <v/>
      </c>
      <c r="J254" s="9">
        <f>IF($K254="","",INDEX(מלאי!$AC$2:$AC$500,$K254))</f>
        <v/>
      </c>
      <c r="K25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234),"")</f>
        <v/>
      </c>
    </row>
    <row r="255">
      <c r="A255" s="8">
        <f>IF($K255="","",INDEX(מלאי!$D$2:$D$500,$K255))</f>
        <v/>
      </c>
      <c r="B255" s="8">
        <f>IF($K255="","",INDEX(מלאי!$B$2:$B$500,$K255))</f>
        <v/>
      </c>
      <c r="C255" s="8">
        <f>IF($K255="","",INDEX(מלאי!$C$2:$C$500,$K255))</f>
        <v/>
      </c>
      <c r="D255" s="8">
        <f>IF($K255="","",INDEX(מלאי!$G$2:$G$500,$K255))</f>
        <v/>
      </c>
      <c r="E255" s="8">
        <f>IF($K255="","",INDEX(מלאי!$M$2:$M$500,$K255))</f>
        <v/>
      </c>
      <c r="F255" s="8">
        <f>IF($K255="","",INDEX(מלאי!$N$2:$N$500,$K255))</f>
        <v/>
      </c>
      <c r="G255" s="8">
        <f>IF($K255="","",INDEX(מלאי!$O$2:$O$500,$K255))</f>
        <v/>
      </c>
      <c r="H255" s="8">
        <f>IF($K255="","",INDEX(מלאי!$U$2:$U$500,$K255))</f>
        <v/>
      </c>
      <c r="I255" s="8">
        <f>IF($K255="","",INDEX(מלאי!$X$2:$X$500,$K255))</f>
        <v/>
      </c>
      <c r="J255" s="8">
        <f>IF($K255="","",INDEX(מלאי!$AC$2:$AC$500,$K255))</f>
        <v/>
      </c>
      <c r="K25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235),"")</f>
        <v/>
      </c>
    </row>
    <row r="256">
      <c r="A256" s="9">
        <f>IF($K256="","",INDEX(מלאי!$D$2:$D$500,$K256))</f>
        <v/>
      </c>
      <c r="B256" s="9">
        <f>IF($K256="","",INDEX(מלאי!$B$2:$B$500,$K256))</f>
        <v/>
      </c>
      <c r="C256" s="9">
        <f>IF($K256="","",INDEX(מלאי!$C$2:$C$500,$K256))</f>
        <v/>
      </c>
      <c r="D256" s="9">
        <f>IF($K256="","",INDEX(מלאי!$G$2:$G$500,$K256))</f>
        <v/>
      </c>
      <c r="E256" s="9">
        <f>IF($K256="","",INDEX(מלאי!$M$2:$M$500,$K256))</f>
        <v/>
      </c>
      <c r="F256" s="9">
        <f>IF($K256="","",INDEX(מלאי!$N$2:$N$500,$K256))</f>
        <v/>
      </c>
      <c r="G256" s="9">
        <f>IF($K256="","",INDEX(מלאי!$O$2:$O$500,$K256))</f>
        <v/>
      </c>
      <c r="H256" s="9">
        <f>IF($K256="","",INDEX(מלאי!$U$2:$U$500,$K256))</f>
        <v/>
      </c>
      <c r="I256" s="9">
        <f>IF($K256="","",INDEX(מלאי!$X$2:$X$500,$K256))</f>
        <v/>
      </c>
      <c r="J256" s="9">
        <f>IF($K256="","",INDEX(מלאי!$AC$2:$AC$500,$K256))</f>
        <v/>
      </c>
      <c r="K25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236),"")</f>
        <v/>
      </c>
    </row>
    <row r="257">
      <c r="A257" s="8">
        <f>IF($K257="","",INDEX(מלאי!$D$2:$D$500,$K257))</f>
        <v/>
      </c>
      <c r="B257" s="8">
        <f>IF($K257="","",INDEX(מלאי!$B$2:$B$500,$K257))</f>
        <v/>
      </c>
      <c r="C257" s="8">
        <f>IF($K257="","",INDEX(מלאי!$C$2:$C$500,$K257))</f>
        <v/>
      </c>
      <c r="D257" s="8">
        <f>IF($K257="","",INDEX(מלאי!$G$2:$G$500,$K257))</f>
        <v/>
      </c>
      <c r="E257" s="8">
        <f>IF($K257="","",INDEX(מלאי!$M$2:$M$500,$K257))</f>
        <v/>
      </c>
      <c r="F257" s="8">
        <f>IF($K257="","",INDEX(מלאי!$N$2:$N$500,$K257))</f>
        <v/>
      </c>
      <c r="G257" s="8">
        <f>IF($K257="","",INDEX(מלאי!$O$2:$O$500,$K257))</f>
        <v/>
      </c>
      <c r="H257" s="8">
        <f>IF($K257="","",INDEX(מלאי!$U$2:$U$500,$K257))</f>
        <v/>
      </c>
      <c r="I257" s="8">
        <f>IF($K257="","",INDEX(מלאי!$X$2:$X$500,$K257))</f>
        <v/>
      </c>
      <c r="J257" s="8">
        <f>IF($K257="","",INDEX(מלאי!$AC$2:$AC$500,$K257))</f>
        <v/>
      </c>
      <c r="K25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237),"")</f>
        <v/>
      </c>
    </row>
    <row r="258">
      <c r="A258" s="9">
        <f>IF($K258="","",INDEX(מלאי!$D$2:$D$500,$K258))</f>
        <v/>
      </c>
      <c r="B258" s="9">
        <f>IF($K258="","",INDEX(מלאי!$B$2:$B$500,$K258))</f>
        <v/>
      </c>
      <c r="C258" s="9">
        <f>IF($K258="","",INDEX(מלאי!$C$2:$C$500,$K258))</f>
        <v/>
      </c>
      <c r="D258" s="9">
        <f>IF($K258="","",INDEX(מלאי!$G$2:$G$500,$K258))</f>
        <v/>
      </c>
      <c r="E258" s="9">
        <f>IF($K258="","",INDEX(מלאי!$M$2:$M$500,$K258))</f>
        <v/>
      </c>
      <c r="F258" s="9">
        <f>IF($K258="","",INDEX(מלאי!$N$2:$N$500,$K258))</f>
        <v/>
      </c>
      <c r="G258" s="9">
        <f>IF($K258="","",INDEX(מלאי!$O$2:$O$500,$K258))</f>
        <v/>
      </c>
      <c r="H258" s="9">
        <f>IF($K258="","",INDEX(מלאי!$U$2:$U$500,$K258))</f>
        <v/>
      </c>
      <c r="I258" s="9">
        <f>IF($K258="","",INDEX(מלאי!$X$2:$X$500,$K258))</f>
        <v/>
      </c>
      <c r="J258" s="9">
        <f>IF($K258="","",INDEX(מלאי!$AC$2:$AC$500,$K258))</f>
        <v/>
      </c>
      <c r="K25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238),"")</f>
        <v/>
      </c>
    </row>
    <row r="259">
      <c r="A259" s="8">
        <f>IF($K259="","",INDEX(מלאי!$D$2:$D$500,$K259))</f>
        <v/>
      </c>
      <c r="B259" s="8">
        <f>IF($K259="","",INDEX(מלאי!$B$2:$B$500,$K259))</f>
        <v/>
      </c>
      <c r="C259" s="8">
        <f>IF($K259="","",INDEX(מלאי!$C$2:$C$500,$K259))</f>
        <v/>
      </c>
      <c r="D259" s="8">
        <f>IF($K259="","",INDEX(מלאי!$G$2:$G$500,$K259))</f>
        <v/>
      </c>
      <c r="E259" s="8">
        <f>IF($K259="","",INDEX(מלאי!$M$2:$M$500,$K259))</f>
        <v/>
      </c>
      <c r="F259" s="8">
        <f>IF($K259="","",INDEX(מלאי!$N$2:$N$500,$K259))</f>
        <v/>
      </c>
      <c r="G259" s="8">
        <f>IF($K259="","",INDEX(מלאי!$O$2:$O$500,$K259))</f>
        <v/>
      </c>
      <c r="H259" s="8">
        <f>IF($K259="","",INDEX(מלאי!$U$2:$U$500,$K259))</f>
        <v/>
      </c>
      <c r="I259" s="8">
        <f>IF($K259="","",INDEX(מלאי!$X$2:$X$500,$K259))</f>
        <v/>
      </c>
      <c r="J259" s="8">
        <f>IF($K259="","",INDEX(מלאי!$AC$2:$AC$500,$K259))</f>
        <v/>
      </c>
      <c r="K25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239),"")</f>
        <v/>
      </c>
    </row>
    <row r="260">
      <c r="A260" s="9">
        <f>IF($K260="","",INDEX(מלאי!$D$2:$D$500,$K260))</f>
        <v/>
      </c>
      <c r="B260" s="9">
        <f>IF($K260="","",INDEX(מלאי!$B$2:$B$500,$K260))</f>
        <v/>
      </c>
      <c r="C260" s="9">
        <f>IF($K260="","",INDEX(מלאי!$C$2:$C$500,$K260))</f>
        <v/>
      </c>
      <c r="D260" s="9">
        <f>IF($K260="","",INDEX(מלאי!$G$2:$G$500,$K260))</f>
        <v/>
      </c>
      <c r="E260" s="9">
        <f>IF($K260="","",INDEX(מלאי!$M$2:$M$500,$K260))</f>
        <v/>
      </c>
      <c r="F260" s="9">
        <f>IF($K260="","",INDEX(מלאי!$N$2:$N$500,$K260))</f>
        <v/>
      </c>
      <c r="G260" s="9">
        <f>IF($K260="","",INDEX(מלאי!$O$2:$O$500,$K260))</f>
        <v/>
      </c>
      <c r="H260" s="9">
        <f>IF($K260="","",INDEX(מלאי!$U$2:$U$500,$K260))</f>
        <v/>
      </c>
      <c r="I260" s="9">
        <f>IF($K260="","",INDEX(מלאי!$X$2:$X$500,$K260))</f>
        <v/>
      </c>
      <c r="J260" s="9">
        <f>IF($K260="","",INDEX(מלאי!$AC$2:$AC$500,$K260))</f>
        <v/>
      </c>
      <c r="K26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240),"")</f>
        <v/>
      </c>
    </row>
    <row r="261">
      <c r="A261" s="8">
        <f>IF($K261="","",INDEX(מלאי!$D$2:$D$500,$K261))</f>
        <v/>
      </c>
      <c r="B261" s="8">
        <f>IF($K261="","",INDEX(מלאי!$B$2:$B$500,$K261))</f>
        <v/>
      </c>
      <c r="C261" s="8">
        <f>IF($K261="","",INDEX(מלאי!$C$2:$C$500,$K261))</f>
        <v/>
      </c>
      <c r="D261" s="8">
        <f>IF($K261="","",INDEX(מלאי!$G$2:$G$500,$K261))</f>
        <v/>
      </c>
      <c r="E261" s="8">
        <f>IF($K261="","",INDEX(מלאי!$M$2:$M$500,$K261))</f>
        <v/>
      </c>
      <c r="F261" s="8">
        <f>IF($K261="","",INDEX(מלאי!$N$2:$N$500,$K261))</f>
        <v/>
      </c>
      <c r="G261" s="8">
        <f>IF($K261="","",INDEX(מלאי!$O$2:$O$500,$K261))</f>
        <v/>
      </c>
      <c r="H261" s="8">
        <f>IF($K261="","",INDEX(מלאי!$U$2:$U$500,$K261))</f>
        <v/>
      </c>
      <c r="I261" s="8">
        <f>IF($K261="","",INDEX(מלאי!$X$2:$X$500,$K261))</f>
        <v/>
      </c>
      <c r="J261" s="8">
        <f>IF($K261="","",INDEX(מלאי!$AC$2:$AC$500,$K261))</f>
        <v/>
      </c>
      <c r="K26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241),"")</f>
        <v/>
      </c>
    </row>
    <row r="262">
      <c r="A262" s="9">
        <f>IF($K262="","",INDEX(מלאי!$D$2:$D$500,$K262))</f>
        <v/>
      </c>
      <c r="B262" s="9">
        <f>IF($K262="","",INDEX(מלאי!$B$2:$B$500,$K262))</f>
        <v/>
      </c>
      <c r="C262" s="9">
        <f>IF($K262="","",INDEX(מלאי!$C$2:$C$500,$K262))</f>
        <v/>
      </c>
      <c r="D262" s="9">
        <f>IF($K262="","",INDEX(מלאי!$G$2:$G$500,$K262))</f>
        <v/>
      </c>
      <c r="E262" s="9">
        <f>IF($K262="","",INDEX(מלאי!$M$2:$M$500,$K262))</f>
        <v/>
      </c>
      <c r="F262" s="9">
        <f>IF($K262="","",INDEX(מלאי!$N$2:$N$500,$K262))</f>
        <v/>
      </c>
      <c r="G262" s="9">
        <f>IF($K262="","",INDEX(מלאי!$O$2:$O$500,$K262))</f>
        <v/>
      </c>
      <c r="H262" s="9">
        <f>IF($K262="","",INDEX(מלאי!$U$2:$U$500,$K262))</f>
        <v/>
      </c>
      <c r="I262" s="9">
        <f>IF($K262="","",INDEX(מלאי!$X$2:$X$500,$K262))</f>
        <v/>
      </c>
      <c r="J262" s="9">
        <f>IF($K262="","",INDEX(מלאי!$AC$2:$AC$500,$K262))</f>
        <v/>
      </c>
      <c r="K26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242),"")</f>
        <v/>
      </c>
    </row>
    <row r="263">
      <c r="A263" s="8">
        <f>IF($K263="","",INDEX(מלאי!$D$2:$D$500,$K263))</f>
        <v/>
      </c>
      <c r="B263" s="8">
        <f>IF($K263="","",INDEX(מלאי!$B$2:$B$500,$K263))</f>
        <v/>
      </c>
      <c r="C263" s="8">
        <f>IF($K263="","",INDEX(מלאי!$C$2:$C$500,$K263))</f>
        <v/>
      </c>
      <c r="D263" s="8">
        <f>IF($K263="","",INDEX(מלאי!$G$2:$G$500,$K263))</f>
        <v/>
      </c>
      <c r="E263" s="8">
        <f>IF($K263="","",INDEX(מלאי!$M$2:$M$500,$K263))</f>
        <v/>
      </c>
      <c r="F263" s="8">
        <f>IF($K263="","",INDEX(מלאי!$N$2:$N$500,$K263))</f>
        <v/>
      </c>
      <c r="G263" s="8">
        <f>IF($K263="","",INDEX(מלאי!$O$2:$O$500,$K263))</f>
        <v/>
      </c>
      <c r="H263" s="8">
        <f>IF($K263="","",INDEX(מלאי!$U$2:$U$500,$K263))</f>
        <v/>
      </c>
      <c r="I263" s="8">
        <f>IF($K263="","",INDEX(מלאי!$X$2:$X$500,$K263))</f>
        <v/>
      </c>
      <c r="J263" s="8">
        <f>IF($K263="","",INDEX(מלאי!$AC$2:$AC$500,$K263))</f>
        <v/>
      </c>
      <c r="K26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243),"")</f>
        <v/>
      </c>
    </row>
    <row r="264">
      <c r="A264" s="9">
        <f>IF($K264="","",INDEX(מלאי!$D$2:$D$500,$K264))</f>
        <v/>
      </c>
      <c r="B264" s="9">
        <f>IF($K264="","",INDEX(מלאי!$B$2:$B$500,$K264))</f>
        <v/>
      </c>
      <c r="C264" s="9">
        <f>IF($K264="","",INDEX(מלאי!$C$2:$C$500,$K264))</f>
        <v/>
      </c>
      <c r="D264" s="9">
        <f>IF($K264="","",INDEX(מלאי!$G$2:$G$500,$K264))</f>
        <v/>
      </c>
      <c r="E264" s="9">
        <f>IF($K264="","",INDEX(מלאי!$M$2:$M$500,$K264))</f>
        <v/>
      </c>
      <c r="F264" s="9">
        <f>IF($K264="","",INDEX(מלאי!$N$2:$N$500,$K264))</f>
        <v/>
      </c>
      <c r="G264" s="9">
        <f>IF($K264="","",INDEX(מלאי!$O$2:$O$500,$K264))</f>
        <v/>
      </c>
      <c r="H264" s="9">
        <f>IF($K264="","",INDEX(מלאי!$U$2:$U$500,$K264))</f>
        <v/>
      </c>
      <c r="I264" s="9">
        <f>IF($K264="","",INDEX(מלאי!$X$2:$X$500,$K264))</f>
        <v/>
      </c>
      <c r="J264" s="9">
        <f>IF($K264="","",INDEX(מלאי!$AC$2:$AC$500,$K264))</f>
        <v/>
      </c>
      <c r="K26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244),"")</f>
        <v/>
      </c>
    </row>
    <row r="265">
      <c r="A265" s="8">
        <f>IF($K265="","",INDEX(מלאי!$D$2:$D$500,$K265))</f>
        <v/>
      </c>
      <c r="B265" s="8">
        <f>IF($K265="","",INDEX(מלאי!$B$2:$B$500,$K265))</f>
        <v/>
      </c>
      <c r="C265" s="8">
        <f>IF($K265="","",INDEX(מלאי!$C$2:$C$500,$K265))</f>
        <v/>
      </c>
      <c r="D265" s="8">
        <f>IF($K265="","",INDEX(מלאי!$G$2:$G$500,$K265))</f>
        <v/>
      </c>
      <c r="E265" s="8">
        <f>IF($K265="","",INDEX(מלאי!$M$2:$M$500,$K265))</f>
        <v/>
      </c>
      <c r="F265" s="8">
        <f>IF($K265="","",INDEX(מלאי!$N$2:$N$500,$K265))</f>
        <v/>
      </c>
      <c r="G265" s="8">
        <f>IF($K265="","",INDEX(מלאי!$O$2:$O$500,$K265))</f>
        <v/>
      </c>
      <c r="H265" s="8">
        <f>IF($K265="","",INDEX(מלאי!$U$2:$U$500,$K265))</f>
        <v/>
      </c>
      <c r="I265" s="8">
        <f>IF($K265="","",INDEX(מלאי!$X$2:$X$500,$K265))</f>
        <v/>
      </c>
      <c r="J265" s="8">
        <f>IF($K265="","",INDEX(מלאי!$AC$2:$AC$500,$K265))</f>
        <v/>
      </c>
      <c r="K26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245),"")</f>
        <v/>
      </c>
    </row>
    <row r="266">
      <c r="A266" s="9">
        <f>IF($K266="","",INDEX(מלאי!$D$2:$D$500,$K266))</f>
        <v/>
      </c>
      <c r="B266" s="9">
        <f>IF($K266="","",INDEX(מלאי!$B$2:$B$500,$K266))</f>
        <v/>
      </c>
      <c r="C266" s="9">
        <f>IF($K266="","",INDEX(מלאי!$C$2:$C$500,$K266))</f>
        <v/>
      </c>
      <c r="D266" s="9">
        <f>IF($K266="","",INDEX(מלאי!$G$2:$G$500,$K266))</f>
        <v/>
      </c>
      <c r="E266" s="9">
        <f>IF($K266="","",INDEX(מלאי!$M$2:$M$500,$K266))</f>
        <v/>
      </c>
      <c r="F266" s="9">
        <f>IF($K266="","",INDEX(מלאי!$N$2:$N$500,$K266))</f>
        <v/>
      </c>
      <c r="G266" s="9">
        <f>IF($K266="","",INDEX(מלאי!$O$2:$O$500,$K266))</f>
        <v/>
      </c>
      <c r="H266" s="9">
        <f>IF($K266="","",INDEX(מלאי!$U$2:$U$500,$K266))</f>
        <v/>
      </c>
      <c r="I266" s="9">
        <f>IF($K266="","",INDEX(מלאי!$X$2:$X$500,$K266))</f>
        <v/>
      </c>
      <c r="J266" s="9">
        <f>IF($K266="","",INDEX(מלאי!$AC$2:$AC$500,$K266))</f>
        <v/>
      </c>
      <c r="K26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246),"")</f>
        <v/>
      </c>
    </row>
    <row r="267">
      <c r="A267" s="8">
        <f>IF($K267="","",INDEX(מלאי!$D$2:$D$500,$K267))</f>
        <v/>
      </c>
      <c r="B267" s="8">
        <f>IF($K267="","",INDEX(מלאי!$B$2:$B$500,$K267))</f>
        <v/>
      </c>
      <c r="C267" s="8">
        <f>IF($K267="","",INDEX(מלאי!$C$2:$C$500,$K267))</f>
        <v/>
      </c>
      <c r="D267" s="8">
        <f>IF($K267="","",INDEX(מלאי!$G$2:$G$500,$K267))</f>
        <v/>
      </c>
      <c r="E267" s="8">
        <f>IF($K267="","",INDEX(מלאי!$M$2:$M$500,$K267))</f>
        <v/>
      </c>
      <c r="F267" s="8">
        <f>IF($K267="","",INDEX(מלאי!$N$2:$N$500,$K267))</f>
        <v/>
      </c>
      <c r="G267" s="8">
        <f>IF($K267="","",INDEX(מלאי!$O$2:$O$500,$K267))</f>
        <v/>
      </c>
      <c r="H267" s="8">
        <f>IF($K267="","",INDEX(מלאי!$U$2:$U$500,$K267))</f>
        <v/>
      </c>
      <c r="I267" s="8">
        <f>IF($K267="","",INDEX(מלאי!$X$2:$X$500,$K267))</f>
        <v/>
      </c>
      <c r="J267" s="8">
        <f>IF($K267="","",INDEX(מלאי!$AC$2:$AC$500,$K267))</f>
        <v/>
      </c>
      <c r="K26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247),"")</f>
        <v/>
      </c>
    </row>
    <row r="268">
      <c r="A268" s="9">
        <f>IF($K268="","",INDEX(מלאי!$D$2:$D$500,$K268))</f>
        <v/>
      </c>
      <c r="B268" s="9">
        <f>IF($K268="","",INDEX(מלאי!$B$2:$B$500,$K268))</f>
        <v/>
      </c>
      <c r="C268" s="9">
        <f>IF($K268="","",INDEX(מלאי!$C$2:$C$500,$K268))</f>
        <v/>
      </c>
      <c r="D268" s="9">
        <f>IF($K268="","",INDEX(מלאי!$G$2:$G$500,$K268))</f>
        <v/>
      </c>
      <c r="E268" s="9">
        <f>IF($K268="","",INDEX(מלאי!$M$2:$M$500,$K268))</f>
        <v/>
      </c>
      <c r="F268" s="9">
        <f>IF($K268="","",INDEX(מלאי!$N$2:$N$500,$K268))</f>
        <v/>
      </c>
      <c r="G268" s="9">
        <f>IF($K268="","",INDEX(מלאי!$O$2:$O$500,$K268))</f>
        <v/>
      </c>
      <c r="H268" s="9">
        <f>IF($K268="","",INDEX(מלאי!$U$2:$U$500,$K268))</f>
        <v/>
      </c>
      <c r="I268" s="9">
        <f>IF($K268="","",INDEX(מלאי!$X$2:$X$500,$K268))</f>
        <v/>
      </c>
      <c r="J268" s="9">
        <f>IF($K268="","",INDEX(מלאי!$AC$2:$AC$500,$K268))</f>
        <v/>
      </c>
      <c r="K26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248),"")</f>
        <v/>
      </c>
    </row>
    <row r="269">
      <c r="A269" s="8">
        <f>IF($K269="","",INDEX(מלאי!$D$2:$D$500,$K269))</f>
        <v/>
      </c>
      <c r="B269" s="8">
        <f>IF($K269="","",INDEX(מלאי!$B$2:$B$500,$K269))</f>
        <v/>
      </c>
      <c r="C269" s="8">
        <f>IF($K269="","",INDEX(מלאי!$C$2:$C$500,$K269))</f>
        <v/>
      </c>
      <c r="D269" s="8">
        <f>IF($K269="","",INDEX(מלאי!$G$2:$G$500,$K269))</f>
        <v/>
      </c>
      <c r="E269" s="8">
        <f>IF($K269="","",INDEX(מלאי!$M$2:$M$500,$K269))</f>
        <v/>
      </c>
      <c r="F269" s="8">
        <f>IF($K269="","",INDEX(מלאי!$N$2:$N$500,$K269))</f>
        <v/>
      </c>
      <c r="G269" s="8">
        <f>IF($K269="","",INDEX(מלאי!$O$2:$O$500,$K269))</f>
        <v/>
      </c>
      <c r="H269" s="8">
        <f>IF($K269="","",INDEX(מלאי!$U$2:$U$500,$K269))</f>
        <v/>
      </c>
      <c r="I269" s="8">
        <f>IF($K269="","",INDEX(מלאי!$X$2:$X$500,$K269))</f>
        <v/>
      </c>
      <c r="J269" s="8">
        <f>IF($K269="","",INDEX(מלאי!$AC$2:$AC$500,$K269))</f>
        <v/>
      </c>
      <c r="K26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249),"")</f>
        <v/>
      </c>
    </row>
    <row r="270">
      <c r="A270" s="9">
        <f>IF($K270="","",INDEX(מלאי!$D$2:$D$500,$K270))</f>
        <v/>
      </c>
      <c r="B270" s="9">
        <f>IF($K270="","",INDEX(מלאי!$B$2:$B$500,$K270))</f>
        <v/>
      </c>
      <c r="C270" s="9">
        <f>IF($K270="","",INDEX(מלאי!$C$2:$C$500,$K270))</f>
        <v/>
      </c>
      <c r="D270" s="9">
        <f>IF($K270="","",INDEX(מלאי!$G$2:$G$500,$K270))</f>
        <v/>
      </c>
      <c r="E270" s="9">
        <f>IF($K270="","",INDEX(מלאי!$M$2:$M$500,$K270))</f>
        <v/>
      </c>
      <c r="F270" s="9">
        <f>IF($K270="","",INDEX(מלאי!$N$2:$N$500,$K270))</f>
        <v/>
      </c>
      <c r="G270" s="9">
        <f>IF($K270="","",INDEX(מלאי!$O$2:$O$500,$K270))</f>
        <v/>
      </c>
      <c r="H270" s="9">
        <f>IF($K270="","",INDEX(מלאי!$U$2:$U$500,$K270))</f>
        <v/>
      </c>
      <c r="I270" s="9">
        <f>IF($K270="","",INDEX(מלאי!$X$2:$X$500,$K270))</f>
        <v/>
      </c>
      <c r="J270" s="9">
        <f>IF($K270="","",INDEX(מלאי!$AC$2:$AC$500,$K270))</f>
        <v/>
      </c>
      <c r="K27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250),"")</f>
        <v/>
      </c>
    </row>
    <row r="271">
      <c r="A271" s="8">
        <f>IF($K271="","",INDEX(מלאי!$D$2:$D$500,$K271))</f>
        <v/>
      </c>
      <c r="B271" s="8">
        <f>IF($K271="","",INDEX(מלאי!$B$2:$B$500,$K271))</f>
        <v/>
      </c>
      <c r="C271" s="8">
        <f>IF($K271="","",INDEX(מלאי!$C$2:$C$500,$K271))</f>
        <v/>
      </c>
      <c r="D271" s="8">
        <f>IF($K271="","",INDEX(מלאי!$G$2:$G$500,$K271))</f>
        <v/>
      </c>
      <c r="E271" s="8">
        <f>IF($K271="","",INDEX(מלאי!$M$2:$M$500,$K271))</f>
        <v/>
      </c>
      <c r="F271" s="8">
        <f>IF($K271="","",INDEX(מלאי!$N$2:$N$500,$K271))</f>
        <v/>
      </c>
      <c r="G271" s="8">
        <f>IF($K271="","",INDEX(מלאי!$O$2:$O$500,$K271))</f>
        <v/>
      </c>
      <c r="H271" s="8">
        <f>IF($K271="","",INDEX(מלאי!$U$2:$U$500,$K271))</f>
        <v/>
      </c>
      <c r="I271" s="8">
        <f>IF($K271="","",INDEX(מלאי!$X$2:$X$500,$K271))</f>
        <v/>
      </c>
      <c r="J271" s="8">
        <f>IF($K271="","",INDEX(מלאי!$AC$2:$AC$500,$K271))</f>
        <v/>
      </c>
      <c r="K27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251),"")</f>
        <v/>
      </c>
    </row>
    <row r="272">
      <c r="A272" s="9">
        <f>IF($K272="","",INDEX(מלאי!$D$2:$D$500,$K272))</f>
        <v/>
      </c>
      <c r="B272" s="9">
        <f>IF($K272="","",INDEX(מלאי!$B$2:$B$500,$K272))</f>
        <v/>
      </c>
      <c r="C272" s="9">
        <f>IF($K272="","",INDEX(מלאי!$C$2:$C$500,$K272))</f>
        <v/>
      </c>
      <c r="D272" s="9">
        <f>IF($K272="","",INDEX(מלאי!$G$2:$G$500,$K272))</f>
        <v/>
      </c>
      <c r="E272" s="9">
        <f>IF($K272="","",INDEX(מלאי!$M$2:$M$500,$K272))</f>
        <v/>
      </c>
      <c r="F272" s="9">
        <f>IF($K272="","",INDEX(מלאי!$N$2:$N$500,$K272))</f>
        <v/>
      </c>
      <c r="G272" s="9">
        <f>IF($K272="","",INDEX(מלאי!$O$2:$O$500,$K272))</f>
        <v/>
      </c>
      <c r="H272" s="9">
        <f>IF($K272="","",INDEX(מלאי!$U$2:$U$500,$K272))</f>
        <v/>
      </c>
      <c r="I272" s="9">
        <f>IF($K272="","",INDEX(מלאי!$X$2:$X$500,$K272))</f>
        <v/>
      </c>
      <c r="J272" s="9">
        <f>IF($K272="","",INDEX(מלאי!$AC$2:$AC$500,$K272))</f>
        <v/>
      </c>
      <c r="K27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252),"")</f>
        <v/>
      </c>
    </row>
    <row r="273">
      <c r="A273" s="8">
        <f>IF($K273="","",INDEX(מלאי!$D$2:$D$500,$K273))</f>
        <v/>
      </c>
      <c r="B273" s="8">
        <f>IF($K273="","",INDEX(מלאי!$B$2:$B$500,$K273))</f>
        <v/>
      </c>
      <c r="C273" s="8">
        <f>IF($K273="","",INDEX(מלאי!$C$2:$C$500,$K273))</f>
        <v/>
      </c>
      <c r="D273" s="8">
        <f>IF($K273="","",INDEX(מלאי!$G$2:$G$500,$K273))</f>
        <v/>
      </c>
      <c r="E273" s="8">
        <f>IF($K273="","",INDEX(מלאי!$M$2:$M$500,$K273))</f>
        <v/>
      </c>
      <c r="F273" s="8">
        <f>IF($K273="","",INDEX(מלאי!$N$2:$N$500,$K273))</f>
        <v/>
      </c>
      <c r="G273" s="8">
        <f>IF($K273="","",INDEX(מלאי!$O$2:$O$500,$K273))</f>
        <v/>
      </c>
      <c r="H273" s="8">
        <f>IF($K273="","",INDEX(מלאי!$U$2:$U$500,$K273))</f>
        <v/>
      </c>
      <c r="I273" s="8">
        <f>IF($K273="","",INDEX(מלאי!$X$2:$X$500,$K273))</f>
        <v/>
      </c>
      <c r="J273" s="8">
        <f>IF($K273="","",INDEX(מלאי!$AC$2:$AC$500,$K273))</f>
        <v/>
      </c>
      <c r="K27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253),"")</f>
        <v/>
      </c>
    </row>
    <row r="274">
      <c r="A274" s="9">
        <f>IF($K274="","",INDEX(מלאי!$D$2:$D$500,$K274))</f>
        <v/>
      </c>
      <c r="B274" s="9">
        <f>IF($K274="","",INDEX(מלאי!$B$2:$B$500,$K274))</f>
        <v/>
      </c>
      <c r="C274" s="9">
        <f>IF($K274="","",INDEX(מלאי!$C$2:$C$500,$K274))</f>
        <v/>
      </c>
      <c r="D274" s="9">
        <f>IF($K274="","",INDEX(מלאי!$G$2:$G$500,$K274))</f>
        <v/>
      </c>
      <c r="E274" s="9">
        <f>IF($K274="","",INDEX(מלאי!$M$2:$M$500,$K274))</f>
        <v/>
      </c>
      <c r="F274" s="9">
        <f>IF($K274="","",INDEX(מלאי!$N$2:$N$500,$K274))</f>
        <v/>
      </c>
      <c r="G274" s="9">
        <f>IF($K274="","",INDEX(מלאי!$O$2:$O$500,$K274))</f>
        <v/>
      </c>
      <c r="H274" s="9">
        <f>IF($K274="","",INDEX(מלאי!$U$2:$U$500,$K274))</f>
        <v/>
      </c>
      <c r="I274" s="9">
        <f>IF($K274="","",INDEX(מלאי!$X$2:$X$500,$K274))</f>
        <v/>
      </c>
      <c r="J274" s="9">
        <f>IF($K274="","",INDEX(מלאי!$AC$2:$AC$500,$K274))</f>
        <v/>
      </c>
      <c r="K27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254),"")</f>
        <v/>
      </c>
    </row>
    <row r="275">
      <c r="A275" s="8">
        <f>IF($K275="","",INDEX(מלאי!$D$2:$D$500,$K275))</f>
        <v/>
      </c>
      <c r="B275" s="8">
        <f>IF($K275="","",INDEX(מלאי!$B$2:$B$500,$K275))</f>
        <v/>
      </c>
      <c r="C275" s="8">
        <f>IF($K275="","",INDEX(מלאי!$C$2:$C$500,$K275))</f>
        <v/>
      </c>
      <c r="D275" s="8">
        <f>IF($K275="","",INDEX(מלאי!$G$2:$G$500,$K275))</f>
        <v/>
      </c>
      <c r="E275" s="8">
        <f>IF($K275="","",INDEX(מלאי!$M$2:$M$500,$K275))</f>
        <v/>
      </c>
      <c r="F275" s="8">
        <f>IF($K275="","",INDEX(מלאי!$N$2:$N$500,$K275))</f>
        <v/>
      </c>
      <c r="G275" s="8">
        <f>IF($K275="","",INDEX(מלאי!$O$2:$O$500,$K275))</f>
        <v/>
      </c>
      <c r="H275" s="8">
        <f>IF($K275="","",INDEX(מלאי!$U$2:$U$500,$K275))</f>
        <v/>
      </c>
      <c r="I275" s="8">
        <f>IF($K275="","",INDEX(מלאי!$X$2:$X$500,$K275))</f>
        <v/>
      </c>
      <c r="J275" s="8">
        <f>IF($K275="","",INDEX(מלאי!$AC$2:$AC$500,$K275))</f>
        <v/>
      </c>
      <c r="K27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255),"")</f>
        <v/>
      </c>
    </row>
    <row r="276">
      <c r="A276" s="9">
        <f>IF($K276="","",INDEX(מלאי!$D$2:$D$500,$K276))</f>
        <v/>
      </c>
      <c r="B276" s="9">
        <f>IF($K276="","",INDEX(מלאי!$B$2:$B$500,$K276))</f>
        <v/>
      </c>
      <c r="C276" s="9">
        <f>IF($K276="","",INDEX(מלאי!$C$2:$C$500,$K276))</f>
        <v/>
      </c>
      <c r="D276" s="9">
        <f>IF($K276="","",INDEX(מלאי!$G$2:$G$500,$K276))</f>
        <v/>
      </c>
      <c r="E276" s="9">
        <f>IF($K276="","",INDEX(מלאי!$M$2:$M$500,$K276))</f>
        <v/>
      </c>
      <c r="F276" s="9">
        <f>IF($K276="","",INDEX(מלאי!$N$2:$N$500,$K276))</f>
        <v/>
      </c>
      <c r="G276" s="9">
        <f>IF($K276="","",INDEX(מלאי!$O$2:$O$500,$K276))</f>
        <v/>
      </c>
      <c r="H276" s="9">
        <f>IF($K276="","",INDEX(מלאי!$U$2:$U$500,$K276))</f>
        <v/>
      </c>
      <c r="I276" s="9">
        <f>IF($K276="","",INDEX(מלאי!$X$2:$X$500,$K276))</f>
        <v/>
      </c>
      <c r="J276" s="9">
        <f>IF($K276="","",INDEX(מלאי!$AC$2:$AC$500,$K276))</f>
        <v/>
      </c>
      <c r="K27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256),"")</f>
        <v/>
      </c>
    </row>
    <row r="277">
      <c r="A277" s="8">
        <f>IF($K277="","",INDEX(מלאי!$D$2:$D$500,$K277))</f>
        <v/>
      </c>
      <c r="B277" s="8">
        <f>IF($K277="","",INDEX(מלאי!$B$2:$B$500,$K277))</f>
        <v/>
      </c>
      <c r="C277" s="8">
        <f>IF($K277="","",INDEX(מלאי!$C$2:$C$500,$K277))</f>
        <v/>
      </c>
      <c r="D277" s="8">
        <f>IF($K277="","",INDEX(מלאי!$G$2:$G$500,$K277))</f>
        <v/>
      </c>
      <c r="E277" s="8">
        <f>IF($K277="","",INDEX(מלאי!$M$2:$M$500,$K277))</f>
        <v/>
      </c>
      <c r="F277" s="8">
        <f>IF($K277="","",INDEX(מלאי!$N$2:$N$500,$K277))</f>
        <v/>
      </c>
      <c r="G277" s="8">
        <f>IF($K277="","",INDEX(מלאי!$O$2:$O$500,$K277))</f>
        <v/>
      </c>
      <c r="H277" s="8">
        <f>IF($K277="","",INDEX(מלאי!$U$2:$U$500,$K277))</f>
        <v/>
      </c>
      <c r="I277" s="8">
        <f>IF($K277="","",INDEX(מלאי!$X$2:$X$500,$K277))</f>
        <v/>
      </c>
      <c r="J277" s="8">
        <f>IF($K277="","",INDEX(מלאי!$AC$2:$AC$500,$K277))</f>
        <v/>
      </c>
      <c r="K27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257),"")</f>
        <v/>
      </c>
    </row>
    <row r="278">
      <c r="A278" s="9">
        <f>IF($K278="","",INDEX(מלאי!$D$2:$D$500,$K278))</f>
        <v/>
      </c>
      <c r="B278" s="9">
        <f>IF($K278="","",INDEX(מלאי!$B$2:$B$500,$K278))</f>
        <v/>
      </c>
      <c r="C278" s="9">
        <f>IF($K278="","",INDEX(מלאי!$C$2:$C$500,$K278))</f>
        <v/>
      </c>
      <c r="D278" s="9">
        <f>IF($K278="","",INDEX(מלאי!$G$2:$G$500,$K278))</f>
        <v/>
      </c>
      <c r="E278" s="9">
        <f>IF($K278="","",INDEX(מלאי!$M$2:$M$500,$K278))</f>
        <v/>
      </c>
      <c r="F278" s="9">
        <f>IF($K278="","",INDEX(מלאי!$N$2:$N$500,$K278))</f>
        <v/>
      </c>
      <c r="G278" s="9">
        <f>IF($K278="","",INDEX(מלאי!$O$2:$O$500,$K278))</f>
        <v/>
      </c>
      <c r="H278" s="9">
        <f>IF($K278="","",INDEX(מלאי!$U$2:$U$500,$K278))</f>
        <v/>
      </c>
      <c r="I278" s="9">
        <f>IF($K278="","",INDEX(מלאי!$X$2:$X$500,$K278))</f>
        <v/>
      </c>
      <c r="J278" s="9">
        <f>IF($K278="","",INDEX(מלאי!$AC$2:$AC$500,$K278))</f>
        <v/>
      </c>
      <c r="K27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258),"")</f>
        <v/>
      </c>
    </row>
    <row r="279">
      <c r="A279" s="8">
        <f>IF($K279="","",INDEX(מלאי!$D$2:$D$500,$K279))</f>
        <v/>
      </c>
      <c r="B279" s="8">
        <f>IF($K279="","",INDEX(מלאי!$B$2:$B$500,$K279))</f>
        <v/>
      </c>
      <c r="C279" s="8">
        <f>IF($K279="","",INDEX(מלאי!$C$2:$C$500,$K279))</f>
        <v/>
      </c>
      <c r="D279" s="8">
        <f>IF($K279="","",INDEX(מלאי!$G$2:$G$500,$K279))</f>
        <v/>
      </c>
      <c r="E279" s="8">
        <f>IF($K279="","",INDEX(מלאי!$M$2:$M$500,$K279))</f>
        <v/>
      </c>
      <c r="F279" s="8">
        <f>IF($K279="","",INDEX(מלאי!$N$2:$N$500,$K279))</f>
        <v/>
      </c>
      <c r="G279" s="8">
        <f>IF($K279="","",INDEX(מלאי!$O$2:$O$500,$K279))</f>
        <v/>
      </c>
      <c r="H279" s="8">
        <f>IF($K279="","",INDEX(מלאי!$U$2:$U$500,$K279))</f>
        <v/>
      </c>
      <c r="I279" s="8">
        <f>IF($K279="","",INDEX(מלאי!$X$2:$X$500,$K279))</f>
        <v/>
      </c>
      <c r="J279" s="8">
        <f>IF($K279="","",INDEX(מלאי!$AC$2:$AC$500,$K279))</f>
        <v/>
      </c>
      <c r="K27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259),"")</f>
        <v/>
      </c>
    </row>
    <row r="280">
      <c r="A280" s="9">
        <f>IF($K280="","",INDEX(מלאי!$D$2:$D$500,$K280))</f>
        <v/>
      </c>
      <c r="B280" s="9">
        <f>IF($K280="","",INDEX(מלאי!$B$2:$B$500,$K280))</f>
        <v/>
      </c>
      <c r="C280" s="9">
        <f>IF($K280="","",INDEX(מלאי!$C$2:$C$500,$K280))</f>
        <v/>
      </c>
      <c r="D280" s="9">
        <f>IF($K280="","",INDEX(מלאי!$G$2:$G$500,$K280))</f>
        <v/>
      </c>
      <c r="E280" s="9">
        <f>IF($K280="","",INDEX(מלאי!$M$2:$M$500,$K280))</f>
        <v/>
      </c>
      <c r="F280" s="9">
        <f>IF($K280="","",INDEX(מלאי!$N$2:$N$500,$K280))</f>
        <v/>
      </c>
      <c r="G280" s="9">
        <f>IF($K280="","",INDEX(מלאי!$O$2:$O$500,$K280))</f>
        <v/>
      </c>
      <c r="H280" s="9">
        <f>IF($K280="","",INDEX(מלאי!$U$2:$U$500,$K280))</f>
        <v/>
      </c>
      <c r="I280" s="9">
        <f>IF($K280="","",INDEX(מלאי!$X$2:$X$500,$K280))</f>
        <v/>
      </c>
      <c r="J280" s="9">
        <f>IF($K280="","",INDEX(מלאי!$AC$2:$AC$500,$K280))</f>
        <v/>
      </c>
      <c r="K28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260),"")</f>
        <v/>
      </c>
    </row>
    <row r="281">
      <c r="A281" s="8">
        <f>IF($K281="","",INDEX(מלאי!$D$2:$D$500,$K281))</f>
        <v/>
      </c>
      <c r="B281" s="8">
        <f>IF($K281="","",INDEX(מלאי!$B$2:$B$500,$K281))</f>
        <v/>
      </c>
      <c r="C281" s="8">
        <f>IF($K281="","",INDEX(מלאי!$C$2:$C$500,$K281))</f>
        <v/>
      </c>
      <c r="D281" s="8">
        <f>IF($K281="","",INDEX(מלאי!$G$2:$G$500,$K281))</f>
        <v/>
      </c>
      <c r="E281" s="8">
        <f>IF($K281="","",INDEX(מלאי!$M$2:$M$500,$K281))</f>
        <v/>
      </c>
      <c r="F281" s="8">
        <f>IF($K281="","",INDEX(מלאי!$N$2:$N$500,$K281))</f>
        <v/>
      </c>
      <c r="G281" s="8">
        <f>IF($K281="","",INDEX(מלאי!$O$2:$O$500,$K281))</f>
        <v/>
      </c>
      <c r="H281" s="8">
        <f>IF($K281="","",INDEX(מלאי!$U$2:$U$500,$K281))</f>
        <v/>
      </c>
      <c r="I281" s="8">
        <f>IF($K281="","",INDEX(מלאי!$X$2:$X$500,$K281))</f>
        <v/>
      </c>
      <c r="J281" s="8">
        <f>IF($K281="","",INDEX(מלאי!$AC$2:$AC$500,$K281))</f>
        <v/>
      </c>
      <c r="K28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261),"")</f>
        <v/>
      </c>
    </row>
    <row r="282">
      <c r="A282" s="9">
        <f>IF($K282="","",INDEX(מלאי!$D$2:$D$500,$K282))</f>
        <v/>
      </c>
      <c r="B282" s="9">
        <f>IF($K282="","",INDEX(מלאי!$B$2:$B$500,$K282))</f>
        <v/>
      </c>
      <c r="C282" s="9">
        <f>IF($K282="","",INDEX(מלאי!$C$2:$C$500,$K282))</f>
        <v/>
      </c>
      <c r="D282" s="9">
        <f>IF($K282="","",INDEX(מלאי!$G$2:$G$500,$K282))</f>
        <v/>
      </c>
      <c r="E282" s="9">
        <f>IF($K282="","",INDEX(מלאי!$M$2:$M$500,$K282))</f>
        <v/>
      </c>
      <c r="F282" s="9">
        <f>IF($K282="","",INDEX(מלאי!$N$2:$N$500,$K282))</f>
        <v/>
      </c>
      <c r="G282" s="9">
        <f>IF($K282="","",INDEX(מלאי!$O$2:$O$500,$K282))</f>
        <v/>
      </c>
      <c r="H282" s="9">
        <f>IF($K282="","",INDEX(מלאי!$U$2:$U$500,$K282))</f>
        <v/>
      </c>
      <c r="I282" s="9">
        <f>IF($K282="","",INDEX(מלאי!$X$2:$X$500,$K282))</f>
        <v/>
      </c>
      <c r="J282" s="9">
        <f>IF($K282="","",INDEX(מלאי!$AC$2:$AC$500,$K282))</f>
        <v/>
      </c>
      <c r="K28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262),"")</f>
        <v/>
      </c>
    </row>
    <row r="283">
      <c r="A283" s="8">
        <f>IF($K283="","",INDEX(מלאי!$D$2:$D$500,$K283))</f>
        <v/>
      </c>
      <c r="B283" s="8">
        <f>IF($K283="","",INDEX(מלאי!$B$2:$B$500,$K283))</f>
        <v/>
      </c>
      <c r="C283" s="8">
        <f>IF($K283="","",INDEX(מלאי!$C$2:$C$500,$K283))</f>
        <v/>
      </c>
      <c r="D283" s="8">
        <f>IF($K283="","",INDEX(מלאי!$G$2:$G$500,$K283))</f>
        <v/>
      </c>
      <c r="E283" s="8">
        <f>IF($K283="","",INDEX(מלאי!$M$2:$M$500,$K283))</f>
        <v/>
      </c>
      <c r="F283" s="8">
        <f>IF($K283="","",INDEX(מלאי!$N$2:$N$500,$K283))</f>
        <v/>
      </c>
      <c r="G283" s="8">
        <f>IF($K283="","",INDEX(מלאי!$O$2:$O$500,$K283))</f>
        <v/>
      </c>
      <c r="H283" s="8">
        <f>IF($K283="","",INDEX(מלאי!$U$2:$U$500,$K283))</f>
        <v/>
      </c>
      <c r="I283" s="8">
        <f>IF($K283="","",INDEX(מלאי!$X$2:$X$500,$K283))</f>
        <v/>
      </c>
      <c r="J283" s="8">
        <f>IF($K283="","",INDEX(מלאי!$AC$2:$AC$500,$K283))</f>
        <v/>
      </c>
      <c r="K28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263),"")</f>
        <v/>
      </c>
    </row>
    <row r="284">
      <c r="A284" s="9">
        <f>IF($K284="","",INDEX(מלאי!$D$2:$D$500,$K284))</f>
        <v/>
      </c>
      <c r="B284" s="9">
        <f>IF($K284="","",INDEX(מלאי!$B$2:$B$500,$K284))</f>
        <v/>
      </c>
      <c r="C284" s="9">
        <f>IF($K284="","",INDEX(מלאי!$C$2:$C$500,$K284))</f>
        <v/>
      </c>
      <c r="D284" s="9">
        <f>IF($K284="","",INDEX(מלאי!$G$2:$G$500,$K284))</f>
        <v/>
      </c>
      <c r="E284" s="9">
        <f>IF($K284="","",INDEX(מלאי!$M$2:$M$500,$K284))</f>
        <v/>
      </c>
      <c r="F284" s="9">
        <f>IF($K284="","",INDEX(מלאי!$N$2:$N$500,$K284))</f>
        <v/>
      </c>
      <c r="G284" s="9">
        <f>IF($K284="","",INDEX(מלאי!$O$2:$O$500,$K284))</f>
        <v/>
      </c>
      <c r="H284" s="9">
        <f>IF($K284="","",INDEX(מלאי!$U$2:$U$500,$K284))</f>
        <v/>
      </c>
      <c r="I284" s="9">
        <f>IF($K284="","",INDEX(מלאי!$X$2:$X$500,$K284))</f>
        <v/>
      </c>
      <c r="J284" s="9">
        <f>IF($K284="","",INDEX(מלאי!$AC$2:$AC$500,$K284))</f>
        <v/>
      </c>
      <c r="K28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264),"")</f>
        <v/>
      </c>
    </row>
    <row r="285">
      <c r="A285" s="8">
        <f>IF($K285="","",INDEX(מלאי!$D$2:$D$500,$K285))</f>
        <v/>
      </c>
      <c r="B285" s="8">
        <f>IF($K285="","",INDEX(מלאי!$B$2:$B$500,$K285))</f>
        <v/>
      </c>
      <c r="C285" s="8">
        <f>IF($K285="","",INDEX(מלאי!$C$2:$C$500,$K285))</f>
        <v/>
      </c>
      <c r="D285" s="8">
        <f>IF($K285="","",INDEX(מלאי!$G$2:$G$500,$K285))</f>
        <v/>
      </c>
      <c r="E285" s="8">
        <f>IF($K285="","",INDEX(מלאי!$M$2:$M$500,$K285))</f>
        <v/>
      </c>
      <c r="F285" s="8">
        <f>IF($K285="","",INDEX(מלאי!$N$2:$N$500,$K285))</f>
        <v/>
      </c>
      <c r="G285" s="8">
        <f>IF($K285="","",INDEX(מלאי!$O$2:$O$500,$K285))</f>
        <v/>
      </c>
      <c r="H285" s="8">
        <f>IF($K285="","",INDEX(מלאי!$U$2:$U$500,$K285))</f>
        <v/>
      </c>
      <c r="I285" s="8">
        <f>IF($K285="","",INDEX(מלאי!$X$2:$X$500,$K285))</f>
        <v/>
      </c>
      <c r="J285" s="8">
        <f>IF($K285="","",INDEX(מלאי!$AC$2:$AC$500,$K285))</f>
        <v/>
      </c>
      <c r="K28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265),"")</f>
        <v/>
      </c>
    </row>
    <row r="286">
      <c r="A286" s="9">
        <f>IF($K286="","",INDEX(מלאי!$D$2:$D$500,$K286))</f>
        <v/>
      </c>
      <c r="B286" s="9">
        <f>IF($K286="","",INDEX(מלאי!$B$2:$B$500,$K286))</f>
        <v/>
      </c>
      <c r="C286" s="9">
        <f>IF($K286="","",INDEX(מלאי!$C$2:$C$500,$K286))</f>
        <v/>
      </c>
      <c r="D286" s="9">
        <f>IF($K286="","",INDEX(מלאי!$G$2:$G$500,$K286))</f>
        <v/>
      </c>
      <c r="E286" s="9">
        <f>IF($K286="","",INDEX(מלאי!$M$2:$M$500,$K286))</f>
        <v/>
      </c>
      <c r="F286" s="9">
        <f>IF($K286="","",INDEX(מלאי!$N$2:$N$500,$K286))</f>
        <v/>
      </c>
      <c r="G286" s="9">
        <f>IF($K286="","",INDEX(מלאי!$O$2:$O$500,$K286))</f>
        <v/>
      </c>
      <c r="H286" s="9">
        <f>IF($K286="","",INDEX(מלאי!$U$2:$U$500,$K286))</f>
        <v/>
      </c>
      <c r="I286" s="9">
        <f>IF($K286="","",INDEX(מלאי!$X$2:$X$500,$K286))</f>
        <v/>
      </c>
      <c r="J286" s="9">
        <f>IF($K286="","",INDEX(מלאי!$AC$2:$AC$500,$K286))</f>
        <v/>
      </c>
      <c r="K28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266),"")</f>
        <v/>
      </c>
    </row>
    <row r="287">
      <c r="A287" s="8">
        <f>IF($K287="","",INDEX(מלאי!$D$2:$D$500,$K287))</f>
        <v/>
      </c>
      <c r="B287" s="8">
        <f>IF($K287="","",INDEX(מלאי!$B$2:$B$500,$K287))</f>
        <v/>
      </c>
      <c r="C287" s="8">
        <f>IF($K287="","",INDEX(מלאי!$C$2:$C$500,$K287))</f>
        <v/>
      </c>
      <c r="D287" s="8">
        <f>IF($K287="","",INDEX(מלאי!$G$2:$G$500,$K287))</f>
        <v/>
      </c>
      <c r="E287" s="8">
        <f>IF($K287="","",INDEX(מלאי!$M$2:$M$500,$K287))</f>
        <v/>
      </c>
      <c r="F287" s="8">
        <f>IF($K287="","",INDEX(מלאי!$N$2:$N$500,$K287))</f>
        <v/>
      </c>
      <c r="G287" s="8">
        <f>IF($K287="","",INDEX(מלאי!$O$2:$O$500,$K287))</f>
        <v/>
      </c>
      <c r="H287" s="8">
        <f>IF($K287="","",INDEX(מלאי!$U$2:$U$500,$K287))</f>
        <v/>
      </c>
      <c r="I287" s="8">
        <f>IF($K287="","",INDEX(מלאי!$X$2:$X$500,$K287))</f>
        <v/>
      </c>
      <c r="J287" s="8">
        <f>IF($K287="","",INDEX(מלאי!$AC$2:$AC$500,$K287))</f>
        <v/>
      </c>
      <c r="K28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267),"")</f>
        <v/>
      </c>
    </row>
    <row r="288">
      <c r="A288" s="9">
        <f>IF($K288="","",INDEX(מלאי!$D$2:$D$500,$K288))</f>
        <v/>
      </c>
      <c r="B288" s="9">
        <f>IF($K288="","",INDEX(מלאי!$B$2:$B$500,$K288))</f>
        <v/>
      </c>
      <c r="C288" s="9">
        <f>IF($K288="","",INDEX(מלאי!$C$2:$C$500,$K288))</f>
        <v/>
      </c>
      <c r="D288" s="9">
        <f>IF($K288="","",INDEX(מלאי!$G$2:$G$500,$K288))</f>
        <v/>
      </c>
      <c r="E288" s="9">
        <f>IF($K288="","",INDEX(מלאי!$M$2:$M$500,$K288))</f>
        <v/>
      </c>
      <c r="F288" s="9">
        <f>IF($K288="","",INDEX(מלאי!$N$2:$N$500,$K288))</f>
        <v/>
      </c>
      <c r="G288" s="9">
        <f>IF($K288="","",INDEX(מלאי!$O$2:$O$500,$K288))</f>
        <v/>
      </c>
      <c r="H288" s="9">
        <f>IF($K288="","",INDEX(מלאי!$U$2:$U$500,$K288))</f>
        <v/>
      </c>
      <c r="I288" s="9">
        <f>IF($K288="","",INDEX(מלאי!$X$2:$X$500,$K288))</f>
        <v/>
      </c>
      <c r="J288" s="9">
        <f>IF($K288="","",INDEX(מלאי!$AC$2:$AC$500,$K288))</f>
        <v/>
      </c>
      <c r="K28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268),"")</f>
        <v/>
      </c>
    </row>
    <row r="289">
      <c r="A289" s="8">
        <f>IF($K289="","",INDEX(מלאי!$D$2:$D$500,$K289))</f>
        <v/>
      </c>
      <c r="B289" s="8">
        <f>IF($K289="","",INDEX(מלאי!$B$2:$B$500,$K289))</f>
        <v/>
      </c>
      <c r="C289" s="8">
        <f>IF($K289="","",INDEX(מלאי!$C$2:$C$500,$K289))</f>
        <v/>
      </c>
      <c r="D289" s="8">
        <f>IF($K289="","",INDEX(מלאי!$G$2:$G$500,$K289))</f>
        <v/>
      </c>
      <c r="E289" s="8">
        <f>IF($K289="","",INDEX(מלאי!$M$2:$M$500,$K289))</f>
        <v/>
      </c>
      <c r="F289" s="8">
        <f>IF($K289="","",INDEX(מלאי!$N$2:$N$500,$K289))</f>
        <v/>
      </c>
      <c r="G289" s="8">
        <f>IF($K289="","",INDEX(מלאי!$O$2:$O$500,$K289))</f>
        <v/>
      </c>
      <c r="H289" s="8">
        <f>IF($K289="","",INDEX(מלאי!$U$2:$U$500,$K289))</f>
        <v/>
      </c>
      <c r="I289" s="8">
        <f>IF($K289="","",INDEX(מלאי!$X$2:$X$500,$K289))</f>
        <v/>
      </c>
      <c r="J289" s="8">
        <f>IF($K289="","",INDEX(מלאי!$AC$2:$AC$500,$K289))</f>
        <v/>
      </c>
      <c r="K28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269),"")</f>
        <v/>
      </c>
    </row>
    <row r="290">
      <c r="A290" s="9">
        <f>IF($K290="","",INDEX(מלאי!$D$2:$D$500,$K290))</f>
        <v/>
      </c>
      <c r="B290" s="9">
        <f>IF($K290="","",INDEX(מלאי!$B$2:$B$500,$K290))</f>
        <v/>
      </c>
      <c r="C290" s="9">
        <f>IF($K290="","",INDEX(מלאי!$C$2:$C$500,$K290))</f>
        <v/>
      </c>
      <c r="D290" s="9">
        <f>IF($K290="","",INDEX(מלאי!$G$2:$G$500,$K290))</f>
        <v/>
      </c>
      <c r="E290" s="9">
        <f>IF($K290="","",INDEX(מלאי!$M$2:$M$500,$K290))</f>
        <v/>
      </c>
      <c r="F290" s="9">
        <f>IF($K290="","",INDEX(מלאי!$N$2:$N$500,$K290))</f>
        <v/>
      </c>
      <c r="G290" s="9">
        <f>IF($K290="","",INDEX(מלאי!$O$2:$O$500,$K290))</f>
        <v/>
      </c>
      <c r="H290" s="9">
        <f>IF($K290="","",INDEX(מלאי!$U$2:$U$500,$K290))</f>
        <v/>
      </c>
      <c r="I290" s="9">
        <f>IF($K290="","",INDEX(מלאי!$X$2:$X$500,$K290))</f>
        <v/>
      </c>
      <c r="J290" s="9">
        <f>IF($K290="","",INDEX(מלאי!$AC$2:$AC$500,$K290))</f>
        <v/>
      </c>
      <c r="K29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270),"")</f>
        <v/>
      </c>
    </row>
    <row r="291">
      <c r="A291" s="8">
        <f>IF($K291="","",INDEX(מלאי!$D$2:$D$500,$K291))</f>
        <v/>
      </c>
      <c r="B291" s="8">
        <f>IF($K291="","",INDEX(מלאי!$B$2:$B$500,$K291))</f>
        <v/>
      </c>
      <c r="C291" s="8">
        <f>IF($K291="","",INDEX(מלאי!$C$2:$C$500,$K291))</f>
        <v/>
      </c>
      <c r="D291" s="8">
        <f>IF($K291="","",INDEX(מלאי!$G$2:$G$500,$K291))</f>
        <v/>
      </c>
      <c r="E291" s="8">
        <f>IF($K291="","",INDEX(מלאי!$M$2:$M$500,$K291))</f>
        <v/>
      </c>
      <c r="F291" s="8">
        <f>IF($K291="","",INDEX(מלאי!$N$2:$N$500,$K291))</f>
        <v/>
      </c>
      <c r="G291" s="8">
        <f>IF($K291="","",INDEX(מלאי!$O$2:$O$500,$K291))</f>
        <v/>
      </c>
      <c r="H291" s="8">
        <f>IF($K291="","",INDEX(מלאי!$U$2:$U$500,$K291))</f>
        <v/>
      </c>
      <c r="I291" s="8">
        <f>IF($K291="","",INDEX(מלאי!$X$2:$X$500,$K291))</f>
        <v/>
      </c>
      <c r="J291" s="8">
        <f>IF($K291="","",INDEX(מלאי!$AC$2:$AC$500,$K291))</f>
        <v/>
      </c>
      <c r="K29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271),"")</f>
        <v/>
      </c>
    </row>
    <row r="292">
      <c r="A292" s="9">
        <f>IF($K292="","",INDEX(מלאי!$D$2:$D$500,$K292))</f>
        <v/>
      </c>
      <c r="B292" s="9">
        <f>IF($K292="","",INDEX(מלאי!$B$2:$B$500,$K292))</f>
        <v/>
      </c>
      <c r="C292" s="9">
        <f>IF($K292="","",INDEX(מלאי!$C$2:$C$500,$K292))</f>
        <v/>
      </c>
      <c r="D292" s="9">
        <f>IF($K292="","",INDEX(מלאי!$G$2:$G$500,$K292))</f>
        <v/>
      </c>
      <c r="E292" s="9">
        <f>IF($K292="","",INDEX(מלאי!$M$2:$M$500,$K292))</f>
        <v/>
      </c>
      <c r="F292" s="9">
        <f>IF($K292="","",INDEX(מלאי!$N$2:$N$500,$K292))</f>
        <v/>
      </c>
      <c r="G292" s="9">
        <f>IF($K292="","",INDEX(מלאי!$O$2:$O$500,$K292))</f>
        <v/>
      </c>
      <c r="H292" s="9">
        <f>IF($K292="","",INDEX(מלאי!$U$2:$U$500,$K292))</f>
        <v/>
      </c>
      <c r="I292" s="9">
        <f>IF($K292="","",INDEX(מלאי!$X$2:$X$500,$K292))</f>
        <v/>
      </c>
      <c r="J292" s="9">
        <f>IF($K292="","",INDEX(מלאי!$AC$2:$AC$500,$K292))</f>
        <v/>
      </c>
      <c r="K29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272),"")</f>
        <v/>
      </c>
    </row>
    <row r="293">
      <c r="A293" s="8">
        <f>IF($K293="","",INDEX(מלאי!$D$2:$D$500,$K293))</f>
        <v/>
      </c>
      <c r="B293" s="8">
        <f>IF($K293="","",INDEX(מלאי!$B$2:$B$500,$K293))</f>
        <v/>
      </c>
      <c r="C293" s="8">
        <f>IF($K293="","",INDEX(מלאי!$C$2:$C$500,$K293))</f>
        <v/>
      </c>
      <c r="D293" s="8">
        <f>IF($K293="","",INDEX(מלאי!$G$2:$G$500,$K293))</f>
        <v/>
      </c>
      <c r="E293" s="8">
        <f>IF($K293="","",INDEX(מלאי!$M$2:$M$500,$K293))</f>
        <v/>
      </c>
      <c r="F293" s="8">
        <f>IF($K293="","",INDEX(מלאי!$N$2:$N$500,$K293))</f>
        <v/>
      </c>
      <c r="G293" s="8">
        <f>IF($K293="","",INDEX(מלאי!$O$2:$O$500,$K293))</f>
        <v/>
      </c>
      <c r="H293" s="8">
        <f>IF($K293="","",INDEX(מלאי!$U$2:$U$500,$K293))</f>
        <v/>
      </c>
      <c r="I293" s="8">
        <f>IF($K293="","",INDEX(מלאי!$X$2:$X$500,$K293))</f>
        <v/>
      </c>
      <c r="J293" s="8">
        <f>IF($K293="","",INDEX(מלאי!$AC$2:$AC$500,$K293))</f>
        <v/>
      </c>
      <c r="K29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273),"")</f>
        <v/>
      </c>
    </row>
    <row r="294">
      <c r="A294" s="9">
        <f>IF($K294="","",INDEX(מלאי!$D$2:$D$500,$K294))</f>
        <v/>
      </c>
      <c r="B294" s="9">
        <f>IF($K294="","",INDEX(מלאי!$B$2:$B$500,$K294))</f>
        <v/>
      </c>
      <c r="C294" s="9">
        <f>IF($K294="","",INDEX(מלאי!$C$2:$C$500,$K294))</f>
        <v/>
      </c>
      <c r="D294" s="9">
        <f>IF($K294="","",INDEX(מלאי!$G$2:$G$500,$K294))</f>
        <v/>
      </c>
      <c r="E294" s="9">
        <f>IF($K294="","",INDEX(מלאי!$M$2:$M$500,$K294))</f>
        <v/>
      </c>
      <c r="F294" s="9">
        <f>IF($K294="","",INDEX(מלאי!$N$2:$N$500,$K294))</f>
        <v/>
      </c>
      <c r="G294" s="9">
        <f>IF($K294="","",INDEX(מלאי!$O$2:$O$500,$K294))</f>
        <v/>
      </c>
      <c r="H294" s="9">
        <f>IF($K294="","",INDEX(מלאי!$U$2:$U$500,$K294))</f>
        <v/>
      </c>
      <c r="I294" s="9">
        <f>IF($K294="","",INDEX(מלאי!$X$2:$X$500,$K294))</f>
        <v/>
      </c>
      <c r="J294" s="9">
        <f>IF($K294="","",INDEX(מלאי!$AC$2:$AC$500,$K294))</f>
        <v/>
      </c>
      <c r="K29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274),"")</f>
        <v/>
      </c>
    </row>
    <row r="295">
      <c r="A295" s="8">
        <f>IF($K295="","",INDEX(מלאי!$D$2:$D$500,$K295))</f>
        <v/>
      </c>
      <c r="B295" s="8">
        <f>IF($K295="","",INDEX(מלאי!$B$2:$B$500,$K295))</f>
        <v/>
      </c>
      <c r="C295" s="8">
        <f>IF($K295="","",INDEX(מלאי!$C$2:$C$500,$K295))</f>
        <v/>
      </c>
      <c r="D295" s="8">
        <f>IF($K295="","",INDEX(מלאי!$G$2:$G$500,$K295))</f>
        <v/>
      </c>
      <c r="E295" s="8">
        <f>IF($K295="","",INDEX(מלאי!$M$2:$M$500,$K295))</f>
        <v/>
      </c>
      <c r="F295" s="8">
        <f>IF($K295="","",INDEX(מלאי!$N$2:$N$500,$K295))</f>
        <v/>
      </c>
      <c r="G295" s="8">
        <f>IF($K295="","",INDEX(מלאי!$O$2:$O$500,$K295))</f>
        <v/>
      </c>
      <c r="H295" s="8">
        <f>IF($K295="","",INDEX(מלאי!$U$2:$U$500,$K295))</f>
        <v/>
      </c>
      <c r="I295" s="8">
        <f>IF($K295="","",INDEX(מלאי!$X$2:$X$500,$K295))</f>
        <v/>
      </c>
      <c r="J295" s="8">
        <f>IF($K295="","",INDEX(מלאי!$AC$2:$AC$500,$K295))</f>
        <v/>
      </c>
      <c r="K29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275),"")</f>
        <v/>
      </c>
    </row>
    <row r="296">
      <c r="A296" s="9">
        <f>IF($K296="","",INDEX(מלאי!$D$2:$D$500,$K296))</f>
        <v/>
      </c>
      <c r="B296" s="9">
        <f>IF($K296="","",INDEX(מלאי!$B$2:$B$500,$K296))</f>
        <v/>
      </c>
      <c r="C296" s="9">
        <f>IF($K296="","",INDEX(מלאי!$C$2:$C$500,$K296))</f>
        <v/>
      </c>
      <c r="D296" s="9">
        <f>IF($K296="","",INDEX(מלאי!$G$2:$G$500,$K296))</f>
        <v/>
      </c>
      <c r="E296" s="9">
        <f>IF($K296="","",INDEX(מלאי!$M$2:$M$500,$K296))</f>
        <v/>
      </c>
      <c r="F296" s="9">
        <f>IF($K296="","",INDEX(מלאי!$N$2:$N$500,$K296))</f>
        <v/>
      </c>
      <c r="G296" s="9">
        <f>IF($K296="","",INDEX(מלאי!$O$2:$O$500,$K296))</f>
        <v/>
      </c>
      <c r="H296" s="9">
        <f>IF($K296="","",INDEX(מלאי!$U$2:$U$500,$K296))</f>
        <v/>
      </c>
      <c r="I296" s="9">
        <f>IF($K296="","",INDEX(מלאי!$X$2:$X$500,$K296))</f>
        <v/>
      </c>
      <c r="J296" s="9">
        <f>IF($K296="","",INDEX(מלאי!$AC$2:$AC$500,$K296))</f>
        <v/>
      </c>
      <c r="K29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276),"")</f>
        <v/>
      </c>
    </row>
    <row r="297">
      <c r="A297" s="8">
        <f>IF($K297="","",INDEX(מלאי!$D$2:$D$500,$K297))</f>
        <v/>
      </c>
      <c r="B297" s="8">
        <f>IF($K297="","",INDEX(מלאי!$B$2:$B$500,$K297))</f>
        <v/>
      </c>
      <c r="C297" s="8">
        <f>IF($K297="","",INDEX(מלאי!$C$2:$C$500,$K297))</f>
        <v/>
      </c>
      <c r="D297" s="8">
        <f>IF($K297="","",INDEX(מלאי!$G$2:$G$500,$K297))</f>
        <v/>
      </c>
      <c r="E297" s="8">
        <f>IF($K297="","",INDEX(מלאי!$M$2:$M$500,$K297))</f>
        <v/>
      </c>
      <c r="F297" s="8">
        <f>IF($K297="","",INDEX(מלאי!$N$2:$N$500,$K297))</f>
        <v/>
      </c>
      <c r="G297" s="8">
        <f>IF($K297="","",INDEX(מלאי!$O$2:$O$500,$K297))</f>
        <v/>
      </c>
      <c r="H297" s="8">
        <f>IF($K297="","",INDEX(מלאי!$U$2:$U$500,$K297))</f>
        <v/>
      </c>
      <c r="I297" s="8">
        <f>IF($K297="","",INDEX(מלאי!$X$2:$X$500,$K297))</f>
        <v/>
      </c>
      <c r="J297" s="8">
        <f>IF($K297="","",INDEX(מלאי!$AC$2:$AC$500,$K297))</f>
        <v/>
      </c>
      <c r="K29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277),"")</f>
        <v/>
      </c>
    </row>
    <row r="298">
      <c r="A298" s="9">
        <f>IF($K298="","",INDEX(מלאי!$D$2:$D$500,$K298))</f>
        <v/>
      </c>
      <c r="B298" s="9">
        <f>IF($K298="","",INDEX(מלאי!$B$2:$B$500,$K298))</f>
        <v/>
      </c>
      <c r="C298" s="9">
        <f>IF($K298="","",INDEX(מלאי!$C$2:$C$500,$K298))</f>
        <v/>
      </c>
      <c r="D298" s="9">
        <f>IF($K298="","",INDEX(מלאי!$G$2:$G$500,$K298))</f>
        <v/>
      </c>
      <c r="E298" s="9">
        <f>IF($K298="","",INDEX(מלאי!$M$2:$M$500,$K298))</f>
        <v/>
      </c>
      <c r="F298" s="9">
        <f>IF($K298="","",INDEX(מלאי!$N$2:$N$500,$K298))</f>
        <v/>
      </c>
      <c r="G298" s="9">
        <f>IF($K298="","",INDEX(מלאי!$O$2:$O$500,$K298))</f>
        <v/>
      </c>
      <c r="H298" s="9">
        <f>IF($K298="","",INDEX(מלאי!$U$2:$U$500,$K298))</f>
        <v/>
      </c>
      <c r="I298" s="9">
        <f>IF($K298="","",INDEX(מלאי!$X$2:$X$500,$K298))</f>
        <v/>
      </c>
      <c r="J298" s="9">
        <f>IF($K298="","",INDEX(מלאי!$AC$2:$AC$500,$K298))</f>
        <v/>
      </c>
      <c r="K29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278),"")</f>
        <v/>
      </c>
    </row>
    <row r="299">
      <c r="A299" s="8">
        <f>IF($K299="","",INDEX(מלאי!$D$2:$D$500,$K299))</f>
        <v/>
      </c>
      <c r="B299" s="8">
        <f>IF($K299="","",INDEX(מלאי!$B$2:$B$500,$K299))</f>
        <v/>
      </c>
      <c r="C299" s="8">
        <f>IF($K299="","",INDEX(מלאי!$C$2:$C$500,$K299))</f>
        <v/>
      </c>
      <c r="D299" s="8">
        <f>IF($K299="","",INDEX(מלאי!$G$2:$G$500,$K299))</f>
        <v/>
      </c>
      <c r="E299" s="8">
        <f>IF($K299="","",INDEX(מלאי!$M$2:$M$500,$K299))</f>
        <v/>
      </c>
      <c r="F299" s="8">
        <f>IF($K299="","",INDEX(מלאי!$N$2:$N$500,$K299))</f>
        <v/>
      </c>
      <c r="G299" s="8">
        <f>IF($K299="","",INDEX(מלאי!$O$2:$O$500,$K299))</f>
        <v/>
      </c>
      <c r="H299" s="8">
        <f>IF($K299="","",INDEX(מלאי!$U$2:$U$500,$K299))</f>
        <v/>
      </c>
      <c r="I299" s="8">
        <f>IF($K299="","",INDEX(מלאי!$X$2:$X$500,$K299))</f>
        <v/>
      </c>
      <c r="J299" s="8">
        <f>IF($K299="","",INDEX(מלאי!$AC$2:$AC$500,$K299))</f>
        <v/>
      </c>
      <c r="K29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279),"")</f>
        <v/>
      </c>
    </row>
    <row r="300">
      <c r="A300" s="9">
        <f>IF($K300="","",INDEX(מלאי!$D$2:$D$500,$K300))</f>
        <v/>
      </c>
      <c r="B300" s="9">
        <f>IF($K300="","",INDEX(מלאי!$B$2:$B$500,$K300))</f>
        <v/>
      </c>
      <c r="C300" s="9">
        <f>IF($K300="","",INDEX(מלאי!$C$2:$C$500,$K300))</f>
        <v/>
      </c>
      <c r="D300" s="9">
        <f>IF($K300="","",INDEX(מלאי!$G$2:$G$500,$K300))</f>
        <v/>
      </c>
      <c r="E300" s="9">
        <f>IF($K300="","",INDEX(מלאי!$M$2:$M$500,$K300))</f>
        <v/>
      </c>
      <c r="F300" s="9">
        <f>IF($K300="","",INDEX(מלאי!$N$2:$N$500,$K300))</f>
        <v/>
      </c>
      <c r="G300" s="9">
        <f>IF($K300="","",INDEX(מלאי!$O$2:$O$500,$K300))</f>
        <v/>
      </c>
      <c r="H300" s="9">
        <f>IF($K300="","",INDEX(מלאי!$U$2:$U$500,$K300))</f>
        <v/>
      </c>
      <c r="I300" s="9">
        <f>IF($K300="","",INDEX(מלאי!$X$2:$X$500,$K300))</f>
        <v/>
      </c>
      <c r="J300" s="9">
        <f>IF($K300="","",INDEX(מלאי!$AC$2:$AC$500,$K300))</f>
        <v/>
      </c>
      <c r="K30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280),"")</f>
        <v/>
      </c>
    </row>
    <row r="301">
      <c r="A301" s="8">
        <f>IF($K301="","",INDEX(מלאי!$D$2:$D$500,$K301))</f>
        <v/>
      </c>
      <c r="B301" s="8">
        <f>IF($K301="","",INDEX(מלאי!$B$2:$B$500,$K301))</f>
        <v/>
      </c>
      <c r="C301" s="8">
        <f>IF($K301="","",INDEX(מלאי!$C$2:$C$500,$K301))</f>
        <v/>
      </c>
      <c r="D301" s="8">
        <f>IF($K301="","",INDEX(מלאי!$G$2:$G$500,$K301))</f>
        <v/>
      </c>
      <c r="E301" s="8">
        <f>IF($K301="","",INDEX(מלאי!$M$2:$M$500,$K301))</f>
        <v/>
      </c>
      <c r="F301" s="8">
        <f>IF($K301="","",INDEX(מלאי!$N$2:$N$500,$K301))</f>
        <v/>
      </c>
      <c r="G301" s="8">
        <f>IF($K301="","",INDEX(מלאי!$O$2:$O$500,$K301))</f>
        <v/>
      </c>
      <c r="H301" s="8">
        <f>IF($K301="","",INDEX(מלאי!$U$2:$U$500,$K301))</f>
        <v/>
      </c>
      <c r="I301" s="8">
        <f>IF($K301="","",INDEX(מלאי!$X$2:$X$500,$K301))</f>
        <v/>
      </c>
      <c r="J301" s="8">
        <f>IF($K301="","",INDEX(מלאי!$AC$2:$AC$500,$K301))</f>
        <v/>
      </c>
      <c r="K30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281),"")</f>
        <v/>
      </c>
    </row>
    <row r="302">
      <c r="A302" s="9">
        <f>IF($K302="","",INDEX(מלאי!$D$2:$D$500,$K302))</f>
        <v/>
      </c>
      <c r="B302" s="9">
        <f>IF($K302="","",INDEX(מלאי!$B$2:$B$500,$K302))</f>
        <v/>
      </c>
      <c r="C302" s="9">
        <f>IF($K302="","",INDEX(מלאי!$C$2:$C$500,$K302))</f>
        <v/>
      </c>
      <c r="D302" s="9">
        <f>IF($K302="","",INDEX(מלאי!$G$2:$G$500,$K302))</f>
        <v/>
      </c>
      <c r="E302" s="9">
        <f>IF($K302="","",INDEX(מלאי!$M$2:$M$500,$K302))</f>
        <v/>
      </c>
      <c r="F302" s="9">
        <f>IF($K302="","",INDEX(מלאי!$N$2:$N$500,$K302))</f>
        <v/>
      </c>
      <c r="G302" s="9">
        <f>IF($K302="","",INDEX(מלאי!$O$2:$O$500,$K302))</f>
        <v/>
      </c>
      <c r="H302" s="9">
        <f>IF($K302="","",INDEX(מלאי!$U$2:$U$500,$K302))</f>
        <v/>
      </c>
      <c r="I302" s="9">
        <f>IF($K302="","",INDEX(מלאי!$X$2:$X$500,$K302))</f>
        <v/>
      </c>
      <c r="J302" s="9">
        <f>IF($K302="","",INDEX(מלאי!$AC$2:$AC$500,$K302))</f>
        <v/>
      </c>
      <c r="K30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282),"")</f>
        <v/>
      </c>
    </row>
    <row r="303">
      <c r="A303" s="8">
        <f>IF($K303="","",INDEX(מלאי!$D$2:$D$500,$K303))</f>
        <v/>
      </c>
      <c r="B303" s="8">
        <f>IF($K303="","",INDEX(מלאי!$B$2:$B$500,$K303))</f>
        <v/>
      </c>
      <c r="C303" s="8">
        <f>IF($K303="","",INDEX(מלאי!$C$2:$C$500,$K303))</f>
        <v/>
      </c>
      <c r="D303" s="8">
        <f>IF($K303="","",INDEX(מלאי!$G$2:$G$500,$K303))</f>
        <v/>
      </c>
      <c r="E303" s="8">
        <f>IF($K303="","",INDEX(מלאי!$M$2:$M$500,$K303))</f>
        <v/>
      </c>
      <c r="F303" s="8">
        <f>IF($K303="","",INDEX(מלאי!$N$2:$N$500,$K303))</f>
        <v/>
      </c>
      <c r="G303" s="8">
        <f>IF($K303="","",INDEX(מלאי!$O$2:$O$500,$K303))</f>
        <v/>
      </c>
      <c r="H303" s="8">
        <f>IF($K303="","",INDEX(מלאי!$U$2:$U$500,$K303))</f>
        <v/>
      </c>
      <c r="I303" s="8">
        <f>IF($K303="","",INDEX(מלאי!$X$2:$X$500,$K303))</f>
        <v/>
      </c>
      <c r="J303" s="8">
        <f>IF($K303="","",INDEX(מלאי!$AC$2:$AC$500,$K303))</f>
        <v/>
      </c>
      <c r="K30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283),"")</f>
        <v/>
      </c>
    </row>
    <row r="304">
      <c r="A304" s="9">
        <f>IF($K304="","",INDEX(מלאי!$D$2:$D$500,$K304))</f>
        <v/>
      </c>
      <c r="B304" s="9">
        <f>IF($K304="","",INDEX(מלאי!$B$2:$B$500,$K304))</f>
        <v/>
      </c>
      <c r="C304" s="9">
        <f>IF($K304="","",INDEX(מלאי!$C$2:$C$500,$K304))</f>
        <v/>
      </c>
      <c r="D304" s="9">
        <f>IF($K304="","",INDEX(מלאי!$G$2:$G$500,$K304))</f>
        <v/>
      </c>
      <c r="E304" s="9">
        <f>IF($K304="","",INDEX(מלאי!$M$2:$M$500,$K304))</f>
        <v/>
      </c>
      <c r="F304" s="9">
        <f>IF($K304="","",INDEX(מלאי!$N$2:$N$500,$K304))</f>
        <v/>
      </c>
      <c r="G304" s="9">
        <f>IF($K304="","",INDEX(מלאי!$O$2:$O$500,$K304))</f>
        <v/>
      </c>
      <c r="H304" s="9">
        <f>IF($K304="","",INDEX(מלאי!$U$2:$U$500,$K304))</f>
        <v/>
      </c>
      <c r="I304" s="9">
        <f>IF($K304="","",INDEX(מלאי!$X$2:$X$500,$K304))</f>
        <v/>
      </c>
      <c r="J304" s="9">
        <f>IF($K304="","",INDEX(מלאי!$AC$2:$AC$500,$K304))</f>
        <v/>
      </c>
      <c r="K30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284),"")</f>
        <v/>
      </c>
    </row>
    <row r="305">
      <c r="A305" s="8">
        <f>IF($K305="","",INDEX(מלאי!$D$2:$D$500,$K305))</f>
        <v/>
      </c>
      <c r="B305" s="8">
        <f>IF($K305="","",INDEX(מלאי!$B$2:$B$500,$K305))</f>
        <v/>
      </c>
      <c r="C305" s="8">
        <f>IF($K305="","",INDEX(מלאי!$C$2:$C$500,$K305))</f>
        <v/>
      </c>
      <c r="D305" s="8">
        <f>IF($K305="","",INDEX(מלאי!$G$2:$G$500,$K305))</f>
        <v/>
      </c>
      <c r="E305" s="8">
        <f>IF($K305="","",INDEX(מלאי!$M$2:$M$500,$K305))</f>
        <v/>
      </c>
      <c r="F305" s="8">
        <f>IF($K305="","",INDEX(מלאי!$N$2:$N$500,$K305))</f>
        <v/>
      </c>
      <c r="G305" s="8">
        <f>IF($K305="","",INDEX(מלאי!$O$2:$O$500,$K305))</f>
        <v/>
      </c>
      <c r="H305" s="8">
        <f>IF($K305="","",INDEX(מלאי!$U$2:$U$500,$K305))</f>
        <v/>
      </c>
      <c r="I305" s="8">
        <f>IF($K305="","",INDEX(מלאי!$X$2:$X$500,$K305))</f>
        <v/>
      </c>
      <c r="J305" s="8">
        <f>IF($K305="","",INDEX(מלאי!$AC$2:$AC$500,$K305))</f>
        <v/>
      </c>
      <c r="K30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285),"")</f>
        <v/>
      </c>
    </row>
    <row r="306">
      <c r="A306" s="9">
        <f>IF($K306="","",INDEX(מלאי!$D$2:$D$500,$K306))</f>
        <v/>
      </c>
      <c r="B306" s="9">
        <f>IF($K306="","",INDEX(מלאי!$B$2:$B$500,$K306))</f>
        <v/>
      </c>
      <c r="C306" s="9">
        <f>IF($K306="","",INDEX(מלאי!$C$2:$C$500,$K306))</f>
        <v/>
      </c>
      <c r="D306" s="9">
        <f>IF($K306="","",INDEX(מלאי!$G$2:$G$500,$K306))</f>
        <v/>
      </c>
      <c r="E306" s="9">
        <f>IF($K306="","",INDEX(מלאי!$M$2:$M$500,$K306))</f>
        <v/>
      </c>
      <c r="F306" s="9">
        <f>IF($K306="","",INDEX(מלאי!$N$2:$N$500,$K306))</f>
        <v/>
      </c>
      <c r="G306" s="9">
        <f>IF($K306="","",INDEX(מלאי!$O$2:$O$500,$K306))</f>
        <v/>
      </c>
      <c r="H306" s="9">
        <f>IF($K306="","",INDEX(מלאי!$U$2:$U$500,$K306))</f>
        <v/>
      </c>
      <c r="I306" s="9">
        <f>IF($K306="","",INDEX(מלאי!$X$2:$X$500,$K306))</f>
        <v/>
      </c>
      <c r="J306" s="9">
        <f>IF($K306="","",INDEX(מלאי!$AC$2:$AC$500,$K306))</f>
        <v/>
      </c>
      <c r="K30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286),"")</f>
        <v/>
      </c>
    </row>
    <row r="307">
      <c r="A307" s="8">
        <f>IF($K307="","",INDEX(מלאי!$D$2:$D$500,$K307))</f>
        <v/>
      </c>
      <c r="B307" s="8">
        <f>IF($K307="","",INDEX(מלאי!$B$2:$B$500,$K307))</f>
        <v/>
      </c>
      <c r="C307" s="8">
        <f>IF($K307="","",INDEX(מלאי!$C$2:$C$500,$K307))</f>
        <v/>
      </c>
      <c r="D307" s="8">
        <f>IF($K307="","",INDEX(מלאי!$G$2:$G$500,$K307))</f>
        <v/>
      </c>
      <c r="E307" s="8">
        <f>IF($K307="","",INDEX(מלאי!$M$2:$M$500,$K307))</f>
        <v/>
      </c>
      <c r="F307" s="8">
        <f>IF($K307="","",INDEX(מלאי!$N$2:$N$500,$K307))</f>
        <v/>
      </c>
      <c r="G307" s="8">
        <f>IF($K307="","",INDEX(מלאי!$O$2:$O$500,$K307))</f>
        <v/>
      </c>
      <c r="H307" s="8">
        <f>IF($K307="","",INDEX(מלאי!$U$2:$U$500,$K307))</f>
        <v/>
      </c>
      <c r="I307" s="8">
        <f>IF($K307="","",INDEX(מלאי!$X$2:$X$500,$K307))</f>
        <v/>
      </c>
      <c r="J307" s="8">
        <f>IF($K307="","",INDEX(מלאי!$AC$2:$AC$500,$K307))</f>
        <v/>
      </c>
      <c r="K30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287),"")</f>
        <v/>
      </c>
    </row>
    <row r="308">
      <c r="A308" s="9">
        <f>IF($K308="","",INDEX(מלאי!$D$2:$D$500,$K308))</f>
        <v/>
      </c>
      <c r="B308" s="9">
        <f>IF($K308="","",INDEX(מלאי!$B$2:$B$500,$K308))</f>
        <v/>
      </c>
      <c r="C308" s="9">
        <f>IF($K308="","",INDEX(מלאי!$C$2:$C$500,$K308))</f>
        <v/>
      </c>
      <c r="D308" s="9">
        <f>IF($K308="","",INDEX(מלאי!$G$2:$G$500,$K308))</f>
        <v/>
      </c>
      <c r="E308" s="9">
        <f>IF($K308="","",INDEX(מלאי!$M$2:$M$500,$K308))</f>
        <v/>
      </c>
      <c r="F308" s="9">
        <f>IF($K308="","",INDEX(מלאי!$N$2:$N$500,$K308))</f>
        <v/>
      </c>
      <c r="G308" s="9">
        <f>IF($K308="","",INDEX(מלאי!$O$2:$O$500,$K308))</f>
        <v/>
      </c>
      <c r="H308" s="9">
        <f>IF($K308="","",INDEX(מלאי!$U$2:$U$500,$K308))</f>
        <v/>
      </c>
      <c r="I308" s="9">
        <f>IF($K308="","",INDEX(מלאי!$X$2:$X$500,$K308))</f>
        <v/>
      </c>
      <c r="J308" s="9">
        <f>IF($K308="","",INDEX(מלאי!$AC$2:$AC$500,$K308))</f>
        <v/>
      </c>
      <c r="K30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288),"")</f>
        <v/>
      </c>
    </row>
    <row r="309">
      <c r="A309" s="8">
        <f>IF($K309="","",INDEX(מלאי!$D$2:$D$500,$K309))</f>
        <v/>
      </c>
      <c r="B309" s="8">
        <f>IF($K309="","",INDEX(מלאי!$B$2:$B$500,$K309))</f>
        <v/>
      </c>
      <c r="C309" s="8">
        <f>IF($K309="","",INDEX(מלאי!$C$2:$C$500,$K309))</f>
        <v/>
      </c>
      <c r="D309" s="8">
        <f>IF($K309="","",INDEX(מלאי!$G$2:$G$500,$K309))</f>
        <v/>
      </c>
      <c r="E309" s="8">
        <f>IF($K309="","",INDEX(מלאי!$M$2:$M$500,$K309))</f>
        <v/>
      </c>
      <c r="F309" s="8">
        <f>IF($K309="","",INDEX(מלאי!$N$2:$N$500,$K309))</f>
        <v/>
      </c>
      <c r="G309" s="8">
        <f>IF($K309="","",INDEX(מלאי!$O$2:$O$500,$K309))</f>
        <v/>
      </c>
      <c r="H309" s="8">
        <f>IF($K309="","",INDEX(מלאי!$U$2:$U$500,$K309))</f>
        <v/>
      </c>
      <c r="I309" s="8">
        <f>IF($K309="","",INDEX(מלאי!$X$2:$X$500,$K309))</f>
        <v/>
      </c>
      <c r="J309" s="8">
        <f>IF($K309="","",INDEX(מלאי!$AC$2:$AC$500,$K309))</f>
        <v/>
      </c>
      <c r="K30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289),"")</f>
        <v/>
      </c>
    </row>
    <row r="310">
      <c r="A310" s="9">
        <f>IF($K310="","",INDEX(מלאי!$D$2:$D$500,$K310))</f>
        <v/>
      </c>
      <c r="B310" s="9">
        <f>IF($K310="","",INDEX(מלאי!$B$2:$B$500,$K310))</f>
        <v/>
      </c>
      <c r="C310" s="9">
        <f>IF($K310="","",INDEX(מלאי!$C$2:$C$500,$K310))</f>
        <v/>
      </c>
      <c r="D310" s="9">
        <f>IF($K310="","",INDEX(מלאי!$G$2:$G$500,$K310))</f>
        <v/>
      </c>
      <c r="E310" s="9">
        <f>IF($K310="","",INDEX(מלאי!$M$2:$M$500,$K310))</f>
        <v/>
      </c>
      <c r="F310" s="9">
        <f>IF($K310="","",INDEX(מלאי!$N$2:$N$500,$K310))</f>
        <v/>
      </c>
      <c r="G310" s="9">
        <f>IF($K310="","",INDEX(מלאי!$O$2:$O$500,$K310))</f>
        <v/>
      </c>
      <c r="H310" s="9">
        <f>IF($K310="","",INDEX(מלאי!$U$2:$U$500,$K310))</f>
        <v/>
      </c>
      <c r="I310" s="9">
        <f>IF($K310="","",INDEX(מלאי!$X$2:$X$500,$K310))</f>
        <v/>
      </c>
      <c r="J310" s="9">
        <f>IF($K310="","",INDEX(מלאי!$AC$2:$AC$500,$K310))</f>
        <v/>
      </c>
      <c r="K31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290),"")</f>
        <v/>
      </c>
    </row>
    <row r="311">
      <c r="A311" s="8">
        <f>IF($K311="","",INDEX(מלאי!$D$2:$D$500,$K311))</f>
        <v/>
      </c>
      <c r="B311" s="8">
        <f>IF($K311="","",INDEX(מלאי!$B$2:$B$500,$K311))</f>
        <v/>
      </c>
      <c r="C311" s="8">
        <f>IF($K311="","",INDEX(מלאי!$C$2:$C$500,$K311))</f>
        <v/>
      </c>
      <c r="D311" s="8">
        <f>IF($K311="","",INDEX(מלאי!$G$2:$G$500,$K311))</f>
        <v/>
      </c>
      <c r="E311" s="8">
        <f>IF($K311="","",INDEX(מלאי!$M$2:$M$500,$K311))</f>
        <v/>
      </c>
      <c r="F311" s="8">
        <f>IF($K311="","",INDEX(מלאי!$N$2:$N$500,$K311))</f>
        <v/>
      </c>
      <c r="G311" s="8">
        <f>IF($K311="","",INDEX(מלאי!$O$2:$O$500,$K311))</f>
        <v/>
      </c>
      <c r="H311" s="8">
        <f>IF($K311="","",INDEX(מלאי!$U$2:$U$500,$K311))</f>
        <v/>
      </c>
      <c r="I311" s="8">
        <f>IF($K311="","",INDEX(מלאי!$X$2:$X$500,$K311))</f>
        <v/>
      </c>
      <c r="J311" s="8">
        <f>IF($K311="","",INDEX(מלאי!$AC$2:$AC$500,$K311))</f>
        <v/>
      </c>
      <c r="K311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291),"")</f>
        <v/>
      </c>
    </row>
    <row r="312">
      <c r="A312" s="9">
        <f>IF($K312="","",INDEX(מלאי!$D$2:$D$500,$K312))</f>
        <v/>
      </c>
      <c r="B312" s="9">
        <f>IF($K312="","",INDEX(מלאי!$B$2:$B$500,$K312))</f>
        <v/>
      </c>
      <c r="C312" s="9">
        <f>IF($K312="","",INDEX(מלאי!$C$2:$C$500,$K312))</f>
        <v/>
      </c>
      <c r="D312" s="9">
        <f>IF($K312="","",INDEX(מלאי!$G$2:$G$500,$K312))</f>
        <v/>
      </c>
      <c r="E312" s="9">
        <f>IF($K312="","",INDEX(מלאי!$M$2:$M$500,$K312))</f>
        <v/>
      </c>
      <c r="F312" s="9">
        <f>IF($K312="","",INDEX(מלאי!$N$2:$N$500,$K312))</f>
        <v/>
      </c>
      <c r="G312" s="9">
        <f>IF($K312="","",INDEX(מלאי!$O$2:$O$500,$K312))</f>
        <v/>
      </c>
      <c r="H312" s="9">
        <f>IF($K312="","",INDEX(מלאי!$U$2:$U$500,$K312))</f>
        <v/>
      </c>
      <c r="I312" s="9">
        <f>IF($K312="","",INDEX(מלאי!$X$2:$X$500,$K312))</f>
        <v/>
      </c>
      <c r="J312" s="9">
        <f>IF($K312="","",INDEX(מלאי!$AC$2:$AC$500,$K312))</f>
        <v/>
      </c>
      <c r="K312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292),"")</f>
        <v/>
      </c>
    </row>
    <row r="313">
      <c r="A313" s="8">
        <f>IF($K313="","",INDEX(מלאי!$D$2:$D$500,$K313))</f>
        <v/>
      </c>
      <c r="B313" s="8">
        <f>IF($K313="","",INDEX(מלאי!$B$2:$B$500,$K313))</f>
        <v/>
      </c>
      <c r="C313" s="8">
        <f>IF($K313="","",INDEX(מלאי!$C$2:$C$500,$K313))</f>
        <v/>
      </c>
      <c r="D313" s="8">
        <f>IF($K313="","",INDEX(מלאי!$G$2:$G$500,$K313))</f>
        <v/>
      </c>
      <c r="E313" s="8">
        <f>IF($K313="","",INDEX(מלאי!$M$2:$M$500,$K313))</f>
        <v/>
      </c>
      <c r="F313" s="8">
        <f>IF($K313="","",INDEX(מלאי!$N$2:$N$500,$K313))</f>
        <v/>
      </c>
      <c r="G313" s="8">
        <f>IF($K313="","",INDEX(מלאי!$O$2:$O$500,$K313))</f>
        <v/>
      </c>
      <c r="H313" s="8">
        <f>IF($K313="","",INDEX(מלאי!$U$2:$U$500,$K313))</f>
        <v/>
      </c>
      <c r="I313" s="8">
        <f>IF($K313="","",INDEX(מלאי!$X$2:$X$500,$K313))</f>
        <v/>
      </c>
      <c r="J313" s="8">
        <f>IF($K313="","",INDEX(מלאי!$AC$2:$AC$500,$K313))</f>
        <v/>
      </c>
      <c r="K313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293),"")</f>
        <v/>
      </c>
    </row>
    <row r="314">
      <c r="A314" s="9">
        <f>IF($K314="","",INDEX(מלאי!$D$2:$D$500,$K314))</f>
        <v/>
      </c>
      <c r="B314" s="9">
        <f>IF($K314="","",INDEX(מלאי!$B$2:$B$500,$K314))</f>
        <v/>
      </c>
      <c r="C314" s="9">
        <f>IF($K314="","",INDEX(מלאי!$C$2:$C$500,$K314))</f>
        <v/>
      </c>
      <c r="D314" s="9">
        <f>IF($K314="","",INDEX(מלאי!$G$2:$G$500,$K314))</f>
        <v/>
      </c>
      <c r="E314" s="9">
        <f>IF($K314="","",INDEX(מלאי!$M$2:$M$500,$K314))</f>
        <v/>
      </c>
      <c r="F314" s="9">
        <f>IF($K314="","",INDEX(מלאי!$N$2:$N$500,$K314))</f>
        <v/>
      </c>
      <c r="G314" s="9">
        <f>IF($K314="","",INDEX(מלאי!$O$2:$O$500,$K314))</f>
        <v/>
      </c>
      <c r="H314" s="9">
        <f>IF($K314="","",INDEX(מלאי!$U$2:$U$500,$K314))</f>
        <v/>
      </c>
      <c r="I314" s="9">
        <f>IF($K314="","",INDEX(מלאי!$X$2:$X$500,$K314))</f>
        <v/>
      </c>
      <c r="J314" s="9">
        <f>IF($K314="","",INDEX(מלאי!$AC$2:$AC$500,$K314))</f>
        <v/>
      </c>
      <c r="K314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294),"")</f>
        <v/>
      </c>
    </row>
    <row r="315">
      <c r="A315" s="8">
        <f>IF($K315="","",INDEX(מלאי!$D$2:$D$500,$K315))</f>
        <v/>
      </c>
      <c r="B315" s="8">
        <f>IF($K315="","",INDEX(מלאי!$B$2:$B$500,$K315))</f>
        <v/>
      </c>
      <c r="C315" s="8">
        <f>IF($K315="","",INDEX(מלאי!$C$2:$C$500,$K315))</f>
        <v/>
      </c>
      <c r="D315" s="8">
        <f>IF($K315="","",INDEX(מלאי!$G$2:$G$500,$K315))</f>
        <v/>
      </c>
      <c r="E315" s="8">
        <f>IF($K315="","",INDEX(מלאי!$M$2:$M$500,$K315))</f>
        <v/>
      </c>
      <c r="F315" s="8">
        <f>IF($K315="","",INDEX(מלאי!$N$2:$N$500,$K315))</f>
        <v/>
      </c>
      <c r="G315" s="8">
        <f>IF($K315="","",INDEX(מלאי!$O$2:$O$500,$K315))</f>
        <v/>
      </c>
      <c r="H315" s="8">
        <f>IF($K315="","",INDEX(מלאי!$U$2:$U$500,$K315))</f>
        <v/>
      </c>
      <c r="I315" s="8">
        <f>IF($K315="","",INDEX(מלאי!$X$2:$X$500,$K315))</f>
        <v/>
      </c>
      <c r="J315" s="8">
        <f>IF($K315="","",INDEX(מלאי!$AC$2:$AC$500,$K315))</f>
        <v/>
      </c>
      <c r="K315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295),"")</f>
        <v/>
      </c>
    </row>
    <row r="316">
      <c r="A316" s="9">
        <f>IF($K316="","",INDEX(מלאי!$D$2:$D$500,$K316))</f>
        <v/>
      </c>
      <c r="B316" s="9">
        <f>IF($K316="","",INDEX(מלאי!$B$2:$B$500,$K316))</f>
        <v/>
      </c>
      <c r="C316" s="9">
        <f>IF($K316="","",INDEX(מלאי!$C$2:$C$500,$K316))</f>
        <v/>
      </c>
      <c r="D316" s="9">
        <f>IF($K316="","",INDEX(מלאי!$G$2:$G$500,$K316))</f>
        <v/>
      </c>
      <c r="E316" s="9">
        <f>IF($K316="","",INDEX(מלאי!$M$2:$M$500,$K316))</f>
        <v/>
      </c>
      <c r="F316" s="9">
        <f>IF($K316="","",INDEX(מלאי!$N$2:$N$500,$K316))</f>
        <v/>
      </c>
      <c r="G316" s="9">
        <f>IF($K316="","",INDEX(מלאי!$O$2:$O$500,$K316))</f>
        <v/>
      </c>
      <c r="H316" s="9">
        <f>IF($K316="","",INDEX(מלאי!$U$2:$U$500,$K316))</f>
        <v/>
      </c>
      <c r="I316" s="9">
        <f>IF($K316="","",INDEX(מלאי!$X$2:$X$500,$K316))</f>
        <v/>
      </c>
      <c r="J316" s="9">
        <f>IF($K316="","",INDEX(מלאי!$AC$2:$AC$500,$K316))</f>
        <v/>
      </c>
      <c r="K316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296),"")</f>
        <v/>
      </c>
    </row>
    <row r="317">
      <c r="A317" s="8">
        <f>IF($K317="","",INDEX(מלאי!$D$2:$D$500,$K317))</f>
        <v/>
      </c>
      <c r="B317" s="8">
        <f>IF($K317="","",INDEX(מלאי!$B$2:$B$500,$K317))</f>
        <v/>
      </c>
      <c r="C317" s="8">
        <f>IF($K317="","",INDEX(מלאי!$C$2:$C$500,$K317))</f>
        <v/>
      </c>
      <c r="D317" s="8">
        <f>IF($K317="","",INDEX(מלאי!$G$2:$G$500,$K317))</f>
        <v/>
      </c>
      <c r="E317" s="8">
        <f>IF($K317="","",INDEX(מלאי!$M$2:$M$500,$K317))</f>
        <v/>
      </c>
      <c r="F317" s="8">
        <f>IF($K317="","",INDEX(מלאי!$N$2:$N$500,$K317))</f>
        <v/>
      </c>
      <c r="G317" s="8">
        <f>IF($K317="","",INDEX(מלאי!$O$2:$O$500,$K317))</f>
        <v/>
      </c>
      <c r="H317" s="8">
        <f>IF($K317="","",INDEX(מלאי!$U$2:$U$500,$K317))</f>
        <v/>
      </c>
      <c r="I317" s="8">
        <f>IF($K317="","",INDEX(מלאי!$X$2:$X$500,$K317))</f>
        <v/>
      </c>
      <c r="J317" s="8">
        <f>IF($K317="","",INDEX(מלאי!$AC$2:$AC$500,$K317))</f>
        <v/>
      </c>
      <c r="K317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297),"")</f>
        <v/>
      </c>
    </row>
    <row r="318">
      <c r="A318" s="9">
        <f>IF($K318="","",INDEX(מלאי!$D$2:$D$500,$K318))</f>
        <v/>
      </c>
      <c r="B318" s="9">
        <f>IF($K318="","",INDEX(מלאי!$B$2:$B$500,$K318))</f>
        <v/>
      </c>
      <c r="C318" s="9">
        <f>IF($K318="","",INDEX(מלאי!$C$2:$C$500,$K318))</f>
        <v/>
      </c>
      <c r="D318" s="9">
        <f>IF($K318="","",INDEX(מלאי!$G$2:$G$500,$K318))</f>
        <v/>
      </c>
      <c r="E318" s="9">
        <f>IF($K318="","",INDEX(מלאי!$M$2:$M$500,$K318))</f>
        <v/>
      </c>
      <c r="F318" s="9">
        <f>IF($K318="","",INDEX(מלאי!$N$2:$N$500,$K318))</f>
        <v/>
      </c>
      <c r="G318" s="9">
        <f>IF($K318="","",INDEX(מלאי!$O$2:$O$500,$K318))</f>
        <v/>
      </c>
      <c r="H318" s="9">
        <f>IF($K318="","",INDEX(מלאי!$U$2:$U$500,$K318))</f>
        <v/>
      </c>
      <c r="I318" s="9">
        <f>IF($K318="","",INDEX(מלאי!$X$2:$X$500,$K318))</f>
        <v/>
      </c>
      <c r="J318" s="9">
        <f>IF($K318="","",INDEX(מלאי!$AC$2:$AC$500,$K318))</f>
        <v/>
      </c>
      <c r="K318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298),"")</f>
        <v/>
      </c>
    </row>
    <row r="319">
      <c r="A319" s="8">
        <f>IF($K319="","",INDEX(מלאי!$D$2:$D$500,$K319))</f>
        <v/>
      </c>
      <c r="B319" s="8">
        <f>IF($K319="","",INDEX(מלאי!$B$2:$B$500,$K319))</f>
        <v/>
      </c>
      <c r="C319" s="8">
        <f>IF($K319="","",INDEX(מלאי!$C$2:$C$500,$K319))</f>
        <v/>
      </c>
      <c r="D319" s="8">
        <f>IF($K319="","",INDEX(מלאי!$G$2:$G$500,$K319))</f>
        <v/>
      </c>
      <c r="E319" s="8">
        <f>IF($K319="","",INDEX(מלאי!$M$2:$M$500,$K319))</f>
        <v/>
      </c>
      <c r="F319" s="8">
        <f>IF($K319="","",INDEX(מלאי!$N$2:$N$500,$K319))</f>
        <v/>
      </c>
      <c r="G319" s="8">
        <f>IF($K319="","",INDEX(מלאי!$O$2:$O$500,$K319))</f>
        <v/>
      </c>
      <c r="H319" s="8">
        <f>IF($K319="","",INDEX(מלאי!$U$2:$U$500,$K319))</f>
        <v/>
      </c>
      <c r="I319" s="8">
        <f>IF($K319="","",INDEX(מלאי!$X$2:$X$500,$K319))</f>
        <v/>
      </c>
      <c r="J319" s="8">
        <f>IF($K319="","",INDEX(מלאי!$AC$2:$AC$500,$K319))</f>
        <v/>
      </c>
      <c r="K319" s="8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299),"")</f>
        <v/>
      </c>
    </row>
    <row r="320">
      <c r="A320" s="9">
        <f>IF($K320="","",INDEX(מלאי!$D$2:$D$500,$K320))</f>
        <v/>
      </c>
      <c r="B320" s="9">
        <f>IF($K320="","",INDEX(מלאי!$B$2:$B$500,$K320))</f>
        <v/>
      </c>
      <c r="C320" s="9">
        <f>IF($K320="","",INDEX(מלאי!$C$2:$C$500,$K320))</f>
        <v/>
      </c>
      <c r="D320" s="9">
        <f>IF($K320="","",INDEX(מלאי!$G$2:$G$500,$K320))</f>
        <v/>
      </c>
      <c r="E320" s="9">
        <f>IF($K320="","",INDEX(מלאי!$M$2:$M$500,$K320))</f>
        <v/>
      </c>
      <c r="F320" s="9">
        <f>IF($K320="","",INDEX(מלאי!$N$2:$N$500,$K320))</f>
        <v/>
      </c>
      <c r="G320" s="9">
        <f>IF($K320="","",INDEX(מלאי!$O$2:$O$500,$K320))</f>
        <v/>
      </c>
      <c r="H320" s="9">
        <f>IF($K320="","",INDEX(מלאי!$U$2:$U$500,$K320))</f>
        <v/>
      </c>
      <c r="I320" s="9">
        <f>IF($K320="","",INDEX(מלאי!$X$2:$X$500,$K320))</f>
        <v/>
      </c>
      <c r="J320" s="9">
        <f>IF($K320="","",INDEX(מלאי!$AC$2:$AC$500,$K320))</f>
        <v/>
      </c>
      <c r="K320" s="9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300),""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</row>
    <row r="322">
      <c r="A322" s="11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גרסה</t>
        </is>
      </c>
      <c r="D323" s="7" t="inlineStr">
        <is>
          <t>מושאל ל</t>
        </is>
      </c>
      <c r="E323" s="7" t="inlineStr">
        <is>
          <t>מדינה</t>
        </is>
      </c>
      <c r="F323" s="7" t="inlineStr">
        <is>
          <t>החזרה משוערת</t>
        </is>
      </c>
      <c r="G323" s="7" t="inlineStr">
        <is>
          <t>באיחור</t>
        </is>
      </c>
      <c r="K323" s="7" t="inlineStr">
        <is>
          <t>loan_ref</t>
        </is>
      </c>
    </row>
    <row r="324">
      <c r="A324" s="8">
        <f>IF($K324="","",INDEX(מלאי!$D$2:$D$500,$K324))</f>
        <v/>
      </c>
      <c r="B324" s="8">
        <f>IF($K324="","",INDEX(מלאי!$B$2:$B$500,$K324))</f>
        <v/>
      </c>
      <c r="C324" s="8">
        <f>IF($K324="","",INDEX(מלאי!$C$2:$C$500,$K324))</f>
        <v/>
      </c>
      <c r="D324" s="8">
        <f>IF($K324="","",INDEX(מלאי!$Y$2:$Y$500,$K324))</f>
        <v/>
      </c>
      <c r="E324" s="8">
        <f>IF($K324="","",INDEX(מלאי!$Z$2:$Z$500,$K324))</f>
        <v/>
      </c>
      <c r="F324" s="13">
        <f>IF($K324="","",INDEX(מלאי!$AB$2:$AB$500,$K324))</f>
        <v/>
      </c>
      <c r="G324" s="8">
        <f>IF($K324="","",IF(AND(INDEX(מלאי!$AB$2:$AB$500,$K324)&lt;&gt;"",INDEX(מלאי!$AB$2:$AB$500,$K324)&lt;TODAY()),"באיחור!","תקין"))</f>
        <v/>
      </c>
      <c r="H324" s="8" t="n"/>
      <c r="I324" s="8" t="n"/>
      <c r="J324" s="8" t="n"/>
      <c r="K324" s="8">
        <f>IFERROR(SMALL(IF((מלאי!$D$2:$D$500&lt;&gt;"")*(מלאי!$X$2:$X$500="מושאל"),ROW(מלאי!$A$2:$A$500)-ROW(מלאי!$A$2)+1,""),1),"")</f>
        <v/>
      </c>
    </row>
    <row r="325">
      <c r="A325" s="9">
        <f>IF($K325="","",INDEX(מלאי!$D$2:$D$500,$K325))</f>
        <v/>
      </c>
      <c r="B325" s="9">
        <f>IF($K325="","",INDEX(מלאי!$B$2:$B$500,$K325))</f>
        <v/>
      </c>
      <c r="C325" s="9">
        <f>IF($K325="","",INDEX(מלאי!$C$2:$C$500,$K325))</f>
        <v/>
      </c>
      <c r="D325" s="9">
        <f>IF($K325="","",INDEX(מלאי!$Y$2:$Y$500,$K325))</f>
        <v/>
      </c>
      <c r="E325" s="9">
        <f>IF($K325="","",INDEX(מלאי!$Z$2:$Z$500,$K325))</f>
        <v/>
      </c>
      <c r="F325" s="14">
        <f>IF($K325="","",INDEX(מלאי!$AB$2:$AB$500,$K325))</f>
        <v/>
      </c>
      <c r="G325" s="9">
        <f>IF($K325="","",IF(AND(INDEX(מלאי!$AB$2:$AB$500,$K325)&lt;&gt;"",INDEX(מלאי!$AB$2:$AB$500,$K325)&lt;TODAY()),"באיחור!","תקין"))</f>
        <v/>
      </c>
      <c r="H325" s="9" t="n"/>
      <c r="I325" s="9" t="n"/>
      <c r="J325" s="9" t="n"/>
      <c r="K325" s="9">
        <f>IFERROR(SMALL(IF((מלאי!$D$2:$D$500&lt;&gt;"")*(מלאי!$X$2:$X$500="מושאל"),ROW(מלאי!$A$2:$A$500)-ROW(מלאי!$A$2)+1,""),2),"")</f>
        <v/>
      </c>
    </row>
    <row r="326">
      <c r="A326" s="8">
        <f>IF($K326="","",INDEX(מלאי!$D$2:$D$500,$K326))</f>
        <v/>
      </c>
      <c r="B326" s="8">
        <f>IF($K326="","",INDEX(מלאי!$B$2:$B$500,$K326))</f>
        <v/>
      </c>
      <c r="C326" s="8">
        <f>IF($K326="","",INDEX(מלאי!$C$2:$C$500,$K326))</f>
        <v/>
      </c>
      <c r="D326" s="8">
        <f>IF($K326="","",INDEX(מלאי!$Y$2:$Y$500,$K326))</f>
        <v/>
      </c>
      <c r="E326" s="8">
        <f>IF($K326="","",INDEX(מלאי!$Z$2:$Z$500,$K326))</f>
        <v/>
      </c>
      <c r="F326" s="13">
        <f>IF($K326="","",INDEX(מלאי!$AB$2:$AB$500,$K326))</f>
        <v/>
      </c>
      <c r="G326" s="8">
        <f>IF($K326="","",IF(AND(INDEX(מלאי!$AB$2:$AB$500,$K326)&lt;&gt;"",INDEX(מלאי!$AB$2:$AB$500,$K326)&lt;TODAY()),"באיחור!","תקין"))</f>
        <v/>
      </c>
      <c r="H326" s="8" t="n"/>
      <c r="I326" s="8" t="n"/>
      <c r="J326" s="8" t="n"/>
      <c r="K326" s="8">
        <f>IFERROR(SMALL(IF((מלאי!$D$2:$D$500&lt;&gt;"")*(מלאי!$X$2:$X$500="מושאל"),ROW(מלאי!$A$2:$A$500)-ROW(מלאי!$A$2)+1,""),3),"")</f>
        <v/>
      </c>
    </row>
    <row r="327">
      <c r="A327" s="9">
        <f>IF($K327="","",INDEX(מלאי!$D$2:$D$500,$K327))</f>
        <v/>
      </c>
      <c r="B327" s="9">
        <f>IF($K327="","",INDEX(מלאי!$B$2:$B$500,$K327))</f>
        <v/>
      </c>
      <c r="C327" s="9">
        <f>IF($K327="","",INDEX(מלאי!$C$2:$C$500,$K327))</f>
        <v/>
      </c>
      <c r="D327" s="9">
        <f>IF($K327="","",INDEX(מלאי!$Y$2:$Y$500,$K327))</f>
        <v/>
      </c>
      <c r="E327" s="9">
        <f>IF($K327="","",INDEX(מלאי!$Z$2:$Z$500,$K327))</f>
        <v/>
      </c>
      <c r="F327" s="14">
        <f>IF($K327="","",INDEX(מלאי!$AB$2:$AB$500,$K327))</f>
        <v/>
      </c>
      <c r="G327" s="9">
        <f>IF($K327="","",IF(AND(INDEX(מלאי!$AB$2:$AB$500,$K327)&lt;&gt;"",INDEX(מלאי!$AB$2:$AB$500,$K327)&lt;TODAY()),"באיחור!","תקין"))</f>
        <v/>
      </c>
      <c r="H327" s="9" t="n"/>
      <c r="I327" s="9" t="n"/>
      <c r="J327" s="9" t="n"/>
      <c r="K327" s="9">
        <f>IFERROR(SMALL(IF((מלאי!$D$2:$D$500&lt;&gt;"")*(מלאי!$X$2:$X$500="מושאל"),ROW(מלאי!$A$2:$A$500)-ROW(מלאי!$A$2)+1,""),4),"")</f>
        <v/>
      </c>
    </row>
    <row r="328">
      <c r="A328" s="8">
        <f>IF($K328="","",INDEX(מלאי!$D$2:$D$500,$K328))</f>
        <v/>
      </c>
      <c r="B328" s="8">
        <f>IF($K328="","",INDEX(מלאי!$B$2:$B$500,$K328))</f>
        <v/>
      </c>
      <c r="C328" s="8">
        <f>IF($K328="","",INDEX(מלאי!$C$2:$C$500,$K328))</f>
        <v/>
      </c>
      <c r="D328" s="8">
        <f>IF($K328="","",INDEX(מלאי!$Y$2:$Y$500,$K328))</f>
        <v/>
      </c>
      <c r="E328" s="8">
        <f>IF($K328="","",INDEX(מלאי!$Z$2:$Z$500,$K328))</f>
        <v/>
      </c>
      <c r="F328" s="13">
        <f>IF($K328="","",INDEX(מלאי!$AB$2:$AB$500,$K328))</f>
        <v/>
      </c>
      <c r="G328" s="8">
        <f>IF($K328="","",IF(AND(INDEX(מלאי!$AB$2:$AB$500,$K328)&lt;&gt;"",INDEX(מלאי!$AB$2:$AB$500,$K328)&lt;TODAY()),"באיחור!","תקין"))</f>
        <v/>
      </c>
      <c r="H328" s="8" t="n"/>
      <c r="I328" s="8" t="n"/>
      <c r="J328" s="8" t="n"/>
      <c r="K328" s="8">
        <f>IFERROR(SMALL(IF((מלאי!$D$2:$D$500&lt;&gt;"")*(מלאי!$X$2:$X$500="מושאל"),ROW(מלאי!$A$2:$A$500)-ROW(מלאי!$A$2)+1,""),5),"")</f>
        <v/>
      </c>
    </row>
    <row r="329">
      <c r="A329" s="9">
        <f>IF($K329="","",INDEX(מלאי!$D$2:$D$500,$K329))</f>
        <v/>
      </c>
      <c r="B329" s="9">
        <f>IF($K329="","",INDEX(מלאי!$B$2:$B$500,$K329))</f>
        <v/>
      </c>
      <c r="C329" s="9">
        <f>IF($K329="","",INDEX(מלאי!$C$2:$C$500,$K329))</f>
        <v/>
      </c>
      <c r="D329" s="9">
        <f>IF($K329="","",INDEX(מלאי!$Y$2:$Y$500,$K329))</f>
        <v/>
      </c>
      <c r="E329" s="9">
        <f>IF($K329="","",INDEX(מלאי!$Z$2:$Z$500,$K329))</f>
        <v/>
      </c>
      <c r="F329" s="14">
        <f>IF($K329="","",INDEX(מלאי!$AB$2:$AB$500,$K329))</f>
        <v/>
      </c>
      <c r="G329" s="9">
        <f>IF($K329="","",IF(AND(INDEX(מלאי!$AB$2:$AB$500,$K329)&lt;&gt;"",INDEX(מלאי!$AB$2:$AB$500,$K329)&lt;TODAY()),"באיחור!","תקין"))</f>
        <v/>
      </c>
      <c r="H329" s="9" t="n"/>
      <c r="I329" s="9" t="n"/>
      <c r="J329" s="9" t="n"/>
      <c r="K329" s="9">
        <f>IFERROR(SMALL(IF((מלאי!$D$2:$D$500&lt;&gt;"")*(מלאי!$X$2:$X$500="מושאל"),ROW(מלאי!$A$2:$A$500)-ROW(מלאי!$A$2)+1,""),6),"")</f>
        <v/>
      </c>
    </row>
    <row r="330">
      <c r="A330" s="8">
        <f>IF($K330="","",INDEX(מלאי!$D$2:$D$500,$K330))</f>
        <v/>
      </c>
      <c r="B330" s="8">
        <f>IF($K330="","",INDEX(מלאי!$B$2:$B$500,$K330))</f>
        <v/>
      </c>
      <c r="C330" s="8">
        <f>IF($K330="","",INDEX(מלאי!$C$2:$C$500,$K330))</f>
        <v/>
      </c>
      <c r="D330" s="8">
        <f>IF($K330="","",INDEX(מלאי!$Y$2:$Y$500,$K330))</f>
        <v/>
      </c>
      <c r="E330" s="8">
        <f>IF($K330="","",INDEX(מלאי!$Z$2:$Z$500,$K330))</f>
        <v/>
      </c>
      <c r="F330" s="13">
        <f>IF($K330="","",INDEX(מלאי!$AB$2:$AB$500,$K330))</f>
        <v/>
      </c>
      <c r="G330" s="8">
        <f>IF($K330="","",IF(AND(INDEX(מלאי!$AB$2:$AB$500,$K330)&lt;&gt;"",INDEX(מלאי!$AB$2:$AB$500,$K330)&lt;TODAY()),"באיחור!","תקין"))</f>
        <v/>
      </c>
      <c r="H330" s="8" t="n"/>
      <c r="I330" s="8" t="n"/>
      <c r="J330" s="8" t="n"/>
      <c r="K330" s="8">
        <f>IFERROR(SMALL(IF((מלאי!$D$2:$D$500&lt;&gt;"")*(מלאי!$X$2:$X$500="מושאל"),ROW(מלאי!$A$2:$A$500)-ROW(מלאי!$A$2)+1,""),7),"")</f>
        <v/>
      </c>
    </row>
    <row r="331">
      <c r="A331" s="9">
        <f>IF($K331="","",INDEX(מלאי!$D$2:$D$500,$K331))</f>
        <v/>
      </c>
      <c r="B331" s="9">
        <f>IF($K331="","",INDEX(מלאי!$B$2:$B$500,$K331))</f>
        <v/>
      </c>
      <c r="C331" s="9">
        <f>IF($K331="","",INDEX(מלאי!$C$2:$C$500,$K331))</f>
        <v/>
      </c>
      <c r="D331" s="9">
        <f>IF($K331="","",INDEX(מלאי!$Y$2:$Y$500,$K331))</f>
        <v/>
      </c>
      <c r="E331" s="9">
        <f>IF($K331="","",INDEX(מלאי!$Z$2:$Z$500,$K331))</f>
        <v/>
      </c>
      <c r="F331" s="14">
        <f>IF($K331="","",INDEX(מלאי!$AB$2:$AB$500,$K331))</f>
        <v/>
      </c>
      <c r="G331" s="9">
        <f>IF($K331="","",IF(AND(INDEX(מלאי!$AB$2:$AB$500,$K331)&lt;&gt;"",INDEX(מלאי!$AB$2:$AB$500,$K331)&lt;TODAY()),"באיחור!","תקין"))</f>
        <v/>
      </c>
      <c r="H331" s="9" t="n"/>
      <c r="I331" s="9" t="n"/>
      <c r="J331" s="9" t="n"/>
      <c r="K331" s="9">
        <f>IFERROR(SMALL(IF((מלאי!$D$2:$D$500&lt;&gt;"")*(מלאי!$X$2:$X$500="מושאל"),ROW(מלאי!$A$2:$A$500)-ROW(מלאי!$A$2)+1,""),8),"")</f>
        <v/>
      </c>
    </row>
    <row r="332">
      <c r="A332" s="8">
        <f>IF($K332="","",INDEX(מלאי!$D$2:$D$500,$K332))</f>
        <v/>
      </c>
      <c r="B332" s="8">
        <f>IF($K332="","",INDEX(מלאי!$B$2:$B$500,$K332))</f>
        <v/>
      </c>
      <c r="C332" s="8">
        <f>IF($K332="","",INDEX(מלאי!$C$2:$C$500,$K332))</f>
        <v/>
      </c>
      <c r="D332" s="8">
        <f>IF($K332="","",INDEX(מלאי!$Y$2:$Y$500,$K332))</f>
        <v/>
      </c>
      <c r="E332" s="8">
        <f>IF($K332="","",INDEX(מלאי!$Z$2:$Z$500,$K332))</f>
        <v/>
      </c>
      <c r="F332" s="13">
        <f>IF($K332="","",INDEX(מלאי!$AB$2:$AB$500,$K332))</f>
        <v/>
      </c>
      <c r="G332" s="8">
        <f>IF($K332="","",IF(AND(INDEX(מלאי!$AB$2:$AB$500,$K332)&lt;&gt;"",INDEX(מלאי!$AB$2:$AB$500,$K332)&lt;TODAY()),"באיחור!","תקין"))</f>
        <v/>
      </c>
      <c r="H332" s="8" t="n"/>
      <c r="I332" s="8" t="n"/>
      <c r="J332" s="8" t="n"/>
      <c r="K332" s="8">
        <f>IFERROR(SMALL(IF((מלאי!$D$2:$D$500&lt;&gt;"")*(מלאי!$X$2:$X$500="מושאל"),ROW(מלאי!$A$2:$A$500)-ROW(מלאי!$A$2)+1,""),9),"")</f>
        <v/>
      </c>
    </row>
    <row r="333">
      <c r="A333" s="9">
        <f>IF($K333="","",INDEX(מלאי!$D$2:$D$500,$K333))</f>
        <v/>
      </c>
      <c r="B333" s="9">
        <f>IF($K333="","",INDEX(מלאי!$B$2:$B$500,$K333))</f>
        <v/>
      </c>
      <c r="C333" s="9">
        <f>IF($K333="","",INDEX(מלאי!$C$2:$C$500,$K333))</f>
        <v/>
      </c>
      <c r="D333" s="9">
        <f>IF($K333="","",INDEX(מלאי!$Y$2:$Y$500,$K333))</f>
        <v/>
      </c>
      <c r="E333" s="9">
        <f>IF($K333="","",INDEX(מלאי!$Z$2:$Z$500,$K333))</f>
        <v/>
      </c>
      <c r="F333" s="14">
        <f>IF($K333="","",INDEX(מלאי!$AB$2:$AB$500,$K333))</f>
        <v/>
      </c>
      <c r="G333" s="9">
        <f>IF($K333="","",IF(AND(INDEX(מלאי!$AB$2:$AB$500,$K333)&lt;&gt;"",INDEX(מלאי!$AB$2:$AB$500,$K333)&lt;TODAY()),"באיחור!","תקין"))</f>
        <v/>
      </c>
      <c r="H333" s="9" t="n"/>
      <c r="I333" s="9" t="n"/>
      <c r="J333" s="9" t="n"/>
      <c r="K333" s="9">
        <f>IFERROR(SMALL(IF((מלאי!$D$2:$D$500&lt;&gt;"")*(מלאי!$X$2:$X$500="מושאל"),ROW(מלאי!$A$2:$A$500)-ROW(מלאי!$A$2)+1,""),10),"")</f>
        <v/>
      </c>
    </row>
    <row r="334">
      <c r="A334" s="8">
        <f>IF($K334="","",INDEX(מלאי!$D$2:$D$500,$K334))</f>
        <v/>
      </c>
      <c r="B334" s="8">
        <f>IF($K334="","",INDEX(מלאי!$B$2:$B$500,$K334))</f>
        <v/>
      </c>
      <c r="C334" s="8">
        <f>IF($K334="","",INDEX(מלאי!$C$2:$C$500,$K334))</f>
        <v/>
      </c>
      <c r="D334" s="8">
        <f>IF($K334="","",INDEX(מלאי!$Y$2:$Y$500,$K334))</f>
        <v/>
      </c>
      <c r="E334" s="8">
        <f>IF($K334="","",INDEX(מלאי!$Z$2:$Z$500,$K334))</f>
        <v/>
      </c>
      <c r="F334" s="13">
        <f>IF($K334="","",INDEX(מלאי!$AB$2:$AB$500,$K334))</f>
        <v/>
      </c>
      <c r="G334" s="8">
        <f>IF($K334="","",IF(AND(INDEX(מלאי!$AB$2:$AB$500,$K334)&lt;&gt;"",INDEX(מלאי!$AB$2:$AB$500,$K334)&lt;TODAY()),"באיחור!","תקין"))</f>
        <v/>
      </c>
      <c r="H334" s="8" t="n"/>
      <c r="I334" s="8" t="n"/>
      <c r="J334" s="8" t="n"/>
      <c r="K334" s="8">
        <f>IFERROR(SMALL(IF((מלאי!$D$2:$D$500&lt;&gt;"")*(מלאי!$X$2:$X$500="מושאל"),ROW(מלאי!$A$2:$A$500)-ROW(מלאי!$A$2)+1,""),11),"")</f>
        <v/>
      </c>
    </row>
    <row r="335">
      <c r="A335" s="9">
        <f>IF($K335="","",INDEX(מלאי!$D$2:$D$500,$K335))</f>
        <v/>
      </c>
      <c r="B335" s="9">
        <f>IF($K335="","",INDEX(מלאי!$B$2:$B$500,$K335))</f>
        <v/>
      </c>
      <c r="C335" s="9">
        <f>IF($K335="","",INDEX(מלאי!$C$2:$C$500,$K335))</f>
        <v/>
      </c>
      <c r="D335" s="9">
        <f>IF($K335="","",INDEX(מלאי!$Y$2:$Y$500,$K335))</f>
        <v/>
      </c>
      <c r="E335" s="9">
        <f>IF($K335="","",INDEX(מלאי!$Z$2:$Z$500,$K335))</f>
        <v/>
      </c>
      <c r="F335" s="14">
        <f>IF($K335="","",INDEX(מלאי!$AB$2:$AB$500,$K335))</f>
        <v/>
      </c>
      <c r="G335" s="9">
        <f>IF($K335="","",IF(AND(INDEX(מלאי!$AB$2:$AB$500,$K335)&lt;&gt;"",INDEX(מלאי!$AB$2:$AB$500,$K335)&lt;TODAY()),"באיחור!","תקין"))</f>
        <v/>
      </c>
      <c r="H335" s="9" t="n"/>
      <c r="I335" s="9" t="n"/>
      <c r="J335" s="9" t="n"/>
      <c r="K335" s="9">
        <f>IFERROR(SMALL(IF((מלאי!$D$2:$D$500&lt;&gt;"")*(מלאי!$X$2:$X$500="מושאל"),ROW(מלאי!$A$2:$A$500)-ROW(מלאי!$A$2)+1,""),12),"")</f>
        <v/>
      </c>
    </row>
    <row r="336">
      <c r="A336" s="8">
        <f>IF($K336="","",INDEX(מלאי!$D$2:$D$500,$K336))</f>
        <v/>
      </c>
      <c r="B336" s="8">
        <f>IF($K336="","",INDEX(מלאי!$B$2:$B$500,$K336))</f>
        <v/>
      </c>
      <c r="C336" s="8">
        <f>IF($K336="","",INDEX(מלאי!$C$2:$C$500,$K336))</f>
        <v/>
      </c>
      <c r="D336" s="8">
        <f>IF($K336="","",INDEX(מלאי!$Y$2:$Y$500,$K336))</f>
        <v/>
      </c>
      <c r="E336" s="8">
        <f>IF($K336="","",INDEX(מלאי!$Z$2:$Z$500,$K336))</f>
        <v/>
      </c>
      <c r="F336" s="13">
        <f>IF($K336="","",INDEX(מלאי!$AB$2:$AB$500,$K336))</f>
        <v/>
      </c>
      <c r="G336" s="8">
        <f>IF($K336="","",IF(AND(INDEX(מלאי!$AB$2:$AB$500,$K336)&lt;&gt;"",INDEX(מלאי!$AB$2:$AB$500,$K336)&lt;TODAY()),"באיחור!","תקין"))</f>
        <v/>
      </c>
      <c r="H336" s="8" t="n"/>
      <c r="I336" s="8" t="n"/>
      <c r="J336" s="8" t="n"/>
      <c r="K336" s="8">
        <f>IFERROR(SMALL(IF((מלאי!$D$2:$D$500&lt;&gt;"")*(מלאי!$X$2:$X$500="מושאל"),ROW(מלאי!$A$2:$A$500)-ROW(מלאי!$A$2)+1,""),13),"")</f>
        <v/>
      </c>
    </row>
    <row r="337">
      <c r="A337" s="9">
        <f>IF($K337="","",INDEX(מלאי!$D$2:$D$500,$K337))</f>
        <v/>
      </c>
      <c r="B337" s="9">
        <f>IF($K337="","",INDEX(מלאי!$B$2:$B$500,$K337))</f>
        <v/>
      </c>
      <c r="C337" s="9">
        <f>IF($K337="","",INDEX(מלאי!$C$2:$C$500,$K337))</f>
        <v/>
      </c>
      <c r="D337" s="9">
        <f>IF($K337="","",INDEX(מלאי!$Y$2:$Y$500,$K337))</f>
        <v/>
      </c>
      <c r="E337" s="9">
        <f>IF($K337="","",INDEX(מלאי!$Z$2:$Z$500,$K337))</f>
        <v/>
      </c>
      <c r="F337" s="14">
        <f>IF($K337="","",INDEX(מלאי!$AB$2:$AB$500,$K337))</f>
        <v/>
      </c>
      <c r="G337" s="9">
        <f>IF($K337="","",IF(AND(INDEX(מלאי!$AB$2:$AB$500,$K337)&lt;&gt;"",INDEX(מלאי!$AB$2:$AB$500,$K337)&lt;TODAY()),"באיחור!","תקין"))</f>
        <v/>
      </c>
      <c r="H337" s="9" t="n"/>
      <c r="I337" s="9" t="n"/>
      <c r="J337" s="9" t="n"/>
      <c r="K337" s="9">
        <f>IFERROR(SMALL(IF((מלאי!$D$2:$D$500&lt;&gt;"")*(מלאי!$X$2:$X$500="מושאל"),ROW(מלאי!$A$2:$A$500)-ROW(מלאי!$A$2)+1,""),14),"")</f>
        <v/>
      </c>
    </row>
    <row r="338">
      <c r="A338" s="8">
        <f>IF($K338="","",INDEX(מלאי!$D$2:$D$500,$K338))</f>
        <v/>
      </c>
      <c r="B338" s="8">
        <f>IF($K338="","",INDEX(מלאי!$B$2:$B$500,$K338))</f>
        <v/>
      </c>
      <c r="C338" s="8">
        <f>IF($K338="","",INDEX(מלאי!$C$2:$C$500,$K338))</f>
        <v/>
      </c>
      <c r="D338" s="8">
        <f>IF($K338="","",INDEX(מלאי!$Y$2:$Y$500,$K338))</f>
        <v/>
      </c>
      <c r="E338" s="8">
        <f>IF($K338="","",INDEX(מלאי!$Z$2:$Z$500,$K338))</f>
        <v/>
      </c>
      <c r="F338" s="13">
        <f>IF($K338="","",INDEX(מלאי!$AB$2:$AB$500,$K338))</f>
        <v/>
      </c>
      <c r="G338" s="8">
        <f>IF($K338="","",IF(AND(INDEX(מלאי!$AB$2:$AB$500,$K338)&lt;&gt;"",INDEX(מלאי!$AB$2:$AB$500,$K338)&lt;TODAY()),"באיחור!","תקין"))</f>
        <v/>
      </c>
      <c r="H338" s="8" t="n"/>
      <c r="I338" s="8" t="n"/>
      <c r="J338" s="8" t="n"/>
      <c r="K338" s="8">
        <f>IFERROR(SMALL(IF((מלאי!$D$2:$D$500&lt;&gt;"")*(מלאי!$X$2:$X$500="מושאל"),ROW(מלאי!$A$2:$A$500)-ROW(מלאי!$A$2)+1,""),15),"")</f>
        <v/>
      </c>
    </row>
    <row r="339">
      <c r="A339" s="9">
        <f>IF($K339="","",INDEX(מלאי!$D$2:$D$500,$K339))</f>
        <v/>
      </c>
      <c r="B339" s="9">
        <f>IF($K339="","",INDEX(מלאי!$B$2:$B$500,$K339))</f>
        <v/>
      </c>
      <c r="C339" s="9">
        <f>IF($K339="","",INDEX(מלאי!$C$2:$C$500,$K339))</f>
        <v/>
      </c>
      <c r="D339" s="9">
        <f>IF($K339="","",INDEX(מלאי!$Y$2:$Y$500,$K339))</f>
        <v/>
      </c>
      <c r="E339" s="9">
        <f>IF($K339="","",INDEX(מלאי!$Z$2:$Z$500,$K339))</f>
        <v/>
      </c>
      <c r="F339" s="14">
        <f>IF($K339="","",INDEX(מלאי!$AB$2:$AB$500,$K339))</f>
        <v/>
      </c>
      <c r="G339" s="9">
        <f>IF($K339="","",IF(AND(INDEX(מלאי!$AB$2:$AB$500,$K339)&lt;&gt;"",INDEX(מלאי!$AB$2:$AB$500,$K339)&lt;TODAY()),"באיחור!","תקין"))</f>
        <v/>
      </c>
      <c r="H339" s="9" t="n"/>
      <c r="I339" s="9" t="n"/>
      <c r="J339" s="9" t="n"/>
      <c r="K339" s="9">
        <f>IFERROR(SMALL(IF((מלאי!$D$2:$D$500&lt;&gt;"")*(מלאי!$X$2:$X$500="מושאל"),ROW(מלאי!$A$2:$A$500)-ROW(מלאי!$A$2)+1,""),16),"")</f>
        <v/>
      </c>
    </row>
    <row r="340">
      <c r="A340" s="8">
        <f>IF($K340="","",INDEX(מלאי!$D$2:$D$500,$K340))</f>
        <v/>
      </c>
      <c r="B340" s="8">
        <f>IF($K340="","",INDEX(מלאי!$B$2:$B$500,$K340))</f>
        <v/>
      </c>
      <c r="C340" s="8">
        <f>IF($K340="","",INDEX(מלאי!$C$2:$C$500,$K340))</f>
        <v/>
      </c>
      <c r="D340" s="8">
        <f>IF($K340="","",INDEX(מלאי!$Y$2:$Y$500,$K340))</f>
        <v/>
      </c>
      <c r="E340" s="8">
        <f>IF($K340="","",INDEX(מלאי!$Z$2:$Z$500,$K340))</f>
        <v/>
      </c>
      <c r="F340" s="13">
        <f>IF($K340="","",INDEX(מלאי!$AB$2:$AB$500,$K340))</f>
        <v/>
      </c>
      <c r="G340" s="8">
        <f>IF($K340="","",IF(AND(INDEX(מלאי!$AB$2:$AB$500,$K340)&lt;&gt;"",INDEX(מלאי!$AB$2:$AB$500,$K340)&lt;TODAY()),"באיחור!","תקין"))</f>
        <v/>
      </c>
      <c r="H340" s="8" t="n"/>
      <c r="I340" s="8" t="n"/>
      <c r="J340" s="8" t="n"/>
      <c r="K340" s="8">
        <f>IFERROR(SMALL(IF((מלאי!$D$2:$D$500&lt;&gt;"")*(מלאי!$X$2:$X$500="מושאל"),ROW(מלאי!$A$2:$A$500)-ROW(מלאי!$A$2)+1,""),17),"")</f>
        <v/>
      </c>
    </row>
    <row r="341">
      <c r="A341" s="9">
        <f>IF($K341="","",INDEX(מלאי!$D$2:$D$500,$K341))</f>
        <v/>
      </c>
      <c r="B341" s="9">
        <f>IF($K341="","",INDEX(מלאי!$B$2:$B$500,$K341))</f>
        <v/>
      </c>
      <c r="C341" s="9">
        <f>IF($K341="","",INDEX(מלאי!$C$2:$C$500,$K341))</f>
        <v/>
      </c>
      <c r="D341" s="9">
        <f>IF($K341="","",INDEX(מלאי!$Y$2:$Y$500,$K341))</f>
        <v/>
      </c>
      <c r="E341" s="9">
        <f>IF($K341="","",INDEX(מלאי!$Z$2:$Z$500,$K341))</f>
        <v/>
      </c>
      <c r="F341" s="14">
        <f>IF($K341="","",INDEX(מלאי!$AB$2:$AB$500,$K341))</f>
        <v/>
      </c>
      <c r="G341" s="9">
        <f>IF($K341="","",IF(AND(INDEX(מלאי!$AB$2:$AB$500,$K341)&lt;&gt;"",INDEX(מלאי!$AB$2:$AB$500,$K341)&lt;TODAY()),"באיחור!","תקין"))</f>
        <v/>
      </c>
      <c r="H341" s="9" t="n"/>
      <c r="I341" s="9" t="n"/>
      <c r="J341" s="9" t="n"/>
      <c r="K341" s="9">
        <f>IFERROR(SMALL(IF((מלאי!$D$2:$D$500&lt;&gt;"")*(מלאי!$X$2:$X$500="מושאל"),ROW(מלאי!$A$2:$A$500)-ROW(מלאי!$A$2)+1,""),18),"")</f>
        <v/>
      </c>
    </row>
    <row r="342">
      <c r="A342" s="8">
        <f>IF($K342="","",INDEX(מלאי!$D$2:$D$500,$K342))</f>
        <v/>
      </c>
      <c r="B342" s="8">
        <f>IF($K342="","",INDEX(מלאי!$B$2:$B$500,$K342))</f>
        <v/>
      </c>
      <c r="C342" s="8">
        <f>IF($K342="","",INDEX(מלאי!$C$2:$C$500,$K342))</f>
        <v/>
      </c>
      <c r="D342" s="8">
        <f>IF($K342="","",INDEX(מלאי!$Y$2:$Y$500,$K342))</f>
        <v/>
      </c>
      <c r="E342" s="8">
        <f>IF($K342="","",INDEX(מלאי!$Z$2:$Z$500,$K342))</f>
        <v/>
      </c>
      <c r="F342" s="13">
        <f>IF($K342="","",INDEX(מלאי!$AB$2:$AB$500,$K342))</f>
        <v/>
      </c>
      <c r="G342" s="8">
        <f>IF($K342="","",IF(AND(INDEX(מלאי!$AB$2:$AB$500,$K342)&lt;&gt;"",INDEX(מלאי!$AB$2:$AB$500,$K342)&lt;TODAY()),"באיחור!","תקין"))</f>
        <v/>
      </c>
      <c r="H342" s="8" t="n"/>
      <c r="I342" s="8" t="n"/>
      <c r="J342" s="8" t="n"/>
      <c r="K342" s="8">
        <f>IFERROR(SMALL(IF((מלאי!$D$2:$D$500&lt;&gt;"")*(מלאי!$X$2:$X$500="מושאל"),ROW(מלאי!$A$2:$A$500)-ROW(מלאי!$A$2)+1,""),19),"")</f>
        <v/>
      </c>
    </row>
    <row r="343">
      <c r="A343" s="9">
        <f>IF($K343="","",INDEX(מלאי!$D$2:$D$500,$K343))</f>
        <v/>
      </c>
      <c r="B343" s="9">
        <f>IF($K343="","",INDEX(מלאי!$B$2:$B$500,$K343))</f>
        <v/>
      </c>
      <c r="C343" s="9">
        <f>IF($K343="","",INDEX(מלאי!$C$2:$C$500,$K343))</f>
        <v/>
      </c>
      <c r="D343" s="9">
        <f>IF($K343="","",INDEX(מלאי!$Y$2:$Y$500,$K343))</f>
        <v/>
      </c>
      <c r="E343" s="9">
        <f>IF($K343="","",INDEX(מלאי!$Z$2:$Z$500,$K343))</f>
        <v/>
      </c>
      <c r="F343" s="14">
        <f>IF($K343="","",INDEX(מלאי!$AB$2:$AB$500,$K343))</f>
        <v/>
      </c>
      <c r="G343" s="9">
        <f>IF($K343="","",IF(AND(INDEX(מלאי!$AB$2:$AB$500,$K343)&lt;&gt;"",INDEX(מלאי!$AB$2:$AB$500,$K343)&lt;TODAY()),"באיחור!","תקין"))</f>
        <v/>
      </c>
      <c r="H343" s="9" t="n"/>
      <c r="I343" s="9" t="n"/>
      <c r="J343" s="9" t="n"/>
      <c r="K343" s="9">
        <f>IFERROR(SMALL(IF((מלאי!$D$2:$D$500&lt;&gt;"")*(מלאי!$X$2:$X$500="מושאל"),ROW(מלאי!$A$2:$A$500)-ROW(מלאי!$A$2)+1,""),20),"")</f>
        <v/>
      </c>
    </row>
    <row r="344">
      <c r="A344" s="8">
        <f>IF($K344="","",INDEX(מלאי!$D$2:$D$500,$K344))</f>
        <v/>
      </c>
      <c r="B344" s="8">
        <f>IF($K344="","",INDEX(מלאי!$B$2:$B$500,$K344))</f>
        <v/>
      </c>
      <c r="C344" s="8">
        <f>IF($K344="","",INDEX(מלאי!$C$2:$C$500,$K344))</f>
        <v/>
      </c>
      <c r="D344" s="8">
        <f>IF($K344="","",INDEX(מלאי!$Y$2:$Y$500,$K344))</f>
        <v/>
      </c>
      <c r="E344" s="8">
        <f>IF($K344="","",INDEX(מלאי!$Z$2:$Z$500,$K344))</f>
        <v/>
      </c>
      <c r="F344" s="13">
        <f>IF($K344="","",INDEX(מלאי!$AB$2:$AB$500,$K344))</f>
        <v/>
      </c>
      <c r="G344" s="8">
        <f>IF($K344="","",IF(AND(INDEX(מלאי!$AB$2:$AB$500,$K344)&lt;&gt;"",INDEX(מלאי!$AB$2:$AB$500,$K344)&lt;TODAY()),"באיחור!","תקין"))</f>
        <v/>
      </c>
      <c r="H344" s="8" t="n"/>
      <c r="I344" s="8" t="n"/>
      <c r="J344" s="8" t="n"/>
      <c r="K344" s="8">
        <f>IFERROR(SMALL(IF((מלאי!$D$2:$D$500&lt;&gt;"")*(מלאי!$X$2:$X$500="מושאל"),ROW(מלאי!$A$2:$A$500)-ROW(מלאי!$A$2)+1,""),21),"")</f>
        <v/>
      </c>
    </row>
    <row r="345">
      <c r="A345" s="9">
        <f>IF($K345="","",INDEX(מלאי!$D$2:$D$500,$K345))</f>
        <v/>
      </c>
      <c r="B345" s="9">
        <f>IF($K345="","",INDEX(מלאי!$B$2:$B$500,$K345))</f>
        <v/>
      </c>
      <c r="C345" s="9">
        <f>IF($K345="","",INDEX(מלאי!$C$2:$C$500,$K345))</f>
        <v/>
      </c>
      <c r="D345" s="9">
        <f>IF($K345="","",INDEX(מלאי!$Y$2:$Y$500,$K345))</f>
        <v/>
      </c>
      <c r="E345" s="9">
        <f>IF($K345="","",INDEX(מלאי!$Z$2:$Z$500,$K345))</f>
        <v/>
      </c>
      <c r="F345" s="14">
        <f>IF($K345="","",INDEX(מלאי!$AB$2:$AB$500,$K345))</f>
        <v/>
      </c>
      <c r="G345" s="9">
        <f>IF($K345="","",IF(AND(INDEX(מלאי!$AB$2:$AB$500,$K345)&lt;&gt;"",INDEX(מלאי!$AB$2:$AB$500,$K345)&lt;TODAY()),"באיחור!","תקין"))</f>
        <v/>
      </c>
      <c r="H345" s="9" t="n"/>
      <c r="I345" s="9" t="n"/>
      <c r="J345" s="9" t="n"/>
      <c r="K345" s="9">
        <f>IFERROR(SMALL(IF((מלאי!$D$2:$D$500&lt;&gt;"")*(מלאי!$X$2:$X$500="מושאל"),ROW(מלאי!$A$2:$A$500)-ROW(מלאי!$A$2)+1,""),22),"")</f>
        <v/>
      </c>
    </row>
    <row r="346">
      <c r="A346" s="8">
        <f>IF($K346="","",INDEX(מלאי!$D$2:$D$500,$K346))</f>
        <v/>
      </c>
      <c r="B346" s="8">
        <f>IF($K346="","",INDEX(מלאי!$B$2:$B$500,$K346))</f>
        <v/>
      </c>
      <c r="C346" s="8">
        <f>IF($K346="","",INDEX(מלאי!$C$2:$C$500,$K346))</f>
        <v/>
      </c>
      <c r="D346" s="8">
        <f>IF($K346="","",INDEX(מלאי!$Y$2:$Y$500,$K346))</f>
        <v/>
      </c>
      <c r="E346" s="8">
        <f>IF($K346="","",INDEX(מלאי!$Z$2:$Z$500,$K346))</f>
        <v/>
      </c>
      <c r="F346" s="13">
        <f>IF($K346="","",INDEX(מלאי!$AB$2:$AB$500,$K346))</f>
        <v/>
      </c>
      <c r="G346" s="8">
        <f>IF($K346="","",IF(AND(INDEX(מלאי!$AB$2:$AB$500,$K346)&lt;&gt;"",INDEX(מלאי!$AB$2:$AB$500,$K346)&lt;TODAY()),"באיחור!","תקין"))</f>
        <v/>
      </c>
      <c r="H346" s="8" t="n"/>
      <c r="I346" s="8" t="n"/>
      <c r="J346" s="8" t="n"/>
      <c r="K346" s="8">
        <f>IFERROR(SMALL(IF((מלאי!$D$2:$D$500&lt;&gt;"")*(מלאי!$X$2:$X$500="מושאל"),ROW(מלאי!$A$2:$A$500)-ROW(מלאי!$A$2)+1,""),23),"")</f>
        <v/>
      </c>
    </row>
    <row r="347">
      <c r="A347" s="9">
        <f>IF($K347="","",INDEX(מלאי!$D$2:$D$500,$K347))</f>
        <v/>
      </c>
      <c r="B347" s="9">
        <f>IF($K347="","",INDEX(מלאי!$B$2:$B$500,$K347))</f>
        <v/>
      </c>
      <c r="C347" s="9">
        <f>IF($K347="","",INDEX(מלאי!$C$2:$C$500,$K347))</f>
        <v/>
      </c>
      <c r="D347" s="9">
        <f>IF($K347="","",INDEX(מלאי!$Y$2:$Y$500,$K347))</f>
        <v/>
      </c>
      <c r="E347" s="9">
        <f>IF($K347="","",INDEX(מלאי!$Z$2:$Z$500,$K347))</f>
        <v/>
      </c>
      <c r="F347" s="14">
        <f>IF($K347="","",INDEX(מלאי!$AB$2:$AB$500,$K347))</f>
        <v/>
      </c>
      <c r="G347" s="9">
        <f>IF($K347="","",IF(AND(INDEX(מלאי!$AB$2:$AB$500,$K347)&lt;&gt;"",INDEX(מלאי!$AB$2:$AB$500,$K347)&lt;TODAY()),"באיחור!","תקין"))</f>
        <v/>
      </c>
      <c r="H347" s="9" t="n"/>
      <c r="I347" s="9" t="n"/>
      <c r="J347" s="9" t="n"/>
      <c r="K347" s="9">
        <f>IFERROR(SMALL(IF((מלאי!$D$2:$D$500&lt;&gt;"")*(מלאי!$X$2:$X$500="מושאל"),ROW(מלאי!$A$2:$A$500)-ROW(מלאי!$A$2)+1,""),24),"")</f>
        <v/>
      </c>
    </row>
    <row r="348">
      <c r="A348" s="8">
        <f>IF($K348="","",INDEX(מלאי!$D$2:$D$500,$K348))</f>
        <v/>
      </c>
      <c r="B348" s="8">
        <f>IF($K348="","",INDEX(מלאי!$B$2:$B$500,$K348))</f>
        <v/>
      </c>
      <c r="C348" s="8">
        <f>IF($K348="","",INDEX(מלאי!$C$2:$C$500,$K348))</f>
        <v/>
      </c>
      <c r="D348" s="8">
        <f>IF($K348="","",INDEX(מלאי!$Y$2:$Y$500,$K348))</f>
        <v/>
      </c>
      <c r="E348" s="8">
        <f>IF($K348="","",INDEX(מלאי!$Z$2:$Z$500,$K348))</f>
        <v/>
      </c>
      <c r="F348" s="13">
        <f>IF($K348="","",INDEX(מלאי!$AB$2:$AB$500,$K348))</f>
        <v/>
      </c>
      <c r="G348" s="8">
        <f>IF($K348="","",IF(AND(INDEX(מלאי!$AB$2:$AB$500,$K348)&lt;&gt;"",INDEX(מלאי!$AB$2:$AB$500,$K348)&lt;TODAY()),"באיחור!","תקין"))</f>
        <v/>
      </c>
      <c r="H348" s="8" t="n"/>
      <c r="I348" s="8" t="n"/>
      <c r="J348" s="8" t="n"/>
      <c r="K348" s="8">
        <f>IFERROR(SMALL(IF((מלאי!$D$2:$D$500&lt;&gt;"")*(מלאי!$X$2:$X$500="מושאל"),ROW(מלאי!$A$2:$A$500)-ROW(מלאי!$A$2)+1,""),25),"")</f>
        <v/>
      </c>
    </row>
    <row r="349">
      <c r="A349" s="9">
        <f>IF($K349="","",INDEX(מלאי!$D$2:$D$500,$K349))</f>
        <v/>
      </c>
      <c r="B349" s="9">
        <f>IF($K349="","",INDEX(מלאי!$B$2:$B$500,$K349))</f>
        <v/>
      </c>
      <c r="C349" s="9">
        <f>IF($K349="","",INDEX(מלאי!$C$2:$C$500,$K349))</f>
        <v/>
      </c>
      <c r="D349" s="9">
        <f>IF($K349="","",INDEX(מלאי!$Y$2:$Y$500,$K349))</f>
        <v/>
      </c>
      <c r="E349" s="9">
        <f>IF($K349="","",INDEX(מלאי!$Z$2:$Z$500,$K349))</f>
        <v/>
      </c>
      <c r="F349" s="14">
        <f>IF($K349="","",INDEX(מלאי!$AB$2:$AB$500,$K349))</f>
        <v/>
      </c>
      <c r="G349" s="9">
        <f>IF($K349="","",IF(AND(INDEX(מלאי!$AB$2:$AB$500,$K349)&lt;&gt;"",INDEX(מלאי!$AB$2:$AB$500,$K349)&lt;TODAY()),"באיחור!","תקין"))</f>
        <v/>
      </c>
      <c r="H349" s="9" t="n"/>
      <c r="I349" s="9" t="n"/>
      <c r="J349" s="9" t="n"/>
      <c r="K349" s="9">
        <f>IFERROR(SMALL(IF((מלאי!$D$2:$D$500&lt;&gt;"")*(מלאי!$X$2:$X$500="מושאל"),ROW(מלאי!$A$2:$A$500)-ROW(מלאי!$A$2)+1,""),26),"")</f>
        <v/>
      </c>
    </row>
    <row r="350">
      <c r="A350" s="8">
        <f>IF($K350="","",INDEX(מלאי!$D$2:$D$500,$K350))</f>
        <v/>
      </c>
      <c r="B350" s="8">
        <f>IF($K350="","",INDEX(מלאי!$B$2:$B$500,$K350))</f>
        <v/>
      </c>
      <c r="C350" s="8">
        <f>IF($K350="","",INDEX(מלאי!$C$2:$C$500,$K350))</f>
        <v/>
      </c>
      <c r="D350" s="8">
        <f>IF($K350="","",INDEX(מלאי!$Y$2:$Y$500,$K350))</f>
        <v/>
      </c>
      <c r="E350" s="8">
        <f>IF($K350="","",INDEX(מלאי!$Z$2:$Z$500,$K350))</f>
        <v/>
      </c>
      <c r="F350" s="13">
        <f>IF($K350="","",INDEX(מלאי!$AB$2:$AB$500,$K350))</f>
        <v/>
      </c>
      <c r="G350" s="8">
        <f>IF($K350="","",IF(AND(INDEX(מלאי!$AB$2:$AB$500,$K350)&lt;&gt;"",INDEX(מלאי!$AB$2:$AB$500,$K350)&lt;TODAY()),"באיחור!","תקין"))</f>
        <v/>
      </c>
      <c r="H350" s="8" t="n"/>
      <c r="I350" s="8" t="n"/>
      <c r="J350" s="8" t="n"/>
      <c r="K350" s="8">
        <f>IFERROR(SMALL(IF((מלאי!$D$2:$D$500&lt;&gt;"")*(מלאי!$X$2:$X$500="מושאל"),ROW(מלאי!$A$2:$A$500)-ROW(מלאי!$A$2)+1,""),27),"")</f>
        <v/>
      </c>
    </row>
    <row r="351">
      <c r="A351" s="9">
        <f>IF($K351="","",INDEX(מלאי!$D$2:$D$500,$K351))</f>
        <v/>
      </c>
      <c r="B351" s="9">
        <f>IF($K351="","",INDEX(מלאי!$B$2:$B$500,$K351))</f>
        <v/>
      </c>
      <c r="C351" s="9">
        <f>IF($K351="","",INDEX(מלאי!$C$2:$C$500,$K351))</f>
        <v/>
      </c>
      <c r="D351" s="9">
        <f>IF($K351="","",INDEX(מלאי!$Y$2:$Y$500,$K351))</f>
        <v/>
      </c>
      <c r="E351" s="9">
        <f>IF($K351="","",INDEX(מלאי!$Z$2:$Z$500,$K351))</f>
        <v/>
      </c>
      <c r="F351" s="14">
        <f>IF($K351="","",INDEX(מלאי!$AB$2:$AB$500,$K351))</f>
        <v/>
      </c>
      <c r="G351" s="9">
        <f>IF($K351="","",IF(AND(INDEX(מלאי!$AB$2:$AB$500,$K351)&lt;&gt;"",INDEX(מלאי!$AB$2:$AB$500,$K351)&lt;TODAY()),"באיחור!","תקין"))</f>
        <v/>
      </c>
      <c r="H351" s="9" t="n"/>
      <c r="I351" s="9" t="n"/>
      <c r="J351" s="9" t="n"/>
      <c r="K351" s="9">
        <f>IFERROR(SMALL(IF((מלאי!$D$2:$D$500&lt;&gt;"")*(מלאי!$X$2:$X$500="מושאל"),ROW(מלאי!$A$2:$A$500)-ROW(מלאי!$A$2)+1,""),28),"")</f>
        <v/>
      </c>
    </row>
    <row r="352">
      <c r="A352" s="8">
        <f>IF($K352="","",INDEX(מלאי!$D$2:$D$500,$K352))</f>
        <v/>
      </c>
      <c r="B352" s="8">
        <f>IF($K352="","",INDEX(מלאי!$B$2:$B$500,$K352))</f>
        <v/>
      </c>
      <c r="C352" s="8">
        <f>IF($K352="","",INDEX(מלאי!$C$2:$C$500,$K352))</f>
        <v/>
      </c>
      <c r="D352" s="8">
        <f>IF($K352="","",INDEX(מלאי!$Y$2:$Y$500,$K352))</f>
        <v/>
      </c>
      <c r="E352" s="8">
        <f>IF($K352="","",INDEX(מלאי!$Z$2:$Z$500,$K352))</f>
        <v/>
      </c>
      <c r="F352" s="13">
        <f>IF($K352="","",INDEX(מלאי!$AB$2:$AB$500,$K352))</f>
        <v/>
      </c>
      <c r="G352" s="8">
        <f>IF($K352="","",IF(AND(INDEX(מלאי!$AB$2:$AB$500,$K352)&lt;&gt;"",INDEX(מלאי!$AB$2:$AB$500,$K352)&lt;TODAY()),"באיחור!","תקין"))</f>
        <v/>
      </c>
      <c r="H352" s="8" t="n"/>
      <c r="I352" s="8" t="n"/>
      <c r="J352" s="8" t="n"/>
      <c r="K352" s="8">
        <f>IFERROR(SMALL(IF((מלאי!$D$2:$D$500&lt;&gt;"")*(מלאי!$X$2:$X$500="מושאל"),ROW(מלאי!$A$2:$A$500)-ROW(מלאי!$A$2)+1,""),29),"")</f>
        <v/>
      </c>
    </row>
    <row r="353">
      <c r="A353" s="9">
        <f>IF($K353="","",INDEX(מלאי!$D$2:$D$500,$K353))</f>
        <v/>
      </c>
      <c r="B353" s="9">
        <f>IF($K353="","",INDEX(מלאי!$B$2:$B$500,$K353))</f>
        <v/>
      </c>
      <c r="C353" s="9">
        <f>IF($K353="","",INDEX(מלאי!$C$2:$C$500,$K353))</f>
        <v/>
      </c>
      <c r="D353" s="9">
        <f>IF($K353="","",INDEX(מלאי!$Y$2:$Y$500,$K353))</f>
        <v/>
      </c>
      <c r="E353" s="9">
        <f>IF($K353="","",INDEX(מלאי!$Z$2:$Z$500,$K353))</f>
        <v/>
      </c>
      <c r="F353" s="14">
        <f>IF($K353="","",INDEX(מלאי!$AB$2:$AB$500,$K353))</f>
        <v/>
      </c>
      <c r="G353" s="9">
        <f>IF($K353="","",IF(AND(INDEX(מלאי!$AB$2:$AB$500,$K353)&lt;&gt;"",INDEX(מלאי!$AB$2:$AB$500,$K353)&lt;TODAY()),"באיחור!","תקין"))</f>
        <v/>
      </c>
      <c r="H353" s="9" t="n"/>
      <c r="I353" s="9" t="n"/>
      <c r="J353" s="9" t="n"/>
      <c r="K353" s="9">
        <f>IFERROR(SMALL(IF((מלאי!$D$2:$D$500&lt;&gt;"")*(מלאי!$X$2:$X$500="מושאל"),ROW(מלאי!$A$2:$A$500)-ROW(מלאי!$A$2)+1,""),30),"")</f>
        <v/>
      </c>
    </row>
    <row r="354">
      <c r="A354" s="8">
        <f>IF($K354="","",INDEX(מלאי!$D$2:$D$500,$K354))</f>
        <v/>
      </c>
      <c r="B354" s="8">
        <f>IF($K354="","",INDEX(מלאי!$B$2:$B$500,$K354))</f>
        <v/>
      </c>
      <c r="C354" s="8">
        <f>IF($K354="","",INDEX(מלאי!$C$2:$C$500,$K354))</f>
        <v/>
      </c>
      <c r="D354" s="8">
        <f>IF($K354="","",INDEX(מלאי!$Y$2:$Y$500,$K354))</f>
        <v/>
      </c>
      <c r="E354" s="8">
        <f>IF($K354="","",INDEX(מלאי!$Z$2:$Z$500,$K354))</f>
        <v/>
      </c>
      <c r="F354" s="13">
        <f>IF($K354="","",INDEX(מלאי!$AB$2:$AB$500,$K354))</f>
        <v/>
      </c>
      <c r="G354" s="8">
        <f>IF($K354="","",IF(AND(INDEX(מלאי!$AB$2:$AB$500,$K354)&lt;&gt;"",INDEX(מלאי!$AB$2:$AB$500,$K354)&lt;TODAY()),"באיחור!","תקין"))</f>
        <v/>
      </c>
      <c r="H354" s="8" t="n"/>
      <c r="I354" s="8" t="n"/>
      <c r="J354" s="8" t="n"/>
      <c r="K354" s="8">
        <f>IFERROR(SMALL(IF((מלאי!$D$2:$D$500&lt;&gt;"")*(מלאי!$X$2:$X$500="מושאל"),ROW(מלאי!$A$2:$A$500)-ROW(מלאי!$A$2)+1,""),31),"")</f>
        <v/>
      </c>
    </row>
    <row r="355">
      <c r="A355" s="9">
        <f>IF($K355="","",INDEX(מלאי!$D$2:$D$500,$K355))</f>
        <v/>
      </c>
      <c r="B355" s="9">
        <f>IF($K355="","",INDEX(מלאי!$B$2:$B$500,$K355))</f>
        <v/>
      </c>
      <c r="C355" s="9">
        <f>IF($K355="","",INDEX(מלאי!$C$2:$C$500,$K355))</f>
        <v/>
      </c>
      <c r="D355" s="9">
        <f>IF($K355="","",INDEX(מלאי!$Y$2:$Y$500,$K355))</f>
        <v/>
      </c>
      <c r="E355" s="9">
        <f>IF($K355="","",INDEX(מלאי!$Z$2:$Z$500,$K355))</f>
        <v/>
      </c>
      <c r="F355" s="14">
        <f>IF($K355="","",INDEX(מלאי!$AB$2:$AB$500,$K355))</f>
        <v/>
      </c>
      <c r="G355" s="9">
        <f>IF($K355="","",IF(AND(INDEX(מלאי!$AB$2:$AB$500,$K355)&lt;&gt;"",INDEX(מלאי!$AB$2:$AB$500,$K355)&lt;TODAY()),"באיחור!","תקין"))</f>
        <v/>
      </c>
      <c r="H355" s="9" t="n"/>
      <c r="I355" s="9" t="n"/>
      <c r="J355" s="9" t="n"/>
      <c r="K355" s="9">
        <f>IFERROR(SMALL(IF((מלאי!$D$2:$D$500&lt;&gt;"")*(מלאי!$X$2:$X$500="מושאל"),ROW(מלאי!$A$2:$A$500)-ROW(מלאי!$A$2)+1,""),32),"")</f>
        <v/>
      </c>
    </row>
    <row r="356">
      <c r="A356" s="8">
        <f>IF($K356="","",INDEX(מלאי!$D$2:$D$500,$K356))</f>
        <v/>
      </c>
      <c r="B356" s="8">
        <f>IF($K356="","",INDEX(מלאי!$B$2:$B$500,$K356))</f>
        <v/>
      </c>
      <c r="C356" s="8">
        <f>IF($K356="","",INDEX(מלאי!$C$2:$C$500,$K356))</f>
        <v/>
      </c>
      <c r="D356" s="8">
        <f>IF($K356="","",INDEX(מלאי!$Y$2:$Y$500,$K356))</f>
        <v/>
      </c>
      <c r="E356" s="8">
        <f>IF($K356="","",INDEX(מלאי!$Z$2:$Z$500,$K356))</f>
        <v/>
      </c>
      <c r="F356" s="13">
        <f>IF($K356="","",INDEX(מלאי!$AB$2:$AB$500,$K356))</f>
        <v/>
      </c>
      <c r="G356" s="8">
        <f>IF($K356="","",IF(AND(INDEX(מלאי!$AB$2:$AB$500,$K356)&lt;&gt;"",INDEX(מלאי!$AB$2:$AB$500,$K356)&lt;TODAY()),"באיחור!","תקין"))</f>
        <v/>
      </c>
      <c r="H356" s="8" t="n"/>
      <c r="I356" s="8" t="n"/>
      <c r="J356" s="8" t="n"/>
      <c r="K356" s="8">
        <f>IFERROR(SMALL(IF((מלאי!$D$2:$D$500&lt;&gt;"")*(מלאי!$X$2:$X$500="מושאל"),ROW(מלאי!$A$2:$A$500)-ROW(מלאי!$A$2)+1,""),33),"")</f>
        <v/>
      </c>
    </row>
    <row r="357">
      <c r="A357" s="9">
        <f>IF($K357="","",INDEX(מלאי!$D$2:$D$500,$K357))</f>
        <v/>
      </c>
      <c r="B357" s="9">
        <f>IF($K357="","",INDEX(מלאי!$B$2:$B$500,$K357))</f>
        <v/>
      </c>
      <c r="C357" s="9">
        <f>IF($K357="","",INDEX(מלאי!$C$2:$C$500,$K357))</f>
        <v/>
      </c>
      <c r="D357" s="9">
        <f>IF($K357="","",INDEX(מלאי!$Y$2:$Y$500,$K357))</f>
        <v/>
      </c>
      <c r="E357" s="9">
        <f>IF($K357="","",INDEX(מלאי!$Z$2:$Z$500,$K357))</f>
        <v/>
      </c>
      <c r="F357" s="14">
        <f>IF($K357="","",INDEX(מלאי!$AB$2:$AB$500,$K357))</f>
        <v/>
      </c>
      <c r="G357" s="9">
        <f>IF($K357="","",IF(AND(INDEX(מלאי!$AB$2:$AB$500,$K357)&lt;&gt;"",INDEX(מלאי!$AB$2:$AB$500,$K357)&lt;TODAY()),"באיחור!","תקין"))</f>
        <v/>
      </c>
      <c r="H357" s="9" t="n"/>
      <c r="I357" s="9" t="n"/>
      <c r="J357" s="9" t="n"/>
      <c r="K357" s="9">
        <f>IFERROR(SMALL(IF((מלאי!$D$2:$D$500&lt;&gt;"")*(מלאי!$X$2:$X$500="מושאל"),ROW(מלאי!$A$2:$A$500)-ROW(מלאי!$A$2)+1,""),34),"")</f>
        <v/>
      </c>
    </row>
    <row r="358">
      <c r="A358" s="8">
        <f>IF($K358="","",INDEX(מלאי!$D$2:$D$500,$K358))</f>
        <v/>
      </c>
      <c r="B358" s="8">
        <f>IF($K358="","",INDEX(מלאי!$B$2:$B$500,$K358))</f>
        <v/>
      </c>
      <c r="C358" s="8">
        <f>IF($K358="","",INDEX(מלאי!$C$2:$C$500,$K358))</f>
        <v/>
      </c>
      <c r="D358" s="8">
        <f>IF($K358="","",INDEX(מלאי!$Y$2:$Y$500,$K358))</f>
        <v/>
      </c>
      <c r="E358" s="8">
        <f>IF($K358="","",INDEX(מלאי!$Z$2:$Z$500,$K358))</f>
        <v/>
      </c>
      <c r="F358" s="13">
        <f>IF($K358="","",INDEX(מלאי!$AB$2:$AB$500,$K358))</f>
        <v/>
      </c>
      <c r="G358" s="8">
        <f>IF($K358="","",IF(AND(INDEX(מלאי!$AB$2:$AB$500,$K358)&lt;&gt;"",INDEX(מלאי!$AB$2:$AB$500,$K358)&lt;TODAY()),"באיחור!","תקין"))</f>
        <v/>
      </c>
      <c r="H358" s="8" t="n"/>
      <c r="I358" s="8" t="n"/>
      <c r="J358" s="8" t="n"/>
      <c r="K358" s="8">
        <f>IFERROR(SMALL(IF((מלאי!$D$2:$D$500&lt;&gt;"")*(מלאי!$X$2:$X$500="מושאל"),ROW(מלאי!$A$2:$A$500)-ROW(מלאי!$A$2)+1,""),35),"")</f>
        <v/>
      </c>
    </row>
    <row r="359">
      <c r="A359" s="9">
        <f>IF($K359="","",INDEX(מלאי!$D$2:$D$500,$K359))</f>
        <v/>
      </c>
      <c r="B359" s="9">
        <f>IF($K359="","",INDEX(מלאי!$B$2:$B$500,$K359))</f>
        <v/>
      </c>
      <c r="C359" s="9">
        <f>IF($K359="","",INDEX(מלאי!$C$2:$C$500,$K359))</f>
        <v/>
      </c>
      <c r="D359" s="9">
        <f>IF($K359="","",INDEX(מלאי!$Y$2:$Y$500,$K359))</f>
        <v/>
      </c>
      <c r="E359" s="9">
        <f>IF($K359="","",INDEX(מלאי!$Z$2:$Z$500,$K359))</f>
        <v/>
      </c>
      <c r="F359" s="14">
        <f>IF($K359="","",INDEX(מלאי!$AB$2:$AB$500,$K359))</f>
        <v/>
      </c>
      <c r="G359" s="9">
        <f>IF($K359="","",IF(AND(INDEX(מלאי!$AB$2:$AB$500,$K359)&lt;&gt;"",INDEX(מלאי!$AB$2:$AB$500,$K359)&lt;TODAY()),"באיחור!","תקין"))</f>
        <v/>
      </c>
      <c r="H359" s="9" t="n"/>
      <c r="I359" s="9" t="n"/>
      <c r="J359" s="9" t="n"/>
      <c r="K359" s="9">
        <f>IFERROR(SMALL(IF((מלאי!$D$2:$D$500&lt;&gt;"")*(מלאי!$X$2:$X$500="מושאל"),ROW(מלאי!$A$2:$A$500)-ROW(מלאי!$A$2)+1,""),36),"")</f>
        <v/>
      </c>
    </row>
    <row r="360">
      <c r="A360" s="8">
        <f>IF($K360="","",INDEX(מלאי!$D$2:$D$500,$K360))</f>
        <v/>
      </c>
      <c r="B360" s="8">
        <f>IF($K360="","",INDEX(מלאי!$B$2:$B$500,$K360))</f>
        <v/>
      </c>
      <c r="C360" s="8">
        <f>IF($K360="","",INDEX(מלאי!$C$2:$C$500,$K360))</f>
        <v/>
      </c>
      <c r="D360" s="8">
        <f>IF($K360="","",INDEX(מלאי!$Y$2:$Y$500,$K360))</f>
        <v/>
      </c>
      <c r="E360" s="8">
        <f>IF($K360="","",INDEX(מלאי!$Z$2:$Z$500,$K360))</f>
        <v/>
      </c>
      <c r="F360" s="13">
        <f>IF($K360="","",INDEX(מלאי!$AB$2:$AB$500,$K360))</f>
        <v/>
      </c>
      <c r="G360" s="8">
        <f>IF($K360="","",IF(AND(INDEX(מלאי!$AB$2:$AB$500,$K360)&lt;&gt;"",INDEX(מלאי!$AB$2:$AB$500,$K360)&lt;TODAY()),"באיחור!","תקין"))</f>
        <v/>
      </c>
      <c r="H360" s="8" t="n"/>
      <c r="I360" s="8" t="n"/>
      <c r="J360" s="8" t="n"/>
      <c r="K360" s="8">
        <f>IFERROR(SMALL(IF((מלאי!$D$2:$D$500&lt;&gt;"")*(מלאי!$X$2:$X$500="מושאל"),ROW(מלאי!$A$2:$A$500)-ROW(מלאי!$A$2)+1,""),37),"")</f>
        <v/>
      </c>
    </row>
    <row r="361">
      <c r="A361" s="9">
        <f>IF($K361="","",INDEX(מלאי!$D$2:$D$500,$K361))</f>
        <v/>
      </c>
      <c r="B361" s="9">
        <f>IF($K361="","",INDEX(מלאי!$B$2:$B$500,$K361))</f>
        <v/>
      </c>
      <c r="C361" s="9">
        <f>IF($K361="","",INDEX(מלאי!$C$2:$C$500,$K361))</f>
        <v/>
      </c>
      <c r="D361" s="9">
        <f>IF($K361="","",INDEX(מלאי!$Y$2:$Y$500,$K361))</f>
        <v/>
      </c>
      <c r="E361" s="9">
        <f>IF($K361="","",INDEX(מלאי!$Z$2:$Z$500,$K361))</f>
        <v/>
      </c>
      <c r="F361" s="14">
        <f>IF($K361="","",INDEX(מלאי!$AB$2:$AB$500,$K361))</f>
        <v/>
      </c>
      <c r="G361" s="9">
        <f>IF($K361="","",IF(AND(INDEX(מלאי!$AB$2:$AB$500,$K361)&lt;&gt;"",INDEX(מלאי!$AB$2:$AB$500,$K361)&lt;TODAY()),"באיחור!","תקין"))</f>
        <v/>
      </c>
      <c r="H361" s="9" t="n"/>
      <c r="I361" s="9" t="n"/>
      <c r="J361" s="9" t="n"/>
      <c r="K361" s="9">
        <f>IFERROR(SMALL(IF((מלאי!$D$2:$D$500&lt;&gt;"")*(מלאי!$X$2:$X$500="מושאל"),ROW(מלאי!$A$2:$A$500)-ROW(מלאי!$A$2)+1,""),38),"")</f>
        <v/>
      </c>
    </row>
    <row r="362">
      <c r="A362" s="8">
        <f>IF($K362="","",INDEX(מלאי!$D$2:$D$500,$K362))</f>
        <v/>
      </c>
      <c r="B362" s="8">
        <f>IF($K362="","",INDEX(מלאי!$B$2:$B$500,$K362))</f>
        <v/>
      </c>
      <c r="C362" s="8">
        <f>IF($K362="","",INDEX(מלאי!$C$2:$C$500,$K362))</f>
        <v/>
      </c>
      <c r="D362" s="8">
        <f>IF($K362="","",INDEX(מלאי!$Y$2:$Y$500,$K362))</f>
        <v/>
      </c>
      <c r="E362" s="8">
        <f>IF($K362="","",INDEX(מלאי!$Z$2:$Z$500,$K362))</f>
        <v/>
      </c>
      <c r="F362" s="13">
        <f>IF($K362="","",INDEX(מלאי!$AB$2:$AB$500,$K362))</f>
        <v/>
      </c>
      <c r="G362" s="8">
        <f>IF($K362="","",IF(AND(INDEX(מלאי!$AB$2:$AB$500,$K362)&lt;&gt;"",INDEX(מלאי!$AB$2:$AB$500,$K362)&lt;TODAY()),"באיחור!","תקין"))</f>
        <v/>
      </c>
      <c r="H362" s="8" t="n"/>
      <c r="I362" s="8" t="n"/>
      <c r="J362" s="8" t="n"/>
      <c r="K362" s="8">
        <f>IFERROR(SMALL(IF((מלאי!$D$2:$D$500&lt;&gt;"")*(מלאי!$X$2:$X$500="מושאל"),ROW(מלאי!$A$2:$A$500)-ROW(מלאי!$A$2)+1,""),39),"")</f>
        <v/>
      </c>
    </row>
    <row r="363">
      <c r="A363" s="9">
        <f>IF($K363="","",INDEX(מלאי!$D$2:$D$500,$K363))</f>
        <v/>
      </c>
      <c r="B363" s="9">
        <f>IF($K363="","",INDEX(מלאי!$B$2:$B$500,$K363))</f>
        <v/>
      </c>
      <c r="C363" s="9">
        <f>IF($K363="","",INDEX(מלאי!$C$2:$C$500,$K363))</f>
        <v/>
      </c>
      <c r="D363" s="9">
        <f>IF($K363="","",INDEX(מלאי!$Y$2:$Y$500,$K363))</f>
        <v/>
      </c>
      <c r="E363" s="9">
        <f>IF($K363="","",INDEX(מלאי!$Z$2:$Z$500,$K363))</f>
        <v/>
      </c>
      <c r="F363" s="14">
        <f>IF($K363="","",INDEX(מלאי!$AB$2:$AB$500,$K363))</f>
        <v/>
      </c>
      <c r="G363" s="9">
        <f>IF($K363="","",IF(AND(INDEX(מלאי!$AB$2:$AB$500,$K363)&lt;&gt;"",INDEX(מלאי!$AB$2:$AB$500,$K363)&lt;TODAY()),"באיחור!","תקין"))</f>
        <v/>
      </c>
      <c r="H363" s="9" t="n"/>
      <c r="I363" s="9" t="n"/>
      <c r="J363" s="9" t="n"/>
      <c r="K363" s="9">
        <f>IFERROR(SMALL(IF((מלאי!$D$2:$D$500&lt;&gt;"")*(מלאי!$X$2:$X$500="מושאל"),ROW(מלאי!$A$2:$A$500)-ROW(מלאי!$A$2)+1,""),40),"")</f>
        <v/>
      </c>
    </row>
    <row r="364">
      <c r="A364" s="8">
        <f>IF($K364="","",INDEX(מלאי!$D$2:$D$500,$K364))</f>
        <v/>
      </c>
      <c r="B364" s="8">
        <f>IF($K364="","",INDEX(מלאי!$B$2:$B$500,$K364))</f>
        <v/>
      </c>
      <c r="C364" s="8">
        <f>IF($K364="","",INDEX(מלאי!$C$2:$C$500,$K364))</f>
        <v/>
      </c>
      <c r="D364" s="8">
        <f>IF($K364="","",INDEX(מלאי!$Y$2:$Y$500,$K364))</f>
        <v/>
      </c>
      <c r="E364" s="8">
        <f>IF($K364="","",INDEX(מלאי!$Z$2:$Z$500,$K364))</f>
        <v/>
      </c>
      <c r="F364" s="13">
        <f>IF($K364="","",INDEX(מלאי!$AB$2:$AB$500,$K364))</f>
        <v/>
      </c>
      <c r="G364" s="8">
        <f>IF($K364="","",IF(AND(INDEX(מלאי!$AB$2:$AB$500,$K364)&lt;&gt;"",INDEX(מלאי!$AB$2:$AB$500,$K364)&lt;TODAY()),"באיחור!","תקין"))</f>
        <v/>
      </c>
      <c r="H364" s="8" t="n"/>
      <c r="I364" s="8" t="n"/>
      <c r="J364" s="8" t="n"/>
      <c r="K364" s="8">
        <f>IFERROR(SMALL(IF((מלאי!$D$2:$D$500&lt;&gt;"")*(מלאי!$X$2:$X$500="מושאל"),ROW(מלאי!$A$2:$A$500)-ROW(מלאי!$A$2)+1,""),41),"")</f>
        <v/>
      </c>
    </row>
    <row r="365">
      <c r="A365" s="9">
        <f>IF($K365="","",INDEX(מלאי!$D$2:$D$500,$K365))</f>
        <v/>
      </c>
      <c r="B365" s="9">
        <f>IF($K365="","",INDEX(מלאי!$B$2:$B$500,$K365))</f>
        <v/>
      </c>
      <c r="C365" s="9">
        <f>IF($K365="","",INDEX(מלאי!$C$2:$C$500,$K365))</f>
        <v/>
      </c>
      <c r="D365" s="9">
        <f>IF($K365="","",INDEX(מלאי!$Y$2:$Y$500,$K365))</f>
        <v/>
      </c>
      <c r="E365" s="9">
        <f>IF($K365="","",INDEX(מלאי!$Z$2:$Z$500,$K365))</f>
        <v/>
      </c>
      <c r="F365" s="14">
        <f>IF($K365="","",INDEX(מלאי!$AB$2:$AB$500,$K365))</f>
        <v/>
      </c>
      <c r="G365" s="9">
        <f>IF($K365="","",IF(AND(INDEX(מלאי!$AB$2:$AB$500,$K365)&lt;&gt;"",INDEX(מלאי!$AB$2:$AB$500,$K365)&lt;TODAY()),"באיחור!","תקין"))</f>
        <v/>
      </c>
      <c r="H365" s="9" t="n"/>
      <c r="I365" s="9" t="n"/>
      <c r="J365" s="9" t="n"/>
      <c r="K365" s="9">
        <f>IFERROR(SMALL(IF((מלאי!$D$2:$D$500&lt;&gt;"")*(מלאי!$X$2:$X$500="מושאל"),ROW(מלאי!$A$2:$A$500)-ROW(מלאי!$A$2)+1,""),42),"")</f>
        <v/>
      </c>
    </row>
    <row r="366">
      <c r="A366" s="8">
        <f>IF($K366="","",INDEX(מלאי!$D$2:$D$500,$K366))</f>
        <v/>
      </c>
      <c r="B366" s="8">
        <f>IF($K366="","",INDEX(מלאי!$B$2:$B$500,$K366))</f>
        <v/>
      </c>
      <c r="C366" s="8">
        <f>IF($K366="","",INDEX(מלאי!$C$2:$C$500,$K366))</f>
        <v/>
      </c>
      <c r="D366" s="8">
        <f>IF($K366="","",INDEX(מלאי!$Y$2:$Y$500,$K366))</f>
        <v/>
      </c>
      <c r="E366" s="8">
        <f>IF($K366="","",INDEX(מלאי!$Z$2:$Z$500,$K366))</f>
        <v/>
      </c>
      <c r="F366" s="13">
        <f>IF($K366="","",INDEX(מלאי!$AB$2:$AB$500,$K366))</f>
        <v/>
      </c>
      <c r="G366" s="8">
        <f>IF($K366="","",IF(AND(INDEX(מלאי!$AB$2:$AB$500,$K366)&lt;&gt;"",INDEX(מלאי!$AB$2:$AB$500,$K366)&lt;TODAY()),"באיחור!","תקין"))</f>
        <v/>
      </c>
      <c r="H366" s="8" t="n"/>
      <c r="I366" s="8" t="n"/>
      <c r="J366" s="8" t="n"/>
      <c r="K366" s="8">
        <f>IFERROR(SMALL(IF((מלאי!$D$2:$D$500&lt;&gt;"")*(מלאי!$X$2:$X$500="מושאל"),ROW(מלאי!$A$2:$A$500)-ROW(מלאי!$A$2)+1,""),43),"")</f>
        <v/>
      </c>
    </row>
    <row r="367">
      <c r="A367" s="9">
        <f>IF($K367="","",INDEX(מלאי!$D$2:$D$500,$K367))</f>
        <v/>
      </c>
      <c r="B367" s="9">
        <f>IF($K367="","",INDEX(מלאי!$B$2:$B$500,$K367))</f>
        <v/>
      </c>
      <c r="C367" s="9">
        <f>IF($K367="","",INDEX(מלאי!$C$2:$C$500,$K367))</f>
        <v/>
      </c>
      <c r="D367" s="9">
        <f>IF($K367="","",INDEX(מלאי!$Y$2:$Y$500,$K367))</f>
        <v/>
      </c>
      <c r="E367" s="9">
        <f>IF($K367="","",INDEX(מלאי!$Z$2:$Z$500,$K367))</f>
        <v/>
      </c>
      <c r="F367" s="14">
        <f>IF($K367="","",INDEX(מלאי!$AB$2:$AB$500,$K367))</f>
        <v/>
      </c>
      <c r="G367" s="9">
        <f>IF($K367="","",IF(AND(INDEX(מלאי!$AB$2:$AB$500,$K367)&lt;&gt;"",INDEX(מלאי!$AB$2:$AB$500,$K367)&lt;TODAY()),"באיחור!","תקין"))</f>
        <v/>
      </c>
      <c r="H367" s="9" t="n"/>
      <c r="I367" s="9" t="n"/>
      <c r="J367" s="9" t="n"/>
      <c r="K367" s="9">
        <f>IFERROR(SMALL(IF((מלאי!$D$2:$D$500&lt;&gt;"")*(מלאי!$X$2:$X$500="מושאל"),ROW(מלאי!$A$2:$A$500)-ROW(מלאי!$A$2)+1,""),44),"")</f>
        <v/>
      </c>
    </row>
    <row r="368">
      <c r="A368" s="8">
        <f>IF($K368="","",INDEX(מלאי!$D$2:$D$500,$K368))</f>
        <v/>
      </c>
      <c r="B368" s="8">
        <f>IF($K368="","",INDEX(מלאי!$B$2:$B$500,$K368))</f>
        <v/>
      </c>
      <c r="C368" s="8">
        <f>IF($K368="","",INDEX(מלאי!$C$2:$C$500,$K368))</f>
        <v/>
      </c>
      <c r="D368" s="8">
        <f>IF($K368="","",INDEX(מלאי!$Y$2:$Y$500,$K368))</f>
        <v/>
      </c>
      <c r="E368" s="8">
        <f>IF($K368="","",INDEX(מלאי!$Z$2:$Z$500,$K368))</f>
        <v/>
      </c>
      <c r="F368" s="13">
        <f>IF($K368="","",INDEX(מלאי!$AB$2:$AB$500,$K368))</f>
        <v/>
      </c>
      <c r="G368" s="8">
        <f>IF($K368="","",IF(AND(INDEX(מלאי!$AB$2:$AB$500,$K368)&lt;&gt;"",INDEX(מלאי!$AB$2:$AB$500,$K368)&lt;TODAY()),"באיחור!","תקין"))</f>
        <v/>
      </c>
      <c r="H368" s="8" t="n"/>
      <c r="I368" s="8" t="n"/>
      <c r="J368" s="8" t="n"/>
      <c r="K368" s="8">
        <f>IFERROR(SMALL(IF((מלאי!$D$2:$D$500&lt;&gt;"")*(מלאי!$X$2:$X$500="מושאל"),ROW(מלאי!$A$2:$A$500)-ROW(מלאי!$A$2)+1,""),45),"")</f>
        <v/>
      </c>
    </row>
    <row r="369">
      <c r="A369" s="9">
        <f>IF($K369="","",INDEX(מלאי!$D$2:$D$500,$K369))</f>
        <v/>
      </c>
      <c r="B369" s="9">
        <f>IF($K369="","",INDEX(מלאי!$B$2:$B$500,$K369))</f>
        <v/>
      </c>
      <c r="C369" s="9">
        <f>IF($K369="","",INDEX(מלאי!$C$2:$C$500,$K369))</f>
        <v/>
      </c>
      <c r="D369" s="9">
        <f>IF($K369="","",INDEX(מלאי!$Y$2:$Y$500,$K369))</f>
        <v/>
      </c>
      <c r="E369" s="9">
        <f>IF($K369="","",INDEX(מלאי!$Z$2:$Z$500,$K369))</f>
        <v/>
      </c>
      <c r="F369" s="14">
        <f>IF($K369="","",INDEX(מלאי!$AB$2:$AB$500,$K369))</f>
        <v/>
      </c>
      <c r="G369" s="9">
        <f>IF($K369="","",IF(AND(INDEX(מלאי!$AB$2:$AB$500,$K369)&lt;&gt;"",INDEX(מלאי!$AB$2:$AB$500,$K369)&lt;TODAY()),"באיחור!","תקין"))</f>
        <v/>
      </c>
      <c r="H369" s="9" t="n"/>
      <c r="I369" s="9" t="n"/>
      <c r="J369" s="9" t="n"/>
      <c r="K369" s="9">
        <f>IFERROR(SMALL(IF((מלאי!$D$2:$D$500&lt;&gt;"")*(מלאי!$X$2:$X$500="מושאל"),ROW(מלאי!$A$2:$A$500)-ROW(מלאי!$A$2)+1,""),46),"")</f>
        <v/>
      </c>
    </row>
    <row r="370">
      <c r="A370" s="8">
        <f>IF($K370="","",INDEX(מלאי!$D$2:$D$500,$K370))</f>
        <v/>
      </c>
      <c r="B370" s="8">
        <f>IF($K370="","",INDEX(מלאי!$B$2:$B$500,$K370))</f>
        <v/>
      </c>
      <c r="C370" s="8">
        <f>IF($K370="","",INDEX(מלאי!$C$2:$C$500,$K370))</f>
        <v/>
      </c>
      <c r="D370" s="8">
        <f>IF($K370="","",INDEX(מלאי!$Y$2:$Y$500,$K370))</f>
        <v/>
      </c>
      <c r="E370" s="8">
        <f>IF($K370="","",INDEX(מלאי!$Z$2:$Z$500,$K370))</f>
        <v/>
      </c>
      <c r="F370" s="13">
        <f>IF($K370="","",INDEX(מלאי!$AB$2:$AB$500,$K370))</f>
        <v/>
      </c>
      <c r="G370" s="8">
        <f>IF($K370="","",IF(AND(INDEX(מלאי!$AB$2:$AB$500,$K370)&lt;&gt;"",INDEX(מלאי!$AB$2:$AB$500,$K370)&lt;TODAY()),"באיחור!","תקין"))</f>
        <v/>
      </c>
      <c r="H370" s="8" t="n"/>
      <c r="I370" s="8" t="n"/>
      <c r="J370" s="8" t="n"/>
      <c r="K370" s="8">
        <f>IFERROR(SMALL(IF((מלאי!$D$2:$D$500&lt;&gt;"")*(מלאי!$X$2:$X$500="מושאל"),ROW(מלאי!$A$2:$A$500)-ROW(מלאי!$A$2)+1,""),47),"")</f>
        <v/>
      </c>
    </row>
    <row r="371">
      <c r="A371" s="9">
        <f>IF($K371="","",INDEX(מלאי!$D$2:$D$500,$K371))</f>
        <v/>
      </c>
      <c r="B371" s="9">
        <f>IF($K371="","",INDEX(מלאי!$B$2:$B$500,$K371))</f>
        <v/>
      </c>
      <c r="C371" s="9">
        <f>IF($K371="","",INDEX(מלאי!$C$2:$C$500,$K371))</f>
        <v/>
      </c>
      <c r="D371" s="9">
        <f>IF($K371="","",INDEX(מלאי!$Y$2:$Y$500,$K371))</f>
        <v/>
      </c>
      <c r="E371" s="9">
        <f>IF($K371="","",INDEX(מלאי!$Z$2:$Z$500,$K371))</f>
        <v/>
      </c>
      <c r="F371" s="14">
        <f>IF($K371="","",INDEX(מלאי!$AB$2:$AB$500,$K371))</f>
        <v/>
      </c>
      <c r="G371" s="9">
        <f>IF($K371="","",IF(AND(INDEX(מלאי!$AB$2:$AB$500,$K371)&lt;&gt;"",INDEX(מלאי!$AB$2:$AB$500,$K371)&lt;TODAY()),"באיחור!","תקין"))</f>
        <v/>
      </c>
      <c r="H371" s="9" t="n"/>
      <c r="I371" s="9" t="n"/>
      <c r="J371" s="9" t="n"/>
      <c r="K371" s="9">
        <f>IFERROR(SMALL(IF((מלאי!$D$2:$D$500&lt;&gt;"")*(מלאי!$X$2:$X$500="מושאל"),ROW(מלאי!$A$2:$A$500)-ROW(מלאי!$A$2)+1,""),48),"")</f>
        <v/>
      </c>
    </row>
    <row r="372">
      <c r="A372" s="8">
        <f>IF($K372="","",INDEX(מלאי!$D$2:$D$500,$K372))</f>
        <v/>
      </c>
      <c r="B372" s="8">
        <f>IF($K372="","",INDEX(מלאי!$B$2:$B$500,$K372))</f>
        <v/>
      </c>
      <c r="C372" s="8">
        <f>IF($K372="","",INDEX(מלאי!$C$2:$C$500,$K372))</f>
        <v/>
      </c>
      <c r="D372" s="8">
        <f>IF($K372="","",INDEX(מלאי!$Y$2:$Y$500,$K372))</f>
        <v/>
      </c>
      <c r="E372" s="8">
        <f>IF($K372="","",INDEX(מלאי!$Z$2:$Z$500,$K372))</f>
        <v/>
      </c>
      <c r="F372" s="13">
        <f>IF($K372="","",INDEX(מלאי!$AB$2:$AB$500,$K372))</f>
        <v/>
      </c>
      <c r="G372" s="8">
        <f>IF($K372="","",IF(AND(INDEX(מלאי!$AB$2:$AB$500,$K372)&lt;&gt;"",INDEX(מלאי!$AB$2:$AB$500,$K372)&lt;TODAY()),"באיחור!","תקין"))</f>
        <v/>
      </c>
      <c r="H372" s="8" t="n"/>
      <c r="I372" s="8" t="n"/>
      <c r="J372" s="8" t="n"/>
      <c r="K372" s="8">
        <f>IFERROR(SMALL(IF((מלאי!$D$2:$D$500&lt;&gt;"")*(מלאי!$X$2:$X$500="מושאל"),ROW(מלאי!$A$2:$A$500)-ROW(מלאי!$A$2)+1,""),49),"")</f>
        <v/>
      </c>
    </row>
    <row r="373">
      <c r="A373" s="9">
        <f>IF($K373="","",INDEX(מלאי!$D$2:$D$500,$K373))</f>
        <v/>
      </c>
      <c r="B373" s="9">
        <f>IF($K373="","",INDEX(מלאי!$B$2:$B$500,$K373))</f>
        <v/>
      </c>
      <c r="C373" s="9">
        <f>IF($K373="","",INDEX(מלאי!$C$2:$C$500,$K373))</f>
        <v/>
      </c>
      <c r="D373" s="9">
        <f>IF($K373="","",INDEX(מלאי!$Y$2:$Y$500,$K373))</f>
        <v/>
      </c>
      <c r="E373" s="9">
        <f>IF($K373="","",INDEX(מלאי!$Z$2:$Z$500,$K373))</f>
        <v/>
      </c>
      <c r="F373" s="14">
        <f>IF($K373="","",INDEX(מלאי!$AB$2:$AB$500,$K373))</f>
        <v/>
      </c>
      <c r="G373" s="9">
        <f>IF($K373="","",IF(AND(INDEX(מלאי!$AB$2:$AB$500,$K373)&lt;&gt;"",INDEX(מלאי!$AB$2:$AB$500,$K373)&lt;TODAY()),"באיחור!","תקין"))</f>
        <v/>
      </c>
      <c r="H373" s="9" t="n"/>
      <c r="I373" s="9" t="n"/>
      <c r="J373" s="9" t="n"/>
      <c r="K373" s="9">
        <f>IFERROR(SMALL(IF((מלאי!$D$2:$D$500&lt;&gt;"")*(מלאי!$X$2:$X$500="מושאל"),ROW(מלאי!$A$2:$A$500)-ROW(מלאי!$A$2)+1,""),50),"")</f>
        <v/>
      </c>
    </row>
    <row r="374">
      <c r="A374" s="8">
        <f>IF($K374="","",INDEX(מלאי!$D$2:$D$500,$K374))</f>
        <v/>
      </c>
      <c r="B374" s="8">
        <f>IF($K374="","",INDEX(מלאי!$B$2:$B$500,$K374))</f>
        <v/>
      </c>
      <c r="C374" s="8">
        <f>IF($K374="","",INDEX(מלאי!$C$2:$C$500,$K374))</f>
        <v/>
      </c>
      <c r="D374" s="8">
        <f>IF($K374="","",INDEX(מלאי!$Y$2:$Y$500,$K374))</f>
        <v/>
      </c>
      <c r="E374" s="8">
        <f>IF($K374="","",INDEX(מלאי!$Z$2:$Z$500,$K374))</f>
        <v/>
      </c>
      <c r="F374" s="13">
        <f>IF($K374="","",INDEX(מלאי!$AB$2:$AB$500,$K374))</f>
        <v/>
      </c>
      <c r="G374" s="8">
        <f>IF($K374="","",IF(AND(INDEX(מלאי!$AB$2:$AB$500,$K374)&lt;&gt;"",INDEX(מלאי!$AB$2:$AB$500,$K374)&lt;TODAY()),"באיחור!","תקין"))</f>
        <v/>
      </c>
      <c r="H374" s="8" t="n"/>
      <c r="I374" s="8" t="n"/>
      <c r="J374" s="8" t="n"/>
      <c r="K374" s="8">
        <f>IFERROR(SMALL(IF((מלאי!$D$2:$D$500&lt;&gt;"")*(מלאי!$X$2:$X$500="מושאל"),ROW(מלאי!$A$2:$A$500)-ROW(מלאי!$A$2)+1,""),51),"")</f>
        <v/>
      </c>
    </row>
    <row r="375">
      <c r="A375" s="9">
        <f>IF($K375="","",INDEX(מלאי!$D$2:$D$500,$K375))</f>
        <v/>
      </c>
      <c r="B375" s="9">
        <f>IF($K375="","",INDEX(מלאי!$B$2:$B$500,$K375))</f>
        <v/>
      </c>
      <c r="C375" s="9">
        <f>IF($K375="","",INDEX(מלאי!$C$2:$C$500,$K375))</f>
        <v/>
      </c>
      <c r="D375" s="9">
        <f>IF($K375="","",INDEX(מלאי!$Y$2:$Y$500,$K375))</f>
        <v/>
      </c>
      <c r="E375" s="9">
        <f>IF($K375="","",INDEX(מלאי!$Z$2:$Z$500,$K375))</f>
        <v/>
      </c>
      <c r="F375" s="14">
        <f>IF($K375="","",INDEX(מלאי!$AB$2:$AB$500,$K375))</f>
        <v/>
      </c>
      <c r="G375" s="9">
        <f>IF($K375="","",IF(AND(INDEX(מלאי!$AB$2:$AB$500,$K375)&lt;&gt;"",INDEX(מלאי!$AB$2:$AB$500,$K375)&lt;TODAY()),"באיחור!","תקין"))</f>
        <v/>
      </c>
      <c r="H375" s="9" t="n"/>
      <c r="I375" s="9" t="n"/>
      <c r="J375" s="9" t="n"/>
      <c r="K375" s="9">
        <f>IFERROR(SMALL(IF((מלאי!$D$2:$D$500&lt;&gt;"")*(מלאי!$X$2:$X$500="מושאל"),ROW(מלאי!$A$2:$A$500)-ROW(מלאי!$A$2)+1,""),52),"")</f>
        <v/>
      </c>
    </row>
    <row r="376">
      <c r="A376" s="8">
        <f>IF($K376="","",INDEX(מלאי!$D$2:$D$500,$K376))</f>
        <v/>
      </c>
      <c r="B376" s="8">
        <f>IF($K376="","",INDEX(מלאי!$B$2:$B$500,$K376))</f>
        <v/>
      </c>
      <c r="C376" s="8">
        <f>IF($K376="","",INDEX(מלאי!$C$2:$C$500,$K376))</f>
        <v/>
      </c>
      <c r="D376" s="8">
        <f>IF($K376="","",INDEX(מלאי!$Y$2:$Y$500,$K376))</f>
        <v/>
      </c>
      <c r="E376" s="8">
        <f>IF($K376="","",INDEX(מלאי!$Z$2:$Z$500,$K376))</f>
        <v/>
      </c>
      <c r="F376" s="13">
        <f>IF($K376="","",INDEX(מלאי!$AB$2:$AB$500,$K376))</f>
        <v/>
      </c>
      <c r="G376" s="8">
        <f>IF($K376="","",IF(AND(INDEX(מלאי!$AB$2:$AB$500,$K376)&lt;&gt;"",INDEX(מלאי!$AB$2:$AB$500,$K376)&lt;TODAY()),"באיחור!","תקין"))</f>
        <v/>
      </c>
      <c r="H376" s="8" t="n"/>
      <c r="I376" s="8" t="n"/>
      <c r="J376" s="8" t="n"/>
      <c r="K376" s="8">
        <f>IFERROR(SMALL(IF((מלאי!$D$2:$D$500&lt;&gt;"")*(מלאי!$X$2:$X$500="מושאל"),ROW(מלאי!$A$2:$A$500)-ROW(מלאי!$A$2)+1,""),53),"")</f>
        <v/>
      </c>
    </row>
    <row r="377">
      <c r="A377" s="9">
        <f>IF($K377="","",INDEX(מלאי!$D$2:$D$500,$K377))</f>
        <v/>
      </c>
      <c r="B377" s="9">
        <f>IF($K377="","",INDEX(מלאי!$B$2:$B$500,$K377))</f>
        <v/>
      </c>
      <c r="C377" s="9">
        <f>IF($K377="","",INDEX(מלאי!$C$2:$C$500,$K377))</f>
        <v/>
      </c>
      <c r="D377" s="9">
        <f>IF($K377="","",INDEX(מלאי!$Y$2:$Y$500,$K377))</f>
        <v/>
      </c>
      <c r="E377" s="9">
        <f>IF($K377="","",INDEX(מלאי!$Z$2:$Z$500,$K377))</f>
        <v/>
      </c>
      <c r="F377" s="14">
        <f>IF($K377="","",INDEX(מלאי!$AB$2:$AB$500,$K377))</f>
        <v/>
      </c>
      <c r="G377" s="9">
        <f>IF($K377="","",IF(AND(INDEX(מלאי!$AB$2:$AB$500,$K377)&lt;&gt;"",INDEX(מלאי!$AB$2:$AB$500,$K377)&lt;TODAY()),"באיחור!","תקין"))</f>
        <v/>
      </c>
      <c r="H377" s="9" t="n"/>
      <c r="I377" s="9" t="n"/>
      <c r="J377" s="9" t="n"/>
      <c r="K377" s="9">
        <f>IFERROR(SMALL(IF((מלאי!$D$2:$D$500&lt;&gt;"")*(מלאי!$X$2:$X$500="מושאל"),ROW(מלאי!$A$2:$A$500)-ROW(מלאי!$A$2)+1,""),54),"")</f>
        <v/>
      </c>
    </row>
    <row r="378">
      <c r="A378" s="8">
        <f>IF($K378="","",INDEX(מלאי!$D$2:$D$500,$K378))</f>
        <v/>
      </c>
      <c r="B378" s="8">
        <f>IF($K378="","",INDEX(מלאי!$B$2:$B$500,$K378))</f>
        <v/>
      </c>
      <c r="C378" s="8">
        <f>IF($K378="","",INDEX(מלאי!$C$2:$C$500,$K378))</f>
        <v/>
      </c>
      <c r="D378" s="8">
        <f>IF($K378="","",INDEX(מלאי!$Y$2:$Y$500,$K378))</f>
        <v/>
      </c>
      <c r="E378" s="8">
        <f>IF($K378="","",INDEX(מלאי!$Z$2:$Z$500,$K378))</f>
        <v/>
      </c>
      <c r="F378" s="13">
        <f>IF($K378="","",INDEX(מלאי!$AB$2:$AB$500,$K378))</f>
        <v/>
      </c>
      <c r="G378" s="8">
        <f>IF($K378="","",IF(AND(INDEX(מלאי!$AB$2:$AB$500,$K378)&lt;&gt;"",INDEX(מלאי!$AB$2:$AB$500,$K378)&lt;TODAY()),"באיחור!","תקין"))</f>
        <v/>
      </c>
      <c r="H378" s="8" t="n"/>
      <c r="I378" s="8" t="n"/>
      <c r="J378" s="8" t="n"/>
      <c r="K378" s="8">
        <f>IFERROR(SMALL(IF((מלאי!$D$2:$D$500&lt;&gt;"")*(מלאי!$X$2:$X$500="מושאל"),ROW(מלאי!$A$2:$A$500)-ROW(מלאי!$A$2)+1,""),55),"")</f>
        <v/>
      </c>
    </row>
    <row r="379">
      <c r="A379" s="9">
        <f>IF($K379="","",INDEX(מלאי!$D$2:$D$500,$K379))</f>
        <v/>
      </c>
      <c r="B379" s="9">
        <f>IF($K379="","",INDEX(מלאי!$B$2:$B$500,$K379))</f>
        <v/>
      </c>
      <c r="C379" s="9">
        <f>IF($K379="","",INDEX(מלאי!$C$2:$C$500,$K379))</f>
        <v/>
      </c>
      <c r="D379" s="9">
        <f>IF($K379="","",INDEX(מלאי!$Y$2:$Y$500,$K379))</f>
        <v/>
      </c>
      <c r="E379" s="9">
        <f>IF($K379="","",INDEX(מלאי!$Z$2:$Z$500,$K379))</f>
        <v/>
      </c>
      <c r="F379" s="14">
        <f>IF($K379="","",INDEX(מלאי!$AB$2:$AB$500,$K379))</f>
        <v/>
      </c>
      <c r="G379" s="9">
        <f>IF($K379="","",IF(AND(INDEX(מלאי!$AB$2:$AB$500,$K379)&lt;&gt;"",INDEX(מלאי!$AB$2:$AB$500,$K379)&lt;TODAY()),"באיחור!","תקין"))</f>
        <v/>
      </c>
      <c r="H379" s="9" t="n"/>
      <c r="I379" s="9" t="n"/>
      <c r="J379" s="9" t="n"/>
      <c r="K379" s="9">
        <f>IFERROR(SMALL(IF((מלאי!$D$2:$D$500&lt;&gt;"")*(מלאי!$X$2:$X$500="מושאל"),ROW(מלאי!$A$2:$A$500)-ROW(מלאי!$A$2)+1,""),56),"")</f>
        <v/>
      </c>
    </row>
    <row r="380">
      <c r="A380" s="8">
        <f>IF($K380="","",INDEX(מלאי!$D$2:$D$500,$K380))</f>
        <v/>
      </c>
      <c r="B380" s="8">
        <f>IF($K380="","",INDEX(מלאי!$B$2:$B$500,$K380))</f>
        <v/>
      </c>
      <c r="C380" s="8">
        <f>IF($K380="","",INDEX(מלאי!$C$2:$C$500,$K380))</f>
        <v/>
      </c>
      <c r="D380" s="8">
        <f>IF($K380="","",INDEX(מלאי!$Y$2:$Y$500,$K380))</f>
        <v/>
      </c>
      <c r="E380" s="8">
        <f>IF($K380="","",INDEX(מלאי!$Z$2:$Z$500,$K380))</f>
        <v/>
      </c>
      <c r="F380" s="13">
        <f>IF($K380="","",INDEX(מלאי!$AB$2:$AB$500,$K380))</f>
        <v/>
      </c>
      <c r="G380" s="8">
        <f>IF($K380="","",IF(AND(INDEX(מלאי!$AB$2:$AB$500,$K380)&lt;&gt;"",INDEX(מלאי!$AB$2:$AB$500,$K380)&lt;TODAY()),"באיחור!","תקין"))</f>
        <v/>
      </c>
      <c r="H380" s="8" t="n"/>
      <c r="I380" s="8" t="n"/>
      <c r="J380" s="8" t="n"/>
      <c r="K380" s="8">
        <f>IFERROR(SMALL(IF((מלאי!$D$2:$D$500&lt;&gt;"")*(מלאי!$X$2:$X$500="מושאל"),ROW(מלאי!$A$2:$A$500)-ROW(מלאי!$A$2)+1,""),57),"")</f>
        <v/>
      </c>
    </row>
    <row r="381">
      <c r="A381" s="9">
        <f>IF($K381="","",INDEX(מלאי!$D$2:$D$500,$K381))</f>
        <v/>
      </c>
      <c r="B381" s="9">
        <f>IF($K381="","",INDEX(מלאי!$B$2:$B$500,$K381))</f>
        <v/>
      </c>
      <c r="C381" s="9">
        <f>IF($K381="","",INDEX(מלאי!$C$2:$C$500,$K381))</f>
        <v/>
      </c>
      <c r="D381" s="9">
        <f>IF($K381="","",INDEX(מלאי!$Y$2:$Y$500,$K381))</f>
        <v/>
      </c>
      <c r="E381" s="9">
        <f>IF($K381="","",INDEX(מלאי!$Z$2:$Z$500,$K381))</f>
        <v/>
      </c>
      <c r="F381" s="14">
        <f>IF($K381="","",INDEX(מלאי!$AB$2:$AB$500,$K381))</f>
        <v/>
      </c>
      <c r="G381" s="9">
        <f>IF($K381="","",IF(AND(INDEX(מלאי!$AB$2:$AB$500,$K381)&lt;&gt;"",INDEX(מלאי!$AB$2:$AB$500,$K381)&lt;TODAY()),"באיחור!","תקין"))</f>
        <v/>
      </c>
      <c r="H381" s="9" t="n"/>
      <c r="I381" s="9" t="n"/>
      <c r="J381" s="9" t="n"/>
      <c r="K381" s="9">
        <f>IFERROR(SMALL(IF((מלאי!$D$2:$D$500&lt;&gt;"")*(מלאי!$X$2:$X$500="מושאל"),ROW(מלאי!$A$2:$A$500)-ROW(מלאי!$A$2)+1,""),58),"")</f>
        <v/>
      </c>
    </row>
    <row r="382">
      <c r="A382" s="8">
        <f>IF($K382="","",INDEX(מלאי!$D$2:$D$500,$K382))</f>
        <v/>
      </c>
      <c r="B382" s="8">
        <f>IF($K382="","",INDEX(מלאי!$B$2:$B$500,$K382))</f>
        <v/>
      </c>
      <c r="C382" s="8">
        <f>IF($K382="","",INDEX(מלאי!$C$2:$C$500,$K382))</f>
        <v/>
      </c>
      <c r="D382" s="8">
        <f>IF($K382="","",INDEX(מלאי!$Y$2:$Y$500,$K382))</f>
        <v/>
      </c>
      <c r="E382" s="8">
        <f>IF($K382="","",INDEX(מלאי!$Z$2:$Z$500,$K382))</f>
        <v/>
      </c>
      <c r="F382" s="13">
        <f>IF($K382="","",INDEX(מלאי!$AB$2:$AB$500,$K382))</f>
        <v/>
      </c>
      <c r="G382" s="8">
        <f>IF($K382="","",IF(AND(INDEX(מלאי!$AB$2:$AB$500,$K382)&lt;&gt;"",INDEX(מלאי!$AB$2:$AB$500,$K382)&lt;TODAY()),"באיחור!","תקין"))</f>
        <v/>
      </c>
      <c r="H382" s="8" t="n"/>
      <c r="I382" s="8" t="n"/>
      <c r="J382" s="8" t="n"/>
      <c r="K382" s="8">
        <f>IFERROR(SMALL(IF((מלאי!$D$2:$D$500&lt;&gt;"")*(מלאי!$X$2:$X$500="מושאל"),ROW(מלאי!$A$2:$A$500)-ROW(מלאי!$A$2)+1,""),59),"")</f>
        <v/>
      </c>
    </row>
    <row r="383">
      <c r="A383" s="9">
        <f>IF($K383="","",INDEX(מלאי!$D$2:$D$500,$K383))</f>
        <v/>
      </c>
      <c r="B383" s="9">
        <f>IF($K383="","",INDEX(מלאי!$B$2:$B$500,$K383))</f>
        <v/>
      </c>
      <c r="C383" s="9">
        <f>IF($K383="","",INDEX(מלאי!$C$2:$C$500,$K383))</f>
        <v/>
      </c>
      <c r="D383" s="9">
        <f>IF($K383="","",INDEX(מלאי!$Y$2:$Y$500,$K383))</f>
        <v/>
      </c>
      <c r="E383" s="9">
        <f>IF($K383="","",INDEX(מלאי!$Z$2:$Z$500,$K383))</f>
        <v/>
      </c>
      <c r="F383" s="14">
        <f>IF($K383="","",INDEX(מלאי!$AB$2:$AB$500,$K383))</f>
        <v/>
      </c>
      <c r="G383" s="9">
        <f>IF($K383="","",IF(AND(INDEX(מלאי!$AB$2:$AB$500,$K383)&lt;&gt;"",INDEX(מלאי!$AB$2:$AB$500,$K383)&lt;TODAY()),"באיחור!","תקין"))</f>
        <v/>
      </c>
      <c r="H383" s="9" t="n"/>
      <c r="I383" s="9" t="n"/>
      <c r="J383" s="9" t="n"/>
      <c r="K383" s="9">
        <f>IFERROR(SMALL(IF((מלאי!$D$2:$D$500&lt;&gt;"")*(מלאי!$X$2:$X$500="מושאל"),ROW(מלאי!$A$2:$A$500)-ROW(מלאי!$A$2)+1,""),60),"")</f>
        <v/>
      </c>
    </row>
    <row r="384">
      <c r="A384" s="8">
        <f>IF($K384="","",INDEX(מלאי!$D$2:$D$500,$K384))</f>
        <v/>
      </c>
      <c r="B384" s="8">
        <f>IF($K384="","",INDEX(מלאי!$B$2:$B$500,$K384))</f>
        <v/>
      </c>
      <c r="C384" s="8">
        <f>IF($K384="","",INDEX(מלאי!$C$2:$C$500,$K384))</f>
        <v/>
      </c>
      <c r="D384" s="8">
        <f>IF($K384="","",INDEX(מלאי!$Y$2:$Y$500,$K384))</f>
        <v/>
      </c>
      <c r="E384" s="8">
        <f>IF($K384="","",INDEX(מלאי!$Z$2:$Z$500,$K384))</f>
        <v/>
      </c>
      <c r="F384" s="13">
        <f>IF($K384="","",INDEX(מלאי!$AB$2:$AB$500,$K384))</f>
        <v/>
      </c>
      <c r="G384" s="8">
        <f>IF($K384="","",IF(AND(INDEX(מלאי!$AB$2:$AB$500,$K384)&lt;&gt;"",INDEX(מלאי!$AB$2:$AB$500,$K384)&lt;TODAY()),"באיחור!","תקין"))</f>
        <v/>
      </c>
      <c r="H384" s="8" t="n"/>
      <c r="I384" s="8" t="n"/>
      <c r="J384" s="8" t="n"/>
      <c r="K384" s="8">
        <f>IFERROR(SMALL(IF((מלאי!$D$2:$D$500&lt;&gt;"")*(מלאי!$X$2:$X$500="מושאל"),ROW(מלאי!$A$2:$A$500)-ROW(מלאי!$A$2)+1,""),61),"")</f>
        <v/>
      </c>
    </row>
    <row r="385">
      <c r="A385" s="9">
        <f>IF($K385="","",INDEX(מלאי!$D$2:$D$500,$K385))</f>
        <v/>
      </c>
      <c r="B385" s="9">
        <f>IF($K385="","",INDEX(מלאי!$B$2:$B$500,$K385))</f>
        <v/>
      </c>
      <c r="C385" s="9">
        <f>IF($K385="","",INDEX(מלאי!$C$2:$C$500,$K385))</f>
        <v/>
      </c>
      <c r="D385" s="9">
        <f>IF($K385="","",INDEX(מלאי!$Y$2:$Y$500,$K385))</f>
        <v/>
      </c>
      <c r="E385" s="9">
        <f>IF($K385="","",INDEX(מלאי!$Z$2:$Z$500,$K385))</f>
        <v/>
      </c>
      <c r="F385" s="14">
        <f>IF($K385="","",INDEX(מלאי!$AB$2:$AB$500,$K385))</f>
        <v/>
      </c>
      <c r="G385" s="9">
        <f>IF($K385="","",IF(AND(INDEX(מלאי!$AB$2:$AB$500,$K385)&lt;&gt;"",INDEX(מלאי!$AB$2:$AB$500,$K385)&lt;TODAY()),"באיחור!","תקין"))</f>
        <v/>
      </c>
      <c r="H385" s="9" t="n"/>
      <c r="I385" s="9" t="n"/>
      <c r="J385" s="9" t="n"/>
      <c r="K385" s="9">
        <f>IFERROR(SMALL(IF((מלאי!$D$2:$D$500&lt;&gt;"")*(מלאי!$X$2:$X$500="מושאל"),ROW(מלאי!$A$2:$A$500)-ROW(מלאי!$A$2)+1,""),62),"")</f>
        <v/>
      </c>
    </row>
    <row r="386">
      <c r="A386" s="8">
        <f>IF($K386="","",INDEX(מלאי!$D$2:$D$500,$K386))</f>
        <v/>
      </c>
      <c r="B386" s="8">
        <f>IF($K386="","",INDEX(מלאי!$B$2:$B$500,$K386))</f>
        <v/>
      </c>
      <c r="C386" s="8">
        <f>IF($K386="","",INDEX(מלאי!$C$2:$C$500,$K386))</f>
        <v/>
      </c>
      <c r="D386" s="8">
        <f>IF($K386="","",INDEX(מלאי!$Y$2:$Y$500,$K386))</f>
        <v/>
      </c>
      <c r="E386" s="8">
        <f>IF($K386="","",INDEX(מלאי!$Z$2:$Z$500,$K386))</f>
        <v/>
      </c>
      <c r="F386" s="13">
        <f>IF($K386="","",INDEX(מלאי!$AB$2:$AB$500,$K386))</f>
        <v/>
      </c>
      <c r="G386" s="8">
        <f>IF($K386="","",IF(AND(INDEX(מלאי!$AB$2:$AB$500,$K386)&lt;&gt;"",INDEX(מלאי!$AB$2:$AB$500,$K386)&lt;TODAY()),"באיחור!","תקין"))</f>
        <v/>
      </c>
      <c r="H386" s="8" t="n"/>
      <c r="I386" s="8" t="n"/>
      <c r="J386" s="8" t="n"/>
      <c r="K386" s="8">
        <f>IFERROR(SMALL(IF((מלאי!$D$2:$D$500&lt;&gt;"")*(מלאי!$X$2:$X$500="מושאל"),ROW(מלאי!$A$2:$A$500)-ROW(מלאי!$A$2)+1,""),63),"")</f>
        <v/>
      </c>
    </row>
    <row r="387">
      <c r="A387" s="9">
        <f>IF($K387="","",INDEX(מלאי!$D$2:$D$500,$K387))</f>
        <v/>
      </c>
      <c r="B387" s="9">
        <f>IF($K387="","",INDEX(מלאי!$B$2:$B$500,$K387))</f>
        <v/>
      </c>
      <c r="C387" s="9">
        <f>IF($K387="","",INDEX(מלאי!$C$2:$C$500,$K387))</f>
        <v/>
      </c>
      <c r="D387" s="9">
        <f>IF($K387="","",INDEX(מלאי!$Y$2:$Y$500,$K387))</f>
        <v/>
      </c>
      <c r="E387" s="9">
        <f>IF($K387="","",INDEX(מלאי!$Z$2:$Z$500,$K387))</f>
        <v/>
      </c>
      <c r="F387" s="14">
        <f>IF($K387="","",INDEX(מלאי!$AB$2:$AB$500,$K387))</f>
        <v/>
      </c>
      <c r="G387" s="9">
        <f>IF($K387="","",IF(AND(INDEX(מלאי!$AB$2:$AB$500,$K387)&lt;&gt;"",INDEX(מלאי!$AB$2:$AB$500,$K387)&lt;TODAY()),"באיחור!","תקין"))</f>
        <v/>
      </c>
      <c r="H387" s="9" t="n"/>
      <c r="I387" s="9" t="n"/>
      <c r="J387" s="9" t="n"/>
      <c r="K387" s="9">
        <f>IFERROR(SMALL(IF((מלאי!$D$2:$D$500&lt;&gt;"")*(מלאי!$X$2:$X$500="מושאל"),ROW(מלאי!$A$2:$A$500)-ROW(מלאי!$A$2)+1,""),64),"")</f>
        <v/>
      </c>
    </row>
    <row r="388">
      <c r="A388" s="8">
        <f>IF($K388="","",INDEX(מלאי!$D$2:$D$500,$K388))</f>
        <v/>
      </c>
      <c r="B388" s="8">
        <f>IF($K388="","",INDEX(מלאי!$B$2:$B$500,$K388))</f>
        <v/>
      </c>
      <c r="C388" s="8">
        <f>IF($K388="","",INDEX(מלאי!$C$2:$C$500,$K388))</f>
        <v/>
      </c>
      <c r="D388" s="8">
        <f>IF($K388="","",INDEX(מלאי!$Y$2:$Y$500,$K388))</f>
        <v/>
      </c>
      <c r="E388" s="8">
        <f>IF($K388="","",INDEX(מלאי!$Z$2:$Z$500,$K388))</f>
        <v/>
      </c>
      <c r="F388" s="13">
        <f>IF($K388="","",INDEX(מלאי!$AB$2:$AB$500,$K388))</f>
        <v/>
      </c>
      <c r="G388" s="8">
        <f>IF($K388="","",IF(AND(INDEX(מלאי!$AB$2:$AB$500,$K388)&lt;&gt;"",INDEX(מלאי!$AB$2:$AB$500,$K388)&lt;TODAY()),"באיחור!","תקין"))</f>
        <v/>
      </c>
      <c r="H388" s="8" t="n"/>
      <c r="I388" s="8" t="n"/>
      <c r="J388" s="8" t="n"/>
      <c r="K388" s="8">
        <f>IFERROR(SMALL(IF((מלאי!$D$2:$D$500&lt;&gt;"")*(מלאי!$X$2:$X$500="מושאל"),ROW(מלאי!$A$2:$A$500)-ROW(מלאי!$A$2)+1,""),65),"")</f>
        <v/>
      </c>
    </row>
    <row r="389">
      <c r="A389" s="9">
        <f>IF($K389="","",INDEX(מלאי!$D$2:$D$500,$K389))</f>
        <v/>
      </c>
      <c r="B389" s="9">
        <f>IF($K389="","",INDEX(מלאי!$B$2:$B$500,$K389))</f>
        <v/>
      </c>
      <c r="C389" s="9">
        <f>IF($K389="","",INDEX(מלאי!$C$2:$C$500,$K389))</f>
        <v/>
      </c>
      <c r="D389" s="9">
        <f>IF($K389="","",INDEX(מלאי!$Y$2:$Y$500,$K389))</f>
        <v/>
      </c>
      <c r="E389" s="9">
        <f>IF($K389="","",INDEX(מלאי!$Z$2:$Z$500,$K389))</f>
        <v/>
      </c>
      <c r="F389" s="14">
        <f>IF($K389="","",INDEX(מלאי!$AB$2:$AB$500,$K389))</f>
        <v/>
      </c>
      <c r="G389" s="9">
        <f>IF($K389="","",IF(AND(INDEX(מלאי!$AB$2:$AB$500,$K389)&lt;&gt;"",INDEX(מלאי!$AB$2:$AB$500,$K389)&lt;TODAY()),"באיחור!","תקין"))</f>
        <v/>
      </c>
      <c r="H389" s="9" t="n"/>
      <c r="I389" s="9" t="n"/>
      <c r="J389" s="9" t="n"/>
      <c r="K389" s="9">
        <f>IFERROR(SMALL(IF((מלאי!$D$2:$D$500&lt;&gt;"")*(מלאי!$X$2:$X$500="מושאל"),ROW(מלאי!$A$2:$A$500)-ROW(מלאי!$A$2)+1,""),66),"")</f>
        <v/>
      </c>
    </row>
    <row r="390">
      <c r="A390" s="8">
        <f>IF($K390="","",INDEX(מלאי!$D$2:$D$500,$K390))</f>
        <v/>
      </c>
      <c r="B390" s="8">
        <f>IF($K390="","",INDEX(מלאי!$B$2:$B$500,$K390))</f>
        <v/>
      </c>
      <c r="C390" s="8">
        <f>IF($K390="","",INDEX(מלאי!$C$2:$C$500,$K390))</f>
        <v/>
      </c>
      <c r="D390" s="8">
        <f>IF($K390="","",INDEX(מלאי!$Y$2:$Y$500,$K390))</f>
        <v/>
      </c>
      <c r="E390" s="8">
        <f>IF($K390="","",INDEX(מלאי!$Z$2:$Z$500,$K390))</f>
        <v/>
      </c>
      <c r="F390" s="13">
        <f>IF($K390="","",INDEX(מלאי!$AB$2:$AB$500,$K390))</f>
        <v/>
      </c>
      <c r="G390" s="8">
        <f>IF($K390="","",IF(AND(INDEX(מלאי!$AB$2:$AB$500,$K390)&lt;&gt;"",INDEX(מלאי!$AB$2:$AB$500,$K390)&lt;TODAY()),"באיחור!","תקין"))</f>
        <v/>
      </c>
      <c r="H390" s="8" t="n"/>
      <c r="I390" s="8" t="n"/>
      <c r="J390" s="8" t="n"/>
      <c r="K390" s="8">
        <f>IFERROR(SMALL(IF((מלאי!$D$2:$D$500&lt;&gt;"")*(מלאי!$X$2:$X$500="מושאל"),ROW(מלאי!$A$2:$A$500)-ROW(מלאי!$A$2)+1,""),67),"")</f>
        <v/>
      </c>
    </row>
    <row r="391">
      <c r="A391" s="9">
        <f>IF($K391="","",INDEX(מלאי!$D$2:$D$500,$K391))</f>
        <v/>
      </c>
      <c r="B391" s="9">
        <f>IF($K391="","",INDEX(מלאי!$B$2:$B$500,$K391))</f>
        <v/>
      </c>
      <c r="C391" s="9">
        <f>IF($K391="","",INDEX(מלאי!$C$2:$C$500,$K391))</f>
        <v/>
      </c>
      <c r="D391" s="9">
        <f>IF($K391="","",INDEX(מלאי!$Y$2:$Y$500,$K391))</f>
        <v/>
      </c>
      <c r="E391" s="9">
        <f>IF($K391="","",INDEX(מלאי!$Z$2:$Z$500,$K391))</f>
        <v/>
      </c>
      <c r="F391" s="14">
        <f>IF($K391="","",INDEX(מלאי!$AB$2:$AB$500,$K391))</f>
        <v/>
      </c>
      <c r="G391" s="9">
        <f>IF($K391="","",IF(AND(INDEX(מלאי!$AB$2:$AB$500,$K391)&lt;&gt;"",INDEX(מלאי!$AB$2:$AB$500,$K391)&lt;TODAY()),"באיחור!","תקין"))</f>
        <v/>
      </c>
      <c r="H391" s="9" t="n"/>
      <c r="I391" s="9" t="n"/>
      <c r="J391" s="9" t="n"/>
      <c r="K391" s="9">
        <f>IFERROR(SMALL(IF((מלאי!$D$2:$D$500&lt;&gt;"")*(מלאי!$X$2:$X$500="מושאל"),ROW(מלאי!$A$2:$A$500)-ROW(מלאי!$A$2)+1,""),68),"")</f>
        <v/>
      </c>
    </row>
    <row r="392">
      <c r="A392" s="8">
        <f>IF($K392="","",INDEX(מלאי!$D$2:$D$500,$K392))</f>
        <v/>
      </c>
      <c r="B392" s="8">
        <f>IF($K392="","",INDEX(מלאי!$B$2:$B$500,$K392))</f>
        <v/>
      </c>
      <c r="C392" s="8">
        <f>IF($K392="","",INDEX(מלאי!$C$2:$C$500,$K392))</f>
        <v/>
      </c>
      <c r="D392" s="8">
        <f>IF($K392="","",INDEX(מלאי!$Y$2:$Y$500,$K392))</f>
        <v/>
      </c>
      <c r="E392" s="8">
        <f>IF($K392="","",INDEX(מלאי!$Z$2:$Z$500,$K392))</f>
        <v/>
      </c>
      <c r="F392" s="13">
        <f>IF($K392="","",INDEX(מלאי!$AB$2:$AB$500,$K392))</f>
        <v/>
      </c>
      <c r="G392" s="8">
        <f>IF($K392="","",IF(AND(INDEX(מלאי!$AB$2:$AB$500,$K392)&lt;&gt;"",INDEX(מלאי!$AB$2:$AB$500,$K392)&lt;TODAY()),"באיחור!","תקין"))</f>
        <v/>
      </c>
      <c r="H392" s="8" t="n"/>
      <c r="I392" s="8" t="n"/>
      <c r="J392" s="8" t="n"/>
      <c r="K392" s="8">
        <f>IFERROR(SMALL(IF((מלאי!$D$2:$D$500&lt;&gt;"")*(מלאי!$X$2:$X$500="מושאל"),ROW(מלאי!$A$2:$A$500)-ROW(מלאי!$A$2)+1,""),69),"")</f>
        <v/>
      </c>
    </row>
    <row r="393">
      <c r="A393" s="9">
        <f>IF($K393="","",INDEX(מלאי!$D$2:$D$500,$K393))</f>
        <v/>
      </c>
      <c r="B393" s="9">
        <f>IF($K393="","",INDEX(מלאי!$B$2:$B$500,$K393))</f>
        <v/>
      </c>
      <c r="C393" s="9">
        <f>IF($K393="","",INDEX(מלאי!$C$2:$C$500,$K393))</f>
        <v/>
      </c>
      <c r="D393" s="9">
        <f>IF($K393="","",INDEX(מלאי!$Y$2:$Y$500,$K393))</f>
        <v/>
      </c>
      <c r="E393" s="9">
        <f>IF($K393="","",INDEX(מלאי!$Z$2:$Z$500,$K393))</f>
        <v/>
      </c>
      <c r="F393" s="14">
        <f>IF($K393="","",INDEX(מלאי!$AB$2:$AB$500,$K393))</f>
        <v/>
      </c>
      <c r="G393" s="9">
        <f>IF($K393="","",IF(AND(INDEX(מלאי!$AB$2:$AB$500,$K393)&lt;&gt;"",INDEX(מלאי!$AB$2:$AB$500,$K393)&lt;TODAY()),"באיחור!","תקין"))</f>
        <v/>
      </c>
      <c r="H393" s="9" t="n"/>
      <c r="I393" s="9" t="n"/>
      <c r="J393" s="9" t="n"/>
      <c r="K393" s="9">
        <f>IFERROR(SMALL(IF((מלאי!$D$2:$D$500&lt;&gt;"")*(מלאי!$X$2:$X$500="מושאל"),ROW(מלאי!$A$2:$A$500)-ROW(מלאי!$A$2)+1,""),70),"")</f>
        <v/>
      </c>
    </row>
    <row r="394">
      <c r="A394" s="8">
        <f>IF($K394="","",INDEX(מלאי!$D$2:$D$500,$K394))</f>
        <v/>
      </c>
      <c r="B394" s="8">
        <f>IF($K394="","",INDEX(מלאי!$B$2:$B$500,$K394))</f>
        <v/>
      </c>
      <c r="C394" s="8">
        <f>IF($K394="","",INDEX(מלאי!$C$2:$C$500,$K394))</f>
        <v/>
      </c>
      <c r="D394" s="8">
        <f>IF($K394="","",INDEX(מלאי!$Y$2:$Y$500,$K394))</f>
        <v/>
      </c>
      <c r="E394" s="8">
        <f>IF($K394="","",INDEX(מלאי!$Z$2:$Z$500,$K394))</f>
        <v/>
      </c>
      <c r="F394" s="13">
        <f>IF($K394="","",INDEX(מלאי!$AB$2:$AB$500,$K394))</f>
        <v/>
      </c>
      <c r="G394" s="8">
        <f>IF($K394="","",IF(AND(INDEX(מלאי!$AB$2:$AB$500,$K394)&lt;&gt;"",INDEX(מלאי!$AB$2:$AB$500,$K394)&lt;TODAY()),"באיחור!","תקין"))</f>
        <v/>
      </c>
      <c r="H394" s="8" t="n"/>
      <c r="I394" s="8" t="n"/>
      <c r="J394" s="8" t="n"/>
      <c r="K394" s="8">
        <f>IFERROR(SMALL(IF((מלאי!$D$2:$D$500&lt;&gt;"")*(מלאי!$X$2:$X$500="מושאל"),ROW(מלאי!$A$2:$A$500)-ROW(מלאי!$A$2)+1,""),71),"")</f>
        <v/>
      </c>
    </row>
    <row r="395">
      <c r="A395" s="9">
        <f>IF($K395="","",INDEX(מלאי!$D$2:$D$500,$K395))</f>
        <v/>
      </c>
      <c r="B395" s="9">
        <f>IF($K395="","",INDEX(מלאי!$B$2:$B$500,$K395))</f>
        <v/>
      </c>
      <c r="C395" s="9">
        <f>IF($K395="","",INDEX(מלאי!$C$2:$C$500,$K395))</f>
        <v/>
      </c>
      <c r="D395" s="9">
        <f>IF($K395="","",INDEX(מלאי!$Y$2:$Y$500,$K395))</f>
        <v/>
      </c>
      <c r="E395" s="9">
        <f>IF($K395="","",INDEX(מלאי!$Z$2:$Z$500,$K395))</f>
        <v/>
      </c>
      <c r="F395" s="14">
        <f>IF($K395="","",INDEX(מלאי!$AB$2:$AB$500,$K395))</f>
        <v/>
      </c>
      <c r="G395" s="9">
        <f>IF($K395="","",IF(AND(INDEX(מלאי!$AB$2:$AB$500,$K395)&lt;&gt;"",INDEX(מלאי!$AB$2:$AB$500,$K395)&lt;TODAY()),"באיחור!","תקין"))</f>
        <v/>
      </c>
      <c r="H395" s="9" t="n"/>
      <c r="I395" s="9" t="n"/>
      <c r="J395" s="9" t="n"/>
      <c r="K395" s="9">
        <f>IFERROR(SMALL(IF((מלאי!$D$2:$D$500&lt;&gt;"")*(מלאי!$X$2:$X$500="מושאל"),ROW(מלאי!$A$2:$A$500)-ROW(מלאי!$A$2)+1,""),72),"")</f>
        <v/>
      </c>
    </row>
    <row r="396">
      <c r="A396" s="8">
        <f>IF($K396="","",INDEX(מלאי!$D$2:$D$500,$K396))</f>
        <v/>
      </c>
      <c r="B396" s="8">
        <f>IF($K396="","",INDEX(מלאי!$B$2:$B$500,$K396))</f>
        <v/>
      </c>
      <c r="C396" s="8">
        <f>IF($K396="","",INDEX(מלאי!$C$2:$C$500,$K396))</f>
        <v/>
      </c>
      <c r="D396" s="8">
        <f>IF($K396="","",INDEX(מלאי!$Y$2:$Y$500,$K396))</f>
        <v/>
      </c>
      <c r="E396" s="8">
        <f>IF($K396="","",INDEX(מלאי!$Z$2:$Z$500,$K396))</f>
        <v/>
      </c>
      <c r="F396" s="13">
        <f>IF($K396="","",INDEX(מלאי!$AB$2:$AB$500,$K396))</f>
        <v/>
      </c>
      <c r="G396" s="8">
        <f>IF($K396="","",IF(AND(INDEX(מלאי!$AB$2:$AB$500,$K396)&lt;&gt;"",INDEX(מלאי!$AB$2:$AB$500,$K396)&lt;TODAY()),"באיחור!","תקין"))</f>
        <v/>
      </c>
      <c r="H396" s="8" t="n"/>
      <c r="I396" s="8" t="n"/>
      <c r="J396" s="8" t="n"/>
      <c r="K396" s="8">
        <f>IFERROR(SMALL(IF((מלאי!$D$2:$D$500&lt;&gt;"")*(מלאי!$X$2:$X$500="מושאל"),ROW(מלאי!$A$2:$A$500)-ROW(מלאי!$A$2)+1,""),73),"")</f>
        <v/>
      </c>
    </row>
    <row r="397">
      <c r="A397" s="9">
        <f>IF($K397="","",INDEX(מלאי!$D$2:$D$500,$K397))</f>
        <v/>
      </c>
      <c r="B397" s="9">
        <f>IF($K397="","",INDEX(מלאי!$B$2:$B$500,$K397))</f>
        <v/>
      </c>
      <c r="C397" s="9">
        <f>IF($K397="","",INDEX(מלאי!$C$2:$C$500,$K397))</f>
        <v/>
      </c>
      <c r="D397" s="9">
        <f>IF($K397="","",INDEX(מלאי!$Y$2:$Y$500,$K397))</f>
        <v/>
      </c>
      <c r="E397" s="9">
        <f>IF($K397="","",INDEX(מלאי!$Z$2:$Z$500,$K397))</f>
        <v/>
      </c>
      <c r="F397" s="14">
        <f>IF($K397="","",INDEX(מלאי!$AB$2:$AB$500,$K397))</f>
        <v/>
      </c>
      <c r="G397" s="9">
        <f>IF($K397="","",IF(AND(INDEX(מלאי!$AB$2:$AB$500,$K397)&lt;&gt;"",INDEX(מלאי!$AB$2:$AB$500,$K397)&lt;TODAY()),"באיחור!","תקין"))</f>
        <v/>
      </c>
      <c r="H397" s="9" t="n"/>
      <c r="I397" s="9" t="n"/>
      <c r="J397" s="9" t="n"/>
      <c r="K397" s="9">
        <f>IFERROR(SMALL(IF((מלאי!$D$2:$D$500&lt;&gt;"")*(מלאי!$X$2:$X$500="מושאל"),ROW(מלאי!$A$2:$A$500)-ROW(מלאי!$A$2)+1,""),74),"")</f>
        <v/>
      </c>
    </row>
    <row r="398">
      <c r="A398" s="8">
        <f>IF($K398="","",INDEX(מלאי!$D$2:$D$500,$K398))</f>
        <v/>
      </c>
      <c r="B398" s="8">
        <f>IF($K398="","",INDEX(מלאי!$B$2:$B$500,$K398))</f>
        <v/>
      </c>
      <c r="C398" s="8">
        <f>IF($K398="","",INDEX(מלאי!$C$2:$C$500,$K398))</f>
        <v/>
      </c>
      <c r="D398" s="8">
        <f>IF($K398="","",INDEX(מלאי!$Y$2:$Y$500,$K398))</f>
        <v/>
      </c>
      <c r="E398" s="8">
        <f>IF($K398="","",INDEX(מלאי!$Z$2:$Z$500,$K398))</f>
        <v/>
      </c>
      <c r="F398" s="13">
        <f>IF($K398="","",INDEX(מלאי!$AB$2:$AB$500,$K398))</f>
        <v/>
      </c>
      <c r="G398" s="8">
        <f>IF($K398="","",IF(AND(INDEX(מלאי!$AB$2:$AB$500,$K398)&lt;&gt;"",INDEX(מלאי!$AB$2:$AB$500,$K398)&lt;TODAY()),"באיחור!","תקין"))</f>
        <v/>
      </c>
      <c r="H398" s="8" t="n"/>
      <c r="I398" s="8" t="n"/>
      <c r="J398" s="8" t="n"/>
      <c r="K398" s="8">
        <f>IFERROR(SMALL(IF((מלאי!$D$2:$D$500&lt;&gt;"")*(מלאי!$X$2:$X$500="מושאל"),ROW(מלאי!$A$2:$A$500)-ROW(מלאי!$A$2)+1,""),75),"")</f>
        <v/>
      </c>
    </row>
    <row r="399">
      <c r="A399" s="9">
        <f>IF($K399="","",INDEX(מלאי!$D$2:$D$500,$K399))</f>
        <v/>
      </c>
      <c r="B399" s="9">
        <f>IF($K399="","",INDEX(מלאי!$B$2:$B$500,$K399))</f>
        <v/>
      </c>
      <c r="C399" s="9">
        <f>IF($K399="","",INDEX(מלאי!$C$2:$C$500,$K399))</f>
        <v/>
      </c>
      <c r="D399" s="9">
        <f>IF($K399="","",INDEX(מלאי!$Y$2:$Y$500,$K399))</f>
        <v/>
      </c>
      <c r="E399" s="9">
        <f>IF($K399="","",INDEX(מלאי!$Z$2:$Z$500,$K399))</f>
        <v/>
      </c>
      <c r="F399" s="14">
        <f>IF($K399="","",INDEX(מלאי!$AB$2:$AB$500,$K399))</f>
        <v/>
      </c>
      <c r="G399" s="9">
        <f>IF($K399="","",IF(AND(INDEX(מלאי!$AB$2:$AB$500,$K399)&lt;&gt;"",INDEX(מלאי!$AB$2:$AB$500,$K399)&lt;TODAY()),"באיחור!","תקין"))</f>
        <v/>
      </c>
      <c r="H399" s="9" t="n"/>
      <c r="I399" s="9" t="n"/>
      <c r="J399" s="9" t="n"/>
      <c r="K399" s="9">
        <f>IFERROR(SMALL(IF((מלאי!$D$2:$D$500&lt;&gt;"")*(מלאי!$X$2:$X$500="מושאל"),ROW(מלאי!$A$2:$A$500)-ROW(מלאי!$A$2)+1,""),76),"")</f>
        <v/>
      </c>
    </row>
    <row r="400">
      <c r="A400" s="8">
        <f>IF($K400="","",INDEX(מלאי!$D$2:$D$500,$K400))</f>
        <v/>
      </c>
      <c r="B400" s="8">
        <f>IF($K400="","",INDEX(מלאי!$B$2:$B$500,$K400))</f>
        <v/>
      </c>
      <c r="C400" s="8">
        <f>IF($K400="","",INDEX(מלאי!$C$2:$C$500,$K400))</f>
        <v/>
      </c>
      <c r="D400" s="8">
        <f>IF($K400="","",INDEX(מלאי!$Y$2:$Y$500,$K400))</f>
        <v/>
      </c>
      <c r="E400" s="8">
        <f>IF($K400="","",INDEX(מלאי!$Z$2:$Z$500,$K400))</f>
        <v/>
      </c>
      <c r="F400" s="13">
        <f>IF($K400="","",INDEX(מלאי!$AB$2:$AB$500,$K400))</f>
        <v/>
      </c>
      <c r="G400" s="8">
        <f>IF($K400="","",IF(AND(INDEX(מלאי!$AB$2:$AB$500,$K400)&lt;&gt;"",INDEX(מלאי!$AB$2:$AB$500,$K400)&lt;TODAY()),"באיחור!","תקין"))</f>
        <v/>
      </c>
      <c r="H400" s="8" t="n"/>
      <c r="I400" s="8" t="n"/>
      <c r="J400" s="8" t="n"/>
      <c r="K400" s="8">
        <f>IFERROR(SMALL(IF((מלאי!$D$2:$D$500&lt;&gt;"")*(מלאי!$X$2:$X$500="מושאל"),ROW(מלאי!$A$2:$A$500)-ROW(מלאי!$A$2)+1,""),77),"")</f>
        <v/>
      </c>
    </row>
    <row r="401">
      <c r="A401" s="9">
        <f>IF($K401="","",INDEX(מלאי!$D$2:$D$500,$K401))</f>
        <v/>
      </c>
      <c r="B401" s="9">
        <f>IF($K401="","",INDEX(מלאי!$B$2:$B$500,$K401))</f>
        <v/>
      </c>
      <c r="C401" s="9">
        <f>IF($K401="","",INDEX(מלאי!$C$2:$C$500,$K401))</f>
        <v/>
      </c>
      <c r="D401" s="9">
        <f>IF($K401="","",INDEX(מלאי!$Y$2:$Y$500,$K401))</f>
        <v/>
      </c>
      <c r="E401" s="9">
        <f>IF($K401="","",INDEX(מלאי!$Z$2:$Z$500,$K401))</f>
        <v/>
      </c>
      <c r="F401" s="14">
        <f>IF($K401="","",INDEX(מלאי!$AB$2:$AB$500,$K401))</f>
        <v/>
      </c>
      <c r="G401" s="9">
        <f>IF($K401="","",IF(AND(INDEX(מלאי!$AB$2:$AB$500,$K401)&lt;&gt;"",INDEX(מלאי!$AB$2:$AB$500,$K401)&lt;TODAY()),"באיחור!","תקין"))</f>
        <v/>
      </c>
      <c r="H401" s="9" t="n"/>
      <c r="I401" s="9" t="n"/>
      <c r="J401" s="9" t="n"/>
      <c r="K401" s="9">
        <f>IFERROR(SMALL(IF((מלאי!$D$2:$D$500&lt;&gt;"")*(מלאי!$X$2:$X$500="מושאל"),ROW(מלאי!$A$2:$A$500)-ROW(מלאי!$A$2)+1,""),78),"")</f>
        <v/>
      </c>
    </row>
    <row r="402">
      <c r="A402" s="8">
        <f>IF($K402="","",INDEX(מלאי!$D$2:$D$500,$K402))</f>
        <v/>
      </c>
      <c r="B402" s="8">
        <f>IF($K402="","",INDEX(מלאי!$B$2:$B$500,$K402))</f>
        <v/>
      </c>
      <c r="C402" s="8">
        <f>IF($K402="","",INDEX(מלאי!$C$2:$C$500,$K402))</f>
        <v/>
      </c>
      <c r="D402" s="8">
        <f>IF($K402="","",INDEX(מלאי!$Y$2:$Y$500,$K402))</f>
        <v/>
      </c>
      <c r="E402" s="8">
        <f>IF($K402="","",INDEX(מלאי!$Z$2:$Z$500,$K402))</f>
        <v/>
      </c>
      <c r="F402" s="13">
        <f>IF($K402="","",INDEX(מלאי!$AB$2:$AB$500,$K402))</f>
        <v/>
      </c>
      <c r="G402" s="8">
        <f>IF($K402="","",IF(AND(INDEX(מלאי!$AB$2:$AB$500,$K402)&lt;&gt;"",INDEX(מלאי!$AB$2:$AB$500,$K402)&lt;TODAY()),"באיחור!","תקין"))</f>
        <v/>
      </c>
      <c r="H402" s="8" t="n"/>
      <c r="I402" s="8" t="n"/>
      <c r="J402" s="8" t="n"/>
      <c r="K402" s="8">
        <f>IFERROR(SMALL(IF((מלאי!$D$2:$D$500&lt;&gt;"")*(מלאי!$X$2:$X$500="מושאל"),ROW(מלאי!$A$2:$A$500)-ROW(מלאי!$A$2)+1,""),79),"")</f>
        <v/>
      </c>
    </row>
    <row r="403">
      <c r="A403" s="9">
        <f>IF($K403="","",INDEX(מלאי!$D$2:$D$500,$K403))</f>
        <v/>
      </c>
      <c r="B403" s="9">
        <f>IF($K403="","",INDEX(מלאי!$B$2:$B$500,$K403))</f>
        <v/>
      </c>
      <c r="C403" s="9">
        <f>IF($K403="","",INDEX(מלאי!$C$2:$C$500,$K403))</f>
        <v/>
      </c>
      <c r="D403" s="9">
        <f>IF($K403="","",INDEX(מלאי!$Y$2:$Y$500,$K403))</f>
        <v/>
      </c>
      <c r="E403" s="9">
        <f>IF($K403="","",INDEX(מלאי!$Z$2:$Z$500,$K403))</f>
        <v/>
      </c>
      <c r="F403" s="14">
        <f>IF($K403="","",INDEX(מלאי!$AB$2:$AB$500,$K403))</f>
        <v/>
      </c>
      <c r="G403" s="9">
        <f>IF($K403="","",IF(AND(INDEX(מלאי!$AB$2:$AB$500,$K403)&lt;&gt;"",INDEX(מלאי!$AB$2:$AB$500,$K403)&lt;TODAY()),"באיחור!","תקין"))</f>
        <v/>
      </c>
      <c r="H403" s="9" t="n"/>
      <c r="I403" s="9" t="n"/>
      <c r="J403" s="9" t="n"/>
      <c r="K403" s="9">
        <f>IFERROR(SMALL(IF((מלאי!$D$2:$D$500&lt;&gt;"")*(מלאי!$X$2:$X$500="מושאל"),ROW(מלאי!$A$2:$A$500)-ROW(מלאי!$A$2)+1,""),80),"")</f>
        <v/>
      </c>
    </row>
    <row r="404">
      <c r="A404" s="8">
        <f>IF($K404="","",INDEX(מלאי!$D$2:$D$500,$K404))</f>
        <v/>
      </c>
      <c r="B404" s="8">
        <f>IF($K404="","",INDEX(מלאי!$B$2:$B$500,$K404))</f>
        <v/>
      </c>
      <c r="C404" s="8">
        <f>IF($K404="","",INDEX(מלאי!$C$2:$C$500,$K404))</f>
        <v/>
      </c>
      <c r="D404" s="8">
        <f>IF($K404="","",INDEX(מלאי!$Y$2:$Y$500,$K404))</f>
        <v/>
      </c>
      <c r="E404" s="8">
        <f>IF($K404="","",INDEX(מלאי!$Z$2:$Z$500,$K404))</f>
        <v/>
      </c>
      <c r="F404" s="13">
        <f>IF($K404="","",INDEX(מלאי!$AB$2:$AB$500,$K404))</f>
        <v/>
      </c>
      <c r="G404" s="8">
        <f>IF($K404="","",IF(AND(INDEX(מלאי!$AB$2:$AB$500,$K404)&lt;&gt;"",INDEX(מלאי!$AB$2:$AB$500,$K404)&lt;TODAY()),"באיחור!","תקין"))</f>
        <v/>
      </c>
      <c r="H404" s="8" t="n"/>
      <c r="I404" s="8" t="n"/>
      <c r="J404" s="8" t="n"/>
      <c r="K404" s="8">
        <f>IFERROR(SMALL(IF((מלאי!$D$2:$D$500&lt;&gt;"")*(מלאי!$X$2:$X$500="מושאל"),ROW(מלאי!$A$2:$A$500)-ROW(מלאי!$A$2)+1,""),81),"")</f>
        <v/>
      </c>
    </row>
    <row r="405">
      <c r="A405" s="9">
        <f>IF($K405="","",INDEX(מלאי!$D$2:$D$500,$K405))</f>
        <v/>
      </c>
      <c r="B405" s="9">
        <f>IF($K405="","",INDEX(מלאי!$B$2:$B$500,$K405))</f>
        <v/>
      </c>
      <c r="C405" s="9">
        <f>IF($K405="","",INDEX(מלאי!$C$2:$C$500,$K405))</f>
        <v/>
      </c>
      <c r="D405" s="9">
        <f>IF($K405="","",INDEX(מלאי!$Y$2:$Y$500,$K405))</f>
        <v/>
      </c>
      <c r="E405" s="9">
        <f>IF($K405="","",INDEX(מלאי!$Z$2:$Z$500,$K405))</f>
        <v/>
      </c>
      <c r="F405" s="14">
        <f>IF($K405="","",INDEX(מלאי!$AB$2:$AB$500,$K405))</f>
        <v/>
      </c>
      <c r="G405" s="9">
        <f>IF($K405="","",IF(AND(INDEX(מלאי!$AB$2:$AB$500,$K405)&lt;&gt;"",INDEX(מלאי!$AB$2:$AB$500,$K405)&lt;TODAY()),"באיחור!","תקין"))</f>
        <v/>
      </c>
      <c r="H405" s="9" t="n"/>
      <c r="I405" s="9" t="n"/>
      <c r="J405" s="9" t="n"/>
      <c r="K405" s="9">
        <f>IFERROR(SMALL(IF((מלאי!$D$2:$D$500&lt;&gt;"")*(מלאי!$X$2:$X$500="מושאל"),ROW(מלאי!$A$2:$A$500)-ROW(מלאי!$A$2)+1,""),82),"")</f>
        <v/>
      </c>
    </row>
    <row r="406">
      <c r="A406" s="8">
        <f>IF($K406="","",INDEX(מלאי!$D$2:$D$500,$K406))</f>
        <v/>
      </c>
      <c r="B406" s="8">
        <f>IF($K406="","",INDEX(מלאי!$B$2:$B$500,$K406))</f>
        <v/>
      </c>
      <c r="C406" s="8">
        <f>IF($K406="","",INDEX(מלאי!$C$2:$C$500,$K406))</f>
        <v/>
      </c>
      <c r="D406" s="8">
        <f>IF($K406="","",INDEX(מלאי!$Y$2:$Y$500,$K406))</f>
        <v/>
      </c>
      <c r="E406" s="8">
        <f>IF($K406="","",INDEX(מלאי!$Z$2:$Z$500,$K406))</f>
        <v/>
      </c>
      <c r="F406" s="13">
        <f>IF($K406="","",INDEX(מלאי!$AB$2:$AB$500,$K406))</f>
        <v/>
      </c>
      <c r="G406" s="8">
        <f>IF($K406="","",IF(AND(INDEX(מלאי!$AB$2:$AB$500,$K406)&lt;&gt;"",INDEX(מלאי!$AB$2:$AB$500,$K406)&lt;TODAY()),"באיחור!","תקין"))</f>
        <v/>
      </c>
      <c r="H406" s="8" t="n"/>
      <c r="I406" s="8" t="n"/>
      <c r="J406" s="8" t="n"/>
      <c r="K406" s="8">
        <f>IFERROR(SMALL(IF((מלאי!$D$2:$D$500&lt;&gt;"")*(מלאי!$X$2:$X$500="מושאל"),ROW(מלאי!$A$2:$A$500)-ROW(מלאי!$A$2)+1,""),83),"")</f>
        <v/>
      </c>
    </row>
    <row r="407">
      <c r="A407" s="9">
        <f>IF($K407="","",INDEX(מלאי!$D$2:$D$500,$K407))</f>
        <v/>
      </c>
      <c r="B407" s="9">
        <f>IF($K407="","",INDEX(מלאי!$B$2:$B$500,$K407))</f>
        <v/>
      </c>
      <c r="C407" s="9">
        <f>IF($K407="","",INDEX(מלאי!$C$2:$C$500,$K407))</f>
        <v/>
      </c>
      <c r="D407" s="9">
        <f>IF($K407="","",INDEX(מלאי!$Y$2:$Y$500,$K407))</f>
        <v/>
      </c>
      <c r="E407" s="9">
        <f>IF($K407="","",INDEX(מלאי!$Z$2:$Z$500,$K407))</f>
        <v/>
      </c>
      <c r="F407" s="14">
        <f>IF($K407="","",INDEX(מלאי!$AB$2:$AB$500,$K407))</f>
        <v/>
      </c>
      <c r="G407" s="9">
        <f>IF($K407="","",IF(AND(INDEX(מלאי!$AB$2:$AB$500,$K407)&lt;&gt;"",INDEX(מלאי!$AB$2:$AB$500,$K407)&lt;TODAY()),"באיחור!","תקין"))</f>
        <v/>
      </c>
      <c r="H407" s="9" t="n"/>
      <c r="I407" s="9" t="n"/>
      <c r="J407" s="9" t="n"/>
      <c r="K407" s="9">
        <f>IFERROR(SMALL(IF((מלאי!$D$2:$D$500&lt;&gt;"")*(מלאי!$X$2:$X$500="מושאל"),ROW(מלאי!$A$2:$A$500)-ROW(מלאי!$A$2)+1,""),84),"")</f>
        <v/>
      </c>
    </row>
    <row r="408">
      <c r="A408" s="8">
        <f>IF($K408="","",INDEX(מלאי!$D$2:$D$500,$K408))</f>
        <v/>
      </c>
      <c r="B408" s="8">
        <f>IF($K408="","",INDEX(מלאי!$B$2:$B$500,$K408))</f>
        <v/>
      </c>
      <c r="C408" s="8">
        <f>IF($K408="","",INDEX(מלאי!$C$2:$C$500,$K408))</f>
        <v/>
      </c>
      <c r="D408" s="8">
        <f>IF($K408="","",INDEX(מלאי!$Y$2:$Y$500,$K408))</f>
        <v/>
      </c>
      <c r="E408" s="8">
        <f>IF($K408="","",INDEX(מלאי!$Z$2:$Z$500,$K408))</f>
        <v/>
      </c>
      <c r="F408" s="13">
        <f>IF($K408="","",INDEX(מלאי!$AB$2:$AB$500,$K408))</f>
        <v/>
      </c>
      <c r="G408" s="8">
        <f>IF($K408="","",IF(AND(INDEX(מלאי!$AB$2:$AB$500,$K408)&lt;&gt;"",INDEX(מלאי!$AB$2:$AB$500,$K408)&lt;TODAY()),"באיחור!","תקין"))</f>
        <v/>
      </c>
      <c r="H408" s="8" t="n"/>
      <c r="I408" s="8" t="n"/>
      <c r="J408" s="8" t="n"/>
      <c r="K408" s="8">
        <f>IFERROR(SMALL(IF((מלאי!$D$2:$D$500&lt;&gt;"")*(מלאי!$X$2:$X$500="מושאל"),ROW(מלאי!$A$2:$A$500)-ROW(מלאי!$A$2)+1,""),85),"")</f>
        <v/>
      </c>
    </row>
    <row r="409">
      <c r="A409" s="9">
        <f>IF($K409="","",INDEX(מלאי!$D$2:$D$500,$K409))</f>
        <v/>
      </c>
      <c r="B409" s="9">
        <f>IF($K409="","",INDEX(מלאי!$B$2:$B$500,$K409))</f>
        <v/>
      </c>
      <c r="C409" s="9">
        <f>IF($K409="","",INDEX(מלאי!$C$2:$C$500,$K409))</f>
        <v/>
      </c>
      <c r="D409" s="9">
        <f>IF($K409="","",INDEX(מלאי!$Y$2:$Y$500,$K409))</f>
        <v/>
      </c>
      <c r="E409" s="9">
        <f>IF($K409="","",INDEX(מלאי!$Z$2:$Z$500,$K409))</f>
        <v/>
      </c>
      <c r="F409" s="14">
        <f>IF($K409="","",INDEX(מלאי!$AB$2:$AB$500,$K409))</f>
        <v/>
      </c>
      <c r="G409" s="9">
        <f>IF($K409="","",IF(AND(INDEX(מלאי!$AB$2:$AB$500,$K409)&lt;&gt;"",INDEX(מלאי!$AB$2:$AB$500,$K409)&lt;TODAY()),"באיחור!","תקין"))</f>
        <v/>
      </c>
      <c r="H409" s="9" t="n"/>
      <c r="I409" s="9" t="n"/>
      <c r="J409" s="9" t="n"/>
      <c r="K409" s="9">
        <f>IFERROR(SMALL(IF((מלאי!$D$2:$D$500&lt;&gt;"")*(מלאי!$X$2:$X$500="מושאל"),ROW(מלאי!$A$2:$A$500)-ROW(מלאי!$A$2)+1,""),86),"")</f>
        <v/>
      </c>
    </row>
    <row r="410">
      <c r="A410" s="8">
        <f>IF($K410="","",INDEX(מלאי!$D$2:$D$500,$K410))</f>
        <v/>
      </c>
      <c r="B410" s="8">
        <f>IF($K410="","",INDEX(מלאי!$B$2:$B$500,$K410))</f>
        <v/>
      </c>
      <c r="C410" s="8">
        <f>IF($K410="","",INDEX(מלאי!$C$2:$C$500,$K410))</f>
        <v/>
      </c>
      <c r="D410" s="8">
        <f>IF($K410="","",INDEX(מלאי!$Y$2:$Y$500,$K410))</f>
        <v/>
      </c>
      <c r="E410" s="8">
        <f>IF($K410="","",INDEX(מלאי!$Z$2:$Z$500,$K410))</f>
        <v/>
      </c>
      <c r="F410" s="13">
        <f>IF($K410="","",INDEX(מלאי!$AB$2:$AB$500,$K410))</f>
        <v/>
      </c>
      <c r="G410" s="8">
        <f>IF($K410="","",IF(AND(INDEX(מלאי!$AB$2:$AB$500,$K410)&lt;&gt;"",INDEX(מלאי!$AB$2:$AB$500,$K410)&lt;TODAY()),"באיחור!","תקין"))</f>
        <v/>
      </c>
      <c r="H410" s="8" t="n"/>
      <c r="I410" s="8" t="n"/>
      <c r="J410" s="8" t="n"/>
      <c r="K410" s="8">
        <f>IFERROR(SMALL(IF((מלאי!$D$2:$D$500&lt;&gt;"")*(מלאי!$X$2:$X$500="מושאל"),ROW(מלאי!$A$2:$A$500)-ROW(מלאי!$A$2)+1,""),87),"")</f>
        <v/>
      </c>
    </row>
    <row r="411">
      <c r="A411" s="9">
        <f>IF($K411="","",INDEX(מלאי!$D$2:$D$500,$K411))</f>
        <v/>
      </c>
      <c r="B411" s="9">
        <f>IF($K411="","",INDEX(מלאי!$B$2:$B$500,$K411))</f>
        <v/>
      </c>
      <c r="C411" s="9">
        <f>IF($K411="","",INDEX(מלאי!$C$2:$C$500,$K411))</f>
        <v/>
      </c>
      <c r="D411" s="9">
        <f>IF($K411="","",INDEX(מלאי!$Y$2:$Y$500,$K411))</f>
        <v/>
      </c>
      <c r="E411" s="9">
        <f>IF($K411="","",INDEX(מלאי!$Z$2:$Z$500,$K411))</f>
        <v/>
      </c>
      <c r="F411" s="14">
        <f>IF($K411="","",INDEX(מלאי!$AB$2:$AB$500,$K411))</f>
        <v/>
      </c>
      <c r="G411" s="9">
        <f>IF($K411="","",IF(AND(INDEX(מלאי!$AB$2:$AB$500,$K411)&lt;&gt;"",INDEX(מלאי!$AB$2:$AB$500,$K411)&lt;TODAY()),"באיחור!","תקין"))</f>
        <v/>
      </c>
      <c r="H411" s="9" t="n"/>
      <c r="I411" s="9" t="n"/>
      <c r="J411" s="9" t="n"/>
      <c r="K411" s="9">
        <f>IFERROR(SMALL(IF((מלאי!$D$2:$D$500&lt;&gt;"")*(מלאי!$X$2:$X$500="מושאל"),ROW(מלאי!$A$2:$A$500)-ROW(מלאי!$A$2)+1,""),88),"")</f>
        <v/>
      </c>
    </row>
    <row r="412">
      <c r="A412" s="8">
        <f>IF($K412="","",INDEX(מלאי!$D$2:$D$500,$K412))</f>
        <v/>
      </c>
      <c r="B412" s="8">
        <f>IF($K412="","",INDEX(מלאי!$B$2:$B$500,$K412))</f>
        <v/>
      </c>
      <c r="C412" s="8">
        <f>IF($K412="","",INDEX(מלאי!$C$2:$C$500,$K412))</f>
        <v/>
      </c>
      <c r="D412" s="8">
        <f>IF($K412="","",INDEX(מלאי!$Y$2:$Y$500,$K412))</f>
        <v/>
      </c>
      <c r="E412" s="8">
        <f>IF($K412="","",INDEX(מלאי!$Z$2:$Z$500,$K412))</f>
        <v/>
      </c>
      <c r="F412" s="13">
        <f>IF($K412="","",INDEX(מלאי!$AB$2:$AB$500,$K412))</f>
        <v/>
      </c>
      <c r="G412" s="8">
        <f>IF($K412="","",IF(AND(INDEX(מלאי!$AB$2:$AB$500,$K412)&lt;&gt;"",INDEX(מלאי!$AB$2:$AB$500,$K412)&lt;TODAY()),"באיחור!","תקין"))</f>
        <v/>
      </c>
      <c r="H412" s="8" t="n"/>
      <c r="I412" s="8" t="n"/>
      <c r="J412" s="8" t="n"/>
      <c r="K412" s="8">
        <f>IFERROR(SMALL(IF((מלאי!$D$2:$D$500&lt;&gt;"")*(מלאי!$X$2:$X$500="מושאל"),ROW(מלאי!$A$2:$A$500)-ROW(מלאי!$A$2)+1,""),89),"")</f>
        <v/>
      </c>
    </row>
    <row r="413">
      <c r="A413" s="9">
        <f>IF($K413="","",INDEX(מלאי!$D$2:$D$500,$K413))</f>
        <v/>
      </c>
      <c r="B413" s="9">
        <f>IF($K413="","",INDEX(מלאי!$B$2:$B$500,$K413))</f>
        <v/>
      </c>
      <c r="C413" s="9">
        <f>IF($K413="","",INDEX(מלאי!$C$2:$C$500,$K413))</f>
        <v/>
      </c>
      <c r="D413" s="9">
        <f>IF($K413="","",INDEX(מלאי!$Y$2:$Y$500,$K413))</f>
        <v/>
      </c>
      <c r="E413" s="9">
        <f>IF($K413="","",INDEX(מלאי!$Z$2:$Z$500,$K413))</f>
        <v/>
      </c>
      <c r="F413" s="14">
        <f>IF($K413="","",INDEX(מלאי!$AB$2:$AB$500,$K413))</f>
        <v/>
      </c>
      <c r="G413" s="9">
        <f>IF($K413="","",IF(AND(INDEX(מלאי!$AB$2:$AB$500,$K413)&lt;&gt;"",INDEX(מלאי!$AB$2:$AB$500,$K413)&lt;TODAY()),"באיחור!","תקין"))</f>
        <v/>
      </c>
      <c r="H413" s="9" t="n"/>
      <c r="I413" s="9" t="n"/>
      <c r="J413" s="9" t="n"/>
      <c r="K413" s="9">
        <f>IFERROR(SMALL(IF((מלאי!$D$2:$D$500&lt;&gt;"")*(מלאי!$X$2:$X$500="מושאל"),ROW(מלאי!$A$2:$A$500)-ROW(מלאי!$A$2)+1,""),90),"")</f>
        <v/>
      </c>
    </row>
    <row r="414">
      <c r="A414" s="8">
        <f>IF($K414="","",INDEX(מלאי!$D$2:$D$500,$K414))</f>
        <v/>
      </c>
      <c r="B414" s="8">
        <f>IF($K414="","",INDEX(מלאי!$B$2:$B$500,$K414))</f>
        <v/>
      </c>
      <c r="C414" s="8">
        <f>IF($K414="","",INDEX(מלאי!$C$2:$C$500,$K414))</f>
        <v/>
      </c>
      <c r="D414" s="8">
        <f>IF($K414="","",INDEX(מלאי!$Y$2:$Y$500,$K414))</f>
        <v/>
      </c>
      <c r="E414" s="8">
        <f>IF($K414="","",INDEX(מלאי!$Z$2:$Z$500,$K414))</f>
        <v/>
      </c>
      <c r="F414" s="13">
        <f>IF($K414="","",INDEX(מלאי!$AB$2:$AB$500,$K414))</f>
        <v/>
      </c>
      <c r="G414" s="8">
        <f>IF($K414="","",IF(AND(INDEX(מלאי!$AB$2:$AB$500,$K414)&lt;&gt;"",INDEX(מלאי!$AB$2:$AB$500,$K414)&lt;TODAY()),"באיחור!","תקין"))</f>
        <v/>
      </c>
      <c r="H414" s="8" t="n"/>
      <c r="I414" s="8" t="n"/>
      <c r="J414" s="8" t="n"/>
      <c r="K414" s="8">
        <f>IFERROR(SMALL(IF((מלאי!$D$2:$D$500&lt;&gt;"")*(מלאי!$X$2:$X$500="מושאל"),ROW(מלאי!$A$2:$A$500)-ROW(מלאי!$A$2)+1,""),91),"")</f>
        <v/>
      </c>
    </row>
    <row r="415">
      <c r="A415" s="9">
        <f>IF($K415="","",INDEX(מלאי!$D$2:$D$500,$K415))</f>
        <v/>
      </c>
      <c r="B415" s="9">
        <f>IF($K415="","",INDEX(מלאי!$B$2:$B$500,$K415))</f>
        <v/>
      </c>
      <c r="C415" s="9">
        <f>IF($K415="","",INDEX(מלאי!$C$2:$C$500,$K415))</f>
        <v/>
      </c>
      <c r="D415" s="9">
        <f>IF($K415="","",INDEX(מלאי!$Y$2:$Y$500,$K415))</f>
        <v/>
      </c>
      <c r="E415" s="9">
        <f>IF($K415="","",INDEX(מלאי!$Z$2:$Z$500,$K415))</f>
        <v/>
      </c>
      <c r="F415" s="14">
        <f>IF($K415="","",INDEX(מלאי!$AB$2:$AB$500,$K415))</f>
        <v/>
      </c>
      <c r="G415" s="9">
        <f>IF($K415="","",IF(AND(INDEX(מלאי!$AB$2:$AB$500,$K415)&lt;&gt;"",INDEX(מלאי!$AB$2:$AB$500,$K415)&lt;TODAY()),"באיחור!","תקין"))</f>
        <v/>
      </c>
      <c r="H415" s="9" t="n"/>
      <c r="I415" s="9" t="n"/>
      <c r="J415" s="9" t="n"/>
      <c r="K415" s="9">
        <f>IFERROR(SMALL(IF((מלאי!$D$2:$D$500&lt;&gt;"")*(מלאי!$X$2:$X$500="מושאל"),ROW(מלאי!$A$2:$A$500)-ROW(מלאי!$A$2)+1,""),92),"")</f>
        <v/>
      </c>
    </row>
    <row r="416">
      <c r="A416" s="8">
        <f>IF($K416="","",INDEX(מלאי!$D$2:$D$500,$K416))</f>
        <v/>
      </c>
      <c r="B416" s="8">
        <f>IF($K416="","",INDEX(מלאי!$B$2:$B$500,$K416))</f>
        <v/>
      </c>
      <c r="C416" s="8">
        <f>IF($K416="","",INDEX(מלאי!$C$2:$C$500,$K416))</f>
        <v/>
      </c>
      <c r="D416" s="8">
        <f>IF($K416="","",INDEX(מלאי!$Y$2:$Y$500,$K416))</f>
        <v/>
      </c>
      <c r="E416" s="8">
        <f>IF($K416="","",INDEX(מלאי!$Z$2:$Z$500,$K416))</f>
        <v/>
      </c>
      <c r="F416" s="13">
        <f>IF($K416="","",INDEX(מלאי!$AB$2:$AB$500,$K416))</f>
        <v/>
      </c>
      <c r="G416" s="8">
        <f>IF($K416="","",IF(AND(INDEX(מלאי!$AB$2:$AB$500,$K416)&lt;&gt;"",INDEX(מלאי!$AB$2:$AB$500,$K416)&lt;TODAY()),"באיחור!","תקין"))</f>
        <v/>
      </c>
      <c r="H416" s="8" t="n"/>
      <c r="I416" s="8" t="n"/>
      <c r="J416" s="8" t="n"/>
      <c r="K416" s="8">
        <f>IFERROR(SMALL(IF((מלאי!$D$2:$D$500&lt;&gt;"")*(מלאי!$X$2:$X$500="מושאל"),ROW(מלאי!$A$2:$A$500)-ROW(מלאי!$A$2)+1,""),93),"")</f>
        <v/>
      </c>
    </row>
    <row r="417">
      <c r="A417" s="9">
        <f>IF($K417="","",INDEX(מלאי!$D$2:$D$500,$K417))</f>
        <v/>
      </c>
      <c r="B417" s="9">
        <f>IF($K417="","",INDEX(מלאי!$B$2:$B$500,$K417))</f>
        <v/>
      </c>
      <c r="C417" s="9">
        <f>IF($K417="","",INDEX(מלאי!$C$2:$C$500,$K417))</f>
        <v/>
      </c>
      <c r="D417" s="9">
        <f>IF($K417="","",INDEX(מלאי!$Y$2:$Y$500,$K417))</f>
        <v/>
      </c>
      <c r="E417" s="9">
        <f>IF($K417="","",INDEX(מלאי!$Z$2:$Z$500,$K417))</f>
        <v/>
      </c>
      <c r="F417" s="14">
        <f>IF($K417="","",INDEX(מלאי!$AB$2:$AB$500,$K417))</f>
        <v/>
      </c>
      <c r="G417" s="9">
        <f>IF($K417="","",IF(AND(INDEX(מלאי!$AB$2:$AB$500,$K417)&lt;&gt;"",INDEX(מלאי!$AB$2:$AB$500,$K417)&lt;TODAY()),"באיחור!","תקין"))</f>
        <v/>
      </c>
      <c r="H417" s="9" t="n"/>
      <c r="I417" s="9" t="n"/>
      <c r="J417" s="9" t="n"/>
      <c r="K417" s="9">
        <f>IFERROR(SMALL(IF((מלאי!$D$2:$D$500&lt;&gt;"")*(מלאי!$X$2:$X$500="מושאל"),ROW(מלאי!$A$2:$A$500)-ROW(מלאי!$A$2)+1,""),94),"")</f>
        <v/>
      </c>
    </row>
    <row r="418">
      <c r="A418" s="8">
        <f>IF($K418="","",INDEX(מלאי!$D$2:$D$500,$K418))</f>
        <v/>
      </c>
      <c r="B418" s="8">
        <f>IF($K418="","",INDEX(מלאי!$B$2:$B$500,$K418))</f>
        <v/>
      </c>
      <c r="C418" s="8">
        <f>IF($K418="","",INDEX(מלאי!$C$2:$C$500,$K418))</f>
        <v/>
      </c>
      <c r="D418" s="8">
        <f>IF($K418="","",INDEX(מלאי!$Y$2:$Y$500,$K418))</f>
        <v/>
      </c>
      <c r="E418" s="8">
        <f>IF($K418="","",INDEX(מלאי!$Z$2:$Z$500,$K418))</f>
        <v/>
      </c>
      <c r="F418" s="13">
        <f>IF($K418="","",INDEX(מלאי!$AB$2:$AB$500,$K418))</f>
        <v/>
      </c>
      <c r="G418" s="8">
        <f>IF($K418="","",IF(AND(INDEX(מלאי!$AB$2:$AB$500,$K418)&lt;&gt;"",INDEX(מלאי!$AB$2:$AB$500,$K418)&lt;TODAY()),"באיחור!","תקין"))</f>
        <v/>
      </c>
      <c r="H418" s="8" t="n"/>
      <c r="I418" s="8" t="n"/>
      <c r="J418" s="8" t="n"/>
      <c r="K418" s="8">
        <f>IFERROR(SMALL(IF((מלאי!$D$2:$D$500&lt;&gt;"")*(מלאי!$X$2:$X$500="מושאל"),ROW(מלאי!$A$2:$A$500)-ROW(מלאי!$A$2)+1,""),95),"")</f>
        <v/>
      </c>
    </row>
    <row r="419">
      <c r="A419" s="9">
        <f>IF($K419="","",INDEX(מלאי!$D$2:$D$500,$K419))</f>
        <v/>
      </c>
      <c r="B419" s="9">
        <f>IF($K419="","",INDEX(מלאי!$B$2:$B$500,$K419))</f>
        <v/>
      </c>
      <c r="C419" s="9">
        <f>IF($K419="","",INDEX(מלאי!$C$2:$C$500,$K419))</f>
        <v/>
      </c>
      <c r="D419" s="9">
        <f>IF($K419="","",INDEX(מלאי!$Y$2:$Y$500,$K419))</f>
        <v/>
      </c>
      <c r="E419" s="9">
        <f>IF($K419="","",INDEX(מלאי!$Z$2:$Z$500,$K419))</f>
        <v/>
      </c>
      <c r="F419" s="14">
        <f>IF($K419="","",INDEX(מלאי!$AB$2:$AB$500,$K419))</f>
        <v/>
      </c>
      <c r="G419" s="9">
        <f>IF($K419="","",IF(AND(INDEX(מלאי!$AB$2:$AB$500,$K419)&lt;&gt;"",INDEX(מלאי!$AB$2:$AB$500,$K419)&lt;TODAY()),"באיחור!","תקין"))</f>
        <v/>
      </c>
      <c r="H419" s="9" t="n"/>
      <c r="I419" s="9" t="n"/>
      <c r="J419" s="9" t="n"/>
      <c r="K419" s="9">
        <f>IFERROR(SMALL(IF((מלאי!$D$2:$D$500&lt;&gt;"")*(מלאי!$X$2:$X$500="מושאל"),ROW(מלאי!$A$2:$A$500)-ROW(מלאי!$A$2)+1,""),96),"")</f>
        <v/>
      </c>
    </row>
    <row r="420">
      <c r="A420" s="8">
        <f>IF($K420="","",INDEX(מלאי!$D$2:$D$500,$K420))</f>
        <v/>
      </c>
      <c r="B420" s="8">
        <f>IF($K420="","",INDEX(מלאי!$B$2:$B$500,$K420))</f>
        <v/>
      </c>
      <c r="C420" s="8">
        <f>IF($K420="","",INDEX(מלאי!$C$2:$C$500,$K420))</f>
        <v/>
      </c>
      <c r="D420" s="8">
        <f>IF($K420="","",INDEX(מלאי!$Y$2:$Y$500,$K420))</f>
        <v/>
      </c>
      <c r="E420" s="8">
        <f>IF($K420="","",INDEX(מלאי!$Z$2:$Z$500,$K420))</f>
        <v/>
      </c>
      <c r="F420" s="13">
        <f>IF($K420="","",INDEX(מלאי!$AB$2:$AB$500,$K420))</f>
        <v/>
      </c>
      <c r="G420" s="8">
        <f>IF($K420="","",IF(AND(INDEX(מלאי!$AB$2:$AB$500,$K420)&lt;&gt;"",INDEX(מלאי!$AB$2:$AB$500,$K420)&lt;TODAY()),"באיחור!","תקין"))</f>
        <v/>
      </c>
      <c r="H420" s="8" t="n"/>
      <c r="I420" s="8" t="n"/>
      <c r="J420" s="8" t="n"/>
      <c r="K420" s="8">
        <f>IFERROR(SMALL(IF((מלאי!$D$2:$D$500&lt;&gt;"")*(מלאי!$X$2:$X$500="מושאל"),ROW(מלאי!$A$2:$A$500)-ROW(מלאי!$A$2)+1,""),97),"")</f>
        <v/>
      </c>
    </row>
    <row r="421">
      <c r="A421" s="9">
        <f>IF($K421="","",INDEX(מלאי!$D$2:$D$500,$K421))</f>
        <v/>
      </c>
      <c r="B421" s="9">
        <f>IF($K421="","",INDEX(מלאי!$B$2:$B$500,$K421))</f>
        <v/>
      </c>
      <c r="C421" s="9">
        <f>IF($K421="","",INDEX(מלאי!$C$2:$C$500,$K421))</f>
        <v/>
      </c>
      <c r="D421" s="9">
        <f>IF($K421="","",INDEX(מלאי!$Y$2:$Y$500,$K421))</f>
        <v/>
      </c>
      <c r="E421" s="9">
        <f>IF($K421="","",INDEX(מלאי!$Z$2:$Z$500,$K421))</f>
        <v/>
      </c>
      <c r="F421" s="14">
        <f>IF($K421="","",INDEX(מלאי!$AB$2:$AB$500,$K421))</f>
        <v/>
      </c>
      <c r="G421" s="9">
        <f>IF($K421="","",IF(AND(INDEX(מלאי!$AB$2:$AB$500,$K421)&lt;&gt;"",INDEX(מלאי!$AB$2:$AB$500,$K421)&lt;TODAY()),"באיחור!","תקין"))</f>
        <v/>
      </c>
      <c r="H421" s="9" t="n"/>
      <c r="I421" s="9" t="n"/>
      <c r="J421" s="9" t="n"/>
      <c r="K421" s="9">
        <f>IFERROR(SMALL(IF((מלאי!$D$2:$D$500&lt;&gt;"")*(מלאי!$X$2:$X$500="מושאל"),ROW(מלאי!$A$2:$A$500)-ROW(מלאי!$A$2)+1,""),98),"")</f>
        <v/>
      </c>
    </row>
    <row r="422">
      <c r="A422" s="8">
        <f>IF($K422="","",INDEX(מלאי!$D$2:$D$500,$K422))</f>
        <v/>
      </c>
      <c r="B422" s="8">
        <f>IF($K422="","",INDEX(מלאי!$B$2:$B$500,$K422))</f>
        <v/>
      </c>
      <c r="C422" s="8">
        <f>IF($K422="","",INDEX(מלאי!$C$2:$C$500,$K422))</f>
        <v/>
      </c>
      <c r="D422" s="8">
        <f>IF($K422="","",INDEX(מלאי!$Y$2:$Y$500,$K422))</f>
        <v/>
      </c>
      <c r="E422" s="8">
        <f>IF($K422="","",INDEX(מלאי!$Z$2:$Z$500,$K422))</f>
        <v/>
      </c>
      <c r="F422" s="13">
        <f>IF($K422="","",INDEX(מלאי!$AB$2:$AB$500,$K422))</f>
        <v/>
      </c>
      <c r="G422" s="8">
        <f>IF($K422="","",IF(AND(INDEX(מלאי!$AB$2:$AB$500,$K422)&lt;&gt;"",INDEX(מלאי!$AB$2:$AB$500,$K422)&lt;TODAY()),"באיחור!","תקין"))</f>
        <v/>
      </c>
      <c r="H422" s="8" t="n"/>
      <c r="I422" s="8" t="n"/>
      <c r="J422" s="8" t="n"/>
      <c r="K422" s="8">
        <f>IFERROR(SMALL(IF((מלאי!$D$2:$D$500&lt;&gt;"")*(מלאי!$X$2:$X$500="מושאל"),ROW(מלאי!$A$2:$A$500)-ROW(מלאי!$A$2)+1,""),99),"")</f>
        <v/>
      </c>
    </row>
    <row r="423">
      <c r="A423" s="9">
        <f>IF($K423="","",INDEX(מלאי!$D$2:$D$500,$K423))</f>
        <v/>
      </c>
      <c r="B423" s="9">
        <f>IF($K423="","",INDEX(מלאי!$B$2:$B$500,$K423))</f>
        <v/>
      </c>
      <c r="C423" s="9">
        <f>IF($K423="","",INDEX(מלאי!$C$2:$C$500,$K423))</f>
        <v/>
      </c>
      <c r="D423" s="9">
        <f>IF($K423="","",INDEX(מלאי!$Y$2:$Y$500,$K423))</f>
        <v/>
      </c>
      <c r="E423" s="9">
        <f>IF($K423="","",INDEX(מלאי!$Z$2:$Z$500,$K423))</f>
        <v/>
      </c>
      <c r="F423" s="14">
        <f>IF($K423="","",INDEX(מלאי!$AB$2:$AB$500,$K423))</f>
        <v/>
      </c>
      <c r="G423" s="9">
        <f>IF($K423="","",IF(AND(INDEX(מלאי!$AB$2:$AB$500,$K423)&lt;&gt;"",INDEX(מלאי!$AB$2:$AB$500,$K423)&lt;TODAY()),"באיחור!","תקין"))</f>
        <v/>
      </c>
      <c r="H423" s="9" t="n"/>
      <c r="I423" s="9" t="n"/>
      <c r="J423" s="9" t="n"/>
      <c r="K423" s="9">
        <f>IFERROR(SMALL(IF((מלאי!$D$2:$D$500&lt;&gt;"")*(מלאי!$X$2:$X$500="מושאל"),ROW(מלאי!$A$2:$A$500)-ROW(מלאי!$A$2)+1,""),100),"")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G324:G423">
    <cfRule type="expression" priority="1" dxfId="0">
      <formula>G324="באיחור!"</formula>
    </cfRule>
  </conditionalFormatting>
  <conditionalFormatting sqref="A324:G423">
    <cfRule type="expression" priority="2" dxfId="1">
      <formula>$G324="באיחור!"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15" t="inlineStr">
        <is>
          <t>Blankets</t>
        </is>
      </c>
      <c r="B2" s="15" t="inlineStr">
        <is>
          <t>3D Survival Blanket</t>
        </is>
      </c>
      <c r="C2" s="15" t="inlineStr">
        <is>
          <t>V1</t>
        </is>
      </c>
      <c r="D2" s="15" t="inlineStr">
        <is>
          <t>יריעה 3D הדגמה 1</t>
        </is>
      </c>
      <c r="E2">
        <f>IFERROR(INDEX('הגדרות'!$D$143:$D$224,MATCH(B2&amp;G2&amp;C2,'הגדרות'!$A$143:$A$224&amp;'הגדרות'!$B$143:$B$224&amp;'הגדרות'!$C$143:$C$224,0)),"")</f>
        <v/>
      </c>
      <c r="F2" s="16" t="n"/>
      <c r="G2" s="15" t="inlineStr">
        <is>
          <t>Mesh</t>
        </is>
      </c>
      <c r="H2" s="15" t="inlineStr">
        <is>
          <t>3D</t>
        </is>
      </c>
      <c r="I2" s="15" t="n"/>
      <c r="J2" s="15" t="inlineStr">
        <is>
          <t>לא</t>
        </is>
      </c>
      <c r="K2" s="15" t="inlineStr">
        <is>
          <t>כן</t>
        </is>
      </c>
      <c r="L2" s="15" t="n"/>
      <c r="M2" s="15" t="inlineStr">
        <is>
          <t>Ever-Green</t>
        </is>
      </c>
      <c r="N2" s="15" t="inlineStr">
        <is>
          <t>Kestrel</t>
        </is>
      </c>
      <c r="O2" s="15" t="inlineStr">
        <is>
          <t>כן</t>
        </is>
      </c>
      <c r="P2" s="15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15" t="inlineStr">
        <is>
          <t>כן</t>
        </is>
      </c>
      <c r="V2" s="15" t="inlineStr">
        <is>
          <t>כן</t>
        </is>
      </c>
      <c r="W2" s="15" t="n"/>
      <c r="X2" s="15" t="inlineStr">
        <is>
          <t>במלאי</t>
        </is>
      </c>
      <c r="Y2" s="15" t="n"/>
      <c r="Z2" s="15" t="n"/>
      <c r="AA2" s="15" t="n"/>
      <c r="AB2" s="16" t="n"/>
      <c r="AC2" s="15" t="n"/>
      <c r="AD2" s="15" t="inlineStr">
        <is>
          <t>לא</t>
        </is>
      </c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15" t="inlineStr">
        <is>
          <t>Blankets</t>
        </is>
      </c>
      <c r="B3" s="15" t="inlineStr">
        <is>
          <t>3D Survival Blanket</t>
        </is>
      </c>
      <c r="C3" s="15" t="inlineStr">
        <is>
          <t>V1</t>
        </is>
      </c>
      <c r="D3" s="15" t="inlineStr">
        <is>
          <t>יריעה 3D תצוגה 2</t>
        </is>
      </c>
      <c r="E3">
        <f>IFERROR(INDEX('הגדרות'!$D$143:$D$224,MATCH(B3&amp;G3&amp;C3,'הגדרות'!$A$143:$A$224&amp;'הגדרות'!$B$143:$B$224&amp;'הגדרות'!$C$143:$C$224,0)),"")</f>
        <v/>
      </c>
      <c r="F3" s="16" t="n"/>
      <c r="G3" s="15" t="inlineStr">
        <is>
          <t>Mesh</t>
        </is>
      </c>
      <c r="H3" s="15" t="inlineStr">
        <is>
          <t>3D</t>
        </is>
      </c>
      <c r="I3" s="15" t="n"/>
      <c r="J3" s="15" t="inlineStr">
        <is>
          <t>לא</t>
        </is>
      </c>
      <c r="K3" s="15" t="inlineStr">
        <is>
          <t>כן</t>
        </is>
      </c>
      <c r="L3" s="15" t="n"/>
      <c r="M3" s="15" t="inlineStr">
        <is>
          <t>Ever-Green</t>
        </is>
      </c>
      <c r="N3" s="15" t="inlineStr">
        <is>
          <t>Kestrel</t>
        </is>
      </c>
      <c r="O3" s="15" t="inlineStr">
        <is>
          <t>כן</t>
        </is>
      </c>
      <c r="P3" s="15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15" t="inlineStr">
        <is>
          <t>כן</t>
        </is>
      </c>
      <c r="V3" s="15" t="inlineStr">
        <is>
          <t>כן</t>
        </is>
      </c>
      <c r="W3" s="15" t="n"/>
      <c r="X3" s="15" t="inlineStr">
        <is>
          <t>במלאי</t>
        </is>
      </c>
      <c r="Y3" s="15" t="n"/>
      <c r="Z3" s="15" t="n"/>
      <c r="AA3" s="15" t="n"/>
      <c r="AB3" s="16" t="n"/>
      <c r="AC3" s="15" t="n"/>
      <c r="AD3" s="15" t="inlineStr">
        <is>
          <t>לא</t>
        </is>
      </c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15" t="inlineStr">
        <is>
          <t>Hide Site</t>
        </is>
      </c>
      <c r="B4" s="15" t="inlineStr">
        <is>
          <t>6X6 Hide Site</t>
        </is>
      </c>
      <c r="C4" s="15" t="inlineStr">
        <is>
          <t>V1</t>
        </is>
      </c>
      <c r="D4" s="15" t="n"/>
      <c r="E4">
        <f>IFERROR(INDEX('הגדרות'!$D$143:$D$224,MATCH(B4&amp;G4&amp;C4,'הגדרות'!$A$143:$A$224&amp;'הגדרות'!$B$143:$B$224&amp;'הגדרות'!$C$143:$C$224,0)),"")</f>
        <v/>
      </c>
      <c r="F4" s="16" t="n"/>
      <c r="G4" s="15" t="inlineStr">
        <is>
          <t>MRG</t>
        </is>
      </c>
      <c r="H4" s="15" t="n"/>
      <c r="I4" s="15" t="n"/>
      <c r="J4" s="15" t="inlineStr">
        <is>
          <t>כן</t>
        </is>
      </c>
      <c r="K4" s="15" t="inlineStr">
        <is>
          <t>לא</t>
        </is>
      </c>
      <c r="L4" s="15" t="n"/>
      <c r="M4" s="15" t="inlineStr">
        <is>
          <t>Ever-Green</t>
        </is>
      </c>
      <c r="N4" s="15" t="inlineStr">
        <is>
          <t>Desert</t>
        </is>
      </c>
      <c r="O4" s="15" t="inlineStr">
        <is>
          <t>כן</t>
        </is>
      </c>
      <c r="P4" s="15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15" t="inlineStr">
        <is>
          <t>כן</t>
        </is>
      </c>
      <c r="V4" s="15" t="inlineStr">
        <is>
          <t>כן</t>
        </is>
      </c>
      <c r="W4" s="15" t="n"/>
      <c r="X4" s="15" t="inlineStr">
        <is>
          <t>במלאי</t>
        </is>
      </c>
      <c r="Y4" s="15" t="n"/>
      <c r="Z4" s="15" t="n"/>
      <c r="AA4" s="15" t="n"/>
      <c r="AB4" s="16" t="n"/>
      <c r="AC4" s="15" t="inlineStr">
        <is>
          <t>הזמנה מיוחדת</t>
        </is>
      </c>
      <c r="AD4" s="15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15" t="inlineStr">
        <is>
          <t>Hide Site</t>
        </is>
      </c>
      <c r="B5" s="15" t="inlineStr">
        <is>
          <t>6X6 Hide Site</t>
        </is>
      </c>
      <c r="C5" s="15" t="inlineStr">
        <is>
          <t>V1</t>
        </is>
      </c>
      <c r="D5" s="15" t="n"/>
      <c r="E5">
        <f>IFERROR(INDEX('הגדרות'!$D$143:$D$224,MATCH(B5&amp;G5&amp;C5,'הגדרות'!$A$143:$A$224&amp;'הגדרות'!$B$143:$B$224&amp;'הגדרות'!$C$143:$C$224,0)),"")</f>
        <v/>
      </c>
      <c r="F5" s="16" t="n"/>
      <c r="G5" s="15" t="inlineStr">
        <is>
          <t>Beti</t>
        </is>
      </c>
      <c r="H5" s="15" t="n"/>
      <c r="I5" s="15" t="n"/>
      <c r="J5" s="15" t="inlineStr">
        <is>
          <t>כן</t>
        </is>
      </c>
      <c r="K5" s="15" t="inlineStr">
        <is>
          <t>לא</t>
        </is>
      </c>
      <c r="L5" s="15" t="n"/>
      <c r="M5" s="15" t="inlineStr">
        <is>
          <t>Ever-Green</t>
        </is>
      </c>
      <c r="N5" s="15" t="inlineStr">
        <is>
          <t>Desert</t>
        </is>
      </c>
      <c r="O5" s="15" t="inlineStr">
        <is>
          <t>כן</t>
        </is>
      </c>
      <c r="P5" s="15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15" t="inlineStr">
        <is>
          <t>כן</t>
        </is>
      </c>
      <c r="V5" s="15" t="inlineStr">
        <is>
          <t>כן</t>
        </is>
      </c>
      <c r="W5" s="15" t="n"/>
      <c r="X5" s="15" t="inlineStr">
        <is>
          <t>במלאי</t>
        </is>
      </c>
      <c r="Y5" s="15" t="n"/>
      <c r="Z5" s="15" t="n"/>
      <c r="AA5" s="15" t="n"/>
      <c r="AB5" s="16" t="n"/>
      <c r="AC5" s="15" t="inlineStr">
        <is>
          <t>הזמנה מיוחדת</t>
        </is>
      </c>
      <c r="AD5" s="15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15" t="inlineStr">
        <is>
          <t>OverGarment</t>
        </is>
      </c>
      <c r="B6" s="15" t="inlineStr">
        <is>
          <t>Arctic Jacket</t>
        </is>
      </c>
      <c r="C6" s="15" t="inlineStr">
        <is>
          <t>V1</t>
        </is>
      </c>
      <c r="D6" s="15" t="inlineStr">
        <is>
          <t>Arctic Jacket Fresh 1</t>
        </is>
      </c>
      <c r="E6">
        <f>IFERROR(INDEX('הגדרות'!$D$143:$D$224,MATCH(B6&amp;G6&amp;C6,'הגדרות'!$A$143:$A$224&amp;'הגדרות'!$B$143:$B$224&amp;'הגדרות'!$C$143:$C$224,0)),"")</f>
        <v/>
      </c>
      <c r="F6" s="16" t="n"/>
      <c r="G6" s="15" t="inlineStr">
        <is>
          <t>RIPSTOP Double Layer</t>
        </is>
      </c>
      <c r="H6" s="15" t="n"/>
      <c r="I6" s="15" t="n"/>
      <c r="J6" s="15" t="n"/>
      <c r="K6" s="15" t="n"/>
      <c r="L6" s="15" t="inlineStr">
        <is>
          <t>אקססוריז לא בלבן</t>
        </is>
      </c>
      <c r="M6" s="15" t="inlineStr">
        <is>
          <t>Fresh Snow</t>
        </is>
      </c>
      <c r="N6" s="15" t="n"/>
      <c r="O6" s="15" t="inlineStr">
        <is>
          <t>כן</t>
        </is>
      </c>
      <c r="P6" s="15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15" t="inlineStr">
        <is>
          <t>כן</t>
        </is>
      </c>
      <c r="V6" s="15" t="inlineStr">
        <is>
          <t>כן</t>
        </is>
      </c>
      <c r="W6" s="15" t="inlineStr">
        <is>
          <t>לא</t>
        </is>
      </c>
      <c r="X6" s="15" t="inlineStr">
        <is>
          <t>במלאי</t>
        </is>
      </c>
      <c r="Y6" s="15" t="n"/>
      <c r="Z6" s="15" t="n"/>
      <c r="AA6" s="15" t="n"/>
      <c r="AB6" s="16" t="n"/>
      <c r="AC6" s="15" t="n"/>
      <c r="AD6" s="15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15" t="inlineStr">
        <is>
          <t>OverGarment</t>
        </is>
      </c>
      <c r="B7" s="15" t="inlineStr">
        <is>
          <t>Arctic Jacket</t>
        </is>
      </c>
      <c r="C7" s="15" t="inlineStr">
        <is>
          <t>V1</t>
        </is>
      </c>
      <c r="D7" s="15" t="inlineStr">
        <is>
          <t>Arctic Suit Top Fresh 1</t>
        </is>
      </c>
      <c r="E7">
        <f>IFERROR(INDEX('הגדרות'!$D$143:$D$224,MATCH(B7&amp;G7&amp;C7,'הגדרות'!$A$143:$A$224&amp;'הגדרות'!$B$143:$B$224&amp;'הגדרות'!$C$143:$C$224,0)),"")</f>
        <v/>
      </c>
      <c r="F7" s="16" t="n"/>
      <c r="G7" s="15" t="inlineStr">
        <is>
          <t>RIPSTOP Double Layer</t>
        </is>
      </c>
      <c r="H7" s="15" t="n"/>
      <c r="I7" s="15" t="n"/>
      <c r="J7" s="15" t="n"/>
      <c r="K7" s="15" t="n"/>
      <c r="L7" s="15" t="n"/>
      <c r="M7" s="15" t="inlineStr">
        <is>
          <t>Fresh Snow</t>
        </is>
      </c>
      <c r="N7" s="15" t="n"/>
      <c r="O7" s="15" t="inlineStr">
        <is>
          <t>כן</t>
        </is>
      </c>
      <c r="P7" s="15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15" t="inlineStr">
        <is>
          <t>כן</t>
        </is>
      </c>
      <c r="V7" s="15" t="inlineStr">
        <is>
          <t>כן</t>
        </is>
      </c>
      <c r="W7" s="15" t="inlineStr">
        <is>
          <t>כן</t>
        </is>
      </c>
      <c r="X7" s="15" t="inlineStr">
        <is>
          <t>במלאי</t>
        </is>
      </c>
      <c r="Y7" s="15" t="n"/>
      <c r="Z7" s="15" t="n"/>
      <c r="AA7" s="15" t="n"/>
      <c r="AB7" s="16" t="n"/>
      <c r="AC7" s="15" t="n"/>
      <c r="AD7" s="15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15" t="inlineStr">
        <is>
          <t>OverGarment</t>
        </is>
      </c>
      <c r="B8" s="15" t="inlineStr">
        <is>
          <t>Arctic Jacket</t>
        </is>
      </c>
      <c r="C8" s="15" t="inlineStr">
        <is>
          <t>V1</t>
        </is>
      </c>
      <c r="D8" s="15" t="inlineStr">
        <is>
          <t>Arctic Suit Bot Fresh 1</t>
        </is>
      </c>
      <c r="E8">
        <f>IFERROR(INDEX('הגדרות'!$D$143:$D$224,MATCH(B8&amp;G8&amp;C8,'הגדרות'!$A$143:$A$224&amp;'הגדרות'!$B$143:$B$224&amp;'הגדרות'!$C$143:$C$224,0)),"")</f>
        <v/>
      </c>
      <c r="F8" s="16" t="n"/>
      <c r="G8" s="15" t="inlineStr">
        <is>
          <t>RIPSTOP Double Layer</t>
        </is>
      </c>
      <c r="H8" s="15" t="n"/>
      <c r="I8" s="15" t="n"/>
      <c r="J8" s="15" t="n"/>
      <c r="K8" s="15" t="n"/>
      <c r="L8" s="15" t="n"/>
      <c r="M8" s="15" t="inlineStr">
        <is>
          <t>Fresh Snow</t>
        </is>
      </c>
      <c r="N8" s="15" t="n"/>
      <c r="O8" s="15" t="inlineStr">
        <is>
          <t>כן</t>
        </is>
      </c>
      <c r="P8" s="15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15" t="inlineStr">
        <is>
          <t>כן</t>
        </is>
      </c>
      <c r="V8" s="15" t="inlineStr">
        <is>
          <t>כן</t>
        </is>
      </c>
      <c r="W8" s="15" t="inlineStr">
        <is>
          <t>כן</t>
        </is>
      </c>
      <c r="X8" s="15" t="inlineStr">
        <is>
          <t>במלאי</t>
        </is>
      </c>
      <c r="Y8" s="15" t="n"/>
      <c r="Z8" s="15" t="n"/>
      <c r="AA8" s="15" t="n"/>
      <c r="AB8" s="16" t="n"/>
      <c r="AC8" s="15" t="n"/>
      <c r="AD8" s="15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15" t="inlineStr">
        <is>
          <t>OverGarment</t>
        </is>
      </c>
      <c r="B9" s="15" t="inlineStr">
        <is>
          <t>Arctic Jacket</t>
        </is>
      </c>
      <c r="C9" s="15" t="inlineStr">
        <is>
          <t>V1</t>
        </is>
      </c>
      <c r="D9" s="15" t="inlineStr">
        <is>
          <t>Arctic Jacket Snirt 1</t>
        </is>
      </c>
      <c r="E9">
        <f>IFERROR(INDEX('הגדרות'!$D$143:$D$224,MATCH(B9&amp;G9&amp;C9,'הגדרות'!$A$143:$A$224&amp;'הגדרות'!$B$143:$B$224&amp;'הגדרות'!$C$143:$C$224,0)),"")</f>
        <v/>
      </c>
      <c r="F9" s="16" t="n"/>
      <c r="G9" s="15" t="inlineStr">
        <is>
          <t>RIPSTOP Double Layer</t>
        </is>
      </c>
      <c r="H9" s="15" t="n"/>
      <c r="I9" s="15" t="n"/>
      <c r="J9" s="15" t="n"/>
      <c r="K9" s="15" t="n"/>
      <c r="L9" s="15" t="n"/>
      <c r="M9" s="15" t="inlineStr">
        <is>
          <t>Snirt Snow</t>
        </is>
      </c>
      <c r="N9" s="15" t="n"/>
      <c r="O9" s="15" t="inlineStr">
        <is>
          <t>כן</t>
        </is>
      </c>
      <c r="P9" s="15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15" t="inlineStr">
        <is>
          <t>כן</t>
        </is>
      </c>
      <c r="V9" s="15" t="inlineStr">
        <is>
          <t>כן</t>
        </is>
      </c>
      <c r="W9" s="15" t="inlineStr">
        <is>
          <t>כן</t>
        </is>
      </c>
      <c r="X9" s="15" t="inlineStr">
        <is>
          <t>במלאי</t>
        </is>
      </c>
      <c r="Y9" s="15" t="n"/>
      <c r="Z9" s="15" t="n"/>
      <c r="AA9" s="15" t="n"/>
      <c r="AB9" s="16" t="n"/>
      <c r="AC9" s="15" t="n"/>
      <c r="AD9" s="15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15" t="inlineStr">
        <is>
          <t>OverGarment</t>
        </is>
      </c>
      <c r="B10" s="15" t="inlineStr">
        <is>
          <t>Arctic Jacket</t>
        </is>
      </c>
      <c r="C10" s="15" t="inlineStr">
        <is>
          <t>V1</t>
        </is>
      </c>
      <c r="D10" s="15" t="inlineStr">
        <is>
          <t>Arctic Jacket Snirt 2</t>
        </is>
      </c>
      <c r="E10">
        <f>IFERROR(INDEX('הגדרות'!$D$143:$D$224,MATCH(B10&amp;G10&amp;C10,'הגדרות'!$A$143:$A$224&amp;'הגדרות'!$B$143:$B$224&amp;'הגדרות'!$C$143:$C$224,0)),"")</f>
        <v/>
      </c>
      <c r="F10" s="16" t="n"/>
      <c r="G10" s="15" t="inlineStr">
        <is>
          <t>RIPSTOP Double Layer</t>
        </is>
      </c>
      <c r="H10" s="15" t="n"/>
      <c r="I10" s="15" t="n"/>
      <c r="J10" s="15" t="n"/>
      <c r="K10" s="15" t="n"/>
      <c r="L10" s="15" t="inlineStr">
        <is>
          <t>אקססוריז לא בלבן</t>
        </is>
      </c>
      <c r="M10" s="15" t="inlineStr">
        <is>
          <t>Snirt Snow</t>
        </is>
      </c>
      <c r="N10" s="15" t="n"/>
      <c r="O10" s="15" t="inlineStr">
        <is>
          <t>כן</t>
        </is>
      </c>
      <c r="P10" s="15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15" t="inlineStr">
        <is>
          <t>כן</t>
        </is>
      </c>
      <c r="V10" s="15" t="inlineStr">
        <is>
          <t>כן</t>
        </is>
      </c>
      <c r="W10" s="15" t="inlineStr">
        <is>
          <t>לא</t>
        </is>
      </c>
      <c r="X10" s="15" t="inlineStr">
        <is>
          <t>במלאי</t>
        </is>
      </c>
      <c r="Y10" s="15" t="n"/>
      <c r="Z10" s="15" t="n"/>
      <c r="AA10" s="15" t="n"/>
      <c r="AB10" s="16" t="n"/>
      <c r="AC10" s="15" t="n"/>
      <c r="AD10" s="15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15" t="inlineStr">
        <is>
          <t>OverGarment</t>
        </is>
      </c>
      <c r="B11" s="15" t="inlineStr">
        <is>
          <t>Arctic Jacket</t>
        </is>
      </c>
      <c r="C11" s="15" t="inlineStr">
        <is>
          <t>V1</t>
        </is>
      </c>
      <c r="D11" s="15" t="inlineStr">
        <is>
          <t>Arctic Jacket sampels Snirt</t>
        </is>
      </c>
      <c r="E11">
        <f>IFERROR(INDEX('הגדרות'!$D$143:$D$224,MATCH(B11&amp;G11&amp;C11,'הגדרות'!$A$143:$A$224&amp;'הגדרות'!$B$143:$B$224&amp;'הגדרות'!$C$143:$C$224,0)),"")</f>
        <v/>
      </c>
      <c r="F11" s="16" t="n"/>
      <c r="G11" s="15" t="inlineStr">
        <is>
          <t>RIPSTOP Double Layer</t>
        </is>
      </c>
      <c r="H11" s="15" t="n"/>
      <c r="I11" s="15" t="n"/>
      <c r="J11" s="15" t="n"/>
      <c r="K11" s="15" t="n"/>
      <c r="L11" s="15" t="n"/>
      <c r="M11" s="15" t="inlineStr">
        <is>
          <t>Snirt Snow</t>
        </is>
      </c>
      <c r="N11" s="15" t="n"/>
      <c r="O11" s="15" t="inlineStr">
        <is>
          <t>כן</t>
        </is>
      </c>
      <c r="P11" s="15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15" t="inlineStr">
        <is>
          <t>כן</t>
        </is>
      </c>
      <c r="V11" s="15" t="inlineStr">
        <is>
          <t>כן</t>
        </is>
      </c>
      <c r="W11" s="15" t="inlineStr">
        <is>
          <t>כן</t>
        </is>
      </c>
      <c r="X11" s="15" t="inlineStr">
        <is>
          <t>במלאי</t>
        </is>
      </c>
      <c r="Y11" s="15" t="n"/>
      <c r="Z11" s="15" t="n"/>
      <c r="AA11" s="15" t="n"/>
      <c r="AB11" s="16" t="n"/>
      <c r="AC11" s="15" t="n"/>
      <c r="AD11" s="15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15" t="inlineStr">
        <is>
          <t>OverGarment</t>
        </is>
      </c>
      <c r="B12" s="15" t="inlineStr">
        <is>
          <t>Arctic Jacket</t>
        </is>
      </c>
      <c r="C12" s="15" t="inlineStr">
        <is>
          <t>V1</t>
        </is>
      </c>
      <c r="D12" s="15" t="inlineStr">
        <is>
          <t>Arctic Jacket sampels Fresh</t>
        </is>
      </c>
      <c r="E12">
        <f>IFERROR(INDEX('הגדרות'!$D$143:$D$224,MATCH(B12&amp;G12&amp;C12,'הגדרות'!$A$143:$A$224&amp;'הגדרות'!$B$143:$B$224&amp;'הגדרות'!$C$143:$C$224,0)),"")</f>
        <v/>
      </c>
      <c r="F12" s="16" t="n"/>
      <c r="G12" s="15" t="inlineStr">
        <is>
          <t>RIPSTOP Double Layer</t>
        </is>
      </c>
      <c r="H12" s="15" t="n"/>
      <c r="I12" s="15" t="n"/>
      <c r="J12" s="15" t="n"/>
      <c r="K12" s="15" t="n"/>
      <c r="L12" s="15" t="n"/>
      <c r="M12" s="15" t="inlineStr">
        <is>
          <t>Fresh Snow</t>
        </is>
      </c>
      <c r="N12" s="15" t="n"/>
      <c r="O12" s="15" t="inlineStr">
        <is>
          <t>כן</t>
        </is>
      </c>
      <c r="P12" s="15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15" t="inlineStr">
        <is>
          <t>כן</t>
        </is>
      </c>
      <c r="V12" s="15" t="inlineStr">
        <is>
          <t>כן</t>
        </is>
      </c>
      <c r="W12" s="15" t="inlineStr">
        <is>
          <t>כן</t>
        </is>
      </c>
      <c r="X12" s="15" t="inlineStr">
        <is>
          <t>במלאי</t>
        </is>
      </c>
      <c r="Y12" s="15" t="n"/>
      <c r="Z12" s="15" t="n"/>
      <c r="AA12" s="15" t="n"/>
      <c r="AB12" s="16" t="n"/>
      <c r="AC12" s="15" t="n"/>
      <c r="AD12" s="15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15" t="inlineStr">
        <is>
          <t>OverGarment</t>
        </is>
      </c>
      <c r="B13" s="15" t="inlineStr">
        <is>
          <t>Arctic Overpants</t>
        </is>
      </c>
      <c r="C13" s="15" t="inlineStr">
        <is>
          <t>V1</t>
        </is>
      </c>
      <c r="D13" s="15" t="inlineStr">
        <is>
          <t>Arctic Pants Fresh 1</t>
        </is>
      </c>
      <c r="E13">
        <f>IFERROR(INDEX('הגדרות'!$D$143:$D$224,MATCH(B13&amp;G13&amp;C13,'הגדרות'!$A$143:$A$224&amp;'הגדרות'!$B$143:$B$224&amp;'הגדרות'!$C$143:$C$224,0)),"")</f>
        <v/>
      </c>
      <c r="F13" s="16" t="n"/>
      <c r="G13" s="15" t="inlineStr">
        <is>
          <t>RIPSTOP Double Layer</t>
        </is>
      </c>
      <c r="H13" s="15" t="n"/>
      <c r="I13" s="15" t="n"/>
      <c r="J13" s="15" t="n"/>
      <c r="K13" s="15" t="n"/>
      <c r="L13" s="15" t="n"/>
      <c r="M13" s="15" t="inlineStr">
        <is>
          <t>Fresh Snow</t>
        </is>
      </c>
      <c r="N13" s="15" t="n"/>
      <c r="O13" s="15" t="inlineStr">
        <is>
          <t>כן</t>
        </is>
      </c>
      <c r="P13" s="15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15" t="inlineStr">
        <is>
          <t>כן</t>
        </is>
      </c>
      <c r="V13" s="15" t="inlineStr">
        <is>
          <t>כן</t>
        </is>
      </c>
      <c r="W13" s="15" t="inlineStr">
        <is>
          <t>כן</t>
        </is>
      </c>
      <c r="X13" s="15" t="inlineStr">
        <is>
          <t>במלאי</t>
        </is>
      </c>
      <c r="Y13" s="15" t="n"/>
      <c r="Z13" s="15" t="n"/>
      <c r="AA13" s="15" t="n"/>
      <c r="AB13" s="16" t="n"/>
      <c r="AC13" s="15" t="n"/>
      <c r="AD13" s="15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15" t="inlineStr">
        <is>
          <t>OverGarment</t>
        </is>
      </c>
      <c r="B14" s="15" t="inlineStr">
        <is>
          <t>Arctic Overpants</t>
        </is>
      </c>
      <c r="C14" s="15" t="inlineStr">
        <is>
          <t>V1</t>
        </is>
      </c>
      <c r="D14" s="15" t="inlineStr">
        <is>
          <t>Arctic Pants Snirt 1</t>
        </is>
      </c>
      <c r="E14">
        <f>IFERROR(INDEX('הגדרות'!$D$143:$D$224,MATCH(B14&amp;G14&amp;C14,'הגדרות'!$A$143:$A$224&amp;'הגדרות'!$B$143:$B$224&amp;'הגדרות'!$C$143:$C$224,0)),"")</f>
        <v/>
      </c>
      <c r="F14" s="16" t="n"/>
      <c r="G14" s="15" t="inlineStr">
        <is>
          <t>RIPSTOP Double Layer</t>
        </is>
      </c>
      <c r="H14" s="15" t="n"/>
      <c r="I14" s="15" t="n"/>
      <c r="J14" s="15" t="n"/>
      <c r="K14" s="15" t="n"/>
      <c r="L14" s="15" t="inlineStr">
        <is>
          <t>אקססוריז לא בלבן</t>
        </is>
      </c>
      <c r="M14" s="15" t="inlineStr">
        <is>
          <t>Snirt Snow</t>
        </is>
      </c>
      <c r="N14" s="15" t="n"/>
      <c r="O14" s="15" t="inlineStr">
        <is>
          <t>כן</t>
        </is>
      </c>
      <c r="P14" s="15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15" t="inlineStr">
        <is>
          <t>כן</t>
        </is>
      </c>
      <c r="V14" s="15" t="inlineStr">
        <is>
          <t>כן</t>
        </is>
      </c>
      <c r="W14" s="15" t="inlineStr">
        <is>
          <t>לא</t>
        </is>
      </c>
      <c r="X14" s="15" t="inlineStr">
        <is>
          <t>במלאי</t>
        </is>
      </c>
      <c r="Y14" s="15" t="n"/>
      <c r="Z14" s="15" t="n"/>
      <c r="AA14" s="15" t="n"/>
      <c r="AB14" s="16" t="n"/>
      <c r="AC14" s="15" t="n"/>
      <c r="AD14" s="15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15" t="inlineStr">
        <is>
          <t>OverGarment</t>
        </is>
      </c>
      <c r="B15" s="15" t="inlineStr">
        <is>
          <t>Arctic Overpants</t>
        </is>
      </c>
      <c r="C15" s="15" t="inlineStr">
        <is>
          <t>V1</t>
        </is>
      </c>
      <c r="D15" s="15" t="inlineStr">
        <is>
          <t>Arctic Pants Fresh 2</t>
        </is>
      </c>
      <c r="E15">
        <f>IFERROR(INDEX('הגדרות'!$D$143:$D$224,MATCH(B15&amp;G15&amp;C15,'הגדרות'!$A$143:$A$224&amp;'הגדרות'!$B$143:$B$224&amp;'הגדרות'!$C$143:$C$224,0)),"")</f>
        <v/>
      </c>
      <c r="F15" s="16" t="n"/>
      <c r="G15" s="15" t="inlineStr">
        <is>
          <t>RIPSTOP Double Layer</t>
        </is>
      </c>
      <c r="H15" s="15" t="n"/>
      <c r="I15" s="15" t="n"/>
      <c r="J15" s="15" t="n"/>
      <c r="K15" s="15" t="n"/>
      <c r="L15" s="15" t="inlineStr">
        <is>
          <t>אקססוריז לא בלבן</t>
        </is>
      </c>
      <c r="M15" s="15" t="inlineStr">
        <is>
          <t>Fresh Snow</t>
        </is>
      </c>
      <c r="N15" s="15" t="n"/>
      <c r="O15" s="15" t="inlineStr">
        <is>
          <t>כן</t>
        </is>
      </c>
      <c r="P15" s="15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15" t="inlineStr">
        <is>
          <t>כן</t>
        </is>
      </c>
      <c r="V15" s="15" t="inlineStr">
        <is>
          <t>כן</t>
        </is>
      </c>
      <c r="W15" s="15" t="inlineStr">
        <is>
          <t>לא</t>
        </is>
      </c>
      <c r="X15" s="15" t="inlineStr">
        <is>
          <t>במלאי</t>
        </is>
      </c>
      <c r="Y15" s="15" t="n"/>
      <c r="Z15" s="15" t="n"/>
      <c r="AA15" s="15" t="n"/>
      <c r="AB15" s="16" t="n"/>
      <c r="AC15" s="15" t="n"/>
      <c r="AD15" s="15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15" t="inlineStr">
        <is>
          <t>OverGarment</t>
        </is>
      </c>
      <c r="B16" s="15" t="inlineStr">
        <is>
          <t>Arctic Overpants</t>
        </is>
      </c>
      <c r="C16" s="15" t="inlineStr">
        <is>
          <t>V1</t>
        </is>
      </c>
      <c r="D16" s="15" t="inlineStr">
        <is>
          <t>Arctic Pants sampels Snirt</t>
        </is>
      </c>
      <c r="E16">
        <f>IFERROR(INDEX('הגדרות'!$D$143:$D$224,MATCH(B16&amp;G16&amp;C16,'הגדרות'!$A$143:$A$224&amp;'הגדרות'!$B$143:$B$224&amp;'הגדרות'!$C$143:$C$224,0)),"")</f>
        <v/>
      </c>
      <c r="F16" s="16" t="n"/>
      <c r="G16" s="15" t="inlineStr">
        <is>
          <t>RIPSTOP Double Layer</t>
        </is>
      </c>
      <c r="H16" s="15" t="n"/>
      <c r="I16" s="15" t="n"/>
      <c r="J16" s="15" t="n"/>
      <c r="K16" s="15" t="n"/>
      <c r="L16" s="15" t="n"/>
      <c r="M16" s="15" t="inlineStr">
        <is>
          <t>Snirt Snow</t>
        </is>
      </c>
      <c r="N16" s="15" t="n"/>
      <c r="O16" s="15" t="inlineStr">
        <is>
          <t>כן</t>
        </is>
      </c>
      <c r="P16" s="15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15" t="inlineStr">
        <is>
          <t>כן</t>
        </is>
      </c>
      <c r="V16" s="15" t="inlineStr">
        <is>
          <t>כן</t>
        </is>
      </c>
      <c r="W16" s="15" t="inlineStr">
        <is>
          <t>כן</t>
        </is>
      </c>
      <c r="X16" s="15" t="inlineStr">
        <is>
          <t>במלאי</t>
        </is>
      </c>
      <c r="Y16" s="15" t="n"/>
      <c r="Z16" s="15" t="n"/>
      <c r="AA16" s="15" t="n"/>
      <c r="AB16" s="16" t="n"/>
      <c r="AC16" s="15" t="n"/>
      <c r="AD16" s="15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15" t="inlineStr">
        <is>
          <t>OverGarment</t>
        </is>
      </c>
      <c r="B17" s="15" t="inlineStr">
        <is>
          <t>Arctic Overpants</t>
        </is>
      </c>
      <c r="C17" s="15" t="inlineStr">
        <is>
          <t>V1</t>
        </is>
      </c>
      <c r="D17" s="15" t="inlineStr">
        <is>
          <t>Arctic Pants sampels Fresh</t>
        </is>
      </c>
      <c r="E17">
        <f>IFERROR(INDEX('הגדרות'!$D$143:$D$224,MATCH(B17&amp;G17&amp;C17,'הגדרות'!$A$143:$A$224&amp;'הגדרות'!$B$143:$B$224&amp;'הגדרות'!$C$143:$C$224,0)),"")</f>
        <v/>
      </c>
      <c r="F17" s="16" t="n"/>
      <c r="G17" s="15" t="inlineStr">
        <is>
          <t>RIPSTOP Double Layer</t>
        </is>
      </c>
      <c r="H17" s="15" t="n"/>
      <c r="I17" s="15" t="n"/>
      <c r="J17" s="15" t="n"/>
      <c r="K17" s="15" t="n"/>
      <c r="L17" s="15" t="n"/>
      <c r="M17" s="15" t="inlineStr">
        <is>
          <t>Fresh Snow</t>
        </is>
      </c>
      <c r="N17" s="15" t="n"/>
      <c r="O17" s="15" t="inlineStr">
        <is>
          <t>כן</t>
        </is>
      </c>
      <c r="P17" s="15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15" t="inlineStr">
        <is>
          <t>כן</t>
        </is>
      </c>
      <c r="V17" s="15" t="inlineStr">
        <is>
          <t>כן</t>
        </is>
      </c>
      <c r="W17" s="15" t="inlineStr">
        <is>
          <t>כן</t>
        </is>
      </c>
      <c r="X17" s="15" t="inlineStr">
        <is>
          <t>במלאי</t>
        </is>
      </c>
      <c r="Y17" s="15" t="n"/>
      <c r="Z17" s="15" t="n"/>
      <c r="AA17" s="15" t="n"/>
      <c r="AB17" s="16" t="n"/>
      <c r="AC17" s="15" t="n"/>
      <c r="AD17" s="15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15" t="inlineStr">
        <is>
          <t>OverGarment</t>
        </is>
      </c>
      <c r="B18" s="15" t="inlineStr">
        <is>
          <t>Arctic Poncho SRV</t>
        </is>
      </c>
      <c r="C18" s="15" t="inlineStr">
        <is>
          <t>V1</t>
        </is>
      </c>
      <c r="D18" s="15" t="inlineStr">
        <is>
          <t>Arctic poncho Snirt 1</t>
        </is>
      </c>
      <c r="E18">
        <f>IFERROR(INDEX('הגדרות'!$D$143:$D$224,MATCH(B18&amp;G18&amp;C18,'הגדרות'!$A$143:$A$224&amp;'הגדרות'!$B$143:$B$224&amp;'הגדרות'!$C$143:$C$224,0)),"")</f>
        <v/>
      </c>
      <c r="F18" s="16" t="n"/>
      <c r="G18" s="15" t="inlineStr">
        <is>
          <t>RIPSTOP Double Layer</t>
        </is>
      </c>
      <c r="H18" s="15" t="n"/>
      <c r="I18" s="15" t="n"/>
      <c r="J18" s="15" t="n"/>
      <c r="K18" s="15" t="n"/>
      <c r="L18" s="15" t="n"/>
      <c r="M18" s="15" t="inlineStr">
        <is>
          <t>Snirt Snow</t>
        </is>
      </c>
      <c r="N18" s="15" t="n"/>
      <c r="O18" s="15" t="inlineStr">
        <is>
          <t>כן</t>
        </is>
      </c>
      <c r="P18" s="15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15" t="inlineStr">
        <is>
          <t>כן</t>
        </is>
      </c>
      <c r="V18" s="15" t="inlineStr">
        <is>
          <t>כן</t>
        </is>
      </c>
      <c r="W18" s="15" t="inlineStr">
        <is>
          <t>לא</t>
        </is>
      </c>
      <c r="X18" s="15" t="inlineStr">
        <is>
          <t>במלאי</t>
        </is>
      </c>
      <c r="Y18" s="15" t="n"/>
      <c r="Z18" s="15" t="n"/>
      <c r="AA18" s="15" t="n"/>
      <c r="AB18" s="16" t="n"/>
      <c r="AC18" s="15" t="n"/>
      <c r="AD18" s="15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15" t="inlineStr">
        <is>
          <t>OverGarment</t>
        </is>
      </c>
      <c r="B19" s="15" t="inlineStr">
        <is>
          <t>Arctic Poncho SRV</t>
        </is>
      </c>
      <c r="C19" s="15" t="inlineStr">
        <is>
          <t>V1</t>
        </is>
      </c>
      <c r="D19" s="15" t="inlineStr">
        <is>
          <t>Arctic poncho Snirt 2</t>
        </is>
      </c>
      <c r="E19">
        <f>IFERROR(INDEX('הגדרות'!$D$143:$D$224,MATCH(B19&amp;G19&amp;C19,'הגדרות'!$A$143:$A$224&amp;'הגדרות'!$B$143:$B$224&amp;'הגדרות'!$C$143:$C$224,0)),"")</f>
        <v/>
      </c>
      <c r="F19" s="16" t="n"/>
      <c r="G19" s="15" t="inlineStr">
        <is>
          <t>RIPSTOP Double Layer</t>
        </is>
      </c>
      <c r="H19" s="15" t="n"/>
      <c r="I19" s="15" t="n"/>
      <c r="J19" s="15" t="n"/>
      <c r="K19" s="15" t="n"/>
      <c r="L19" s="15" t="n"/>
      <c r="M19" s="15" t="inlineStr">
        <is>
          <t>Snirt Snow</t>
        </is>
      </c>
      <c r="N19" s="15" t="n"/>
      <c r="O19" s="15" t="inlineStr">
        <is>
          <t>כן</t>
        </is>
      </c>
      <c r="P19" s="15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15" t="inlineStr">
        <is>
          <t>כן</t>
        </is>
      </c>
      <c r="V19" s="15" t="inlineStr">
        <is>
          <t>כן</t>
        </is>
      </c>
      <c r="W19" s="15" t="inlineStr">
        <is>
          <t>כן</t>
        </is>
      </c>
      <c r="X19" s="15" t="inlineStr">
        <is>
          <t>במלאי</t>
        </is>
      </c>
      <c r="Y19" s="15" t="n"/>
      <c r="Z19" s="15" t="n"/>
      <c r="AA19" s="15" t="n"/>
      <c r="AB19" s="16" t="n"/>
      <c r="AC19" s="15" t="n"/>
      <c r="AD19" s="15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15" t="inlineStr">
        <is>
          <t>OverGarment</t>
        </is>
      </c>
      <c r="B20" s="15" t="inlineStr">
        <is>
          <t>Arctic Poncho SRV</t>
        </is>
      </c>
      <c r="C20" s="15" t="inlineStr">
        <is>
          <t>V1</t>
        </is>
      </c>
      <c r="D20" s="15" t="inlineStr">
        <is>
          <t>Arctic poncho Fresh 1</t>
        </is>
      </c>
      <c r="E20">
        <f>IFERROR(INDEX('הגדרות'!$D$143:$D$224,MATCH(B20&amp;G20&amp;C20,'הגדרות'!$A$143:$A$224&amp;'הגדרות'!$B$143:$B$224&amp;'הגדרות'!$C$143:$C$224,0)),"")</f>
        <v/>
      </c>
      <c r="F20" s="16" t="n"/>
      <c r="G20" s="15" t="inlineStr">
        <is>
          <t>RIPSTOP Double Layer</t>
        </is>
      </c>
      <c r="H20" s="15" t="n"/>
      <c r="I20" s="15" t="n"/>
      <c r="J20" s="15" t="n"/>
      <c r="K20" s="15" t="n"/>
      <c r="L20" s="15" t="n"/>
      <c r="M20" s="15" t="inlineStr">
        <is>
          <t>Fresh Snow</t>
        </is>
      </c>
      <c r="N20" s="15" t="n"/>
      <c r="O20" s="15" t="inlineStr">
        <is>
          <t>כן</t>
        </is>
      </c>
      <c r="P20" s="15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15" t="inlineStr">
        <is>
          <t>כן</t>
        </is>
      </c>
      <c r="V20" s="15" t="inlineStr">
        <is>
          <t>כן</t>
        </is>
      </c>
      <c r="W20" s="15" t="inlineStr">
        <is>
          <t>כן</t>
        </is>
      </c>
      <c r="X20" s="15" t="inlineStr">
        <is>
          <t>במלאי</t>
        </is>
      </c>
      <c r="Y20" s="15" t="n"/>
      <c r="Z20" s="15" t="n"/>
      <c r="AA20" s="15" t="n"/>
      <c r="AB20" s="16" t="n"/>
      <c r="AC20" s="15" t="n"/>
      <c r="AD20" s="15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15" t="inlineStr">
        <is>
          <t>OverGarment</t>
        </is>
      </c>
      <c r="B21" s="15" t="inlineStr">
        <is>
          <t>Arctic Poncho SRV</t>
        </is>
      </c>
      <c r="C21" s="15" t="inlineStr">
        <is>
          <t>V1</t>
        </is>
      </c>
      <c r="D21" s="15" t="inlineStr">
        <is>
          <t>Arctic poncho Fresh 3</t>
        </is>
      </c>
      <c r="E21">
        <f>IFERROR(INDEX('הגדרות'!$D$143:$D$224,MATCH(B21&amp;G21&amp;C21,'הגדרות'!$A$143:$A$224&amp;'הגדרות'!$B$143:$B$224&amp;'הגדרות'!$C$143:$C$224,0)),"")</f>
        <v/>
      </c>
      <c r="F21" s="16" t="n"/>
      <c r="G21" s="15" t="inlineStr">
        <is>
          <t>RIPSTOP Double Layer</t>
        </is>
      </c>
      <c r="H21" s="15" t="n"/>
      <c r="I21" s="15" t="n"/>
      <c r="J21" s="15" t="n"/>
      <c r="K21" s="15" t="n"/>
      <c r="L21" s="15" t="inlineStr">
        <is>
          <t>אקססוריז לא בלבן</t>
        </is>
      </c>
      <c r="M21" s="15" t="inlineStr">
        <is>
          <t>Fresh Snow</t>
        </is>
      </c>
      <c r="N21" s="15" t="n"/>
      <c r="O21" s="15" t="inlineStr">
        <is>
          <t>כן</t>
        </is>
      </c>
      <c r="P21" s="15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15" t="inlineStr">
        <is>
          <t>כן</t>
        </is>
      </c>
      <c r="V21" s="15" t="inlineStr">
        <is>
          <t>כן</t>
        </is>
      </c>
      <c r="W21" s="15" t="inlineStr">
        <is>
          <t>לא</t>
        </is>
      </c>
      <c r="X21" s="15" t="inlineStr">
        <is>
          <t>במלאי</t>
        </is>
      </c>
      <c r="Y21" s="15" t="n"/>
      <c r="Z21" s="15" t="n"/>
      <c r="AA21" s="15" t="n"/>
      <c r="AB21" s="16" t="n"/>
      <c r="AC21" s="15" t="n"/>
      <c r="AD21" s="15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15" t="inlineStr">
        <is>
          <t>OverGarment</t>
        </is>
      </c>
      <c r="B22" s="15" t="inlineStr">
        <is>
          <t>Arctic Poncho SRV</t>
        </is>
      </c>
      <c r="C22" s="15" t="inlineStr">
        <is>
          <t>V1</t>
        </is>
      </c>
      <c r="D22" s="15" t="inlineStr">
        <is>
          <t>Arctic poncho Fresh 2</t>
        </is>
      </c>
      <c r="E22">
        <f>IFERROR(INDEX('הגדרות'!$D$143:$D$224,MATCH(B22&amp;G22&amp;C22,'הגדרות'!$A$143:$A$224&amp;'הגדרות'!$B$143:$B$224&amp;'הגדרות'!$C$143:$C$224,0)),"")</f>
        <v/>
      </c>
      <c r="F22" s="16" t="n"/>
      <c r="G22" s="15" t="inlineStr">
        <is>
          <t>RIPSTOP Double Layer</t>
        </is>
      </c>
      <c r="H22" s="15" t="n"/>
      <c r="I22" s="15" t="n"/>
      <c r="J22" s="15" t="n"/>
      <c r="K22" s="15" t="n"/>
      <c r="L22" s="15" t="n"/>
      <c r="M22" s="15" t="inlineStr">
        <is>
          <t>Fresh Snow</t>
        </is>
      </c>
      <c r="N22" s="15" t="n"/>
      <c r="O22" s="15" t="inlineStr">
        <is>
          <t>כן</t>
        </is>
      </c>
      <c r="P22" s="15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15" t="inlineStr">
        <is>
          <t>כן</t>
        </is>
      </c>
      <c r="V22" s="15" t="inlineStr">
        <is>
          <t>כן</t>
        </is>
      </c>
      <c r="W22" s="15" t="inlineStr">
        <is>
          <t>כן</t>
        </is>
      </c>
      <c r="X22" s="15" t="inlineStr">
        <is>
          <t>במלאי</t>
        </is>
      </c>
      <c r="Y22" s="15" t="n"/>
      <c r="Z22" s="15" t="n"/>
      <c r="AA22" s="15" t="n"/>
      <c r="AB22" s="16" t="n"/>
      <c r="AC22" s="15" t="n"/>
      <c r="AD22" s="15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15" t="inlineStr">
        <is>
          <t>OverGarment</t>
        </is>
      </c>
      <c r="B23" s="15" t="inlineStr">
        <is>
          <t>Arctic Poncho SRV</t>
        </is>
      </c>
      <c r="C23" s="15" t="inlineStr">
        <is>
          <t>V1</t>
        </is>
      </c>
      <c r="D23" s="15" t="inlineStr">
        <is>
          <t>Arctic poncho sampels Snirt</t>
        </is>
      </c>
      <c r="E23">
        <f>IFERROR(INDEX('הגדרות'!$D$143:$D$224,MATCH(B23&amp;G23&amp;C23,'הגדרות'!$A$143:$A$224&amp;'הגדרות'!$B$143:$B$224&amp;'הגדרות'!$C$143:$C$224,0)),"")</f>
        <v/>
      </c>
      <c r="F23" s="16" t="n"/>
      <c r="G23" s="15" t="inlineStr">
        <is>
          <t>RIPSTOP Double Layer</t>
        </is>
      </c>
      <c r="H23" s="15" t="n"/>
      <c r="I23" s="15" t="n"/>
      <c r="J23" s="15" t="n"/>
      <c r="K23" s="15" t="n"/>
      <c r="L23" s="15" t="n"/>
      <c r="M23" s="15" t="inlineStr">
        <is>
          <t>Snirt Snow</t>
        </is>
      </c>
      <c r="N23" s="15" t="n"/>
      <c r="O23" s="15" t="inlineStr">
        <is>
          <t>כן</t>
        </is>
      </c>
      <c r="P23" s="15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15" t="inlineStr">
        <is>
          <t>כן</t>
        </is>
      </c>
      <c r="V23" s="15" t="inlineStr">
        <is>
          <t>כן</t>
        </is>
      </c>
      <c r="W23" s="15" t="inlineStr">
        <is>
          <t>כן</t>
        </is>
      </c>
      <c r="X23" s="15" t="inlineStr">
        <is>
          <t>במלאי</t>
        </is>
      </c>
      <c r="Y23" s="15" t="n"/>
      <c r="Z23" s="15" t="n"/>
      <c r="AA23" s="15" t="n"/>
      <c r="AB23" s="16" t="n"/>
      <c r="AC23" s="15" t="n"/>
      <c r="AD23" s="15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15" t="inlineStr">
        <is>
          <t>OverGarment</t>
        </is>
      </c>
      <c r="B24" s="15" t="inlineStr">
        <is>
          <t>Arctic Poncho SRV</t>
        </is>
      </c>
      <c r="C24" s="15" t="inlineStr">
        <is>
          <t>V1</t>
        </is>
      </c>
      <c r="D24" s="15" t="inlineStr">
        <is>
          <t>Arctic poncho sampels Fresh</t>
        </is>
      </c>
      <c r="E24">
        <f>IFERROR(INDEX('הגדרות'!$D$143:$D$224,MATCH(B24&amp;G24&amp;C24,'הגדרות'!$A$143:$A$224&amp;'הגדרות'!$B$143:$B$224&amp;'הגדרות'!$C$143:$C$224,0)),"")</f>
        <v/>
      </c>
      <c r="F24" s="16" t="n"/>
      <c r="G24" s="15" t="inlineStr">
        <is>
          <t>RIPSTOP Double Layer</t>
        </is>
      </c>
      <c r="H24" s="15" t="n"/>
      <c r="I24" s="15" t="n"/>
      <c r="J24" s="15" t="n"/>
      <c r="K24" s="15" t="n"/>
      <c r="L24" s="15" t="n"/>
      <c r="M24" s="15" t="inlineStr">
        <is>
          <t>Fresh Snow</t>
        </is>
      </c>
      <c r="N24" s="15" t="n"/>
      <c r="O24" s="15" t="inlineStr">
        <is>
          <t>כן</t>
        </is>
      </c>
      <c r="P24" s="15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15" t="inlineStr">
        <is>
          <t>כן</t>
        </is>
      </c>
      <c r="V24" s="15" t="inlineStr">
        <is>
          <t>כן</t>
        </is>
      </c>
      <c r="W24" s="15" t="inlineStr">
        <is>
          <t>כן</t>
        </is>
      </c>
      <c r="X24" s="15" t="inlineStr">
        <is>
          <t>במלאי</t>
        </is>
      </c>
      <c r="Y24" s="15" t="n"/>
      <c r="Z24" s="15" t="n"/>
      <c r="AA24" s="15" t="n"/>
      <c r="AB24" s="16" t="n"/>
      <c r="AC24" s="15" t="n"/>
      <c r="AD24" s="15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15" t="inlineStr">
        <is>
          <t>Blankets</t>
        </is>
      </c>
      <c r="B25" s="15" t="inlineStr">
        <is>
          <t>Arctic Survival Blanket</t>
        </is>
      </c>
      <c r="C25" s="15" t="inlineStr">
        <is>
          <t>V1</t>
        </is>
      </c>
      <c r="D25" s="15" t="inlineStr">
        <is>
          <t>SRV Blanket Arc 1</t>
        </is>
      </c>
      <c r="E25">
        <f>IFERROR(INDEX('הגדרות'!$D$143:$D$224,MATCH(B25&amp;G25&amp;C25,'הגדרות'!$A$143:$A$224&amp;'הגדרות'!$B$143:$B$224&amp;'הגדרות'!$C$143:$C$224,0)),"")</f>
        <v/>
      </c>
      <c r="F25" s="16" t="n"/>
      <c r="G25" s="15" t="inlineStr">
        <is>
          <t>RIPSTOP Double Layer</t>
        </is>
      </c>
      <c r="H25" s="15" t="n"/>
      <c r="I25" s="15" t="n"/>
      <c r="J25" s="15" t="n"/>
      <c r="K25" s="15" t="n"/>
      <c r="L25" s="15" t="n"/>
      <c r="M25" s="15" t="inlineStr">
        <is>
          <t>Fresh Snow</t>
        </is>
      </c>
      <c r="N25" s="15" t="n"/>
      <c r="O25" s="15" t="n"/>
      <c r="P25" s="15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15" t="n"/>
      <c r="V25" s="15" t="n"/>
      <c r="W25" s="15" t="n"/>
      <c r="X25" s="15" t="inlineStr">
        <is>
          <t>במלאי</t>
        </is>
      </c>
      <c r="Y25" s="15" t="n"/>
      <c r="Z25" s="15" t="n"/>
      <c r="AA25" s="15" t="n"/>
      <c r="AB25" s="16" t="n"/>
      <c r="AC25" s="15" t="n"/>
      <c r="AD25" s="15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15" t="inlineStr">
        <is>
          <t>Accessories</t>
        </is>
      </c>
      <c r="B26" s="15" t="inlineStr">
        <is>
          <t>Bag cover 90L</t>
        </is>
      </c>
      <c r="C26" s="15" t="n"/>
      <c r="D26" s="15" t="inlineStr">
        <is>
          <t>B03</t>
        </is>
      </c>
      <c r="E26">
        <f>IFERROR(INDEX('הגדרות'!$D$143:$D$224,MATCH(B26&amp;G26&amp;C26,'הגדרות'!$A$143:$A$224&amp;'הגדרות'!$B$143:$B$224&amp;'הגדרות'!$C$143:$C$224,0)),"")</f>
        <v/>
      </c>
      <c r="F26" s="16" t="n"/>
      <c r="G26" s="15" t="inlineStr">
        <is>
          <t>Mesh</t>
        </is>
      </c>
      <c r="H26" s="15" t="n"/>
      <c r="I26" s="15" t="n"/>
      <c r="J26" s="15" t="n"/>
      <c r="K26" s="15" t="n"/>
      <c r="L26" s="15" t="n"/>
      <c r="M26" s="15" t="inlineStr">
        <is>
          <t>Desert</t>
        </is>
      </c>
      <c r="N26" s="15" t="n"/>
      <c r="O26" s="15" t="inlineStr">
        <is>
          <t>כן</t>
        </is>
      </c>
      <c r="P26" s="15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15" t="n"/>
      <c r="V26" s="15" t="n"/>
      <c r="W26" s="15" t="n"/>
      <c r="X26" s="15" t="inlineStr">
        <is>
          <t>במלאי</t>
        </is>
      </c>
      <c r="Y26" s="15" t="n"/>
      <c r="Z26" s="15" t="n"/>
      <c r="AA26" s="15" t="n"/>
      <c r="AB26" s="16" t="n"/>
      <c r="AC26" s="15" t="n"/>
      <c r="AD26" s="15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15" t="inlineStr">
        <is>
          <t>Accessories</t>
        </is>
      </c>
      <c r="B27" s="15" t="inlineStr">
        <is>
          <t>Bag cover 90L</t>
        </is>
      </c>
      <c r="C27" s="15" t="n"/>
      <c r="D27" s="15" t="inlineStr">
        <is>
          <t>B04</t>
        </is>
      </c>
      <c r="E27">
        <f>IFERROR(INDEX('הגדרות'!$D$143:$D$224,MATCH(B27&amp;G27&amp;C27,'הגדרות'!$A$143:$A$224&amp;'הגדרות'!$B$143:$B$224&amp;'הגדרות'!$C$143:$C$224,0)),"")</f>
        <v/>
      </c>
      <c r="F27" s="16" t="n"/>
      <c r="G27" s="15" t="inlineStr">
        <is>
          <t>Mesh</t>
        </is>
      </c>
      <c r="H27" s="15" t="n"/>
      <c r="I27" s="15" t="n"/>
      <c r="J27" s="15" t="n"/>
      <c r="K27" s="15" t="n"/>
      <c r="L27" s="15" t="n"/>
      <c r="M27" s="15" t="inlineStr">
        <is>
          <t>Kestrel</t>
        </is>
      </c>
      <c r="N27" s="15" t="n"/>
      <c r="O27" s="15" t="inlineStr">
        <is>
          <t>כן</t>
        </is>
      </c>
      <c r="P27" s="15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15" t="n"/>
      <c r="V27" s="15" t="n"/>
      <c r="W27" s="15" t="n"/>
      <c r="X27" s="15" t="inlineStr">
        <is>
          <t>במלאי</t>
        </is>
      </c>
      <c r="Y27" s="15" t="n"/>
      <c r="Z27" s="15" t="n"/>
      <c r="AA27" s="15" t="n"/>
      <c r="AB27" s="16" t="n"/>
      <c r="AC27" s="15" t="n"/>
      <c r="AD27" s="15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15" t="inlineStr">
        <is>
          <t>Accessories</t>
        </is>
      </c>
      <c r="B28" s="15" t="inlineStr">
        <is>
          <t>Bag cover 90L</t>
        </is>
      </c>
      <c r="C28" s="15" t="n"/>
      <c r="D28" s="15" t="inlineStr">
        <is>
          <t>B05</t>
        </is>
      </c>
      <c r="E28">
        <f>IFERROR(INDEX('הגדרות'!$D$143:$D$224,MATCH(B28&amp;G28&amp;C28,'הגדרות'!$A$143:$A$224&amp;'הגדרות'!$B$143:$B$224&amp;'הגדרות'!$C$143:$C$224,0)),"")</f>
        <v/>
      </c>
      <c r="F28" s="16" t="n"/>
      <c r="G28" s="15" t="inlineStr">
        <is>
          <t>Mesh</t>
        </is>
      </c>
      <c r="H28" s="15" t="n"/>
      <c r="I28" s="15" t="n"/>
      <c r="J28" s="15" t="n"/>
      <c r="K28" s="15" t="n"/>
      <c r="L28" s="15" t="n"/>
      <c r="M28" s="15" t="inlineStr">
        <is>
          <t>Desert</t>
        </is>
      </c>
      <c r="N28" s="15" t="n"/>
      <c r="O28" s="15" t="inlineStr">
        <is>
          <t>כן</t>
        </is>
      </c>
      <c r="P28" s="15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15" t="n"/>
      <c r="V28" s="15" t="n"/>
      <c r="W28" s="15" t="n"/>
      <c r="X28" s="15" t="inlineStr">
        <is>
          <t>במלאי</t>
        </is>
      </c>
      <c r="Y28" s="15" t="n"/>
      <c r="Z28" s="15" t="n"/>
      <c r="AA28" s="15" t="n"/>
      <c r="AB28" s="16" t="n"/>
      <c r="AC28" s="15" t="n"/>
      <c r="AD28" s="15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15" t="inlineStr">
        <is>
          <t>Accessories</t>
        </is>
      </c>
      <c r="B29" s="15" t="inlineStr">
        <is>
          <t>Bag cover 90L</t>
        </is>
      </c>
      <c r="C29" s="15" t="n"/>
      <c r="D29" s="15" t="inlineStr">
        <is>
          <t>B06</t>
        </is>
      </c>
      <c r="E29">
        <f>IFERROR(INDEX('הגדרות'!$D$143:$D$224,MATCH(B29&amp;G29&amp;C29,'הגדרות'!$A$143:$A$224&amp;'הגדרות'!$B$143:$B$224&amp;'הגדרות'!$C$143:$C$224,0)),"")</f>
        <v/>
      </c>
      <c r="F29" s="16" t="n"/>
      <c r="G29" s="15" t="inlineStr">
        <is>
          <t>Mesh</t>
        </is>
      </c>
      <c r="H29" s="15" t="n"/>
      <c r="I29" s="15" t="n"/>
      <c r="J29" s="15" t="n"/>
      <c r="K29" s="15" t="n"/>
      <c r="L29" s="15" t="n"/>
      <c r="M29" s="15" t="inlineStr">
        <is>
          <t>Kestrel</t>
        </is>
      </c>
      <c r="N29" s="15" t="n"/>
      <c r="O29" s="15" t="inlineStr">
        <is>
          <t>כן</t>
        </is>
      </c>
      <c r="P29" s="15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15" t="n"/>
      <c r="V29" s="15" t="n"/>
      <c r="W29" s="15" t="n"/>
      <c r="X29" s="15" t="inlineStr">
        <is>
          <t>במלאי</t>
        </is>
      </c>
      <c r="Y29" s="15" t="n"/>
      <c r="Z29" s="15" t="n"/>
      <c r="AA29" s="15" t="n"/>
      <c r="AB29" s="16" t="n"/>
      <c r="AC29" s="15" t="n"/>
      <c r="AD29" s="15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15" t="inlineStr">
        <is>
          <t>Uniform</t>
        </is>
      </c>
      <c r="B30" s="15" t="inlineStr">
        <is>
          <t>Balaclava</t>
        </is>
      </c>
      <c r="C30" s="15" t="n"/>
      <c r="D30" s="15" t="inlineStr">
        <is>
          <t>בלקלבה מלאי 01</t>
        </is>
      </c>
      <c r="E30">
        <f>IFERROR(INDEX('הגדרות'!$D$143:$D$224,MATCH(B30&amp;G30&amp;C30,'הגדרות'!$A$143:$A$224&amp;'הגדרות'!$B$143:$B$224&amp;'הגדרות'!$C$143:$C$224,0)),"")</f>
        <v/>
      </c>
      <c r="F30" s="16" t="n"/>
      <c r="G30" s="15" t="inlineStr">
        <is>
          <t>Stretch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15" t="n"/>
      <c r="V30" s="15" t="n"/>
      <c r="W30" s="15" t="n"/>
      <c r="X30" s="15" t="n"/>
      <c r="Y30" s="15" t="n"/>
      <c r="Z30" s="15" t="n"/>
      <c r="AA30" s="15" t="n"/>
      <c r="AB30" s="16" t="n"/>
      <c r="AC30" s="15" t="n"/>
      <c r="AD30" s="15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15" t="inlineStr">
        <is>
          <t>Uniform</t>
        </is>
      </c>
      <c r="B31" s="15" t="inlineStr">
        <is>
          <t>Balaclava</t>
        </is>
      </c>
      <c r="C31" s="15" t="n"/>
      <c r="D31" s="15" t="inlineStr">
        <is>
          <t>B01</t>
        </is>
      </c>
      <c r="E31">
        <f>IFERROR(INDEX('הגדרות'!$D$143:$D$224,MATCH(B31&amp;G31&amp;C31,'הגדרות'!$A$143:$A$224&amp;'הגדרות'!$B$143:$B$224&amp;'הגדרות'!$C$143:$C$224,0)),"")</f>
        <v/>
      </c>
      <c r="F31" s="16" t="n"/>
      <c r="G31" s="15" t="inlineStr">
        <is>
          <t>Stretch</t>
        </is>
      </c>
      <c r="H31" s="15" t="n"/>
      <c r="I31" s="15" t="n"/>
      <c r="J31" s="15" t="n"/>
      <c r="K31" s="15" t="n"/>
      <c r="L31" s="15" t="n"/>
      <c r="M31" s="15" t="inlineStr">
        <is>
          <t>Marine</t>
        </is>
      </c>
      <c r="N31" s="15" t="n"/>
      <c r="O31" s="15" t="inlineStr">
        <is>
          <t>כן</t>
        </is>
      </c>
      <c r="P31" s="15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15" t="n"/>
      <c r="V31" s="15" t="n"/>
      <c r="W31" s="15" t="n"/>
      <c r="X31" s="15" t="inlineStr">
        <is>
          <t>במלאי</t>
        </is>
      </c>
      <c r="Y31" s="15" t="n"/>
      <c r="Z31" s="15" t="n"/>
      <c r="AA31" s="15" t="n"/>
      <c r="AB31" s="16" t="n"/>
      <c r="AC31" s="15" t="n"/>
      <c r="AD31" s="15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15" t="inlineStr">
        <is>
          <t>Uniform</t>
        </is>
      </c>
      <c r="B32" s="15" t="inlineStr">
        <is>
          <t>Balaclava</t>
        </is>
      </c>
      <c r="C32" s="15" t="n"/>
      <c r="D32" s="15" t="inlineStr">
        <is>
          <t>B02</t>
        </is>
      </c>
      <c r="E32">
        <f>IFERROR(INDEX('הגדרות'!$D$143:$D$224,MATCH(B32&amp;G32&amp;C32,'הגדרות'!$A$143:$A$224&amp;'הגדרות'!$B$143:$B$224&amp;'הגדרות'!$C$143:$C$224,0)),"")</f>
        <v/>
      </c>
      <c r="F32" s="16" t="n"/>
      <c r="G32" s="15" t="inlineStr">
        <is>
          <t>Stretch</t>
        </is>
      </c>
      <c r="H32" s="15" t="n"/>
      <c r="I32" s="15" t="n"/>
      <c r="J32" s="15" t="n"/>
      <c r="K32" s="15" t="n"/>
      <c r="L32" s="15" t="n"/>
      <c r="M32" s="15" t="inlineStr">
        <is>
          <t>Marine</t>
        </is>
      </c>
      <c r="N32" s="15" t="n"/>
      <c r="O32" s="15" t="inlineStr">
        <is>
          <t>כן</t>
        </is>
      </c>
      <c r="P32" s="15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15" t="inlineStr">
        <is>
          <t>לא</t>
        </is>
      </c>
      <c r="V32" s="15" t="n"/>
      <c r="W32" s="15" t="n"/>
      <c r="X32" s="15" t="inlineStr">
        <is>
          <t>במלאי</t>
        </is>
      </c>
      <c r="Y32" s="15" t="n"/>
      <c r="Z32" s="15" t="n"/>
      <c r="AA32" s="15" t="n"/>
      <c r="AB32" s="16" t="n"/>
      <c r="AC32" s="15" t="n"/>
      <c r="AD32" s="15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15" t="inlineStr">
        <is>
          <t>Uniform</t>
        </is>
      </c>
      <c r="B33" s="15" t="inlineStr">
        <is>
          <t>Balaclava</t>
        </is>
      </c>
      <c r="C33" s="15" t="n"/>
      <c r="D33" s="15" t="inlineStr">
        <is>
          <t>UNI034</t>
        </is>
      </c>
      <c r="E33">
        <f>IFERROR(INDEX('הגדרות'!$D$143:$D$224,MATCH(B33&amp;G33&amp;C33,'הגדרות'!$A$143:$A$224&amp;'הגדרות'!$B$143:$B$224&amp;'הגדרות'!$C$143:$C$224,0)),"")</f>
        <v/>
      </c>
      <c r="F33" s="16" t="n"/>
      <c r="G33" s="15" t="inlineStr">
        <is>
          <t>Stretch</t>
        </is>
      </c>
      <c r="H33" s="15" t="n"/>
      <c r="I33" s="15" t="n"/>
      <c r="J33" s="15" t="n"/>
      <c r="K33" s="15" t="n"/>
      <c r="L33" s="15" t="n"/>
      <c r="M33" s="15" t="inlineStr">
        <is>
          <t>Fresh Snow</t>
        </is>
      </c>
      <c r="N33" s="15" t="n"/>
      <c r="O33" s="15" t="inlineStr">
        <is>
          <t>כן</t>
        </is>
      </c>
      <c r="P33" s="15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15" t="n"/>
      <c r="V33" s="15" t="n"/>
      <c r="W33" s="15" t="n"/>
      <c r="X33" s="15" t="inlineStr">
        <is>
          <t>במלאי</t>
        </is>
      </c>
      <c r="Y33" s="15" t="n"/>
      <c r="Z33" s="15" t="n"/>
      <c r="AA33" s="15" t="n"/>
      <c r="AB33" s="16" t="n"/>
      <c r="AC33" s="15" t="n"/>
      <c r="AD33" s="15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15" t="inlineStr">
        <is>
          <t>Uniform</t>
        </is>
      </c>
      <c r="B34" s="15" t="inlineStr">
        <is>
          <t>Boonie hat</t>
        </is>
      </c>
      <c r="C34" s="15" t="inlineStr">
        <is>
          <t>V1</t>
        </is>
      </c>
      <c r="D34" s="15" t="inlineStr">
        <is>
          <t>UNI 003</t>
        </is>
      </c>
      <c r="E34">
        <f>IFERROR(INDEX('הגדרות'!$D$143:$D$224,MATCH(B34&amp;G34&amp;C34,'הגדרות'!$A$143:$A$224&amp;'הגדרות'!$B$143:$B$224&amp;'הגדרות'!$C$143:$C$224,0)),"")</f>
        <v/>
      </c>
      <c r="F34" s="16" t="n"/>
      <c r="G34" s="15" t="inlineStr">
        <is>
          <t>Stretch</t>
        </is>
      </c>
      <c r="H34" s="15" t="n"/>
      <c r="I34" s="15" t="n"/>
      <c r="J34" s="15" t="inlineStr">
        <is>
          <t>כן</t>
        </is>
      </c>
      <c r="K34" s="15" t="n"/>
      <c r="L34" s="15" t="n"/>
      <c r="M34" s="15" t="inlineStr">
        <is>
          <t>Kestrel</t>
        </is>
      </c>
      <c r="N34" s="15" t="n"/>
      <c r="O34" s="15" t="inlineStr">
        <is>
          <t>כן</t>
        </is>
      </c>
      <c r="P34" s="15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15" t="n"/>
      <c r="V34" s="15" t="n"/>
      <c r="W34" s="15" t="n"/>
      <c r="X34" s="15" t="inlineStr">
        <is>
          <t>במלאי</t>
        </is>
      </c>
      <c r="Y34" s="15" t="n"/>
      <c r="Z34" s="15" t="n"/>
      <c r="AA34" s="15" t="n"/>
      <c r="AB34" s="16" t="n"/>
      <c r="AC34" s="15" t="n"/>
      <c r="AD34" s="15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15" t="inlineStr">
        <is>
          <t>Uniform</t>
        </is>
      </c>
      <c r="B35" s="15" t="inlineStr">
        <is>
          <t>Boonie hat</t>
        </is>
      </c>
      <c r="C35" s="15" t="inlineStr">
        <is>
          <t>V1</t>
        </is>
      </c>
      <c r="D35" s="15" t="inlineStr">
        <is>
          <t>UNI 001</t>
        </is>
      </c>
      <c r="E35">
        <f>IFERROR(INDEX('הגדרות'!$D$143:$D$224,MATCH(B35&amp;G35&amp;C35,'הגדרות'!$A$143:$A$224&amp;'הגדרות'!$B$143:$B$224&amp;'הגדרות'!$C$143:$C$224,0)),"")</f>
        <v/>
      </c>
      <c r="F35" s="16" t="n"/>
      <c r="G35" s="15" t="inlineStr">
        <is>
          <t>Stretch</t>
        </is>
      </c>
      <c r="H35" s="15" t="n"/>
      <c r="I35" s="15" t="n"/>
      <c r="J35" s="15" t="inlineStr">
        <is>
          <t>כן</t>
        </is>
      </c>
      <c r="K35" s="15" t="n"/>
      <c r="L35" s="15" t="n"/>
      <c r="M35" s="15" t="inlineStr">
        <is>
          <t>Marine</t>
        </is>
      </c>
      <c r="N35" s="15" t="n"/>
      <c r="O35" s="15" t="inlineStr">
        <is>
          <t>כן</t>
        </is>
      </c>
      <c r="P35" s="15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15" t="n"/>
      <c r="V35" s="15" t="n"/>
      <c r="W35" s="15" t="n"/>
      <c r="X35" s="15" t="inlineStr">
        <is>
          <t>במלאי</t>
        </is>
      </c>
      <c r="Y35" s="15" t="n"/>
      <c r="Z35" s="15" t="n"/>
      <c r="AA35" s="15" t="n"/>
      <c r="AB35" s="16" t="n"/>
      <c r="AC35" s="15" t="n"/>
      <c r="AD35" s="15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15" t="inlineStr">
        <is>
          <t>Uniform</t>
        </is>
      </c>
      <c r="B36" s="15" t="inlineStr">
        <is>
          <t>Boonie hat</t>
        </is>
      </c>
      <c r="C36" s="15" t="inlineStr">
        <is>
          <t>V1</t>
        </is>
      </c>
      <c r="D36" s="15" t="inlineStr">
        <is>
          <t>UNI 043</t>
        </is>
      </c>
      <c r="E36">
        <f>IFERROR(INDEX('הגדרות'!$D$143:$D$224,MATCH(B36&amp;G36&amp;C36,'הגדרות'!$A$143:$A$224&amp;'הגדרות'!$B$143:$B$224&amp;'הגדרות'!$C$143:$C$224,0)),"")</f>
        <v/>
      </c>
      <c r="F36" s="16" t="n"/>
      <c r="G36" s="15" t="inlineStr">
        <is>
          <t>Stretch</t>
        </is>
      </c>
      <c r="H36" s="15" t="n"/>
      <c r="I36" s="15" t="n"/>
      <c r="J36" s="15" t="inlineStr">
        <is>
          <t>כן</t>
        </is>
      </c>
      <c r="K36" s="15" t="n"/>
      <c r="L36" s="15" t="n"/>
      <c r="M36" s="15" t="inlineStr">
        <is>
          <t>Marine</t>
        </is>
      </c>
      <c r="N36" s="15" t="n"/>
      <c r="O36" s="15" t="inlineStr">
        <is>
          <t>כן</t>
        </is>
      </c>
      <c r="P36" s="15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15" t="n"/>
      <c r="V36" s="15" t="n"/>
      <c r="W36" s="15" t="n"/>
      <c r="X36" s="15" t="inlineStr">
        <is>
          <t>במלאי</t>
        </is>
      </c>
      <c r="Y36" s="15" t="n"/>
      <c r="Z36" s="15" t="n"/>
      <c r="AA36" s="15" t="n"/>
      <c r="AB36" s="16" t="n"/>
      <c r="AC36" s="15" t="n"/>
      <c r="AD36" s="15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15" t="inlineStr">
        <is>
          <t>OverGarment</t>
        </is>
      </c>
      <c r="B37" s="15" t="inlineStr">
        <is>
          <t>Gaiters</t>
        </is>
      </c>
      <c r="C37" s="15" t="inlineStr">
        <is>
          <t>V1</t>
        </is>
      </c>
      <c r="D37" s="15" t="inlineStr">
        <is>
          <t>Gaiters Arc 1</t>
        </is>
      </c>
      <c r="E37">
        <f>IFERROR(INDEX('הגדרות'!$D$143:$D$224,MATCH(B37&amp;G37&amp;C37,'הגדרות'!$A$143:$A$224&amp;'הגדרות'!$B$143:$B$224&amp;'הגדרות'!$C$143:$C$224,0)),"")</f>
        <v/>
      </c>
      <c r="F37" s="16" t="n"/>
      <c r="G37" s="15" t="inlineStr">
        <is>
          <t>Mesh</t>
        </is>
      </c>
      <c r="H37" s="15" t="n"/>
      <c r="I37" s="15" t="n"/>
      <c r="J37" s="15" t="n"/>
      <c r="K37" s="15" t="n"/>
      <c r="L37" s="15" t="n"/>
      <c r="M37" s="15" t="inlineStr">
        <is>
          <t>Snirt Snow</t>
        </is>
      </c>
      <c r="N37" s="15" t="n"/>
      <c r="O37" s="15" t="inlineStr">
        <is>
          <t>כן</t>
        </is>
      </c>
      <c r="P37" s="15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15" t="inlineStr">
        <is>
          <t>כן</t>
        </is>
      </c>
      <c r="V37" s="15" t="inlineStr">
        <is>
          <t>כן</t>
        </is>
      </c>
      <c r="W37" s="15" t="inlineStr">
        <is>
          <t>כן</t>
        </is>
      </c>
      <c r="X37" s="15" t="inlineStr">
        <is>
          <t>במלאי</t>
        </is>
      </c>
      <c r="Y37" s="15" t="n"/>
      <c r="Z37" s="15" t="n"/>
      <c r="AA37" s="15" t="n"/>
      <c r="AB37" s="16" t="n"/>
      <c r="AC37" s="15" t="n"/>
      <c r="AD37" s="15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15" t="inlineStr">
        <is>
          <t>OverGarment</t>
        </is>
      </c>
      <c r="B38" s="15" t="inlineStr">
        <is>
          <t>Gaiters</t>
        </is>
      </c>
      <c r="C38" s="15" t="inlineStr">
        <is>
          <t>V1</t>
        </is>
      </c>
      <c r="D38" s="15" t="inlineStr">
        <is>
          <t>Gaiters Arc 2</t>
        </is>
      </c>
      <c r="E38">
        <f>IFERROR(INDEX('הגדרות'!$D$143:$D$224,MATCH(B38&amp;G38&amp;C38,'הגדרות'!$A$143:$A$224&amp;'הגדרות'!$B$143:$B$224&amp;'הגדרות'!$C$143:$C$224,0)),"")</f>
        <v/>
      </c>
      <c r="F38" s="16" t="n"/>
      <c r="G38" s="15" t="inlineStr">
        <is>
          <t>RIPSTOP Double Layer</t>
        </is>
      </c>
      <c r="H38" s="15" t="n"/>
      <c r="I38" s="15" t="inlineStr">
        <is>
          <t>XL</t>
        </is>
      </c>
      <c r="J38" s="15" t="n"/>
      <c r="K38" s="15" t="n"/>
      <c r="L38" s="15" t="inlineStr">
        <is>
          <t>"ADAM 2"</t>
        </is>
      </c>
      <c r="M38" s="15" t="inlineStr">
        <is>
          <t>Fresh Snow</t>
        </is>
      </c>
      <c r="N38" s="15" t="n"/>
      <c r="O38" s="15" t="inlineStr">
        <is>
          <t>כן</t>
        </is>
      </c>
      <c r="P38" s="15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15" t="inlineStr">
        <is>
          <t>כן</t>
        </is>
      </c>
      <c r="V38" s="15" t="inlineStr">
        <is>
          <t>כן</t>
        </is>
      </c>
      <c r="W38" s="15" t="inlineStr">
        <is>
          <t>כן</t>
        </is>
      </c>
      <c r="X38" s="15" t="inlineStr">
        <is>
          <t>במלאי</t>
        </is>
      </c>
      <c r="Y38" s="15" t="n"/>
      <c r="Z38" s="15" t="n"/>
      <c r="AA38" s="15" t="n"/>
      <c r="AB38" s="16" t="n"/>
      <c r="AC38" s="15" t="n"/>
      <c r="AD38" s="15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15" t="inlineStr">
        <is>
          <t>OverGarment</t>
        </is>
      </c>
      <c r="B39" s="15" t="inlineStr">
        <is>
          <t>Gaiters</t>
        </is>
      </c>
      <c r="C39" s="15" t="inlineStr">
        <is>
          <t>V1</t>
        </is>
      </c>
      <c r="D39" s="15" t="inlineStr">
        <is>
          <t>Gaiters Arc sampels Snirt</t>
        </is>
      </c>
      <c r="E39">
        <f>IFERROR(INDEX('הגדרות'!$D$143:$D$224,MATCH(B39&amp;G39&amp;C39,'הגדרות'!$A$143:$A$224&amp;'הגדרות'!$B$143:$B$224&amp;'הגדרות'!$C$143:$C$224,0)),"")</f>
        <v/>
      </c>
      <c r="F39" s="16" t="n"/>
      <c r="G39" s="15" t="inlineStr">
        <is>
          <t>RIPSTOP Double Layer</t>
        </is>
      </c>
      <c r="H39" s="15" t="n"/>
      <c r="I39" s="15" t="n"/>
      <c r="J39" s="15" t="n"/>
      <c r="K39" s="15" t="n"/>
      <c r="L39" s="15" t="n"/>
      <c r="M39" s="15" t="inlineStr">
        <is>
          <t>Snirt Snow</t>
        </is>
      </c>
      <c r="N39" s="15" t="n"/>
      <c r="O39" s="15" t="inlineStr">
        <is>
          <t>כן</t>
        </is>
      </c>
      <c r="P39" s="15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15" t="inlineStr">
        <is>
          <t>כן</t>
        </is>
      </c>
      <c r="V39" s="15" t="inlineStr">
        <is>
          <t>כן</t>
        </is>
      </c>
      <c r="W39" s="15" t="inlineStr">
        <is>
          <t>כן</t>
        </is>
      </c>
      <c r="X39" s="15" t="inlineStr">
        <is>
          <t>במלאי</t>
        </is>
      </c>
      <c r="Y39" s="15" t="n"/>
      <c r="Z39" s="15" t="n"/>
      <c r="AA39" s="15" t="n"/>
      <c r="AB39" s="16" t="n"/>
      <c r="AC39" s="15" t="n"/>
      <c r="AD39" s="15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15" t="inlineStr">
        <is>
          <t>OverGarment</t>
        </is>
      </c>
      <c r="B40" s="15" t="inlineStr">
        <is>
          <t>Gaiters</t>
        </is>
      </c>
      <c r="C40" s="15" t="inlineStr">
        <is>
          <t>V1</t>
        </is>
      </c>
      <c r="D40" s="15" t="inlineStr">
        <is>
          <t>Gaiters Arc sampels Fresh</t>
        </is>
      </c>
      <c r="E40">
        <f>IFERROR(INDEX('הגדרות'!$D$143:$D$224,MATCH(B40&amp;G40&amp;C40,'הגדרות'!$A$143:$A$224&amp;'הגדרות'!$B$143:$B$224&amp;'הגדרות'!$C$143:$C$224,0)),"")</f>
        <v/>
      </c>
      <c r="F40" s="16" t="n"/>
      <c r="G40" s="15" t="inlineStr">
        <is>
          <t>RIPSTOP Double Layer</t>
        </is>
      </c>
      <c r="H40" s="15" t="n"/>
      <c r="I40" s="15" t="n"/>
      <c r="J40" s="15" t="n"/>
      <c r="K40" s="15" t="n"/>
      <c r="L40" s="15" t="n"/>
      <c r="M40" s="15" t="inlineStr">
        <is>
          <t>Fresh Snow</t>
        </is>
      </c>
      <c r="N40" s="15" t="n"/>
      <c r="O40" s="15" t="inlineStr">
        <is>
          <t>כן</t>
        </is>
      </c>
      <c r="P40" s="15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15" t="inlineStr">
        <is>
          <t>כן</t>
        </is>
      </c>
      <c r="V40" s="15" t="inlineStr">
        <is>
          <t>כן</t>
        </is>
      </c>
      <c r="W40" s="15" t="inlineStr">
        <is>
          <t>כן</t>
        </is>
      </c>
      <c r="X40" s="15" t="inlineStr">
        <is>
          <t>במלאי</t>
        </is>
      </c>
      <c r="Y40" s="15" t="n"/>
      <c r="Z40" s="15" t="n"/>
      <c r="AA40" s="15" t="n"/>
      <c r="AB40" s="16" t="n"/>
      <c r="AC40" s="15" t="n"/>
      <c r="AD40" s="15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15" t="inlineStr">
        <is>
          <t>OverGarment</t>
        </is>
      </c>
      <c r="B41" s="15" t="inlineStr">
        <is>
          <t>Gal Suit</t>
        </is>
      </c>
      <c r="C41" s="15" t="inlineStr">
        <is>
          <t>V1</t>
        </is>
      </c>
      <c r="D41" s="15" t="inlineStr">
        <is>
          <t>גל הדגמה</t>
        </is>
      </c>
      <c r="E41">
        <f>IFERROR(INDEX('הגדרות'!$D$143:$D$224,MATCH(B41&amp;G41&amp;C41,'הגדרות'!$A$143:$A$224&amp;'הגדרות'!$B$143:$B$224&amp;'הגדרות'!$C$143:$C$224,0)),"")</f>
        <v/>
      </c>
      <c r="F41" s="16" t="n"/>
      <c r="G41" s="15" t="inlineStr">
        <is>
          <t>Mesh</t>
        </is>
      </c>
      <c r="H41" s="15" t="n"/>
      <c r="I41" s="15" t="n"/>
      <c r="J41" s="15" t="inlineStr">
        <is>
          <t>לא</t>
        </is>
      </c>
      <c r="K41" s="15" t="inlineStr">
        <is>
          <t>כן</t>
        </is>
      </c>
      <c r="L41" s="15" t="n"/>
      <c r="M41" s="15" t="inlineStr">
        <is>
          <t>Ever-Green</t>
        </is>
      </c>
      <c r="N41" s="15" t="inlineStr">
        <is>
          <t>Desert</t>
        </is>
      </c>
      <c r="O41" s="15" t="inlineStr">
        <is>
          <t>כן</t>
        </is>
      </c>
      <c r="P41" s="15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15" t="inlineStr">
        <is>
          <t>כן</t>
        </is>
      </c>
      <c r="V41" s="15" t="inlineStr">
        <is>
          <t>כן</t>
        </is>
      </c>
      <c r="W41" s="15" t="n"/>
      <c r="X41" s="15" t="inlineStr">
        <is>
          <t>במלאי</t>
        </is>
      </c>
      <c r="Y41" s="15" t="n"/>
      <c r="Z41" s="15" t="n"/>
      <c r="AA41" s="15" t="n"/>
      <c r="AB41" s="16" t="n"/>
      <c r="AC41" s="15" t="n"/>
      <c r="AD41" s="15" t="inlineStr">
        <is>
          <t>לא</t>
        </is>
      </c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15" t="inlineStr">
        <is>
          <t>OverGarment</t>
        </is>
      </c>
      <c r="B42" s="15" t="inlineStr">
        <is>
          <t>Gal Suit</t>
        </is>
      </c>
      <c r="C42" s="15" t="inlineStr">
        <is>
          <t>V1</t>
        </is>
      </c>
      <c r="D42" s="15" t="inlineStr">
        <is>
          <t>גל תצוגה</t>
        </is>
      </c>
      <c r="E42">
        <f>IFERROR(INDEX('הגדרות'!$D$143:$D$224,MATCH(B42&amp;G42&amp;C42,'הגדרות'!$A$143:$A$224&amp;'הגדרות'!$B$143:$B$224&amp;'הגדרות'!$C$143:$C$224,0)),"")</f>
        <v/>
      </c>
      <c r="F42" s="16" t="n"/>
      <c r="G42" s="15" t="inlineStr">
        <is>
          <t>Mesh</t>
        </is>
      </c>
      <c r="H42" s="15" t="n"/>
      <c r="I42" s="15" t="n"/>
      <c r="J42" s="15" t="inlineStr">
        <is>
          <t>לא</t>
        </is>
      </c>
      <c r="K42" s="15" t="inlineStr">
        <is>
          <t>כן</t>
        </is>
      </c>
      <c r="L42" s="15" t="n"/>
      <c r="M42" s="15" t="inlineStr">
        <is>
          <t>Ever-Green</t>
        </is>
      </c>
      <c r="N42" s="15" t="inlineStr">
        <is>
          <t>Desert</t>
        </is>
      </c>
      <c r="O42" s="15" t="inlineStr">
        <is>
          <t>כן</t>
        </is>
      </c>
      <c r="P42" s="15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15" t="inlineStr">
        <is>
          <t>כן</t>
        </is>
      </c>
      <c r="V42" s="15" t="inlineStr">
        <is>
          <t>כן</t>
        </is>
      </c>
      <c r="W42" s="15" t="n"/>
      <c r="X42" s="15" t="inlineStr">
        <is>
          <t>בחדר תצוגה</t>
        </is>
      </c>
      <c r="Y42" s="15" t="n"/>
      <c r="Z42" s="15" t="n"/>
      <c r="AA42" s="15" t="n"/>
      <c r="AB42" s="16" t="n"/>
      <c r="AC42" s="15" t="n"/>
      <c r="AD42" s="15" t="inlineStr">
        <is>
          <t>לא</t>
        </is>
      </c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15" t="inlineStr">
        <is>
          <t>OverGarment</t>
        </is>
      </c>
      <c r="B43" s="15" t="inlineStr">
        <is>
          <t>Gal Suit</t>
        </is>
      </c>
      <c r="C43" s="15" t="inlineStr">
        <is>
          <t>V1</t>
        </is>
      </c>
      <c r="D43" s="15" t="inlineStr">
        <is>
          <t>גל תצוגה אורבן</t>
        </is>
      </c>
      <c r="E43">
        <f>IFERROR(INDEX('הגדרות'!$D$143:$D$224,MATCH(B43&amp;G43&amp;C43,'הגדרות'!$A$143:$A$224&amp;'הגדרות'!$B$143:$B$224&amp;'הגדרות'!$C$143:$C$224,0)),"")</f>
        <v/>
      </c>
      <c r="F43" s="16" t="n"/>
      <c r="G43" s="15" t="inlineStr">
        <is>
          <t>Mesh</t>
        </is>
      </c>
      <c r="H43" s="15" t="n"/>
      <c r="I43" s="15" t="n"/>
      <c r="J43" s="15" t="inlineStr">
        <is>
          <t>כן</t>
        </is>
      </c>
      <c r="K43" s="15" t="inlineStr">
        <is>
          <t>לא</t>
        </is>
      </c>
      <c r="L43" s="15" t="n"/>
      <c r="M43" s="15" t="inlineStr">
        <is>
          <t>Boulder</t>
        </is>
      </c>
      <c r="N43" s="15" t="n"/>
      <c r="O43" s="15" t="inlineStr">
        <is>
          <t>כן</t>
        </is>
      </c>
      <c r="P43" s="15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15" t="inlineStr">
        <is>
          <t>לא</t>
        </is>
      </c>
      <c r="V43" s="15" t="n"/>
      <c r="W43" s="15" t="n"/>
      <c r="X43" s="15" t="inlineStr">
        <is>
          <t>בחדר תצוגה</t>
        </is>
      </c>
      <c r="Y43" s="15" t="n"/>
      <c r="Z43" s="15" t="n"/>
      <c r="AA43" s="15" t="n"/>
      <c r="AB43" s="16" t="n"/>
      <c r="AC43" s="15" t="n"/>
      <c r="AD43" s="15" t="inlineStr">
        <is>
          <t>לא</t>
        </is>
      </c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15" t="inlineStr">
        <is>
          <t>OverGarment</t>
        </is>
      </c>
      <c r="B44" s="15" t="inlineStr">
        <is>
          <t>Gal Suit</t>
        </is>
      </c>
      <c r="C44" s="15" t="inlineStr">
        <is>
          <t>V1</t>
        </is>
      </c>
      <c r="D44" s="15" t="inlineStr">
        <is>
          <t>Gal VIS 2</t>
        </is>
      </c>
      <c r="E44">
        <f>IFERROR(INDEX('הגדרות'!$D$143:$D$224,MATCH(B44&amp;G44&amp;C44,'הגדרות'!$A$143:$A$224&amp;'הגדרות'!$B$143:$B$224&amp;'הגדרות'!$C$143:$C$224,0)),"")</f>
        <v/>
      </c>
      <c r="F44" s="16" t="n"/>
      <c r="G44" s="15" t="inlineStr">
        <is>
          <t>Mesh</t>
        </is>
      </c>
      <c r="H44" s="15" t="n"/>
      <c r="I44" s="15" t="n"/>
      <c r="J44" s="15" t="inlineStr">
        <is>
          <t>כן</t>
        </is>
      </c>
      <c r="K44" s="15" t="inlineStr">
        <is>
          <t>לא</t>
        </is>
      </c>
      <c r="L44" s="15" t="inlineStr">
        <is>
          <t>חסרים הרבה פיצ'רים</t>
        </is>
      </c>
      <c r="M44" s="15" t="inlineStr">
        <is>
          <t>Desert</t>
        </is>
      </c>
      <c r="N44" s="15" t="n"/>
      <c r="O44" s="15" t="inlineStr">
        <is>
          <t>כן</t>
        </is>
      </c>
      <c r="P44" s="15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15" t="inlineStr">
        <is>
          <t>לא</t>
        </is>
      </c>
      <c r="V44" s="15" t="n"/>
      <c r="W44" s="15" t="inlineStr">
        <is>
          <t>לא</t>
        </is>
      </c>
      <c r="X44" s="15" t="inlineStr">
        <is>
          <t>במלאי</t>
        </is>
      </c>
      <c r="Y44" s="15" t="n"/>
      <c r="Z44" s="15" t="n"/>
      <c r="AA44" s="15" t="n"/>
      <c r="AB44" s="16" t="n"/>
      <c r="AC44" s="15" t="inlineStr">
        <is>
          <t>מוצר ישן</t>
        </is>
      </c>
      <c r="AD44" s="15" t="inlineStr">
        <is>
          <t>לא</t>
        </is>
      </c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15" t="inlineStr">
        <is>
          <t>OverGarment</t>
        </is>
      </c>
      <c r="B45" s="15" t="inlineStr">
        <is>
          <t>Gal Suit</t>
        </is>
      </c>
      <c r="C45" s="15" t="inlineStr">
        <is>
          <t>V1</t>
        </is>
      </c>
      <c r="D45" s="15" t="inlineStr">
        <is>
          <t>Gal Double layers 1</t>
        </is>
      </c>
      <c r="E45">
        <f>IFERROR(INDEX('הגדרות'!$D$143:$D$224,MATCH(B45&amp;G45&amp;C45,'הגדרות'!$A$143:$A$224&amp;'הגדרות'!$B$143:$B$224&amp;'הגדרות'!$C$143:$C$224,0)),"")</f>
        <v/>
      </c>
      <c r="F45" s="16" t="n"/>
      <c r="G45" s="15" t="inlineStr">
        <is>
          <t>Mesh</t>
        </is>
      </c>
      <c r="H45" s="15" t="inlineStr">
        <is>
          <t>RIPSTOP</t>
        </is>
      </c>
      <c r="I45" s="15" t="n"/>
      <c r="J45" s="15" t="inlineStr">
        <is>
          <t>כן</t>
        </is>
      </c>
      <c r="K45" s="15" t="inlineStr">
        <is>
          <t>כן</t>
        </is>
      </c>
      <c r="L45" s="15" t="n"/>
      <c r="M45" s="15" t="inlineStr">
        <is>
          <t>NATO</t>
        </is>
      </c>
      <c r="N45" s="15" t="inlineStr">
        <is>
          <t>Woodland</t>
        </is>
      </c>
      <c r="O45" s="15" t="inlineStr">
        <is>
          <t>כן</t>
        </is>
      </c>
      <c r="P45" s="15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15" t="inlineStr">
        <is>
          <t>כן</t>
        </is>
      </c>
      <c r="V45" s="15" t="inlineStr">
        <is>
          <t>כן</t>
        </is>
      </c>
      <c r="W45" s="15" t="inlineStr">
        <is>
          <t>כן</t>
        </is>
      </c>
      <c r="X45" s="15" t="inlineStr">
        <is>
          <t>במלאי</t>
        </is>
      </c>
      <c r="Y45" s="15" t="n"/>
      <c r="Z45" s="15" t="n"/>
      <c r="AA45" s="15" t="n"/>
      <c r="AB45" s="16" t="n"/>
      <c r="AC45" s="15" t="n"/>
      <c r="AD45" s="15" t="inlineStr">
        <is>
          <t>לא</t>
        </is>
      </c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15" t="inlineStr">
        <is>
          <t>OverGarment</t>
        </is>
      </c>
      <c r="B46" s="15" t="inlineStr">
        <is>
          <t>Gal Suit</t>
        </is>
      </c>
      <c r="C46" s="15" t="inlineStr">
        <is>
          <t>V1</t>
        </is>
      </c>
      <c r="D46" s="15" t="inlineStr">
        <is>
          <t>Gal 1</t>
        </is>
      </c>
      <c r="E46">
        <f>IFERROR(INDEX('הגדרות'!$D$143:$D$224,MATCH(B46&amp;G46&amp;C46,'הגדרות'!$A$143:$A$224&amp;'הגדרות'!$B$143:$B$224&amp;'הגדרות'!$C$143:$C$224,0)),"")</f>
        <v/>
      </c>
      <c r="F46" s="16" t="n"/>
      <c r="G46" s="15" t="inlineStr">
        <is>
          <t>Mesh</t>
        </is>
      </c>
      <c r="H46" s="15" t="n"/>
      <c r="I46" s="15" t="n"/>
      <c r="J46" s="15" t="inlineStr">
        <is>
          <t>לא</t>
        </is>
      </c>
      <c r="K46" s="15" t="inlineStr">
        <is>
          <t>כן</t>
        </is>
      </c>
      <c r="L46" s="15" t="n"/>
      <c r="M46" s="15" t="inlineStr">
        <is>
          <t>Ever-Green</t>
        </is>
      </c>
      <c r="N46" s="15" t="inlineStr">
        <is>
          <t>Desert</t>
        </is>
      </c>
      <c r="O46" s="15" t="inlineStr">
        <is>
          <t>כן</t>
        </is>
      </c>
      <c r="P46" s="15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15" t="inlineStr">
        <is>
          <t>כן</t>
        </is>
      </c>
      <c r="V46" s="15" t="inlineStr">
        <is>
          <t>כן</t>
        </is>
      </c>
      <c r="W46" s="15" t="n"/>
      <c r="X46" s="15" t="inlineStr">
        <is>
          <t>במלאי</t>
        </is>
      </c>
      <c r="Y46" s="15" t="n"/>
      <c r="Z46" s="15" t="n"/>
      <c r="AA46" s="15" t="n"/>
      <c r="AB46" s="16" t="n"/>
      <c r="AC46" s="15" t="n"/>
      <c r="AD46" s="15" t="inlineStr">
        <is>
          <t>לא</t>
        </is>
      </c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15" t="inlineStr">
        <is>
          <t>Platform Hide Site</t>
        </is>
      </c>
      <c r="B47" s="15" t="inlineStr">
        <is>
          <t>GMV</t>
        </is>
      </c>
      <c r="C47" s="15" t="n"/>
      <c r="D47" s="15" t="inlineStr">
        <is>
          <t>GMV 1 לא מטופל</t>
        </is>
      </c>
      <c r="E47">
        <f>IFERROR(INDEX('הגדרות'!$D$143:$D$224,MATCH(B47&amp;G47&amp;C47,'הגדרות'!$A$143:$A$224&amp;'הגדרות'!$B$143:$B$224&amp;'הגדרות'!$C$143:$C$224,0)),"")</f>
        <v/>
      </c>
      <c r="F47" s="16" t="n"/>
      <c r="G47" s="15" t="inlineStr">
        <is>
          <t>רשת רכב</t>
        </is>
      </c>
      <c r="H47" s="15" t="n"/>
      <c r="I47" s="15" t="n"/>
      <c r="J47" s="15" t="n"/>
      <c r="K47" s="15" t="n"/>
      <c r="L47" s="15" t="n"/>
      <c r="M47" s="15" t="inlineStr">
        <is>
          <t>Desert</t>
        </is>
      </c>
      <c r="N47" s="15" t="inlineStr">
        <is>
          <t>Desert-Green</t>
        </is>
      </c>
      <c r="O47" s="15" t="inlineStr">
        <is>
          <t>כן</t>
        </is>
      </c>
      <c r="P47" s="15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15" t="inlineStr">
        <is>
          <t>לא</t>
        </is>
      </c>
      <c r="V47" s="15" t="inlineStr">
        <is>
          <t>לא</t>
        </is>
      </c>
      <c r="W47" s="15" t="n"/>
      <c r="X47" s="15" t="inlineStr">
        <is>
          <t>במלאי</t>
        </is>
      </c>
      <c r="Y47" s="15" t="n"/>
      <c r="Z47" s="15" t="n"/>
      <c r="AA47" s="15" t="n"/>
      <c r="AB47" s="16" t="n"/>
      <c r="AC47" s="15" t="n"/>
      <c r="AD47" s="15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15" t="inlineStr">
        <is>
          <t>Platform Hide Site</t>
        </is>
      </c>
      <c r="B48" s="15" t="inlineStr">
        <is>
          <t>GMV</t>
        </is>
      </c>
      <c r="C48" s="15" t="n"/>
      <c r="D48" s="15" t="inlineStr">
        <is>
          <t>GMV 2 לא מטופל</t>
        </is>
      </c>
      <c r="E48">
        <f>IFERROR(INDEX('הגדרות'!$D$143:$D$224,MATCH(B48&amp;G48&amp;C48,'הגדרות'!$A$143:$A$224&amp;'הגדרות'!$B$143:$B$224&amp;'הגדרות'!$C$143:$C$224,0)),"")</f>
        <v/>
      </c>
      <c r="F48" s="16" t="n"/>
      <c r="G48" s="15" t="inlineStr">
        <is>
          <t>רשת רכב</t>
        </is>
      </c>
      <c r="H48" s="15" t="n"/>
      <c r="I48" s="15" t="n"/>
      <c r="J48" s="15" t="n"/>
      <c r="K48" s="15" t="n"/>
      <c r="L48" s="15" t="n"/>
      <c r="M48" s="15" t="inlineStr">
        <is>
          <t>Desert</t>
        </is>
      </c>
      <c r="N48" s="15" t="inlineStr">
        <is>
          <t>Desert-Green</t>
        </is>
      </c>
      <c r="O48" s="15" t="inlineStr">
        <is>
          <t>כן</t>
        </is>
      </c>
      <c r="P48" s="15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15" t="inlineStr">
        <is>
          <t>לא</t>
        </is>
      </c>
      <c r="V48" s="15" t="inlineStr">
        <is>
          <t>לא</t>
        </is>
      </c>
      <c r="W48" s="15" t="n"/>
      <c r="X48" s="15" t="inlineStr">
        <is>
          <t>במלאי</t>
        </is>
      </c>
      <c r="Y48" s="15" t="n"/>
      <c r="Z48" s="15" t="n"/>
      <c r="AA48" s="15" t="n"/>
      <c r="AB48" s="16" t="n"/>
      <c r="AC48" s="15" t="n"/>
      <c r="AD48" s="15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15" t="inlineStr">
        <is>
          <t>Uniform</t>
        </is>
      </c>
      <c r="B49" s="15" t="inlineStr">
        <is>
          <t>Headcover</t>
        </is>
      </c>
      <c r="C49" s="15" t="inlineStr">
        <is>
          <t>ELITE</t>
        </is>
      </c>
      <c r="D49" s="15" t="inlineStr">
        <is>
          <t>UNI 022</t>
        </is>
      </c>
      <c r="E49">
        <f>IFERROR(INDEX('הגדרות'!$D$143:$D$224,MATCH(B49&amp;G49&amp;C49,'הגדרות'!$A$143:$A$224&amp;'הגדרות'!$B$143:$B$224&amp;'הגדרות'!$C$143:$C$224,0)),"")</f>
        <v/>
      </c>
      <c r="F49" s="16" t="n"/>
      <c r="G49" s="15" t="inlineStr">
        <is>
          <t>Stretch</t>
        </is>
      </c>
      <c r="H49" s="15" t="n"/>
      <c r="I49" s="15" t="n"/>
      <c r="J49" s="15" t="n"/>
      <c r="K49" s="15" t="n"/>
      <c r="L49" s="15" t="inlineStr">
        <is>
          <t>Prototype 1, קצת דהוי</t>
        </is>
      </c>
      <c r="M49" s="15" t="inlineStr">
        <is>
          <t>Kestrel</t>
        </is>
      </c>
      <c r="N49" s="15" t="n"/>
      <c r="O49" s="15" t="inlineStr">
        <is>
          <t>כן</t>
        </is>
      </c>
      <c r="P49" s="15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15" t="n"/>
      <c r="V49" s="15" t="n"/>
      <c r="W49" s="15" t="n"/>
      <c r="X49" s="15" t="inlineStr">
        <is>
          <t>במלאי</t>
        </is>
      </c>
      <c r="Y49" s="15" t="n"/>
      <c r="Z49" s="15" t="n"/>
      <c r="AA49" s="15" t="n"/>
      <c r="AB49" s="16" t="n"/>
      <c r="AC49" s="15" t="n"/>
      <c r="AD49" s="15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15" t="inlineStr">
        <is>
          <t>Uniform</t>
        </is>
      </c>
      <c r="B50" s="15" t="inlineStr">
        <is>
          <t>Headcover</t>
        </is>
      </c>
      <c r="C50" s="15" t="n"/>
      <c r="D50" s="15" t="inlineStr">
        <is>
          <t>קסדה מרון 1</t>
        </is>
      </c>
      <c r="E50">
        <f>IFERROR(INDEX('הגדרות'!$D$143:$D$224,MATCH(B50&amp;G50&amp;C50,'הגדרות'!$A$143:$A$224&amp;'הגדרות'!$B$143:$B$224&amp;'הגדרות'!$C$143:$C$224,0)),"")</f>
        <v/>
      </c>
      <c r="F50" s="16" t="n"/>
      <c r="G50" s="15" t="inlineStr">
        <is>
          <t>Meron</t>
        </is>
      </c>
      <c r="H50" s="15" t="n"/>
      <c r="I50" s="15" t="n"/>
      <c r="J50" s="15" t="n"/>
      <c r="K50" s="15" t="n"/>
      <c r="L50" s="15" t="n"/>
      <c r="M50" s="15" t="inlineStr">
        <is>
          <t>Kestrel</t>
        </is>
      </c>
      <c r="N50" s="15" t="n"/>
      <c r="O50" s="15" t="inlineStr">
        <is>
          <t>כן</t>
        </is>
      </c>
      <c r="P50" s="15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15" t="n"/>
      <c r="V50" s="15" t="n"/>
      <c r="W50" s="15" t="n"/>
      <c r="X50" s="15" t="inlineStr">
        <is>
          <t>במלאי</t>
        </is>
      </c>
      <c r="Y50" s="15" t="n"/>
      <c r="Z50" s="15" t="n"/>
      <c r="AA50" s="15" t="n"/>
      <c r="AB50" s="16" t="n"/>
      <c r="AC50" s="15" t="n"/>
      <c r="AD50" s="15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15" t="inlineStr">
        <is>
          <t>Uniform</t>
        </is>
      </c>
      <c r="B51" s="15" t="inlineStr">
        <is>
          <t>Headcover</t>
        </is>
      </c>
      <c r="C51" s="15" t="inlineStr">
        <is>
          <t>ישראלי</t>
        </is>
      </c>
      <c r="D51" s="15" t="inlineStr">
        <is>
          <t>כיסוי ראש ישראלי 1</t>
        </is>
      </c>
      <c r="E51">
        <f>IFERROR(INDEX('הגדרות'!$D$143:$D$224,MATCH(B51&amp;G51&amp;C51,'הגדרות'!$A$143:$A$224&amp;'הגדרות'!$B$143:$B$224&amp;'הגדרות'!$C$143:$C$224,0)),"")</f>
        <v/>
      </c>
      <c r="F51" s="16" t="n"/>
      <c r="G51" s="15" t="inlineStr">
        <is>
          <t>Durable</t>
        </is>
      </c>
      <c r="H51" s="15" t="n"/>
      <c r="I51" s="15" t="n"/>
      <c r="J51" s="15" t="inlineStr">
        <is>
          <t>כן</t>
        </is>
      </c>
      <c r="K51" s="15" t="n"/>
      <c r="L51" s="15" t="n"/>
      <c r="M51" s="15" t="inlineStr">
        <is>
          <t>Kestrel</t>
        </is>
      </c>
      <c r="N51" s="15" t="n"/>
      <c r="O51" s="15" t="inlineStr">
        <is>
          <t>כן</t>
        </is>
      </c>
      <c r="P51" s="15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15" t="n"/>
      <c r="V51" s="15" t="n"/>
      <c r="W51" s="15" t="n"/>
      <c r="X51" s="15" t="inlineStr">
        <is>
          <t>במלאי</t>
        </is>
      </c>
      <c r="Y51" s="15" t="n"/>
      <c r="Z51" s="15" t="n"/>
      <c r="AA51" s="15" t="n"/>
      <c r="AB51" s="16" t="n"/>
      <c r="AC51" s="15" t="n"/>
      <c r="AD51" s="15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15" t="inlineStr">
        <is>
          <t>Uniform</t>
        </is>
      </c>
      <c r="B52" s="15" t="inlineStr">
        <is>
          <t>Headcover</t>
        </is>
      </c>
      <c r="C52" s="15" t="inlineStr">
        <is>
          <t>ישראלי</t>
        </is>
      </c>
      <c r="D52" s="15" t="inlineStr">
        <is>
          <t>כיסוי ראש ישראלי 2</t>
        </is>
      </c>
      <c r="E52">
        <f>IFERROR(INDEX('הגדרות'!$D$143:$D$224,MATCH(B52&amp;G52&amp;C52,'הגדרות'!$A$143:$A$224&amp;'הגדרות'!$B$143:$B$224&amp;'הגדרות'!$C$143:$C$224,0)),"")</f>
        <v/>
      </c>
      <c r="F52" s="16" t="n"/>
      <c r="G52" s="15" t="inlineStr">
        <is>
          <t>Durable</t>
        </is>
      </c>
      <c r="H52" s="15" t="n"/>
      <c r="I52" s="15" t="n"/>
      <c r="J52" s="15" t="inlineStr">
        <is>
          <t>כן</t>
        </is>
      </c>
      <c r="K52" s="15" t="n"/>
      <c r="L52" s="15" t="n"/>
      <c r="M52" s="15" t="inlineStr">
        <is>
          <t>Kestrel</t>
        </is>
      </c>
      <c r="N52" s="15" t="n"/>
      <c r="O52" s="15" t="inlineStr">
        <is>
          <t>כן</t>
        </is>
      </c>
      <c r="P52" s="15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15" t="n"/>
      <c r="V52" s="15" t="n"/>
      <c r="W52" s="15" t="n"/>
      <c r="X52" s="15" t="inlineStr">
        <is>
          <t>במלאי</t>
        </is>
      </c>
      <c r="Y52" s="15" t="n"/>
      <c r="Z52" s="15" t="n"/>
      <c r="AA52" s="15" t="n"/>
      <c r="AB52" s="16" t="n"/>
      <c r="AC52" s="15" t="n"/>
      <c r="AD52" s="15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15" t="inlineStr">
        <is>
          <t>Uniform</t>
        </is>
      </c>
      <c r="B53" s="15" t="inlineStr">
        <is>
          <t>Headcover</t>
        </is>
      </c>
      <c r="C53" s="15" t="inlineStr">
        <is>
          <t>ELITE</t>
        </is>
      </c>
      <c r="D53" s="15" t="inlineStr">
        <is>
          <t>UNI 021</t>
        </is>
      </c>
      <c r="E53">
        <f>IFERROR(INDEX('הגדרות'!$D$143:$D$224,MATCH(B53&amp;G53&amp;C53,'הגדרות'!$A$143:$A$224&amp;'הגדרות'!$B$143:$B$224&amp;'הגדרות'!$C$143:$C$224,0)),"")</f>
        <v/>
      </c>
      <c r="F53" s="16" t="n"/>
      <c r="G53" s="15" t="inlineStr">
        <is>
          <t>Durable</t>
        </is>
      </c>
      <c r="H53" s="15" t="n"/>
      <c r="I53" s="15" t="n"/>
      <c r="J53" s="15" t="n"/>
      <c r="K53" s="15" t="n"/>
      <c r="L53" s="15" t="n"/>
      <c r="M53" s="15" t="inlineStr">
        <is>
          <t>Kestrel</t>
        </is>
      </c>
      <c r="N53" s="15" t="n"/>
      <c r="O53" s="15" t="inlineStr">
        <is>
          <t>כן</t>
        </is>
      </c>
      <c r="P53" s="15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15" t="n"/>
      <c r="V53" s="15" t="n"/>
      <c r="W53" s="15" t="n"/>
      <c r="X53" s="15" t="inlineStr">
        <is>
          <t>במלאי</t>
        </is>
      </c>
      <c r="Y53" s="15" t="n"/>
      <c r="Z53" s="15" t="n"/>
      <c r="AA53" s="15" t="n"/>
      <c r="AB53" s="16" t="n"/>
      <c r="AC53" s="15" t="n"/>
      <c r="AD53" s="15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15" t="inlineStr">
        <is>
          <t>Uniform</t>
        </is>
      </c>
      <c r="B54" s="15" t="inlineStr">
        <is>
          <t>Headcover</t>
        </is>
      </c>
      <c r="C54" s="15" t="inlineStr">
        <is>
          <t>ELITE</t>
        </is>
      </c>
      <c r="D54" s="15" t="inlineStr">
        <is>
          <t>UNI 070</t>
        </is>
      </c>
      <c r="E54">
        <f>IFERROR(INDEX('הגדרות'!$D$143:$D$224,MATCH(B54&amp;G54&amp;C54,'הגדרות'!$A$143:$A$224&amp;'הגדרות'!$B$143:$B$224&amp;'הגדרות'!$C$143:$C$224,0)),"")</f>
        <v/>
      </c>
      <c r="F54" s="16" t="n"/>
      <c r="G54" s="15" t="inlineStr">
        <is>
          <t>Stretch</t>
        </is>
      </c>
      <c r="H54" s="15" t="n"/>
      <c r="I54" s="15" t="n"/>
      <c r="J54" s="15" t="n"/>
      <c r="K54" s="15" t="n"/>
      <c r="L54" s="15" t="n"/>
      <c r="M54" s="15" t="inlineStr">
        <is>
          <t>Kestrel</t>
        </is>
      </c>
      <c r="N54" s="15" t="n"/>
      <c r="O54" s="15" t="inlineStr">
        <is>
          <t>כן</t>
        </is>
      </c>
      <c r="P54" s="15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15" t="n"/>
      <c r="V54" s="15" t="n"/>
      <c r="W54" s="15" t="n"/>
      <c r="X54" s="15" t="inlineStr">
        <is>
          <t>במלאי</t>
        </is>
      </c>
      <c r="Y54" s="15" t="n"/>
      <c r="Z54" s="15" t="n"/>
      <c r="AA54" s="15" t="n"/>
      <c r="AB54" s="16" t="n"/>
      <c r="AC54" s="15" t="n"/>
      <c r="AD54" s="15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15" t="inlineStr">
        <is>
          <t>Uniform</t>
        </is>
      </c>
      <c r="B55" s="15" t="inlineStr">
        <is>
          <t>Headcover</t>
        </is>
      </c>
      <c r="C55" s="15" t="n"/>
      <c r="D55" s="15" t="inlineStr">
        <is>
          <t>UNI 060</t>
        </is>
      </c>
      <c r="E55">
        <f>IFERROR(INDEX('הגדרות'!$D$143:$D$224,MATCH(B55&amp;G55&amp;C55,'הגדרות'!$A$143:$A$224&amp;'הגדרות'!$B$143:$B$224&amp;'הגדרות'!$C$143:$C$224,0)),"")</f>
        <v/>
      </c>
      <c r="F55" s="16" t="n"/>
      <c r="G55" s="15" t="inlineStr">
        <is>
          <t>Stretch</t>
        </is>
      </c>
      <c r="H55" s="15" t="n"/>
      <c r="I55" s="15" t="n"/>
      <c r="J55" s="15" t="n"/>
      <c r="K55" s="15" t="inlineStr">
        <is>
          <t>לא</t>
        </is>
      </c>
      <c r="L55" s="15" t="inlineStr">
        <is>
          <t>בלי פתקית, לא ידוע אם תקין</t>
        </is>
      </c>
      <c r="M55" s="15" t="inlineStr">
        <is>
          <t>Kestrel</t>
        </is>
      </c>
      <c r="N55" s="15" t="n"/>
      <c r="O55" s="15" t="inlineStr">
        <is>
          <t>כן</t>
        </is>
      </c>
      <c r="P55" s="15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15" t="n"/>
      <c r="V55" s="15" t="n"/>
      <c r="W55" s="15" t="n"/>
      <c r="X55" s="15" t="inlineStr">
        <is>
          <t>במלאי</t>
        </is>
      </c>
      <c r="Y55" s="15" t="n"/>
      <c r="Z55" s="15" t="n"/>
      <c r="AA55" s="15" t="n"/>
      <c r="AB55" s="16" t="n"/>
      <c r="AC55" s="15" t="n"/>
      <c r="AD55" s="15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15" t="inlineStr">
        <is>
          <t>Uniform</t>
        </is>
      </c>
      <c r="B56" s="15" t="inlineStr">
        <is>
          <t>Headcover</t>
        </is>
      </c>
      <c r="C56" s="15" t="inlineStr">
        <is>
          <t>ELITE</t>
        </is>
      </c>
      <c r="D56" s="15" t="inlineStr">
        <is>
          <t>UNI 024</t>
        </is>
      </c>
      <c r="E56">
        <f>IFERROR(INDEX('הגדרות'!$D$143:$D$224,MATCH(B56&amp;G56&amp;C56,'הגדרות'!$A$143:$A$224&amp;'הגדרות'!$B$143:$B$224&amp;'הגדרות'!$C$143:$C$224,0)),"")</f>
        <v/>
      </c>
      <c r="F56" s="16" t="n"/>
      <c r="G56" s="15" t="inlineStr">
        <is>
          <t>Stretch</t>
        </is>
      </c>
      <c r="H56" s="15" t="n"/>
      <c r="I56" s="15" t="n"/>
      <c r="J56" s="15" t="n"/>
      <c r="K56" s="15" t="n"/>
      <c r="L56" s="15" t="n"/>
      <c r="M56" s="15" t="inlineStr">
        <is>
          <t>Fresh Snow</t>
        </is>
      </c>
      <c r="N56" s="15" t="n"/>
      <c r="O56" s="15" t="inlineStr">
        <is>
          <t>כן</t>
        </is>
      </c>
      <c r="P56" s="15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15" t="n"/>
      <c r="V56" s="15" t="n"/>
      <c r="W56" s="15" t="n"/>
      <c r="X56" s="15" t="inlineStr">
        <is>
          <t>במלאי</t>
        </is>
      </c>
      <c r="Y56" s="15" t="n"/>
      <c r="Z56" s="15" t="n"/>
      <c r="AA56" s="15" t="n"/>
      <c r="AB56" s="16" t="n"/>
      <c r="AC56" s="15" t="n"/>
      <c r="AD56" s="15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15" t="inlineStr">
        <is>
          <t>Uniform</t>
        </is>
      </c>
      <c r="B57" s="15" t="inlineStr">
        <is>
          <t>Headcover</t>
        </is>
      </c>
      <c r="C57" s="15" t="inlineStr">
        <is>
          <t>ELITE</t>
        </is>
      </c>
      <c r="D57" s="15" t="inlineStr">
        <is>
          <t>UNI 023</t>
        </is>
      </c>
      <c r="E57">
        <f>IFERROR(INDEX('הגדרות'!$D$143:$D$224,MATCH(B57&amp;G57&amp;C57,'הגדרות'!$A$143:$A$224&amp;'הגדרות'!$B$143:$B$224&amp;'הגדרות'!$C$143:$C$224,0)),"")</f>
        <v/>
      </c>
      <c r="F57" s="16" t="n"/>
      <c r="G57" s="15" t="inlineStr">
        <is>
          <t>Stretch</t>
        </is>
      </c>
      <c r="H57" s="15" t="n"/>
      <c r="I57" s="15" t="n"/>
      <c r="J57" s="15" t="n"/>
      <c r="K57" s="15" t="n"/>
      <c r="L57" s="15" t="n"/>
      <c r="M57" s="15" t="inlineStr">
        <is>
          <t>Kestrel</t>
        </is>
      </c>
      <c r="N57" s="15" t="n"/>
      <c r="O57" s="15" t="inlineStr">
        <is>
          <t>כן</t>
        </is>
      </c>
      <c r="P57" s="15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15" t="n"/>
      <c r="V57" s="15" t="n"/>
      <c r="W57" s="15" t="n"/>
      <c r="X57" s="15" t="inlineStr">
        <is>
          <t>במלאי</t>
        </is>
      </c>
      <c r="Y57" s="15" t="n"/>
      <c r="Z57" s="15" t="n"/>
      <c r="AA57" s="15" t="n"/>
      <c r="AB57" s="16" t="n"/>
      <c r="AC57" s="15" t="n"/>
      <c r="AD57" s="15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15" t="inlineStr">
        <is>
          <t>OverGarment</t>
        </is>
      </c>
      <c r="B58" s="15" t="inlineStr">
        <is>
          <t>Hobey Elite</t>
        </is>
      </c>
      <c r="C58" s="15" t="inlineStr">
        <is>
          <t>V1</t>
        </is>
      </c>
      <c r="D58" s="15" t="inlineStr">
        <is>
          <t>RIPSTOP Hobey 1</t>
        </is>
      </c>
      <c r="E58">
        <f>IFERROR(INDEX('הגדרות'!$D$143:$D$224,MATCH(B58&amp;G58&amp;C58,'הגדרות'!$A$143:$A$224&amp;'הגדרות'!$B$143:$B$224&amp;'הגדרות'!$C$143:$C$224,0)),"")</f>
        <v/>
      </c>
      <c r="F58" s="16" t="n"/>
      <c r="G58" s="15" t="inlineStr">
        <is>
          <t>RIPSTOP</t>
        </is>
      </c>
      <c r="H58" s="15" t="n"/>
      <c r="I58" s="15" t="n"/>
      <c r="J58" s="15" t="inlineStr">
        <is>
          <t>לא</t>
        </is>
      </c>
      <c r="K58" s="15" t="inlineStr">
        <is>
          <t>כן</t>
        </is>
      </c>
      <c r="L58" s="15" t="n"/>
      <c r="M58" s="15" t="inlineStr">
        <is>
          <t>Marine</t>
        </is>
      </c>
      <c r="N58" s="15" t="n"/>
      <c r="O58" s="15" t="inlineStr">
        <is>
          <t>כן</t>
        </is>
      </c>
      <c r="P58" s="15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15" t="inlineStr">
        <is>
          <t>כן</t>
        </is>
      </c>
      <c r="V58" s="15" t="n"/>
      <c r="W58" s="15" t="n"/>
      <c r="X58" s="15" t="inlineStr">
        <is>
          <t>במלאי</t>
        </is>
      </c>
      <c r="Y58" s="15" t="n"/>
      <c r="Z58" s="15" t="n"/>
      <c r="AA58" s="15" t="n"/>
      <c r="AB58" s="16" t="n"/>
      <c r="AC58" s="15" t="n"/>
      <c r="AD58" s="15" t="inlineStr">
        <is>
          <t>לא</t>
        </is>
      </c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15" t="inlineStr">
        <is>
          <t>OverGarment</t>
        </is>
      </c>
      <c r="B59" s="15" t="inlineStr">
        <is>
          <t>Hobey Elite</t>
        </is>
      </c>
      <c r="C59" s="15" t="inlineStr">
        <is>
          <t>V1</t>
        </is>
      </c>
      <c r="D59" s="15" t="inlineStr">
        <is>
          <t>Hobey 2</t>
        </is>
      </c>
      <c r="E59">
        <f>IFERROR(INDEX('הגדרות'!$D$143:$D$224,MATCH(B59&amp;G59&amp;C59,'הגדרות'!$A$143:$A$224&amp;'הגדרות'!$B$143:$B$224&amp;'הגדרות'!$C$143:$C$224,0)),"")</f>
        <v/>
      </c>
      <c r="F59" s="16" t="n"/>
      <c r="G59" s="15" t="inlineStr">
        <is>
          <t>Mesh</t>
        </is>
      </c>
      <c r="H59" s="15" t="n"/>
      <c r="I59" s="15" t="n"/>
      <c r="J59" s="15" t="inlineStr">
        <is>
          <t>לא</t>
        </is>
      </c>
      <c r="K59" s="15" t="inlineStr">
        <is>
          <t>כן</t>
        </is>
      </c>
      <c r="L59" s="15" t="n"/>
      <c r="M59" s="15" t="inlineStr">
        <is>
          <t>Woodland</t>
        </is>
      </c>
      <c r="N59" s="15" t="n"/>
      <c r="O59" s="15" t="inlineStr">
        <is>
          <t>כן</t>
        </is>
      </c>
      <c r="P59" s="15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15" t="inlineStr">
        <is>
          <t>כן</t>
        </is>
      </c>
      <c r="V59" s="15" t="n"/>
      <c r="W59" s="15" t="n"/>
      <c r="X59" s="15" t="inlineStr">
        <is>
          <t>במלאי</t>
        </is>
      </c>
      <c r="Y59" s="15" t="n"/>
      <c r="Z59" s="15" t="n"/>
      <c r="AA59" s="15" t="n"/>
      <c r="AB59" s="16" t="n"/>
      <c r="AC59" s="15" t="n"/>
      <c r="AD59" s="15" t="inlineStr">
        <is>
          <t>לא</t>
        </is>
      </c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15" t="inlineStr">
        <is>
          <t>OverGarment</t>
        </is>
      </c>
      <c r="B60" s="15" t="inlineStr">
        <is>
          <t>Hobey Elite</t>
        </is>
      </c>
      <c r="C60" s="15" t="inlineStr">
        <is>
          <t>V1</t>
        </is>
      </c>
      <c r="D60" s="15" t="inlineStr">
        <is>
          <t>Hobey 3</t>
        </is>
      </c>
      <c r="E60">
        <f>IFERROR(INDEX('הגדרות'!$D$143:$D$224,MATCH(B60&amp;G60&amp;C60,'הגדרות'!$A$143:$A$224&amp;'הגדרות'!$B$143:$B$224&amp;'הגדרות'!$C$143:$C$224,0)),"")</f>
        <v/>
      </c>
      <c r="F60" s="16" t="n"/>
      <c r="G60" s="15" t="inlineStr">
        <is>
          <t>Mesh</t>
        </is>
      </c>
      <c r="H60" s="15" t="n"/>
      <c r="I60" s="15" t="n"/>
      <c r="J60" s="15" t="inlineStr">
        <is>
          <t>לא</t>
        </is>
      </c>
      <c r="K60" s="15" t="inlineStr">
        <is>
          <t>כן</t>
        </is>
      </c>
      <c r="L60" s="15" t="n"/>
      <c r="M60" s="15" t="inlineStr">
        <is>
          <t>Marine</t>
        </is>
      </c>
      <c r="N60" s="15" t="n"/>
      <c r="O60" s="15" t="inlineStr">
        <is>
          <t>כן</t>
        </is>
      </c>
      <c r="P60" s="15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15" t="inlineStr">
        <is>
          <t>כן</t>
        </is>
      </c>
      <c r="V60" s="15" t="n"/>
      <c r="W60" s="15" t="n"/>
      <c r="X60" s="15" t="inlineStr">
        <is>
          <t>במלאי</t>
        </is>
      </c>
      <c r="Y60" s="15" t="n"/>
      <c r="Z60" s="15" t="n"/>
      <c r="AA60" s="15" t="n"/>
      <c r="AB60" s="16" t="n"/>
      <c r="AC60" s="15" t="n"/>
      <c r="AD60" s="15" t="inlineStr">
        <is>
          <t>לא</t>
        </is>
      </c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15" t="inlineStr">
        <is>
          <t>OverGarment</t>
        </is>
      </c>
      <c r="B61" s="15" t="inlineStr">
        <is>
          <t>Hobey Elite</t>
        </is>
      </c>
      <c r="C61" s="15" t="inlineStr">
        <is>
          <t>V1</t>
        </is>
      </c>
      <c r="D61" s="15" t="inlineStr">
        <is>
          <t>הובי תצוגה 1</t>
        </is>
      </c>
      <c r="E61">
        <f>IFERROR(INDEX('הגדרות'!$D$143:$D$224,MATCH(B61&amp;G61&amp;C61,'הגדרות'!$A$143:$A$224&amp;'הגדרות'!$B$143:$B$224&amp;'הגדרות'!$C$143:$C$224,0)),"")</f>
        <v/>
      </c>
      <c r="F61" s="16" t="n"/>
      <c r="G61" s="15" t="inlineStr">
        <is>
          <t>Mesh</t>
        </is>
      </c>
      <c r="H61" s="15" t="n"/>
      <c r="I61" s="15" t="n"/>
      <c r="J61" s="15" t="inlineStr">
        <is>
          <t>לא</t>
        </is>
      </c>
      <c r="K61" s="15" t="inlineStr">
        <is>
          <t>כן</t>
        </is>
      </c>
      <c r="L61" s="15" t="n"/>
      <c r="M61" s="15" t="inlineStr">
        <is>
          <t>Kestrel</t>
        </is>
      </c>
      <c r="N61" s="15" t="n"/>
      <c r="O61" s="15" t="inlineStr">
        <is>
          <t>כן</t>
        </is>
      </c>
      <c r="P61" s="15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15" t="inlineStr">
        <is>
          <t>כן</t>
        </is>
      </c>
      <c r="V61" s="15" t="n"/>
      <c r="W61" s="15" t="n"/>
      <c r="X61" s="15" t="inlineStr">
        <is>
          <t>בחדר תצוגה</t>
        </is>
      </c>
      <c r="Y61" s="15" t="n"/>
      <c r="Z61" s="15" t="n"/>
      <c r="AA61" s="15" t="n"/>
      <c r="AB61" s="16" t="n"/>
      <c r="AC61" s="15" t="n"/>
      <c r="AD61" s="15" t="inlineStr">
        <is>
          <t>לא</t>
        </is>
      </c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15" t="inlineStr">
        <is>
          <t>OverGarment</t>
        </is>
      </c>
      <c r="B62" s="15" t="inlineStr">
        <is>
          <t>Hobey Elite</t>
        </is>
      </c>
      <c r="C62" s="15" t="inlineStr">
        <is>
          <t>V1</t>
        </is>
      </c>
      <c r="D62" s="15" t="inlineStr">
        <is>
          <t>Hobey Arc 4</t>
        </is>
      </c>
      <c r="E62">
        <f>IFERROR(INDEX('הגדרות'!$D$143:$D$224,MATCH(B62&amp;G62&amp;C62,'הגדרות'!$A$143:$A$224&amp;'הגדרות'!$B$143:$B$224&amp;'הגדרות'!$C$143:$C$224,0)),"")</f>
        <v/>
      </c>
      <c r="F62" s="16" t="n"/>
      <c r="G62" s="15" t="inlineStr">
        <is>
          <t>Mesh</t>
        </is>
      </c>
      <c r="H62" s="15" t="n"/>
      <c r="I62" s="15" t="n"/>
      <c r="J62" s="15" t="inlineStr">
        <is>
          <t>לא</t>
        </is>
      </c>
      <c r="K62" s="15" t="n"/>
      <c r="L62" s="15" t="n"/>
      <c r="M62" s="15" t="inlineStr">
        <is>
          <t>Snirt Snow</t>
        </is>
      </c>
      <c r="N62" s="15" t="n"/>
      <c r="O62" s="15" t="inlineStr">
        <is>
          <t>כן</t>
        </is>
      </c>
      <c r="P62" s="15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15" t="inlineStr">
        <is>
          <t>כן</t>
        </is>
      </c>
      <c r="V62" s="15" t="inlineStr">
        <is>
          <t>כן</t>
        </is>
      </c>
      <c r="W62" s="15" t="inlineStr">
        <is>
          <t>כן</t>
        </is>
      </c>
      <c r="X62" s="15" t="inlineStr">
        <is>
          <t>במלאי</t>
        </is>
      </c>
      <c r="Y62" s="15" t="n"/>
      <c r="Z62" s="15" t="n"/>
      <c r="AA62" s="15" t="n"/>
      <c r="AB62" s="16" t="n"/>
      <c r="AC62" s="15" t="n"/>
      <c r="AD62" s="15" t="inlineStr">
        <is>
          <t>לא</t>
        </is>
      </c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15" t="inlineStr">
        <is>
          <t>Accessories</t>
        </is>
      </c>
      <c r="B63" s="15" t="inlineStr">
        <is>
          <t>HS Floor</t>
        </is>
      </c>
      <c r="C63" s="15" t="n"/>
      <c r="D63" s="15" t="inlineStr">
        <is>
          <t>Floor 1</t>
        </is>
      </c>
      <c r="E63">
        <f>IFERROR(INDEX('הגדרות'!$D$143:$D$224,MATCH(B63&amp;G63&amp;C63,'הגדרות'!$A$143:$A$224&amp;'הגדרות'!$B$143:$B$224&amp;'הגדרות'!$C$143:$C$224,0)),"")</f>
        <v/>
      </c>
      <c r="F63" s="16" t="n"/>
      <c r="G63" s="15" t="inlineStr">
        <is>
          <t>Durable</t>
        </is>
      </c>
      <c r="H63" s="15" t="n"/>
      <c r="I63" s="15" t="n"/>
      <c r="J63" s="15" t="n"/>
      <c r="K63" s="15" t="n"/>
      <c r="L63" s="15" t="n"/>
      <c r="M63" s="15" t="inlineStr">
        <is>
          <t>Fresh Snow</t>
        </is>
      </c>
      <c r="N63" s="15" t="inlineStr">
        <is>
          <t>Fresh Snow</t>
        </is>
      </c>
      <c r="O63" s="15" t="inlineStr">
        <is>
          <t>כן</t>
        </is>
      </c>
      <c r="P63" s="15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15" t="inlineStr">
        <is>
          <t>כן</t>
        </is>
      </c>
      <c r="V63" s="15" t="inlineStr">
        <is>
          <t>כן</t>
        </is>
      </c>
      <c r="W63" s="15" t="inlineStr">
        <is>
          <t>כן</t>
        </is>
      </c>
      <c r="X63" s="15" t="inlineStr">
        <is>
          <t>במלאי</t>
        </is>
      </c>
      <c r="Y63" s="15" t="n"/>
      <c r="Z63" s="15" t="n"/>
      <c r="AA63" s="15" t="n"/>
      <c r="AB63" s="16" t="n"/>
      <c r="AC63" s="15" t="n"/>
      <c r="AD63" s="15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15" t="inlineStr">
        <is>
          <t>Accessories</t>
        </is>
      </c>
      <c r="B64" s="15" t="inlineStr">
        <is>
          <t>HS Floor</t>
        </is>
      </c>
      <c r="C64" s="15" t="n"/>
      <c r="D64" s="15" t="inlineStr">
        <is>
          <t>Floor 2</t>
        </is>
      </c>
      <c r="E64">
        <f>IFERROR(INDEX('הגדרות'!$D$143:$D$224,MATCH(B64&amp;G64&amp;C64,'הגדרות'!$A$143:$A$224&amp;'הגדרות'!$B$143:$B$224&amp;'הגדרות'!$C$143:$C$224,0)),"")</f>
        <v/>
      </c>
      <c r="F64" s="16" t="n"/>
      <c r="G64" s="15" t="inlineStr">
        <is>
          <t>Durable</t>
        </is>
      </c>
      <c r="H64" s="15" t="n"/>
      <c r="I64" s="15" t="n"/>
      <c r="J64" s="15" t="n"/>
      <c r="K64" s="15" t="n"/>
      <c r="L64" s="15" t="inlineStr">
        <is>
          <t>מידה קטנה</t>
        </is>
      </c>
      <c r="M64" s="15" t="inlineStr">
        <is>
          <t>Fresh Snow</t>
        </is>
      </c>
      <c r="N64" s="15" t="inlineStr">
        <is>
          <t>Forest Green</t>
        </is>
      </c>
      <c r="O64" s="15" t="inlineStr">
        <is>
          <t>כן</t>
        </is>
      </c>
      <c r="P64" s="15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15" t="inlineStr">
        <is>
          <t>כן</t>
        </is>
      </c>
      <c r="V64" s="15" t="inlineStr">
        <is>
          <t>כן</t>
        </is>
      </c>
      <c r="W64" s="15" t="inlineStr">
        <is>
          <t>לא</t>
        </is>
      </c>
      <c r="X64" s="15" t="inlineStr">
        <is>
          <t>במלאי</t>
        </is>
      </c>
      <c r="Y64" s="15" t="n"/>
      <c r="Z64" s="15" t="n"/>
      <c r="AA64" s="15" t="n"/>
      <c r="AB64" s="16" t="n"/>
      <c r="AC64" s="15" t="n"/>
      <c r="AD64" s="15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15" t="inlineStr">
        <is>
          <t>Platform Hide Site</t>
        </is>
      </c>
      <c r="B65" s="15" t="inlineStr">
        <is>
          <t>LC79</t>
        </is>
      </c>
      <c r="C65" s="15" t="inlineStr">
        <is>
          <t>V1</t>
        </is>
      </c>
      <c r="D65" s="15" t="inlineStr">
        <is>
          <t>LC - 1 AMERICAN</t>
        </is>
      </c>
      <c r="E65">
        <f>IFERROR(INDEX('הגדרות'!$D$143:$D$224,MATCH(B65&amp;G65&amp;C65,'הגדרות'!$A$143:$A$224&amp;'הגדרות'!$B$143:$B$224&amp;'הגדרות'!$C$143:$C$224,0)),"")</f>
        <v/>
      </c>
      <c r="F65" s="16" t="n"/>
      <c r="G65" s="15" t="inlineStr">
        <is>
          <t>רשת רכב</t>
        </is>
      </c>
      <c r="H65" s="15" t="n"/>
      <c r="I65" s="15" t="n"/>
      <c r="J65" s="15" t="n"/>
      <c r="K65" s="15" t="inlineStr">
        <is>
          <t>כן</t>
        </is>
      </c>
      <c r="L65" s="15" t="inlineStr">
        <is>
          <t>נתפר בארה"ב</t>
        </is>
      </c>
      <c r="M65" s="15" t="inlineStr">
        <is>
          <t>Desert</t>
        </is>
      </c>
      <c r="N65" s="15" t="inlineStr">
        <is>
          <t>Desert-Green</t>
        </is>
      </c>
      <c r="O65" s="15" t="inlineStr">
        <is>
          <t>כן</t>
        </is>
      </c>
      <c r="P65" s="15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15" t="n"/>
      <c r="V65" s="15" t="n"/>
      <c r="W65" s="15" t="inlineStr">
        <is>
          <t>כן</t>
        </is>
      </c>
      <c r="X65" s="15" t="inlineStr">
        <is>
          <t>במלאי</t>
        </is>
      </c>
      <c r="Y65" s="15" t="n"/>
      <c r="Z65" s="15" t="n"/>
      <c r="AA65" s="15" t="n"/>
      <c r="AB65" s="16" t="n"/>
      <c r="AC65" s="15" t="n"/>
      <c r="AD65" s="15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15" t="inlineStr">
        <is>
          <t>Platform Hide Site</t>
        </is>
      </c>
      <c r="B66" s="15" t="inlineStr">
        <is>
          <t>LC79</t>
        </is>
      </c>
      <c r="C66" s="15" t="inlineStr">
        <is>
          <t>V1</t>
        </is>
      </c>
      <c r="D66" s="15" t="inlineStr">
        <is>
          <t>LC - 2</t>
        </is>
      </c>
      <c r="E66">
        <f>IFERROR(INDEX('הגדרות'!$D$143:$D$224,MATCH(B66&amp;G66&amp;C66,'הגדרות'!$A$143:$A$224&amp;'הגדרות'!$B$143:$B$224&amp;'הגדרות'!$C$143:$C$224,0)),"")</f>
        <v/>
      </c>
      <c r="F66" s="16" t="n"/>
      <c r="G66" s="15" t="inlineStr">
        <is>
          <t>רשת רכב</t>
        </is>
      </c>
      <c r="H66" s="15" t="n"/>
      <c r="I66" s="15" t="n"/>
      <c r="J66" s="15" t="n"/>
      <c r="K66" s="15" t="inlineStr">
        <is>
          <t>כן</t>
        </is>
      </c>
      <c r="L66" s="15" t="n"/>
      <c r="M66" s="15" t="inlineStr">
        <is>
          <t>Desert</t>
        </is>
      </c>
      <c r="N66" s="15" t="inlineStr">
        <is>
          <t>Desert-Green</t>
        </is>
      </c>
      <c r="O66" s="15" t="inlineStr">
        <is>
          <t>כן</t>
        </is>
      </c>
      <c r="P66" s="15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15" t="n"/>
      <c r="V66" s="15" t="n"/>
      <c r="W66" s="15" t="inlineStr">
        <is>
          <t>כן</t>
        </is>
      </c>
      <c r="X66" s="15" t="inlineStr">
        <is>
          <t>במלאי</t>
        </is>
      </c>
      <c r="Y66" s="15" t="n"/>
      <c r="Z66" s="15" t="n"/>
      <c r="AA66" s="15" t="n"/>
      <c r="AB66" s="16" t="n"/>
      <c r="AC66" s="15" t="n"/>
      <c r="AD66" s="15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15" t="inlineStr">
        <is>
          <t>OverGarment</t>
        </is>
      </c>
      <c r="B67" s="15" t="inlineStr">
        <is>
          <t>May Long Shirt</t>
        </is>
      </c>
      <c r="C67" s="15" t="inlineStr">
        <is>
          <t>ארוכה</t>
        </is>
      </c>
      <c r="D67" s="15" t="inlineStr">
        <is>
          <t>May Long 1</t>
        </is>
      </c>
      <c r="E67">
        <f>IFERROR(INDEX('הגדרות'!$D$143:$D$224,MATCH(B67&amp;G67&amp;C67,'הגדרות'!$A$143:$A$224&amp;'הגדרות'!$B$143:$B$224&amp;'הגדרות'!$C$143:$C$224,0)),"")</f>
        <v/>
      </c>
      <c r="F67" s="16" t="n"/>
      <c r="G67" s="15" t="inlineStr">
        <is>
          <t>RIPSTOP Double Layer</t>
        </is>
      </c>
      <c r="H67" s="15" t="n"/>
      <c r="I67" s="15" t="n"/>
      <c r="J67" s="15" t="inlineStr">
        <is>
          <t>כן</t>
        </is>
      </c>
      <c r="K67" s="15" t="inlineStr">
        <is>
          <t>לא</t>
        </is>
      </c>
      <c r="L67" s="15" t="n"/>
      <c r="M67" s="15" t="inlineStr">
        <is>
          <t>Desert Coyote</t>
        </is>
      </c>
      <c r="N67" s="15" t="inlineStr">
        <is>
          <t>NATO</t>
        </is>
      </c>
      <c r="O67" s="15" t="inlineStr">
        <is>
          <t>כן</t>
        </is>
      </c>
      <c r="P67" s="15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15" t="inlineStr">
        <is>
          <t>כן</t>
        </is>
      </c>
      <c r="V67" s="15" t="inlineStr">
        <is>
          <t>כן</t>
        </is>
      </c>
      <c r="W67" s="15" t="inlineStr">
        <is>
          <t>כן</t>
        </is>
      </c>
      <c r="X67" s="15" t="inlineStr">
        <is>
          <t>במלאי</t>
        </is>
      </c>
      <c r="Y67" s="15" t="n"/>
      <c r="Z67" s="15" t="n"/>
      <c r="AA67" s="15" t="n"/>
      <c r="AB67" s="16" t="n"/>
      <c r="AC67" s="15" t="n"/>
      <c r="AD67" s="15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15" t="inlineStr">
        <is>
          <t>OverGarment</t>
        </is>
      </c>
      <c r="B68" s="15" t="inlineStr">
        <is>
          <t>May Long Shirt</t>
        </is>
      </c>
      <c r="C68" s="15" t="inlineStr">
        <is>
          <t>ארוכה</t>
        </is>
      </c>
      <c r="D68" s="15" t="inlineStr">
        <is>
          <t>May Long 2</t>
        </is>
      </c>
      <c r="E68">
        <f>IFERROR(INDEX('הגדרות'!$D$143:$D$224,MATCH(B68&amp;G68&amp;C68,'הגדרות'!$A$143:$A$224&amp;'הגדרות'!$B$143:$B$224&amp;'הגדרות'!$C$143:$C$224,0)),"")</f>
        <v/>
      </c>
      <c r="F68" s="16" t="n"/>
      <c r="G68" s="15" t="inlineStr">
        <is>
          <t>RIPSTOP Double Layer</t>
        </is>
      </c>
      <c r="H68" s="15" t="n"/>
      <c r="I68" s="15" t="n"/>
      <c r="J68" s="15" t="inlineStr">
        <is>
          <t>כן</t>
        </is>
      </c>
      <c r="K68" s="15" t="inlineStr">
        <is>
          <t>לא</t>
        </is>
      </c>
      <c r="L68" s="15" t="n"/>
      <c r="M68" s="15" t="inlineStr">
        <is>
          <t>Desert Coyote</t>
        </is>
      </c>
      <c r="N68" s="15" t="inlineStr">
        <is>
          <t>NATO</t>
        </is>
      </c>
      <c r="O68" s="15" t="inlineStr">
        <is>
          <t>כן</t>
        </is>
      </c>
      <c r="P68" s="15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15" t="inlineStr">
        <is>
          <t>כן</t>
        </is>
      </c>
      <c r="V68" s="15" t="inlineStr">
        <is>
          <t>כן</t>
        </is>
      </c>
      <c r="W68" s="15" t="inlineStr">
        <is>
          <t>כן</t>
        </is>
      </c>
      <c r="X68" s="15" t="inlineStr">
        <is>
          <t>במלאי</t>
        </is>
      </c>
      <c r="Y68" s="15" t="n"/>
      <c r="Z68" s="15" t="n"/>
      <c r="AA68" s="15" t="n"/>
      <c r="AB68" s="16" t="n"/>
      <c r="AC68" s="15" t="n"/>
      <c r="AD68" s="15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15" t="inlineStr">
        <is>
          <t>OverGarment</t>
        </is>
      </c>
      <c r="B69" s="15" t="inlineStr">
        <is>
          <t>May Suit</t>
        </is>
      </c>
      <c r="C69" s="15" t="inlineStr">
        <is>
          <t>V1</t>
        </is>
      </c>
      <c r="D69" s="15" t="inlineStr">
        <is>
          <t>May3</t>
        </is>
      </c>
      <c r="E69">
        <f>IFERROR(INDEX('הגדרות'!$D$143:$D$224,MATCH(B69&amp;G69&amp;C69,'הגדרות'!$A$143:$A$224&amp;'הגדרות'!$B$143:$B$224&amp;'הגדרות'!$C$143:$C$224,0)),"")</f>
        <v/>
      </c>
      <c r="F69" s="16" t="n"/>
      <c r="G69" s="15" t="inlineStr">
        <is>
          <t>RIPSTOP Double Layer</t>
        </is>
      </c>
      <c r="H69" s="15" t="n"/>
      <c r="I69" s="15" t="n"/>
      <c r="J69" s="15" t="inlineStr">
        <is>
          <t>לא</t>
        </is>
      </c>
      <c r="K69" s="15" t="inlineStr">
        <is>
          <t>כן</t>
        </is>
      </c>
      <c r="L69" s="15" t="n"/>
      <c r="M69" s="15" t="inlineStr">
        <is>
          <t>Forest Green</t>
        </is>
      </c>
      <c r="N69" s="15" t="inlineStr">
        <is>
          <t>NATO</t>
        </is>
      </c>
      <c r="O69" s="15" t="inlineStr">
        <is>
          <t>כן</t>
        </is>
      </c>
      <c r="P69" s="15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15" t="inlineStr">
        <is>
          <t>כן</t>
        </is>
      </c>
      <c r="V69" s="15" t="inlineStr">
        <is>
          <t>כן</t>
        </is>
      </c>
      <c r="W69" s="15" t="n"/>
      <c r="X69" s="15" t="inlineStr">
        <is>
          <t>במלאי</t>
        </is>
      </c>
      <c r="Y69" s="15" t="n"/>
      <c r="Z69" s="15" t="n"/>
      <c r="AA69" s="15" t="n"/>
      <c r="AB69" s="16" t="n"/>
      <c r="AC69" s="15" t="n"/>
      <c r="AD69" s="15" t="inlineStr">
        <is>
          <t>לא</t>
        </is>
      </c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15" t="inlineStr">
        <is>
          <t>OverGarment</t>
        </is>
      </c>
      <c r="B70" s="15" t="inlineStr">
        <is>
          <t>May Suit</t>
        </is>
      </c>
      <c r="C70" s="15" t="inlineStr">
        <is>
          <t>V1</t>
        </is>
      </c>
      <c r="D70" s="15" t="inlineStr">
        <is>
          <t>May4</t>
        </is>
      </c>
      <c r="E70">
        <f>IFERROR(INDEX('הגדרות'!$D$143:$D$224,MATCH(B70&amp;G70&amp;C70,'הגדרות'!$A$143:$A$224&amp;'הגדרות'!$B$143:$B$224&amp;'הגדרות'!$C$143:$C$224,0)),"")</f>
        <v/>
      </c>
      <c r="F70" s="16" t="n"/>
      <c r="G70" s="15" t="inlineStr">
        <is>
          <t>RIPSTOP Double Layer</t>
        </is>
      </c>
      <c r="H70" s="15" t="n"/>
      <c r="I70" s="15" t="n"/>
      <c r="J70" s="15" t="inlineStr">
        <is>
          <t>לא</t>
        </is>
      </c>
      <c r="K70" s="15" t="inlineStr">
        <is>
          <t>כן</t>
        </is>
      </c>
      <c r="L70" s="15" t="n"/>
      <c r="M70" s="15" t="inlineStr">
        <is>
          <t>Forest Green</t>
        </is>
      </c>
      <c r="N70" s="15" t="inlineStr">
        <is>
          <t>NATO</t>
        </is>
      </c>
      <c r="O70" s="15" t="inlineStr">
        <is>
          <t>כן</t>
        </is>
      </c>
      <c r="P70" s="15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15" t="inlineStr">
        <is>
          <t>כן</t>
        </is>
      </c>
      <c r="V70" s="15" t="inlineStr">
        <is>
          <t>כן</t>
        </is>
      </c>
      <c r="W70" s="15" t="n"/>
      <c r="X70" s="15" t="inlineStr">
        <is>
          <t>במלאי</t>
        </is>
      </c>
      <c r="Y70" s="15" t="n"/>
      <c r="Z70" s="15" t="n"/>
      <c r="AA70" s="15" t="n"/>
      <c r="AB70" s="16" t="n"/>
      <c r="AC70" s="15" t="n"/>
      <c r="AD70" s="15" t="inlineStr">
        <is>
          <t>לא</t>
        </is>
      </c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15" t="inlineStr">
        <is>
          <t>OverGarment</t>
        </is>
      </c>
      <c r="B71" s="15" t="inlineStr">
        <is>
          <t>May Suit</t>
        </is>
      </c>
      <c r="C71" s="15" t="inlineStr">
        <is>
          <t>V1</t>
        </is>
      </c>
      <c r="D71" s="15" t="inlineStr">
        <is>
          <t>מאי תצוגה</t>
        </is>
      </c>
      <c r="E71">
        <f>IFERROR(INDEX('הגדרות'!$D$143:$D$224,MATCH(B71&amp;G71&amp;C71,'הגדרות'!$A$143:$A$224&amp;'הגדרות'!$B$143:$B$224&amp;'הגדרות'!$C$143:$C$224,0)),"")</f>
        <v/>
      </c>
      <c r="F71" s="16" t="n"/>
      <c r="G71" s="15" t="inlineStr">
        <is>
          <t>RIPSTOP Double Layer</t>
        </is>
      </c>
      <c r="H71" s="15" t="n"/>
      <c r="I71" s="15" t="n"/>
      <c r="J71" s="15" t="inlineStr">
        <is>
          <t>לא</t>
        </is>
      </c>
      <c r="K71" s="15" t="inlineStr">
        <is>
          <t>כן</t>
        </is>
      </c>
      <c r="L71" s="15" t="inlineStr">
        <is>
          <t>עליון רק צד אחד</t>
        </is>
      </c>
      <c r="M71" s="15" t="inlineStr">
        <is>
          <t>Forest Green</t>
        </is>
      </c>
      <c r="N71" s="15" t="inlineStr">
        <is>
          <t>NATO</t>
        </is>
      </c>
      <c r="O71" s="15" t="inlineStr">
        <is>
          <t>לא</t>
        </is>
      </c>
      <c r="P71" s="15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15" t="inlineStr">
        <is>
          <t>כן</t>
        </is>
      </c>
      <c r="V71" s="15" t="inlineStr">
        <is>
          <t>כן</t>
        </is>
      </c>
      <c r="W71" s="15" t="n"/>
      <c r="X71" s="15" t="inlineStr">
        <is>
          <t>בחדר תצוגה</t>
        </is>
      </c>
      <c r="Y71" s="15" t="n"/>
      <c r="Z71" s="15" t="n"/>
      <c r="AA71" s="15" t="n"/>
      <c r="AB71" s="16" t="n"/>
      <c r="AC71" s="15" t="n"/>
      <c r="AD71" s="15" t="inlineStr">
        <is>
          <t>לא</t>
        </is>
      </c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15" t="inlineStr">
        <is>
          <t>OverGarment</t>
        </is>
      </c>
      <c r="B72" s="15" t="inlineStr">
        <is>
          <t>May Suit</t>
        </is>
      </c>
      <c r="C72" s="15" t="inlineStr">
        <is>
          <t>V1</t>
        </is>
      </c>
      <c r="D72" s="15" t="inlineStr">
        <is>
          <t>מאי הדגמה</t>
        </is>
      </c>
      <c r="E72">
        <f>IFERROR(INDEX('הגדרות'!$D$143:$D$224,MATCH(B72&amp;G72&amp;C72,'הגדרות'!$A$143:$A$224&amp;'הגדרות'!$B$143:$B$224&amp;'הגדרות'!$C$143:$C$224,0)),"")</f>
        <v/>
      </c>
      <c r="F72" s="16" t="n"/>
      <c r="G72" s="15" t="inlineStr">
        <is>
          <t>RIPSTOP Double Layer</t>
        </is>
      </c>
      <c r="H72" s="15" t="n"/>
      <c r="I72" s="15" t="n"/>
      <c r="J72" s="15" t="inlineStr">
        <is>
          <t>לא</t>
        </is>
      </c>
      <c r="K72" s="15" t="inlineStr">
        <is>
          <t>כן</t>
        </is>
      </c>
      <c r="L72" s="15" t="n"/>
      <c r="M72" s="15" t="inlineStr">
        <is>
          <t>Forest Green</t>
        </is>
      </c>
      <c r="N72" s="15" t="inlineStr">
        <is>
          <t>NATO</t>
        </is>
      </c>
      <c r="O72" s="15" t="inlineStr">
        <is>
          <t>כן</t>
        </is>
      </c>
      <c r="P72" s="15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15" t="inlineStr">
        <is>
          <t>כן</t>
        </is>
      </c>
      <c r="V72" s="15" t="inlineStr">
        <is>
          <t>כן</t>
        </is>
      </c>
      <c r="W72" s="15" t="n"/>
      <c r="X72" s="15" t="inlineStr">
        <is>
          <t>במלאי</t>
        </is>
      </c>
      <c r="Y72" s="15" t="n"/>
      <c r="Z72" s="15" t="n"/>
      <c r="AA72" s="15" t="n"/>
      <c r="AB72" s="16" t="n"/>
      <c r="AC72" s="15" t="n"/>
      <c r="AD72" s="15" t="inlineStr">
        <is>
          <t>לא</t>
        </is>
      </c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15" t="inlineStr">
        <is>
          <t>OverGarment</t>
        </is>
      </c>
      <c r="B73" s="15" t="inlineStr">
        <is>
          <t>May Suit</t>
        </is>
      </c>
      <c r="C73" s="15" t="inlineStr">
        <is>
          <t>V1</t>
        </is>
      </c>
      <c r="D73" s="15" t="inlineStr">
        <is>
          <t>May Desert 1</t>
        </is>
      </c>
      <c r="E73">
        <f>IFERROR(INDEX('הגדרות'!$D$143:$D$224,MATCH(B73&amp;G73&amp;C73,'הגדרות'!$A$143:$A$224&amp;'הגדרות'!$B$143:$B$224&amp;'הגדרות'!$C$143:$C$224,0)),"")</f>
        <v/>
      </c>
      <c r="F73" s="16" t="n"/>
      <c r="G73" s="15" t="inlineStr">
        <is>
          <t>RIPSTOP Double Layer</t>
        </is>
      </c>
      <c r="H73" s="15" t="n"/>
      <c r="I73" s="15" t="n"/>
      <c r="J73" s="15" t="inlineStr">
        <is>
          <t>לא</t>
        </is>
      </c>
      <c r="K73" s="15" t="inlineStr">
        <is>
          <t>כן</t>
        </is>
      </c>
      <c r="L73" s="15" t="n"/>
      <c r="M73" s="15" t="inlineStr">
        <is>
          <t>Desert Coyote</t>
        </is>
      </c>
      <c r="N73" s="15" t="inlineStr">
        <is>
          <t>Desert Coyote</t>
        </is>
      </c>
      <c r="O73" s="15" t="inlineStr">
        <is>
          <t>כן</t>
        </is>
      </c>
      <c r="P73" s="15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15" t="inlineStr">
        <is>
          <t>כן</t>
        </is>
      </c>
      <c r="V73" s="15" t="inlineStr">
        <is>
          <t>כן</t>
        </is>
      </c>
      <c r="W73" s="15" t="n"/>
      <c r="X73" s="15" t="inlineStr">
        <is>
          <t>במלאי</t>
        </is>
      </c>
      <c r="Y73" s="15" t="n"/>
      <c r="Z73" s="15" t="n"/>
      <c r="AA73" s="15" t="n"/>
      <c r="AB73" s="16" t="n"/>
      <c r="AC73" s="15" t="n"/>
      <c r="AD73" s="15" t="inlineStr">
        <is>
          <t>לא</t>
        </is>
      </c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15" t="inlineStr">
        <is>
          <t>OverGarment</t>
        </is>
      </c>
      <c r="B74" s="15" t="inlineStr">
        <is>
          <t>May Suit</t>
        </is>
      </c>
      <c r="C74" s="15" t="inlineStr">
        <is>
          <t>V1</t>
        </is>
      </c>
      <c r="D74" s="15" t="inlineStr">
        <is>
          <t>May Desert 2</t>
        </is>
      </c>
      <c r="E74">
        <f>IFERROR(INDEX('הגדרות'!$D$143:$D$224,MATCH(B74&amp;G74&amp;C74,'הגדרות'!$A$143:$A$224&amp;'הגדרות'!$B$143:$B$224&amp;'הגדרות'!$C$143:$C$224,0)),"")</f>
        <v/>
      </c>
      <c r="F74" s="16" t="n"/>
      <c r="G74" s="15" t="inlineStr">
        <is>
          <t>RIPSTOP Double Layer</t>
        </is>
      </c>
      <c r="H74" s="15" t="n"/>
      <c r="I74" s="15" t="n"/>
      <c r="J74" s="15" t="inlineStr">
        <is>
          <t>לא</t>
        </is>
      </c>
      <c r="K74" s="15" t="inlineStr">
        <is>
          <t>כן</t>
        </is>
      </c>
      <c r="L74" s="15" t="n"/>
      <c r="M74" s="15" t="inlineStr">
        <is>
          <t>Desert Coyote</t>
        </is>
      </c>
      <c r="N74" s="15" t="inlineStr">
        <is>
          <t>Desert Coyote</t>
        </is>
      </c>
      <c r="O74" s="15" t="inlineStr">
        <is>
          <t>כן</t>
        </is>
      </c>
      <c r="P74" s="15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15" t="inlineStr">
        <is>
          <t>כן</t>
        </is>
      </c>
      <c r="V74" s="15" t="inlineStr">
        <is>
          <t>כן</t>
        </is>
      </c>
      <c r="W74" s="15" t="n"/>
      <c r="X74" s="15" t="inlineStr">
        <is>
          <t>במלאי</t>
        </is>
      </c>
      <c r="Y74" s="15" t="n"/>
      <c r="Z74" s="15" t="n"/>
      <c r="AA74" s="15" t="n"/>
      <c r="AB74" s="16" t="n"/>
      <c r="AC74" s="15" t="n"/>
      <c r="AD74" s="15" t="inlineStr">
        <is>
          <t>לא</t>
        </is>
      </c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15" t="inlineStr">
        <is>
          <t>OverGarment</t>
        </is>
      </c>
      <c r="B75" s="15" t="inlineStr">
        <is>
          <t>May Suit</t>
        </is>
      </c>
      <c r="C75" s="15" t="inlineStr">
        <is>
          <t>V1</t>
        </is>
      </c>
      <c r="D75" s="15" t="inlineStr">
        <is>
          <t>May Desert 3</t>
        </is>
      </c>
      <c r="E75">
        <f>IFERROR(INDEX('הגדרות'!$D$143:$D$224,MATCH(B75&amp;G75&amp;C75,'הגדרות'!$A$143:$A$224&amp;'הגדרות'!$B$143:$B$224&amp;'הגדרות'!$C$143:$C$224,0)),"")</f>
        <v/>
      </c>
      <c r="F75" s="16" t="n"/>
      <c r="G75" s="15" t="inlineStr">
        <is>
          <t>RIPSTOP Double Layer</t>
        </is>
      </c>
      <c r="H75" s="15" t="n"/>
      <c r="I75" s="15" t="n"/>
      <c r="J75" s="15" t="inlineStr">
        <is>
          <t>לא</t>
        </is>
      </c>
      <c r="K75" s="15" t="inlineStr">
        <is>
          <t>כן</t>
        </is>
      </c>
      <c r="L75" s="15" t="n"/>
      <c r="M75" s="15" t="inlineStr">
        <is>
          <t>Desert Coyote</t>
        </is>
      </c>
      <c r="N75" s="15" t="inlineStr">
        <is>
          <t>Desert Coyote</t>
        </is>
      </c>
      <c r="O75" s="15" t="inlineStr">
        <is>
          <t>כן</t>
        </is>
      </c>
      <c r="P75" s="15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15" t="inlineStr">
        <is>
          <t>כן</t>
        </is>
      </c>
      <c r="V75" s="15" t="inlineStr">
        <is>
          <t>כן</t>
        </is>
      </c>
      <c r="W75" s="15" t="n"/>
      <c r="X75" s="15" t="inlineStr">
        <is>
          <t>במלאי</t>
        </is>
      </c>
      <c r="Y75" s="15" t="n"/>
      <c r="Z75" s="15" t="n"/>
      <c r="AA75" s="15" t="n"/>
      <c r="AB75" s="16" t="n"/>
      <c r="AC75" s="15" t="n"/>
      <c r="AD75" s="15" t="inlineStr">
        <is>
          <t>לא</t>
        </is>
      </c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15" t="inlineStr">
        <is>
          <t>OverGarment</t>
        </is>
      </c>
      <c r="B76" s="15" t="inlineStr">
        <is>
          <t>May Suit</t>
        </is>
      </c>
      <c r="C76" s="15" t="inlineStr">
        <is>
          <t>V1</t>
        </is>
      </c>
      <c r="D76" s="15" t="inlineStr">
        <is>
          <t>May Desert 4</t>
        </is>
      </c>
      <c r="E76">
        <f>IFERROR(INDEX('הגדרות'!$D$143:$D$224,MATCH(B76&amp;G76&amp;C76,'הגדרות'!$A$143:$A$224&amp;'הגדרות'!$B$143:$B$224&amp;'הגדרות'!$C$143:$C$224,0)),"")</f>
        <v/>
      </c>
      <c r="F76" s="16" t="n"/>
      <c r="G76" s="15" t="inlineStr">
        <is>
          <t>RIPSTOP Double Layer</t>
        </is>
      </c>
      <c r="H76" s="15" t="n"/>
      <c r="I76" s="15" t="n"/>
      <c r="J76" s="15" t="inlineStr">
        <is>
          <t>לא</t>
        </is>
      </c>
      <c r="K76" s="15" t="inlineStr">
        <is>
          <t>כן</t>
        </is>
      </c>
      <c r="L76" s="15" t="n"/>
      <c r="M76" s="15" t="inlineStr">
        <is>
          <t>Desert Coyote</t>
        </is>
      </c>
      <c r="N76" s="15" t="inlineStr">
        <is>
          <t>Desert Coyote</t>
        </is>
      </c>
      <c r="O76" s="15" t="inlineStr">
        <is>
          <t>כן</t>
        </is>
      </c>
      <c r="P76" s="15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15" t="inlineStr">
        <is>
          <t>כן</t>
        </is>
      </c>
      <c r="V76" s="15" t="inlineStr">
        <is>
          <t>כן</t>
        </is>
      </c>
      <c r="W76" s="15" t="n"/>
      <c r="X76" s="15" t="inlineStr">
        <is>
          <t>במלאי</t>
        </is>
      </c>
      <c r="Y76" s="15" t="n"/>
      <c r="Z76" s="15" t="n"/>
      <c r="AA76" s="15" t="n"/>
      <c r="AB76" s="16" t="n"/>
      <c r="AC76" s="15" t="n"/>
      <c r="AD76" s="15" t="inlineStr">
        <is>
          <t>לא</t>
        </is>
      </c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15" t="inlineStr">
        <is>
          <t>Platform Hide Site</t>
        </is>
      </c>
      <c r="B77" s="15" t="inlineStr">
        <is>
          <t>MRZR cover</t>
        </is>
      </c>
      <c r="C77" s="15" t="inlineStr">
        <is>
          <t>alpha</t>
        </is>
      </c>
      <c r="D77" s="15" t="inlineStr">
        <is>
          <t>mrzr alpha 9*12</t>
        </is>
      </c>
      <c r="E77">
        <f>IFERROR(INDEX('הגדרות'!$D$143:$D$224,MATCH(B77&amp;G77&amp;C77,'הגדרות'!$A$143:$A$224&amp;'הגדרות'!$B$143:$B$224&amp;'הגדרות'!$C$143:$C$224,0)),"")</f>
        <v/>
      </c>
      <c r="F77" s="16" t="n"/>
      <c r="G77" s="15" t="inlineStr">
        <is>
          <t>רשת רכב</t>
        </is>
      </c>
      <c r="H77" s="15" t="n"/>
      <c r="I77" s="15" t="n"/>
      <c r="J77" s="15" t="n"/>
      <c r="K77" s="15" t="n"/>
      <c r="L77" s="15" t="n"/>
      <c r="M77" s="15" t="inlineStr">
        <is>
          <t>Desert-Green</t>
        </is>
      </c>
      <c r="N77" s="15" t="inlineStr">
        <is>
          <t>Desert</t>
        </is>
      </c>
      <c r="O77" s="15" t="inlineStr">
        <is>
          <t>כן</t>
        </is>
      </c>
      <c r="P77" s="15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15" t="n"/>
      <c r="V77" s="15" t="n"/>
      <c r="W77" s="15" t="n"/>
      <c r="X77" s="15" t="inlineStr">
        <is>
          <t>במלאי</t>
        </is>
      </c>
      <c r="Y77" s="15" t="n"/>
      <c r="Z77" s="15" t="n"/>
      <c r="AA77" s="15" t="n"/>
      <c r="AB77" s="16" t="n"/>
      <c r="AC77" s="15" t="n"/>
      <c r="AD77" s="15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15" t="inlineStr">
        <is>
          <t>Hide Site</t>
        </is>
      </c>
      <c r="B78" s="15" t="inlineStr">
        <is>
          <t>Operators HS</t>
        </is>
      </c>
      <c r="C78" s="15" t="inlineStr">
        <is>
          <t>V1</t>
        </is>
      </c>
      <c r="D78" s="15" t="inlineStr">
        <is>
          <t>עמדת חוליה 1 הדגמה</t>
        </is>
      </c>
      <c r="E78">
        <f>IFERROR(INDEX('הגדרות'!$D$143:$D$224,MATCH(B78&amp;G78&amp;C78,'הגדרות'!$A$143:$A$224&amp;'הגדרות'!$B$143:$B$224&amp;'הגדרות'!$C$143:$C$224,0)),"")</f>
        <v/>
      </c>
      <c r="F78" s="16" t="n"/>
      <c r="G78" s="15" t="inlineStr">
        <is>
          <t>רשת רכב</t>
        </is>
      </c>
      <c r="H78" s="15" t="n"/>
      <c r="I78" s="15" t="n"/>
      <c r="J78" s="15" t="inlineStr">
        <is>
          <t>לא</t>
        </is>
      </c>
      <c r="K78" s="15" t="inlineStr">
        <is>
          <t>כן</t>
        </is>
      </c>
      <c r="L78" s="15" t="n"/>
      <c r="M78" s="15" t="inlineStr">
        <is>
          <t>Desert</t>
        </is>
      </c>
      <c r="N78" s="15" t="inlineStr">
        <is>
          <t>Desert-Green</t>
        </is>
      </c>
      <c r="O78" s="15" t="inlineStr">
        <is>
          <t>כן</t>
        </is>
      </c>
      <c r="P78" s="15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15" t="inlineStr">
        <is>
          <t>כן</t>
        </is>
      </c>
      <c r="V78" s="15" t="inlineStr">
        <is>
          <t>כן</t>
        </is>
      </c>
      <c r="W78" s="15" t="n"/>
      <c r="X78" s="15" t="inlineStr">
        <is>
          <t>במלאי</t>
        </is>
      </c>
      <c r="Y78" s="15" t="n"/>
      <c r="Z78" s="15" t="n"/>
      <c r="AA78" s="15" t="n"/>
      <c r="AB78" s="16" t="n"/>
      <c r="AC78" s="15" t="n"/>
      <c r="AD78" s="15" t="inlineStr">
        <is>
          <t>לא</t>
        </is>
      </c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15" t="inlineStr">
        <is>
          <t>Hide Site</t>
        </is>
      </c>
      <c r="B79" s="15" t="inlineStr">
        <is>
          <t>Operators HS</t>
        </is>
      </c>
      <c r="C79" s="15" t="inlineStr">
        <is>
          <t>V1</t>
        </is>
      </c>
      <c r="D79" s="15" t="inlineStr">
        <is>
          <t>Op HS 2</t>
        </is>
      </c>
      <c r="E79">
        <f>IFERROR(INDEX('הגדרות'!$D$143:$D$224,MATCH(B79&amp;G79&amp;C79,'הגדרות'!$A$143:$A$224&amp;'הגדרות'!$B$143:$B$224&amp;'הגדרות'!$C$143:$C$224,0)),"")</f>
        <v/>
      </c>
      <c r="F79" s="16" t="n"/>
      <c r="G79" s="15" t="inlineStr">
        <is>
          <t>רשת רכב</t>
        </is>
      </c>
      <c r="H79" s="15" t="n"/>
      <c r="I79" s="15" t="n"/>
      <c r="J79" s="15" t="inlineStr">
        <is>
          <t>לא</t>
        </is>
      </c>
      <c r="K79" s="15" t="inlineStr">
        <is>
          <t>כן</t>
        </is>
      </c>
      <c r="L79" s="15" t="n"/>
      <c r="M79" s="15" t="inlineStr">
        <is>
          <t>Desert</t>
        </is>
      </c>
      <c r="N79" s="15" t="inlineStr">
        <is>
          <t>Desert-Green</t>
        </is>
      </c>
      <c r="O79" s="15" t="inlineStr">
        <is>
          <t>כן</t>
        </is>
      </c>
      <c r="P79" s="15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15" t="inlineStr">
        <is>
          <t>כן</t>
        </is>
      </c>
      <c r="V79" s="15" t="inlineStr">
        <is>
          <t>כן</t>
        </is>
      </c>
      <c r="W79" s="15" t="n"/>
      <c r="X79" s="15" t="inlineStr">
        <is>
          <t>במלאי</t>
        </is>
      </c>
      <c r="Y79" s="15" t="n"/>
      <c r="Z79" s="15" t="n"/>
      <c r="AA79" s="15" t="n"/>
      <c r="AB79" s="16" t="n"/>
      <c r="AC79" s="15" t="n"/>
      <c r="AD79" s="15" t="inlineStr">
        <is>
          <t>לא</t>
        </is>
      </c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15" t="inlineStr">
        <is>
          <t>Hide Site</t>
        </is>
      </c>
      <c r="B80" s="15" t="inlineStr">
        <is>
          <t>Operators HS</t>
        </is>
      </c>
      <c r="C80" s="15" t="inlineStr">
        <is>
          <t>V1</t>
        </is>
      </c>
      <c r="D80" s="15" t="inlineStr">
        <is>
          <t>עמדת חוליה MRG 3 הדגמה</t>
        </is>
      </c>
      <c r="E80">
        <f>IFERROR(INDEX('הגדרות'!$D$143:$D$224,MATCH(B80&amp;G80&amp;C80,'הגדרות'!$A$143:$A$224&amp;'הגדרות'!$B$143:$B$224&amp;'הגדרות'!$C$143:$C$224,0)),"")</f>
        <v/>
      </c>
      <c r="F80" s="16" t="n"/>
      <c r="G80" s="15" t="inlineStr">
        <is>
          <t>MRG</t>
        </is>
      </c>
      <c r="H80" s="15" t="n"/>
      <c r="I80" s="15" t="n"/>
      <c r="J80" s="15" t="inlineStr">
        <is>
          <t>לא</t>
        </is>
      </c>
      <c r="K80" s="15" t="inlineStr">
        <is>
          <t>כן</t>
        </is>
      </c>
      <c r="L80" s="15" t="n"/>
      <c r="M80" s="15" t="inlineStr">
        <is>
          <t>Urban Green</t>
        </is>
      </c>
      <c r="N80" s="15" t="inlineStr">
        <is>
          <t>Woodland Brown</t>
        </is>
      </c>
      <c r="O80" s="15" t="inlineStr">
        <is>
          <t>כן</t>
        </is>
      </c>
      <c r="P80" s="15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15" t="inlineStr">
        <is>
          <t>כן</t>
        </is>
      </c>
      <c r="V80" s="15" t="inlineStr">
        <is>
          <t>כן</t>
        </is>
      </c>
      <c r="W80" s="15" t="n"/>
      <c r="X80" s="15" t="inlineStr">
        <is>
          <t>במלאי</t>
        </is>
      </c>
      <c r="Y80" s="15" t="n"/>
      <c r="Z80" s="15" t="n"/>
      <c r="AA80" s="15" t="n"/>
      <c r="AB80" s="16" t="n"/>
      <c r="AC80" s="15" t="inlineStr">
        <is>
          <t>חסר קונסטרוקציה</t>
        </is>
      </c>
      <c r="AD80" s="15" t="inlineStr">
        <is>
          <t>כן</t>
        </is>
      </c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15" t="inlineStr">
        <is>
          <t>Hide Site</t>
        </is>
      </c>
      <c r="B81" s="15" t="inlineStr">
        <is>
          <t>Operators HS</t>
        </is>
      </c>
      <c r="C81" s="15" t="inlineStr">
        <is>
          <t>V1</t>
        </is>
      </c>
      <c r="D81" s="15" t="inlineStr">
        <is>
          <t>Op HS  4</t>
        </is>
      </c>
      <c r="E81">
        <f>IFERROR(INDEX('הגדרות'!$D$143:$D$224,MATCH(B81&amp;G81&amp;C81,'הגדרות'!$A$143:$A$224&amp;'הגדרות'!$B$143:$B$224&amp;'הגדרות'!$C$143:$C$224,0)),"")</f>
        <v/>
      </c>
      <c r="F81" s="16" t="n"/>
      <c r="G81" s="15" t="inlineStr">
        <is>
          <t>MRG</t>
        </is>
      </c>
      <c r="H81" s="15" t="n"/>
      <c r="I81" s="15" t="n"/>
      <c r="J81" s="15" t="inlineStr">
        <is>
          <t>לא</t>
        </is>
      </c>
      <c r="K81" s="15" t="inlineStr">
        <is>
          <t>כן</t>
        </is>
      </c>
      <c r="L81" s="15" t="n"/>
      <c r="M81" s="15" t="inlineStr">
        <is>
          <t>Urban Green</t>
        </is>
      </c>
      <c r="N81" s="15" t="inlineStr">
        <is>
          <t>Woodland Brown</t>
        </is>
      </c>
      <c r="O81" s="15" t="inlineStr">
        <is>
          <t>כן</t>
        </is>
      </c>
      <c r="P81" s="15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15" t="inlineStr">
        <is>
          <t>כן</t>
        </is>
      </c>
      <c r="V81" s="15" t="inlineStr">
        <is>
          <t>כן</t>
        </is>
      </c>
      <c r="W81" s="15" t="n"/>
      <c r="X81" s="15" t="inlineStr">
        <is>
          <t>במלאי</t>
        </is>
      </c>
      <c r="Y81" s="15" t="n"/>
      <c r="Z81" s="15" t="n"/>
      <c r="AA81" s="15" t="n"/>
      <c r="AB81" s="16" t="n"/>
      <c r="AC81" s="15" t="inlineStr">
        <is>
          <t>חסר תומך</t>
        </is>
      </c>
      <c r="AD81" s="15" t="inlineStr">
        <is>
          <t>כן</t>
        </is>
      </c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15" t="inlineStr">
        <is>
          <t>Hide Site</t>
        </is>
      </c>
      <c r="B82" s="15" t="inlineStr">
        <is>
          <t>Operators HS</t>
        </is>
      </c>
      <c r="C82" s="15" t="n"/>
      <c r="D82" s="15" t="inlineStr">
        <is>
          <t>ARC Op HS 6</t>
        </is>
      </c>
      <c r="E82">
        <f>IFERROR(INDEX('הגדרות'!$D$143:$D$224,MATCH(B82&amp;G82&amp;C82,'הגדרות'!$A$143:$A$224&amp;'הגדרות'!$B$143:$B$224&amp;'הגדרות'!$C$143:$C$224,0)),"")</f>
        <v/>
      </c>
      <c r="F82" s="16" t="n"/>
      <c r="G82" s="15" t="inlineStr">
        <is>
          <t>Mesh</t>
        </is>
      </c>
      <c r="H82" s="15" t="n"/>
      <c r="I82" s="15" t="n"/>
      <c r="J82" s="15" t="n"/>
      <c r="K82" s="15" t="n"/>
      <c r="L82" s="15" t="n"/>
      <c r="M82" s="15" t="inlineStr">
        <is>
          <t>Fresh Snow</t>
        </is>
      </c>
      <c r="N82" s="15" t="n"/>
      <c r="O82" s="15" t="inlineStr">
        <is>
          <t>כן</t>
        </is>
      </c>
      <c r="P82" s="15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15" t="inlineStr">
        <is>
          <t>כן</t>
        </is>
      </c>
      <c r="V82" s="15" t="inlineStr">
        <is>
          <t>כן</t>
        </is>
      </c>
      <c r="W82" s="15" t="inlineStr">
        <is>
          <t>כן</t>
        </is>
      </c>
      <c r="X82" s="15" t="inlineStr">
        <is>
          <t>במלאי</t>
        </is>
      </c>
      <c r="Y82" s="15" t="n"/>
      <c r="Z82" s="15" t="n"/>
      <c r="AA82" s="15" t="n"/>
      <c r="AB82" s="16" t="n"/>
      <c r="AC82" s="15" t="n"/>
      <c r="AD82" s="15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15" t="inlineStr">
        <is>
          <t>Hide Site</t>
        </is>
      </c>
      <c r="B83" s="15" t="inlineStr">
        <is>
          <t>Operators HS</t>
        </is>
      </c>
      <c r="C83" s="15" t="n"/>
      <c r="D83" s="15" t="inlineStr">
        <is>
          <t>ARC Op HS 5</t>
        </is>
      </c>
      <c r="E83">
        <f>IFERROR(INDEX('הגדרות'!$D$143:$D$224,MATCH(B83&amp;G83&amp;C83,'הגדרות'!$A$143:$A$224&amp;'הגדרות'!$B$143:$B$224&amp;'הגדרות'!$C$143:$C$224,0)),"")</f>
        <v/>
      </c>
      <c r="F83" s="16" t="n"/>
      <c r="G83" s="15" t="inlineStr">
        <is>
          <t>RIPSTOP Double Layer</t>
        </is>
      </c>
      <c r="H83" s="15" t="n"/>
      <c r="I83" s="15" t="n"/>
      <c r="J83" s="15" t="n"/>
      <c r="K83" s="15" t="n"/>
      <c r="L83" s="15" t="n"/>
      <c r="M83" s="15" t="inlineStr">
        <is>
          <t>Fresh Snow</t>
        </is>
      </c>
      <c r="N83" s="15" t="n"/>
      <c r="O83" s="15" t="inlineStr">
        <is>
          <t>כן</t>
        </is>
      </c>
      <c r="P83" s="15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15" t="inlineStr">
        <is>
          <t>כן</t>
        </is>
      </c>
      <c r="V83" s="15" t="inlineStr">
        <is>
          <t>כן</t>
        </is>
      </c>
      <c r="W83" s="15" t="inlineStr">
        <is>
          <t>כן</t>
        </is>
      </c>
      <c r="X83" s="15" t="inlineStr">
        <is>
          <t>במלאי</t>
        </is>
      </c>
      <c r="Y83" s="15" t="n"/>
      <c r="Z83" s="15" t="n"/>
      <c r="AA83" s="15" t="n"/>
      <c r="AB83" s="16" t="n"/>
      <c r="AC83" s="15" t="n"/>
      <c r="AD83" s="15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15" t="inlineStr">
        <is>
          <t>Hide Site</t>
        </is>
      </c>
      <c r="B84" s="15" t="inlineStr">
        <is>
          <t>Operators HS</t>
        </is>
      </c>
      <c r="C84" s="15" t="inlineStr">
        <is>
          <t>V1</t>
        </is>
      </c>
      <c r="D84" s="15" t="inlineStr">
        <is>
          <t>Op HS 7</t>
        </is>
      </c>
      <c r="E84">
        <f>IFERROR(INDEX('הגדרות'!$D$143:$D$224,MATCH(B84&amp;G84&amp;C84,'הגדרות'!$A$143:$A$224&amp;'הגדרות'!$B$143:$B$224&amp;'הגדרות'!$C$143:$C$224,0)),"")</f>
        <v/>
      </c>
      <c r="F84" s="16" t="n"/>
      <c r="G84" s="15" t="inlineStr">
        <is>
          <t>רשת רכב</t>
        </is>
      </c>
      <c r="H84" s="15" t="n"/>
      <c r="I84" s="15" t="n"/>
      <c r="J84" s="15" t="inlineStr">
        <is>
          <t>לא</t>
        </is>
      </c>
      <c r="K84" s="15" t="inlineStr">
        <is>
          <t>כן</t>
        </is>
      </c>
      <c r="L84" s="15" t="n"/>
      <c r="M84" s="15" t="inlineStr">
        <is>
          <t>Desert</t>
        </is>
      </c>
      <c r="N84" s="15" t="inlineStr">
        <is>
          <t>Desert-Green</t>
        </is>
      </c>
      <c r="O84" s="15" t="inlineStr">
        <is>
          <t>כן</t>
        </is>
      </c>
      <c r="P84" s="15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15" t="inlineStr">
        <is>
          <t>כן</t>
        </is>
      </c>
      <c r="V84" s="15" t="inlineStr">
        <is>
          <t>כן</t>
        </is>
      </c>
      <c r="W84" s="15" t="n"/>
      <c r="X84" s="15" t="inlineStr">
        <is>
          <t>במלאי</t>
        </is>
      </c>
      <c r="Y84" s="15" t="n"/>
      <c r="Z84" s="15" t="n"/>
      <c r="AA84" s="15" t="n"/>
      <c r="AB84" s="16" t="n"/>
      <c r="AC84" s="15" t="n"/>
      <c r="AD84" s="15" t="inlineStr">
        <is>
          <t>לא</t>
        </is>
      </c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15" t="inlineStr">
        <is>
          <t>Hide Site</t>
        </is>
      </c>
      <c r="B85" s="15" t="inlineStr">
        <is>
          <t>Operators HS</t>
        </is>
      </c>
      <c r="C85" s="15" t="inlineStr">
        <is>
          <t>V1</t>
        </is>
      </c>
      <c r="D85" s="15" t="inlineStr">
        <is>
          <t>ARC Op HS sampels Snirt</t>
        </is>
      </c>
      <c r="E85">
        <f>IFERROR(INDEX('הגדרות'!$D$143:$D$224,MATCH(B85&amp;G85&amp;C85,'הגדרות'!$A$143:$A$224&amp;'הגדרות'!$B$143:$B$224&amp;'הגדרות'!$C$143:$C$224,0)),"")</f>
        <v/>
      </c>
      <c r="F85" s="16" t="n"/>
      <c r="G85" s="15" t="inlineStr">
        <is>
          <t>RIPSTOP Double Layer</t>
        </is>
      </c>
      <c r="H85" s="15" t="n"/>
      <c r="I85" s="15" t="n"/>
      <c r="J85" s="15" t="n"/>
      <c r="K85" s="15" t="n"/>
      <c r="L85" s="15" t="n"/>
      <c r="M85" s="15" t="inlineStr">
        <is>
          <t>Snirt Snow</t>
        </is>
      </c>
      <c r="N85" s="15" t="n"/>
      <c r="O85" s="15" t="inlineStr">
        <is>
          <t>כן</t>
        </is>
      </c>
      <c r="P85" s="15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15" t="inlineStr">
        <is>
          <t>כן</t>
        </is>
      </c>
      <c r="V85" s="15" t="inlineStr">
        <is>
          <t>כן</t>
        </is>
      </c>
      <c r="W85" s="15" t="inlineStr">
        <is>
          <t>כן</t>
        </is>
      </c>
      <c r="X85" s="15" t="inlineStr">
        <is>
          <t>במלאי</t>
        </is>
      </c>
      <c r="Y85" s="15" t="n"/>
      <c r="Z85" s="15" t="n"/>
      <c r="AA85" s="15" t="n"/>
      <c r="AB85" s="16" t="n"/>
      <c r="AC85" s="15" t="n"/>
      <c r="AD85" s="15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15" t="inlineStr">
        <is>
          <t>Hide Site</t>
        </is>
      </c>
      <c r="B86" s="15" t="inlineStr">
        <is>
          <t>Operators HS</t>
        </is>
      </c>
      <c r="C86" s="15" t="inlineStr">
        <is>
          <t>V1</t>
        </is>
      </c>
      <c r="D86" s="15" t="inlineStr">
        <is>
          <t>ARC Op HS sampels Fresh</t>
        </is>
      </c>
      <c r="E86">
        <f>IFERROR(INDEX('הגדרות'!$D$143:$D$224,MATCH(B86&amp;G86&amp;C86,'הגדרות'!$A$143:$A$224&amp;'הגדרות'!$B$143:$B$224&amp;'הגדרות'!$C$143:$C$224,0)),"")</f>
        <v/>
      </c>
      <c r="F86" s="16" t="n"/>
      <c r="G86" s="15" t="inlineStr">
        <is>
          <t>RIPSTOP Double Layer</t>
        </is>
      </c>
      <c r="H86" s="15" t="n"/>
      <c r="I86" s="15" t="n"/>
      <c r="J86" s="15" t="n"/>
      <c r="K86" s="15" t="n"/>
      <c r="L86" s="15" t="n"/>
      <c r="M86" s="15" t="inlineStr">
        <is>
          <t>Fresh Snow</t>
        </is>
      </c>
      <c r="N86" s="15" t="n"/>
      <c r="O86" s="15" t="inlineStr">
        <is>
          <t>כן</t>
        </is>
      </c>
      <c r="P86" s="15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15" t="inlineStr">
        <is>
          <t>כן</t>
        </is>
      </c>
      <c r="V86" s="15" t="inlineStr">
        <is>
          <t>כן</t>
        </is>
      </c>
      <c r="W86" s="15" t="inlineStr">
        <is>
          <t>כן</t>
        </is>
      </c>
      <c r="X86" s="15" t="inlineStr">
        <is>
          <t>במלאי</t>
        </is>
      </c>
      <c r="Y86" s="15" t="n"/>
      <c r="Z86" s="15" t="n"/>
      <c r="AA86" s="15" t="n"/>
      <c r="AB86" s="16" t="n"/>
      <c r="AC86" s="15" t="n"/>
      <c r="AD86" s="15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15" t="inlineStr">
        <is>
          <t>Hide Site</t>
        </is>
      </c>
      <c r="B87" s="15" t="inlineStr">
        <is>
          <t>OverWatch (ATGM) HS</t>
        </is>
      </c>
      <c r="C87" s="15" t="inlineStr">
        <is>
          <t>V1</t>
        </is>
      </c>
      <c r="D87" s="15" t="inlineStr">
        <is>
          <t>overwatch 1</t>
        </is>
      </c>
      <c r="E87">
        <f>IFERROR(INDEX('הגדרות'!$D$143:$D$224,MATCH(B87&amp;G87&amp;C87,'הגדרות'!$A$143:$A$224&amp;'הגדרות'!$B$143:$B$224&amp;'הגדרות'!$C$143:$C$224,0)),"")</f>
        <v/>
      </c>
      <c r="F87" s="16" t="n"/>
      <c r="G87" s="15" t="inlineStr">
        <is>
          <t>רשת רכב</t>
        </is>
      </c>
      <c r="H87" s="15" t="n"/>
      <c r="I87" s="15" t="n"/>
      <c r="J87" s="15" t="n"/>
      <c r="K87" s="15" t="n"/>
      <c r="L87" s="15" t="n"/>
      <c r="M87" s="15" t="inlineStr">
        <is>
          <t>Desert-Green</t>
        </is>
      </c>
      <c r="N87" s="15" t="inlineStr">
        <is>
          <t>Desert</t>
        </is>
      </c>
      <c r="O87" s="15" t="inlineStr">
        <is>
          <t>כן</t>
        </is>
      </c>
      <c r="P87" s="15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15" t="inlineStr">
        <is>
          <t>כן</t>
        </is>
      </c>
      <c r="V87" s="15" t="inlineStr">
        <is>
          <t>כן</t>
        </is>
      </c>
      <c r="W87" s="15" t="inlineStr">
        <is>
          <t>כן</t>
        </is>
      </c>
      <c r="X87" s="15" t="inlineStr">
        <is>
          <t>במלאי</t>
        </is>
      </c>
      <c r="Y87" s="15" t="n"/>
      <c r="Z87" s="15" t="n"/>
      <c r="AA87" s="15" t="n"/>
      <c r="AB87" s="16" t="n"/>
      <c r="AC87" s="15" t="n"/>
      <c r="AD87" s="15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15" t="inlineStr">
        <is>
          <t>Hide Site</t>
        </is>
      </c>
      <c r="B88" s="15" t="inlineStr">
        <is>
          <t>OverWatch (ATGM) HS</t>
        </is>
      </c>
      <c r="C88" s="15" t="inlineStr">
        <is>
          <t>V1</t>
        </is>
      </c>
      <c r="D88" s="15" t="inlineStr">
        <is>
          <t>overwatch 2</t>
        </is>
      </c>
      <c r="E88">
        <f>IFERROR(INDEX('הגדרות'!$D$143:$D$224,MATCH(B88&amp;G88&amp;C88,'הגדרות'!$A$143:$A$224&amp;'הגדרות'!$B$143:$B$224&amp;'הגדרות'!$C$143:$C$224,0)),"")</f>
        <v/>
      </c>
      <c r="F88" s="16" t="n"/>
      <c r="G88" s="15" t="inlineStr">
        <is>
          <t>רשת רכב</t>
        </is>
      </c>
      <c r="H88" s="15" t="n"/>
      <c r="I88" s="15" t="n"/>
      <c r="J88" s="15" t="n"/>
      <c r="K88" s="15" t="n"/>
      <c r="L88" s="15" t="n"/>
      <c r="M88" s="15" t="inlineStr">
        <is>
          <t>Desert-Green</t>
        </is>
      </c>
      <c r="N88" s="15" t="inlineStr">
        <is>
          <t>Desert</t>
        </is>
      </c>
      <c r="O88" s="15" t="inlineStr">
        <is>
          <t>כן</t>
        </is>
      </c>
      <c r="P88" s="15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15" t="inlineStr">
        <is>
          <t>כן</t>
        </is>
      </c>
      <c r="V88" s="15" t="inlineStr">
        <is>
          <t>כן</t>
        </is>
      </c>
      <c r="W88" s="15" t="inlineStr">
        <is>
          <t>כן</t>
        </is>
      </c>
      <c r="X88" s="15" t="inlineStr">
        <is>
          <t>במלאי</t>
        </is>
      </c>
      <c r="Y88" s="15" t="n"/>
      <c r="Z88" s="15" t="n"/>
      <c r="AA88" s="15" t="n"/>
      <c r="AB88" s="16" t="n"/>
      <c r="AC88" s="15" t="n"/>
      <c r="AD88" s="15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15" t="inlineStr">
        <is>
          <t>Hide Site</t>
        </is>
      </c>
      <c r="B89" s="15" t="inlineStr">
        <is>
          <t>OverWatch (ATGM) HS</t>
        </is>
      </c>
      <c r="C89" s="15" t="inlineStr">
        <is>
          <t>V1</t>
        </is>
      </c>
      <c r="D89" s="15" t="inlineStr">
        <is>
          <t>overwatch 3</t>
        </is>
      </c>
      <c r="E89">
        <f>IFERROR(INDEX('הגדרות'!$D$143:$D$224,MATCH(B89&amp;G89&amp;C89,'הגדרות'!$A$143:$A$224&amp;'הגדרות'!$B$143:$B$224&amp;'הגדרות'!$C$143:$C$224,0)),"")</f>
        <v/>
      </c>
      <c r="F89" s="16" t="n"/>
      <c r="G89" s="15" t="inlineStr">
        <is>
          <t>רשת רכב</t>
        </is>
      </c>
      <c r="H89" s="15" t="n"/>
      <c r="I89" s="15" t="n"/>
      <c r="J89" s="15" t="inlineStr">
        <is>
          <t>לא</t>
        </is>
      </c>
      <c r="K89" s="15" t="inlineStr">
        <is>
          <t>כן</t>
        </is>
      </c>
      <c r="L89" s="15" t="inlineStr">
        <is>
          <t>ללא תומך</t>
        </is>
      </c>
      <c r="M89" s="15" t="inlineStr">
        <is>
          <t>Ever-Green</t>
        </is>
      </c>
      <c r="N89" s="15" t="inlineStr">
        <is>
          <t>Desert</t>
        </is>
      </c>
      <c r="O89" s="15" t="inlineStr">
        <is>
          <t>כן</t>
        </is>
      </c>
      <c r="P89" s="15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15" t="n"/>
      <c r="V89" s="15" t="n"/>
      <c r="W89" s="15" t="n"/>
      <c r="X89" s="15" t="inlineStr">
        <is>
          <t>במלאי</t>
        </is>
      </c>
      <c r="Y89" s="15" t="n"/>
      <c r="Z89" s="15" t="n"/>
      <c r="AA89" s="15" t="n"/>
      <c r="AB89" s="16" t="n"/>
      <c r="AC89" s="15" t="n"/>
      <c r="AD89" s="15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15" t="inlineStr">
        <is>
          <t>Hide Site</t>
        </is>
      </c>
      <c r="B90" s="15" t="inlineStr">
        <is>
          <t>OverWatch (ATGM) HS</t>
        </is>
      </c>
      <c r="C90" s="15" t="inlineStr">
        <is>
          <t>V1</t>
        </is>
      </c>
      <c r="D90" s="15" t="inlineStr">
        <is>
          <t>overwatch 4</t>
        </is>
      </c>
      <c r="E90">
        <f>IFERROR(INDEX('הגדרות'!$D$143:$D$224,MATCH(B90&amp;G90&amp;C90,'הגדרות'!$A$143:$A$224&amp;'הגדרות'!$B$143:$B$224&amp;'הגדרות'!$C$143:$C$224,0)),"")</f>
        <v/>
      </c>
      <c r="F90" s="16" t="n"/>
      <c r="G90" s="15" t="inlineStr">
        <is>
          <t>רשת רכב</t>
        </is>
      </c>
      <c r="H90" s="15" t="n"/>
      <c r="I90" s="15" t="n"/>
      <c r="J90" s="15" t="inlineStr">
        <is>
          <t>לא</t>
        </is>
      </c>
      <c r="K90" s="15" t="inlineStr">
        <is>
          <t>כן</t>
        </is>
      </c>
      <c r="L90" s="15" t="inlineStr">
        <is>
          <t>ללא תומך</t>
        </is>
      </c>
      <c r="M90" s="15" t="inlineStr">
        <is>
          <t>Ever-Green</t>
        </is>
      </c>
      <c r="N90" s="15" t="inlineStr">
        <is>
          <t>Desert</t>
        </is>
      </c>
      <c r="O90" s="15" t="inlineStr">
        <is>
          <t>כן</t>
        </is>
      </c>
      <c r="P90" s="15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15" t="n"/>
      <c r="V90" s="15" t="n"/>
      <c r="W90" s="15" t="n"/>
      <c r="X90" s="15" t="inlineStr">
        <is>
          <t>במלאי</t>
        </is>
      </c>
      <c r="Y90" s="15" t="n"/>
      <c r="Z90" s="15" t="n"/>
      <c r="AA90" s="15" t="n"/>
      <c r="AB90" s="16" t="n"/>
      <c r="AC90" s="15" t="inlineStr">
        <is>
          <t>חסר 2 קונסטרוקציה</t>
        </is>
      </c>
      <c r="AD90" s="15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15" t="inlineStr">
        <is>
          <t>Hide Site</t>
        </is>
      </c>
      <c r="B91" s="15" t="inlineStr">
        <is>
          <t>OverWatch (ATGM) HS</t>
        </is>
      </c>
      <c r="C91" s="15" t="inlineStr">
        <is>
          <t>V1</t>
        </is>
      </c>
      <c r="D91" s="15" t="inlineStr">
        <is>
          <t>overwatch 5</t>
        </is>
      </c>
      <c r="E91">
        <f>IFERROR(INDEX('הגדרות'!$D$143:$D$224,MATCH(B91&amp;G91&amp;C91,'הגדרות'!$A$143:$A$224&amp;'הגדרות'!$B$143:$B$224&amp;'הגדרות'!$C$143:$C$224,0)),"")</f>
        <v/>
      </c>
      <c r="F91" s="16" t="n"/>
      <c r="G91" s="15" t="inlineStr">
        <is>
          <t>רשת רכב</t>
        </is>
      </c>
      <c r="H91" s="15" t="n"/>
      <c r="I91" s="15" t="n"/>
      <c r="J91" s="15" t="inlineStr">
        <is>
          <t>לא</t>
        </is>
      </c>
      <c r="K91" s="15" t="inlineStr">
        <is>
          <t>כן</t>
        </is>
      </c>
      <c r="L91" s="15" t="inlineStr">
        <is>
          <t>ללא תומך</t>
        </is>
      </c>
      <c r="M91" s="15" t="inlineStr">
        <is>
          <t>Ever-Green</t>
        </is>
      </c>
      <c r="N91" s="15" t="inlineStr">
        <is>
          <t>Desert</t>
        </is>
      </c>
      <c r="O91" s="15" t="inlineStr">
        <is>
          <t>כן</t>
        </is>
      </c>
      <c r="P91" s="15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15" t="n"/>
      <c r="V91" s="15" t="n"/>
      <c r="W91" s="15" t="n"/>
      <c r="X91" s="15" t="inlineStr">
        <is>
          <t>במלאי</t>
        </is>
      </c>
      <c r="Y91" s="15" t="n"/>
      <c r="Z91" s="15" t="n"/>
      <c r="AA91" s="15" t="n"/>
      <c r="AB91" s="16" t="n"/>
      <c r="AC91" s="15" t="inlineStr">
        <is>
          <t>חסר 2 קונסטרוקציה</t>
        </is>
      </c>
      <c r="AD91" s="15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15" t="inlineStr">
        <is>
          <t>Hide Site</t>
        </is>
      </c>
      <c r="B92" s="15" t="inlineStr">
        <is>
          <t>OverWatch (ATGM) HS</t>
        </is>
      </c>
      <c r="C92" s="15" t="inlineStr">
        <is>
          <t>V1</t>
        </is>
      </c>
      <c r="D92" s="15" t="inlineStr">
        <is>
          <t>overwatch 6 BETI</t>
        </is>
      </c>
      <c r="E92">
        <f>IFERROR(INDEX('הגדרות'!$D$143:$D$224,MATCH(B92&amp;G92&amp;C92,'הגדרות'!$A$143:$A$224&amp;'הגדרות'!$B$143:$B$224&amp;'הגדרות'!$C$143:$C$224,0)),"")</f>
        <v/>
      </c>
      <c r="F92" s="16" t="n"/>
      <c r="G92" s="15" t="inlineStr">
        <is>
          <t>Beti</t>
        </is>
      </c>
      <c r="H92" s="15" t="n"/>
      <c r="I92" s="15" t="n"/>
      <c r="J92" s="15" t="inlineStr">
        <is>
          <t>לא</t>
        </is>
      </c>
      <c r="K92" s="15" t="inlineStr">
        <is>
          <t>כן</t>
        </is>
      </c>
      <c r="L92" s="15" t="inlineStr">
        <is>
          <t>ללא תומך</t>
        </is>
      </c>
      <c r="M92" s="15" t="inlineStr">
        <is>
          <t>Ever-Green</t>
        </is>
      </c>
      <c r="N92" s="15" t="inlineStr">
        <is>
          <t>Desert</t>
        </is>
      </c>
      <c r="O92" s="15" t="inlineStr">
        <is>
          <t>כן</t>
        </is>
      </c>
      <c r="P92" s="15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15" t="n"/>
      <c r="V92" s="15" t="n"/>
      <c r="W92" s="15" t="n"/>
      <c r="X92" s="15" t="inlineStr">
        <is>
          <t>במלאי</t>
        </is>
      </c>
      <c r="Y92" s="15" t="n"/>
      <c r="Z92" s="15" t="n"/>
      <c r="AA92" s="15" t="n"/>
      <c r="AB92" s="16" t="n"/>
      <c r="AC92" s="15" t="inlineStr">
        <is>
          <t>חסר 2 קונסטרוקציה</t>
        </is>
      </c>
      <c r="AD92" s="15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15" t="inlineStr">
        <is>
          <t>Platform Hide Site</t>
        </is>
      </c>
      <c r="B93" s="15" t="inlineStr">
        <is>
          <t>OverWatch (ATGM) HS</t>
        </is>
      </c>
      <c r="C93" s="15" t="inlineStr">
        <is>
          <t>V1</t>
        </is>
      </c>
      <c r="D93" s="15" t="inlineStr">
        <is>
          <t>overwatch 7</t>
        </is>
      </c>
      <c r="E93">
        <f>IFERROR(INDEX('הגדרות'!$D$143:$D$224,MATCH(B93&amp;G93&amp;C93,'הגדרות'!$A$143:$A$224&amp;'הגדרות'!$B$143:$B$224&amp;'הגדרות'!$C$143:$C$224,0)),"")</f>
        <v/>
      </c>
      <c r="F93" s="16" t="n"/>
      <c r="G93" s="15" t="inlineStr">
        <is>
          <t>רשת רכב</t>
        </is>
      </c>
      <c r="H93" s="15" t="n"/>
      <c r="I93" s="15" t="n"/>
      <c r="J93" s="15" t="n"/>
      <c r="K93" s="15" t="n"/>
      <c r="L93" s="15" t="inlineStr">
        <is>
          <t>ללא תומך</t>
        </is>
      </c>
      <c r="M93" s="15" t="inlineStr">
        <is>
          <t>Desert-Green</t>
        </is>
      </c>
      <c r="N93" s="15" t="inlineStr">
        <is>
          <t>Desert</t>
        </is>
      </c>
      <c r="O93" s="15" t="inlineStr">
        <is>
          <t>כן</t>
        </is>
      </c>
      <c r="P93" s="15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15" t="n"/>
      <c r="V93" s="15" t="n"/>
      <c r="W93" s="15" t="n"/>
      <c r="X93" s="15" t="inlineStr">
        <is>
          <t>במלאי</t>
        </is>
      </c>
      <c r="Y93" s="15" t="n"/>
      <c r="Z93" s="15" t="n"/>
      <c r="AA93" s="15" t="n"/>
      <c r="AB93" s="16" t="n"/>
      <c r="AC93" s="15" t="inlineStr">
        <is>
          <t>ללא תומך עם רשת לקטים (2024)</t>
        </is>
      </c>
      <c r="AD93" s="15" t="inlineStr">
        <is>
          <t>כן</t>
        </is>
      </c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15" t="inlineStr">
        <is>
          <t>Platform Hide Site</t>
        </is>
      </c>
      <c r="B94" s="15" t="inlineStr">
        <is>
          <t>OverWatch (ATGM) HS</t>
        </is>
      </c>
      <c r="C94" s="15" t="inlineStr">
        <is>
          <t>V1</t>
        </is>
      </c>
      <c r="D94" s="15" t="inlineStr">
        <is>
          <t>overwatch 8</t>
        </is>
      </c>
      <c r="E94">
        <f>IFERROR(INDEX('הגדרות'!$D$143:$D$224,MATCH(B94&amp;G94&amp;C94,'הגדרות'!$A$143:$A$224&amp;'הגדרות'!$B$143:$B$224&amp;'הגדרות'!$C$143:$C$224,0)),"")</f>
        <v/>
      </c>
      <c r="F94" s="16" t="n"/>
      <c r="G94" s="15" t="inlineStr">
        <is>
          <t>רשת רכב</t>
        </is>
      </c>
      <c r="H94" s="15" t="n"/>
      <c r="I94" s="15" t="n"/>
      <c r="J94" s="15" t="n"/>
      <c r="K94" s="15" t="n"/>
      <c r="L94" s="15" t="n"/>
      <c r="M94" s="15" t="inlineStr">
        <is>
          <t>Desert-Green</t>
        </is>
      </c>
      <c r="N94" s="15" t="inlineStr">
        <is>
          <t>Desert</t>
        </is>
      </c>
      <c r="O94" s="15" t="inlineStr">
        <is>
          <t>כן</t>
        </is>
      </c>
      <c r="P94" s="15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15" t="n"/>
      <c r="V94" s="15" t="n"/>
      <c r="W94" s="15" t="n"/>
      <c r="X94" s="15" t="inlineStr">
        <is>
          <t>במלאי</t>
        </is>
      </c>
      <c r="Y94" s="15" t="n"/>
      <c r="Z94" s="15" t="n"/>
      <c r="AA94" s="15" t="n"/>
      <c r="AB94" s="16" t="n"/>
      <c r="AC94" s="15" t="inlineStr">
        <is>
          <t>חסר קונסטרוקציה ותומך</t>
        </is>
      </c>
      <c r="AD94" s="15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15" t="inlineStr">
        <is>
          <t>Uniform</t>
        </is>
      </c>
      <c r="B95" s="15" t="inlineStr">
        <is>
          <t>Pants</t>
        </is>
      </c>
      <c r="C95" s="15" t="inlineStr">
        <is>
          <t>Less is More</t>
        </is>
      </c>
      <c r="D95" s="15" t="inlineStr">
        <is>
          <t>UNI 007</t>
        </is>
      </c>
      <c r="E95">
        <f>IFERROR(INDEX('הגדרות'!$D$143:$D$224,MATCH(B95&amp;G95&amp;C95,'הגדרות'!$A$143:$A$224&amp;'הגדרות'!$B$143:$B$224&amp;'הגדרות'!$C$143:$C$224,0)),"")</f>
        <v/>
      </c>
      <c r="F95" s="16" t="n"/>
      <c r="G95" s="15" t="inlineStr">
        <is>
          <t>Stretch</t>
        </is>
      </c>
      <c r="H95" s="15" t="n"/>
      <c r="I95" s="15" t="inlineStr">
        <is>
          <t>L</t>
        </is>
      </c>
      <c r="J95" s="15" t="n"/>
      <c r="K95" s="15" t="n"/>
      <c r="L95" s="15" t="inlineStr">
        <is>
          <t>קצת דהוי</t>
        </is>
      </c>
      <c r="M95" s="15" t="inlineStr">
        <is>
          <t>Marine</t>
        </is>
      </c>
      <c r="N95" s="15" t="n"/>
      <c r="O95" s="15" t="inlineStr">
        <is>
          <t>כן</t>
        </is>
      </c>
      <c r="P95" s="15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15" t="n"/>
      <c r="V95" s="15" t="n"/>
      <c r="W95" s="15" t="n"/>
      <c r="X95" s="15" t="inlineStr">
        <is>
          <t>במלאי</t>
        </is>
      </c>
      <c r="Y95" s="15" t="n"/>
      <c r="Z95" s="15" t="n"/>
      <c r="AA95" s="15" t="n"/>
      <c r="AB95" s="16" t="n"/>
      <c r="AC95" s="15" t="n"/>
      <c r="AD95" s="15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15" t="inlineStr">
        <is>
          <t>Uniform</t>
        </is>
      </c>
      <c r="B96" s="15" t="inlineStr">
        <is>
          <t>Pants</t>
        </is>
      </c>
      <c r="C96" s="15" t="n"/>
      <c r="D96" s="15" t="inlineStr">
        <is>
          <t>UNI 005</t>
        </is>
      </c>
      <c r="E96">
        <f>IFERROR(INDEX('הגדרות'!$D$143:$D$224,MATCH(B96&amp;G96&amp;C96,'הגדרות'!$A$143:$A$224&amp;'הגדרות'!$B$143:$B$224&amp;'הגדרות'!$C$143:$C$224,0)),"")</f>
        <v/>
      </c>
      <c r="F96" s="16" t="n"/>
      <c r="G96" s="15" t="inlineStr">
        <is>
          <t>Stretch</t>
        </is>
      </c>
      <c r="H96" s="15" t="n"/>
      <c r="I96" s="15" t="inlineStr">
        <is>
          <t>XL</t>
        </is>
      </c>
      <c r="J96" s="15" t="n"/>
      <c r="K96" s="15" t="n"/>
      <c r="L96" s="15" t="n"/>
      <c r="M96" s="15" t="inlineStr">
        <is>
          <t>Kestrel</t>
        </is>
      </c>
      <c r="N96" s="15" t="n"/>
      <c r="O96" s="15" t="inlineStr">
        <is>
          <t>לא</t>
        </is>
      </c>
      <c r="P96" s="15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15" t="n"/>
      <c r="V96" s="15" t="n"/>
      <c r="W96" s="15" t="n"/>
      <c r="X96" s="15" t="inlineStr">
        <is>
          <t>במלאי</t>
        </is>
      </c>
      <c r="Y96" s="15" t="n"/>
      <c r="Z96" s="15" t="n"/>
      <c r="AA96" s="15" t="n"/>
      <c r="AB96" s="16" t="n"/>
      <c r="AC96" s="15" t="inlineStr">
        <is>
          <t>עם כתמי חלודה</t>
        </is>
      </c>
      <c r="AD96" s="15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15" t="inlineStr">
        <is>
          <t>Uniform</t>
        </is>
      </c>
      <c r="B97" s="15" t="inlineStr">
        <is>
          <t>Pants</t>
        </is>
      </c>
      <c r="C97" s="15" t="inlineStr">
        <is>
          <t>Maritime</t>
        </is>
      </c>
      <c r="D97" s="15" t="inlineStr">
        <is>
          <t>UNI 006</t>
        </is>
      </c>
      <c r="E97">
        <f>IFERROR(INDEX('הגדרות'!$D$143:$D$224,MATCH(B97&amp;G97&amp;C97,'הגדרות'!$A$143:$A$224&amp;'הגדרות'!$B$143:$B$224&amp;'הגדרות'!$C$143:$C$224,0)),"")</f>
        <v/>
      </c>
      <c r="F97" s="16" t="n"/>
      <c r="G97" s="15" t="inlineStr">
        <is>
          <t>Stretch</t>
        </is>
      </c>
      <c r="H97" s="15" t="n"/>
      <c r="I97" s="15" t="inlineStr">
        <is>
          <t>XL</t>
        </is>
      </c>
      <c r="J97" s="15" t="n"/>
      <c r="K97" s="15" t="n"/>
      <c r="L97" s="15" t="n"/>
      <c r="M97" s="15" t="inlineStr">
        <is>
          <t>Kestrel</t>
        </is>
      </c>
      <c r="N97" s="15" t="n"/>
      <c r="O97" s="15" t="inlineStr">
        <is>
          <t>לא</t>
        </is>
      </c>
      <c r="P97" s="15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15" t="n"/>
      <c r="V97" s="15" t="n"/>
      <c r="W97" s="15" t="n"/>
      <c r="X97" s="15" t="inlineStr">
        <is>
          <t>במלאי</t>
        </is>
      </c>
      <c r="Y97" s="15" t="n"/>
      <c r="Z97" s="15" t="n"/>
      <c r="AA97" s="15" t="n"/>
      <c r="AB97" s="16" t="n"/>
      <c r="AC97" s="15" t="inlineStr">
        <is>
          <t>עם כתמי חלודה</t>
        </is>
      </c>
      <c r="AD97" s="15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15" t="inlineStr">
        <is>
          <t>Uniform</t>
        </is>
      </c>
      <c r="B98" s="15" t="inlineStr">
        <is>
          <t>Pants</t>
        </is>
      </c>
      <c r="C98" s="15" t="inlineStr">
        <is>
          <t>Maritime</t>
        </is>
      </c>
      <c r="D98" s="15" t="inlineStr">
        <is>
          <t>UNI 036</t>
        </is>
      </c>
      <c r="E98">
        <f>IFERROR(INDEX('הגדרות'!$D$143:$D$224,MATCH(B98&amp;G98&amp;C98,'הגדרות'!$A$143:$A$224&amp;'הגדרות'!$B$143:$B$224&amp;'הגדרות'!$C$143:$C$224,0)),"")</f>
        <v/>
      </c>
      <c r="F98" s="16" t="n"/>
      <c r="G98" s="15" t="inlineStr">
        <is>
          <t>Stretch</t>
        </is>
      </c>
      <c r="H98" s="15" t="n"/>
      <c r="I98" s="15" t="inlineStr">
        <is>
          <t>XL</t>
        </is>
      </c>
      <c r="J98" s="15" t="n"/>
      <c r="K98" s="15" t="n"/>
      <c r="L98" s="15" t="n"/>
      <c r="M98" s="15" t="inlineStr">
        <is>
          <t>Kestrel</t>
        </is>
      </c>
      <c r="N98" s="15" t="n"/>
      <c r="O98" s="15" t="inlineStr">
        <is>
          <t>לא</t>
        </is>
      </c>
      <c r="P98" s="15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15" t="n"/>
      <c r="V98" s="15" t="n"/>
      <c r="W98" s="15" t="n"/>
      <c r="X98" s="15" t="inlineStr">
        <is>
          <t>במלאי</t>
        </is>
      </c>
      <c r="Y98" s="15" t="n"/>
      <c r="Z98" s="15" t="n"/>
      <c r="AA98" s="15" t="n"/>
      <c r="AB98" s="16" t="n"/>
      <c r="AC98" s="15" t="inlineStr">
        <is>
          <t>עם כתמי חלודה</t>
        </is>
      </c>
      <c r="AD98" s="15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15" t="inlineStr">
        <is>
          <t>Uniform</t>
        </is>
      </c>
      <c r="B99" s="15" t="inlineStr">
        <is>
          <t>Pants</t>
        </is>
      </c>
      <c r="C99" s="15" t="inlineStr">
        <is>
          <t>Maritime</t>
        </is>
      </c>
      <c r="D99" s="15" t="inlineStr">
        <is>
          <t>UNI 029</t>
        </is>
      </c>
      <c r="E99">
        <f>IFERROR(INDEX('הגדרות'!$D$143:$D$224,MATCH(B99&amp;G99&amp;C99,'הגדרות'!$A$143:$A$224&amp;'הגדרות'!$B$143:$B$224&amp;'הגדרות'!$C$143:$C$224,0)),"")</f>
        <v/>
      </c>
      <c r="F99" s="16" t="n"/>
      <c r="G99" s="15" t="inlineStr">
        <is>
          <t>Stretch</t>
        </is>
      </c>
      <c r="H99" s="15" t="n"/>
      <c r="I99" s="15" t="n"/>
      <c r="J99" s="15" t="n"/>
      <c r="K99" s="15" t="n"/>
      <c r="L99" s="15" t="inlineStr">
        <is>
          <t>36R</t>
        </is>
      </c>
      <c r="M99" s="15" t="inlineStr">
        <is>
          <t>Fresh Snow</t>
        </is>
      </c>
      <c r="N99" s="15" t="n"/>
      <c r="O99" s="15" t="inlineStr">
        <is>
          <t>כן</t>
        </is>
      </c>
      <c r="P99" s="15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15" t="n"/>
      <c r="V99" s="15" t="n"/>
      <c r="W99" s="15" t="n"/>
      <c r="X99" s="15" t="inlineStr">
        <is>
          <t>במלאי</t>
        </is>
      </c>
      <c r="Y99" s="15" t="n"/>
      <c r="Z99" s="15" t="n"/>
      <c r="AA99" s="15" t="n"/>
      <c r="AB99" s="16" t="n"/>
      <c r="AC99" s="15" t="n"/>
      <c r="AD99" s="15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15" t="inlineStr">
        <is>
          <t>OverGarment</t>
        </is>
      </c>
      <c r="B100" s="15" t="inlineStr">
        <is>
          <t>Poncho Inbar</t>
        </is>
      </c>
      <c r="C100" s="15" t="inlineStr">
        <is>
          <t>V1</t>
        </is>
      </c>
      <c r="D100" s="15" t="inlineStr">
        <is>
          <t>Inbar A1</t>
        </is>
      </c>
      <c r="E100">
        <f>IFERROR(INDEX('הגדרות'!$D$143:$D$224,MATCH(B100&amp;G100&amp;C100,'הגדרות'!$A$143:$A$224&amp;'הגדרות'!$B$143:$B$224&amp;'הגדרות'!$C$143:$C$224,0)),"")</f>
        <v/>
      </c>
      <c r="F100" s="16" t="n"/>
      <c r="G100" s="15" t="inlineStr">
        <is>
          <t>RIPSTOP</t>
        </is>
      </c>
      <c r="H100" s="15" t="n"/>
      <c r="I100" s="15" t="n"/>
      <c r="J100" s="15" t="inlineStr">
        <is>
          <t>לא</t>
        </is>
      </c>
      <c r="K100" s="15" t="inlineStr">
        <is>
          <t>לא</t>
        </is>
      </c>
      <c r="L100" s="15" t="inlineStr">
        <is>
          <t>גם סקוצ'ים וגם טיקטקים</t>
        </is>
      </c>
      <c r="M100" s="15" t="inlineStr">
        <is>
          <t>Forest Green</t>
        </is>
      </c>
      <c r="N100" s="15" t="inlineStr">
        <is>
          <t>Desert</t>
        </is>
      </c>
      <c r="O100" s="15" t="inlineStr">
        <is>
          <t>כן</t>
        </is>
      </c>
      <c r="P100" s="15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15" t="inlineStr">
        <is>
          <t>כן</t>
        </is>
      </c>
      <c r="V100" s="15" t="inlineStr">
        <is>
          <t>כן</t>
        </is>
      </c>
      <c r="W100" s="15" t="inlineStr">
        <is>
          <t>לא</t>
        </is>
      </c>
      <c r="X100" s="15" t="inlineStr">
        <is>
          <t>במלאי</t>
        </is>
      </c>
      <c r="Y100" s="15" t="n"/>
      <c r="Z100" s="15" t="n"/>
      <c r="AA100" s="15" t="n"/>
      <c r="AB100" s="16" t="n"/>
      <c r="AC100" s="15" t="inlineStr">
        <is>
          <t>Desert=הדפס ישן</t>
        </is>
      </c>
      <c r="AD100" s="15" t="inlineStr">
        <is>
          <t>לא</t>
        </is>
      </c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15" t="inlineStr">
        <is>
          <t>OverGarment</t>
        </is>
      </c>
      <c r="B101" s="15" t="inlineStr">
        <is>
          <t>Poncho Inbar</t>
        </is>
      </c>
      <c r="C101" s="15" t="inlineStr">
        <is>
          <t>V1</t>
        </is>
      </c>
      <c r="D101" s="15" t="inlineStr">
        <is>
          <t>Inbar A2</t>
        </is>
      </c>
      <c r="E101">
        <f>IFERROR(INDEX('הגדרות'!$D$143:$D$224,MATCH(B101&amp;G101&amp;C101,'הגדרות'!$A$143:$A$224&amp;'הגדרות'!$B$143:$B$224&amp;'הגדרות'!$C$143:$C$224,0)),"")</f>
        <v/>
      </c>
      <c r="F101" s="16" t="n"/>
      <c r="G101" s="15" t="inlineStr">
        <is>
          <t>RIPSTOP</t>
        </is>
      </c>
      <c r="H101" s="15" t="n"/>
      <c r="I101" s="15" t="n"/>
      <c r="J101" s="15" t="inlineStr">
        <is>
          <t>לא</t>
        </is>
      </c>
      <c r="K101" s="15" t="inlineStr">
        <is>
          <t>לא</t>
        </is>
      </c>
      <c r="L101" s="15" t="inlineStr">
        <is>
          <t>גם סקוצ'ים וגם טיקטקים</t>
        </is>
      </c>
      <c r="M101" s="15" t="inlineStr">
        <is>
          <t>Forest Green</t>
        </is>
      </c>
      <c r="N101" s="15" t="inlineStr">
        <is>
          <t>Desert</t>
        </is>
      </c>
      <c r="O101" s="15" t="inlineStr">
        <is>
          <t>כן</t>
        </is>
      </c>
      <c r="P101" s="15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15" t="inlineStr">
        <is>
          <t>כן</t>
        </is>
      </c>
      <c r="V101" s="15" t="inlineStr">
        <is>
          <t>כן</t>
        </is>
      </c>
      <c r="W101" s="15" t="inlineStr">
        <is>
          <t>לא</t>
        </is>
      </c>
      <c r="X101" s="15" t="inlineStr">
        <is>
          <t>במלאי</t>
        </is>
      </c>
      <c r="Y101" s="15" t="n"/>
      <c r="Z101" s="15" t="n"/>
      <c r="AA101" s="15" t="n"/>
      <c r="AB101" s="16" t="n"/>
      <c r="AC101" s="15" t="inlineStr">
        <is>
          <t>Desert=הדפס ישן</t>
        </is>
      </c>
      <c r="AD101" s="15" t="inlineStr">
        <is>
          <t>לא</t>
        </is>
      </c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15" t="inlineStr">
        <is>
          <t>OverGarment</t>
        </is>
      </c>
      <c r="B102" s="15" t="inlineStr">
        <is>
          <t>Poncho Inbar</t>
        </is>
      </c>
      <c r="C102" s="15" t="inlineStr">
        <is>
          <t>V1</t>
        </is>
      </c>
      <c r="D102" s="15" t="inlineStr">
        <is>
          <t>Inbar A3</t>
        </is>
      </c>
      <c r="E102">
        <f>IFERROR(INDEX('הגדרות'!$D$143:$D$224,MATCH(B102&amp;G102&amp;C102,'הגדרות'!$A$143:$A$224&amp;'הגדרות'!$B$143:$B$224&amp;'הגדרות'!$C$143:$C$224,0)),"")</f>
        <v/>
      </c>
      <c r="F102" s="16" t="n"/>
      <c r="G102" s="15" t="inlineStr">
        <is>
          <t>RIPSTOP</t>
        </is>
      </c>
      <c r="H102" s="15" t="n"/>
      <c r="I102" s="15" t="n"/>
      <c r="J102" s="15" t="inlineStr">
        <is>
          <t>לא</t>
        </is>
      </c>
      <c r="K102" s="15" t="inlineStr">
        <is>
          <t>לא</t>
        </is>
      </c>
      <c r="L102" s="15" t="n"/>
      <c r="M102" s="15" t="inlineStr">
        <is>
          <t>Forest Green</t>
        </is>
      </c>
      <c r="N102" s="15" t="inlineStr">
        <is>
          <t>Desert Coyote</t>
        </is>
      </c>
      <c r="O102" s="15" t="inlineStr">
        <is>
          <t>כן</t>
        </is>
      </c>
      <c r="P102" s="15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15" t="inlineStr">
        <is>
          <t>כן</t>
        </is>
      </c>
      <c r="V102" s="15" t="inlineStr">
        <is>
          <t>כן</t>
        </is>
      </c>
      <c r="W102" s="15" t="n"/>
      <c r="X102" s="15" t="inlineStr">
        <is>
          <t>במלאי</t>
        </is>
      </c>
      <c r="Y102" s="15" t="n"/>
      <c r="Z102" s="15" t="n"/>
      <c r="AA102" s="15" t="n"/>
      <c r="AB102" s="16" t="n"/>
      <c r="AC102" s="15" t="n"/>
      <c r="AD102" s="15" t="inlineStr">
        <is>
          <t>לא</t>
        </is>
      </c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15" t="inlineStr">
        <is>
          <t>OverGarment</t>
        </is>
      </c>
      <c r="B103" s="15" t="inlineStr">
        <is>
          <t>Poncho Inbar</t>
        </is>
      </c>
      <c r="C103" s="15" t="inlineStr">
        <is>
          <t>V1</t>
        </is>
      </c>
      <c r="D103" s="15" t="inlineStr">
        <is>
          <t>Inbar A4</t>
        </is>
      </c>
      <c r="E103">
        <f>IFERROR(INDEX('הגדרות'!$D$143:$D$224,MATCH(B103&amp;G103&amp;C103,'הגדרות'!$A$143:$A$224&amp;'הגדרות'!$B$143:$B$224&amp;'הגדרות'!$C$143:$C$224,0)),"")</f>
        <v/>
      </c>
      <c r="F103" s="16" t="n"/>
      <c r="G103" s="15" t="inlineStr">
        <is>
          <t>RIPSTOP</t>
        </is>
      </c>
      <c r="H103" s="15" t="n"/>
      <c r="I103" s="15" t="n"/>
      <c r="J103" s="15" t="inlineStr">
        <is>
          <t>לא</t>
        </is>
      </c>
      <c r="K103" s="15" t="inlineStr">
        <is>
          <t>לא</t>
        </is>
      </c>
      <c r="L103" s="15" t="n"/>
      <c r="M103" s="15" t="inlineStr">
        <is>
          <t>Forest Green</t>
        </is>
      </c>
      <c r="N103" s="15" t="inlineStr">
        <is>
          <t>Desert Coyote</t>
        </is>
      </c>
      <c r="O103" s="15" t="inlineStr">
        <is>
          <t>כן</t>
        </is>
      </c>
      <c r="P103" s="15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15" t="inlineStr">
        <is>
          <t>כן</t>
        </is>
      </c>
      <c r="V103" s="15" t="inlineStr">
        <is>
          <t>כן</t>
        </is>
      </c>
      <c r="W103" s="15" t="n"/>
      <c r="X103" s="15" t="inlineStr">
        <is>
          <t>במלאי</t>
        </is>
      </c>
      <c r="Y103" s="15" t="n"/>
      <c r="Z103" s="15" t="n"/>
      <c r="AA103" s="15" t="n"/>
      <c r="AB103" s="16" t="n"/>
      <c r="AC103" s="15" t="n"/>
      <c r="AD103" s="15" t="inlineStr">
        <is>
          <t>לא</t>
        </is>
      </c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15" t="inlineStr">
        <is>
          <t>OverGarment</t>
        </is>
      </c>
      <c r="B104" s="15" t="inlineStr">
        <is>
          <t>Poncho Inbar</t>
        </is>
      </c>
      <c r="C104" s="15" t="inlineStr">
        <is>
          <t>V1</t>
        </is>
      </c>
      <c r="D104" s="15" t="inlineStr">
        <is>
          <t>Inbar א תצוגה</t>
        </is>
      </c>
      <c r="E104">
        <f>IFERROR(INDEX('הגדרות'!$D$143:$D$224,MATCH(B104&amp;G104&amp;C104,'הגדרות'!$A$143:$A$224&amp;'הגדרות'!$B$143:$B$224&amp;'הגדרות'!$C$143:$C$224,0)),"")</f>
        <v/>
      </c>
      <c r="F104" s="16" t="n"/>
      <c r="G104" s="15" t="inlineStr">
        <is>
          <t>RIPSTOP</t>
        </is>
      </c>
      <c r="H104" s="15" t="n"/>
      <c r="I104" s="15" t="n"/>
      <c r="J104" s="15" t="inlineStr">
        <is>
          <t>לא</t>
        </is>
      </c>
      <c r="K104" s="15" t="inlineStr">
        <is>
          <t>לא</t>
        </is>
      </c>
      <c r="L104" s="15" t="n"/>
      <c r="M104" s="15" t="inlineStr">
        <is>
          <t>Forest Green</t>
        </is>
      </c>
      <c r="N104" s="15" t="inlineStr">
        <is>
          <t>Desert Coyote</t>
        </is>
      </c>
      <c r="O104" s="15" t="inlineStr">
        <is>
          <t>כן</t>
        </is>
      </c>
      <c r="P104" s="15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15" t="inlineStr">
        <is>
          <t>כן</t>
        </is>
      </c>
      <c r="V104" s="15" t="inlineStr">
        <is>
          <t>כן</t>
        </is>
      </c>
      <c r="W104" s="15" t="n"/>
      <c r="X104" s="15" t="inlineStr">
        <is>
          <t>בחדר תצוגה</t>
        </is>
      </c>
      <c r="Y104" s="15" t="n"/>
      <c r="Z104" s="15" t="n"/>
      <c r="AA104" s="15" t="n"/>
      <c r="AB104" s="16" t="n"/>
      <c r="AC104" s="15" t="n"/>
      <c r="AD104" s="15" t="inlineStr">
        <is>
          <t>לא</t>
        </is>
      </c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15" t="inlineStr">
        <is>
          <t>OverGarment</t>
        </is>
      </c>
      <c r="B105" s="15" t="inlineStr">
        <is>
          <t>Poncho Inbar</t>
        </is>
      </c>
      <c r="C105" s="15" t="inlineStr">
        <is>
          <t>V1</t>
        </is>
      </c>
      <c r="D105" s="15" t="inlineStr">
        <is>
          <t>Inbar א הדגמה</t>
        </is>
      </c>
      <c r="E105">
        <f>IFERROR(INDEX('הגדרות'!$D$143:$D$224,MATCH(B105&amp;G105&amp;C105,'הגדרות'!$A$143:$A$224&amp;'הגדרות'!$B$143:$B$224&amp;'הגדרות'!$C$143:$C$224,0)),"")</f>
        <v/>
      </c>
      <c r="F105" s="16" t="n"/>
      <c r="G105" s="15" t="inlineStr">
        <is>
          <t>RIPSTOP</t>
        </is>
      </c>
      <c r="H105" s="15" t="n"/>
      <c r="I105" s="15" t="n"/>
      <c r="J105" s="15" t="inlineStr">
        <is>
          <t>לא</t>
        </is>
      </c>
      <c r="K105" s="15" t="inlineStr">
        <is>
          <t>לא</t>
        </is>
      </c>
      <c r="L105" s="15" t="inlineStr">
        <is>
          <t>גם סקוצ'ים וגם טיקטקים</t>
        </is>
      </c>
      <c r="M105" s="15" t="inlineStr">
        <is>
          <t>Forest Green</t>
        </is>
      </c>
      <c r="N105" s="15" t="inlineStr">
        <is>
          <t>Desert</t>
        </is>
      </c>
      <c r="O105" s="15" t="inlineStr">
        <is>
          <t>כן</t>
        </is>
      </c>
      <c r="P105" s="15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15" t="inlineStr">
        <is>
          <t>כן</t>
        </is>
      </c>
      <c r="V105" s="15" t="inlineStr">
        <is>
          <t>כן</t>
        </is>
      </c>
      <c r="W105" s="15" t="inlineStr">
        <is>
          <t>לא</t>
        </is>
      </c>
      <c r="X105" s="15" t="inlineStr">
        <is>
          <t>במלאי</t>
        </is>
      </c>
      <c r="Y105" s="15" t="n"/>
      <c r="Z105" s="15" t="n"/>
      <c r="AA105" s="15" t="n"/>
      <c r="AB105" s="16" t="n"/>
      <c r="AC105" s="15" t="inlineStr">
        <is>
          <t>Desert=הדפס ישן</t>
        </is>
      </c>
      <c r="AD105" s="15" t="inlineStr">
        <is>
          <t>לא</t>
        </is>
      </c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15" t="inlineStr">
        <is>
          <t>OverGarment</t>
        </is>
      </c>
      <c r="B106" s="15" t="inlineStr">
        <is>
          <t>Poncho Inbar</t>
        </is>
      </c>
      <c r="C106" s="15" t="inlineStr">
        <is>
          <t>V1</t>
        </is>
      </c>
      <c r="D106" s="15" t="inlineStr">
        <is>
          <t>Inbar A5</t>
        </is>
      </c>
      <c r="E106">
        <f>IFERROR(INDEX('הגדרות'!$D$143:$D$224,MATCH(B106&amp;G106&amp;C106,'הגדרות'!$A$143:$A$224&amp;'הגדרות'!$B$143:$B$224&amp;'הגדרות'!$C$143:$C$224,0)),"")</f>
        <v/>
      </c>
      <c r="F106" s="16" t="n"/>
      <c r="G106" s="15" t="inlineStr">
        <is>
          <t>RIPSTOP</t>
        </is>
      </c>
      <c r="H106" s="15" t="n"/>
      <c r="I106" s="15" t="n"/>
      <c r="J106" s="15" t="inlineStr">
        <is>
          <t>לא</t>
        </is>
      </c>
      <c r="K106" s="15" t="inlineStr">
        <is>
          <t>לא</t>
        </is>
      </c>
      <c r="L106" s="15" t="inlineStr">
        <is>
          <t>יש טיקטקים וגם סקוצ'ים בצדדים</t>
        </is>
      </c>
      <c r="M106" s="15" t="inlineStr">
        <is>
          <t>Forest Green</t>
        </is>
      </c>
      <c r="N106" s="15" t="inlineStr">
        <is>
          <t>Desert Coyote</t>
        </is>
      </c>
      <c r="O106" s="15" t="inlineStr">
        <is>
          <t>כן</t>
        </is>
      </c>
      <c r="P106" s="15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15" t="inlineStr">
        <is>
          <t>כן</t>
        </is>
      </c>
      <c r="V106" s="15" t="inlineStr">
        <is>
          <t>כן</t>
        </is>
      </c>
      <c r="W106" s="15" t="inlineStr">
        <is>
          <t>לא</t>
        </is>
      </c>
      <c r="X106" s="15" t="inlineStr">
        <is>
          <t>במלאי</t>
        </is>
      </c>
      <c r="Y106" s="15" t="n"/>
      <c r="Z106" s="15" t="n"/>
      <c r="AA106" s="15" t="n"/>
      <c r="AB106" s="16" t="n"/>
      <c r="AC106" s="15" t="n"/>
      <c r="AD106" s="15" t="inlineStr">
        <is>
          <t>לא</t>
        </is>
      </c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15" t="inlineStr">
        <is>
          <t>OverGarment</t>
        </is>
      </c>
      <c r="B107" s="15" t="inlineStr">
        <is>
          <t>Poncho Inbar</t>
        </is>
      </c>
      <c r="C107" s="15" t="inlineStr">
        <is>
          <t>V1</t>
        </is>
      </c>
      <c r="D107" s="15" t="inlineStr">
        <is>
          <t>Inbar A6</t>
        </is>
      </c>
      <c r="E107">
        <f>IFERROR(INDEX('הגדרות'!$D$143:$D$224,MATCH(B107&amp;G107&amp;C107,'הגדרות'!$A$143:$A$224&amp;'הגדרות'!$B$143:$B$224&amp;'הגדרות'!$C$143:$C$224,0)),"")</f>
        <v/>
      </c>
      <c r="F107" s="16" t="n"/>
      <c r="G107" s="15" t="inlineStr">
        <is>
          <t>RIPSTOP</t>
        </is>
      </c>
      <c r="H107" s="15" t="n"/>
      <c r="I107" s="15" t="n"/>
      <c r="J107" s="15" t="inlineStr">
        <is>
          <t>לא</t>
        </is>
      </c>
      <c r="K107" s="15" t="inlineStr">
        <is>
          <t>לא</t>
        </is>
      </c>
      <c r="L107" s="15" t="inlineStr">
        <is>
          <t>גם סקוצ'ים וגם טיקטקים</t>
        </is>
      </c>
      <c r="M107" s="15" t="inlineStr">
        <is>
          <t>Forest Green</t>
        </is>
      </c>
      <c r="N107" s="15" t="inlineStr">
        <is>
          <t>Desert</t>
        </is>
      </c>
      <c r="O107" s="15" t="inlineStr">
        <is>
          <t>כן</t>
        </is>
      </c>
      <c r="P107" s="15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15" t="inlineStr">
        <is>
          <t>כן</t>
        </is>
      </c>
      <c r="V107" s="15" t="inlineStr">
        <is>
          <t>כן</t>
        </is>
      </c>
      <c r="W107" s="15" t="inlineStr">
        <is>
          <t>לא</t>
        </is>
      </c>
      <c r="X107" s="15" t="inlineStr">
        <is>
          <t>במלאי</t>
        </is>
      </c>
      <c r="Y107" s="15" t="n"/>
      <c r="Z107" s="15" t="n"/>
      <c r="AA107" s="15" t="n"/>
      <c r="AB107" s="16" t="n"/>
      <c r="AC107" s="15" t="inlineStr">
        <is>
          <t>Desert=הדפס ישן</t>
        </is>
      </c>
      <c r="AD107" s="15" t="inlineStr">
        <is>
          <t>לא</t>
        </is>
      </c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15" t="inlineStr">
        <is>
          <t>OverGarment</t>
        </is>
      </c>
      <c r="B108" s="15" t="inlineStr">
        <is>
          <t>Poncho Inbar</t>
        </is>
      </c>
      <c r="C108" s="15" t="inlineStr">
        <is>
          <t>V1</t>
        </is>
      </c>
      <c r="D108" s="15" t="inlineStr">
        <is>
          <t>Inbar A7</t>
        </is>
      </c>
      <c r="E108">
        <f>IFERROR(INDEX('הגדרות'!$D$143:$D$224,MATCH(B108&amp;G108&amp;C108,'הגדרות'!$A$143:$A$224&amp;'הגדרות'!$B$143:$B$224&amp;'הגדרות'!$C$143:$C$224,0)),"")</f>
        <v/>
      </c>
      <c r="F108" s="16" t="n"/>
      <c r="G108" s="15" t="inlineStr">
        <is>
          <t>RIPSTOP</t>
        </is>
      </c>
      <c r="H108" s="15" t="n"/>
      <c r="I108" s="15" t="n"/>
      <c r="J108" s="15" t="inlineStr">
        <is>
          <t>לא</t>
        </is>
      </c>
      <c r="K108" s="15" t="inlineStr">
        <is>
          <t>לא</t>
        </is>
      </c>
      <c r="L108" s="15" t="n"/>
      <c r="M108" s="15" t="inlineStr">
        <is>
          <t>Forest Green</t>
        </is>
      </c>
      <c r="N108" s="15" t="inlineStr">
        <is>
          <t>Desert Coyote</t>
        </is>
      </c>
      <c r="O108" s="15" t="inlineStr">
        <is>
          <t>כן</t>
        </is>
      </c>
      <c r="P108" s="15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15" t="inlineStr">
        <is>
          <t>כן</t>
        </is>
      </c>
      <c r="V108" s="15" t="inlineStr">
        <is>
          <t>כן</t>
        </is>
      </c>
      <c r="W108" s="15" t="n"/>
      <c r="X108" s="15" t="inlineStr">
        <is>
          <t>במלאי</t>
        </is>
      </c>
      <c r="Y108" s="15" t="n"/>
      <c r="Z108" s="15" t="n"/>
      <c r="AA108" s="15" t="n"/>
      <c r="AB108" s="16" t="n"/>
      <c r="AC108" s="15" t="n"/>
      <c r="AD108" s="15" t="inlineStr">
        <is>
          <t>לא</t>
        </is>
      </c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15" t="inlineStr">
        <is>
          <t>OverGarment</t>
        </is>
      </c>
      <c r="B109" s="15" t="inlineStr">
        <is>
          <t>Poncho Sahar</t>
        </is>
      </c>
      <c r="C109" s="15" t="inlineStr">
        <is>
          <t>V1</t>
        </is>
      </c>
      <c r="D109" s="15" t="inlineStr">
        <is>
          <t>A1</t>
        </is>
      </c>
      <c r="E109">
        <f>IFERROR(INDEX('הגדרות'!$D$143:$D$224,MATCH(B109&amp;G109&amp;C109,'הגדרות'!$A$143:$A$224&amp;'הגדרות'!$B$143:$B$224&amp;'הגדרות'!$C$143:$C$224,0)),"")</f>
        <v/>
      </c>
      <c r="F109" s="16" t="n"/>
      <c r="G109" s="15" t="inlineStr">
        <is>
          <t>Mesh</t>
        </is>
      </c>
      <c r="H109" s="15" t="n"/>
      <c r="I109" s="15" t="n"/>
      <c r="J109" s="15" t="inlineStr">
        <is>
          <t>לA</t>
        </is>
      </c>
      <c r="K109" s="15" t="inlineStr">
        <is>
          <t>לא</t>
        </is>
      </c>
      <c r="L109" s="15" t="n"/>
      <c r="M109" s="15" t="inlineStr">
        <is>
          <t>Ever-Green</t>
        </is>
      </c>
      <c r="N109" s="15" t="inlineStr">
        <is>
          <t>Desert</t>
        </is>
      </c>
      <c r="O109" s="15" t="inlineStr">
        <is>
          <t>כן</t>
        </is>
      </c>
      <c r="P109" s="15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15" t="inlineStr">
        <is>
          <t>כן</t>
        </is>
      </c>
      <c r="V109" s="15" t="inlineStr">
        <is>
          <t>כן</t>
        </is>
      </c>
      <c r="W109" s="15" t="inlineStr">
        <is>
          <t>כן</t>
        </is>
      </c>
      <c r="X109" s="15" t="inlineStr">
        <is>
          <t>במלאי</t>
        </is>
      </c>
      <c r="Y109" s="15" t="n"/>
      <c r="Z109" s="15" t="n"/>
      <c r="AA109" s="15" t="n"/>
      <c r="AB109" s="16" t="n"/>
      <c r="AC109" s="15" t="n"/>
      <c r="AD109" s="15" t="inlineStr">
        <is>
          <t>לA</t>
        </is>
      </c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15" t="inlineStr">
        <is>
          <t>OverGarment</t>
        </is>
      </c>
      <c r="B110" s="15" t="inlineStr">
        <is>
          <t>Poncho Sahar</t>
        </is>
      </c>
      <c r="C110" s="15" t="inlineStr">
        <is>
          <t>V1</t>
        </is>
      </c>
      <c r="D110" s="15" t="inlineStr">
        <is>
          <t>A2</t>
        </is>
      </c>
      <c r="E110">
        <f>IFERROR(INDEX('הגדרות'!$D$143:$D$224,MATCH(B110&amp;G110&amp;C110,'הגדרות'!$A$143:$A$224&amp;'הגדרות'!$B$143:$B$224&amp;'הגדרות'!$C$143:$C$224,0)),"")</f>
        <v/>
      </c>
      <c r="F110" s="16" t="n"/>
      <c r="G110" s="15" t="inlineStr">
        <is>
          <t>Beti</t>
        </is>
      </c>
      <c r="H110" s="15" t="n"/>
      <c r="I110" s="15" t="n"/>
      <c r="J110" s="15" t="inlineStr">
        <is>
          <t>לא</t>
        </is>
      </c>
      <c r="K110" s="15" t="inlineStr">
        <is>
          <t>לא</t>
        </is>
      </c>
      <c r="L110" s="15" t="n"/>
      <c r="M110" s="15" t="inlineStr">
        <is>
          <t>Ever-Green</t>
        </is>
      </c>
      <c r="N110" s="15" t="inlineStr">
        <is>
          <t>Desert</t>
        </is>
      </c>
      <c r="O110" s="15" t="inlineStr">
        <is>
          <t>כן</t>
        </is>
      </c>
      <c r="P110" s="15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15" t="inlineStr">
        <is>
          <t>כן</t>
        </is>
      </c>
      <c r="V110" s="15" t="inlineStr">
        <is>
          <t>כן</t>
        </is>
      </c>
      <c r="W110" s="15" t="inlineStr">
        <is>
          <t>כן</t>
        </is>
      </c>
      <c r="X110" s="15" t="inlineStr">
        <is>
          <t>במלאי</t>
        </is>
      </c>
      <c r="Y110" s="15" t="n"/>
      <c r="Z110" s="15" t="n"/>
      <c r="AA110" s="15" t="n"/>
      <c r="AB110" s="16" t="n"/>
      <c r="AC110" s="15" t="n"/>
      <c r="AD110" s="15" t="inlineStr">
        <is>
          <t>לא</t>
        </is>
      </c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15" t="inlineStr">
        <is>
          <t>OverGarment</t>
        </is>
      </c>
      <c r="B111" s="15" t="inlineStr">
        <is>
          <t>Poncho Sahar</t>
        </is>
      </c>
      <c r="C111" s="15" t="inlineStr">
        <is>
          <t>V1</t>
        </is>
      </c>
      <c r="D111" s="15" t="inlineStr">
        <is>
          <t>A3</t>
        </is>
      </c>
      <c r="E111">
        <f>IFERROR(INDEX('הגדרות'!$D$143:$D$224,MATCH(B111&amp;G111&amp;C111,'הגדרות'!$A$143:$A$224&amp;'הגדרות'!$B$143:$B$224&amp;'הגדרות'!$C$143:$C$224,0)),"")</f>
        <v/>
      </c>
      <c r="F111" s="16" t="n"/>
      <c r="G111" s="15" t="inlineStr">
        <is>
          <t>MRG</t>
        </is>
      </c>
      <c r="H111" s="15" t="n"/>
      <c r="I111" s="15" t="n"/>
      <c r="J111" s="15" t="inlineStr">
        <is>
          <t>לא</t>
        </is>
      </c>
      <c r="K111" s="15" t="inlineStr">
        <is>
          <t>לא</t>
        </is>
      </c>
      <c r="L111" s="15" t="n"/>
      <c r="M111" s="15" t="inlineStr">
        <is>
          <t>Ever-Green</t>
        </is>
      </c>
      <c r="N111" s="15" t="inlineStr">
        <is>
          <t>Desert</t>
        </is>
      </c>
      <c r="O111" s="15" t="inlineStr">
        <is>
          <t>כן</t>
        </is>
      </c>
      <c r="P111" s="15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15" t="inlineStr">
        <is>
          <t>כן</t>
        </is>
      </c>
      <c r="V111" s="15" t="inlineStr">
        <is>
          <t>כן</t>
        </is>
      </c>
      <c r="W111" s="15" t="inlineStr">
        <is>
          <t>כן</t>
        </is>
      </c>
      <c r="X111" s="15" t="inlineStr">
        <is>
          <t>במלאי</t>
        </is>
      </c>
      <c r="Y111" s="15" t="n"/>
      <c r="Z111" s="15" t="n"/>
      <c r="AA111" s="15" t="n"/>
      <c r="AB111" s="16" t="n"/>
      <c r="AC111" s="15" t="n"/>
      <c r="AD111" s="15" t="inlineStr">
        <is>
          <t>לא</t>
        </is>
      </c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15" t="inlineStr">
        <is>
          <t>OverGarment</t>
        </is>
      </c>
      <c r="B112" s="15" t="inlineStr">
        <is>
          <t>Poncho Sahar</t>
        </is>
      </c>
      <c r="C112" s="15" t="inlineStr">
        <is>
          <t>V1</t>
        </is>
      </c>
      <c r="D112" s="15" t="inlineStr">
        <is>
          <t>A הדגמה</t>
        </is>
      </c>
      <c r="E112">
        <f>IFERROR(INDEX('הגדרות'!$D$143:$D$224,MATCH(B112&amp;G112&amp;C112,'הגדרות'!$A$143:$A$224&amp;'הגדרות'!$B$143:$B$224&amp;'הגדרות'!$C$143:$C$224,0)),"")</f>
        <v/>
      </c>
      <c r="F112" s="16" t="n"/>
      <c r="G112" s="15" t="inlineStr">
        <is>
          <t>Mesh</t>
        </is>
      </c>
      <c r="H112" s="15" t="n"/>
      <c r="I112" s="15" t="n"/>
      <c r="J112" s="15" t="inlineStr">
        <is>
          <t>לא</t>
        </is>
      </c>
      <c r="K112" s="15" t="inlineStr">
        <is>
          <t>לא</t>
        </is>
      </c>
      <c r="L112" s="15" t="n"/>
      <c r="M112" s="15" t="inlineStr">
        <is>
          <t>Ever-Green</t>
        </is>
      </c>
      <c r="N112" s="15" t="inlineStr">
        <is>
          <t>Desert</t>
        </is>
      </c>
      <c r="O112" s="15" t="inlineStr">
        <is>
          <t>כן</t>
        </is>
      </c>
      <c r="P112" s="15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15" t="inlineStr">
        <is>
          <t>כן</t>
        </is>
      </c>
      <c r="V112" s="15" t="inlineStr">
        <is>
          <t>כן</t>
        </is>
      </c>
      <c r="W112" s="15" t="inlineStr">
        <is>
          <t>כן</t>
        </is>
      </c>
      <c r="X112" s="15" t="inlineStr">
        <is>
          <t>במלאי</t>
        </is>
      </c>
      <c r="Y112" s="15" t="n"/>
      <c r="Z112" s="15" t="n"/>
      <c r="AA112" s="15" t="n"/>
      <c r="AB112" s="16" t="n"/>
      <c r="AC112" s="15" t="n"/>
      <c r="AD112" s="15" t="inlineStr">
        <is>
          <t>לא</t>
        </is>
      </c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15" t="inlineStr">
        <is>
          <t>OverGarment</t>
        </is>
      </c>
      <c r="B113" s="15" t="inlineStr">
        <is>
          <t>Poncho Sahar</t>
        </is>
      </c>
      <c r="C113" s="15" t="inlineStr">
        <is>
          <t>V1</t>
        </is>
      </c>
      <c r="D113" s="15" t="inlineStr">
        <is>
          <t>A תצוגה</t>
        </is>
      </c>
      <c r="E113">
        <f>IFERROR(INDEX('הגדרות'!$D$143:$D$224,MATCH(B113&amp;G113&amp;C113,'הגדרות'!$A$143:$A$224&amp;'הגדרות'!$B$143:$B$224&amp;'הגדרות'!$C$143:$C$224,0)),"")</f>
        <v/>
      </c>
      <c r="F113" s="16" t="n"/>
      <c r="G113" s="15" t="inlineStr">
        <is>
          <t>Mesh</t>
        </is>
      </c>
      <c r="H113" s="15" t="n"/>
      <c r="I113" s="15" t="n"/>
      <c r="J113" s="15" t="inlineStr">
        <is>
          <t>לא</t>
        </is>
      </c>
      <c r="K113" s="15" t="inlineStr">
        <is>
          <t>לא</t>
        </is>
      </c>
      <c r="L113" s="15" t="n"/>
      <c r="M113" s="15" t="inlineStr">
        <is>
          <t>Ever-Green</t>
        </is>
      </c>
      <c r="N113" s="15" t="inlineStr">
        <is>
          <t>Desert</t>
        </is>
      </c>
      <c r="O113" s="15" t="inlineStr">
        <is>
          <t>כן</t>
        </is>
      </c>
      <c r="P113" s="15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15" t="inlineStr">
        <is>
          <t>כן</t>
        </is>
      </c>
      <c r="V113" s="15" t="inlineStr">
        <is>
          <t>כן</t>
        </is>
      </c>
      <c r="W113" s="15" t="inlineStr">
        <is>
          <t>כן</t>
        </is>
      </c>
      <c r="X113" s="15" t="inlineStr">
        <is>
          <t>בחדר תצוגה</t>
        </is>
      </c>
      <c r="Y113" s="15" t="n"/>
      <c r="Z113" s="15" t="n"/>
      <c r="AA113" s="15" t="n"/>
      <c r="AB113" s="16" t="n"/>
      <c r="AC113" s="15" t="n"/>
      <c r="AD113" s="15" t="inlineStr">
        <is>
          <t>לא</t>
        </is>
      </c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15" t="inlineStr">
        <is>
          <t>OverGarment</t>
        </is>
      </c>
      <c r="B114" s="15" t="inlineStr">
        <is>
          <t>Poncho Sahar</t>
        </is>
      </c>
      <c r="C114" s="15" t="inlineStr">
        <is>
          <t>V2</t>
        </is>
      </c>
      <c r="D114" s="15" t="inlineStr">
        <is>
          <t>B הדגמה</t>
        </is>
      </c>
      <c r="E114">
        <f>IFERROR(INDEX('הגדרות'!$D$143:$D$224,MATCH(B114&amp;G114&amp;C114,'הגדרות'!$A$143:$A$224&amp;'הגדרות'!$B$143:$B$224&amp;'הגדרות'!$C$143:$C$224,0)),"")</f>
        <v/>
      </c>
      <c r="F114" s="16" t="n"/>
      <c r="G114" s="15" t="inlineStr">
        <is>
          <t>Mesh</t>
        </is>
      </c>
      <c r="H114" s="15" t="n"/>
      <c r="I114" s="15" t="n"/>
      <c r="J114" s="15" t="inlineStr">
        <is>
          <t>לא</t>
        </is>
      </c>
      <c r="K114" s="15" t="inlineStr">
        <is>
          <t>לא</t>
        </is>
      </c>
      <c r="L114" s="15" t="n"/>
      <c r="M114" s="15" t="inlineStr">
        <is>
          <t>Woodland Brown</t>
        </is>
      </c>
      <c r="N114" s="15" t="inlineStr">
        <is>
          <t>Kestrel</t>
        </is>
      </c>
      <c r="O114" s="15" t="inlineStr">
        <is>
          <t>כן</t>
        </is>
      </c>
      <c r="P114" s="15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15" t="inlineStr">
        <is>
          <t>כן</t>
        </is>
      </c>
      <c r="V114" s="15" t="inlineStr">
        <is>
          <t>כן</t>
        </is>
      </c>
      <c r="W114" s="15" t="inlineStr">
        <is>
          <t>כן</t>
        </is>
      </c>
      <c r="X114" s="15" t="inlineStr">
        <is>
          <t>במלאי</t>
        </is>
      </c>
      <c r="Y114" s="15" t="n"/>
      <c r="Z114" s="15" t="n"/>
      <c r="AA114" s="15" t="n"/>
      <c r="AB114" s="16" t="n"/>
      <c r="AC114" s="15" t="n"/>
      <c r="AD114" s="15" t="inlineStr">
        <is>
          <t>לא</t>
        </is>
      </c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15" t="inlineStr">
        <is>
          <t>OverGarment</t>
        </is>
      </c>
      <c r="B115" s="15" t="inlineStr">
        <is>
          <t>Poncho Sahar</t>
        </is>
      </c>
      <c r="C115" s="15" t="inlineStr">
        <is>
          <t>V2</t>
        </is>
      </c>
      <c r="D115" s="15" t="inlineStr">
        <is>
          <t>B תצוגה</t>
        </is>
      </c>
      <c r="E115">
        <f>IFERROR(INDEX('הגדרות'!$D$143:$D$224,MATCH(B115&amp;G115&amp;C115,'הגדרות'!$A$143:$A$224&amp;'הגדרות'!$B$143:$B$224&amp;'הגדרות'!$C$143:$C$224,0)),"")</f>
        <v/>
      </c>
      <c r="F115" s="16" t="n"/>
      <c r="G115" s="15" t="inlineStr">
        <is>
          <t>Mesh</t>
        </is>
      </c>
      <c r="H115" s="15" t="n"/>
      <c r="I115" s="15" t="n"/>
      <c r="J115" s="15" t="inlineStr">
        <is>
          <t>לא</t>
        </is>
      </c>
      <c r="K115" s="15" t="inlineStr">
        <is>
          <t>לא</t>
        </is>
      </c>
      <c r="L115" s="15" t="n"/>
      <c r="M115" s="15" t="inlineStr">
        <is>
          <t>Woodland Brown</t>
        </is>
      </c>
      <c r="N115" s="15" t="inlineStr">
        <is>
          <t>Kestrel</t>
        </is>
      </c>
      <c r="O115" s="15" t="inlineStr">
        <is>
          <t>כן</t>
        </is>
      </c>
      <c r="P115" s="15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15" t="inlineStr">
        <is>
          <t>כן</t>
        </is>
      </c>
      <c r="V115" s="15" t="inlineStr">
        <is>
          <t>כן</t>
        </is>
      </c>
      <c r="W115" s="15" t="inlineStr">
        <is>
          <t>כן</t>
        </is>
      </c>
      <c r="X115" s="15" t="inlineStr">
        <is>
          <t>בחדר תצוגה</t>
        </is>
      </c>
      <c r="Y115" s="15" t="n"/>
      <c r="Z115" s="15" t="n"/>
      <c r="AA115" s="15" t="n"/>
      <c r="AB115" s="16" t="n"/>
      <c r="AC115" s="15" t="n"/>
      <c r="AD115" s="15" t="inlineStr">
        <is>
          <t>לא</t>
        </is>
      </c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15" t="inlineStr">
        <is>
          <t>OverGarment</t>
        </is>
      </c>
      <c r="B116" s="15" t="inlineStr">
        <is>
          <t>Poncho Sahar</t>
        </is>
      </c>
      <c r="C116" s="15" t="inlineStr">
        <is>
          <t>V2 3D</t>
        </is>
      </c>
      <c r="D116" s="15" t="inlineStr">
        <is>
          <t>סהר B 3D הדגמה</t>
        </is>
      </c>
      <c r="E116">
        <f>IFERROR(INDEX('הגדרות'!$D$143:$D$224,MATCH(B116&amp;G116&amp;C116,'הגדרות'!$A$143:$A$224&amp;'הגדרות'!$B$143:$B$224&amp;'הגדרות'!$C$143:$C$224,0)),"")</f>
        <v/>
      </c>
      <c r="F116" s="16" t="n"/>
      <c r="G116" s="15" t="inlineStr">
        <is>
          <t>Mesh</t>
        </is>
      </c>
      <c r="H116" s="15" t="inlineStr">
        <is>
          <t>3D</t>
        </is>
      </c>
      <c r="I116" s="15" t="n"/>
      <c r="J116" s="15" t="inlineStr">
        <is>
          <t>כן</t>
        </is>
      </c>
      <c r="K116" s="15" t="inlineStr">
        <is>
          <t>לא</t>
        </is>
      </c>
      <c r="L116" s="15" t="n"/>
      <c r="M116" s="15" t="inlineStr">
        <is>
          <t>Woodland Brown</t>
        </is>
      </c>
      <c r="N116" s="15" t="inlineStr">
        <is>
          <t>Kestrel</t>
        </is>
      </c>
      <c r="O116" s="15" t="inlineStr">
        <is>
          <t>כן</t>
        </is>
      </c>
      <c r="P116" s="15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15" t="inlineStr">
        <is>
          <t>כן</t>
        </is>
      </c>
      <c r="V116" s="15" t="inlineStr">
        <is>
          <t>כן</t>
        </is>
      </c>
      <c r="W116" s="15" t="n"/>
      <c r="X116" s="15" t="inlineStr">
        <is>
          <t>במלאי</t>
        </is>
      </c>
      <c r="Y116" s="15" t="n"/>
      <c r="Z116" s="15" t="n"/>
      <c r="AA116" s="15" t="n"/>
      <c r="AB116" s="16" t="n"/>
      <c r="AC116" s="15" t="n"/>
      <c r="AD116" s="15" t="inlineStr">
        <is>
          <t>לא</t>
        </is>
      </c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15" t="inlineStr">
        <is>
          <t>OverGarment</t>
        </is>
      </c>
      <c r="B117" s="15" t="inlineStr">
        <is>
          <t>Poncho Sahar</t>
        </is>
      </c>
      <c r="C117" s="15" t="inlineStr">
        <is>
          <t>V2</t>
        </is>
      </c>
      <c r="D117" s="15" t="inlineStr">
        <is>
          <t>B1</t>
        </is>
      </c>
      <c r="E117">
        <f>IFERROR(INDEX('הגדרות'!$D$143:$D$224,MATCH(B117&amp;G117&amp;C117,'הגדרות'!$A$143:$A$224&amp;'הגדרות'!$B$143:$B$224&amp;'הגדרות'!$C$143:$C$224,0)),"")</f>
        <v/>
      </c>
      <c r="F117" s="16" t="n"/>
      <c r="G117" s="15" t="inlineStr">
        <is>
          <t>Mesh</t>
        </is>
      </c>
      <c r="H117" s="15" t="n"/>
      <c r="I117" s="15" t="n"/>
      <c r="J117" s="15" t="n"/>
      <c r="K117" s="15" t="inlineStr">
        <is>
          <t>כן</t>
        </is>
      </c>
      <c r="L117" s="15" t="n"/>
      <c r="M117" s="15" t="inlineStr">
        <is>
          <t>Ever-Green</t>
        </is>
      </c>
      <c r="N117" s="15" t="inlineStr">
        <is>
          <t>Desert</t>
        </is>
      </c>
      <c r="O117" s="15" t="inlineStr">
        <is>
          <t>כן</t>
        </is>
      </c>
      <c r="P117" s="15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15" t="inlineStr">
        <is>
          <t>כן</t>
        </is>
      </c>
      <c r="V117" s="15" t="inlineStr">
        <is>
          <t>כן</t>
        </is>
      </c>
      <c r="W117" s="15" t="inlineStr">
        <is>
          <t>כן</t>
        </is>
      </c>
      <c r="X117" s="15" t="inlineStr">
        <is>
          <t>במלאי</t>
        </is>
      </c>
      <c r="Y117" s="15" t="n"/>
      <c r="Z117" s="15" t="n"/>
      <c r="AA117" s="15" t="n"/>
      <c r="AB117" s="16" t="n"/>
      <c r="AC117" s="15" t="n"/>
      <c r="AD117" s="15" t="inlineStr">
        <is>
          <t>לא</t>
        </is>
      </c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15" t="inlineStr">
        <is>
          <t>OverGarment</t>
        </is>
      </c>
      <c r="B118" s="15" t="inlineStr">
        <is>
          <t>Poncho Sahar</t>
        </is>
      </c>
      <c r="C118" s="15" t="inlineStr">
        <is>
          <t>V1</t>
        </is>
      </c>
      <c r="D118" s="15" t="inlineStr">
        <is>
          <t>A4</t>
        </is>
      </c>
      <c r="E118">
        <f>IFERROR(INDEX('הגדרות'!$D$143:$D$224,MATCH(B118&amp;G118&amp;C118,'הגדרות'!$A$143:$A$224&amp;'הגדרות'!$B$143:$B$224&amp;'הגדרות'!$C$143:$C$224,0)),"")</f>
        <v/>
      </c>
      <c r="F118" s="16" t="n"/>
      <c r="G118" s="15" t="inlineStr">
        <is>
          <t>Mesh</t>
        </is>
      </c>
      <c r="H118" s="15" t="n"/>
      <c r="I118" s="15" t="n"/>
      <c r="J118" s="15" t="inlineStr">
        <is>
          <t>לא</t>
        </is>
      </c>
      <c r="K118" s="15" t="inlineStr">
        <is>
          <t>לא</t>
        </is>
      </c>
      <c r="L118" s="15" t="n"/>
      <c r="M118" s="15" t="inlineStr">
        <is>
          <t>Ever-Green</t>
        </is>
      </c>
      <c r="N118" s="15" t="inlineStr">
        <is>
          <t>Desert</t>
        </is>
      </c>
      <c r="O118" s="15" t="inlineStr">
        <is>
          <t>כן</t>
        </is>
      </c>
      <c r="P118" s="15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15" t="inlineStr">
        <is>
          <t>כן</t>
        </is>
      </c>
      <c r="V118" s="15" t="inlineStr">
        <is>
          <t>כן</t>
        </is>
      </c>
      <c r="W118" s="15" t="inlineStr">
        <is>
          <t>כן</t>
        </is>
      </c>
      <c r="X118" s="15" t="inlineStr">
        <is>
          <t>במלאי</t>
        </is>
      </c>
      <c r="Y118" s="15" t="n"/>
      <c r="Z118" s="15" t="n"/>
      <c r="AA118" s="15" t="n"/>
      <c r="AB118" s="16" t="n"/>
      <c r="AC118" s="15" t="n"/>
      <c r="AD118" s="15" t="inlineStr">
        <is>
          <t>לא</t>
        </is>
      </c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15" t="inlineStr">
        <is>
          <t>OverGarment</t>
        </is>
      </c>
      <c r="B119" s="15" t="inlineStr">
        <is>
          <t>Poncho SRV</t>
        </is>
      </c>
      <c r="C119" s="15" t="inlineStr">
        <is>
          <t>V1</t>
        </is>
      </c>
      <c r="D119" s="15" t="inlineStr">
        <is>
          <t>SRV A16</t>
        </is>
      </c>
      <c r="E119">
        <f>IFERROR(INDEX('הגדרות'!$D$143:$D$224,MATCH(B119&amp;G119&amp;C119,'הגדרות'!$A$143:$A$224&amp;'הגדרות'!$B$143:$B$224&amp;'הגדרות'!$C$143:$C$224,0)),"")</f>
        <v/>
      </c>
      <c r="F119" s="16" t="n"/>
      <c r="G119" s="15" t="inlineStr">
        <is>
          <t>RIPSTOP</t>
        </is>
      </c>
      <c r="H119" s="15" t="n"/>
      <c r="I119" s="15" t="n"/>
      <c r="J119" s="15" t="inlineStr">
        <is>
          <t>לא</t>
        </is>
      </c>
      <c r="K119" s="15" t="inlineStr">
        <is>
          <t>כן</t>
        </is>
      </c>
      <c r="L119" s="15" t="n"/>
      <c r="M119" s="15" t="inlineStr">
        <is>
          <t>Kestrel</t>
        </is>
      </c>
      <c r="N119" s="15" t="n"/>
      <c r="O119" s="15" t="inlineStr">
        <is>
          <t>כן</t>
        </is>
      </c>
      <c r="P119" s="15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15" t="inlineStr">
        <is>
          <t>כן</t>
        </is>
      </c>
      <c r="V119" s="15" t="n"/>
      <c r="W119" s="15" t="n"/>
      <c r="X119" s="15" t="inlineStr">
        <is>
          <t>במלאי</t>
        </is>
      </c>
      <c r="Y119" s="15" t="n"/>
      <c r="Z119" s="15" t="n"/>
      <c r="AA119" s="15" t="n"/>
      <c r="AB119" s="16" t="n"/>
      <c r="AC119" s="15" t="n"/>
      <c r="AD119" s="15" t="inlineStr">
        <is>
          <t>לא</t>
        </is>
      </c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15" t="inlineStr">
        <is>
          <t>OverGarment</t>
        </is>
      </c>
      <c r="B120" s="15" t="inlineStr">
        <is>
          <t>Poncho SRV</t>
        </is>
      </c>
      <c r="C120" s="15" t="inlineStr">
        <is>
          <t>Short</t>
        </is>
      </c>
      <c r="D120" s="15" t="inlineStr">
        <is>
          <t>SRV A14</t>
        </is>
      </c>
      <c r="E120">
        <f>IFERROR(INDEX('הגדרות'!$D$143:$D$224,MATCH(B120&amp;G120&amp;C120,'הגדרות'!$A$143:$A$224&amp;'הגדרות'!$B$143:$B$224&amp;'הגדרות'!$C$143:$C$224,0)),"")</f>
        <v/>
      </c>
      <c r="F120" s="16" t="n"/>
      <c r="G120" s="15" t="inlineStr">
        <is>
          <t>RIPSTOP</t>
        </is>
      </c>
      <c r="H120" s="15" t="n"/>
      <c r="I120" s="15" t="n"/>
      <c r="J120" s="15" t="inlineStr">
        <is>
          <t>לא</t>
        </is>
      </c>
      <c r="K120" s="15" t="inlineStr">
        <is>
          <t>כן</t>
        </is>
      </c>
      <c r="L120" s="15" t="n"/>
      <c r="M120" s="15" t="inlineStr">
        <is>
          <t>Marine</t>
        </is>
      </c>
      <c r="N120" s="15" t="n"/>
      <c r="O120" s="15" t="inlineStr">
        <is>
          <t>כן</t>
        </is>
      </c>
      <c r="P120" s="15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15" t="inlineStr">
        <is>
          <t>כן</t>
        </is>
      </c>
      <c r="V120" s="15" t="n"/>
      <c r="W120" s="15" t="n"/>
      <c r="X120" s="15" t="inlineStr">
        <is>
          <t>במלאי</t>
        </is>
      </c>
      <c r="Y120" s="15" t="n"/>
      <c r="Z120" s="15" t="n"/>
      <c r="AA120" s="15" t="n"/>
      <c r="AB120" s="16" t="n"/>
      <c r="AC120" s="15" t="n"/>
      <c r="AD120" s="15" t="inlineStr">
        <is>
          <t>לא</t>
        </is>
      </c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15" t="inlineStr">
        <is>
          <t>OverGarment</t>
        </is>
      </c>
      <c r="B121" s="15" t="inlineStr">
        <is>
          <t>Poncho SRV</t>
        </is>
      </c>
      <c r="C121" s="15" t="inlineStr">
        <is>
          <t>V1</t>
        </is>
      </c>
      <c r="D121" s="15" t="inlineStr">
        <is>
          <t>SRV A12</t>
        </is>
      </c>
      <c r="E121">
        <f>IFERROR(INDEX('הגדרות'!$D$143:$D$224,MATCH(B121&amp;G121&amp;C121,'הגדרות'!$A$143:$A$224&amp;'הגדרות'!$B$143:$B$224&amp;'הגדרות'!$C$143:$C$224,0)),"")</f>
        <v/>
      </c>
      <c r="F121" s="16" t="n"/>
      <c r="G121" s="15" t="inlineStr">
        <is>
          <t>RIPSTOP</t>
        </is>
      </c>
      <c r="H121" s="15" t="n"/>
      <c r="I121" s="15" t="n"/>
      <c r="J121" s="15" t="inlineStr">
        <is>
          <t>לא</t>
        </is>
      </c>
      <c r="K121" s="15" t="inlineStr">
        <is>
          <t>כן</t>
        </is>
      </c>
      <c r="L121" s="15" t="inlineStr">
        <is>
          <t>קסטרל אמריקאי</t>
        </is>
      </c>
      <c r="M121" s="15" t="inlineStr">
        <is>
          <t>Kestrel</t>
        </is>
      </c>
      <c r="N121" s="15" t="n"/>
      <c r="O121" s="15" t="inlineStr">
        <is>
          <t>כן</t>
        </is>
      </c>
      <c r="P121" s="15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15" t="inlineStr">
        <is>
          <t>כן</t>
        </is>
      </c>
      <c r="V121" s="15" t="n"/>
      <c r="W121" s="15" t="n"/>
      <c r="X121" s="15" t="inlineStr">
        <is>
          <t>במלאי</t>
        </is>
      </c>
      <c r="Y121" s="15" t="n"/>
      <c r="Z121" s="15" t="n"/>
      <c r="AA121" s="15" t="n"/>
      <c r="AB121" s="16" t="n"/>
      <c r="AC121" s="15" t="n"/>
      <c r="AD121" s="15" t="inlineStr">
        <is>
          <t>לא</t>
        </is>
      </c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15" t="inlineStr">
        <is>
          <t>OverGarment</t>
        </is>
      </c>
      <c r="B122" s="15" t="inlineStr">
        <is>
          <t>Poncho SRV</t>
        </is>
      </c>
      <c r="C122" s="15" t="inlineStr">
        <is>
          <t>V1</t>
        </is>
      </c>
      <c r="D122" s="15" t="inlineStr">
        <is>
          <t>SRV A10</t>
        </is>
      </c>
      <c r="E122">
        <f>IFERROR(INDEX('הגדרות'!$D$143:$D$224,MATCH(B122&amp;G122&amp;C122,'הגדרות'!$A$143:$A$224&amp;'הגדרות'!$B$143:$B$224&amp;'הגדרות'!$C$143:$C$224,0)),"")</f>
        <v/>
      </c>
      <c r="F122" s="16" t="n"/>
      <c r="G122" s="15" t="inlineStr">
        <is>
          <t>RIPSTOP</t>
        </is>
      </c>
      <c r="H122" s="15" t="n"/>
      <c r="I122" s="15" t="n"/>
      <c r="J122" s="15" t="inlineStr">
        <is>
          <t>לא</t>
        </is>
      </c>
      <c r="K122" s="15" t="inlineStr">
        <is>
          <t>כן</t>
        </is>
      </c>
      <c r="L122" s="15" t="n"/>
      <c r="M122" s="15" t="inlineStr">
        <is>
          <t>Kestrel</t>
        </is>
      </c>
      <c r="N122" s="15" t="n"/>
      <c r="O122" s="15" t="inlineStr">
        <is>
          <t>כן</t>
        </is>
      </c>
      <c r="P122" s="15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15" t="inlineStr">
        <is>
          <t>כן</t>
        </is>
      </c>
      <c r="V122" s="15" t="n"/>
      <c r="W122" s="15" t="n"/>
      <c r="X122" s="15" t="inlineStr">
        <is>
          <t>במלאי</t>
        </is>
      </c>
      <c r="Y122" s="15" t="n"/>
      <c r="Z122" s="15" t="n"/>
      <c r="AA122" s="15" t="n"/>
      <c r="AB122" s="16" t="n"/>
      <c r="AC122" s="15" t="n"/>
      <c r="AD122" s="15" t="inlineStr">
        <is>
          <t>לא</t>
        </is>
      </c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15" t="inlineStr">
        <is>
          <t>OverGarment</t>
        </is>
      </c>
      <c r="B123" s="15" t="inlineStr">
        <is>
          <t>Poncho SRV</t>
        </is>
      </c>
      <c r="C123" s="15" t="inlineStr">
        <is>
          <t>Short</t>
        </is>
      </c>
      <c r="D123" s="15" t="inlineStr">
        <is>
          <t>SRV Short 9</t>
        </is>
      </c>
      <c r="E123">
        <f>IFERROR(INDEX('הגדרות'!$D$143:$D$224,MATCH(B123&amp;G123&amp;C123,'הגדרות'!$A$143:$A$224&amp;'הגדרות'!$B$143:$B$224&amp;'הגדרות'!$C$143:$C$224,0)),"")</f>
        <v/>
      </c>
      <c r="F123" s="16" t="n"/>
      <c r="G123" s="15" t="inlineStr">
        <is>
          <t>RIPSTOP</t>
        </is>
      </c>
      <c r="H123" s="15" t="n"/>
      <c r="I123" s="15" t="n"/>
      <c r="J123" s="15" t="inlineStr">
        <is>
          <t>לא</t>
        </is>
      </c>
      <c r="K123" s="15" t="inlineStr">
        <is>
          <t>כן</t>
        </is>
      </c>
      <c r="L123" s="15" t="n"/>
      <c r="M123" s="15" t="inlineStr">
        <is>
          <t>Marine</t>
        </is>
      </c>
      <c r="N123" s="15" t="n"/>
      <c r="O123" s="15" t="inlineStr">
        <is>
          <t>כן</t>
        </is>
      </c>
      <c r="P123" s="15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15" t="inlineStr">
        <is>
          <t>כן</t>
        </is>
      </c>
      <c r="V123" s="15" t="n"/>
      <c r="W123" s="15" t="n"/>
      <c r="X123" s="15" t="inlineStr">
        <is>
          <t>במלאי</t>
        </is>
      </c>
      <c r="Y123" s="15" t="n"/>
      <c r="Z123" s="15" t="n"/>
      <c r="AA123" s="15" t="n"/>
      <c r="AB123" s="16" t="n"/>
      <c r="AC123" s="15" t="n"/>
      <c r="AD123" s="15" t="inlineStr">
        <is>
          <t>לא</t>
        </is>
      </c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15" t="inlineStr">
        <is>
          <t>OverGarment</t>
        </is>
      </c>
      <c r="B124" s="15" t="inlineStr">
        <is>
          <t>Poncho SRV</t>
        </is>
      </c>
      <c r="C124" s="15" t="inlineStr">
        <is>
          <t>Short</t>
        </is>
      </c>
      <c r="D124" s="15" t="inlineStr">
        <is>
          <t>SRV Short 8</t>
        </is>
      </c>
      <c r="E124">
        <f>IFERROR(INDEX('הגדרות'!$D$143:$D$224,MATCH(B124&amp;G124&amp;C124,'הגדרות'!$A$143:$A$224&amp;'הגדרות'!$B$143:$B$224&amp;'הגדרות'!$C$143:$C$224,0)),"")</f>
        <v/>
      </c>
      <c r="F124" s="16" t="n"/>
      <c r="G124" s="15" t="inlineStr">
        <is>
          <t>RIPSTOP</t>
        </is>
      </c>
      <c r="H124" s="15" t="n"/>
      <c r="I124" s="15" t="n"/>
      <c r="J124" s="15" t="inlineStr">
        <is>
          <t>לא</t>
        </is>
      </c>
      <c r="K124" s="15" t="inlineStr">
        <is>
          <t>כן</t>
        </is>
      </c>
      <c r="L124" s="15" t="n"/>
      <c r="M124" s="15" t="inlineStr">
        <is>
          <t>Ever-Green</t>
        </is>
      </c>
      <c r="N124" s="15" t="n"/>
      <c r="O124" s="15" t="inlineStr">
        <is>
          <t>כן</t>
        </is>
      </c>
      <c r="P124" s="15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15" t="inlineStr">
        <is>
          <t>כן</t>
        </is>
      </c>
      <c r="V124" s="15" t="n"/>
      <c r="W124" s="15" t="n"/>
      <c r="X124" s="15" t="inlineStr">
        <is>
          <t>במלאי</t>
        </is>
      </c>
      <c r="Y124" s="15" t="n"/>
      <c r="Z124" s="15" t="n"/>
      <c r="AA124" s="15" t="n"/>
      <c r="AB124" s="16" t="n"/>
      <c r="AC124" s="15" t="n"/>
      <c r="AD124" s="15" t="inlineStr">
        <is>
          <t>לא</t>
        </is>
      </c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15" t="inlineStr">
        <is>
          <t>OverGarment</t>
        </is>
      </c>
      <c r="B125" s="15" t="inlineStr">
        <is>
          <t>Poncho SRV</t>
        </is>
      </c>
      <c r="C125" s="15" t="inlineStr">
        <is>
          <t>Short</t>
        </is>
      </c>
      <c r="D125" s="15" t="inlineStr">
        <is>
          <t>SRV Short 6</t>
        </is>
      </c>
      <c r="E125">
        <f>IFERROR(INDEX('הגדרות'!$D$143:$D$224,MATCH(B125&amp;G125&amp;C125,'הגדרות'!$A$143:$A$224&amp;'הגדרות'!$B$143:$B$224&amp;'הגדרות'!$C$143:$C$224,0)),"")</f>
        <v/>
      </c>
      <c r="F125" s="16" t="n"/>
      <c r="G125" s="15" t="inlineStr">
        <is>
          <t>RIPSTOP</t>
        </is>
      </c>
      <c r="H125" s="15" t="n"/>
      <c r="I125" s="15" t="n"/>
      <c r="J125" s="15" t="inlineStr">
        <is>
          <t>לא</t>
        </is>
      </c>
      <c r="K125" s="15" t="inlineStr">
        <is>
          <t>כן</t>
        </is>
      </c>
      <c r="L125" s="15" t="n"/>
      <c r="M125" s="15" t="inlineStr">
        <is>
          <t>Woodland</t>
        </is>
      </c>
      <c r="N125" s="15" t="inlineStr">
        <is>
          <t>Desert-Green</t>
        </is>
      </c>
      <c r="O125" s="15" t="inlineStr">
        <is>
          <t>כן</t>
        </is>
      </c>
      <c r="P125" s="15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15" t="inlineStr">
        <is>
          <t>כן</t>
        </is>
      </c>
      <c r="V125" s="15" t="inlineStr">
        <is>
          <t>כן</t>
        </is>
      </c>
      <c r="W125" s="15" t="n"/>
      <c r="X125" s="15" t="inlineStr">
        <is>
          <t>במלאי</t>
        </is>
      </c>
      <c r="Y125" s="15" t="n"/>
      <c r="Z125" s="15" t="n"/>
      <c r="AA125" s="15" t="n"/>
      <c r="AB125" s="16" t="n"/>
      <c r="AC125" s="15" t="n"/>
      <c r="AD125" s="15" t="inlineStr">
        <is>
          <t>לא</t>
        </is>
      </c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15" t="inlineStr">
        <is>
          <t>OverGarment</t>
        </is>
      </c>
      <c r="B126" s="15" t="inlineStr">
        <is>
          <t>Poncho SRV</t>
        </is>
      </c>
      <c r="C126" s="15" t="inlineStr">
        <is>
          <t>Short</t>
        </is>
      </c>
      <c r="D126" s="15" t="inlineStr">
        <is>
          <t>SRV Short 5</t>
        </is>
      </c>
      <c r="E126">
        <f>IFERROR(INDEX('הגדרות'!$D$143:$D$224,MATCH(B126&amp;G126&amp;C126,'הגדרות'!$A$143:$A$224&amp;'הגדרות'!$B$143:$B$224&amp;'הגדרות'!$C$143:$C$224,0)),"")</f>
        <v/>
      </c>
      <c r="F126" s="16" t="n"/>
      <c r="G126" s="15" t="inlineStr">
        <is>
          <t>RIPSTOP</t>
        </is>
      </c>
      <c r="H126" s="15" t="n"/>
      <c r="I126" s="15" t="n"/>
      <c r="J126" s="15" t="inlineStr">
        <is>
          <t>לא</t>
        </is>
      </c>
      <c r="K126" s="15" t="inlineStr">
        <is>
          <t>כן</t>
        </is>
      </c>
      <c r="L126" s="15" t="n"/>
      <c r="M126" s="15" t="inlineStr">
        <is>
          <t>Marine</t>
        </is>
      </c>
      <c r="N126" s="15" t="n"/>
      <c r="O126" s="15" t="inlineStr">
        <is>
          <t>כן</t>
        </is>
      </c>
      <c r="P126" s="15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15" t="inlineStr">
        <is>
          <t>כן</t>
        </is>
      </c>
      <c r="V126" s="15" t="n"/>
      <c r="W126" s="15" t="n"/>
      <c r="X126" s="15" t="inlineStr">
        <is>
          <t>במלאי</t>
        </is>
      </c>
      <c r="Y126" s="15" t="n"/>
      <c r="Z126" s="15" t="n"/>
      <c r="AA126" s="15" t="n"/>
      <c r="AB126" s="16" t="n"/>
      <c r="AC126" s="15" t="n"/>
      <c r="AD126" s="15" t="inlineStr">
        <is>
          <t>לא</t>
        </is>
      </c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15" t="inlineStr">
        <is>
          <t>OverGarment</t>
        </is>
      </c>
      <c r="B127" s="15" t="inlineStr">
        <is>
          <t>Poncho SRV</t>
        </is>
      </c>
      <c r="C127" s="15" t="inlineStr">
        <is>
          <t>Short</t>
        </is>
      </c>
      <c r="D127" s="15" t="inlineStr">
        <is>
          <t>SRV Short 3</t>
        </is>
      </c>
      <c r="E127">
        <f>IFERROR(INDEX('הגדרות'!$D$143:$D$224,MATCH(B127&amp;G127&amp;C127,'הגדרות'!$A$143:$A$224&amp;'הגדרות'!$B$143:$B$224&amp;'הגדרות'!$C$143:$C$224,0)),"")</f>
        <v/>
      </c>
      <c r="F127" s="16" t="n"/>
      <c r="G127" s="15" t="inlineStr">
        <is>
          <t>RIPSTOP</t>
        </is>
      </c>
      <c r="H127" s="15" t="n"/>
      <c r="I127" s="15" t="n"/>
      <c r="J127" s="15" t="inlineStr">
        <is>
          <t>לא</t>
        </is>
      </c>
      <c r="K127" s="15" t="inlineStr">
        <is>
          <t>כן</t>
        </is>
      </c>
      <c r="L127" s="15" t="n"/>
      <c r="M127" s="15" t="inlineStr">
        <is>
          <t>Marine</t>
        </is>
      </c>
      <c r="N127" s="15" t="n"/>
      <c r="O127" s="15" t="inlineStr">
        <is>
          <t>כן</t>
        </is>
      </c>
      <c r="P127" s="15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15" t="inlineStr">
        <is>
          <t>כן</t>
        </is>
      </c>
      <c r="V127" s="15" t="n"/>
      <c r="W127" s="15" t="n"/>
      <c r="X127" s="15" t="inlineStr">
        <is>
          <t>במלאי</t>
        </is>
      </c>
      <c r="Y127" s="15" t="n"/>
      <c r="Z127" s="15" t="n"/>
      <c r="AA127" s="15" t="n"/>
      <c r="AB127" s="16" t="n"/>
      <c r="AC127" s="15" t="n"/>
      <c r="AD127" s="15" t="inlineStr">
        <is>
          <t>לא</t>
        </is>
      </c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15" t="inlineStr">
        <is>
          <t>OverGarment</t>
        </is>
      </c>
      <c r="B128" s="15" t="inlineStr">
        <is>
          <t>Poncho SRV</t>
        </is>
      </c>
      <c r="C128" s="15" t="inlineStr">
        <is>
          <t>Short</t>
        </is>
      </c>
      <c r="D128" s="15" t="inlineStr">
        <is>
          <t>SRV Short 2</t>
        </is>
      </c>
      <c r="E128">
        <f>IFERROR(INDEX('הגדרות'!$D$143:$D$224,MATCH(B128&amp;G128&amp;C128,'הגדרות'!$A$143:$A$224&amp;'הגדרות'!$B$143:$B$224&amp;'הגדרות'!$C$143:$C$224,0)),"")</f>
        <v/>
      </c>
      <c r="F128" s="16" t="n"/>
      <c r="G128" s="15" t="inlineStr">
        <is>
          <t>RIPSTOP</t>
        </is>
      </c>
      <c r="H128" s="15" t="n"/>
      <c r="I128" s="15" t="n"/>
      <c r="J128" s="15" t="inlineStr">
        <is>
          <t>לא</t>
        </is>
      </c>
      <c r="K128" s="15" t="inlineStr">
        <is>
          <t>כן</t>
        </is>
      </c>
      <c r="L128" s="15" t="n"/>
      <c r="M128" s="15" t="inlineStr">
        <is>
          <t>Marine</t>
        </is>
      </c>
      <c r="N128" s="15" t="n"/>
      <c r="O128" s="15" t="inlineStr">
        <is>
          <t>כן</t>
        </is>
      </c>
      <c r="P128" s="15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15" t="inlineStr">
        <is>
          <t>כן</t>
        </is>
      </c>
      <c r="V128" s="15" t="n"/>
      <c r="W128" s="15" t="n"/>
      <c r="X128" s="15" t="inlineStr">
        <is>
          <t>במלאי</t>
        </is>
      </c>
      <c r="Y128" s="15" t="n"/>
      <c r="Z128" s="15" t="n"/>
      <c r="AA128" s="15" t="n"/>
      <c r="AB128" s="16" t="n"/>
      <c r="AC128" s="15" t="n"/>
      <c r="AD128" s="15" t="inlineStr">
        <is>
          <t>לא</t>
        </is>
      </c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15" t="inlineStr">
        <is>
          <t>OverGarment</t>
        </is>
      </c>
      <c r="B129" s="15" t="inlineStr">
        <is>
          <t>Poncho SRV</t>
        </is>
      </c>
      <c r="C129" s="15" t="inlineStr">
        <is>
          <t>Short</t>
        </is>
      </c>
      <c r="D129" s="15" t="inlineStr">
        <is>
          <t>SRV Short 13</t>
        </is>
      </c>
      <c r="E129">
        <f>IFERROR(INDEX('הגדרות'!$D$143:$D$224,MATCH(B129&amp;G129&amp;C129,'הגדרות'!$A$143:$A$224&amp;'הגדרות'!$B$143:$B$224&amp;'הגדרות'!$C$143:$C$224,0)),"")</f>
        <v/>
      </c>
      <c r="F129" s="16" t="n"/>
      <c r="G129" s="15" t="inlineStr">
        <is>
          <t>RIPSTOP</t>
        </is>
      </c>
      <c r="H129" s="15" t="n"/>
      <c r="I129" s="15" t="n"/>
      <c r="J129" s="15" t="inlineStr">
        <is>
          <t>לא</t>
        </is>
      </c>
      <c r="K129" s="15" t="inlineStr">
        <is>
          <t>כן</t>
        </is>
      </c>
      <c r="L129" s="15" t="n"/>
      <c r="M129" s="15" t="inlineStr">
        <is>
          <t>Marine</t>
        </is>
      </c>
      <c r="N129" s="15" t="n"/>
      <c r="O129" s="15" t="inlineStr">
        <is>
          <t>כן</t>
        </is>
      </c>
      <c r="P129" s="15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15" t="inlineStr">
        <is>
          <t>כן</t>
        </is>
      </c>
      <c r="V129" s="15" t="n"/>
      <c r="W129" s="15" t="n"/>
      <c r="X129" s="15" t="inlineStr">
        <is>
          <t>במלאי</t>
        </is>
      </c>
      <c r="Y129" s="15" t="n"/>
      <c r="Z129" s="15" t="n"/>
      <c r="AA129" s="15" t="n"/>
      <c r="AB129" s="16" t="n"/>
      <c r="AC129" s="15" t="n"/>
      <c r="AD129" s="15" t="inlineStr">
        <is>
          <t>לא</t>
        </is>
      </c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15" t="inlineStr">
        <is>
          <t>OverGarment</t>
        </is>
      </c>
      <c r="B130" s="15" t="inlineStr">
        <is>
          <t>Poncho SRV</t>
        </is>
      </c>
      <c r="C130" s="15" t="inlineStr">
        <is>
          <t>Short</t>
        </is>
      </c>
      <c r="D130" s="15" t="inlineStr">
        <is>
          <t>SRV Short 11</t>
        </is>
      </c>
      <c r="E130">
        <f>IFERROR(INDEX('הגדרות'!$D$143:$D$224,MATCH(B130&amp;G130&amp;C130,'הגדרות'!$A$143:$A$224&amp;'הגדרות'!$B$143:$B$224&amp;'הגדרות'!$C$143:$C$224,0)),"")</f>
        <v/>
      </c>
      <c r="F130" s="16" t="n"/>
      <c r="G130" s="15" t="inlineStr">
        <is>
          <t>RIPSTOP</t>
        </is>
      </c>
      <c r="H130" s="15" t="n"/>
      <c r="I130" s="15" t="n"/>
      <c r="J130" s="15" t="inlineStr">
        <is>
          <t>לא</t>
        </is>
      </c>
      <c r="K130" s="15" t="inlineStr">
        <is>
          <t>כן</t>
        </is>
      </c>
      <c r="L130" s="15" t="n"/>
      <c r="M130" s="15" t="inlineStr">
        <is>
          <t>Marine</t>
        </is>
      </c>
      <c r="N130" s="15" t="n"/>
      <c r="O130" s="15" t="inlineStr">
        <is>
          <t>כן</t>
        </is>
      </c>
      <c r="P130" s="15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15" t="inlineStr">
        <is>
          <t>כן</t>
        </is>
      </c>
      <c r="V130" s="15" t="n"/>
      <c r="W130" s="15" t="n"/>
      <c r="X130" s="15" t="inlineStr">
        <is>
          <t>במלאי</t>
        </is>
      </c>
      <c r="Y130" s="15" t="n"/>
      <c r="Z130" s="15" t="n"/>
      <c r="AA130" s="15" t="n"/>
      <c r="AB130" s="16" t="n"/>
      <c r="AC130" s="15" t="n"/>
      <c r="AD130" s="15" t="inlineStr">
        <is>
          <t>לא</t>
        </is>
      </c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15" t="inlineStr">
        <is>
          <t>OverGarment</t>
        </is>
      </c>
      <c r="B131" s="15" t="inlineStr">
        <is>
          <t>Poncho SRV</t>
        </is>
      </c>
      <c r="C131" s="15" t="inlineStr">
        <is>
          <t>Short</t>
        </is>
      </c>
      <c r="D131" s="15" t="inlineStr">
        <is>
          <t>SRV Short 1</t>
        </is>
      </c>
      <c r="E131">
        <f>IFERROR(INDEX('הגדרות'!$D$143:$D$224,MATCH(B131&amp;G131&amp;C131,'הגדרות'!$A$143:$A$224&amp;'הגדרות'!$B$143:$B$224&amp;'הגדרות'!$C$143:$C$224,0)),"")</f>
        <v/>
      </c>
      <c r="F131" s="16" t="n"/>
      <c r="G131" s="15" t="inlineStr">
        <is>
          <t>RIPSTOP</t>
        </is>
      </c>
      <c r="H131" s="15" t="n"/>
      <c r="I131" s="15" t="n"/>
      <c r="J131" s="15" t="inlineStr">
        <is>
          <t>לא</t>
        </is>
      </c>
      <c r="K131" s="15" t="inlineStr">
        <is>
          <t>כן</t>
        </is>
      </c>
      <c r="L131" s="15" t="n"/>
      <c r="M131" s="15" t="inlineStr">
        <is>
          <t>Marine</t>
        </is>
      </c>
      <c r="N131" s="15" t="n"/>
      <c r="O131" s="15" t="inlineStr">
        <is>
          <t>כן</t>
        </is>
      </c>
      <c r="P131" s="15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15" t="inlineStr">
        <is>
          <t>כן</t>
        </is>
      </c>
      <c r="V131" s="15" t="n"/>
      <c r="W131" s="15" t="n"/>
      <c r="X131" s="15" t="inlineStr">
        <is>
          <t>במלאי</t>
        </is>
      </c>
      <c r="Y131" s="15" t="n"/>
      <c r="Z131" s="15" t="n"/>
      <c r="AA131" s="15" t="n"/>
      <c r="AB131" s="16" t="n"/>
      <c r="AC131" s="15" t="n"/>
      <c r="AD131" s="15" t="inlineStr">
        <is>
          <t>לא</t>
        </is>
      </c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15" t="inlineStr">
        <is>
          <t>OverGarment</t>
        </is>
      </c>
      <c r="B132" s="15" t="inlineStr">
        <is>
          <t>Poncho SRV</t>
        </is>
      </c>
      <c r="C132" s="15" t="inlineStr">
        <is>
          <t>Short</t>
        </is>
      </c>
      <c r="D132" s="15" t="inlineStr">
        <is>
          <t>SRV Short 4</t>
        </is>
      </c>
      <c r="E132">
        <f>IFERROR(INDEX('הגדרות'!$D$143:$D$224,MATCH(B132&amp;G132&amp;C132,'הגדרות'!$A$143:$A$224&amp;'הגדרות'!$B$143:$B$224&amp;'הגדרות'!$C$143:$C$224,0)),"")</f>
        <v/>
      </c>
      <c r="F132" s="16" t="n"/>
      <c r="G132" s="15" t="inlineStr">
        <is>
          <t>RIPSTOP</t>
        </is>
      </c>
      <c r="H132" s="15" t="n"/>
      <c r="I132" s="15" t="n"/>
      <c r="J132" s="15" t="inlineStr">
        <is>
          <t>לא</t>
        </is>
      </c>
      <c r="K132" s="15" t="inlineStr">
        <is>
          <t>כן</t>
        </is>
      </c>
      <c r="L132" s="15" t="n"/>
      <c r="M132" s="15" t="inlineStr">
        <is>
          <t>Marine</t>
        </is>
      </c>
      <c r="N132" s="15" t="n"/>
      <c r="O132" s="15" t="inlineStr">
        <is>
          <t>כן</t>
        </is>
      </c>
      <c r="P132" s="15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15" t="inlineStr">
        <is>
          <t>כן</t>
        </is>
      </c>
      <c r="V132" s="15" t="n"/>
      <c r="W132" s="15" t="n"/>
      <c r="X132" s="15" t="inlineStr">
        <is>
          <t>במלאי</t>
        </is>
      </c>
      <c r="Y132" s="15" t="n"/>
      <c r="Z132" s="15" t="n"/>
      <c r="AA132" s="15" t="n"/>
      <c r="AB132" s="16" t="n"/>
      <c r="AC132" s="15" t="n"/>
      <c r="AD132" s="15" t="inlineStr">
        <is>
          <t>לא</t>
        </is>
      </c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15" t="inlineStr">
        <is>
          <t>OverGarment</t>
        </is>
      </c>
      <c r="B133" s="15" t="inlineStr">
        <is>
          <t>Poncho SRV</t>
        </is>
      </c>
      <c r="C133" s="15" t="inlineStr">
        <is>
          <t>Short V2</t>
        </is>
      </c>
      <c r="D133" s="15" t="inlineStr">
        <is>
          <t>SRV ב קצר הדגמה</t>
        </is>
      </c>
      <c r="E133">
        <f>IFERROR(INDEX('הגדרות'!$D$143:$D$224,MATCH(B133&amp;G133&amp;C133,'הגדרות'!$A$143:$A$224&amp;'הגדרות'!$B$143:$B$224&amp;'הגדרות'!$C$143:$C$224,0)),"")</f>
        <v/>
      </c>
      <c r="F133" s="16" t="n"/>
      <c r="G133" s="15" t="inlineStr">
        <is>
          <t>RIPSTOP Double Layer</t>
        </is>
      </c>
      <c r="H133" s="15" t="n"/>
      <c r="I133" s="15" t="n"/>
      <c r="J133" s="15" t="inlineStr">
        <is>
          <t>לא</t>
        </is>
      </c>
      <c r="K133" s="15" t="inlineStr">
        <is>
          <t>כן</t>
        </is>
      </c>
      <c r="L133" s="15" t="n"/>
      <c r="M133" s="15" t="inlineStr">
        <is>
          <t>Woodland</t>
        </is>
      </c>
      <c r="N133" s="15" t="inlineStr">
        <is>
          <t>NATO</t>
        </is>
      </c>
      <c r="O133" s="15" t="inlineStr">
        <is>
          <t>כן</t>
        </is>
      </c>
      <c r="P133" s="15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15" t="inlineStr">
        <is>
          <t>כן</t>
        </is>
      </c>
      <c r="V133" s="15" t="inlineStr">
        <is>
          <t>כן</t>
        </is>
      </c>
      <c r="W133" s="15" t="n"/>
      <c r="X133" s="15" t="inlineStr">
        <is>
          <t>במלאי</t>
        </is>
      </c>
      <c r="Y133" s="15" t="n"/>
      <c r="Z133" s="15" t="n"/>
      <c r="AA133" s="15" t="n"/>
      <c r="AB133" s="16" t="n"/>
      <c r="AC133" s="15" t="n"/>
      <c r="AD133" s="15" t="inlineStr">
        <is>
          <t>לא</t>
        </is>
      </c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15" t="inlineStr">
        <is>
          <t>OverGarment</t>
        </is>
      </c>
      <c r="B134" s="15" t="inlineStr">
        <is>
          <t>Poncho SRV</t>
        </is>
      </c>
      <c r="C134" s="15" t="inlineStr">
        <is>
          <t>Short V2</t>
        </is>
      </c>
      <c r="D134" s="15" t="inlineStr">
        <is>
          <t>SRV Short B7</t>
        </is>
      </c>
      <c r="E134">
        <f>IFERROR(INDEX('הגדרות'!$D$143:$D$224,MATCH(B134&amp;G134&amp;C134,'הגדרות'!$A$143:$A$224&amp;'הגדרות'!$B$143:$B$224&amp;'הגדרות'!$C$143:$C$224,0)),"")</f>
        <v/>
      </c>
      <c r="F134" s="16" t="n"/>
      <c r="G134" s="15" t="inlineStr">
        <is>
          <t>RIPSTOP Double Layer</t>
        </is>
      </c>
      <c r="H134" s="15" t="n"/>
      <c r="I134" s="15" t="n"/>
      <c r="J134" s="15" t="inlineStr">
        <is>
          <t>לא</t>
        </is>
      </c>
      <c r="K134" s="15" t="inlineStr">
        <is>
          <t>כן</t>
        </is>
      </c>
      <c r="L134" s="15" t="n"/>
      <c r="M134" s="15" t="inlineStr">
        <is>
          <t>Marine</t>
        </is>
      </c>
      <c r="N134" s="15" t="inlineStr">
        <is>
          <t>NATO</t>
        </is>
      </c>
      <c r="O134" s="15" t="inlineStr">
        <is>
          <t>כן</t>
        </is>
      </c>
      <c r="P134" s="15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15" t="inlineStr">
        <is>
          <t>כן</t>
        </is>
      </c>
      <c r="V134" s="15" t="inlineStr">
        <is>
          <t>כן</t>
        </is>
      </c>
      <c r="W134" s="15" t="n"/>
      <c r="X134" s="15" t="inlineStr">
        <is>
          <t>במלאי</t>
        </is>
      </c>
      <c r="Y134" s="15" t="n"/>
      <c r="Z134" s="15" t="n"/>
      <c r="AA134" s="15" t="n"/>
      <c r="AB134" s="16" t="n"/>
      <c r="AC134" s="15" t="n"/>
      <c r="AD134" s="15" t="inlineStr">
        <is>
          <t>לא</t>
        </is>
      </c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15" t="inlineStr">
        <is>
          <t>OverGarment</t>
        </is>
      </c>
      <c r="B135" s="15" t="inlineStr">
        <is>
          <t>Poncho SRV</t>
        </is>
      </c>
      <c r="C135" s="15" t="inlineStr">
        <is>
          <t>V1</t>
        </is>
      </c>
      <c r="D135" s="15" t="inlineStr">
        <is>
          <t>פונצ'ו הישרדות משולב (רשת)</t>
        </is>
      </c>
      <c r="E135">
        <f>IFERROR(INDEX('הגדרות'!$D$143:$D$224,MATCH(B135&amp;G135&amp;C135,'הגדרות'!$A$143:$A$224&amp;'הגדרות'!$B$143:$B$224&amp;'הגדרות'!$C$143:$C$224,0)),"")</f>
        <v/>
      </c>
      <c r="F135" s="16" t="n"/>
      <c r="G135" s="15" t="inlineStr">
        <is>
          <t>רשת רכב</t>
        </is>
      </c>
      <c r="H135" s="15" t="n"/>
      <c r="I135" s="15" t="n"/>
      <c r="J135" s="15" t="inlineStr">
        <is>
          <t>כן</t>
        </is>
      </c>
      <c r="K135" s="15" t="inlineStr">
        <is>
          <t>לא</t>
        </is>
      </c>
      <c r="L135" s="15" t="n"/>
      <c r="M135" s="15" t="inlineStr">
        <is>
          <t>Ever-Green</t>
        </is>
      </c>
      <c r="N135" s="15" t="inlineStr">
        <is>
          <t>Desert</t>
        </is>
      </c>
      <c r="O135" s="15" t="inlineStr">
        <is>
          <t>כן</t>
        </is>
      </c>
      <c r="P135" s="15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15" t="inlineStr">
        <is>
          <t>לא</t>
        </is>
      </c>
      <c r="V135" s="15" t="inlineStr">
        <is>
          <t>לא</t>
        </is>
      </c>
      <c r="W135" s="15" t="n"/>
      <c r="X135" s="15" t="inlineStr">
        <is>
          <t>במלאי</t>
        </is>
      </c>
      <c r="Y135" s="15" t="n"/>
      <c r="Z135" s="15" t="n"/>
      <c r="AA135" s="15" t="n"/>
      <c r="AB135" s="16" t="n"/>
      <c r="AC135" s="15" t="inlineStr">
        <is>
          <t>ויזואלי, ישן</t>
        </is>
      </c>
      <c r="AD135" s="15" t="inlineStr">
        <is>
          <t>לא</t>
        </is>
      </c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15" t="inlineStr">
        <is>
          <t>Uniform</t>
        </is>
      </c>
      <c r="B136" s="15" t="inlineStr">
        <is>
          <t>Shirt</t>
        </is>
      </c>
      <c r="C136" s="15" t="inlineStr">
        <is>
          <t>Maritime</t>
        </is>
      </c>
      <c r="D136" s="15" t="inlineStr">
        <is>
          <t>UNI 041</t>
        </is>
      </c>
      <c r="E136">
        <f>IFERROR(INDEX('הגדרות'!$D$143:$D$224,MATCH(B136&amp;G136&amp;C136,'הגדרות'!$A$143:$A$224&amp;'הגדרות'!$B$143:$B$224&amp;'הגדרות'!$C$143:$C$224,0)),"")</f>
        <v/>
      </c>
      <c r="F136" s="16" t="n"/>
      <c r="G136" s="15" t="inlineStr">
        <is>
          <t>Stretch</t>
        </is>
      </c>
      <c r="H136" s="15" t="n"/>
      <c r="I136" s="15" t="inlineStr">
        <is>
          <t>L</t>
        </is>
      </c>
      <c r="J136" s="15" t="n"/>
      <c r="K136" s="15" t="n"/>
      <c r="L136" s="15" t="inlineStr">
        <is>
          <t>קצת דהוי</t>
        </is>
      </c>
      <c r="M136" s="15" t="inlineStr">
        <is>
          <t>Kestrel</t>
        </is>
      </c>
      <c r="N136" s="15" t="n"/>
      <c r="O136" s="15" t="inlineStr">
        <is>
          <t>כן</t>
        </is>
      </c>
      <c r="P136" s="15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15" t="n"/>
      <c r="V136" s="15" t="n"/>
      <c r="W136" s="15" t="n"/>
      <c r="X136" s="15" t="inlineStr">
        <is>
          <t>במלאי</t>
        </is>
      </c>
      <c r="Y136" s="15" t="n"/>
      <c r="Z136" s="15" t="n"/>
      <c r="AA136" s="15" t="n"/>
      <c r="AB136" s="16" t="n"/>
      <c r="AC136" s="15" t="n"/>
      <c r="AD136" s="15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15" t="inlineStr">
        <is>
          <t>Uniform</t>
        </is>
      </c>
      <c r="B137" s="15" t="inlineStr">
        <is>
          <t>Shirt</t>
        </is>
      </c>
      <c r="C137" s="15" t="inlineStr">
        <is>
          <t>אדם, דגם-2</t>
        </is>
      </c>
      <c r="D137" s="15" t="inlineStr">
        <is>
          <t>UNI 008</t>
        </is>
      </c>
      <c r="E137">
        <f>IFERROR(INDEX('הגדרות'!$D$143:$D$224,MATCH(B137&amp;G137&amp;C137,'הגדרות'!$A$143:$A$224&amp;'הגדרות'!$B$143:$B$224&amp;'הגדרות'!$C$143:$C$224,0)),"")</f>
        <v/>
      </c>
      <c r="F137" s="16" t="n"/>
      <c r="G137" s="15" t="inlineStr">
        <is>
          <t>Durable</t>
        </is>
      </c>
      <c r="H137" s="15" t="n"/>
      <c r="I137" s="15" t="inlineStr">
        <is>
          <t>L</t>
        </is>
      </c>
      <c r="J137" s="15" t="inlineStr">
        <is>
          <t>כן</t>
        </is>
      </c>
      <c r="K137" s="15" t="n"/>
      <c r="L137" s="15" t="n"/>
      <c r="M137" s="15" t="inlineStr">
        <is>
          <t>Ever-Green</t>
        </is>
      </c>
      <c r="N137" s="15" t="n"/>
      <c r="O137" s="15" t="inlineStr">
        <is>
          <t>כן</t>
        </is>
      </c>
      <c r="P137" s="15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15" t="n"/>
      <c r="V137" s="15" t="n"/>
      <c r="W137" s="15" t="n"/>
      <c r="X137" s="15" t="inlineStr">
        <is>
          <t>במלאי</t>
        </is>
      </c>
      <c r="Y137" s="15" t="n"/>
      <c r="Z137" s="15" t="n"/>
      <c r="AA137" s="15" t="n"/>
      <c r="AB137" s="16" t="n"/>
      <c r="AC137" s="15" t="n"/>
      <c r="AD137" s="15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15" t="inlineStr">
        <is>
          <t>Uniform</t>
        </is>
      </c>
      <c r="B138" s="15" t="inlineStr">
        <is>
          <t>Shirt</t>
        </is>
      </c>
      <c r="C138" s="15" t="inlineStr">
        <is>
          <t>Maritime</t>
        </is>
      </c>
      <c r="D138" s="15" t="inlineStr">
        <is>
          <t>חולצה מלאי 1</t>
        </is>
      </c>
      <c r="E138">
        <f>IFERROR(INDEX('הגדרות'!$D$143:$D$224,MATCH(B138&amp;G138&amp;C138,'הגדרות'!$A$143:$A$224&amp;'הגדרות'!$B$143:$B$224&amp;'הגדרות'!$C$143:$C$224,0)),"")</f>
        <v/>
      </c>
      <c r="F138" s="16" t="n"/>
      <c r="G138" s="15" t="inlineStr">
        <is>
          <t>Stretch</t>
        </is>
      </c>
      <c r="H138" s="15" t="n"/>
      <c r="I138" s="15" t="inlineStr">
        <is>
          <t>L</t>
        </is>
      </c>
      <c r="J138" s="15" t="n"/>
      <c r="K138" s="15" t="inlineStr">
        <is>
          <t>לא</t>
        </is>
      </c>
      <c r="L138" s="15" t="n"/>
      <c r="M138" s="15" t="inlineStr">
        <is>
          <t>Marine</t>
        </is>
      </c>
      <c r="N138" s="15" t="n"/>
      <c r="O138" s="15" t="inlineStr">
        <is>
          <t>כן</t>
        </is>
      </c>
      <c r="P138" s="15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15" t="n"/>
      <c r="V138" s="15" t="n"/>
      <c r="W138" s="15" t="n"/>
      <c r="X138" s="15" t="inlineStr">
        <is>
          <t>במלאי</t>
        </is>
      </c>
      <c r="Y138" s="15" t="n"/>
      <c r="Z138" s="15" t="n"/>
      <c r="AA138" s="15" t="n"/>
      <c r="AB138" s="16" t="n"/>
      <c r="AC138" s="15" t="inlineStr">
        <is>
          <t>רשום כ"פסול"</t>
        </is>
      </c>
      <c r="AD138" s="15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15" t="inlineStr">
        <is>
          <t>Uniform</t>
        </is>
      </c>
      <c r="B139" s="15" t="inlineStr">
        <is>
          <t>Shirt</t>
        </is>
      </c>
      <c r="C139" s="15" t="inlineStr">
        <is>
          <t>Maritime</t>
        </is>
      </c>
      <c r="D139" s="15" t="inlineStr">
        <is>
          <t>UNI 027</t>
        </is>
      </c>
      <c r="E139">
        <f>IFERROR(INDEX('הגדרות'!$D$143:$D$224,MATCH(B139&amp;G139&amp;C139,'הגדרות'!$A$143:$A$224&amp;'הגדרות'!$B$143:$B$224&amp;'הגדרות'!$C$143:$C$224,0)),"")</f>
        <v/>
      </c>
      <c r="F139" s="16" t="n"/>
      <c r="G139" s="15" t="inlineStr">
        <is>
          <t>Stretch</t>
        </is>
      </c>
      <c r="H139" s="15" t="n"/>
      <c r="I139" s="15" t="n"/>
      <c r="J139" s="15" t="n"/>
      <c r="K139" s="15" t="n"/>
      <c r="L139" s="15" t="inlineStr">
        <is>
          <t>1/4 ZIP, L-R</t>
        </is>
      </c>
      <c r="M139" s="15" t="inlineStr">
        <is>
          <t>Fresh Snow</t>
        </is>
      </c>
      <c r="N139" s="15" t="n"/>
      <c r="O139" s="15" t="inlineStr">
        <is>
          <t>כן</t>
        </is>
      </c>
      <c r="P139" s="15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15" t="n"/>
      <c r="V139" s="15" t="n"/>
      <c r="W139" s="15" t="n"/>
      <c r="X139" s="15" t="inlineStr">
        <is>
          <t>במלאי</t>
        </is>
      </c>
      <c r="Y139" s="15" t="n"/>
      <c r="Z139" s="15" t="n"/>
      <c r="AA139" s="15" t="n"/>
      <c r="AB139" s="16" t="n"/>
      <c r="AC139" s="15" t="n"/>
      <c r="AD139" s="15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15" t="inlineStr">
        <is>
          <t>OverGarment</t>
        </is>
      </c>
      <c r="B140" s="15" t="inlineStr">
        <is>
          <t>Sniper Assault</t>
        </is>
      </c>
      <c r="C140" s="15" t="inlineStr">
        <is>
          <t>V1</t>
        </is>
      </c>
      <c r="D140" s="15" t="inlineStr">
        <is>
          <t>חליפת צלף הדגמה</t>
        </is>
      </c>
      <c r="E140">
        <f>IFERROR(INDEX('הגדרות'!$D$143:$D$224,MATCH(B140&amp;G140&amp;C140,'הגדרות'!$A$143:$A$224&amp;'הגדרות'!$B$143:$B$224&amp;'הגדרות'!$C$143:$C$224,0)),"")</f>
        <v/>
      </c>
      <c r="F140" s="16" t="n"/>
      <c r="G140" s="15" t="inlineStr">
        <is>
          <t>3D</t>
        </is>
      </c>
      <c r="H140" s="15" t="n"/>
      <c r="I140" s="15" t="n"/>
      <c r="J140" s="15" t="inlineStr">
        <is>
          <t>לא</t>
        </is>
      </c>
      <c r="K140" s="15" t="inlineStr">
        <is>
          <t>כן</t>
        </is>
      </c>
      <c r="L140" s="15" t="n"/>
      <c r="M140" s="15" t="inlineStr">
        <is>
          <t>Kestrel</t>
        </is>
      </c>
      <c r="N140" s="15" t="n"/>
      <c r="O140" s="15" t="inlineStr">
        <is>
          <t>כן</t>
        </is>
      </c>
      <c r="P140" s="15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15" t="inlineStr">
        <is>
          <t>כן</t>
        </is>
      </c>
      <c r="V140" s="15" t="n"/>
      <c r="W140" s="15" t="n"/>
      <c r="X140" s="15" t="inlineStr">
        <is>
          <t>במלאי</t>
        </is>
      </c>
      <c r="Y140" s="15" t="n"/>
      <c r="Z140" s="15" t="n"/>
      <c r="AA140" s="15" t="n"/>
      <c r="AB140" s="16" t="n"/>
      <c r="AC140" s="15" t="n"/>
      <c r="AD140" s="15" t="inlineStr">
        <is>
          <t>לא</t>
        </is>
      </c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15" t="inlineStr">
        <is>
          <t>OverGarment</t>
        </is>
      </c>
      <c r="B141" s="15" t="inlineStr">
        <is>
          <t>Sniper Assault</t>
        </is>
      </c>
      <c r="C141" s="15" t="inlineStr">
        <is>
          <t>V1</t>
        </is>
      </c>
      <c r="D141" s="15" t="inlineStr">
        <is>
          <t>חליפת צלף תצוגה</t>
        </is>
      </c>
      <c r="E141">
        <f>IFERROR(INDEX('הגדרות'!$D$143:$D$224,MATCH(B141&amp;G141&amp;C141,'הגדרות'!$A$143:$A$224&amp;'הגדרות'!$B$143:$B$224&amp;'הגדרות'!$C$143:$C$224,0)),"")</f>
        <v/>
      </c>
      <c r="F141" s="16" t="n"/>
      <c r="G141" s="15" t="inlineStr">
        <is>
          <t>3D</t>
        </is>
      </c>
      <c r="H141" s="15" t="n"/>
      <c r="I141" s="15" t="n"/>
      <c r="J141" s="15" t="inlineStr">
        <is>
          <t>לא</t>
        </is>
      </c>
      <c r="K141" s="15" t="inlineStr">
        <is>
          <t>כן</t>
        </is>
      </c>
      <c r="L141" s="15" t="n"/>
      <c r="M141" s="15" t="inlineStr">
        <is>
          <t>Kestrel</t>
        </is>
      </c>
      <c r="N141" s="15" t="n"/>
      <c r="O141" s="15" t="inlineStr">
        <is>
          <t>כן</t>
        </is>
      </c>
      <c r="P141" s="15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15" t="inlineStr">
        <is>
          <t>כן</t>
        </is>
      </c>
      <c r="V141" s="15" t="n"/>
      <c r="W141" s="15" t="n"/>
      <c r="X141" s="15" t="inlineStr">
        <is>
          <t>במלאי</t>
        </is>
      </c>
      <c r="Y141" s="15" t="n"/>
      <c r="Z141" s="15" t="n"/>
      <c r="AA141" s="15" t="n"/>
      <c r="AB141" s="16" t="n"/>
      <c r="AC141" s="15" t="n"/>
      <c r="AD141" s="15" t="inlineStr">
        <is>
          <t>לא</t>
        </is>
      </c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15" t="inlineStr">
        <is>
          <t>Blankets</t>
        </is>
      </c>
      <c r="B142" s="15" t="inlineStr">
        <is>
          <t>Survival Blanket</t>
        </is>
      </c>
      <c r="C142" s="15" t="inlineStr">
        <is>
          <t>V1</t>
        </is>
      </c>
      <c r="D142" s="15" t="inlineStr">
        <is>
          <t>SRV Blanket 1</t>
        </is>
      </c>
      <c r="E142">
        <f>IFERROR(INDEX('הגדרות'!$D$143:$D$224,MATCH(B142&amp;G142&amp;C142,'הגדרות'!$A$143:$A$224&amp;'הגדרות'!$B$143:$B$224&amp;'הגדרות'!$C$143:$C$224,0)),"")</f>
        <v/>
      </c>
      <c r="F142" s="16" t="n"/>
      <c r="G142" s="15" t="inlineStr">
        <is>
          <t>Mesh</t>
        </is>
      </c>
      <c r="H142" s="15" t="n"/>
      <c r="I142" s="15" t="n"/>
      <c r="J142" s="15" t="inlineStr">
        <is>
          <t>כן</t>
        </is>
      </c>
      <c r="K142" s="15" t="inlineStr">
        <is>
          <t>לא</t>
        </is>
      </c>
      <c r="L142" s="15" t="n"/>
      <c r="M142" s="15" t="inlineStr">
        <is>
          <t>Ever-Green</t>
        </is>
      </c>
      <c r="N142" s="15" t="inlineStr">
        <is>
          <t>Desert</t>
        </is>
      </c>
      <c r="O142" s="15" t="inlineStr">
        <is>
          <t>כן</t>
        </is>
      </c>
      <c r="P142" s="15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15" t="inlineStr">
        <is>
          <t>כן</t>
        </is>
      </c>
      <c r="V142" s="15" t="inlineStr">
        <is>
          <t>כן</t>
        </is>
      </c>
      <c r="W142" s="15" t="n"/>
      <c r="X142" s="15" t="inlineStr">
        <is>
          <t>במלאי</t>
        </is>
      </c>
      <c r="Y142" s="15" t="n"/>
      <c r="Z142" s="15" t="n"/>
      <c r="AA142" s="15" t="n"/>
      <c r="AB142" s="16" t="n"/>
      <c r="AC142" s="15" t="n"/>
      <c r="AD142" s="15" t="inlineStr">
        <is>
          <t>לא</t>
        </is>
      </c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15" t="inlineStr">
        <is>
          <t>Blankets</t>
        </is>
      </c>
      <c r="B143" s="15" t="inlineStr">
        <is>
          <t>Survival Blanket</t>
        </is>
      </c>
      <c r="C143" s="15" t="inlineStr">
        <is>
          <t>V1</t>
        </is>
      </c>
      <c r="D143" s="15" t="inlineStr">
        <is>
          <t>SRV Blanket 3</t>
        </is>
      </c>
      <c r="E143">
        <f>IFERROR(INDEX('הגדרות'!$D$143:$D$224,MATCH(B143&amp;G143&amp;C143,'הגדרות'!$A$143:$A$224&amp;'הגדרות'!$B$143:$B$224&amp;'הגדרות'!$C$143:$C$224,0)),"")</f>
        <v/>
      </c>
      <c r="F143" s="16" t="n"/>
      <c r="G143" s="15" t="inlineStr">
        <is>
          <t>RIPSTOP</t>
        </is>
      </c>
      <c r="H143" s="15" t="n"/>
      <c r="I143" s="15" t="n"/>
      <c r="J143" s="15" t="inlineStr">
        <is>
          <t>לא</t>
        </is>
      </c>
      <c r="K143" s="15" t="inlineStr">
        <is>
          <t>כן</t>
        </is>
      </c>
      <c r="L143" s="15" t="n"/>
      <c r="M143" s="15" t="inlineStr">
        <is>
          <t>Marine</t>
        </is>
      </c>
      <c r="N143" s="15" t="inlineStr">
        <is>
          <t>Kestrel</t>
        </is>
      </c>
      <c r="O143" s="15" t="inlineStr">
        <is>
          <t>לא</t>
        </is>
      </c>
      <c r="P143" s="15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15" t="inlineStr">
        <is>
          <t>כן</t>
        </is>
      </c>
      <c r="V143" s="15" t="inlineStr">
        <is>
          <t>כן</t>
        </is>
      </c>
      <c r="W143" s="15" t="n"/>
      <c r="X143" s="15" t="inlineStr">
        <is>
          <t>במלאי</t>
        </is>
      </c>
      <c r="Y143" s="15" t="n"/>
      <c r="Z143" s="15" t="n"/>
      <c r="AA143" s="15" t="n"/>
      <c r="AB143" s="16" t="n"/>
      <c r="AC143" s="15" t="n"/>
      <c r="AD143" s="15" t="inlineStr">
        <is>
          <t>לא</t>
        </is>
      </c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15" t="inlineStr">
        <is>
          <t>Blankets</t>
        </is>
      </c>
      <c r="B144" s="15" t="inlineStr">
        <is>
          <t>Survival Blanket</t>
        </is>
      </c>
      <c r="C144" s="15" t="inlineStr">
        <is>
          <t>V1</t>
        </is>
      </c>
      <c r="D144" s="15" t="inlineStr">
        <is>
          <t>SRV Blanket 4</t>
        </is>
      </c>
      <c r="E144">
        <f>IFERROR(INDEX('הגדרות'!$D$143:$D$224,MATCH(B144&amp;G144&amp;C144,'הגדרות'!$A$143:$A$224&amp;'הגדרות'!$B$143:$B$224&amp;'הגדרות'!$C$143:$C$224,0)),"")</f>
        <v/>
      </c>
      <c r="F144" s="16" t="n"/>
      <c r="G144" s="15" t="inlineStr">
        <is>
          <t>RIPSTOP</t>
        </is>
      </c>
      <c r="H144" s="15" t="n"/>
      <c r="I144" s="15" t="n"/>
      <c r="J144" s="15" t="inlineStr">
        <is>
          <t>לא</t>
        </is>
      </c>
      <c r="K144" s="15" t="inlineStr">
        <is>
          <t>כן</t>
        </is>
      </c>
      <c r="L144" s="15" t="n"/>
      <c r="M144" s="15" t="inlineStr">
        <is>
          <t>Marine</t>
        </is>
      </c>
      <c r="N144" s="15" t="inlineStr">
        <is>
          <t>Kestrel</t>
        </is>
      </c>
      <c r="O144" s="15" t="inlineStr">
        <is>
          <t>לא</t>
        </is>
      </c>
      <c r="P144" s="15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15" t="inlineStr">
        <is>
          <t>כן</t>
        </is>
      </c>
      <c r="V144" s="15" t="inlineStr">
        <is>
          <t>כן</t>
        </is>
      </c>
      <c r="W144" s="15" t="n"/>
      <c r="X144" s="15" t="inlineStr">
        <is>
          <t>במלאי</t>
        </is>
      </c>
      <c r="Y144" s="15" t="n"/>
      <c r="Z144" s="15" t="n"/>
      <c r="AA144" s="15" t="n"/>
      <c r="AB144" s="16" t="n"/>
      <c r="AC144" s="15" t="n"/>
      <c r="AD144" s="15" t="inlineStr">
        <is>
          <t>לא</t>
        </is>
      </c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15" t="inlineStr">
        <is>
          <t>Blankets</t>
        </is>
      </c>
      <c r="B145" s="15" t="inlineStr">
        <is>
          <t>Survival Blanket</t>
        </is>
      </c>
      <c r="C145" s="15" t="inlineStr">
        <is>
          <t>V1</t>
        </is>
      </c>
      <c r="D145" s="15" t="inlineStr">
        <is>
          <t>SRV Blanket 2</t>
        </is>
      </c>
      <c r="E145">
        <f>IFERROR(INDEX('הגדרות'!$D$143:$D$224,MATCH(B145&amp;G145&amp;C145,'הגדרות'!$A$143:$A$224&amp;'הגדרות'!$B$143:$B$224&amp;'הגדרות'!$C$143:$C$224,0)),"")</f>
        <v/>
      </c>
      <c r="F145" s="16" t="n"/>
      <c r="G145" s="15" t="inlineStr">
        <is>
          <t>RIPSTOP</t>
        </is>
      </c>
      <c r="H145" s="15" t="n"/>
      <c r="I145" s="15" t="n"/>
      <c r="J145" s="15" t="inlineStr">
        <is>
          <t>לא</t>
        </is>
      </c>
      <c r="K145" s="15" t="inlineStr">
        <is>
          <t>כן</t>
        </is>
      </c>
      <c r="L145" s="15" t="n"/>
      <c r="M145" s="15" t="inlineStr">
        <is>
          <t>Ever-Green</t>
        </is>
      </c>
      <c r="N145" s="15" t="inlineStr">
        <is>
          <t>Ever-Green</t>
        </is>
      </c>
      <c r="O145" s="15" t="inlineStr">
        <is>
          <t>כן</t>
        </is>
      </c>
      <c r="P145" s="15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15" t="inlineStr">
        <is>
          <t>כן</t>
        </is>
      </c>
      <c r="V145" s="15" t="inlineStr">
        <is>
          <t>כן</t>
        </is>
      </c>
      <c r="W145" s="15" t="n"/>
      <c r="X145" s="15" t="inlineStr">
        <is>
          <t>במלאי</t>
        </is>
      </c>
      <c r="Y145" s="15" t="n"/>
      <c r="Z145" s="15" t="n"/>
      <c r="AA145" s="15" t="n"/>
      <c r="AB145" s="16" t="n"/>
      <c r="AC145" s="15" t="n"/>
      <c r="AD145" s="15" t="inlineStr">
        <is>
          <t>לא</t>
        </is>
      </c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15" t="inlineStr">
        <is>
          <t>Blankets</t>
        </is>
      </c>
      <c r="B146" s="15" t="inlineStr">
        <is>
          <t>Survival Blanket</t>
        </is>
      </c>
      <c r="C146" s="15" t="inlineStr">
        <is>
          <t>V1</t>
        </is>
      </c>
      <c r="D146" s="15" t="inlineStr">
        <is>
          <t>SRV Blanket 6</t>
        </is>
      </c>
      <c r="E146">
        <f>IFERROR(INDEX('הגדרות'!$D$143:$D$224,MATCH(B146&amp;G146&amp;C146,'הגדרות'!$A$143:$A$224&amp;'הגדרות'!$B$143:$B$224&amp;'הגדרות'!$C$143:$C$224,0)),"")</f>
        <v/>
      </c>
      <c r="F146" s="16" t="n"/>
      <c r="G146" s="15" t="inlineStr">
        <is>
          <t>RIPSTOP</t>
        </is>
      </c>
      <c r="H146" s="15" t="n"/>
      <c r="I146" s="15" t="n"/>
      <c r="J146" s="15" t="inlineStr">
        <is>
          <t>לא</t>
        </is>
      </c>
      <c r="K146" s="15" t="inlineStr">
        <is>
          <t>כן</t>
        </is>
      </c>
      <c r="L146" s="15" t="n"/>
      <c r="M146" s="15" t="inlineStr">
        <is>
          <t>Marine</t>
        </is>
      </c>
      <c r="N146" s="15" t="inlineStr">
        <is>
          <t>Marine</t>
        </is>
      </c>
      <c r="O146" s="15" t="inlineStr">
        <is>
          <t>כן</t>
        </is>
      </c>
      <c r="P146" s="15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15" t="inlineStr">
        <is>
          <t>כן</t>
        </is>
      </c>
      <c r="V146" s="15" t="inlineStr">
        <is>
          <t>כן</t>
        </is>
      </c>
      <c r="W146" s="15" t="n"/>
      <c r="X146" s="15" t="inlineStr">
        <is>
          <t>במלאי</t>
        </is>
      </c>
      <c r="Y146" s="15" t="n"/>
      <c r="Z146" s="15" t="n"/>
      <c r="AA146" s="15" t="n"/>
      <c r="AB146" s="16" t="n"/>
      <c r="AC146" s="15" t="n"/>
      <c r="AD146" s="15" t="inlineStr">
        <is>
          <t>לא</t>
        </is>
      </c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15" t="inlineStr">
        <is>
          <t>Blankets</t>
        </is>
      </c>
      <c r="B147" s="15" t="inlineStr">
        <is>
          <t>Survival Blanket</t>
        </is>
      </c>
      <c r="C147" s="15" t="inlineStr">
        <is>
          <t>V1</t>
        </is>
      </c>
      <c r="D147" s="15" t="inlineStr">
        <is>
          <t>יריעת הישרדות קרוע 5</t>
        </is>
      </c>
      <c r="E147">
        <f>IFERROR(INDEX('הגדרות'!$D$143:$D$224,MATCH(B147&amp;G147&amp;C147,'הגדרות'!$A$143:$A$224&amp;'הגדרות'!$B$143:$B$224&amp;'הגדרות'!$C$143:$C$224,0)),"")</f>
        <v/>
      </c>
      <c r="F147" s="16" t="n"/>
      <c r="G147" s="15" t="inlineStr">
        <is>
          <t>RIPSTOP</t>
        </is>
      </c>
      <c r="H147" s="15" t="n"/>
      <c r="I147" s="15" t="n"/>
      <c r="J147" s="15" t="inlineStr">
        <is>
          <t>לא</t>
        </is>
      </c>
      <c r="K147" s="15" t="inlineStr">
        <is>
          <t>לא</t>
        </is>
      </c>
      <c r="L147" s="15" t="inlineStr">
        <is>
          <t>קרוע בתחתית</t>
        </is>
      </c>
      <c r="M147" s="15" t="inlineStr">
        <is>
          <t>Woodland</t>
        </is>
      </c>
      <c r="N147" s="15" t="inlineStr">
        <is>
          <t>Kestrel</t>
        </is>
      </c>
      <c r="O147" s="15" t="inlineStr">
        <is>
          <t>לא</t>
        </is>
      </c>
      <c r="P147" s="15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15" t="inlineStr">
        <is>
          <t>כן</t>
        </is>
      </c>
      <c r="V147" s="15" t="inlineStr">
        <is>
          <t>כן</t>
        </is>
      </c>
      <c r="W147" s="15" t="n"/>
      <c r="X147" s="15" t="inlineStr">
        <is>
          <t>במלאי</t>
        </is>
      </c>
      <c r="Y147" s="15" t="n"/>
      <c r="Z147" s="15" t="n"/>
      <c r="AA147" s="15" t="n"/>
      <c r="AB147" s="16" t="n"/>
      <c r="AC147" s="15" t="n"/>
      <c r="AD147" s="15" t="inlineStr">
        <is>
          <t>לא</t>
        </is>
      </c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15" t="inlineStr">
        <is>
          <t>Blankets</t>
        </is>
      </c>
      <c r="B148" s="15" t="inlineStr">
        <is>
          <t>Survival Blanket</t>
        </is>
      </c>
      <c r="C148" s="15" t="inlineStr">
        <is>
          <t>V1</t>
        </is>
      </c>
      <c r="D148" s="15" t="inlineStr">
        <is>
          <t>SRV Blanket 10</t>
        </is>
      </c>
      <c r="E148">
        <f>IFERROR(INDEX('הגדרות'!$D$143:$D$224,MATCH(B148&amp;G148&amp;C148,'הגדרות'!$A$143:$A$224&amp;'הגדרות'!$B$143:$B$224&amp;'הגדרות'!$C$143:$C$224,0)),"")</f>
        <v/>
      </c>
      <c r="F148" s="16" t="n"/>
      <c r="G148" s="15" t="inlineStr">
        <is>
          <t>RIPSTOP</t>
        </is>
      </c>
      <c r="H148" s="15" t="n"/>
      <c r="I148" s="15" t="n"/>
      <c r="J148" s="15" t="inlineStr">
        <is>
          <t>לא</t>
        </is>
      </c>
      <c r="K148" s="15" t="inlineStr">
        <is>
          <t>לא</t>
        </is>
      </c>
      <c r="L148" s="15" t="inlineStr">
        <is>
          <t>לא הופך לOVERGARMENT</t>
        </is>
      </c>
      <c r="M148" s="15" t="inlineStr">
        <is>
          <t>Woodland</t>
        </is>
      </c>
      <c r="N148" s="15" t="inlineStr">
        <is>
          <t>Desert</t>
        </is>
      </c>
      <c r="O148" s="15" t="inlineStr">
        <is>
          <t>כן</t>
        </is>
      </c>
      <c r="P148" s="15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15" t="inlineStr">
        <is>
          <t>כן</t>
        </is>
      </c>
      <c r="V148" s="15" t="inlineStr">
        <is>
          <t>כן</t>
        </is>
      </c>
      <c r="W148" s="15" t="inlineStr">
        <is>
          <t>לא</t>
        </is>
      </c>
      <c r="X148" s="15" t="inlineStr">
        <is>
          <t>במלאי</t>
        </is>
      </c>
      <c r="Y148" s="15" t="n"/>
      <c r="Z148" s="15" t="n"/>
      <c r="AA148" s="15" t="n"/>
      <c r="AB148" s="16" t="n"/>
      <c r="AC148" s="15" t="n"/>
      <c r="AD148" s="15" t="inlineStr">
        <is>
          <t>לא</t>
        </is>
      </c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15" t="inlineStr">
        <is>
          <t>Blankets</t>
        </is>
      </c>
      <c r="B149" s="15" t="inlineStr">
        <is>
          <t>Survival Blanket</t>
        </is>
      </c>
      <c r="C149" s="15" t="inlineStr">
        <is>
          <t>V1</t>
        </is>
      </c>
      <c r="D149" s="15" t="inlineStr">
        <is>
          <t>SRV Blanket 11</t>
        </is>
      </c>
      <c r="E149">
        <f>IFERROR(INDEX('הגדרות'!$D$143:$D$224,MATCH(B149&amp;G149&amp;C149,'הגדרות'!$A$143:$A$224&amp;'הגדרות'!$B$143:$B$224&amp;'הגדרות'!$C$143:$C$224,0)),"")</f>
        <v/>
      </c>
      <c r="F149" s="16" t="n"/>
      <c r="G149" s="15" t="inlineStr">
        <is>
          <t>RIPSTOP</t>
        </is>
      </c>
      <c r="H149" s="15" t="n"/>
      <c r="I149" s="15" t="n"/>
      <c r="J149" s="15" t="inlineStr">
        <is>
          <t>לא</t>
        </is>
      </c>
      <c r="K149" s="15" t="inlineStr">
        <is>
          <t>לא</t>
        </is>
      </c>
      <c r="L149" s="15" t="inlineStr">
        <is>
          <t>לא הופך לOVERGARMENT</t>
        </is>
      </c>
      <c r="M149" s="15" t="inlineStr">
        <is>
          <t>Woodland</t>
        </is>
      </c>
      <c r="N149" s="15" t="inlineStr">
        <is>
          <t>Desert</t>
        </is>
      </c>
      <c r="O149" s="15" t="inlineStr">
        <is>
          <t>כן</t>
        </is>
      </c>
      <c r="P149" s="15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15" t="inlineStr">
        <is>
          <t>כן</t>
        </is>
      </c>
      <c r="V149" s="15" t="inlineStr">
        <is>
          <t>כן</t>
        </is>
      </c>
      <c r="W149" s="15" t="inlineStr">
        <is>
          <t>לא</t>
        </is>
      </c>
      <c r="X149" s="15" t="inlineStr">
        <is>
          <t>במלאי</t>
        </is>
      </c>
      <c r="Y149" s="15" t="n"/>
      <c r="Z149" s="15" t="n"/>
      <c r="AA149" s="15" t="n"/>
      <c r="AB149" s="16" t="n"/>
      <c r="AC149" s="15" t="n"/>
      <c r="AD149" s="15" t="inlineStr">
        <is>
          <t>לא</t>
        </is>
      </c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15" t="inlineStr">
        <is>
          <t>Blankets</t>
        </is>
      </c>
      <c r="B150" s="15" t="inlineStr">
        <is>
          <t>Survival Blanket</t>
        </is>
      </c>
      <c r="C150" s="15" t="inlineStr">
        <is>
          <t>V1</t>
        </is>
      </c>
      <c r="D150" s="15" t="inlineStr">
        <is>
          <t>SRV Blanket 12</t>
        </is>
      </c>
      <c r="E150">
        <f>IFERROR(INDEX('הגדרות'!$D$143:$D$224,MATCH(B150&amp;G150&amp;C150,'הגדרות'!$A$143:$A$224&amp;'הגדרות'!$B$143:$B$224&amp;'הגדרות'!$C$143:$C$224,0)),"")</f>
        <v/>
      </c>
      <c r="F150" s="16" t="n"/>
      <c r="G150" s="15" t="inlineStr">
        <is>
          <t>RIPSTOP</t>
        </is>
      </c>
      <c r="H150" s="15" t="n"/>
      <c r="I150" s="15" t="n"/>
      <c r="J150" s="15" t="inlineStr">
        <is>
          <t>לא</t>
        </is>
      </c>
      <c r="K150" s="15" t="inlineStr">
        <is>
          <t>לא</t>
        </is>
      </c>
      <c r="L150" s="15" t="inlineStr">
        <is>
          <t>לא הופך לOVERGARMENT</t>
        </is>
      </c>
      <c r="M150" s="15" t="inlineStr">
        <is>
          <t>Woodland</t>
        </is>
      </c>
      <c r="N150" s="15" t="inlineStr">
        <is>
          <t>Desert</t>
        </is>
      </c>
      <c r="O150" s="15" t="inlineStr">
        <is>
          <t>כן</t>
        </is>
      </c>
      <c r="P150" s="15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15" t="inlineStr">
        <is>
          <t>כן</t>
        </is>
      </c>
      <c r="V150" s="15" t="inlineStr">
        <is>
          <t>כן</t>
        </is>
      </c>
      <c r="W150" s="15" t="inlineStr">
        <is>
          <t>לא</t>
        </is>
      </c>
      <c r="X150" s="15" t="inlineStr">
        <is>
          <t>במלאי</t>
        </is>
      </c>
      <c r="Y150" s="15" t="n"/>
      <c r="Z150" s="15" t="n"/>
      <c r="AA150" s="15" t="n"/>
      <c r="AB150" s="16" t="n"/>
      <c r="AC150" s="15" t="n"/>
      <c r="AD150" s="15" t="inlineStr">
        <is>
          <t>לא</t>
        </is>
      </c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15" t="inlineStr">
        <is>
          <t>Blankets</t>
        </is>
      </c>
      <c r="B151" s="15" t="inlineStr">
        <is>
          <t>Survival Blanket</t>
        </is>
      </c>
      <c r="C151" s="15" t="inlineStr">
        <is>
          <t>V1</t>
        </is>
      </c>
      <c r="D151" s="15" t="inlineStr">
        <is>
          <t>SRV Blanket 13</t>
        </is>
      </c>
      <c r="E151">
        <f>IFERROR(INDEX('הגדרות'!$D$143:$D$224,MATCH(B151&amp;G151&amp;C151,'הגדרות'!$A$143:$A$224&amp;'הגדרות'!$B$143:$B$224&amp;'הגדרות'!$C$143:$C$224,0)),"")</f>
        <v/>
      </c>
      <c r="F151" s="16" t="n"/>
      <c r="G151" s="15" t="inlineStr">
        <is>
          <t>RIPSTOP</t>
        </is>
      </c>
      <c r="H151" s="15" t="n"/>
      <c r="I151" s="15" t="n"/>
      <c r="J151" s="15" t="inlineStr">
        <is>
          <t>לא</t>
        </is>
      </c>
      <c r="K151" s="15" t="inlineStr">
        <is>
          <t>לא</t>
        </is>
      </c>
      <c r="L151" s="15" t="inlineStr">
        <is>
          <t>לא הופך לOVERGARMENT</t>
        </is>
      </c>
      <c r="M151" s="15" t="inlineStr">
        <is>
          <t>Woodland</t>
        </is>
      </c>
      <c r="N151" s="15" t="inlineStr">
        <is>
          <t>Desert</t>
        </is>
      </c>
      <c r="O151" s="15" t="inlineStr">
        <is>
          <t>כן</t>
        </is>
      </c>
      <c r="P151" s="15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15" t="inlineStr">
        <is>
          <t>כן</t>
        </is>
      </c>
      <c r="V151" s="15" t="inlineStr">
        <is>
          <t>כן</t>
        </is>
      </c>
      <c r="W151" s="15" t="inlineStr">
        <is>
          <t>לא</t>
        </is>
      </c>
      <c r="X151" s="15" t="inlineStr">
        <is>
          <t>במלאי</t>
        </is>
      </c>
      <c r="Y151" s="15" t="n"/>
      <c r="Z151" s="15" t="n"/>
      <c r="AA151" s="15" t="n"/>
      <c r="AB151" s="16" t="n"/>
      <c r="AC151" s="15" t="n"/>
      <c r="AD151" s="15" t="inlineStr">
        <is>
          <t>לא</t>
        </is>
      </c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15" t="inlineStr">
        <is>
          <t>Blankets</t>
        </is>
      </c>
      <c r="B152" s="15" t="inlineStr">
        <is>
          <t>Survival Blanket</t>
        </is>
      </c>
      <c r="C152" s="15" t="inlineStr">
        <is>
          <t>V1</t>
        </is>
      </c>
      <c r="D152" s="15" t="inlineStr">
        <is>
          <t>SRV Blanket 14</t>
        </is>
      </c>
      <c r="E152">
        <f>IFERROR(INDEX('הגדרות'!$D$143:$D$224,MATCH(B152&amp;G152&amp;C152,'הגדרות'!$A$143:$A$224&amp;'הגדרות'!$B$143:$B$224&amp;'הגדרות'!$C$143:$C$224,0)),"")</f>
        <v/>
      </c>
      <c r="F152" s="16" t="n"/>
      <c r="G152" s="15" t="inlineStr">
        <is>
          <t>RIPSTOP</t>
        </is>
      </c>
      <c r="H152" s="15" t="n"/>
      <c r="I152" s="15" t="n"/>
      <c r="J152" s="15" t="inlineStr">
        <is>
          <t>לא</t>
        </is>
      </c>
      <c r="K152" s="15" t="inlineStr">
        <is>
          <t>לא</t>
        </is>
      </c>
      <c r="L152" s="15" t="inlineStr">
        <is>
          <t>לא הופך לOVERGARMENT</t>
        </is>
      </c>
      <c r="M152" s="15" t="inlineStr">
        <is>
          <t>Woodland</t>
        </is>
      </c>
      <c r="N152" s="15" t="inlineStr">
        <is>
          <t>Desert</t>
        </is>
      </c>
      <c r="O152" s="15" t="inlineStr">
        <is>
          <t>כן</t>
        </is>
      </c>
      <c r="P152" s="15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15" t="inlineStr">
        <is>
          <t>כן</t>
        </is>
      </c>
      <c r="V152" s="15" t="inlineStr">
        <is>
          <t>כן</t>
        </is>
      </c>
      <c r="W152" s="15" t="inlineStr">
        <is>
          <t>לא</t>
        </is>
      </c>
      <c r="X152" s="15" t="inlineStr">
        <is>
          <t>במלאי</t>
        </is>
      </c>
      <c r="Y152" s="15" t="n"/>
      <c r="Z152" s="15" t="n"/>
      <c r="AA152" s="15" t="n"/>
      <c r="AB152" s="16" t="n"/>
      <c r="AC152" s="15" t="n"/>
      <c r="AD152" s="15" t="inlineStr">
        <is>
          <t>לא</t>
        </is>
      </c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15" t="inlineStr">
        <is>
          <t>Blankets</t>
        </is>
      </c>
      <c r="B153" s="15" t="inlineStr">
        <is>
          <t>Survival Blanket</t>
        </is>
      </c>
      <c r="C153" s="15" t="inlineStr">
        <is>
          <t>V1</t>
        </is>
      </c>
      <c r="D153" s="15" t="inlineStr">
        <is>
          <t>SRV Blanket 15</t>
        </is>
      </c>
      <c r="E153">
        <f>IFERROR(INDEX('הגדרות'!$D$143:$D$224,MATCH(B153&amp;G153&amp;C153,'הגדרות'!$A$143:$A$224&amp;'הגדרות'!$B$143:$B$224&amp;'הגדרות'!$C$143:$C$224,0)),"")</f>
        <v/>
      </c>
      <c r="F153" s="16" t="n"/>
      <c r="G153" s="15" t="inlineStr">
        <is>
          <t>RIPSTOP</t>
        </is>
      </c>
      <c r="H153" s="15" t="n"/>
      <c r="I153" s="15" t="n"/>
      <c r="J153" s="15" t="inlineStr">
        <is>
          <t>לא</t>
        </is>
      </c>
      <c r="K153" s="15" t="inlineStr">
        <is>
          <t>לא</t>
        </is>
      </c>
      <c r="L153" s="15" t="inlineStr">
        <is>
          <t>לא הופך לOVERGARMENT</t>
        </is>
      </c>
      <c r="M153" s="15" t="inlineStr">
        <is>
          <t>Woodland</t>
        </is>
      </c>
      <c r="N153" s="15" t="inlineStr">
        <is>
          <t>Desert</t>
        </is>
      </c>
      <c r="O153" s="15" t="inlineStr">
        <is>
          <t>כן</t>
        </is>
      </c>
      <c r="P153" s="15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15" t="inlineStr">
        <is>
          <t>כן</t>
        </is>
      </c>
      <c r="V153" s="15" t="inlineStr">
        <is>
          <t>כן</t>
        </is>
      </c>
      <c r="W153" s="15" t="inlineStr">
        <is>
          <t>לא</t>
        </is>
      </c>
      <c r="X153" s="15" t="inlineStr">
        <is>
          <t>במלאי</t>
        </is>
      </c>
      <c r="Y153" s="15" t="n"/>
      <c r="Z153" s="15" t="n"/>
      <c r="AA153" s="15" t="n"/>
      <c r="AB153" s="16" t="n"/>
      <c r="AC153" s="15" t="n"/>
      <c r="AD153" s="15" t="inlineStr">
        <is>
          <t>לא</t>
        </is>
      </c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15" t="inlineStr">
        <is>
          <t>Blankets</t>
        </is>
      </c>
      <c r="B154" s="15" t="inlineStr">
        <is>
          <t>Survival Blanket</t>
        </is>
      </c>
      <c r="C154" s="15" t="inlineStr">
        <is>
          <t>V1</t>
        </is>
      </c>
      <c r="D154" s="15" t="inlineStr">
        <is>
          <t>SRV Blanket 16</t>
        </is>
      </c>
      <c r="E154">
        <f>IFERROR(INDEX('הגדרות'!$D$143:$D$224,MATCH(B154&amp;G154&amp;C154,'הגדרות'!$A$143:$A$224&amp;'הגדרות'!$B$143:$B$224&amp;'הגדרות'!$C$143:$C$224,0)),"")</f>
        <v/>
      </c>
      <c r="F154" s="16" t="n"/>
      <c r="G154" s="15" t="inlineStr">
        <is>
          <t>RIPSTOP</t>
        </is>
      </c>
      <c r="H154" s="15" t="n"/>
      <c r="I154" s="15" t="n"/>
      <c r="J154" s="15" t="inlineStr">
        <is>
          <t>לא</t>
        </is>
      </c>
      <c r="K154" s="15" t="inlineStr">
        <is>
          <t>לא</t>
        </is>
      </c>
      <c r="L154" s="15" t="inlineStr">
        <is>
          <t>לא הופך לOVERGARMENT</t>
        </is>
      </c>
      <c r="M154" s="15" t="inlineStr">
        <is>
          <t>Woodland</t>
        </is>
      </c>
      <c r="N154" s="15" t="inlineStr">
        <is>
          <t>Desert</t>
        </is>
      </c>
      <c r="O154" s="15" t="inlineStr">
        <is>
          <t>כן</t>
        </is>
      </c>
      <c r="P154" s="15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15" t="inlineStr">
        <is>
          <t>כן</t>
        </is>
      </c>
      <c r="V154" s="15" t="inlineStr">
        <is>
          <t>כן</t>
        </is>
      </c>
      <c r="W154" s="15" t="inlineStr">
        <is>
          <t>לא</t>
        </is>
      </c>
      <c r="X154" s="15" t="inlineStr">
        <is>
          <t>במלאי</t>
        </is>
      </c>
      <c r="Y154" s="15" t="n"/>
      <c r="Z154" s="15" t="n"/>
      <c r="AA154" s="15" t="n"/>
      <c r="AB154" s="16" t="n"/>
      <c r="AC154" s="15" t="n"/>
      <c r="AD154" s="15" t="inlineStr">
        <is>
          <t>לא</t>
        </is>
      </c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15" t="inlineStr">
        <is>
          <t>Blankets</t>
        </is>
      </c>
      <c r="B155" s="15" t="inlineStr">
        <is>
          <t>Survival Blanket</t>
        </is>
      </c>
      <c r="C155" s="15" t="inlineStr">
        <is>
          <t>V1</t>
        </is>
      </c>
      <c r="D155" s="15" t="inlineStr">
        <is>
          <t>SRV Blanket 17</t>
        </is>
      </c>
      <c r="E155">
        <f>IFERROR(INDEX('הגדרות'!$D$143:$D$224,MATCH(B155&amp;G155&amp;C155,'הגדרות'!$A$143:$A$224&amp;'הגדרות'!$B$143:$B$224&amp;'הגדרות'!$C$143:$C$224,0)),"")</f>
        <v/>
      </c>
      <c r="F155" s="16" t="n"/>
      <c r="G155" s="15" t="inlineStr">
        <is>
          <t>RIPSTOP</t>
        </is>
      </c>
      <c r="H155" s="15" t="n"/>
      <c r="I155" s="15" t="n"/>
      <c r="J155" s="15" t="inlineStr">
        <is>
          <t>לא</t>
        </is>
      </c>
      <c r="K155" s="15" t="inlineStr">
        <is>
          <t>לא</t>
        </is>
      </c>
      <c r="L155" s="15" t="inlineStr">
        <is>
          <t>לא הופך לOVERGARMENT</t>
        </is>
      </c>
      <c r="M155" s="15" t="inlineStr">
        <is>
          <t>Woodland</t>
        </is>
      </c>
      <c r="N155" s="15" t="inlineStr">
        <is>
          <t>Desert</t>
        </is>
      </c>
      <c r="O155" s="15" t="inlineStr">
        <is>
          <t>כן</t>
        </is>
      </c>
      <c r="P155" s="15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15" t="inlineStr">
        <is>
          <t>כן</t>
        </is>
      </c>
      <c r="V155" s="15" t="inlineStr">
        <is>
          <t>כן</t>
        </is>
      </c>
      <c r="W155" s="15" t="inlineStr">
        <is>
          <t>לא</t>
        </is>
      </c>
      <c r="X155" s="15" t="inlineStr">
        <is>
          <t>במלאי</t>
        </is>
      </c>
      <c r="Y155" s="15" t="n"/>
      <c r="Z155" s="15" t="n"/>
      <c r="AA155" s="15" t="n"/>
      <c r="AB155" s="16" t="n"/>
      <c r="AC155" s="15" t="n"/>
      <c r="AD155" s="15" t="inlineStr">
        <is>
          <t>לא</t>
        </is>
      </c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15" t="inlineStr">
        <is>
          <t>Blankets</t>
        </is>
      </c>
      <c r="B156" s="15" t="inlineStr">
        <is>
          <t>Survival Blanket</t>
        </is>
      </c>
      <c r="C156" s="15" t="inlineStr">
        <is>
          <t>V1</t>
        </is>
      </c>
      <c r="D156" s="15" t="inlineStr">
        <is>
          <t>SRV Blanket 18</t>
        </is>
      </c>
      <c r="E156">
        <f>IFERROR(INDEX('הגדרות'!$D$143:$D$224,MATCH(B156&amp;G156&amp;C156,'הגדרות'!$A$143:$A$224&amp;'הגדרות'!$B$143:$B$224&amp;'הגדרות'!$C$143:$C$224,0)),"")</f>
        <v/>
      </c>
      <c r="F156" s="16" t="n"/>
      <c r="G156" s="15" t="inlineStr">
        <is>
          <t>RIPSTOP</t>
        </is>
      </c>
      <c r="H156" s="15" t="n"/>
      <c r="I156" s="15" t="n"/>
      <c r="J156" s="15" t="inlineStr">
        <is>
          <t>לא</t>
        </is>
      </c>
      <c r="K156" s="15" t="inlineStr">
        <is>
          <t>לא</t>
        </is>
      </c>
      <c r="L156" s="15" t="inlineStr">
        <is>
          <t>לא הופך לOVERGARMENT</t>
        </is>
      </c>
      <c r="M156" s="15" t="inlineStr">
        <is>
          <t>Woodland</t>
        </is>
      </c>
      <c r="N156" s="15" t="inlineStr">
        <is>
          <t>Desert</t>
        </is>
      </c>
      <c r="O156" s="15" t="inlineStr">
        <is>
          <t>כן</t>
        </is>
      </c>
      <c r="P156" s="15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15" t="inlineStr">
        <is>
          <t>כן</t>
        </is>
      </c>
      <c r="V156" s="15" t="inlineStr">
        <is>
          <t>כן</t>
        </is>
      </c>
      <c r="W156" s="15" t="inlineStr">
        <is>
          <t>לא</t>
        </is>
      </c>
      <c r="X156" s="15" t="inlineStr">
        <is>
          <t>במלאי</t>
        </is>
      </c>
      <c r="Y156" s="15" t="n"/>
      <c r="Z156" s="15" t="n"/>
      <c r="AA156" s="15" t="n"/>
      <c r="AB156" s="16" t="n"/>
      <c r="AC156" s="15" t="n"/>
      <c r="AD156" s="15" t="inlineStr">
        <is>
          <t>לא</t>
        </is>
      </c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15" t="inlineStr">
        <is>
          <t>Blankets</t>
        </is>
      </c>
      <c r="B157" s="15" t="inlineStr">
        <is>
          <t>Survival Blanket</t>
        </is>
      </c>
      <c r="C157" s="15" t="inlineStr">
        <is>
          <t>V1</t>
        </is>
      </c>
      <c r="D157" s="15" t="inlineStr">
        <is>
          <t>SRV Blanket 19</t>
        </is>
      </c>
      <c r="E157">
        <f>IFERROR(INDEX('הגדרות'!$D$143:$D$224,MATCH(B157&amp;G157&amp;C157,'הגדרות'!$A$143:$A$224&amp;'הגדרות'!$B$143:$B$224&amp;'הגדרות'!$C$143:$C$224,0)),"")</f>
        <v/>
      </c>
      <c r="F157" s="16" t="n"/>
      <c r="G157" s="15" t="inlineStr">
        <is>
          <t>RIPSTOP</t>
        </is>
      </c>
      <c r="H157" s="15" t="n"/>
      <c r="I157" s="15" t="n"/>
      <c r="J157" s="15" t="inlineStr">
        <is>
          <t>לא</t>
        </is>
      </c>
      <c r="K157" s="15" t="inlineStr">
        <is>
          <t>לא</t>
        </is>
      </c>
      <c r="L157" s="15" t="inlineStr">
        <is>
          <t>לא הופך לOVERGARMENT</t>
        </is>
      </c>
      <c r="M157" s="15" t="inlineStr">
        <is>
          <t>Woodland</t>
        </is>
      </c>
      <c r="N157" s="15" t="inlineStr">
        <is>
          <t>Desert</t>
        </is>
      </c>
      <c r="O157" s="15" t="inlineStr">
        <is>
          <t>כן</t>
        </is>
      </c>
      <c r="P157" s="15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15" t="inlineStr">
        <is>
          <t>כן</t>
        </is>
      </c>
      <c r="V157" s="15" t="inlineStr">
        <is>
          <t>כן</t>
        </is>
      </c>
      <c r="W157" s="15" t="inlineStr">
        <is>
          <t>לא</t>
        </is>
      </c>
      <c r="X157" s="15" t="inlineStr">
        <is>
          <t>במלאי</t>
        </is>
      </c>
      <c r="Y157" s="15" t="n"/>
      <c r="Z157" s="15" t="n"/>
      <c r="AA157" s="15" t="n"/>
      <c r="AB157" s="16" t="n"/>
      <c r="AC157" s="15" t="n"/>
      <c r="AD157" s="15" t="inlineStr">
        <is>
          <t>לא</t>
        </is>
      </c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15" t="inlineStr">
        <is>
          <t>Blankets</t>
        </is>
      </c>
      <c r="B158" s="15" t="inlineStr">
        <is>
          <t>Survival Blanket</t>
        </is>
      </c>
      <c r="C158" s="15" t="inlineStr">
        <is>
          <t>V1</t>
        </is>
      </c>
      <c r="D158" s="15" t="inlineStr">
        <is>
          <t>SRV Blanket 20</t>
        </is>
      </c>
      <c r="E158">
        <f>IFERROR(INDEX('הגדרות'!$D$143:$D$224,MATCH(B158&amp;G158&amp;C158,'הגדרות'!$A$143:$A$224&amp;'הגדרות'!$B$143:$B$224&amp;'הגדרות'!$C$143:$C$224,0)),"")</f>
        <v/>
      </c>
      <c r="F158" s="16" t="n"/>
      <c r="G158" s="15" t="inlineStr">
        <is>
          <t>RIPSTOP</t>
        </is>
      </c>
      <c r="H158" s="15" t="n"/>
      <c r="I158" s="15" t="n"/>
      <c r="J158" s="15" t="inlineStr">
        <is>
          <t>לא</t>
        </is>
      </c>
      <c r="K158" s="15" t="inlineStr">
        <is>
          <t>לא</t>
        </is>
      </c>
      <c r="L158" s="15" t="inlineStr">
        <is>
          <t>לא הופך לOVERGARMENT</t>
        </is>
      </c>
      <c r="M158" s="15" t="inlineStr">
        <is>
          <t>Woodland</t>
        </is>
      </c>
      <c r="N158" s="15" t="inlineStr">
        <is>
          <t>Desert</t>
        </is>
      </c>
      <c r="O158" s="15" t="inlineStr">
        <is>
          <t>כן</t>
        </is>
      </c>
      <c r="P158" s="15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15" t="inlineStr">
        <is>
          <t>כן</t>
        </is>
      </c>
      <c r="V158" s="15" t="inlineStr">
        <is>
          <t>כן</t>
        </is>
      </c>
      <c r="W158" s="15" t="inlineStr">
        <is>
          <t>לא</t>
        </is>
      </c>
      <c r="X158" s="15" t="inlineStr">
        <is>
          <t>במלאי</t>
        </is>
      </c>
      <c r="Y158" s="15" t="n"/>
      <c r="Z158" s="15" t="n"/>
      <c r="AA158" s="15" t="n"/>
      <c r="AB158" s="16" t="n"/>
      <c r="AC158" s="15" t="n"/>
      <c r="AD158" s="15" t="inlineStr">
        <is>
          <t>לא</t>
        </is>
      </c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15" t="inlineStr">
        <is>
          <t>Blankets</t>
        </is>
      </c>
      <c r="B159" s="15" t="inlineStr">
        <is>
          <t>Survival Blanket</t>
        </is>
      </c>
      <c r="C159" s="15" t="inlineStr">
        <is>
          <t>V1</t>
        </is>
      </c>
      <c r="D159" s="15" t="inlineStr">
        <is>
          <t>SRV Blanket 21</t>
        </is>
      </c>
      <c r="E159">
        <f>IFERROR(INDEX('הגדרות'!$D$143:$D$224,MATCH(B159&amp;G159&amp;C159,'הגדרות'!$A$143:$A$224&amp;'הגדרות'!$B$143:$B$224&amp;'הגדרות'!$C$143:$C$224,0)),"")</f>
        <v/>
      </c>
      <c r="F159" s="16" t="n"/>
      <c r="G159" s="15" t="inlineStr">
        <is>
          <t>RIPSTOP</t>
        </is>
      </c>
      <c r="H159" s="15" t="n"/>
      <c r="I159" s="15" t="n"/>
      <c r="J159" s="15" t="inlineStr">
        <is>
          <t>לא</t>
        </is>
      </c>
      <c r="K159" s="15" t="inlineStr">
        <is>
          <t>לא</t>
        </is>
      </c>
      <c r="L159" s="15" t="inlineStr">
        <is>
          <t>לא הופך לOVERGARMENT</t>
        </is>
      </c>
      <c r="M159" s="15" t="inlineStr">
        <is>
          <t>Woodland</t>
        </is>
      </c>
      <c r="N159" s="15" t="inlineStr">
        <is>
          <t>Desert</t>
        </is>
      </c>
      <c r="O159" s="15" t="inlineStr">
        <is>
          <t>כן</t>
        </is>
      </c>
      <c r="P159" s="15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15" t="inlineStr">
        <is>
          <t>כן</t>
        </is>
      </c>
      <c r="V159" s="15" t="inlineStr">
        <is>
          <t>כן</t>
        </is>
      </c>
      <c r="W159" s="15" t="inlineStr">
        <is>
          <t>לא</t>
        </is>
      </c>
      <c r="X159" s="15" t="inlineStr">
        <is>
          <t>במלאי</t>
        </is>
      </c>
      <c r="Y159" s="15" t="n"/>
      <c r="Z159" s="15" t="n"/>
      <c r="AA159" s="15" t="n"/>
      <c r="AB159" s="16" t="n"/>
      <c r="AC159" s="15" t="n"/>
      <c r="AD159" s="15" t="inlineStr">
        <is>
          <t>לא</t>
        </is>
      </c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15" t="inlineStr">
        <is>
          <t>Blankets</t>
        </is>
      </c>
      <c r="B160" s="15" t="inlineStr">
        <is>
          <t>Survival Blanket</t>
        </is>
      </c>
      <c r="C160" s="15" t="inlineStr">
        <is>
          <t>V1</t>
        </is>
      </c>
      <c r="D160" s="15" t="inlineStr">
        <is>
          <t>SRV Blanket 23</t>
        </is>
      </c>
      <c r="E160">
        <f>IFERROR(INDEX('הגדרות'!$D$143:$D$224,MATCH(B160&amp;G160&amp;C160,'הגדרות'!$A$143:$A$224&amp;'הגדרות'!$B$143:$B$224&amp;'הגדרות'!$C$143:$C$224,0)),"")</f>
        <v/>
      </c>
      <c r="F160" s="16" t="n"/>
      <c r="G160" s="15" t="inlineStr">
        <is>
          <t>RIPSTOP</t>
        </is>
      </c>
      <c r="H160" s="15" t="n"/>
      <c r="I160" s="15" t="n"/>
      <c r="J160" s="15" t="inlineStr">
        <is>
          <t>לא</t>
        </is>
      </c>
      <c r="K160" s="15" t="inlineStr">
        <is>
          <t>לא</t>
        </is>
      </c>
      <c r="L160" s="15" t="inlineStr">
        <is>
          <t>לא הופך לOVERGARMENT</t>
        </is>
      </c>
      <c r="M160" s="15" t="inlineStr">
        <is>
          <t>Woodland</t>
        </is>
      </c>
      <c r="N160" s="15" t="inlineStr">
        <is>
          <t>Desert</t>
        </is>
      </c>
      <c r="O160" s="15" t="inlineStr">
        <is>
          <t>כן</t>
        </is>
      </c>
      <c r="P160" s="15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15" t="inlineStr">
        <is>
          <t>כן</t>
        </is>
      </c>
      <c r="V160" s="15" t="inlineStr">
        <is>
          <t>כן</t>
        </is>
      </c>
      <c r="W160" s="15" t="inlineStr">
        <is>
          <t>לא</t>
        </is>
      </c>
      <c r="X160" s="15" t="inlineStr">
        <is>
          <t>במלאי</t>
        </is>
      </c>
      <c r="Y160" s="15" t="n"/>
      <c r="Z160" s="15" t="n"/>
      <c r="AA160" s="15" t="n"/>
      <c r="AB160" s="16" t="n"/>
      <c r="AC160" s="15" t="n"/>
      <c r="AD160" s="15" t="inlineStr">
        <is>
          <t>לא</t>
        </is>
      </c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15" t="inlineStr">
        <is>
          <t>Blankets</t>
        </is>
      </c>
      <c r="B161" s="15" t="inlineStr">
        <is>
          <t>Survival Blanket</t>
        </is>
      </c>
      <c r="C161" s="15" t="inlineStr">
        <is>
          <t>V1</t>
        </is>
      </c>
      <c r="D161" s="15" t="inlineStr">
        <is>
          <t>יריעה 9  - בואקום</t>
        </is>
      </c>
      <c r="E161">
        <f>IFERROR(INDEX('הגדרות'!$D$143:$D$224,MATCH(B161&amp;G161&amp;C161,'הגדרות'!$A$143:$A$224&amp;'הגדרות'!$B$143:$B$224&amp;'הגדרות'!$C$143:$C$224,0)),"")</f>
        <v/>
      </c>
      <c r="F161" s="16" t="n"/>
      <c r="G161" s="15" t="inlineStr">
        <is>
          <t>RIPSTOP</t>
        </is>
      </c>
      <c r="H161" s="15" t="n"/>
      <c r="I161" s="15" t="n"/>
      <c r="J161" s="15" t="inlineStr">
        <is>
          <t>לא</t>
        </is>
      </c>
      <c r="K161" s="15" t="inlineStr">
        <is>
          <t>לא</t>
        </is>
      </c>
      <c r="L161" s="15" t="inlineStr">
        <is>
          <t>לא הופך לOVERGARMENT</t>
        </is>
      </c>
      <c r="M161" s="15" t="inlineStr">
        <is>
          <t>Woodland</t>
        </is>
      </c>
      <c r="N161" s="15" t="inlineStr">
        <is>
          <t>Desert</t>
        </is>
      </c>
      <c r="O161" s="15" t="inlineStr">
        <is>
          <t>כן</t>
        </is>
      </c>
      <c r="P161" s="15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15" t="inlineStr">
        <is>
          <t>כן</t>
        </is>
      </c>
      <c r="V161" s="15" t="inlineStr">
        <is>
          <t>כן</t>
        </is>
      </c>
      <c r="W161" s="15" t="inlineStr">
        <is>
          <t>לא</t>
        </is>
      </c>
      <c r="X161" s="15" t="inlineStr">
        <is>
          <t>בחדר תצוגה</t>
        </is>
      </c>
      <c r="Y161" s="15" t="n"/>
      <c r="Z161" s="15" t="n"/>
      <c r="AA161" s="15" t="n"/>
      <c r="AB161" s="16" t="n"/>
      <c r="AC161" s="15" t="n"/>
      <c r="AD161" s="15" t="inlineStr">
        <is>
          <t>לא</t>
        </is>
      </c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15" t="inlineStr">
        <is>
          <t>Blankets</t>
        </is>
      </c>
      <c r="B162" s="15" t="inlineStr">
        <is>
          <t>Survival Blanket</t>
        </is>
      </c>
      <c r="C162" s="15" t="inlineStr">
        <is>
          <t>V1</t>
        </is>
      </c>
      <c r="D162" s="15" t="inlineStr">
        <is>
          <t>SRV Blanket 22</t>
        </is>
      </c>
      <c r="E162">
        <f>IFERROR(INDEX('הגדרות'!$D$143:$D$224,MATCH(B162&amp;G162&amp;C162,'הגדרות'!$A$143:$A$224&amp;'הגדרות'!$B$143:$B$224&amp;'הגדרות'!$C$143:$C$224,0)),"")</f>
        <v/>
      </c>
      <c r="F162" s="16" t="n"/>
      <c r="G162" s="15" t="inlineStr">
        <is>
          <t>RIPSTOP</t>
        </is>
      </c>
      <c r="H162" s="15" t="n"/>
      <c r="I162" s="15" t="n"/>
      <c r="J162" s="15" t="inlineStr">
        <is>
          <t>לא</t>
        </is>
      </c>
      <c r="K162" s="15" t="inlineStr">
        <is>
          <t>כן</t>
        </is>
      </c>
      <c r="L162" s="15" t="n"/>
      <c r="M162" s="15" t="inlineStr">
        <is>
          <t>Ever-Green</t>
        </is>
      </c>
      <c r="N162" s="15" t="inlineStr">
        <is>
          <t>Desert</t>
        </is>
      </c>
      <c r="O162" s="15" t="inlineStr">
        <is>
          <t>כן</t>
        </is>
      </c>
      <c r="P162" s="15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15" t="inlineStr">
        <is>
          <t>כן</t>
        </is>
      </c>
      <c r="V162" s="15" t="inlineStr">
        <is>
          <t>כן</t>
        </is>
      </c>
      <c r="W162" s="15" t="n"/>
      <c r="X162" s="15" t="inlineStr">
        <is>
          <t>במלאי</t>
        </is>
      </c>
      <c r="Y162" s="15" t="n"/>
      <c r="Z162" s="15" t="n"/>
      <c r="AA162" s="15" t="n"/>
      <c r="AB162" s="16" t="n"/>
      <c r="AC162" s="15" t="n"/>
      <c r="AD162" s="15" t="inlineStr">
        <is>
          <t>לא</t>
        </is>
      </c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15" t="inlineStr">
        <is>
          <t>Blankets</t>
        </is>
      </c>
      <c r="B163" s="15" t="inlineStr">
        <is>
          <t>Survival Blanket</t>
        </is>
      </c>
      <c r="C163" s="15" t="inlineStr">
        <is>
          <t>V1</t>
        </is>
      </c>
      <c r="D163" s="15" t="inlineStr">
        <is>
          <t>SRV Blanket 7</t>
        </is>
      </c>
      <c r="E163">
        <f>IFERROR(INDEX('הגדרות'!$D$143:$D$224,MATCH(B163&amp;G163&amp;C163,'הגדרות'!$A$143:$A$224&amp;'הגדרות'!$B$143:$B$224&amp;'הגדרות'!$C$143:$C$224,0)),"")</f>
        <v/>
      </c>
      <c r="F163" s="16" t="n"/>
      <c r="G163" s="15" t="inlineStr">
        <is>
          <t>RIPSTOP</t>
        </is>
      </c>
      <c r="H163" s="15" t="n"/>
      <c r="I163" s="15" t="n"/>
      <c r="J163" s="15" t="inlineStr">
        <is>
          <t>לא</t>
        </is>
      </c>
      <c r="K163" s="15" t="inlineStr">
        <is>
          <t>כן</t>
        </is>
      </c>
      <c r="L163" s="15" t="n"/>
      <c r="M163" s="15" t="inlineStr">
        <is>
          <t>Forest Green</t>
        </is>
      </c>
      <c r="N163" s="15" t="inlineStr">
        <is>
          <t>Forest Green</t>
        </is>
      </c>
      <c r="O163" s="15" t="inlineStr">
        <is>
          <t>כן</t>
        </is>
      </c>
      <c r="P163" s="15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15" t="inlineStr">
        <is>
          <t>כן</t>
        </is>
      </c>
      <c r="V163" s="15" t="inlineStr">
        <is>
          <t>כן</t>
        </is>
      </c>
      <c r="W163" s="15" t="n"/>
      <c r="X163" s="15" t="inlineStr">
        <is>
          <t>במלאי</t>
        </is>
      </c>
      <c r="Y163" s="15" t="n"/>
      <c r="Z163" s="15" t="n"/>
      <c r="AA163" s="15" t="n"/>
      <c r="AB163" s="16" t="n"/>
      <c r="AC163" s="15" t="n"/>
      <c r="AD163" s="15" t="inlineStr">
        <is>
          <t>לא</t>
        </is>
      </c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15" t="inlineStr">
        <is>
          <t>Blankets</t>
        </is>
      </c>
      <c r="B164" s="15" t="inlineStr">
        <is>
          <t>Survival Blanket</t>
        </is>
      </c>
      <c r="C164" s="15" t="inlineStr">
        <is>
          <t>V1</t>
        </is>
      </c>
      <c r="D164" s="15" t="inlineStr">
        <is>
          <t>SRV Blanket 8</t>
        </is>
      </c>
      <c r="E164">
        <f>IFERROR(INDEX('הגדרות'!$D$143:$D$224,MATCH(B164&amp;G164&amp;C164,'הגדרות'!$A$143:$A$224&amp;'הגדרות'!$B$143:$B$224&amp;'הגדרות'!$C$143:$C$224,0)),"")</f>
        <v/>
      </c>
      <c r="F164" s="16" t="n"/>
      <c r="G164" s="15" t="inlineStr">
        <is>
          <t>RIPSTOP</t>
        </is>
      </c>
      <c r="H164" s="15" t="n"/>
      <c r="I164" s="15" t="n"/>
      <c r="J164" s="15" t="inlineStr">
        <is>
          <t>לא</t>
        </is>
      </c>
      <c r="K164" s="15" t="inlineStr">
        <is>
          <t>כן</t>
        </is>
      </c>
      <c r="L164" s="15" t="n"/>
      <c r="M164" s="15" t="inlineStr">
        <is>
          <t>Kestrel (אמריקאי)</t>
        </is>
      </c>
      <c r="N164" s="15" t="inlineStr">
        <is>
          <t>Kestrel (אמריקאי)</t>
        </is>
      </c>
      <c r="O164" s="15" t="inlineStr">
        <is>
          <t>כן</t>
        </is>
      </c>
      <c r="P164" s="15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15" t="inlineStr">
        <is>
          <t>כן</t>
        </is>
      </c>
      <c r="V164" s="15" t="inlineStr">
        <is>
          <t>כן</t>
        </is>
      </c>
      <c r="W164" s="15" t="n"/>
      <c r="X164" s="15" t="inlineStr">
        <is>
          <t>במלאי</t>
        </is>
      </c>
      <c r="Y164" s="15" t="n"/>
      <c r="Z164" s="15" t="n"/>
      <c r="AA164" s="15" t="n"/>
      <c r="AB164" s="16" t="n"/>
      <c r="AC164" s="15" t="n"/>
      <c r="AD164" s="15" t="inlineStr">
        <is>
          <t>לא</t>
        </is>
      </c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15" t="inlineStr">
        <is>
          <t>Blankets</t>
        </is>
      </c>
      <c r="B165" s="15" t="inlineStr">
        <is>
          <t>Survival Blanket</t>
        </is>
      </c>
      <c r="C165" s="15" t="inlineStr">
        <is>
          <t>V1</t>
        </is>
      </c>
      <c r="D165" s="15" t="inlineStr">
        <is>
          <t>יריעת הישרדות מאכ 23</t>
        </is>
      </c>
      <c r="E165">
        <f>IFERROR(INDEX('הגדרות'!$D$143:$D$224,MATCH(B165&amp;G165&amp;C165,'הגדרות'!$A$143:$A$224&amp;'הגדרות'!$B$143:$B$224&amp;'הגדרות'!$C$143:$C$224,0)),"")</f>
        <v/>
      </c>
      <c r="F165" s="16" t="n"/>
      <c r="G165" s="15" t="inlineStr">
        <is>
          <t>Mesh</t>
        </is>
      </c>
      <c r="H165" s="15" t="n"/>
      <c r="I165" s="15" t="n"/>
      <c r="J165" s="15" t="inlineStr">
        <is>
          <t>כן</t>
        </is>
      </c>
      <c r="K165" s="15" t="inlineStr">
        <is>
          <t>לא</t>
        </is>
      </c>
      <c r="L165" s="15" t="n"/>
      <c r="M165" s="15" t="n"/>
      <c r="N165" s="15" t="n"/>
      <c r="O165" s="15" t="inlineStr">
        <is>
          <t>כן</t>
        </is>
      </c>
      <c r="P165" s="15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15" t="inlineStr">
        <is>
          <t>לא</t>
        </is>
      </c>
      <c r="V165" s="15" t="inlineStr">
        <is>
          <t>לא</t>
        </is>
      </c>
      <c r="W165" s="15" t="n"/>
      <c r="X165" s="15" t="inlineStr">
        <is>
          <t>במלאי</t>
        </is>
      </c>
      <c r="Y165" s="15" t="n"/>
      <c r="Z165" s="15" t="n"/>
      <c r="AA165" s="15" t="n"/>
      <c r="AB165" s="16" t="n"/>
      <c r="AC165" s="15" t="inlineStr">
        <is>
          <t>מא"כ</t>
        </is>
      </c>
      <c r="AD165" s="15" t="inlineStr">
        <is>
          <t>לא</t>
        </is>
      </c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15" t="inlineStr">
        <is>
          <t>OverGarment</t>
        </is>
      </c>
      <c r="B166" s="15" t="inlineStr">
        <is>
          <t>SWAT 3-Part SUIT</t>
        </is>
      </c>
      <c r="C166" s="15" t="inlineStr">
        <is>
          <t>V1</t>
        </is>
      </c>
      <c r="D166" s="15" t="inlineStr">
        <is>
          <t>SWAT הדגמה</t>
        </is>
      </c>
      <c r="E166">
        <f>IFERROR(INDEX('הגדרות'!$D$143:$D$224,MATCH(B166&amp;G166&amp;C166,'הגדרות'!$A$143:$A$224&amp;'הגדרות'!$B$143:$B$224&amp;'הגדרות'!$C$143:$C$224,0)),"")</f>
        <v/>
      </c>
      <c r="F166" s="16" t="n"/>
      <c r="G166" s="15" t="inlineStr">
        <is>
          <t>Mesh</t>
        </is>
      </c>
      <c r="H166" s="15" t="n"/>
      <c r="I166" s="15" t="n"/>
      <c r="J166" s="15" t="inlineStr">
        <is>
          <t>לא</t>
        </is>
      </c>
      <c r="K166" s="15" t="inlineStr">
        <is>
          <t>כן</t>
        </is>
      </c>
      <c r="L166" s="15" t="n"/>
      <c r="M166" s="15" t="inlineStr">
        <is>
          <t>Desert</t>
        </is>
      </c>
      <c r="N166" s="15" t="inlineStr">
        <is>
          <t>Urban</t>
        </is>
      </c>
      <c r="O166" s="15" t="inlineStr">
        <is>
          <t>כן</t>
        </is>
      </c>
      <c r="P166" s="15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15" t="inlineStr">
        <is>
          <t>כן</t>
        </is>
      </c>
      <c r="V166" s="15" t="inlineStr">
        <is>
          <t>כן</t>
        </is>
      </c>
      <c r="W166" s="15" t="n"/>
      <c r="X166" s="15" t="inlineStr">
        <is>
          <t>במלאי</t>
        </is>
      </c>
      <c r="Y166" s="15" t="n"/>
      <c r="Z166" s="15" t="n"/>
      <c r="AA166" s="15" t="n"/>
      <c r="AB166" s="16" t="n"/>
      <c r="AC166" s="15" t="n"/>
      <c r="AD166" s="15" t="inlineStr">
        <is>
          <t>לא</t>
        </is>
      </c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15" t="inlineStr">
        <is>
          <t>OverGarment</t>
        </is>
      </c>
      <c r="B167" s="15" t="inlineStr">
        <is>
          <t>SWAT 3-Part SUIT</t>
        </is>
      </c>
      <c r="C167" s="15" t="inlineStr">
        <is>
          <t>V1</t>
        </is>
      </c>
      <c r="D167" s="15" t="inlineStr">
        <is>
          <t>SWAT תצוגה</t>
        </is>
      </c>
      <c r="E167">
        <f>IFERROR(INDEX('הגדרות'!$D$143:$D$224,MATCH(B167&amp;G167&amp;C167,'הגדרות'!$A$143:$A$224&amp;'הגדרות'!$B$143:$B$224&amp;'הגדרות'!$C$143:$C$224,0)),"")</f>
        <v/>
      </c>
      <c r="F167" s="16" t="n"/>
      <c r="G167" s="15" t="inlineStr">
        <is>
          <t>Mesh</t>
        </is>
      </c>
      <c r="H167" s="15" t="n"/>
      <c r="I167" s="15" t="n"/>
      <c r="J167" s="15" t="inlineStr">
        <is>
          <t>לא</t>
        </is>
      </c>
      <c r="K167" s="15" t="inlineStr">
        <is>
          <t>כן</t>
        </is>
      </c>
      <c r="L167" s="15" t="n"/>
      <c r="M167" s="15" t="inlineStr">
        <is>
          <t>Desert</t>
        </is>
      </c>
      <c r="N167" s="15" t="inlineStr">
        <is>
          <t>Urban</t>
        </is>
      </c>
      <c r="O167" s="15" t="inlineStr">
        <is>
          <t>כן</t>
        </is>
      </c>
      <c r="P167" s="15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15" t="inlineStr">
        <is>
          <t>כן</t>
        </is>
      </c>
      <c r="V167" s="15" t="inlineStr">
        <is>
          <t>כן</t>
        </is>
      </c>
      <c r="W167" s="15" t="n"/>
      <c r="X167" s="15" t="inlineStr">
        <is>
          <t>בחדר תצוגה</t>
        </is>
      </c>
      <c r="Y167" s="15" t="n"/>
      <c r="Z167" s="15" t="n"/>
      <c r="AA167" s="15" t="n"/>
      <c r="AB167" s="16" t="n"/>
      <c r="AC167" s="15" t="n"/>
      <c r="AD167" s="15" t="inlineStr">
        <is>
          <t>לא</t>
        </is>
      </c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15" t="inlineStr">
        <is>
          <t>Platform Hide Site</t>
        </is>
      </c>
      <c r="B168" s="15" t="inlineStr">
        <is>
          <t>Vehicle hide site 9*12</t>
        </is>
      </c>
      <c r="C168" s="15" t="n"/>
      <c r="D168" s="15" t="inlineStr">
        <is>
          <t>Vehicle HS 2- 12*12</t>
        </is>
      </c>
      <c r="E168">
        <f>IFERROR(INDEX('הגדרות'!$D$143:$D$224,MATCH(B168&amp;G168&amp;C168,'הגדרות'!$A$143:$A$224&amp;'הגדרות'!$B$143:$B$224&amp;'הגדרות'!$C$143:$C$224,0)),"")</f>
        <v/>
      </c>
      <c r="F168" s="16" t="n"/>
      <c r="G168" s="15" t="inlineStr">
        <is>
          <t>רשת רכב</t>
        </is>
      </c>
      <c r="H168" s="15" t="n"/>
      <c r="I168" s="15" t="n"/>
      <c r="J168" s="15" t="n"/>
      <c r="K168" s="15" t="inlineStr">
        <is>
          <t>כן</t>
        </is>
      </c>
      <c r="L168" s="15" t="n"/>
      <c r="M168" s="15" t="inlineStr">
        <is>
          <t>Ever-Green</t>
        </is>
      </c>
      <c r="N168" s="15" t="inlineStr">
        <is>
          <t>Desert</t>
        </is>
      </c>
      <c r="O168" s="15" t="inlineStr">
        <is>
          <t>כן</t>
        </is>
      </c>
      <c r="P168" s="15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15" t="inlineStr">
        <is>
          <t>כן</t>
        </is>
      </c>
      <c r="V168" s="15" t="inlineStr">
        <is>
          <t>כן</t>
        </is>
      </c>
      <c r="W168" s="15" t="inlineStr">
        <is>
          <t>כן</t>
        </is>
      </c>
      <c r="X168" s="15" t="inlineStr">
        <is>
          <t>במלאי</t>
        </is>
      </c>
      <c r="Y168" s="15" t="n"/>
      <c r="Z168" s="15" t="n"/>
      <c r="AA168" s="15" t="n"/>
      <c r="AB168" s="16" t="n"/>
      <c r="AC168" s="15" t="n"/>
      <c r="AD168" s="15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15" t="inlineStr">
        <is>
          <t>Platform Hide Site</t>
        </is>
      </c>
      <c r="B169" s="15" t="inlineStr">
        <is>
          <t>Vehicle hide site 9*12</t>
        </is>
      </c>
      <c r="C169" s="15" t="n"/>
      <c r="D169" s="15" t="inlineStr">
        <is>
          <t>Vehicle HS 3- 9*12</t>
        </is>
      </c>
      <c r="E169">
        <f>IFERROR(INDEX('הגדרות'!$D$143:$D$224,MATCH(B169&amp;G169&amp;C169,'הגדרות'!$A$143:$A$224&amp;'הגדרות'!$B$143:$B$224&amp;'הגדרות'!$C$143:$C$224,0)),"")</f>
        <v/>
      </c>
      <c r="F169" s="16" t="n"/>
      <c r="G169" s="15" t="inlineStr">
        <is>
          <t>רשת רכב</t>
        </is>
      </c>
      <c r="H169" s="15" t="n"/>
      <c r="I169" s="15" t="n"/>
      <c r="J169" s="15" t="n"/>
      <c r="K169" s="15" t="inlineStr">
        <is>
          <t>כן</t>
        </is>
      </c>
      <c r="L169" s="15" t="n"/>
      <c r="M169" s="15" t="inlineStr">
        <is>
          <t>Ever-Green</t>
        </is>
      </c>
      <c r="N169" s="15" t="inlineStr">
        <is>
          <t>Desert</t>
        </is>
      </c>
      <c r="O169" s="15" t="inlineStr">
        <is>
          <t>כן</t>
        </is>
      </c>
      <c r="P169" s="15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15" t="inlineStr">
        <is>
          <t>כן</t>
        </is>
      </c>
      <c r="V169" s="15" t="inlineStr">
        <is>
          <t>כן</t>
        </is>
      </c>
      <c r="W169" s="15" t="inlineStr">
        <is>
          <t>כן</t>
        </is>
      </c>
      <c r="X169" s="15" t="inlineStr">
        <is>
          <t>במלאי</t>
        </is>
      </c>
      <c r="Y169" s="15" t="n"/>
      <c r="Z169" s="15" t="n"/>
      <c r="AA169" s="15" t="n"/>
      <c r="AB169" s="16" t="n"/>
      <c r="AC169" s="15" t="n"/>
      <c r="AD169" s="15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15" t="inlineStr">
        <is>
          <t>Platform Hide Site</t>
        </is>
      </c>
      <c r="B170" s="15" t="inlineStr">
        <is>
          <t>Vehicle hide site 9*12</t>
        </is>
      </c>
      <c r="C170" s="15" t="n"/>
      <c r="D170" s="15" t="inlineStr">
        <is>
          <t>Vehicle HS 4- 9*12</t>
        </is>
      </c>
      <c r="E170">
        <f>IFERROR(INDEX('הגדרות'!$D$143:$D$224,MATCH(B170&amp;G170&amp;C170,'הגדרות'!$A$143:$A$224&amp;'הגדרות'!$B$143:$B$224&amp;'הגדרות'!$C$143:$C$224,0)),"")</f>
        <v/>
      </c>
      <c r="F170" s="16" t="n"/>
      <c r="G170" s="15" t="inlineStr">
        <is>
          <t>רשת רכב</t>
        </is>
      </c>
      <c r="H170" s="15" t="n"/>
      <c r="I170" s="15" t="n"/>
      <c r="J170" s="15" t="n"/>
      <c r="K170" s="15" t="inlineStr">
        <is>
          <t>כן</t>
        </is>
      </c>
      <c r="L170" s="15" t="n"/>
      <c r="M170" s="15" t="inlineStr">
        <is>
          <t>Desert-Green</t>
        </is>
      </c>
      <c r="N170" s="15" t="inlineStr">
        <is>
          <t>Desert</t>
        </is>
      </c>
      <c r="O170" s="15" t="inlineStr">
        <is>
          <t>כן</t>
        </is>
      </c>
      <c r="P170" s="15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15" t="inlineStr">
        <is>
          <t>כן</t>
        </is>
      </c>
      <c r="V170" s="15" t="inlineStr">
        <is>
          <t>כן</t>
        </is>
      </c>
      <c r="W170" s="15" t="inlineStr">
        <is>
          <t>כן</t>
        </is>
      </c>
      <c r="X170" s="15" t="inlineStr">
        <is>
          <t>במלאי</t>
        </is>
      </c>
      <c r="Y170" s="15" t="n"/>
      <c r="Z170" s="15" t="n"/>
      <c r="AA170" s="15" t="n"/>
      <c r="AB170" s="16" t="n"/>
      <c r="AC170" s="15" t="n"/>
      <c r="AD170" s="15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15" t="inlineStr">
        <is>
          <t>Platform Hide Site</t>
        </is>
      </c>
      <c r="B171" s="15" t="inlineStr">
        <is>
          <t>Vehicle hide site 9*12</t>
        </is>
      </c>
      <c r="C171" s="15" t="inlineStr">
        <is>
          <t>v1</t>
        </is>
      </c>
      <c r="D171" s="15" t="inlineStr">
        <is>
          <t>Vehicle HS 7- 9*12</t>
        </is>
      </c>
      <c r="E171">
        <f>IFERROR(INDEX('הגדרות'!$D$143:$D$224,MATCH(B171&amp;G171&amp;C171,'הגדרות'!$A$143:$A$224&amp;'הגדרות'!$B$143:$B$224&amp;'הגדרות'!$C$143:$C$224,0)),"")</f>
        <v/>
      </c>
      <c r="F171" s="16" t="n"/>
      <c r="G171" s="15" t="inlineStr">
        <is>
          <t>רשת רכב</t>
        </is>
      </c>
      <c r="H171" s="15" t="n"/>
      <c r="I171" s="15" t="n"/>
      <c r="J171" s="15" t="n"/>
      <c r="K171" s="15" t="n"/>
      <c r="L171" s="15" t="inlineStr">
        <is>
          <t>פתח אורור באמצע</t>
        </is>
      </c>
      <c r="M171" s="15" t="inlineStr">
        <is>
          <t>Desert-Green</t>
        </is>
      </c>
      <c r="N171" s="15" t="inlineStr">
        <is>
          <t>Desert</t>
        </is>
      </c>
      <c r="O171" s="15" t="inlineStr">
        <is>
          <t>כן</t>
        </is>
      </c>
      <c r="P171" s="15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15" t="n"/>
      <c r="V171" s="15" t="n"/>
      <c r="W171" s="15" t="n"/>
      <c r="X171" s="15" t="inlineStr">
        <is>
          <t>במלאי</t>
        </is>
      </c>
      <c r="Y171" s="15" t="n"/>
      <c r="Z171" s="15" t="n"/>
      <c r="AA171" s="15" t="n"/>
      <c r="AB171" s="16" t="n"/>
      <c r="AC171" s="15" t="n"/>
      <c r="AD171" s="15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15" t="inlineStr">
        <is>
          <t>Platform Hide Site</t>
        </is>
      </c>
      <c r="B172" s="15" t="inlineStr">
        <is>
          <t>Vehicle hide site 9*13</t>
        </is>
      </c>
      <c r="C172" s="15" t="n"/>
      <c r="D172" s="15" t="inlineStr">
        <is>
          <t>Vehicle HS 1- 9*13</t>
        </is>
      </c>
      <c r="E172">
        <f>IFERROR(INDEX('הגדרות'!$D$143:$D$224,MATCH(B172&amp;G172&amp;C172,'הגדרות'!$A$143:$A$224&amp;'הגדרות'!$B$143:$B$224&amp;'הגדרות'!$C$143:$C$224,0)),"")</f>
        <v/>
      </c>
      <c r="F172" s="16" t="n"/>
      <c r="G172" s="15" t="inlineStr">
        <is>
          <t>רשת רכב</t>
        </is>
      </c>
      <c r="H172" s="15" t="n"/>
      <c r="I172" s="15" t="n"/>
      <c r="J172" s="15" t="inlineStr">
        <is>
          <t>כן</t>
        </is>
      </c>
      <c r="K172" s="15" t="inlineStr">
        <is>
          <t>לא</t>
        </is>
      </c>
      <c r="L172" s="15" t="inlineStr">
        <is>
          <t>חיבורי סקוצים בצדדים + פתיחה שונה לכניסה</t>
        </is>
      </c>
      <c r="M172" s="15" t="inlineStr">
        <is>
          <t>Woodland</t>
        </is>
      </c>
      <c r="N172" s="15" t="inlineStr">
        <is>
          <t>Ever-Green</t>
        </is>
      </c>
      <c r="O172" s="15" t="inlineStr">
        <is>
          <t>כן</t>
        </is>
      </c>
      <c r="P172" s="15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15" t="inlineStr">
        <is>
          <t>כן</t>
        </is>
      </c>
      <c r="V172" s="15" t="inlineStr">
        <is>
          <t>כן</t>
        </is>
      </c>
      <c r="W172" s="15" t="inlineStr">
        <is>
          <t>כן</t>
        </is>
      </c>
      <c r="X172" s="15" t="inlineStr">
        <is>
          <t>במלאי</t>
        </is>
      </c>
      <c r="Y172" s="15" t="n"/>
      <c r="Z172" s="15" t="n"/>
      <c r="AA172" s="15" t="n"/>
      <c r="AB172" s="16" t="n"/>
      <c r="AC172" s="15" t="inlineStr">
        <is>
          <t>2021 גרסה</t>
        </is>
      </c>
      <c r="AD172" s="15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15" t="inlineStr">
        <is>
          <t>Platform Hide Site</t>
        </is>
      </c>
      <c r="B173" s="15" t="inlineStr">
        <is>
          <t>Vehicle hide site 9*13</t>
        </is>
      </c>
      <c r="C173" s="15" t="n"/>
      <c r="D173" s="15" t="inlineStr">
        <is>
          <t>Vehicle HS 5- 9*13</t>
        </is>
      </c>
      <c r="E173">
        <f>IFERROR(INDEX('הגדרות'!$D$143:$D$224,MATCH(B173&amp;G173&amp;C173,'הגדרות'!$A$143:$A$224&amp;'הגדרות'!$B$143:$B$224&amp;'הגדרות'!$C$143:$C$224,0)),"")</f>
        <v/>
      </c>
      <c r="F173" s="16" t="n"/>
      <c r="G173" s="15" t="inlineStr">
        <is>
          <t>רשת רכב</t>
        </is>
      </c>
      <c r="H173" s="15" t="n"/>
      <c r="I173" s="15" t="n"/>
      <c r="J173" s="15" t="n"/>
      <c r="K173" s="15" t="inlineStr">
        <is>
          <t>כן</t>
        </is>
      </c>
      <c r="L173" s="15" t="n"/>
      <c r="M173" s="15" t="inlineStr">
        <is>
          <t>Desert-Green</t>
        </is>
      </c>
      <c r="N173" s="15" t="inlineStr">
        <is>
          <t>Desert</t>
        </is>
      </c>
      <c r="O173" s="15" t="inlineStr">
        <is>
          <t>כן</t>
        </is>
      </c>
      <c r="P173" s="15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15" t="inlineStr">
        <is>
          <t>כן</t>
        </is>
      </c>
      <c r="V173" s="15" t="inlineStr">
        <is>
          <t>כן</t>
        </is>
      </c>
      <c r="W173" s="15" t="inlineStr">
        <is>
          <t>כן</t>
        </is>
      </c>
      <c r="X173" s="15" t="inlineStr">
        <is>
          <t>במלאי</t>
        </is>
      </c>
      <c r="Y173" s="15" t="n"/>
      <c r="Z173" s="15" t="n"/>
      <c r="AA173" s="15" t="n"/>
      <c r="AB173" s="16" t="n"/>
      <c r="AC173" s="15" t="n"/>
      <c r="AD173" s="15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15" t="inlineStr">
        <is>
          <t>Platform Hide Site</t>
        </is>
      </c>
      <c r="B174" s="15" t="inlineStr">
        <is>
          <t>Vehicle hide site 9*13</t>
        </is>
      </c>
      <c r="C174" s="15" t="n"/>
      <c r="D174" s="15" t="inlineStr">
        <is>
          <t>Vehicle HS 6- 9*14</t>
        </is>
      </c>
      <c r="E174">
        <f>IFERROR(INDEX('הגדרות'!$D$143:$D$224,MATCH(B174&amp;G174&amp;C174,'הגדרות'!$A$143:$A$224&amp;'הגדרות'!$B$143:$B$224&amp;'הגדרות'!$C$143:$C$224,0)),"")</f>
        <v/>
      </c>
      <c r="F174" s="16" t="n"/>
      <c r="G174" s="15" t="inlineStr">
        <is>
          <t>MRG</t>
        </is>
      </c>
      <c r="H174" s="15" t="n"/>
      <c r="I174" s="15" t="n"/>
      <c r="J174" s="15" t="inlineStr">
        <is>
          <t>כן</t>
        </is>
      </c>
      <c r="K174" s="15" t="inlineStr">
        <is>
          <t>לא</t>
        </is>
      </c>
      <c r="L174" s="15" t="inlineStr">
        <is>
          <t>mrg ישן</t>
        </is>
      </c>
      <c r="M174" s="15" t="inlineStr">
        <is>
          <t>Urban Green</t>
        </is>
      </c>
      <c r="N174" s="15" t="inlineStr">
        <is>
          <t>Ever-Green</t>
        </is>
      </c>
      <c r="O174" s="15" t="inlineStr">
        <is>
          <t>כן</t>
        </is>
      </c>
      <c r="P174" s="15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15" t="inlineStr">
        <is>
          <t>כן</t>
        </is>
      </c>
      <c r="V174" s="15" t="inlineStr">
        <is>
          <t>כן</t>
        </is>
      </c>
      <c r="W174" s="15" t="inlineStr">
        <is>
          <t>כן</t>
        </is>
      </c>
      <c r="X174" s="15" t="inlineStr">
        <is>
          <t>במלאי</t>
        </is>
      </c>
      <c r="Y174" s="15" t="n"/>
      <c r="Z174" s="15" t="n"/>
      <c r="AA174" s="15" t="n"/>
      <c r="AB174" s="16" t="n"/>
      <c r="AC174" s="15" t="n"/>
      <c r="AD174" s="15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15" t="inlineStr">
        <is>
          <t>Uniform</t>
        </is>
      </c>
      <c r="B175" s="15" t="inlineStr">
        <is>
          <t>Vest cover</t>
        </is>
      </c>
      <c r="C175" s="15" t="n"/>
      <c r="D175" s="15" t="inlineStr">
        <is>
          <t>OV 011</t>
        </is>
      </c>
      <c r="E175">
        <f>IFERROR(INDEX('הגדרות'!$D$143:$D$224,MATCH(B175&amp;G175&amp;C175,'הגדרות'!$A$143:$A$224&amp;'הגדרות'!$B$143:$B$224&amp;'הגדרות'!$C$143:$C$224,0)),"")</f>
        <v/>
      </c>
      <c r="F175" s="16" t="n"/>
      <c r="G175" s="15" t="inlineStr">
        <is>
          <t>RIPSTOP</t>
        </is>
      </c>
      <c r="H175" s="15" t="n"/>
      <c r="I175" s="15" t="n"/>
      <c r="J175" s="15" t="n"/>
      <c r="K175" s="15" t="n"/>
      <c r="L175" s="15" t="inlineStr">
        <is>
          <t>עם כובע ושרוולים</t>
        </is>
      </c>
      <c r="M175" s="15" t="inlineStr">
        <is>
          <t>Desert</t>
        </is>
      </c>
      <c r="N175" s="15" t="n"/>
      <c r="O175" s="15" t="inlineStr">
        <is>
          <t>כן</t>
        </is>
      </c>
      <c r="P175" s="15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15" t="n"/>
      <c r="V175" s="15" t="n"/>
      <c r="W175" s="15" t="n"/>
      <c r="X175" s="15" t="inlineStr">
        <is>
          <t>במלאי</t>
        </is>
      </c>
      <c r="Y175" s="15" t="n"/>
      <c r="Z175" s="15" t="n"/>
      <c r="AA175" s="15" t="n"/>
      <c r="AB175" s="16" t="n"/>
      <c r="AC175" s="15" t="n"/>
      <c r="AD175" s="15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15" t="inlineStr">
        <is>
          <t>Uniform</t>
        </is>
      </c>
      <c r="B176" s="15" t="inlineStr">
        <is>
          <t>Vest cover</t>
        </is>
      </c>
      <c r="C176" s="15" t="inlineStr">
        <is>
          <t>LTD</t>
        </is>
      </c>
      <c r="D176" s="15" t="inlineStr">
        <is>
          <t>OV 024</t>
        </is>
      </c>
      <c r="E176">
        <f>IFERROR(INDEX('הגדרות'!$D$143:$D$224,MATCH(B176&amp;G176&amp;C176,'הגדרות'!$A$143:$A$224&amp;'הגדרות'!$B$143:$B$224&amp;'הגדרות'!$C$143:$C$224,0)),"")</f>
        <v/>
      </c>
      <c r="F176" s="16" t="n"/>
      <c r="G176" s="15" t="inlineStr">
        <is>
          <t>RIPSTOP</t>
        </is>
      </c>
      <c r="H176" s="15" t="n"/>
      <c r="I176" s="15" t="n"/>
      <c r="J176" s="15" t="n"/>
      <c r="K176" s="15" t="n"/>
      <c r="L176" s="15" t="n"/>
      <c r="M176" s="15" t="inlineStr">
        <is>
          <t>Kestrel</t>
        </is>
      </c>
      <c r="N176" s="15" t="n"/>
      <c r="O176" s="15" t="inlineStr">
        <is>
          <t>כן</t>
        </is>
      </c>
      <c r="P176" s="15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15" t="n"/>
      <c r="V176" s="15" t="n"/>
      <c r="W176" s="15" t="n"/>
      <c r="X176" s="15" t="inlineStr">
        <is>
          <t>במלאי</t>
        </is>
      </c>
      <c r="Y176" s="15" t="n"/>
      <c r="Z176" s="15" t="n"/>
      <c r="AA176" s="15" t="n"/>
      <c r="AB176" s="16" t="n"/>
      <c r="AC176" s="15" t="n"/>
      <c r="AD176" s="15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15" t="inlineStr">
        <is>
          <t>Uniform</t>
        </is>
      </c>
      <c r="B177" s="15" t="inlineStr">
        <is>
          <t>Vest cover</t>
        </is>
      </c>
      <c r="C177" s="15" t="inlineStr">
        <is>
          <t>ישראלי</t>
        </is>
      </c>
      <c r="D177" s="15" t="inlineStr">
        <is>
          <t>OV 010</t>
        </is>
      </c>
      <c r="E177">
        <f>IFERROR(INDEX('הגדרות'!$D$143:$D$224,MATCH(B177&amp;G177&amp;C177,'הגדרות'!$A$143:$A$224&amp;'הגדרות'!$B$143:$B$224&amp;'הגדרות'!$C$143:$C$224,0)),"")</f>
        <v/>
      </c>
      <c r="F177" s="16" t="n"/>
      <c r="G177" s="15" t="inlineStr">
        <is>
          <t>RIPSTOP</t>
        </is>
      </c>
      <c r="H177" s="15" t="n"/>
      <c r="I177" s="15" t="n"/>
      <c r="J177" s="15" t="n"/>
      <c r="K177" s="15" t="n"/>
      <c r="L177" s="15" t="n"/>
      <c r="M177" s="15" t="inlineStr">
        <is>
          <t>Kestrel</t>
        </is>
      </c>
      <c r="N177" s="15" t="n"/>
      <c r="O177" s="15" t="inlineStr">
        <is>
          <t>כן</t>
        </is>
      </c>
      <c r="P177" s="15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15" t="n"/>
      <c r="V177" s="15" t="n"/>
      <c r="W177" s="15" t="n"/>
      <c r="X177" s="15" t="inlineStr">
        <is>
          <t>במלאי</t>
        </is>
      </c>
      <c r="Y177" s="15" t="n"/>
      <c r="Z177" s="15" t="n"/>
      <c r="AA177" s="15" t="n"/>
      <c r="AB177" s="16" t="n"/>
      <c r="AC177" s="15" t="n"/>
      <c r="AD177" s="15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15" t="inlineStr">
        <is>
          <t>Uniform</t>
        </is>
      </c>
      <c r="B178" s="15" t="inlineStr">
        <is>
          <t>Vest cover</t>
        </is>
      </c>
      <c r="C178" s="15" t="n"/>
      <c r="D178" s="15" t="inlineStr">
        <is>
          <t>OV 012</t>
        </is>
      </c>
      <c r="E178">
        <f>IFERROR(INDEX('הגדרות'!$D$143:$D$224,MATCH(B178&amp;G178&amp;C178,'הגדרות'!$A$143:$A$224&amp;'הגדרות'!$B$143:$B$224&amp;'הגדרות'!$C$143:$C$224,0)),"")</f>
        <v/>
      </c>
      <c r="F178" s="16" t="n"/>
      <c r="G178" s="15" t="inlineStr">
        <is>
          <t>RIPSTOP</t>
        </is>
      </c>
      <c r="H178" s="15" t="n"/>
      <c r="I178" s="15" t="n"/>
      <c r="J178" s="15" t="n"/>
      <c r="K178" s="15" t="n"/>
      <c r="L178" s="15" t="inlineStr">
        <is>
          <t>עם כובע ושרוולים</t>
        </is>
      </c>
      <c r="M178" s="15" t="inlineStr">
        <is>
          <t>Kestrel</t>
        </is>
      </c>
      <c r="N178" s="15" t="n"/>
      <c r="O178" s="15" t="inlineStr">
        <is>
          <t>כן</t>
        </is>
      </c>
      <c r="P178" s="15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15" t="n"/>
      <c r="V178" s="15" t="n"/>
      <c r="W178" s="15" t="n"/>
      <c r="X178" s="15" t="inlineStr">
        <is>
          <t>במלאי</t>
        </is>
      </c>
      <c r="Y178" s="15" t="n"/>
      <c r="Z178" s="15" t="n"/>
      <c r="AA178" s="15" t="n"/>
      <c r="AB178" s="16" t="n"/>
      <c r="AC178" s="15" t="n"/>
      <c r="AD178" s="15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15" t="inlineStr">
        <is>
          <t>Uniform</t>
        </is>
      </c>
      <c r="B179" s="15" t="inlineStr">
        <is>
          <t>Vest cover</t>
        </is>
      </c>
      <c r="C179" s="15" t="n"/>
      <c r="D179" s="15" t="inlineStr">
        <is>
          <t>UNI 061</t>
        </is>
      </c>
      <c r="E179">
        <f>IFERROR(INDEX('הגדרות'!$D$143:$D$224,MATCH(B179&amp;G179&amp;C179,'הגדרות'!$A$143:$A$224&amp;'הגדרות'!$B$143:$B$224&amp;'הגדרות'!$C$143:$C$224,0)),"")</f>
        <v/>
      </c>
      <c r="F179" s="16" t="n"/>
      <c r="G179" s="15" t="inlineStr">
        <is>
          <t>RIPSTOP</t>
        </is>
      </c>
      <c r="H179" s="15" t="n"/>
      <c r="I179" s="15" t="n"/>
      <c r="J179" s="15" t="n"/>
      <c r="K179" s="15" t="n"/>
      <c r="L179" s="15" t="inlineStr">
        <is>
          <t>עם כובע ושרוולים</t>
        </is>
      </c>
      <c r="M179" s="15" t="inlineStr">
        <is>
          <t>Ever-Green</t>
        </is>
      </c>
      <c r="N179" s="15" t="n"/>
      <c r="O179" s="15" t="inlineStr">
        <is>
          <t>כן</t>
        </is>
      </c>
      <c r="P179" s="15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15" t="n"/>
      <c r="V179" s="15" t="n"/>
      <c r="W179" s="15" t="n"/>
      <c r="X179" s="15" t="inlineStr">
        <is>
          <t>במלאי</t>
        </is>
      </c>
      <c r="Y179" s="15" t="n"/>
      <c r="Z179" s="15" t="n"/>
      <c r="AA179" s="15" t="n"/>
      <c r="AB179" s="16" t="n"/>
      <c r="AC179" s="15" t="n"/>
      <c r="AD179" s="15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15" t="inlineStr">
        <is>
          <t>Uniform</t>
        </is>
      </c>
      <c r="B180" s="15" t="inlineStr">
        <is>
          <t>Vest cover</t>
        </is>
      </c>
      <c r="C180" s="15" t="inlineStr">
        <is>
          <t>ישראלי</t>
        </is>
      </c>
      <c r="D180" s="15" t="inlineStr">
        <is>
          <t>OV 009</t>
        </is>
      </c>
      <c r="E180">
        <f>IFERROR(INDEX('הגדרות'!$D$143:$D$224,MATCH(B180&amp;G180&amp;C180,'הגדרות'!$A$143:$A$224&amp;'הגדרות'!$B$143:$B$224&amp;'הגדרות'!$C$143:$C$224,0)),"")</f>
        <v/>
      </c>
      <c r="F180" s="16" t="n"/>
      <c r="G180" s="15" t="inlineStr">
        <is>
          <t>RIPSTOP</t>
        </is>
      </c>
      <c r="H180" s="15" t="n"/>
      <c r="I180" s="15" t="n"/>
      <c r="J180" s="15" t="n"/>
      <c r="K180" s="15" t="n"/>
      <c r="L180" s="15" t="n"/>
      <c r="M180" s="15" t="inlineStr">
        <is>
          <t>Desert</t>
        </is>
      </c>
      <c r="N180" s="15" t="inlineStr">
        <is>
          <t>Desert-Green</t>
        </is>
      </c>
      <c r="O180" s="15" t="inlineStr">
        <is>
          <t>כן</t>
        </is>
      </c>
      <c r="P180" s="15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15" t="n"/>
      <c r="V180" s="15" t="n"/>
      <c r="W180" s="15" t="n"/>
      <c r="X180" s="15" t="inlineStr">
        <is>
          <t>במלאי</t>
        </is>
      </c>
      <c r="Y180" s="15" t="n"/>
      <c r="Z180" s="15" t="n"/>
      <c r="AA180" s="15" t="n"/>
      <c r="AB180" s="16" t="n"/>
      <c r="AC180" s="15" t="n"/>
      <c r="AD180" s="15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15" t="inlineStr">
        <is>
          <t>Uniform</t>
        </is>
      </c>
      <c r="B181" s="15" t="inlineStr">
        <is>
          <t>Vest cover</t>
        </is>
      </c>
      <c r="C181" s="15" t="n"/>
      <c r="D181" s="15" t="inlineStr">
        <is>
          <t>OV 014</t>
        </is>
      </c>
      <c r="E181">
        <f>IFERROR(INDEX('הגדרות'!$D$143:$D$224,MATCH(B181&amp;G181&amp;C181,'הגדרות'!$A$143:$A$224&amp;'הגדרות'!$B$143:$B$224&amp;'הגדרות'!$C$143:$C$224,0)),"")</f>
        <v/>
      </c>
      <c r="F181" s="16" t="n"/>
      <c r="G181" s="15" t="inlineStr">
        <is>
          <t>Mesh</t>
        </is>
      </c>
      <c r="H181" s="15" t="n"/>
      <c r="I181" s="15" t="n"/>
      <c r="J181" s="15" t="n"/>
      <c r="K181" s="15" t="n"/>
      <c r="L181" s="15" t="inlineStr">
        <is>
          <t>עם כובע ושרוולים</t>
        </is>
      </c>
      <c r="M181" s="15" t="inlineStr">
        <is>
          <t>Woodland</t>
        </is>
      </c>
      <c r="N181" s="15" t="n"/>
      <c r="O181" s="15" t="inlineStr">
        <is>
          <t>כן</t>
        </is>
      </c>
      <c r="P181" s="15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15" t="n"/>
      <c r="V181" s="15" t="n"/>
      <c r="W181" s="15" t="n"/>
      <c r="X181" s="15" t="inlineStr">
        <is>
          <t>במלאי</t>
        </is>
      </c>
      <c r="Y181" s="15" t="n"/>
      <c r="Z181" s="15" t="n"/>
      <c r="AA181" s="15" t="n"/>
      <c r="AB181" s="16" t="n"/>
      <c r="AC181" s="15" t="n"/>
      <c r="AD181" s="15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15" t="inlineStr">
        <is>
          <t>Blankets</t>
        </is>
      </c>
      <c r="B182" s="15" t="inlineStr">
        <is>
          <t>Water Proof Survival Blanket</t>
        </is>
      </c>
      <c r="C182" s="15" t="inlineStr">
        <is>
          <t>V1</t>
        </is>
      </c>
      <c r="D182" s="15" t="inlineStr">
        <is>
          <t>יריעה אטומה תצוגה</t>
        </is>
      </c>
      <c r="E182">
        <f>IFERROR(INDEX('הגדרות'!$D$143:$D$224,MATCH(B182&amp;G182&amp;C182,'הגדרות'!$A$143:$A$224&amp;'הגדרות'!$B$143:$B$224&amp;'הגדרות'!$C$143:$C$224,0)),"")</f>
        <v/>
      </c>
      <c r="F182" s="16" t="n"/>
      <c r="G182" s="15" t="inlineStr">
        <is>
          <t>RIPSTOP</t>
        </is>
      </c>
      <c r="H182" s="15" t="inlineStr">
        <is>
          <t>WaterProof Blackout Fabric</t>
        </is>
      </c>
      <c r="I182" s="15" t="n"/>
      <c r="J182" s="15" t="inlineStr">
        <is>
          <t>לא</t>
        </is>
      </c>
      <c r="K182" s="15" t="inlineStr">
        <is>
          <t>כן</t>
        </is>
      </c>
      <c r="L182" s="15" t="n"/>
      <c r="M182" s="15" t="inlineStr">
        <is>
          <t>Woodland Brown</t>
        </is>
      </c>
      <c r="N182" s="15" t="n"/>
      <c r="O182" s="15" t="inlineStr">
        <is>
          <t>כן</t>
        </is>
      </c>
      <c r="P182" s="15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15" t="inlineStr">
        <is>
          <t>כן</t>
        </is>
      </c>
      <c r="V182" s="15" t="n"/>
      <c r="W182" s="15" t="n"/>
      <c r="X182" s="15" t="inlineStr">
        <is>
          <t>בחדר תצוגה</t>
        </is>
      </c>
      <c r="Y182" s="15" t="n"/>
      <c r="Z182" s="15" t="n"/>
      <c r="AA182" s="15" t="n"/>
      <c r="AB182" s="16" t="n"/>
      <c r="AC182" s="15" t="n"/>
      <c r="AD182" s="15" t="inlineStr">
        <is>
          <t>לא</t>
        </is>
      </c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15" t="inlineStr">
        <is>
          <t>Blankets</t>
        </is>
      </c>
      <c r="B183" s="15" t="inlineStr">
        <is>
          <t>Water Proof Survival Blanket</t>
        </is>
      </c>
      <c r="C183" s="15" t="inlineStr">
        <is>
          <t>V1</t>
        </is>
      </c>
      <c r="D183" s="15" t="inlineStr">
        <is>
          <t>יריעה אטומה הדגמה</t>
        </is>
      </c>
      <c r="E183">
        <f>IFERROR(INDEX('הגדרות'!$D$143:$D$224,MATCH(B183&amp;G183&amp;C183,'הגדרות'!$A$143:$A$224&amp;'הגדרות'!$B$143:$B$224&amp;'הגדרות'!$C$143:$C$224,0)),"")</f>
        <v/>
      </c>
      <c r="F183" s="16" t="n"/>
      <c r="G183" s="15" t="inlineStr">
        <is>
          <t>RIPSTOP</t>
        </is>
      </c>
      <c r="H183" s="15" t="inlineStr">
        <is>
          <t>WaterProof Blackout Fabric</t>
        </is>
      </c>
      <c r="I183" s="15" t="n"/>
      <c r="J183" s="15" t="inlineStr">
        <is>
          <t>לא</t>
        </is>
      </c>
      <c r="K183" s="15" t="inlineStr">
        <is>
          <t>לא</t>
        </is>
      </c>
      <c r="L183" s="15" t="n"/>
      <c r="M183" s="15" t="inlineStr">
        <is>
          <t>Kestrel</t>
        </is>
      </c>
      <c r="N183" s="15" t="n"/>
      <c r="O183" s="15" t="inlineStr">
        <is>
          <t>לא</t>
        </is>
      </c>
      <c r="P183" s="15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15" t="inlineStr">
        <is>
          <t>כן</t>
        </is>
      </c>
      <c r="V183" s="15" t="n"/>
      <c r="W183" s="15" t="n"/>
      <c r="X183" s="15" t="inlineStr">
        <is>
          <t>במלאי</t>
        </is>
      </c>
      <c r="Y183" s="15" t="n"/>
      <c r="Z183" s="15" t="n"/>
      <c r="AA183" s="15" t="n"/>
      <c r="AB183" s="16" t="n"/>
      <c r="AC183" s="15" t="n"/>
      <c r="AD183" s="15" t="inlineStr">
        <is>
          <t>לא</t>
        </is>
      </c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15" t="inlineStr">
        <is>
          <t>Accessories</t>
        </is>
      </c>
      <c r="B184" s="15" t="inlineStr">
        <is>
          <t>חלקים של עמדות</t>
        </is>
      </c>
      <c r="C184" s="15" t="n"/>
      <c r="D184" s="15" t="inlineStr">
        <is>
          <t>מאלט - לmrzr</t>
        </is>
      </c>
      <c r="E184">
        <f>IFERROR(INDEX('הגדרות'!$D$143:$D$224,MATCH(B184&amp;G184&amp;C184,'הגדרות'!$A$143:$A$224&amp;'הגדרות'!$B$143:$B$224&amp;'הגדרות'!$C$143:$C$224,0)),"")</f>
        <v/>
      </c>
      <c r="F184" s="16" t="n"/>
      <c r="G184" s="15" t="inlineStr">
        <is>
          <t>אחר</t>
        </is>
      </c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15" t="n"/>
      <c r="V184" s="15" t="n"/>
      <c r="W184" s="15" t="n"/>
      <c r="X184" s="15" t="inlineStr">
        <is>
          <t>במלאי</t>
        </is>
      </c>
      <c r="Y184" s="15" t="n"/>
      <c r="Z184" s="15" t="n"/>
      <c r="AA184" s="15" t="n"/>
      <c r="AB184" s="16" t="n"/>
      <c r="AC184" s="15" t="n"/>
      <c r="AD184" s="15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15" t="inlineStr">
        <is>
          <t>Accessories</t>
        </is>
      </c>
      <c r="B185" s="15" t="inlineStr">
        <is>
          <t>חלקים של עמדות</t>
        </is>
      </c>
      <c r="C185" s="15" t="n"/>
      <c r="D185" s="15" t="inlineStr">
        <is>
          <t>רשת לקטים 9*9</t>
        </is>
      </c>
      <c r="E185">
        <f>IFERROR(INDEX('הגדרות'!$D$143:$D$224,MATCH(B185&amp;G185&amp;C185,'הגדרות'!$A$143:$A$224&amp;'הגדרות'!$B$143:$B$224&amp;'הגדרות'!$C$143:$C$224,0)),"")</f>
        <v/>
      </c>
      <c r="F185" s="16" t="n"/>
      <c r="G185" s="15" t="inlineStr">
        <is>
          <t>אחר</t>
        </is>
      </c>
      <c r="H185" s="15" t="n"/>
      <c r="I185" s="15" t="n"/>
      <c r="J185" s="15" t="inlineStr">
        <is>
          <t>כן</t>
        </is>
      </c>
      <c r="K185" s="15" t="n"/>
      <c r="L185" s="15" t="n"/>
      <c r="M185" s="15" t="n"/>
      <c r="N185" s="15" t="n"/>
      <c r="O185" s="15" t="n"/>
      <c r="P185" s="15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15" t="n"/>
      <c r="V185" s="15" t="n"/>
      <c r="W185" s="15" t="n"/>
      <c r="X185" s="15" t="inlineStr">
        <is>
          <t>במלאי</t>
        </is>
      </c>
      <c r="Y185" s="15" t="n"/>
      <c r="Z185" s="15" t="n"/>
      <c r="AA185" s="15" t="n"/>
      <c r="AB185" s="16" t="n"/>
      <c r="AC185" s="15" t="inlineStr">
        <is>
          <t>"רשת לקטים"</t>
        </is>
      </c>
      <c r="AD185" s="15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15" t="inlineStr">
        <is>
          <t>Blankets</t>
        </is>
      </c>
      <c r="B186" s="15" t="inlineStr">
        <is>
          <t>יריעת החשכה</t>
        </is>
      </c>
      <c r="C186" s="15" t="n"/>
      <c r="D186" s="15" t="inlineStr">
        <is>
          <t>IRR מדגים</t>
        </is>
      </c>
      <c r="E186">
        <f>IFERROR(INDEX('הגדרות'!$D$143:$D$224,MATCH(B186&amp;G186&amp;C186,'הגדרות'!$A$143:$A$224&amp;'הגדרות'!$B$143:$B$224&amp;'הגדרות'!$C$143:$C$224,0)),"")</f>
        <v/>
      </c>
      <c r="F186" s="16" t="n"/>
      <c r="G186" s="15" t="inlineStr">
        <is>
          <t>IRR</t>
        </is>
      </c>
      <c r="H186" s="15" t="n"/>
      <c r="I186" s="15" t="n"/>
      <c r="J186" s="15" t="inlineStr">
        <is>
          <t>כן</t>
        </is>
      </c>
      <c r="K186" s="15" t="inlineStr">
        <is>
          <t>לא</t>
        </is>
      </c>
      <c r="L186" s="15" t="inlineStr">
        <is>
          <t>בלי פיצ'רים,רק "אוזניים"</t>
        </is>
      </c>
      <c r="M186" s="15" t="n"/>
      <c r="N186" s="15" t="n"/>
      <c r="O186" s="15" t="inlineStr">
        <is>
          <t>כן</t>
        </is>
      </c>
      <c r="P186" s="15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15" t="inlineStr">
        <is>
          <t>לא</t>
        </is>
      </c>
      <c r="V186" s="15" t="inlineStr">
        <is>
          <t>לא</t>
        </is>
      </c>
      <c r="W186" s="15" t="inlineStr">
        <is>
          <t>לא</t>
        </is>
      </c>
      <c r="X186" s="15" t="inlineStr">
        <is>
          <t>במלאי</t>
        </is>
      </c>
      <c r="Y186" s="15" t="n"/>
      <c r="Z186" s="15" t="n"/>
      <c r="AA186" s="15" t="n"/>
      <c r="AB186" s="16" t="n"/>
      <c r="AC186" s="15" t="inlineStr">
        <is>
          <t>בד החשכה כפול</t>
        </is>
      </c>
      <c r="AD186" s="15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15" t="inlineStr">
        <is>
          <t>Hide Site</t>
        </is>
      </c>
      <c r="B187" s="15" t="inlineStr">
        <is>
          <t>עמדת חוד</t>
        </is>
      </c>
      <c r="C187" s="15" t="inlineStr">
        <is>
          <t>V1</t>
        </is>
      </c>
      <c r="D187" s="15" t="inlineStr">
        <is>
          <t>עמדת חוד 1</t>
        </is>
      </c>
      <c r="E187">
        <f>IFERROR(INDEX('הגדרות'!$D$143:$D$224,MATCH(B187&amp;G187&amp;C187,'הגדרות'!$A$143:$A$224&amp;'הגדרות'!$B$143:$B$224&amp;'הגדרות'!$C$143:$C$224,0)),"")</f>
        <v/>
      </c>
      <c r="F187" s="16" t="n"/>
      <c r="G187" s="15" t="inlineStr">
        <is>
          <t>רשת רכב</t>
        </is>
      </c>
      <c r="H187" s="15" t="n"/>
      <c r="I187" s="15" t="n"/>
      <c r="J187" s="15" t="inlineStr">
        <is>
          <t>כן</t>
        </is>
      </c>
      <c r="K187" s="15" t="inlineStr">
        <is>
          <t>לא</t>
        </is>
      </c>
      <c r="L187" s="15" t="inlineStr">
        <is>
          <t>תומך קצר</t>
        </is>
      </c>
      <c r="M187" s="15" t="inlineStr">
        <is>
          <t>Ever-Green</t>
        </is>
      </c>
      <c r="N187" s="15" t="inlineStr">
        <is>
          <t>Desert</t>
        </is>
      </c>
      <c r="O187" s="15" t="inlineStr">
        <is>
          <t>כן</t>
        </is>
      </c>
      <c r="P187" s="15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15" t="inlineStr">
        <is>
          <t>לא</t>
        </is>
      </c>
      <c r="V187" s="15" t="inlineStr">
        <is>
          <t>לא</t>
        </is>
      </c>
      <c r="W187" s="15" t="inlineStr">
        <is>
          <t>לא</t>
        </is>
      </c>
      <c r="X187" s="15" t="inlineStr">
        <is>
          <t>במלאי</t>
        </is>
      </c>
      <c r="Y187" s="15" t="n"/>
      <c r="Z187" s="15" t="n"/>
      <c r="AA187" s="15" t="n"/>
      <c r="AB187" s="16" t="n"/>
      <c r="AC187" s="15" t="inlineStr">
        <is>
          <t>חסר קונסטרוקציה</t>
        </is>
      </c>
      <c r="AD187" s="15" t="inlineStr">
        <is>
          <t>כן</t>
        </is>
      </c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15" t="inlineStr">
        <is>
          <t>Hide Site</t>
        </is>
      </c>
      <c r="B188" s="15" t="inlineStr">
        <is>
          <t>עמדת חוד</t>
        </is>
      </c>
      <c r="C188" s="15" t="inlineStr">
        <is>
          <t>V1</t>
        </is>
      </c>
      <c r="D188" s="15" t="inlineStr">
        <is>
          <t>עמדת חוד 2</t>
        </is>
      </c>
      <c r="E188">
        <f>IFERROR(INDEX('הגדרות'!$D$143:$D$224,MATCH(B188&amp;G188&amp;C188,'הגדרות'!$A$143:$A$224&amp;'הגדרות'!$B$143:$B$224&amp;'הגדרות'!$C$143:$C$224,0)),"")</f>
        <v/>
      </c>
      <c r="F188" s="16" t="n"/>
      <c r="G188" s="15" t="inlineStr">
        <is>
          <t>רשת רכב</t>
        </is>
      </c>
      <c r="H188" s="15" t="n"/>
      <c r="I188" s="15" t="n"/>
      <c r="J188" s="15" t="inlineStr">
        <is>
          <t>כן</t>
        </is>
      </c>
      <c r="K188" s="15" t="inlineStr">
        <is>
          <t>לא</t>
        </is>
      </c>
      <c r="L188" s="15" t="inlineStr">
        <is>
          <t>תומך קצר</t>
        </is>
      </c>
      <c r="M188" s="15" t="inlineStr">
        <is>
          <t>Ever-Green</t>
        </is>
      </c>
      <c r="N188" s="15" t="inlineStr">
        <is>
          <t>Desert</t>
        </is>
      </c>
      <c r="O188" s="15" t="inlineStr">
        <is>
          <t>כן</t>
        </is>
      </c>
      <c r="P188" s="15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15" t="inlineStr">
        <is>
          <t>לא</t>
        </is>
      </c>
      <c r="V188" s="15" t="inlineStr">
        <is>
          <t>לא</t>
        </is>
      </c>
      <c r="W188" s="15" t="inlineStr">
        <is>
          <t>לא</t>
        </is>
      </c>
      <c r="X188" s="15" t="inlineStr">
        <is>
          <t>במלאי</t>
        </is>
      </c>
      <c r="Y188" s="15" t="n"/>
      <c r="Z188" s="15" t="n"/>
      <c r="AA188" s="15" t="n"/>
      <c r="AB188" s="16" t="n"/>
      <c r="AC188" s="15" t="inlineStr">
        <is>
          <t>חסר קונסטרוקציה</t>
        </is>
      </c>
      <c r="AD188" s="15" t="inlineStr">
        <is>
          <t>כן</t>
        </is>
      </c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15" t="inlineStr">
        <is>
          <t>Platform Hide Site</t>
        </is>
      </c>
      <c r="B189" s="15" t="inlineStr">
        <is>
          <t>רשת הצללה</t>
        </is>
      </c>
      <c r="C189" s="15" t="inlineStr">
        <is>
          <t>V1</t>
        </is>
      </c>
      <c r="D189" s="15" t="inlineStr">
        <is>
          <t>רשת הצללה להדגמות</t>
        </is>
      </c>
      <c r="E189">
        <f>IFERROR(INDEX('הגדרות'!$D$143:$D$224,MATCH(B189&amp;G189&amp;C189,'הגדרות'!$A$143:$A$224&amp;'הגדרות'!$B$143:$B$224&amp;'הגדרות'!$C$143:$C$224,0)),"")</f>
        <v/>
      </c>
      <c r="F189" s="16" t="n"/>
      <c r="G189" s="15" t="inlineStr">
        <is>
          <t>אחר</t>
        </is>
      </c>
      <c r="H189" s="15" t="n"/>
      <c r="I189" s="15" t="n"/>
      <c r="J189" s="15" t="inlineStr">
        <is>
          <t>כן</t>
        </is>
      </c>
      <c r="K189" s="15" t="n"/>
      <c r="L189" s="15" t="inlineStr">
        <is>
          <t>דו-שכבתי</t>
        </is>
      </c>
      <c r="M189" s="15" t="inlineStr">
        <is>
          <t>Desert</t>
        </is>
      </c>
      <c r="N189" s="15" t="inlineStr">
        <is>
          <t>Desert-Green</t>
        </is>
      </c>
      <c r="O189" s="15" t="inlineStr">
        <is>
          <t>כן</t>
        </is>
      </c>
      <c r="P189" s="15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15" t="inlineStr">
        <is>
          <t>לא</t>
        </is>
      </c>
      <c r="V189" s="15" t="inlineStr">
        <is>
          <t>לא</t>
        </is>
      </c>
      <c r="W189" s="15" t="n"/>
      <c r="X189" s="15" t="inlineStr">
        <is>
          <t>במלאי</t>
        </is>
      </c>
      <c r="Y189" s="15" t="n"/>
      <c r="Z189" s="15" t="n"/>
      <c r="AA189" s="15" t="n"/>
      <c r="AB189" s="16" t="n"/>
      <c r="AC189" s="15" t="n"/>
      <c r="AD189" s="15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15" t="inlineStr">
        <is>
          <t>Platform Hide Site</t>
        </is>
      </c>
      <c r="B190" s="15" t="n"/>
      <c r="C190" s="15" t="inlineStr">
        <is>
          <t>bagi</t>
        </is>
      </c>
      <c r="D190" s="15" t="inlineStr">
        <is>
          <t>bagi hs 1</t>
        </is>
      </c>
      <c r="E190">
        <f>IFERROR(INDEX('הגדרות'!$D$143:$D$224,MATCH(B190&amp;G190&amp;C190,'הגדרות'!$A$143:$A$224&amp;'הגדרות'!$B$143:$B$224&amp;'הגדרות'!$C$143:$C$224,0)),"")</f>
        <v/>
      </c>
      <c r="F190" s="16" t="n"/>
      <c r="G190" s="15" t="n"/>
      <c r="H190" s="15" t="n"/>
      <c r="I190" s="15" t="n"/>
      <c r="J190" s="15" t="n"/>
      <c r="K190" s="15" t="n"/>
      <c r="L190" s="15" t="inlineStr">
        <is>
          <t>צבע ישן</t>
        </is>
      </c>
      <c r="M190" s="15" t="inlineStr">
        <is>
          <t>Ever-Green</t>
        </is>
      </c>
      <c r="N190" s="15" t="inlineStr">
        <is>
          <t>Desert</t>
        </is>
      </c>
      <c r="O190" s="15" t="inlineStr">
        <is>
          <t>לא</t>
        </is>
      </c>
      <c r="P190" s="15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15" t="n"/>
      <c r="V190" s="15" t="n"/>
      <c r="W190" s="15" t="n"/>
      <c r="X190" s="15" t="inlineStr">
        <is>
          <t>במלאי</t>
        </is>
      </c>
      <c r="Y190" s="15" t="n"/>
      <c r="Z190" s="15" t="n"/>
      <c r="AA190" s="15" t="n"/>
      <c r="AB190" s="16" t="n"/>
      <c r="AC190" s="15" t="n"/>
      <c r="AD190" s="15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15" t="inlineStr">
        <is>
          <t>Uniform</t>
        </is>
      </c>
      <c r="B191" s="15" t="inlineStr">
        <is>
          <t>Boonie hat</t>
        </is>
      </c>
      <c r="C191" s="15" t="inlineStr">
        <is>
          <t>V1</t>
        </is>
      </c>
      <c r="D191" s="15" t="inlineStr">
        <is>
          <t>UNI 002</t>
        </is>
      </c>
      <c r="E191">
        <f>IFERROR(INDEX('הגדרות'!$D$143:$D$224,MATCH(B191&amp;G191&amp;C191,'הגדרות'!$A$143:$A$224&amp;'הגדרות'!$B$143:$B$224&amp;'הגדרות'!$C$143:$C$224,0)),"")</f>
        <v/>
      </c>
      <c r="F191" s="16" t="n"/>
      <c r="G191" s="15" t="inlineStr">
        <is>
          <t>Stretch</t>
        </is>
      </c>
      <c r="H191" s="15" t="n"/>
      <c r="I191" s="15" t="n"/>
      <c r="J191" s="15" t="inlineStr">
        <is>
          <t>כן</t>
        </is>
      </c>
      <c r="K191" s="15" t="n"/>
      <c r="L191" s="15" t="n"/>
      <c r="M191" s="15" t="inlineStr">
        <is>
          <t>Kestrel</t>
        </is>
      </c>
      <c r="N191" s="15" t="n"/>
      <c r="O191" s="15" t="inlineStr">
        <is>
          <t>כן</t>
        </is>
      </c>
      <c r="P191" s="15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15" t="n"/>
      <c r="V191" s="15" t="n"/>
      <c r="W191" s="15" t="n"/>
      <c r="X191" s="15" t="inlineStr">
        <is>
          <t>במלאי</t>
        </is>
      </c>
      <c r="Y191" s="15" t="n"/>
      <c r="Z191" s="15" t="n"/>
      <c r="AA191" s="15" t="n"/>
      <c r="AB191" s="16" t="n"/>
      <c r="AC191" s="15" t="n"/>
      <c r="AD191" s="15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15" t="inlineStr">
        <is>
          <t>Uniform</t>
        </is>
      </c>
      <c r="B192" s="15" t="inlineStr">
        <is>
          <t>Pants</t>
        </is>
      </c>
      <c r="C192" s="15" t="inlineStr">
        <is>
          <t>ישראלי</t>
        </is>
      </c>
      <c r="D192" s="15" t="inlineStr">
        <is>
          <t>UNI 049</t>
        </is>
      </c>
      <c r="E192">
        <f>IFERROR(INDEX('הגדרות'!$D$143:$D$224,MATCH(B192&amp;G192&amp;C192,'הגדרות'!$A$143:$A$224&amp;'הגדרות'!$B$143:$B$224&amp;'הגדרות'!$C$143:$C$224,0)),"")</f>
        <v/>
      </c>
      <c r="F192" s="16" t="n"/>
      <c r="G192" s="15" t="inlineStr">
        <is>
          <t>Durable</t>
        </is>
      </c>
      <c r="H192" s="15" t="n"/>
      <c r="I192" s="15" t="inlineStr">
        <is>
          <t>XL</t>
        </is>
      </c>
      <c r="J192" s="15" t="n"/>
      <c r="K192" s="15" t="n"/>
      <c r="L192" s="15" t="n"/>
      <c r="M192" s="15" t="inlineStr">
        <is>
          <t>Kestrel</t>
        </is>
      </c>
      <c r="N192" s="15" t="n"/>
      <c r="O192" s="15" t="inlineStr">
        <is>
          <t>כן</t>
        </is>
      </c>
      <c r="P192" s="15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15" t="n"/>
      <c r="V192" s="15" t="n"/>
      <c r="W192" s="15" t="n"/>
      <c r="X192" s="15" t="inlineStr">
        <is>
          <t>במלאי</t>
        </is>
      </c>
      <c r="Y192" s="15" t="n"/>
      <c r="Z192" s="15" t="n"/>
      <c r="AA192" s="15" t="n"/>
      <c r="AB192" s="16" t="n"/>
      <c r="AC192" s="15" t="n"/>
      <c r="AD192" s="15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15" t="inlineStr">
        <is>
          <t>Uniform</t>
        </is>
      </c>
      <c r="B193" s="15" t="inlineStr">
        <is>
          <t>Balaclava</t>
        </is>
      </c>
      <c r="C193" s="15" t="inlineStr">
        <is>
          <t>ישראלי</t>
        </is>
      </c>
      <c r="D193" s="15" t="inlineStr">
        <is>
          <t>UNI 063</t>
        </is>
      </c>
      <c r="E193">
        <f>IFERROR(INDEX('הגדרות'!$D$143:$D$224,MATCH(B193&amp;G193&amp;C193,'הגדרות'!$A$143:$A$224&amp;'הגדרות'!$B$143:$B$224&amp;'הגדרות'!$C$143:$C$224,0)),"")</f>
        <v/>
      </c>
      <c r="F193" s="16" t="n"/>
      <c r="G193" s="15" t="inlineStr">
        <is>
          <t>Stretch</t>
        </is>
      </c>
      <c r="H193" s="15" t="n"/>
      <c r="I193" s="15" t="n"/>
      <c r="J193" s="15" t="n"/>
      <c r="K193" s="15" t="n"/>
      <c r="L193" s="15" t="n"/>
      <c r="M193" s="15" t="inlineStr">
        <is>
          <t>Marine</t>
        </is>
      </c>
      <c r="N193" s="15" t="n"/>
      <c r="O193" s="15" t="inlineStr">
        <is>
          <t>כן</t>
        </is>
      </c>
      <c r="P193" s="15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15" t="n"/>
      <c r="V193" s="15" t="n"/>
      <c r="W193" s="15" t="n"/>
      <c r="X193" s="15" t="inlineStr">
        <is>
          <t>במלאי</t>
        </is>
      </c>
      <c r="Y193" s="15" t="n"/>
      <c r="Z193" s="15" t="n"/>
      <c r="AA193" s="15" t="n"/>
      <c r="AB193" s="16" t="n"/>
      <c r="AC193" s="15" t="n"/>
      <c r="AD193" s="15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15" t="inlineStr">
        <is>
          <t>Uniform</t>
        </is>
      </c>
      <c r="B194" s="15" t="inlineStr">
        <is>
          <t>Pants</t>
        </is>
      </c>
      <c r="C194" s="15" t="inlineStr">
        <is>
          <t>Eclipse</t>
        </is>
      </c>
      <c r="D194" s="15" t="inlineStr">
        <is>
          <t>UNI 064</t>
        </is>
      </c>
      <c r="E194">
        <f>IFERROR(INDEX('הגדרות'!$D$143:$D$224,MATCH(B194&amp;G194&amp;C194,'הגדרות'!$A$143:$A$224&amp;'הגדרות'!$B$143:$B$224&amp;'הגדרות'!$C$143:$C$224,0)),"")</f>
        <v/>
      </c>
      <c r="F194" s="16" t="n"/>
      <c r="G194" s="15" t="inlineStr">
        <is>
          <t>Stretch</t>
        </is>
      </c>
      <c r="H194" s="15" t="n"/>
      <c r="I194" s="15" t="n"/>
      <c r="J194" s="15" t="n"/>
      <c r="K194" s="15" t="n"/>
      <c r="L194" s="15" t="inlineStr">
        <is>
          <t>34R</t>
        </is>
      </c>
      <c r="M194" s="15" t="inlineStr">
        <is>
          <t>Kestrel</t>
        </is>
      </c>
      <c r="N194" s="15" t="n"/>
      <c r="O194" s="15" t="inlineStr">
        <is>
          <t>כן</t>
        </is>
      </c>
      <c r="P194" s="15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15" t="n"/>
      <c r="V194" s="15" t="n"/>
      <c r="W194" s="15" t="n"/>
      <c r="X194" s="15" t="inlineStr">
        <is>
          <t>במלאי</t>
        </is>
      </c>
      <c r="Y194" s="15" t="n"/>
      <c r="Z194" s="15" t="n"/>
      <c r="AA194" s="15" t="n"/>
      <c r="AB194" s="16" t="n"/>
      <c r="AC194" s="15" t="n"/>
      <c r="AD194" s="15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15" t="inlineStr">
        <is>
          <t>Uniform</t>
        </is>
      </c>
      <c r="B195" s="15" t="inlineStr">
        <is>
          <t>Shirt</t>
        </is>
      </c>
      <c r="C195" s="15" t="inlineStr">
        <is>
          <t>Eclipse</t>
        </is>
      </c>
      <c r="D195" s="15" t="inlineStr">
        <is>
          <t>UNI 065</t>
        </is>
      </c>
      <c r="E195">
        <f>IFERROR(INDEX('הגדרות'!$D$143:$D$224,MATCH(B195&amp;G195&amp;C195,'הגדרות'!$A$143:$A$224&amp;'הגדרות'!$B$143:$B$224&amp;'הגדרות'!$C$143:$C$224,0)),"")</f>
        <v/>
      </c>
      <c r="F195" s="16" t="n"/>
      <c r="G195" s="15" t="inlineStr">
        <is>
          <t>Stretch</t>
        </is>
      </c>
      <c r="H195" s="15" t="n"/>
      <c r="I195" s="15" t="n"/>
      <c r="J195" s="15" t="n"/>
      <c r="K195" s="15" t="n"/>
      <c r="L195" s="15" t="inlineStr">
        <is>
          <t>L-R</t>
        </is>
      </c>
      <c r="M195" s="15" t="inlineStr">
        <is>
          <t>Kestrel</t>
        </is>
      </c>
      <c r="N195" s="15" t="n"/>
      <c r="O195" s="15" t="inlineStr">
        <is>
          <t>כן</t>
        </is>
      </c>
      <c r="P195" s="15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15" t="n"/>
      <c r="V195" s="15" t="n"/>
      <c r="W195" s="15" t="n"/>
      <c r="X195" s="15" t="inlineStr">
        <is>
          <t>במלאי</t>
        </is>
      </c>
      <c r="Y195" s="15" t="n"/>
      <c r="Z195" s="15" t="n"/>
      <c r="AA195" s="15" t="n"/>
      <c r="AB195" s="16" t="n"/>
      <c r="AC195" s="15" t="n"/>
      <c r="AD195" s="15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15" t="inlineStr">
        <is>
          <t>Uniform</t>
        </is>
      </c>
      <c r="B196" s="15" t="inlineStr">
        <is>
          <t>Pants</t>
        </is>
      </c>
      <c r="C196" s="15" t="inlineStr">
        <is>
          <t>Eclipse</t>
        </is>
      </c>
      <c r="D196" s="15" t="inlineStr">
        <is>
          <t>UNI 066</t>
        </is>
      </c>
      <c r="E196">
        <f>IFERROR(INDEX('הגדרות'!$D$143:$D$224,MATCH(B196&amp;G196&amp;C196,'הגדרות'!$A$143:$A$224&amp;'הגדרות'!$B$143:$B$224&amp;'הגדרות'!$C$143:$C$224,0)),"")</f>
        <v/>
      </c>
      <c r="F196" s="16" t="n"/>
      <c r="G196" s="15" t="inlineStr">
        <is>
          <t>Stretch</t>
        </is>
      </c>
      <c r="H196" s="15" t="n"/>
      <c r="I196" s="15" t="n"/>
      <c r="J196" s="15" t="n"/>
      <c r="K196" s="15" t="n"/>
      <c r="L196" s="15" t="inlineStr">
        <is>
          <t>34R</t>
        </is>
      </c>
      <c r="M196" s="15" t="inlineStr">
        <is>
          <t>Kestrel</t>
        </is>
      </c>
      <c r="N196" s="15" t="n"/>
      <c r="O196" s="15" t="inlineStr">
        <is>
          <t>כן</t>
        </is>
      </c>
      <c r="P196" s="15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15" t="n"/>
      <c r="V196" s="15" t="n"/>
      <c r="W196" s="15" t="n"/>
      <c r="X196" s="15" t="inlineStr">
        <is>
          <t>במלאי</t>
        </is>
      </c>
      <c r="Y196" s="15" t="n"/>
      <c r="Z196" s="15" t="n"/>
      <c r="AA196" s="15" t="n"/>
      <c r="AB196" s="16" t="n"/>
      <c r="AC196" s="15" t="n"/>
      <c r="AD196" s="15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15" t="inlineStr">
        <is>
          <t>Uniform</t>
        </is>
      </c>
      <c r="B197" s="15" t="inlineStr">
        <is>
          <t>Shirt</t>
        </is>
      </c>
      <c r="C197" s="15" t="inlineStr">
        <is>
          <t>Eclipse</t>
        </is>
      </c>
      <c r="D197" s="15" t="inlineStr">
        <is>
          <t>UNI 067</t>
        </is>
      </c>
      <c r="E197">
        <f>IFERROR(INDEX('הגדרות'!$D$143:$D$224,MATCH(B197&amp;G197&amp;C197,'הגדרות'!$A$143:$A$224&amp;'הגדרות'!$B$143:$B$224&amp;'הגדרות'!$C$143:$C$224,0)),"")</f>
        <v/>
      </c>
      <c r="F197" s="16" t="n"/>
      <c r="G197" s="15" t="inlineStr">
        <is>
          <t>Stretch</t>
        </is>
      </c>
      <c r="H197" s="15" t="n"/>
      <c r="I197" s="15" t="n"/>
      <c r="J197" s="15" t="n"/>
      <c r="K197" s="15" t="n"/>
      <c r="L197" s="15" t="inlineStr">
        <is>
          <t>L-R</t>
        </is>
      </c>
      <c r="M197" s="15" t="inlineStr">
        <is>
          <t>Kestrel</t>
        </is>
      </c>
      <c r="N197" s="15" t="n"/>
      <c r="O197" s="15" t="inlineStr">
        <is>
          <t>כן</t>
        </is>
      </c>
      <c r="P197" s="15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15" t="n"/>
      <c r="V197" s="15" t="n"/>
      <c r="W197" s="15" t="n"/>
      <c r="X197" s="15" t="inlineStr">
        <is>
          <t>במלאי</t>
        </is>
      </c>
      <c r="Y197" s="15" t="n"/>
      <c r="Z197" s="15" t="n"/>
      <c r="AA197" s="15" t="n"/>
      <c r="AB197" s="16" t="n"/>
      <c r="AC197" s="15" t="n"/>
      <c r="AD197" s="15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15" t="inlineStr">
        <is>
          <t>Uniform</t>
        </is>
      </c>
      <c r="B198" s="15" t="inlineStr">
        <is>
          <t>Headcover</t>
        </is>
      </c>
      <c r="C198" s="15" t="inlineStr">
        <is>
          <t>ELITE</t>
        </is>
      </c>
      <c r="D198" s="15" t="inlineStr">
        <is>
          <t>UNI 068</t>
        </is>
      </c>
      <c r="E198">
        <f>IFERROR(INDEX('הגדרות'!$D$143:$D$224,MATCH(B198&amp;G198&amp;C198,'הגדרות'!$A$143:$A$224&amp;'הגדרות'!$B$143:$B$224&amp;'הגדרות'!$C$143:$C$224,0)),"")</f>
        <v/>
      </c>
      <c r="F198" s="16" t="n"/>
      <c r="G198" s="15" t="inlineStr">
        <is>
          <t>Stretch</t>
        </is>
      </c>
      <c r="H198" s="15" t="n"/>
      <c r="I198" s="15" t="n"/>
      <c r="J198" s="15" t="n"/>
      <c r="K198" s="15" t="n"/>
      <c r="L198" s="15" t="n"/>
      <c r="M198" s="15" t="inlineStr">
        <is>
          <t>Kestrel</t>
        </is>
      </c>
      <c r="N198" s="15" t="n"/>
      <c r="O198" s="15" t="inlineStr">
        <is>
          <t>כן</t>
        </is>
      </c>
      <c r="P198" s="15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15" t="n"/>
      <c r="V198" s="15" t="n"/>
      <c r="W198" s="15" t="n"/>
      <c r="X198" s="15" t="inlineStr">
        <is>
          <t>במלאי</t>
        </is>
      </c>
      <c r="Y198" s="15" t="n"/>
      <c r="Z198" s="15" t="n"/>
      <c r="AA198" s="15" t="n"/>
      <c r="AB198" s="16" t="n"/>
      <c r="AC198" s="15" t="n"/>
      <c r="AD198" s="15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15" t="inlineStr">
        <is>
          <t>Uniform</t>
        </is>
      </c>
      <c r="B199" s="15" t="inlineStr">
        <is>
          <t>Headcover</t>
        </is>
      </c>
      <c r="C199" s="15" t="inlineStr">
        <is>
          <t>ELITE</t>
        </is>
      </c>
      <c r="D199" s="15" t="inlineStr">
        <is>
          <t>UNI 069</t>
        </is>
      </c>
      <c r="E199">
        <f>IFERROR(INDEX('הגדרות'!$D$143:$D$224,MATCH(B199&amp;G199&amp;C199,'הגדרות'!$A$143:$A$224&amp;'הגדרות'!$B$143:$B$224&amp;'הגדרות'!$C$143:$C$224,0)),"")</f>
        <v/>
      </c>
      <c r="F199" s="16" t="n"/>
      <c r="G199" s="15" t="inlineStr">
        <is>
          <t>Stretch</t>
        </is>
      </c>
      <c r="H199" s="15" t="n"/>
      <c r="I199" s="15" t="n"/>
      <c r="J199" s="15" t="n"/>
      <c r="K199" s="15" t="n"/>
      <c r="L199" s="15" t="n"/>
      <c r="M199" s="15" t="inlineStr">
        <is>
          <t>Kestrel</t>
        </is>
      </c>
      <c r="N199" s="15" t="n"/>
      <c r="O199" s="15" t="inlineStr">
        <is>
          <t>כן</t>
        </is>
      </c>
      <c r="P199" s="15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15" t="n"/>
      <c r="V199" s="15" t="n"/>
      <c r="W199" s="15" t="n"/>
      <c r="X199" s="15" t="inlineStr">
        <is>
          <t>במלאי</t>
        </is>
      </c>
      <c r="Y199" s="15" t="n"/>
      <c r="Z199" s="15" t="n"/>
      <c r="AA199" s="15" t="n"/>
      <c r="AB199" s="16" t="n"/>
      <c r="AC199" s="15" t="n"/>
      <c r="AD199" s="15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15" t="inlineStr">
        <is>
          <t>Uniform</t>
        </is>
      </c>
      <c r="B200" s="15" t="inlineStr">
        <is>
          <t>Headcover</t>
        </is>
      </c>
      <c r="C200" s="15" t="inlineStr">
        <is>
          <t>ELITE</t>
        </is>
      </c>
      <c r="D200" s="15" t="inlineStr">
        <is>
          <t>UNI 069</t>
        </is>
      </c>
      <c r="E200">
        <f>IFERROR(INDEX('הגדרות'!$D$143:$D$224,MATCH(B200&amp;G200&amp;C200,'הגדרות'!$A$143:$A$224&amp;'הגדרות'!$B$143:$B$224&amp;'הגדרות'!$C$143:$C$224,0)),"")</f>
        <v/>
      </c>
      <c r="F200" s="16" t="n"/>
      <c r="G200" s="15" t="inlineStr">
        <is>
          <t>Stretch</t>
        </is>
      </c>
      <c r="H200" s="15" t="n"/>
      <c r="I200" s="15" t="n"/>
      <c r="J200" s="15" t="n"/>
      <c r="K200" s="15" t="n"/>
      <c r="L200" s="15" t="n"/>
      <c r="M200" s="15" t="inlineStr">
        <is>
          <t>Kestrel</t>
        </is>
      </c>
      <c r="N200" s="15" t="n"/>
      <c r="O200" s="15" t="inlineStr">
        <is>
          <t>כן</t>
        </is>
      </c>
      <c r="P200" s="15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15" t="n"/>
      <c r="V200" s="15" t="n"/>
      <c r="W200" s="15" t="n"/>
      <c r="X200" s="15" t="inlineStr">
        <is>
          <t>במלאי</t>
        </is>
      </c>
      <c r="Y200" s="15" t="n"/>
      <c r="Z200" s="15" t="n"/>
      <c r="AA200" s="15" t="n"/>
      <c r="AB200" s="16" t="n"/>
      <c r="AC200" s="15" t="n"/>
      <c r="AD200" s="15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15" t="inlineStr">
        <is>
          <t>Uniform</t>
        </is>
      </c>
      <c r="B201" s="15" t="inlineStr">
        <is>
          <t>Headcover</t>
        </is>
      </c>
      <c r="C201" s="15" t="inlineStr">
        <is>
          <t>ELITE</t>
        </is>
      </c>
      <c r="D201" s="15" t="inlineStr">
        <is>
          <t>UNI 071</t>
        </is>
      </c>
      <c r="E201">
        <f>IFERROR(INDEX('הגדרות'!$D$143:$D$224,MATCH(B201&amp;G201&amp;C201,'הגדרות'!$A$143:$A$224&amp;'הגדרות'!$B$143:$B$224&amp;'הגדרות'!$C$143:$C$224,0)),"")</f>
        <v/>
      </c>
      <c r="F201" s="16" t="n"/>
      <c r="G201" s="15" t="inlineStr">
        <is>
          <t>Stretch</t>
        </is>
      </c>
      <c r="H201" s="15" t="n"/>
      <c r="I201" s="15" t="n"/>
      <c r="J201" s="15" t="n"/>
      <c r="K201" s="15" t="n"/>
      <c r="L201" s="15" t="n"/>
      <c r="M201" s="15" t="inlineStr">
        <is>
          <t>Kestrel</t>
        </is>
      </c>
      <c r="N201" s="15" t="n"/>
      <c r="O201" s="15" t="inlineStr">
        <is>
          <t>כן</t>
        </is>
      </c>
      <c r="P201" s="15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15" t="n"/>
      <c r="V201" s="15" t="n"/>
      <c r="W201" s="15" t="n"/>
      <c r="X201" s="15" t="inlineStr">
        <is>
          <t>במלאי</t>
        </is>
      </c>
      <c r="Y201" s="15" t="n"/>
      <c r="Z201" s="15" t="n"/>
      <c r="AA201" s="15" t="n"/>
      <c r="AB201" s="16" t="n"/>
      <c r="AC201" s="15" t="n"/>
      <c r="AD201" s="15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15" t="inlineStr">
        <is>
          <t>Accessories</t>
        </is>
      </c>
      <c r="B202" s="15" t="inlineStr">
        <is>
          <t>Bag cover 90L</t>
        </is>
      </c>
      <c r="C202" s="15" t="n"/>
      <c r="D202" s="15" t="inlineStr">
        <is>
          <t>AC 001</t>
        </is>
      </c>
      <c r="E202">
        <f>IFERROR(INDEX('הגדרות'!$D$143:$D$224,MATCH(B202&amp;G202&amp;C202,'הגדרות'!$A$143:$A$224&amp;'הגדרות'!$B$143:$B$224&amp;'הגדרות'!$C$143:$C$224,0)),"")</f>
        <v/>
      </c>
      <c r="F202" s="16" t="n"/>
      <c r="G202" s="15" t="inlineStr">
        <is>
          <t>Mesh</t>
        </is>
      </c>
      <c r="H202" s="15" t="n"/>
      <c r="I202" s="15" t="n"/>
      <c r="J202" s="15" t="n"/>
      <c r="K202" s="15" t="n"/>
      <c r="L202" s="15" t="n"/>
      <c r="M202" s="15" t="inlineStr">
        <is>
          <t>Woodland Brown</t>
        </is>
      </c>
      <c r="N202" s="15" t="inlineStr">
        <is>
          <t>Kestrel</t>
        </is>
      </c>
      <c r="O202" s="15" t="inlineStr">
        <is>
          <t>כן</t>
        </is>
      </c>
      <c r="P202" s="15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15" t="inlineStr">
        <is>
          <t>לא</t>
        </is>
      </c>
      <c r="V202" s="15" t="inlineStr">
        <is>
          <t>לא</t>
        </is>
      </c>
      <c r="W202" s="15" t="n"/>
      <c r="X202" s="15" t="inlineStr">
        <is>
          <t>במלאי</t>
        </is>
      </c>
      <c r="Y202" s="15" t="n"/>
      <c r="Z202" s="15" t="n"/>
      <c r="AA202" s="15" t="n"/>
      <c r="AB202" s="16" t="n"/>
      <c r="AC202" s="15" t="n"/>
      <c r="AD202" s="15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15" t="inlineStr">
        <is>
          <t>Accessories</t>
        </is>
      </c>
      <c r="B203" s="15" t="inlineStr">
        <is>
          <t>Bag cover 90L</t>
        </is>
      </c>
      <c r="C203" s="15" t="n"/>
      <c r="D203" s="15" t="inlineStr">
        <is>
          <t>AC 002</t>
        </is>
      </c>
      <c r="E203">
        <f>IFERROR(INDEX('הגדרות'!$D$143:$D$224,MATCH(B203&amp;G203&amp;C203,'הגדרות'!$A$143:$A$224&amp;'הגדרות'!$B$143:$B$224&amp;'הגדרות'!$C$143:$C$224,0)),"")</f>
        <v/>
      </c>
      <c r="F203" s="16" t="n"/>
      <c r="G203" s="15" t="inlineStr">
        <is>
          <t>Mesh</t>
        </is>
      </c>
      <c r="H203" s="15" t="n"/>
      <c r="I203" s="15" t="n"/>
      <c r="J203" s="15" t="n"/>
      <c r="K203" s="15" t="n"/>
      <c r="L203" s="15" t="n"/>
      <c r="M203" s="15" t="inlineStr">
        <is>
          <t>Kestrel</t>
        </is>
      </c>
      <c r="N203" s="15" t="n"/>
      <c r="O203" s="15" t="inlineStr">
        <is>
          <t>כן</t>
        </is>
      </c>
      <c r="P203" s="15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15" t="inlineStr">
        <is>
          <t>לא</t>
        </is>
      </c>
      <c r="V203" s="15" t="inlineStr">
        <is>
          <t>לא</t>
        </is>
      </c>
      <c r="W203" s="15" t="n"/>
      <c r="X203" s="15" t="inlineStr">
        <is>
          <t>במלאי</t>
        </is>
      </c>
      <c r="Y203" s="15" t="n"/>
      <c r="Z203" s="15" t="n"/>
      <c r="AA203" s="15" t="n"/>
      <c r="AB203" s="16" t="n"/>
      <c r="AC203" s="15" t="n"/>
      <c r="AD203" s="15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15" t="inlineStr">
        <is>
          <t>Accessories</t>
        </is>
      </c>
      <c r="B204" s="15" t="inlineStr">
        <is>
          <t>Bag cover 90L</t>
        </is>
      </c>
      <c r="C204" s="15" t="n"/>
      <c r="D204" s="15" t="inlineStr">
        <is>
          <t>AC 003</t>
        </is>
      </c>
      <c r="E204">
        <f>IFERROR(INDEX('הגדרות'!$D$143:$D$224,MATCH(B204&amp;G204&amp;C204,'הגדרות'!$A$143:$A$224&amp;'הגדרות'!$B$143:$B$224&amp;'הגדרות'!$C$143:$C$224,0)),"")</f>
        <v/>
      </c>
      <c r="F204" s="16" t="n"/>
      <c r="G204" s="15" t="inlineStr">
        <is>
          <t>Mesh</t>
        </is>
      </c>
      <c r="H204" s="15" t="n"/>
      <c r="I204" s="15" t="n"/>
      <c r="J204" s="15" t="n"/>
      <c r="K204" s="15" t="n"/>
      <c r="L204" s="15" t="n"/>
      <c r="M204" s="15" t="inlineStr">
        <is>
          <t>Kestrel</t>
        </is>
      </c>
      <c r="N204" s="15" t="n"/>
      <c r="O204" s="15" t="inlineStr">
        <is>
          <t>כן</t>
        </is>
      </c>
      <c r="P204" s="15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15" t="inlineStr">
        <is>
          <t>לא</t>
        </is>
      </c>
      <c r="V204" s="15" t="inlineStr">
        <is>
          <t>לא</t>
        </is>
      </c>
      <c r="W204" s="15" t="n"/>
      <c r="X204" s="15" t="inlineStr">
        <is>
          <t>במלאי</t>
        </is>
      </c>
      <c r="Y204" s="15" t="n"/>
      <c r="Z204" s="15" t="n"/>
      <c r="AA204" s="15" t="n"/>
      <c r="AB204" s="16" t="n"/>
      <c r="AC204" s="15" t="n"/>
      <c r="AD204" s="15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15" t="inlineStr">
        <is>
          <t>Uniform</t>
        </is>
      </c>
      <c r="B205" s="15" t="inlineStr">
        <is>
          <t>Balaclava</t>
        </is>
      </c>
      <c r="C205" s="15" t="n"/>
      <c r="D205" s="15" t="inlineStr">
        <is>
          <t>UNI072</t>
        </is>
      </c>
      <c r="E205">
        <f>IFERROR(INDEX('הגדרות'!$D$143:$D$224,MATCH(B205&amp;G205&amp;C205,'הגדרות'!$A$143:$A$224&amp;'הגדרות'!$B$143:$B$224&amp;'הגדרות'!$C$143:$C$224,0)),"")</f>
        <v/>
      </c>
      <c r="F205" s="16" t="n"/>
      <c r="G205" s="15" t="inlineStr">
        <is>
          <t>Stretch</t>
        </is>
      </c>
      <c r="H205" s="15" t="n"/>
      <c r="I205" s="15" t="n"/>
      <c r="J205" s="15" t="n"/>
      <c r="K205" s="15" t="n"/>
      <c r="L205" s="15" t="n"/>
      <c r="M205" s="15" t="inlineStr">
        <is>
          <t>Fresh Snow</t>
        </is>
      </c>
      <c r="N205" s="15" t="n"/>
      <c r="O205" s="15" t="inlineStr">
        <is>
          <t>כן</t>
        </is>
      </c>
      <c r="P205" s="15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15" t="n"/>
      <c r="V205" s="15" t="n"/>
      <c r="W205" s="15" t="n"/>
      <c r="X205" s="15" t="inlineStr">
        <is>
          <t>במלאי</t>
        </is>
      </c>
      <c r="Y205" s="15" t="n"/>
      <c r="Z205" s="15" t="n"/>
      <c r="AA205" s="15" t="n"/>
      <c r="AB205" s="16" t="n"/>
      <c r="AC205" s="15" t="n"/>
      <c r="AD205" s="15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15" t="inlineStr">
        <is>
          <t>OverGarment</t>
        </is>
      </c>
      <c r="B206" s="15" t="inlineStr">
        <is>
          <t>May Suit</t>
        </is>
      </c>
      <c r="C206" s="15" t="inlineStr">
        <is>
          <t>one side</t>
        </is>
      </c>
      <c r="D206" s="15" t="inlineStr">
        <is>
          <t>MAY1</t>
        </is>
      </c>
      <c r="E206">
        <f>IFERROR(INDEX('הגדרות'!$D$143:$D$224,MATCH(B206&amp;G206&amp;C206,'הגדרות'!$A$143:$A$224&amp;'הגדרות'!$B$143:$B$224&amp;'הגדרות'!$C$143:$C$224,0)),"")</f>
        <v/>
      </c>
      <c r="F206" s="16" t="n"/>
      <c r="G206" s="15" t="inlineStr">
        <is>
          <t>RIPSTOP</t>
        </is>
      </c>
      <c r="H206" s="15" t="n"/>
      <c r="I206" s="15" t="n"/>
      <c r="J206" s="15" t="inlineStr">
        <is>
          <t>כן</t>
        </is>
      </c>
      <c r="K206" s="15" t="inlineStr">
        <is>
          <t>לא</t>
        </is>
      </c>
      <c r="L206" s="15" t="inlineStr">
        <is>
          <t>צד אחד לחולצה</t>
        </is>
      </c>
      <c r="M206" s="15" t="inlineStr">
        <is>
          <t>Forest Green</t>
        </is>
      </c>
      <c r="N206" s="15" t="inlineStr">
        <is>
          <t>NATO</t>
        </is>
      </c>
      <c r="O206" s="15" t="inlineStr">
        <is>
          <t>לא</t>
        </is>
      </c>
      <c r="P206" s="15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15" t="n"/>
      <c r="V206" s="15" t="n"/>
      <c r="W206" s="15" t="n"/>
      <c r="X206" s="15" t="inlineStr">
        <is>
          <t>במלאי</t>
        </is>
      </c>
      <c r="Y206" s="15" t="n"/>
      <c r="Z206" s="15" t="n"/>
      <c r="AA206" s="15" t="n"/>
      <c r="AB206" s="16" t="n"/>
      <c r="AC206" s="15" t="n"/>
      <c r="AD206" s="15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15" t="inlineStr">
        <is>
          <t>OverGarment</t>
        </is>
      </c>
      <c r="B207" s="15" t="inlineStr">
        <is>
          <t>Poncho Inbar</t>
        </is>
      </c>
      <c r="C207" s="15" t="inlineStr">
        <is>
          <t>V1</t>
        </is>
      </c>
      <c r="D207" s="15" t="inlineStr">
        <is>
          <t>Inbar A8</t>
        </is>
      </c>
      <c r="E207">
        <f>IFERROR(INDEX('הגדרות'!$D$143:$D$224,MATCH(B207&amp;G207&amp;C207,'הגדרות'!$A$143:$A$224&amp;'הגדרות'!$B$143:$B$224&amp;'הגדרות'!$C$143:$C$224,0)),"")</f>
        <v/>
      </c>
      <c r="F207" s="16" t="n"/>
      <c r="G207" s="15" t="inlineStr">
        <is>
          <t>RIPSTOP</t>
        </is>
      </c>
      <c r="H207" s="15" t="n"/>
      <c r="I207" s="15" t="n"/>
      <c r="J207" s="15" t="n"/>
      <c r="K207" s="15" t="inlineStr">
        <is>
          <t>כן</t>
        </is>
      </c>
      <c r="L207" s="15" t="n"/>
      <c r="M207" s="15" t="inlineStr">
        <is>
          <t>Forest Green</t>
        </is>
      </c>
      <c r="N207" s="15" t="inlineStr">
        <is>
          <t>Desert Coyote</t>
        </is>
      </c>
      <c r="O207" s="15" t="inlineStr">
        <is>
          <t>כן</t>
        </is>
      </c>
      <c r="P207" s="15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15" t="n"/>
      <c r="V207" s="15" t="n"/>
      <c r="W207" s="15" t="inlineStr">
        <is>
          <t>כן</t>
        </is>
      </c>
      <c r="X207" s="15" t="inlineStr">
        <is>
          <t>במלאי</t>
        </is>
      </c>
      <c r="Y207" s="15" t="n"/>
      <c r="Z207" s="15" t="n"/>
      <c r="AA207" s="15" t="n"/>
      <c r="AB207" s="16" t="n"/>
      <c r="AC207" s="15" t="n"/>
      <c r="AD207" s="15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15" t="inlineStr">
        <is>
          <t>OverGarment</t>
        </is>
      </c>
      <c r="B208" s="15" t="inlineStr">
        <is>
          <t>Poncho Inbar 3D</t>
        </is>
      </c>
      <c r="C208" s="15" t="inlineStr">
        <is>
          <t>v2</t>
        </is>
      </c>
      <c r="D208" s="15" t="inlineStr">
        <is>
          <t>poncho inbar b 3d sampals</t>
        </is>
      </c>
      <c r="E208">
        <f>IFERROR(INDEX('הגדרות'!$D$143:$D$224,MATCH(B208&amp;G208&amp;C208,'הגדרות'!$A$143:$A$224&amp;'הגדרות'!$B$143:$B$224&amp;'הגדרות'!$C$143:$C$224,0)),"")</f>
        <v/>
      </c>
      <c r="F208" s="16" t="n"/>
      <c r="G208" s="15" t="inlineStr">
        <is>
          <t>RIPSTOP</t>
        </is>
      </c>
      <c r="H208" s="15" t="inlineStr">
        <is>
          <t>3D</t>
        </is>
      </c>
      <c r="I208" s="15" t="n"/>
      <c r="J208" s="15" t="n"/>
      <c r="K208" s="15" t="inlineStr">
        <is>
          <t>כן</t>
        </is>
      </c>
      <c r="L208" s="15" t="n"/>
      <c r="M208" s="15" t="inlineStr">
        <is>
          <t>Woodland Brown</t>
        </is>
      </c>
      <c r="N208" s="15" t="inlineStr">
        <is>
          <t>Kestrel</t>
        </is>
      </c>
      <c r="O208" s="15" t="inlineStr">
        <is>
          <t>כן</t>
        </is>
      </c>
      <c r="P208" s="15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15" t="inlineStr">
        <is>
          <t>כן</t>
        </is>
      </c>
      <c r="V208" s="15" t="inlineStr">
        <is>
          <t>כן</t>
        </is>
      </c>
      <c r="W208" s="15" t="inlineStr">
        <is>
          <t>כן</t>
        </is>
      </c>
      <c r="X208" s="15" t="inlineStr">
        <is>
          <t>במלאי</t>
        </is>
      </c>
      <c r="Y208" s="15" t="n"/>
      <c r="Z208" s="15" t="n"/>
      <c r="AA208" s="15" t="n"/>
      <c r="AB208" s="16" t="n"/>
      <c r="AC208" s="15" t="n"/>
      <c r="AD208" s="15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15" t="inlineStr">
        <is>
          <t>Uniform</t>
        </is>
      </c>
      <c r="B209" s="15" t="inlineStr">
        <is>
          <t>Headcover</t>
        </is>
      </c>
      <c r="C209" s="15" t="inlineStr">
        <is>
          <t>ELITE</t>
        </is>
      </c>
      <c r="D209" s="15" t="inlineStr">
        <is>
          <t>UNI 038</t>
        </is>
      </c>
      <c r="E209">
        <f>IFERROR(INDEX('הגדרות'!$D$143:$D$224,MATCH(B209&amp;G209&amp;C209,'הגדרות'!$A$143:$A$224&amp;'הגדרות'!$B$143:$B$224&amp;'הגדרות'!$C$143:$C$224,0)),"")</f>
        <v/>
      </c>
      <c r="F209" s="16" t="n"/>
      <c r="G209" s="15" t="inlineStr">
        <is>
          <t>Stretch</t>
        </is>
      </c>
      <c r="H209" s="15" t="n"/>
      <c r="I209" s="15" t="n"/>
      <c r="J209" s="15" t="n"/>
      <c r="K209" s="15" t="n"/>
      <c r="L209" s="15" t="n"/>
      <c r="M209" s="15" t="inlineStr">
        <is>
          <t>Kestrel</t>
        </is>
      </c>
      <c r="N209" s="15" t="n"/>
      <c r="O209" s="15" t="inlineStr">
        <is>
          <t>כן</t>
        </is>
      </c>
      <c r="P209" s="15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15" t="n"/>
      <c r="V209" s="15" t="n"/>
      <c r="W209" s="15" t="n"/>
      <c r="X209" s="15" t="inlineStr">
        <is>
          <t>במלאי</t>
        </is>
      </c>
      <c r="Y209" s="15" t="n"/>
      <c r="Z209" s="15" t="n"/>
      <c r="AA209" s="15" t="n"/>
      <c r="AB209" s="16" t="n"/>
      <c r="AC209" s="15" t="n"/>
      <c r="AD209" s="15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15" t="inlineStr">
        <is>
          <t>Uniform</t>
        </is>
      </c>
      <c r="B210" s="15" t="inlineStr">
        <is>
          <t>Pants</t>
        </is>
      </c>
      <c r="C210" s="15" t="inlineStr">
        <is>
          <t>ישראלי</t>
        </is>
      </c>
      <c r="D210" s="15" t="inlineStr">
        <is>
          <t>UNI 047</t>
        </is>
      </c>
      <c r="E210">
        <f>IFERROR(INDEX('הגדרות'!$D$143:$D$224,MATCH(B210&amp;G210&amp;C210,'הגדרות'!$A$143:$A$224&amp;'הגדרות'!$B$143:$B$224&amp;'הגדרות'!$C$143:$C$224,0)),"")</f>
        <v/>
      </c>
      <c r="F210" s="16" t="n"/>
      <c r="G210" s="15" t="inlineStr">
        <is>
          <t>Durable</t>
        </is>
      </c>
      <c r="H210" s="15" t="n"/>
      <c r="I210" s="15" t="inlineStr">
        <is>
          <t>L</t>
        </is>
      </c>
      <c r="J210" s="15" t="n"/>
      <c r="K210" s="15" t="n"/>
      <c r="L210" s="15" t="n"/>
      <c r="M210" s="15" t="inlineStr">
        <is>
          <t>Kestrel</t>
        </is>
      </c>
      <c r="N210" s="15" t="n"/>
      <c r="O210" s="15" t="inlineStr">
        <is>
          <t>כן</t>
        </is>
      </c>
      <c r="P210" s="15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15" t="n"/>
      <c r="V210" s="15" t="n"/>
      <c r="W210" s="15" t="n"/>
      <c r="X210" s="15" t="inlineStr">
        <is>
          <t>במלאי</t>
        </is>
      </c>
      <c r="Y210" s="15" t="n"/>
      <c r="Z210" s="15" t="n"/>
      <c r="AA210" s="15" t="n"/>
      <c r="AB210" s="16" t="n"/>
      <c r="AC210" s="15" t="n"/>
      <c r="AD210" s="15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15" t="inlineStr">
        <is>
          <t>Uniform</t>
        </is>
      </c>
      <c r="B211" s="15" t="inlineStr">
        <is>
          <t>Pants</t>
        </is>
      </c>
      <c r="C211" s="15" t="inlineStr">
        <is>
          <t>ישראלי</t>
        </is>
      </c>
      <c r="D211" s="15" t="inlineStr">
        <is>
          <t>UNI 048</t>
        </is>
      </c>
      <c r="E211">
        <f>IFERROR(INDEX('הגדרות'!$D$143:$D$224,MATCH(B211&amp;G211&amp;C211,'הגדרות'!$A$143:$A$224&amp;'הגדרות'!$B$143:$B$224&amp;'הגדרות'!$C$143:$C$224,0)),"")</f>
        <v/>
      </c>
      <c r="F211" s="16" t="n"/>
      <c r="G211" s="15" t="inlineStr">
        <is>
          <t>Durable</t>
        </is>
      </c>
      <c r="H211" s="15" t="n"/>
      <c r="I211" s="15" t="inlineStr">
        <is>
          <t>L</t>
        </is>
      </c>
      <c r="J211" s="15" t="n"/>
      <c r="K211" s="15" t="n"/>
      <c r="L211" s="15" t="n"/>
      <c r="M211" s="15" t="inlineStr">
        <is>
          <t>Kestrel</t>
        </is>
      </c>
      <c r="N211" s="15" t="n"/>
      <c r="O211" s="15" t="inlineStr">
        <is>
          <t>כן</t>
        </is>
      </c>
      <c r="P211" s="15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15" t="n"/>
      <c r="V211" s="15" t="n"/>
      <c r="W211" s="15" t="n"/>
      <c r="X211" s="15" t="inlineStr">
        <is>
          <t>במלאי</t>
        </is>
      </c>
      <c r="Y211" s="15" t="n"/>
      <c r="Z211" s="15" t="n"/>
      <c r="AA211" s="15" t="n"/>
      <c r="AB211" s="16" t="n"/>
      <c r="AC211" s="15" t="n"/>
      <c r="AD211" s="15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15" t="inlineStr">
        <is>
          <t>Uniform</t>
        </is>
      </c>
      <c r="B212" s="15" t="inlineStr">
        <is>
          <t>Shirt</t>
        </is>
      </c>
      <c r="C212" s="15" t="inlineStr">
        <is>
          <t>Maritime</t>
        </is>
      </c>
      <c r="D212" s="15" t="inlineStr">
        <is>
          <t>UNI 004</t>
        </is>
      </c>
      <c r="E212">
        <f>IFERROR(INDEX('הגדרות'!$D$143:$D$224,MATCH(B212&amp;G212&amp;C212,'הגדרות'!$A$143:$A$224&amp;'הגדרות'!$B$143:$B$224&amp;'הגדרות'!$C$143:$C$224,0)),"")</f>
        <v/>
      </c>
      <c r="F212" s="16" t="n"/>
      <c r="G212" s="15" t="inlineStr">
        <is>
          <t>Stretch</t>
        </is>
      </c>
      <c r="H212" s="15" t="n"/>
      <c r="I212" s="15" t="inlineStr">
        <is>
          <t>XL</t>
        </is>
      </c>
      <c r="J212" s="15" t="n"/>
      <c r="K212" s="15" t="n"/>
      <c r="L212" s="15" t="n"/>
      <c r="M212" s="15" t="inlineStr">
        <is>
          <t>Kestrel</t>
        </is>
      </c>
      <c r="N212" s="15" t="n"/>
      <c r="O212" s="15" t="inlineStr">
        <is>
          <t>כן</t>
        </is>
      </c>
      <c r="P212" s="15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15" t="n"/>
      <c r="V212" s="15" t="n"/>
      <c r="W212" s="15" t="n"/>
      <c r="X212" s="15" t="inlineStr">
        <is>
          <t>במלאי</t>
        </is>
      </c>
      <c r="Y212" s="15" t="n"/>
      <c r="Z212" s="15" t="n"/>
      <c r="AA212" s="15" t="n"/>
      <c r="AB212" s="16" t="n"/>
      <c r="AC212" s="15" t="n"/>
      <c r="AD212" s="15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15" t="inlineStr">
        <is>
          <t>Uniform</t>
        </is>
      </c>
      <c r="B213" s="15" t="inlineStr">
        <is>
          <t>Pants</t>
        </is>
      </c>
      <c r="C213" s="15" t="inlineStr">
        <is>
          <t>ישראלי</t>
        </is>
      </c>
      <c r="D213" s="15" t="inlineStr">
        <is>
          <t>UNI 046</t>
        </is>
      </c>
      <c r="E213">
        <f>IFERROR(INDEX('הגדרות'!$D$143:$D$224,MATCH(B213&amp;G213&amp;C213,'הגדרות'!$A$143:$A$224&amp;'הגדרות'!$B$143:$B$224&amp;'הגדרות'!$C$143:$C$224,0)),"")</f>
        <v/>
      </c>
      <c r="F213" s="16" t="n"/>
      <c r="G213" s="15" t="inlineStr">
        <is>
          <t>Durable</t>
        </is>
      </c>
      <c r="H213" s="15" t="n"/>
      <c r="I213" s="15" t="inlineStr">
        <is>
          <t>L</t>
        </is>
      </c>
      <c r="J213" s="15" t="n"/>
      <c r="K213" s="15" t="n"/>
      <c r="L213" s="15" t="n"/>
      <c r="M213" s="15" t="inlineStr">
        <is>
          <t>Kestrel</t>
        </is>
      </c>
      <c r="N213" s="15" t="n"/>
      <c r="O213" s="15" t="inlineStr">
        <is>
          <t>כן</t>
        </is>
      </c>
      <c r="P213" s="15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15" t="n"/>
      <c r="V213" s="15" t="n"/>
      <c r="W213" s="15" t="n"/>
      <c r="X213" s="15" t="inlineStr">
        <is>
          <t>במלאי</t>
        </is>
      </c>
      <c r="Y213" s="15" t="n"/>
      <c r="Z213" s="15" t="n"/>
      <c r="AA213" s="15" t="n"/>
      <c r="AB213" s="16" t="n"/>
      <c r="AC213" s="15" t="n"/>
      <c r="AD213" s="15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15" t="inlineStr">
        <is>
          <t>Uniform</t>
        </is>
      </c>
      <c r="B214" s="15" t="inlineStr">
        <is>
          <t>Pants</t>
        </is>
      </c>
      <c r="C214" s="15" t="inlineStr">
        <is>
          <t>MERON</t>
        </is>
      </c>
      <c r="D214" s="15" t="inlineStr">
        <is>
          <t>U-036</t>
        </is>
      </c>
      <c r="E214">
        <f>IFERROR(INDEX('הגדרות'!$D$143:$D$224,MATCH(B214&amp;G214&amp;C214,'הגדרות'!$A$143:$A$224&amp;'הגדרות'!$B$143:$B$224&amp;'הגדרות'!$C$143:$C$224,0)),"")</f>
        <v/>
      </c>
      <c r="F214" s="16" t="n"/>
      <c r="G214" s="15" t="inlineStr">
        <is>
          <t>Meron</t>
        </is>
      </c>
      <c r="H214" s="15" t="n"/>
      <c r="I214" s="15" t="inlineStr">
        <is>
          <t>L</t>
        </is>
      </c>
      <c r="J214" s="15" t="inlineStr">
        <is>
          <t>כן</t>
        </is>
      </c>
      <c r="K214" s="15" t="n"/>
      <c r="L214" s="15" t="inlineStr">
        <is>
          <t>Strech</t>
        </is>
      </c>
      <c r="M214" s="15" t="inlineStr">
        <is>
          <t>Kestrel</t>
        </is>
      </c>
      <c r="N214" s="15" t="n"/>
      <c r="O214" s="15" t="inlineStr">
        <is>
          <t>כן</t>
        </is>
      </c>
      <c r="P214" s="15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15" t="n"/>
      <c r="V214" s="15" t="n"/>
      <c r="W214" s="15" t="n"/>
      <c r="X214" s="15" t="inlineStr">
        <is>
          <t>במלאי</t>
        </is>
      </c>
      <c r="Y214" s="15" t="n"/>
      <c r="Z214" s="15" t="n"/>
      <c r="AA214" s="15" t="n"/>
      <c r="AB214" s="16" t="n"/>
      <c r="AC214" s="15" t="n"/>
      <c r="AD214" s="15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15" t="inlineStr">
        <is>
          <t>Uniform</t>
        </is>
      </c>
      <c r="B215" s="15" t="inlineStr">
        <is>
          <t>Pants</t>
        </is>
      </c>
      <c r="C215" s="15" t="inlineStr">
        <is>
          <t>Eclipse</t>
        </is>
      </c>
      <c r="D215" s="15" t="inlineStr">
        <is>
          <t>U-090</t>
        </is>
      </c>
      <c r="E215">
        <f>IFERROR(INDEX('הגדרות'!$D$143:$D$224,MATCH(B215&amp;G215&amp;C215,'הגדרות'!$A$143:$A$224&amp;'הגדרות'!$B$143:$B$224&amp;'הגדרות'!$C$143:$C$224,0)),"")</f>
        <v/>
      </c>
      <c r="F215" s="16" t="n"/>
      <c r="G215" s="15" t="inlineStr">
        <is>
          <t>Durable</t>
        </is>
      </c>
      <c r="H215" s="15" t="n"/>
      <c r="I215" s="15" t="inlineStr">
        <is>
          <t>XL</t>
        </is>
      </c>
      <c r="J215" s="15" t="inlineStr">
        <is>
          <t>כן</t>
        </is>
      </c>
      <c r="K215" s="15" t="inlineStr">
        <is>
          <t>לא</t>
        </is>
      </c>
      <c r="L215" s="15" t="inlineStr">
        <is>
          <t>עם ברכיות</t>
        </is>
      </c>
      <c r="M215" s="15" t="inlineStr">
        <is>
          <t>Ever-Green</t>
        </is>
      </c>
      <c r="N215" s="15" t="n"/>
      <c r="O215" s="15" t="inlineStr">
        <is>
          <t>כן</t>
        </is>
      </c>
      <c r="P215" s="15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15" t="n"/>
      <c r="V215" s="15" t="n"/>
      <c r="W215" s="15" t="n"/>
      <c r="X215" s="15" t="inlineStr">
        <is>
          <t>במלאי</t>
        </is>
      </c>
      <c r="Y215" s="15" t="n"/>
      <c r="Z215" s="15" t="n"/>
      <c r="AA215" s="15" t="n"/>
      <c r="AB215" s="16" t="n"/>
      <c r="AC215" s="15" t="n"/>
      <c r="AD215" s="15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15" t="inlineStr">
        <is>
          <t>Uniform</t>
        </is>
      </c>
      <c r="B216" s="15" t="inlineStr">
        <is>
          <t>Shirt</t>
        </is>
      </c>
      <c r="C216" s="15" t="inlineStr">
        <is>
          <t>ARBEL</t>
        </is>
      </c>
      <c r="D216" s="15" t="inlineStr">
        <is>
          <t>U-036</t>
        </is>
      </c>
      <c r="E216">
        <f>IFERROR(INDEX('הגדרות'!$D$143:$D$224,MATCH(B216&amp;G216&amp;C216,'הגדרות'!$A$143:$A$224&amp;'הגדרות'!$B$143:$B$224&amp;'הגדרות'!$C$143:$C$224,0)),"")</f>
        <v/>
      </c>
      <c r="F216" s="16" t="n"/>
      <c r="G216" s="15" t="inlineStr">
        <is>
          <t>Meron</t>
        </is>
      </c>
      <c r="H216" s="15" t="n"/>
      <c r="I216" s="15" t="n"/>
      <c r="J216" s="15" t="inlineStr">
        <is>
          <t>כן</t>
        </is>
      </c>
      <c r="K216" s="15" t="n"/>
      <c r="L216" s="15" t="inlineStr">
        <is>
          <t>Strech</t>
        </is>
      </c>
      <c r="M216" s="15" t="inlineStr">
        <is>
          <t>Kestrel</t>
        </is>
      </c>
      <c r="N216" s="15" t="n"/>
      <c r="O216" s="15" t="inlineStr">
        <is>
          <t>כן</t>
        </is>
      </c>
      <c r="P216" s="15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15" t="n"/>
      <c r="V216" s="15" t="n"/>
      <c r="W216" s="15" t="n"/>
      <c r="X216" s="15" t="inlineStr">
        <is>
          <t>במלאי</t>
        </is>
      </c>
      <c r="Y216" s="15" t="n"/>
      <c r="Z216" s="15" t="n"/>
      <c r="AA216" s="15" t="n"/>
      <c r="AB216" s="16" t="n"/>
      <c r="AC216" s="15" t="inlineStr">
        <is>
          <t>ללא זיהוי מידה</t>
        </is>
      </c>
      <c r="AD216" s="15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15" t="inlineStr">
        <is>
          <t>Uniform</t>
        </is>
      </c>
      <c r="B217" s="15" t="inlineStr">
        <is>
          <t>Pants</t>
        </is>
      </c>
      <c r="C217" s="15" t="inlineStr">
        <is>
          <t>ARBEL</t>
        </is>
      </c>
      <c r="D217" s="15" t="inlineStr">
        <is>
          <t>U-036</t>
        </is>
      </c>
      <c r="E217">
        <f>IFERROR(INDEX('הגדרות'!$D$143:$D$224,MATCH(B217&amp;G217&amp;C217,'הגדרות'!$A$143:$A$224&amp;'הגדרות'!$B$143:$B$224&amp;'הגדרות'!$C$143:$C$224,0)),"")</f>
        <v/>
      </c>
      <c r="F217" s="16" t="n"/>
      <c r="G217" s="15" t="inlineStr">
        <is>
          <t>Meron</t>
        </is>
      </c>
      <c r="H217" s="15" t="n"/>
      <c r="I217" s="15" t="n"/>
      <c r="J217" s="15" t="inlineStr">
        <is>
          <t>כן</t>
        </is>
      </c>
      <c r="K217" s="15" t="n"/>
      <c r="L217" s="15" t="inlineStr">
        <is>
          <t>לא ידועה גרסה</t>
        </is>
      </c>
      <c r="M217" s="15" t="inlineStr">
        <is>
          <t>Kestrel</t>
        </is>
      </c>
      <c r="N217" s="15" t="n"/>
      <c r="O217" s="15" t="inlineStr">
        <is>
          <t>כן</t>
        </is>
      </c>
      <c r="P217" s="15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15" t="n"/>
      <c r="V217" s="15" t="n"/>
      <c r="W217" s="15" t="n"/>
      <c r="X217" s="15" t="inlineStr">
        <is>
          <t>במלאי</t>
        </is>
      </c>
      <c r="Y217" s="15" t="n"/>
      <c r="Z217" s="15" t="n"/>
      <c r="AA217" s="15" t="n"/>
      <c r="AB217" s="16" t="n"/>
      <c r="AC217" s="15" t="inlineStr">
        <is>
          <t>ללא זיהוי מידה</t>
        </is>
      </c>
      <c r="AD217" s="15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15" t="inlineStr">
        <is>
          <t>Uniform</t>
        </is>
      </c>
      <c r="B218" s="15" t="inlineStr">
        <is>
          <t>Vest cover</t>
        </is>
      </c>
      <c r="C218" s="15" t="n"/>
      <c r="D218" s="15" t="inlineStr">
        <is>
          <t>U-091</t>
        </is>
      </c>
      <c r="E218">
        <f>IFERROR(INDEX('הגדרות'!$D$143:$D$224,MATCH(B218&amp;G218&amp;C218,'הגדרות'!$A$143:$A$224&amp;'הגדרות'!$B$143:$B$224&amp;'הגדרות'!$C$143:$C$224,0)),"")</f>
        <v/>
      </c>
      <c r="F218" s="16" t="n"/>
      <c r="G218" s="15" t="inlineStr">
        <is>
          <t>RIPSTOP</t>
        </is>
      </c>
      <c r="H218" s="15" t="n"/>
      <c r="I218" s="15" t="n"/>
      <c r="J218" s="15" t="n"/>
      <c r="K218" s="15" t="n"/>
      <c r="L218" s="15" t="n"/>
      <c r="M218" s="15" t="inlineStr">
        <is>
          <t>Kestrel</t>
        </is>
      </c>
      <c r="N218" s="15" t="n"/>
      <c r="O218" s="15" t="inlineStr">
        <is>
          <t>כן</t>
        </is>
      </c>
      <c r="P218" s="15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15" t="n"/>
      <c r="V218" s="15" t="n"/>
      <c r="W218" s="15" t="n"/>
      <c r="X218" s="15" t="inlineStr">
        <is>
          <t>במלאי</t>
        </is>
      </c>
      <c r="Y218" s="15" t="n"/>
      <c r="Z218" s="15" t="n"/>
      <c r="AA218" s="15" t="n"/>
      <c r="AB218" s="16" t="n"/>
      <c r="AC218" s="15" t="n"/>
      <c r="AD218" s="15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15" t="inlineStr">
        <is>
          <t>Uniform</t>
        </is>
      </c>
      <c r="B219" s="15" t="inlineStr">
        <is>
          <t>Headcover</t>
        </is>
      </c>
      <c r="C219" s="15" t="inlineStr">
        <is>
          <t>ELITE</t>
        </is>
      </c>
      <c r="D219" s="15" t="inlineStr">
        <is>
          <t>UNI 042</t>
        </is>
      </c>
      <c r="E219">
        <f>IFERROR(INDEX('הגדרות'!$D$143:$D$224,MATCH(B219&amp;G219&amp;C219,'הגדרות'!$A$143:$A$224&amp;'הגדרות'!$B$143:$B$224&amp;'הגדרות'!$C$143:$C$224,0)),"")</f>
        <v/>
      </c>
      <c r="F219" s="16" t="n"/>
      <c r="G219" s="15" t="inlineStr">
        <is>
          <t>Stretch</t>
        </is>
      </c>
      <c r="H219" s="15" t="n"/>
      <c r="I219" s="15" t="n"/>
      <c r="J219" s="15" t="n"/>
      <c r="K219" s="15" t="n"/>
      <c r="L219" s="15" t="n"/>
      <c r="M219" s="15" t="inlineStr">
        <is>
          <t>Kestrel</t>
        </is>
      </c>
      <c r="N219" s="15" t="n"/>
      <c r="O219" s="15" t="inlineStr">
        <is>
          <t>כן</t>
        </is>
      </c>
      <c r="P219" s="15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15" t="n"/>
      <c r="V219" s="15" t="n"/>
      <c r="W219" s="15" t="n"/>
      <c r="X219" s="15" t="inlineStr">
        <is>
          <t>במלאי</t>
        </is>
      </c>
      <c r="Y219" s="15" t="n"/>
      <c r="Z219" s="15" t="n"/>
      <c r="AA219" s="15" t="n"/>
      <c r="AB219" s="16" t="n"/>
      <c r="AC219" s="15" t="n"/>
      <c r="AD219" s="15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15" t="n"/>
      <c r="B220" s="15" t="n"/>
      <c r="C220" s="15" t="n"/>
      <c r="D220" s="15" t="n"/>
      <c r="E220">
        <f>IFERROR(INDEX('הגדרות'!$D$143:$D$224,MATCH(B220&amp;G220&amp;C220,'הגדרות'!$A$143:$A$224&amp;'הגדרות'!$B$143:$B$224&amp;'הגדרות'!$C$143:$C$224,0)),"")</f>
        <v/>
      </c>
      <c r="F220" s="16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15" t="n"/>
      <c r="V220" s="15" t="n"/>
      <c r="W220" s="15" t="n"/>
      <c r="X220" s="15" t="n"/>
      <c r="Y220" s="15" t="n"/>
      <c r="Z220" s="15" t="n"/>
      <c r="AA220" s="15" t="n"/>
      <c r="AB220" s="16" t="n"/>
      <c r="AC220" s="15" t="n"/>
      <c r="AD220" s="15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15" t="n"/>
      <c r="B221" s="15" t="n"/>
      <c r="C221" s="15" t="n"/>
      <c r="D221" s="15" t="n"/>
      <c r="E221">
        <f>IFERROR(INDEX('הגדרות'!$D$143:$D$224,MATCH(B221&amp;G221&amp;C221,'הגדרות'!$A$143:$A$224&amp;'הגדרות'!$B$143:$B$224&amp;'הגדרות'!$C$143:$C$224,0)),"")</f>
        <v/>
      </c>
      <c r="F221" s="16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15" t="n"/>
      <c r="V221" s="15" t="n"/>
      <c r="W221" s="15" t="n"/>
      <c r="X221" s="15" t="n"/>
      <c r="Y221" s="15" t="n"/>
      <c r="Z221" s="15" t="n"/>
      <c r="AA221" s="15" t="n"/>
      <c r="AB221" s="16" t="n"/>
      <c r="AC221" s="15" t="n"/>
      <c r="AD221" s="15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15" t="n"/>
      <c r="B222" s="15" t="n"/>
      <c r="C222" s="15" t="n"/>
      <c r="D222" s="15" t="n"/>
      <c r="E222">
        <f>IFERROR(INDEX('הגדרות'!$D$143:$D$224,MATCH(B222&amp;G222&amp;C222,'הגדרות'!$A$143:$A$224&amp;'הגדרות'!$B$143:$B$224&amp;'הגדרות'!$C$143:$C$224,0)),"")</f>
        <v/>
      </c>
      <c r="F222" s="16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15" t="n"/>
      <c r="V222" s="15" t="n"/>
      <c r="W222" s="15" t="n"/>
      <c r="X222" s="15" t="n"/>
      <c r="Y222" s="15" t="n"/>
      <c r="Z222" s="15" t="n"/>
      <c r="AA222" s="15" t="n"/>
      <c r="AB222" s="16" t="n"/>
      <c r="AC222" s="15" t="n"/>
      <c r="AD222" s="15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15" t="n"/>
      <c r="B223" s="15" t="n"/>
      <c r="C223" s="15" t="n"/>
      <c r="D223" s="15" t="n"/>
      <c r="E223">
        <f>IFERROR(INDEX('הגדרות'!$D$143:$D$224,MATCH(B223&amp;G223&amp;C223,'הגדרות'!$A$143:$A$224&amp;'הגדרות'!$B$143:$B$224&amp;'הגדרות'!$C$143:$C$224,0)),"")</f>
        <v/>
      </c>
      <c r="F223" s="16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15" t="n"/>
      <c r="V223" s="15" t="n"/>
      <c r="W223" s="15" t="n"/>
      <c r="X223" s="15" t="n"/>
      <c r="Y223" s="15" t="n"/>
      <c r="Z223" s="15" t="n"/>
      <c r="AA223" s="15" t="n"/>
      <c r="AB223" s="16" t="n"/>
      <c r="AC223" s="15" t="n"/>
      <c r="AD223" s="15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15" t="n"/>
      <c r="B224" s="15" t="n"/>
      <c r="C224" s="15" t="n"/>
      <c r="D224" s="15" t="n"/>
      <c r="E224">
        <f>IFERROR(INDEX('הגדרות'!$D$143:$D$224,MATCH(B224&amp;G224&amp;C224,'הגדרות'!$A$143:$A$224&amp;'הגדרות'!$B$143:$B$224&amp;'הגדרות'!$C$143:$C$224,0)),"")</f>
        <v/>
      </c>
      <c r="F224" s="16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15" t="n"/>
      <c r="V224" s="15" t="n"/>
      <c r="W224" s="15" t="n"/>
      <c r="X224" s="15" t="n"/>
      <c r="Y224" s="15" t="n"/>
      <c r="Z224" s="15" t="n"/>
      <c r="AA224" s="15" t="n"/>
      <c r="AB224" s="16" t="n"/>
      <c r="AC224" s="15" t="n"/>
      <c r="AD224" s="15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15" t="n"/>
      <c r="B225" s="15" t="n"/>
      <c r="C225" s="15" t="n"/>
      <c r="D225" s="15" t="n"/>
      <c r="E225">
        <f>IFERROR(INDEX('הגדרות'!$D$143:$D$224,MATCH(B225&amp;G225&amp;C225,'הגדרות'!$A$143:$A$224&amp;'הגדרות'!$B$143:$B$224&amp;'הגדרות'!$C$143:$C$224,0)),"")</f>
        <v/>
      </c>
      <c r="F225" s="16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15" t="n"/>
      <c r="V225" s="15" t="n"/>
      <c r="W225" s="15" t="n"/>
      <c r="X225" s="15" t="n"/>
      <c r="Y225" s="15" t="n"/>
      <c r="Z225" s="15" t="n"/>
      <c r="AA225" s="15" t="n"/>
      <c r="AB225" s="16" t="n"/>
      <c r="AC225" s="15" t="n"/>
      <c r="AD225" s="15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15" t="n"/>
      <c r="B226" s="15" t="n"/>
      <c r="C226" s="15" t="n"/>
      <c r="D226" s="15" t="n"/>
      <c r="E226">
        <f>IFERROR(INDEX('הגדרות'!$D$143:$D$224,MATCH(B226&amp;G226&amp;C226,'הגדרות'!$A$143:$A$224&amp;'הגדרות'!$B$143:$B$224&amp;'הגדרות'!$C$143:$C$224,0)),"")</f>
        <v/>
      </c>
      <c r="F226" s="16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15" t="n"/>
      <c r="V226" s="15" t="n"/>
      <c r="W226" s="15" t="n"/>
      <c r="X226" s="15" t="n"/>
      <c r="Y226" s="15" t="n"/>
      <c r="Z226" s="15" t="n"/>
      <c r="AA226" s="15" t="n"/>
      <c r="AB226" s="16" t="n"/>
      <c r="AC226" s="15" t="n"/>
      <c r="AD226" s="15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15" t="n"/>
      <c r="B227" s="15" t="n"/>
      <c r="C227" s="15" t="n"/>
      <c r="D227" s="15" t="n"/>
      <c r="E227">
        <f>IFERROR(INDEX('הגדרות'!$D$143:$D$224,MATCH(B227&amp;G227&amp;C227,'הגדרות'!$A$143:$A$224&amp;'הגדרות'!$B$143:$B$224&amp;'הגדרות'!$C$143:$C$224,0)),"")</f>
        <v/>
      </c>
      <c r="F227" s="16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15" t="n"/>
      <c r="V227" s="15" t="n"/>
      <c r="W227" s="15" t="n"/>
      <c r="X227" s="15" t="n"/>
      <c r="Y227" s="15" t="n"/>
      <c r="Z227" s="15" t="n"/>
      <c r="AA227" s="15" t="n"/>
      <c r="AB227" s="16" t="n"/>
      <c r="AC227" s="15" t="n"/>
      <c r="AD227" s="15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15" t="n"/>
      <c r="B228" s="15" t="n"/>
      <c r="C228" s="15" t="n"/>
      <c r="D228" s="15" t="n"/>
      <c r="E228">
        <f>IFERROR(INDEX('הגדרות'!$D$143:$D$224,MATCH(B228&amp;G228&amp;C228,'הגדרות'!$A$143:$A$224&amp;'הגדרות'!$B$143:$B$224&amp;'הגדרות'!$C$143:$C$224,0)),"")</f>
        <v/>
      </c>
      <c r="F228" s="16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15" t="n"/>
      <c r="V228" s="15" t="n"/>
      <c r="W228" s="15" t="n"/>
      <c r="X228" s="15" t="n"/>
      <c r="Y228" s="15" t="n"/>
      <c r="Z228" s="15" t="n"/>
      <c r="AA228" s="15" t="n"/>
      <c r="AB228" s="16" t="n"/>
      <c r="AC228" s="15" t="n"/>
      <c r="AD228" s="15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15" t="n"/>
      <c r="B229" s="15" t="n"/>
      <c r="C229" s="15" t="n"/>
      <c r="D229" s="15" t="n"/>
      <c r="E229">
        <f>IFERROR(INDEX('הגדרות'!$D$143:$D$224,MATCH(B229&amp;G229&amp;C229,'הגדרות'!$A$143:$A$224&amp;'הגדרות'!$B$143:$B$224&amp;'הגדרות'!$C$143:$C$224,0)),"")</f>
        <v/>
      </c>
      <c r="F229" s="16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15" t="n"/>
      <c r="V229" s="15" t="n"/>
      <c r="W229" s="15" t="n"/>
      <c r="X229" s="15" t="n"/>
      <c r="Y229" s="15" t="n"/>
      <c r="Z229" s="15" t="n"/>
      <c r="AA229" s="15" t="n"/>
      <c r="AB229" s="16" t="n"/>
      <c r="AC229" s="15" t="n"/>
      <c r="AD229" s="15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15" t="n"/>
      <c r="B230" s="15" t="n"/>
      <c r="C230" s="15" t="n"/>
      <c r="D230" s="15" t="n"/>
      <c r="E230">
        <f>IFERROR(INDEX('הגדרות'!$D$143:$D$224,MATCH(B230&amp;G230&amp;C230,'הגדרות'!$A$143:$A$224&amp;'הגדרות'!$B$143:$B$224&amp;'הגדרות'!$C$143:$C$224,0)),"")</f>
        <v/>
      </c>
      <c r="F230" s="16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15" t="n"/>
      <c r="V230" s="15" t="n"/>
      <c r="W230" s="15" t="n"/>
      <c r="X230" s="15" t="n"/>
      <c r="Y230" s="15" t="n"/>
      <c r="Z230" s="15" t="n"/>
      <c r="AA230" s="15" t="n"/>
      <c r="AB230" s="16" t="n"/>
      <c r="AC230" s="15" t="n"/>
      <c r="AD230" s="15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15" t="n"/>
      <c r="B231" s="15" t="n"/>
      <c r="C231" s="15" t="n"/>
      <c r="D231" s="15" t="n"/>
      <c r="E231">
        <f>IFERROR(INDEX('הגדרות'!$D$143:$D$224,MATCH(B231&amp;G231&amp;C231,'הגדרות'!$A$143:$A$224&amp;'הגדרות'!$B$143:$B$224&amp;'הגדרות'!$C$143:$C$224,0)),"")</f>
        <v/>
      </c>
      <c r="F231" s="16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15" t="n"/>
      <c r="V231" s="15" t="n"/>
      <c r="W231" s="15" t="n"/>
      <c r="X231" s="15" t="n"/>
      <c r="Y231" s="15" t="n"/>
      <c r="Z231" s="15" t="n"/>
      <c r="AA231" s="15" t="n"/>
      <c r="AB231" s="16" t="n"/>
      <c r="AC231" s="15" t="n"/>
      <c r="AD231" s="15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15" t="n"/>
      <c r="B232" s="15" t="n"/>
      <c r="C232" s="15" t="n"/>
      <c r="D232" s="15" t="n"/>
      <c r="E232">
        <f>IFERROR(INDEX('הגדרות'!$D$143:$D$224,MATCH(B232&amp;G232&amp;C232,'הגדרות'!$A$143:$A$224&amp;'הגדרות'!$B$143:$B$224&amp;'הגדרות'!$C$143:$C$224,0)),"")</f>
        <v/>
      </c>
      <c r="F232" s="16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15" t="n"/>
      <c r="V232" s="15" t="n"/>
      <c r="W232" s="15" t="n"/>
      <c r="X232" s="15" t="n"/>
      <c r="Y232" s="15" t="n"/>
      <c r="Z232" s="15" t="n"/>
      <c r="AA232" s="15" t="n"/>
      <c r="AB232" s="16" t="n"/>
      <c r="AC232" s="15" t="n"/>
      <c r="AD232" s="15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15" t="n"/>
      <c r="B233" s="15" t="n"/>
      <c r="C233" s="15" t="n"/>
      <c r="D233" s="15" t="n"/>
      <c r="E233">
        <f>IFERROR(INDEX('הגדרות'!$D$143:$D$224,MATCH(B233&amp;G233&amp;C233,'הגדרות'!$A$143:$A$224&amp;'הגדרות'!$B$143:$B$224&amp;'הגדרות'!$C$143:$C$224,0)),"")</f>
        <v/>
      </c>
      <c r="F233" s="16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15" t="n"/>
      <c r="V233" s="15" t="n"/>
      <c r="W233" s="15" t="n"/>
      <c r="X233" s="15" t="n"/>
      <c r="Y233" s="15" t="n"/>
      <c r="Z233" s="15" t="n"/>
      <c r="AA233" s="15" t="n"/>
      <c r="AB233" s="16" t="n"/>
      <c r="AC233" s="15" t="n"/>
      <c r="AD233" s="15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15" t="n"/>
      <c r="B234" s="15" t="n"/>
      <c r="C234" s="15" t="n"/>
      <c r="D234" s="15" t="n"/>
      <c r="E234">
        <f>IFERROR(INDEX('הגדרות'!$D$143:$D$224,MATCH(B234&amp;G234&amp;C234,'הגדרות'!$A$143:$A$224&amp;'הגדרות'!$B$143:$B$224&amp;'הגדרות'!$C$143:$C$224,0)),"")</f>
        <v/>
      </c>
      <c r="F234" s="16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15" t="n"/>
      <c r="V234" s="15" t="n"/>
      <c r="W234" s="15" t="n"/>
      <c r="X234" s="15" t="n"/>
      <c r="Y234" s="15" t="n"/>
      <c r="Z234" s="15" t="n"/>
      <c r="AA234" s="15" t="n"/>
      <c r="AB234" s="16" t="n"/>
      <c r="AC234" s="15" t="n"/>
      <c r="AD234" s="15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15" t="n"/>
      <c r="B235" s="15" t="n"/>
      <c r="C235" s="15" t="n"/>
      <c r="D235" s="15" t="n"/>
      <c r="E235">
        <f>IFERROR(INDEX('הגדרות'!$D$143:$D$224,MATCH(B235&amp;G235&amp;C235,'הגדרות'!$A$143:$A$224&amp;'הגדרות'!$B$143:$B$224&amp;'הגדרות'!$C$143:$C$224,0)),"")</f>
        <v/>
      </c>
      <c r="F235" s="16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15" t="n"/>
      <c r="V235" s="15" t="n"/>
      <c r="W235" s="15" t="n"/>
      <c r="X235" s="15" t="n"/>
      <c r="Y235" s="15" t="n"/>
      <c r="Z235" s="15" t="n"/>
      <c r="AA235" s="15" t="n"/>
      <c r="AB235" s="16" t="n"/>
      <c r="AC235" s="15" t="n"/>
      <c r="AD235" s="15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15" t="n"/>
      <c r="B236" s="15" t="n"/>
      <c r="C236" s="15" t="n"/>
      <c r="D236" s="15" t="n"/>
      <c r="E236">
        <f>IFERROR(INDEX('הגדרות'!$D$143:$D$224,MATCH(B236&amp;G236&amp;C236,'הגדרות'!$A$143:$A$224&amp;'הגדרות'!$B$143:$B$224&amp;'הגדרות'!$C$143:$C$224,0)),"")</f>
        <v/>
      </c>
      <c r="F236" s="16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15" t="n"/>
      <c r="V236" s="15" t="n"/>
      <c r="W236" s="15" t="n"/>
      <c r="X236" s="15" t="n"/>
      <c r="Y236" s="15" t="n"/>
      <c r="Z236" s="15" t="n"/>
      <c r="AA236" s="15" t="n"/>
      <c r="AB236" s="16" t="n"/>
      <c r="AC236" s="15" t="n"/>
      <c r="AD236" s="15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15" t="n"/>
      <c r="B237" s="15" t="n"/>
      <c r="C237" s="15" t="n"/>
      <c r="D237" s="15" t="n"/>
      <c r="E237">
        <f>IFERROR(INDEX('הגדרות'!$D$143:$D$224,MATCH(B237&amp;G237&amp;C237,'הגדרות'!$A$143:$A$224&amp;'הגדרות'!$B$143:$B$224&amp;'הגדרות'!$C$143:$C$224,0)),"")</f>
        <v/>
      </c>
      <c r="F237" s="16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15" t="n"/>
      <c r="V237" s="15" t="n"/>
      <c r="W237" s="15" t="n"/>
      <c r="X237" s="15" t="n"/>
      <c r="Y237" s="15" t="n"/>
      <c r="Z237" s="15" t="n"/>
      <c r="AA237" s="15" t="n"/>
      <c r="AB237" s="16" t="n"/>
      <c r="AC237" s="15" t="n"/>
      <c r="AD237" s="15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15" t="n"/>
      <c r="B238" s="15" t="n"/>
      <c r="C238" s="15" t="n"/>
      <c r="D238" s="15" t="n"/>
      <c r="E238">
        <f>IFERROR(INDEX('הגדרות'!$D$143:$D$224,MATCH(B238&amp;G238&amp;C238,'הגדרות'!$A$143:$A$224&amp;'הגדרות'!$B$143:$B$224&amp;'הגדרות'!$C$143:$C$224,0)),"")</f>
        <v/>
      </c>
      <c r="F238" s="16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15" t="n"/>
      <c r="V238" s="15" t="n"/>
      <c r="W238" s="15" t="n"/>
      <c r="X238" s="15" t="n"/>
      <c r="Y238" s="15" t="n"/>
      <c r="Z238" s="15" t="n"/>
      <c r="AA238" s="15" t="n"/>
      <c r="AB238" s="16" t="n"/>
      <c r="AC238" s="15" t="n"/>
      <c r="AD238" s="15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15" t="n"/>
      <c r="B239" s="15" t="n"/>
      <c r="C239" s="15" t="n"/>
      <c r="D239" s="15" t="n"/>
      <c r="E239">
        <f>IFERROR(INDEX('הגדרות'!$D$143:$D$224,MATCH(B239&amp;G239&amp;C239,'הגדרות'!$A$143:$A$224&amp;'הגדרות'!$B$143:$B$224&amp;'הגדרות'!$C$143:$C$224,0)),"")</f>
        <v/>
      </c>
      <c r="F239" s="16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15" t="n"/>
      <c r="V239" s="15" t="n"/>
      <c r="W239" s="15" t="n"/>
      <c r="X239" s="15" t="n"/>
      <c r="Y239" s="15" t="n"/>
      <c r="Z239" s="15" t="n"/>
      <c r="AA239" s="15" t="n"/>
      <c r="AB239" s="16" t="n"/>
      <c r="AC239" s="15" t="n"/>
      <c r="AD239" s="15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15" t="n"/>
      <c r="B240" s="15" t="n"/>
      <c r="C240" s="15" t="n"/>
      <c r="D240" s="15" t="n"/>
      <c r="E240">
        <f>IFERROR(INDEX('הגדרות'!$D$143:$D$224,MATCH(B240&amp;G240&amp;C240,'הגדרות'!$A$143:$A$224&amp;'הגדרות'!$B$143:$B$224&amp;'הגדרות'!$C$143:$C$224,0)),"")</f>
        <v/>
      </c>
      <c r="F240" s="16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15" t="n"/>
      <c r="V240" s="15" t="n"/>
      <c r="W240" s="15" t="n"/>
      <c r="X240" s="15" t="n"/>
      <c r="Y240" s="15" t="n"/>
      <c r="Z240" s="15" t="n"/>
      <c r="AA240" s="15" t="n"/>
      <c r="AB240" s="16" t="n"/>
      <c r="AC240" s="15" t="n"/>
      <c r="AD240" s="15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15" t="n"/>
      <c r="B241" s="15" t="n"/>
      <c r="C241" s="15" t="n"/>
      <c r="D241" s="15" t="n"/>
      <c r="E241">
        <f>IFERROR(INDEX('הגדרות'!$D$143:$D$224,MATCH(B241&amp;G241&amp;C241,'הגדרות'!$A$143:$A$224&amp;'הגדרות'!$B$143:$B$224&amp;'הגדרות'!$C$143:$C$224,0)),"")</f>
        <v/>
      </c>
      <c r="F241" s="16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15" t="n"/>
      <c r="V241" s="15" t="n"/>
      <c r="W241" s="15" t="n"/>
      <c r="X241" s="15" t="n"/>
      <c r="Y241" s="15" t="n"/>
      <c r="Z241" s="15" t="n"/>
      <c r="AA241" s="15" t="n"/>
      <c r="AB241" s="16" t="n"/>
      <c r="AC241" s="15" t="n"/>
      <c r="AD241" s="15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15" t="n"/>
      <c r="B242" s="15" t="n"/>
      <c r="C242" s="15" t="n"/>
      <c r="D242" s="15" t="n"/>
      <c r="E242">
        <f>IFERROR(INDEX('הגדרות'!$D$143:$D$224,MATCH(B242&amp;G242&amp;C242,'הגדרות'!$A$143:$A$224&amp;'הגדרות'!$B$143:$B$224&amp;'הגדרות'!$C$143:$C$224,0)),"")</f>
        <v/>
      </c>
      <c r="F242" s="16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15" t="n"/>
      <c r="V242" s="15" t="n"/>
      <c r="W242" s="15" t="n"/>
      <c r="X242" s="15" t="n"/>
      <c r="Y242" s="15" t="n"/>
      <c r="Z242" s="15" t="n"/>
      <c r="AA242" s="15" t="n"/>
      <c r="AB242" s="16" t="n"/>
      <c r="AC242" s="15" t="n"/>
      <c r="AD242" s="15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15" t="n"/>
      <c r="B243" s="15" t="n"/>
      <c r="C243" s="15" t="n"/>
      <c r="D243" s="15" t="n"/>
      <c r="E243">
        <f>IFERROR(INDEX('הגדרות'!$D$143:$D$224,MATCH(B243&amp;G243&amp;C243,'הגדרות'!$A$143:$A$224&amp;'הגדרות'!$B$143:$B$224&amp;'הגדרות'!$C$143:$C$224,0)),"")</f>
        <v/>
      </c>
      <c r="F243" s="16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15" t="n"/>
      <c r="V243" s="15" t="n"/>
      <c r="W243" s="15" t="n"/>
      <c r="X243" s="15" t="n"/>
      <c r="Y243" s="15" t="n"/>
      <c r="Z243" s="15" t="n"/>
      <c r="AA243" s="15" t="n"/>
      <c r="AB243" s="16" t="n"/>
      <c r="AC243" s="15" t="n"/>
      <c r="AD243" s="15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15" t="n"/>
      <c r="B244" s="15" t="n"/>
      <c r="C244" s="15" t="n"/>
      <c r="D244" s="15" t="n"/>
      <c r="E244">
        <f>IFERROR(INDEX('הגדרות'!$D$143:$D$224,MATCH(B244&amp;G244&amp;C244,'הגדרות'!$A$143:$A$224&amp;'הגדרות'!$B$143:$B$224&amp;'הגדרות'!$C$143:$C$224,0)),"")</f>
        <v/>
      </c>
      <c r="F244" s="16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15" t="n"/>
      <c r="V244" s="15" t="n"/>
      <c r="W244" s="15" t="n"/>
      <c r="X244" s="15" t="n"/>
      <c r="Y244" s="15" t="n"/>
      <c r="Z244" s="15" t="n"/>
      <c r="AA244" s="15" t="n"/>
      <c r="AB244" s="16" t="n"/>
      <c r="AC244" s="15" t="n"/>
      <c r="AD244" s="15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15" t="n"/>
      <c r="B245" s="15" t="n"/>
      <c r="C245" s="15" t="n"/>
      <c r="D245" s="15" t="n"/>
      <c r="E245">
        <f>IFERROR(INDEX('הגדרות'!$D$143:$D$224,MATCH(B245&amp;G245&amp;C245,'הגדרות'!$A$143:$A$224&amp;'הגדרות'!$B$143:$B$224&amp;'הגדרות'!$C$143:$C$224,0)),"")</f>
        <v/>
      </c>
      <c r="F245" s="16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15" t="n"/>
      <c r="V245" s="15" t="n"/>
      <c r="W245" s="15" t="n"/>
      <c r="X245" s="15" t="n"/>
      <c r="Y245" s="15" t="n"/>
      <c r="Z245" s="15" t="n"/>
      <c r="AA245" s="15" t="n"/>
      <c r="AB245" s="16" t="n"/>
      <c r="AC245" s="15" t="n"/>
      <c r="AD245" s="15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15" t="n"/>
      <c r="B246" s="15" t="n"/>
      <c r="C246" s="15" t="n"/>
      <c r="D246" s="15" t="n"/>
      <c r="E246">
        <f>IFERROR(INDEX('הגדרות'!$D$143:$D$224,MATCH(B246&amp;G246&amp;C246,'הגדרות'!$A$143:$A$224&amp;'הגדרות'!$B$143:$B$224&amp;'הגדרות'!$C$143:$C$224,0)),"")</f>
        <v/>
      </c>
      <c r="F246" s="16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15" t="n"/>
      <c r="V246" s="15" t="n"/>
      <c r="W246" s="15" t="n"/>
      <c r="X246" s="15" t="n"/>
      <c r="Y246" s="15" t="n"/>
      <c r="Z246" s="15" t="n"/>
      <c r="AA246" s="15" t="n"/>
      <c r="AB246" s="16" t="n"/>
      <c r="AC246" s="15" t="n"/>
      <c r="AD246" s="15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15" t="n"/>
      <c r="B247" s="15" t="n"/>
      <c r="C247" s="15" t="n"/>
      <c r="D247" s="15" t="n"/>
      <c r="E247">
        <f>IFERROR(INDEX('הגדרות'!$D$143:$D$224,MATCH(B247&amp;G247&amp;C247,'הגדרות'!$A$143:$A$224&amp;'הגדרות'!$B$143:$B$224&amp;'הגדרות'!$C$143:$C$224,0)),"")</f>
        <v/>
      </c>
      <c r="F247" s="16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15" t="n"/>
      <c r="V247" s="15" t="n"/>
      <c r="W247" s="15" t="n"/>
      <c r="X247" s="15" t="n"/>
      <c r="Y247" s="15" t="n"/>
      <c r="Z247" s="15" t="n"/>
      <c r="AA247" s="15" t="n"/>
      <c r="AB247" s="16" t="n"/>
      <c r="AC247" s="15" t="n"/>
      <c r="AD247" s="15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15" t="n"/>
      <c r="B248" s="15" t="n"/>
      <c r="C248" s="15" t="n"/>
      <c r="D248" s="15" t="n"/>
      <c r="E248">
        <f>IFERROR(INDEX('הגדרות'!$D$143:$D$224,MATCH(B248&amp;G248&amp;C248,'הגדרות'!$A$143:$A$224&amp;'הגדרות'!$B$143:$B$224&amp;'הגדרות'!$C$143:$C$224,0)),"")</f>
        <v/>
      </c>
      <c r="F248" s="16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15" t="n"/>
      <c r="V248" s="15" t="n"/>
      <c r="W248" s="15" t="n"/>
      <c r="X248" s="15" t="n"/>
      <c r="Y248" s="15" t="n"/>
      <c r="Z248" s="15" t="n"/>
      <c r="AA248" s="15" t="n"/>
      <c r="AB248" s="16" t="n"/>
      <c r="AC248" s="15" t="n"/>
      <c r="AD248" s="15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15" t="n"/>
      <c r="B249" s="15" t="n"/>
      <c r="C249" s="15" t="n"/>
      <c r="D249" s="15" t="n"/>
      <c r="E249">
        <f>IFERROR(INDEX('הגדרות'!$D$143:$D$224,MATCH(B249&amp;G249&amp;C249,'הגדרות'!$A$143:$A$224&amp;'הגדרות'!$B$143:$B$224&amp;'הגדרות'!$C$143:$C$224,0)),"")</f>
        <v/>
      </c>
      <c r="F249" s="16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15" t="n"/>
      <c r="V249" s="15" t="n"/>
      <c r="W249" s="15" t="n"/>
      <c r="X249" s="15" t="n"/>
      <c r="Y249" s="15" t="n"/>
      <c r="Z249" s="15" t="n"/>
      <c r="AA249" s="15" t="n"/>
      <c r="AB249" s="16" t="n"/>
      <c r="AC249" s="15" t="n"/>
      <c r="AD249" s="15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15" t="n"/>
      <c r="B250" s="15" t="n"/>
      <c r="C250" s="15" t="n"/>
      <c r="D250" s="15" t="n"/>
      <c r="E250">
        <f>IFERROR(INDEX('הגדרות'!$D$143:$D$224,MATCH(B250&amp;G250&amp;C250,'הגדרות'!$A$143:$A$224&amp;'הגדרות'!$B$143:$B$224&amp;'הגדרות'!$C$143:$C$224,0)),"")</f>
        <v/>
      </c>
      <c r="F250" s="16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15" t="n"/>
      <c r="V250" s="15" t="n"/>
      <c r="W250" s="15" t="n"/>
      <c r="X250" s="15" t="n"/>
      <c r="Y250" s="15" t="n"/>
      <c r="Z250" s="15" t="n"/>
      <c r="AA250" s="15" t="n"/>
      <c r="AB250" s="16" t="n"/>
      <c r="AC250" s="15" t="n"/>
      <c r="AD250" s="15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15" t="n"/>
      <c r="B251" s="15" t="n"/>
      <c r="C251" s="15" t="n"/>
      <c r="D251" s="15" t="n"/>
      <c r="E251">
        <f>IFERROR(INDEX('הגדרות'!$D$143:$D$224,MATCH(B251&amp;G251&amp;C251,'הגדרות'!$A$143:$A$224&amp;'הגדרות'!$B$143:$B$224&amp;'הגדרות'!$C$143:$C$224,0)),"")</f>
        <v/>
      </c>
      <c r="F251" s="16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15" t="n"/>
      <c r="V251" s="15" t="n"/>
      <c r="W251" s="15" t="n"/>
      <c r="X251" s="15" t="n"/>
      <c r="Y251" s="15" t="n"/>
      <c r="Z251" s="15" t="n"/>
      <c r="AA251" s="15" t="n"/>
      <c r="AB251" s="16" t="n"/>
      <c r="AC251" s="15" t="n"/>
      <c r="AD251" s="15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15" t="n"/>
      <c r="B252" s="15" t="n"/>
      <c r="C252" s="15" t="n"/>
      <c r="D252" s="15" t="n"/>
      <c r="E252">
        <f>IFERROR(INDEX('הגדרות'!$D$143:$D$224,MATCH(B252&amp;G252&amp;C252,'הגדרות'!$A$143:$A$224&amp;'הגדרות'!$B$143:$B$224&amp;'הגדרות'!$C$143:$C$224,0)),"")</f>
        <v/>
      </c>
      <c r="F252" s="16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15" t="n"/>
      <c r="V252" s="15" t="n"/>
      <c r="W252" s="15" t="n"/>
      <c r="X252" s="15" t="n"/>
      <c r="Y252" s="15" t="n"/>
      <c r="Z252" s="15" t="n"/>
      <c r="AA252" s="15" t="n"/>
      <c r="AB252" s="16" t="n"/>
      <c r="AC252" s="15" t="n"/>
      <c r="AD252" s="15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15" t="n"/>
      <c r="B253" s="15" t="n"/>
      <c r="C253" s="15" t="n"/>
      <c r="D253" s="15" t="n"/>
      <c r="E253">
        <f>IFERROR(INDEX('הגדרות'!$D$143:$D$224,MATCH(B253&amp;G253&amp;C253,'הגדרות'!$A$143:$A$224&amp;'הגדרות'!$B$143:$B$224&amp;'הגדרות'!$C$143:$C$224,0)),"")</f>
        <v/>
      </c>
      <c r="F253" s="16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15" t="n"/>
      <c r="V253" s="15" t="n"/>
      <c r="W253" s="15" t="n"/>
      <c r="X253" s="15" t="n"/>
      <c r="Y253" s="15" t="n"/>
      <c r="Z253" s="15" t="n"/>
      <c r="AA253" s="15" t="n"/>
      <c r="AB253" s="16" t="n"/>
      <c r="AC253" s="15" t="n"/>
      <c r="AD253" s="15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15" t="n"/>
      <c r="B254" s="15" t="n"/>
      <c r="C254" s="15" t="n"/>
      <c r="D254" s="15" t="n"/>
      <c r="E254">
        <f>IFERROR(INDEX('הגדרות'!$D$143:$D$224,MATCH(B254&amp;G254&amp;C254,'הגדרות'!$A$143:$A$224&amp;'הגדרות'!$B$143:$B$224&amp;'הגדרות'!$C$143:$C$224,0)),"")</f>
        <v/>
      </c>
      <c r="F254" s="16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15" t="n"/>
      <c r="V254" s="15" t="n"/>
      <c r="W254" s="15" t="n"/>
      <c r="X254" s="15" t="n"/>
      <c r="Y254" s="15" t="n"/>
      <c r="Z254" s="15" t="n"/>
      <c r="AA254" s="15" t="n"/>
      <c r="AB254" s="16" t="n"/>
      <c r="AC254" s="15" t="n"/>
      <c r="AD254" s="15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15" t="n"/>
      <c r="B255" s="15" t="n"/>
      <c r="C255" s="15" t="n"/>
      <c r="D255" s="15" t="n"/>
      <c r="E255">
        <f>IFERROR(INDEX('הגדרות'!$D$143:$D$224,MATCH(B255&amp;G255&amp;C255,'הגדרות'!$A$143:$A$224&amp;'הגדרות'!$B$143:$B$224&amp;'הגדרות'!$C$143:$C$224,0)),"")</f>
        <v/>
      </c>
      <c r="F255" s="16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15" t="n"/>
      <c r="V255" s="15" t="n"/>
      <c r="W255" s="15" t="n"/>
      <c r="X255" s="15" t="n"/>
      <c r="Y255" s="15" t="n"/>
      <c r="Z255" s="15" t="n"/>
      <c r="AA255" s="15" t="n"/>
      <c r="AB255" s="16" t="n"/>
      <c r="AC255" s="15" t="n"/>
      <c r="AD255" s="15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15" t="n"/>
      <c r="B256" s="15" t="n"/>
      <c r="C256" s="15" t="n"/>
      <c r="D256" s="15" t="n"/>
      <c r="E256">
        <f>IFERROR(INDEX('הגדרות'!$D$143:$D$224,MATCH(B256&amp;G256&amp;C256,'הגדרות'!$A$143:$A$224&amp;'הגדרות'!$B$143:$B$224&amp;'הגדרות'!$C$143:$C$224,0)),"")</f>
        <v/>
      </c>
      <c r="F256" s="16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15" t="n"/>
      <c r="V256" s="15" t="n"/>
      <c r="W256" s="15" t="n"/>
      <c r="X256" s="15" t="n"/>
      <c r="Y256" s="15" t="n"/>
      <c r="Z256" s="15" t="n"/>
      <c r="AA256" s="15" t="n"/>
      <c r="AB256" s="16" t="n"/>
      <c r="AC256" s="15" t="n"/>
      <c r="AD256" s="15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15" t="n"/>
      <c r="B257" s="15" t="n"/>
      <c r="C257" s="15" t="n"/>
      <c r="D257" s="15" t="n"/>
      <c r="E257">
        <f>IFERROR(INDEX('הגדרות'!$D$143:$D$224,MATCH(B257&amp;G257&amp;C257,'הגדרות'!$A$143:$A$224&amp;'הגדרות'!$B$143:$B$224&amp;'הגדרות'!$C$143:$C$224,0)),"")</f>
        <v/>
      </c>
      <c r="F257" s="16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15" t="n"/>
      <c r="V257" s="15" t="n"/>
      <c r="W257" s="15" t="n"/>
      <c r="X257" s="15" t="n"/>
      <c r="Y257" s="15" t="n"/>
      <c r="Z257" s="15" t="n"/>
      <c r="AA257" s="15" t="n"/>
      <c r="AB257" s="16" t="n"/>
      <c r="AC257" s="15" t="n"/>
      <c r="AD257" s="15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15" t="n"/>
      <c r="B258" s="15" t="n"/>
      <c r="C258" s="15" t="n"/>
      <c r="D258" s="15" t="n"/>
      <c r="E258">
        <f>IFERROR(INDEX('הגדרות'!$D$143:$D$224,MATCH(B258&amp;G258&amp;C258,'הגדרות'!$A$143:$A$224&amp;'הגדרות'!$B$143:$B$224&amp;'הגדרות'!$C$143:$C$224,0)),"")</f>
        <v/>
      </c>
      <c r="F258" s="16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15" t="n"/>
      <c r="V258" s="15" t="n"/>
      <c r="W258" s="15" t="n"/>
      <c r="X258" s="15" t="n"/>
      <c r="Y258" s="15" t="n"/>
      <c r="Z258" s="15" t="n"/>
      <c r="AA258" s="15" t="n"/>
      <c r="AB258" s="16" t="n"/>
      <c r="AC258" s="15" t="n"/>
      <c r="AD258" s="15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15" t="n"/>
      <c r="B259" s="15" t="n"/>
      <c r="C259" s="15" t="n"/>
      <c r="D259" s="15" t="n"/>
      <c r="E259">
        <f>IFERROR(INDEX('הגדרות'!$D$143:$D$224,MATCH(B259&amp;G259&amp;C259,'הגדרות'!$A$143:$A$224&amp;'הגדרות'!$B$143:$B$224&amp;'הגדרות'!$C$143:$C$224,0)),"")</f>
        <v/>
      </c>
      <c r="F259" s="16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15" t="n"/>
      <c r="V259" s="15" t="n"/>
      <c r="W259" s="15" t="n"/>
      <c r="X259" s="15" t="n"/>
      <c r="Y259" s="15" t="n"/>
      <c r="Z259" s="15" t="n"/>
      <c r="AA259" s="15" t="n"/>
      <c r="AB259" s="16" t="n"/>
      <c r="AC259" s="15" t="n"/>
      <c r="AD259" s="15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15" t="n"/>
      <c r="B260" s="15" t="n"/>
      <c r="C260" s="15" t="n"/>
      <c r="D260" s="15" t="n"/>
      <c r="E260">
        <f>IFERROR(INDEX('הגדרות'!$D$143:$D$224,MATCH(B260&amp;G260&amp;C260,'הגדרות'!$A$143:$A$224&amp;'הגדרות'!$B$143:$B$224&amp;'הגדרות'!$C$143:$C$224,0)),"")</f>
        <v/>
      </c>
      <c r="F260" s="16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15" t="n"/>
      <c r="V260" s="15" t="n"/>
      <c r="W260" s="15" t="n"/>
      <c r="X260" s="15" t="n"/>
      <c r="Y260" s="15" t="n"/>
      <c r="Z260" s="15" t="n"/>
      <c r="AA260" s="15" t="n"/>
      <c r="AB260" s="16" t="n"/>
      <c r="AC260" s="15" t="n"/>
      <c r="AD260" s="15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15" t="n"/>
      <c r="B261" s="15" t="n"/>
      <c r="C261" s="15" t="n"/>
      <c r="D261" s="15" t="n"/>
      <c r="E261">
        <f>IFERROR(INDEX('הגדרות'!$D$143:$D$224,MATCH(B261&amp;G261&amp;C261,'הגדרות'!$A$143:$A$224&amp;'הגדרות'!$B$143:$B$224&amp;'הגדרות'!$C$143:$C$224,0)),"")</f>
        <v/>
      </c>
      <c r="F261" s="16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15" t="n"/>
      <c r="V261" s="15" t="n"/>
      <c r="W261" s="15" t="n"/>
      <c r="X261" s="15" t="n"/>
      <c r="Y261" s="15" t="n"/>
      <c r="Z261" s="15" t="n"/>
      <c r="AA261" s="15" t="n"/>
      <c r="AB261" s="16" t="n"/>
      <c r="AC261" s="15" t="n"/>
      <c r="AD261" s="15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15" t="n"/>
      <c r="B262" s="15" t="n"/>
      <c r="C262" s="15" t="n"/>
      <c r="D262" s="15" t="n"/>
      <c r="E262">
        <f>IFERROR(INDEX('הגדרות'!$D$143:$D$224,MATCH(B262&amp;G262&amp;C262,'הגדרות'!$A$143:$A$224&amp;'הגדרות'!$B$143:$B$224&amp;'הגדרות'!$C$143:$C$224,0)),"")</f>
        <v/>
      </c>
      <c r="F262" s="16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15" t="n"/>
      <c r="V262" s="15" t="n"/>
      <c r="W262" s="15" t="n"/>
      <c r="X262" s="15" t="n"/>
      <c r="Y262" s="15" t="n"/>
      <c r="Z262" s="15" t="n"/>
      <c r="AA262" s="15" t="n"/>
      <c r="AB262" s="16" t="n"/>
      <c r="AC262" s="15" t="n"/>
      <c r="AD262" s="15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15" t="n"/>
      <c r="B263" s="15" t="n"/>
      <c r="C263" s="15" t="n"/>
      <c r="D263" s="15" t="n"/>
      <c r="E263">
        <f>IFERROR(INDEX('הגדרות'!$D$143:$D$224,MATCH(B263&amp;G263&amp;C263,'הגדרות'!$A$143:$A$224&amp;'הגדרות'!$B$143:$B$224&amp;'הגדרות'!$C$143:$C$224,0)),"")</f>
        <v/>
      </c>
      <c r="F263" s="16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15" t="n"/>
      <c r="V263" s="15" t="n"/>
      <c r="W263" s="15" t="n"/>
      <c r="X263" s="15" t="n"/>
      <c r="Y263" s="15" t="n"/>
      <c r="Z263" s="15" t="n"/>
      <c r="AA263" s="15" t="n"/>
      <c r="AB263" s="16" t="n"/>
      <c r="AC263" s="15" t="n"/>
      <c r="AD263" s="15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15" t="n"/>
      <c r="B264" s="15" t="n"/>
      <c r="C264" s="15" t="n"/>
      <c r="D264" s="15" t="n"/>
      <c r="E264">
        <f>IFERROR(INDEX('הגדרות'!$D$143:$D$224,MATCH(B264&amp;G264&amp;C264,'הגדרות'!$A$143:$A$224&amp;'הגדרות'!$B$143:$B$224&amp;'הגדרות'!$C$143:$C$224,0)),"")</f>
        <v/>
      </c>
      <c r="F264" s="16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15" t="n"/>
      <c r="V264" s="15" t="n"/>
      <c r="W264" s="15" t="n"/>
      <c r="X264" s="15" t="n"/>
      <c r="Y264" s="15" t="n"/>
      <c r="Z264" s="15" t="n"/>
      <c r="AA264" s="15" t="n"/>
      <c r="AB264" s="16" t="n"/>
      <c r="AC264" s="15" t="n"/>
      <c r="AD264" s="15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15" t="n"/>
      <c r="B265" s="15" t="n"/>
      <c r="C265" s="15" t="n"/>
      <c r="D265" s="15" t="n"/>
      <c r="E265">
        <f>IFERROR(INDEX('הגדרות'!$D$143:$D$224,MATCH(B265&amp;G265&amp;C265,'הגדרות'!$A$143:$A$224&amp;'הגדרות'!$B$143:$B$224&amp;'הגדרות'!$C$143:$C$224,0)),"")</f>
        <v/>
      </c>
      <c r="F265" s="16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15" t="n"/>
      <c r="V265" s="15" t="n"/>
      <c r="W265" s="15" t="n"/>
      <c r="X265" s="15" t="n"/>
      <c r="Y265" s="15" t="n"/>
      <c r="Z265" s="15" t="n"/>
      <c r="AA265" s="15" t="n"/>
      <c r="AB265" s="16" t="n"/>
      <c r="AC265" s="15" t="n"/>
      <c r="AD265" s="15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15" t="n"/>
      <c r="B266" s="15" t="n"/>
      <c r="C266" s="15" t="n"/>
      <c r="D266" s="15" t="n"/>
      <c r="E266">
        <f>IFERROR(INDEX('הגדרות'!$D$143:$D$224,MATCH(B266&amp;G266&amp;C266,'הגדרות'!$A$143:$A$224&amp;'הגדרות'!$B$143:$B$224&amp;'הגדרות'!$C$143:$C$224,0)),"")</f>
        <v/>
      </c>
      <c r="F266" s="16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15" t="n"/>
      <c r="V266" s="15" t="n"/>
      <c r="W266" s="15" t="n"/>
      <c r="X266" s="15" t="n"/>
      <c r="Y266" s="15" t="n"/>
      <c r="Z266" s="15" t="n"/>
      <c r="AA266" s="15" t="n"/>
      <c r="AB266" s="16" t="n"/>
      <c r="AC266" s="15" t="n"/>
      <c r="AD266" s="15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15" t="n"/>
      <c r="B267" s="15" t="n"/>
      <c r="C267" s="15" t="n"/>
      <c r="D267" s="15" t="n"/>
      <c r="E267">
        <f>IFERROR(INDEX('הגדרות'!$D$143:$D$224,MATCH(B267&amp;G267&amp;C267,'הגדרות'!$A$143:$A$224&amp;'הגדרות'!$B$143:$B$224&amp;'הגדרות'!$C$143:$C$224,0)),"")</f>
        <v/>
      </c>
      <c r="F267" s="16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15" t="n"/>
      <c r="V267" s="15" t="n"/>
      <c r="W267" s="15" t="n"/>
      <c r="X267" s="15" t="n"/>
      <c r="Y267" s="15" t="n"/>
      <c r="Z267" s="15" t="n"/>
      <c r="AA267" s="15" t="n"/>
      <c r="AB267" s="16" t="n"/>
      <c r="AC267" s="15" t="n"/>
      <c r="AD267" s="15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15" t="n"/>
      <c r="B268" s="15" t="n"/>
      <c r="C268" s="15" t="n"/>
      <c r="D268" s="15" t="n"/>
      <c r="E268">
        <f>IFERROR(INDEX('הגדרות'!$D$143:$D$224,MATCH(B268&amp;G268&amp;C268,'הגדרות'!$A$143:$A$224&amp;'הגדרות'!$B$143:$B$224&amp;'הגדרות'!$C$143:$C$224,0)),"")</f>
        <v/>
      </c>
      <c r="F268" s="16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15" t="n"/>
      <c r="V268" s="15" t="n"/>
      <c r="W268" s="15" t="n"/>
      <c r="X268" s="15" t="n"/>
      <c r="Y268" s="15" t="n"/>
      <c r="Z268" s="15" t="n"/>
      <c r="AA268" s="15" t="n"/>
      <c r="AB268" s="16" t="n"/>
      <c r="AC268" s="15" t="n"/>
      <c r="AD268" s="15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15" t="n"/>
      <c r="B269" s="15" t="n"/>
      <c r="C269" s="15" t="n"/>
      <c r="D269" s="15" t="n"/>
      <c r="E269">
        <f>IFERROR(INDEX('הגדרות'!$D$143:$D$224,MATCH(B269&amp;G269&amp;C269,'הגדרות'!$A$143:$A$224&amp;'הגדרות'!$B$143:$B$224&amp;'הגדרות'!$C$143:$C$224,0)),"")</f>
        <v/>
      </c>
      <c r="F269" s="16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15" t="n"/>
      <c r="V269" s="15" t="n"/>
      <c r="W269" s="15" t="n"/>
      <c r="X269" s="15" t="n"/>
      <c r="Y269" s="15" t="n"/>
      <c r="Z269" s="15" t="n"/>
      <c r="AA269" s="15" t="n"/>
      <c r="AB269" s="16" t="n"/>
      <c r="AC269" s="15" t="n"/>
      <c r="AD269" s="15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15" t="n"/>
      <c r="B270" s="15" t="n"/>
      <c r="C270" s="15" t="n"/>
      <c r="D270" s="15" t="n"/>
      <c r="E270">
        <f>IFERROR(INDEX('הגדרות'!$D$143:$D$224,MATCH(B270&amp;G270&amp;C270,'הגדרות'!$A$143:$A$224&amp;'הגדרות'!$B$143:$B$224&amp;'הגדרות'!$C$143:$C$224,0)),"")</f>
        <v/>
      </c>
      <c r="F270" s="16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15" t="n"/>
      <c r="V270" s="15" t="n"/>
      <c r="W270" s="15" t="n"/>
      <c r="X270" s="15" t="n"/>
      <c r="Y270" s="15" t="n"/>
      <c r="Z270" s="15" t="n"/>
      <c r="AA270" s="15" t="n"/>
      <c r="AB270" s="16" t="n"/>
      <c r="AC270" s="15" t="n"/>
      <c r="AD270" s="15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15" t="n"/>
      <c r="B271" s="15" t="n"/>
      <c r="C271" s="15" t="n"/>
      <c r="D271" s="15" t="n"/>
      <c r="E271">
        <f>IFERROR(INDEX('הגדרות'!$D$143:$D$224,MATCH(B271&amp;G271&amp;C271,'הגדרות'!$A$143:$A$224&amp;'הגדרות'!$B$143:$B$224&amp;'הגדרות'!$C$143:$C$224,0)),"")</f>
        <v/>
      </c>
      <c r="F271" s="16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15" t="n"/>
      <c r="V271" s="15" t="n"/>
      <c r="W271" s="15" t="n"/>
      <c r="X271" s="15" t="n"/>
      <c r="Y271" s="15" t="n"/>
      <c r="Z271" s="15" t="n"/>
      <c r="AA271" s="15" t="n"/>
      <c r="AB271" s="16" t="n"/>
      <c r="AC271" s="15" t="n"/>
      <c r="AD271" s="15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15" t="n"/>
      <c r="B272" s="15" t="n"/>
      <c r="C272" s="15" t="n"/>
      <c r="D272" s="15" t="n"/>
      <c r="E272">
        <f>IFERROR(INDEX('הגדרות'!$D$143:$D$224,MATCH(B272&amp;G272&amp;C272,'הגדרות'!$A$143:$A$224&amp;'הגדרות'!$B$143:$B$224&amp;'הגדרות'!$C$143:$C$224,0)),"")</f>
        <v/>
      </c>
      <c r="F272" s="16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15" t="n"/>
      <c r="V272" s="15" t="n"/>
      <c r="W272" s="15" t="n"/>
      <c r="X272" s="15" t="n"/>
      <c r="Y272" s="15" t="n"/>
      <c r="Z272" s="15" t="n"/>
      <c r="AA272" s="15" t="n"/>
      <c r="AB272" s="16" t="n"/>
      <c r="AC272" s="15" t="n"/>
      <c r="AD272" s="15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15" t="n"/>
      <c r="B273" s="15" t="n"/>
      <c r="C273" s="15" t="n"/>
      <c r="D273" s="15" t="n"/>
      <c r="E273">
        <f>IFERROR(INDEX('הגדרות'!$D$143:$D$224,MATCH(B273&amp;G273&amp;C273,'הגדרות'!$A$143:$A$224&amp;'הגדרות'!$B$143:$B$224&amp;'הגדרות'!$C$143:$C$224,0)),"")</f>
        <v/>
      </c>
      <c r="F273" s="16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15" t="n"/>
      <c r="V273" s="15" t="n"/>
      <c r="W273" s="15" t="n"/>
      <c r="X273" s="15" t="n"/>
      <c r="Y273" s="15" t="n"/>
      <c r="Z273" s="15" t="n"/>
      <c r="AA273" s="15" t="n"/>
      <c r="AB273" s="16" t="n"/>
      <c r="AC273" s="15" t="n"/>
      <c r="AD273" s="15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15" t="n"/>
      <c r="B274" s="15" t="n"/>
      <c r="C274" s="15" t="n"/>
      <c r="D274" s="15" t="n"/>
      <c r="E274">
        <f>IFERROR(INDEX('הגדרות'!$D$143:$D$224,MATCH(B274&amp;G274&amp;C274,'הגדרות'!$A$143:$A$224&amp;'הגדרות'!$B$143:$B$224&amp;'הגדרות'!$C$143:$C$224,0)),"")</f>
        <v/>
      </c>
      <c r="F274" s="16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15" t="n"/>
      <c r="V274" s="15" t="n"/>
      <c r="W274" s="15" t="n"/>
      <c r="X274" s="15" t="n"/>
      <c r="Y274" s="15" t="n"/>
      <c r="Z274" s="15" t="n"/>
      <c r="AA274" s="15" t="n"/>
      <c r="AB274" s="16" t="n"/>
      <c r="AC274" s="15" t="n"/>
      <c r="AD274" s="15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15" t="n"/>
      <c r="B275" s="15" t="n"/>
      <c r="C275" s="15" t="n"/>
      <c r="D275" s="15" t="n"/>
      <c r="E275">
        <f>IFERROR(INDEX('הגדרות'!$D$143:$D$224,MATCH(B275&amp;G275&amp;C275,'הגדרות'!$A$143:$A$224&amp;'הגדרות'!$B$143:$B$224&amp;'הגדרות'!$C$143:$C$224,0)),"")</f>
        <v/>
      </c>
      <c r="F275" s="16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15" t="n"/>
      <c r="V275" s="15" t="n"/>
      <c r="W275" s="15" t="n"/>
      <c r="X275" s="15" t="n"/>
      <c r="Y275" s="15" t="n"/>
      <c r="Z275" s="15" t="n"/>
      <c r="AA275" s="15" t="n"/>
      <c r="AB275" s="16" t="n"/>
      <c r="AC275" s="15" t="n"/>
      <c r="AD275" s="15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15" t="n"/>
      <c r="B276" s="15" t="n"/>
      <c r="C276" s="15" t="n"/>
      <c r="D276" s="15" t="n"/>
      <c r="E276">
        <f>IFERROR(INDEX('הגדרות'!$D$143:$D$224,MATCH(B276&amp;G276&amp;C276,'הגדרות'!$A$143:$A$224&amp;'הגדרות'!$B$143:$B$224&amp;'הגדרות'!$C$143:$C$224,0)),"")</f>
        <v/>
      </c>
      <c r="F276" s="16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15" t="n"/>
      <c r="V276" s="15" t="n"/>
      <c r="W276" s="15" t="n"/>
      <c r="X276" s="15" t="n"/>
      <c r="Y276" s="15" t="n"/>
      <c r="Z276" s="15" t="n"/>
      <c r="AA276" s="15" t="n"/>
      <c r="AB276" s="16" t="n"/>
      <c r="AC276" s="15" t="n"/>
      <c r="AD276" s="15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15" t="n"/>
      <c r="B277" s="15" t="n"/>
      <c r="C277" s="15" t="n"/>
      <c r="D277" s="15" t="n"/>
      <c r="E277">
        <f>IFERROR(INDEX('הגדרות'!$D$143:$D$224,MATCH(B277&amp;G277&amp;C277,'הגדרות'!$A$143:$A$224&amp;'הגדרות'!$B$143:$B$224&amp;'הגדרות'!$C$143:$C$224,0)),"")</f>
        <v/>
      </c>
      <c r="F277" s="16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15" t="n"/>
      <c r="V277" s="15" t="n"/>
      <c r="W277" s="15" t="n"/>
      <c r="X277" s="15" t="n"/>
      <c r="Y277" s="15" t="n"/>
      <c r="Z277" s="15" t="n"/>
      <c r="AA277" s="15" t="n"/>
      <c r="AB277" s="16" t="n"/>
      <c r="AC277" s="15" t="n"/>
      <c r="AD277" s="15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15" t="n"/>
      <c r="B278" s="15" t="n"/>
      <c r="C278" s="15" t="n"/>
      <c r="D278" s="15" t="n"/>
      <c r="E278">
        <f>IFERROR(INDEX('הגדרות'!$D$143:$D$224,MATCH(B278&amp;G278&amp;C278,'הגדרות'!$A$143:$A$224&amp;'הגדרות'!$B$143:$B$224&amp;'הגדרות'!$C$143:$C$224,0)),"")</f>
        <v/>
      </c>
      <c r="F278" s="16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15" t="n"/>
      <c r="V278" s="15" t="n"/>
      <c r="W278" s="15" t="n"/>
      <c r="X278" s="15" t="n"/>
      <c r="Y278" s="15" t="n"/>
      <c r="Z278" s="15" t="n"/>
      <c r="AA278" s="15" t="n"/>
      <c r="AB278" s="16" t="n"/>
      <c r="AC278" s="15" t="n"/>
      <c r="AD278" s="15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15" t="n"/>
      <c r="B279" s="15" t="n"/>
      <c r="C279" s="15" t="n"/>
      <c r="D279" s="15" t="n"/>
      <c r="E279">
        <f>IFERROR(INDEX('הגדרות'!$D$143:$D$224,MATCH(B279&amp;G279&amp;C279,'הגדרות'!$A$143:$A$224&amp;'הגדרות'!$B$143:$B$224&amp;'הגדרות'!$C$143:$C$224,0)),"")</f>
        <v/>
      </c>
      <c r="F279" s="16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15" t="n"/>
      <c r="V279" s="15" t="n"/>
      <c r="W279" s="15" t="n"/>
      <c r="X279" s="15" t="n"/>
      <c r="Y279" s="15" t="n"/>
      <c r="Z279" s="15" t="n"/>
      <c r="AA279" s="15" t="n"/>
      <c r="AB279" s="16" t="n"/>
      <c r="AC279" s="15" t="n"/>
      <c r="AD279" s="15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15" t="n"/>
      <c r="B280" s="15" t="n"/>
      <c r="C280" s="15" t="n"/>
      <c r="D280" s="15" t="n"/>
      <c r="E280">
        <f>IFERROR(INDEX('הגדרות'!$D$143:$D$224,MATCH(B280&amp;G280&amp;C280,'הגדרות'!$A$143:$A$224&amp;'הגדרות'!$B$143:$B$224&amp;'הגדרות'!$C$143:$C$224,0)),"")</f>
        <v/>
      </c>
      <c r="F280" s="16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15" t="n"/>
      <c r="V280" s="15" t="n"/>
      <c r="W280" s="15" t="n"/>
      <c r="X280" s="15" t="n"/>
      <c r="Y280" s="15" t="n"/>
      <c r="Z280" s="15" t="n"/>
      <c r="AA280" s="15" t="n"/>
      <c r="AB280" s="16" t="n"/>
      <c r="AC280" s="15" t="n"/>
      <c r="AD280" s="15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15" t="n"/>
      <c r="B281" s="15" t="n"/>
      <c r="C281" s="15" t="n"/>
      <c r="D281" s="15" t="n"/>
      <c r="E281">
        <f>IFERROR(INDEX('הגדרות'!$D$143:$D$224,MATCH(B281&amp;G281&amp;C281,'הגדרות'!$A$143:$A$224&amp;'הגדרות'!$B$143:$B$224&amp;'הגדרות'!$C$143:$C$224,0)),"")</f>
        <v/>
      </c>
      <c r="F281" s="16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15" t="n"/>
      <c r="V281" s="15" t="n"/>
      <c r="W281" s="15" t="n"/>
      <c r="X281" s="15" t="n"/>
      <c r="Y281" s="15" t="n"/>
      <c r="Z281" s="15" t="n"/>
      <c r="AA281" s="15" t="n"/>
      <c r="AB281" s="16" t="n"/>
      <c r="AC281" s="15" t="n"/>
      <c r="AD281" s="15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15" t="n"/>
      <c r="B282" s="15" t="n"/>
      <c r="C282" s="15" t="n"/>
      <c r="D282" s="15" t="n"/>
      <c r="E282">
        <f>IFERROR(INDEX('הגדרות'!$D$143:$D$224,MATCH(B282&amp;G282&amp;C282,'הגדרות'!$A$143:$A$224&amp;'הגדרות'!$B$143:$B$224&amp;'הגדרות'!$C$143:$C$224,0)),"")</f>
        <v/>
      </c>
      <c r="F282" s="16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15" t="n"/>
      <c r="V282" s="15" t="n"/>
      <c r="W282" s="15" t="n"/>
      <c r="X282" s="15" t="n"/>
      <c r="Y282" s="15" t="n"/>
      <c r="Z282" s="15" t="n"/>
      <c r="AA282" s="15" t="n"/>
      <c r="AB282" s="16" t="n"/>
      <c r="AC282" s="15" t="n"/>
      <c r="AD282" s="15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15" t="n"/>
      <c r="B283" s="15" t="n"/>
      <c r="C283" s="15" t="n"/>
      <c r="D283" s="15" t="n"/>
      <c r="E283">
        <f>IFERROR(INDEX('הגדרות'!$D$143:$D$224,MATCH(B283&amp;G283&amp;C283,'הגדרות'!$A$143:$A$224&amp;'הגדרות'!$B$143:$B$224&amp;'הגדרות'!$C$143:$C$224,0)),"")</f>
        <v/>
      </c>
      <c r="F283" s="16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15" t="n"/>
      <c r="V283" s="15" t="n"/>
      <c r="W283" s="15" t="n"/>
      <c r="X283" s="15" t="n"/>
      <c r="Y283" s="15" t="n"/>
      <c r="Z283" s="15" t="n"/>
      <c r="AA283" s="15" t="n"/>
      <c r="AB283" s="16" t="n"/>
      <c r="AC283" s="15" t="n"/>
      <c r="AD283" s="15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15" t="n"/>
      <c r="B284" s="15" t="n"/>
      <c r="C284" s="15" t="n"/>
      <c r="D284" s="15" t="n"/>
      <c r="E284">
        <f>IFERROR(INDEX('הגדרות'!$D$143:$D$224,MATCH(B284&amp;G284&amp;C284,'הגדרות'!$A$143:$A$224&amp;'הגדרות'!$B$143:$B$224&amp;'הגדרות'!$C$143:$C$224,0)),"")</f>
        <v/>
      </c>
      <c r="F284" s="16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15" t="n"/>
      <c r="V284" s="15" t="n"/>
      <c r="W284" s="15" t="n"/>
      <c r="X284" s="15" t="n"/>
      <c r="Y284" s="15" t="n"/>
      <c r="Z284" s="15" t="n"/>
      <c r="AA284" s="15" t="n"/>
      <c r="AB284" s="16" t="n"/>
      <c r="AC284" s="15" t="n"/>
      <c r="AD284" s="15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15" t="n"/>
      <c r="B285" s="15" t="n"/>
      <c r="C285" s="15" t="n"/>
      <c r="D285" s="15" t="n"/>
      <c r="E285">
        <f>IFERROR(INDEX('הגדרות'!$D$143:$D$224,MATCH(B285&amp;G285&amp;C285,'הגדרות'!$A$143:$A$224&amp;'הגדרות'!$B$143:$B$224&amp;'הגדרות'!$C$143:$C$224,0)),"")</f>
        <v/>
      </c>
      <c r="F285" s="16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15" t="n"/>
      <c r="V285" s="15" t="n"/>
      <c r="W285" s="15" t="n"/>
      <c r="X285" s="15" t="n"/>
      <c r="Y285" s="15" t="n"/>
      <c r="Z285" s="15" t="n"/>
      <c r="AA285" s="15" t="n"/>
      <c r="AB285" s="16" t="n"/>
      <c r="AC285" s="15" t="n"/>
      <c r="AD285" s="15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15" t="n"/>
      <c r="B286" s="15" t="n"/>
      <c r="C286" s="15" t="n"/>
      <c r="D286" s="15" t="n"/>
      <c r="E286">
        <f>IFERROR(INDEX('הגדרות'!$D$143:$D$224,MATCH(B286&amp;G286&amp;C286,'הגדרות'!$A$143:$A$224&amp;'הגדרות'!$B$143:$B$224&amp;'הגדרות'!$C$143:$C$224,0)),"")</f>
        <v/>
      </c>
      <c r="F286" s="16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15" t="n"/>
      <c r="V286" s="15" t="n"/>
      <c r="W286" s="15" t="n"/>
      <c r="X286" s="15" t="n"/>
      <c r="Y286" s="15" t="n"/>
      <c r="Z286" s="15" t="n"/>
      <c r="AA286" s="15" t="n"/>
      <c r="AB286" s="16" t="n"/>
      <c r="AC286" s="15" t="n"/>
      <c r="AD286" s="15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15" t="n"/>
      <c r="B287" s="15" t="n"/>
      <c r="C287" s="15" t="n"/>
      <c r="D287" s="15" t="n"/>
      <c r="E287">
        <f>IFERROR(INDEX('הגדרות'!$D$143:$D$224,MATCH(B287&amp;G287&amp;C287,'הגדרות'!$A$143:$A$224&amp;'הגדרות'!$B$143:$B$224&amp;'הגדרות'!$C$143:$C$224,0)),"")</f>
        <v/>
      </c>
      <c r="F287" s="16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15" t="n"/>
      <c r="V287" s="15" t="n"/>
      <c r="W287" s="15" t="n"/>
      <c r="X287" s="15" t="n"/>
      <c r="Y287" s="15" t="n"/>
      <c r="Z287" s="15" t="n"/>
      <c r="AA287" s="15" t="n"/>
      <c r="AB287" s="16" t="n"/>
      <c r="AC287" s="15" t="n"/>
      <c r="AD287" s="15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15" t="n"/>
      <c r="B288" s="15" t="n"/>
      <c r="C288" s="15" t="n"/>
      <c r="D288" s="15" t="n"/>
      <c r="E288">
        <f>IFERROR(INDEX('הגדרות'!$D$143:$D$224,MATCH(B288&amp;G288&amp;C288,'הגדרות'!$A$143:$A$224&amp;'הגדרות'!$B$143:$B$224&amp;'הגדרות'!$C$143:$C$224,0)),"")</f>
        <v/>
      </c>
      <c r="F288" s="16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15" t="n"/>
      <c r="V288" s="15" t="n"/>
      <c r="W288" s="15" t="n"/>
      <c r="X288" s="15" t="n"/>
      <c r="Y288" s="15" t="n"/>
      <c r="Z288" s="15" t="n"/>
      <c r="AA288" s="15" t="n"/>
      <c r="AB288" s="16" t="n"/>
      <c r="AC288" s="15" t="n"/>
      <c r="AD288" s="15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15" t="n"/>
      <c r="B289" s="15" t="n"/>
      <c r="C289" s="15" t="n"/>
      <c r="D289" s="15" t="n"/>
      <c r="E289">
        <f>IFERROR(INDEX('הגדרות'!$D$143:$D$224,MATCH(B289&amp;G289&amp;C289,'הגדרות'!$A$143:$A$224&amp;'הגדרות'!$B$143:$B$224&amp;'הגדרות'!$C$143:$C$224,0)),"")</f>
        <v/>
      </c>
      <c r="F289" s="16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15" t="n"/>
      <c r="V289" s="15" t="n"/>
      <c r="W289" s="15" t="n"/>
      <c r="X289" s="15" t="n"/>
      <c r="Y289" s="15" t="n"/>
      <c r="Z289" s="15" t="n"/>
      <c r="AA289" s="15" t="n"/>
      <c r="AB289" s="16" t="n"/>
      <c r="AC289" s="15" t="n"/>
      <c r="AD289" s="15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15" t="n"/>
      <c r="B290" s="15" t="n"/>
      <c r="C290" s="15" t="n"/>
      <c r="D290" s="15" t="n"/>
      <c r="E290">
        <f>IFERROR(INDEX('הגדרות'!$D$143:$D$224,MATCH(B290&amp;G290&amp;C290,'הגדרות'!$A$143:$A$224&amp;'הגדרות'!$B$143:$B$224&amp;'הגדרות'!$C$143:$C$224,0)),"")</f>
        <v/>
      </c>
      <c r="F290" s="16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15" t="n"/>
      <c r="V290" s="15" t="n"/>
      <c r="W290" s="15" t="n"/>
      <c r="X290" s="15" t="n"/>
      <c r="Y290" s="15" t="n"/>
      <c r="Z290" s="15" t="n"/>
      <c r="AA290" s="15" t="n"/>
      <c r="AB290" s="16" t="n"/>
      <c r="AC290" s="15" t="n"/>
      <c r="AD290" s="15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15" t="n"/>
      <c r="B291" s="15" t="n"/>
      <c r="C291" s="15" t="n"/>
      <c r="D291" s="15" t="n"/>
      <c r="E291">
        <f>IFERROR(INDEX('הגדרות'!$D$143:$D$224,MATCH(B291&amp;G291&amp;C291,'הגדרות'!$A$143:$A$224&amp;'הגדרות'!$B$143:$B$224&amp;'הגדרות'!$C$143:$C$224,0)),"")</f>
        <v/>
      </c>
      <c r="F291" s="16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15" t="n"/>
      <c r="V291" s="15" t="n"/>
      <c r="W291" s="15" t="n"/>
      <c r="X291" s="15" t="n"/>
      <c r="Y291" s="15" t="n"/>
      <c r="Z291" s="15" t="n"/>
      <c r="AA291" s="15" t="n"/>
      <c r="AB291" s="16" t="n"/>
      <c r="AC291" s="15" t="n"/>
      <c r="AD291" s="15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15" t="n"/>
      <c r="B292" s="15" t="n"/>
      <c r="C292" s="15" t="n"/>
      <c r="D292" s="15" t="n"/>
      <c r="E292">
        <f>IFERROR(INDEX('הגדרות'!$D$143:$D$224,MATCH(B292&amp;G292&amp;C292,'הגדרות'!$A$143:$A$224&amp;'הגדרות'!$B$143:$B$224&amp;'הגדרות'!$C$143:$C$224,0)),"")</f>
        <v/>
      </c>
      <c r="F292" s="16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15" t="n"/>
      <c r="V292" s="15" t="n"/>
      <c r="W292" s="15" t="n"/>
      <c r="X292" s="15" t="n"/>
      <c r="Y292" s="15" t="n"/>
      <c r="Z292" s="15" t="n"/>
      <c r="AA292" s="15" t="n"/>
      <c r="AB292" s="16" t="n"/>
      <c r="AC292" s="15" t="n"/>
      <c r="AD292" s="15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15" t="n"/>
      <c r="B293" s="15" t="n"/>
      <c r="C293" s="15" t="n"/>
      <c r="D293" s="15" t="n"/>
      <c r="E293">
        <f>IFERROR(INDEX('הגדרות'!$D$143:$D$224,MATCH(B293&amp;G293&amp;C293,'הגדרות'!$A$143:$A$224&amp;'הגדרות'!$B$143:$B$224&amp;'הגדרות'!$C$143:$C$224,0)),"")</f>
        <v/>
      </c>
      <c r="F293" s="16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15" t="n"/>
      <c r="V293" s="15" t="n"/>
      <c r="W293" s="15" t="n"/>
      <c r="X293" s="15" t="n"/>
      <c r="Y293" s="15" t="n"/>
      <c r="Z293" s="15" t="n"/>
      <c r="AA293" s="15" t="n"/>
      <c r="AB293" s="16" t="n"/>
      <c r="AC293" s="15" t="n"/>
      <c r="AD293" s="15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15" t="n"/>
      <c r="B294" s="15" t="n"/>
      <c r="C294" s="15" t="n"/>
      <c r="D294" s="15" t="n"/>
      <c r="E294">
        <f>IFERROR(INDEX('הגדרות'!$D$143:$D$224,MATCH(B294&amp;G294&amp;C294,'הגדרות'!$A$143:$A$224&amp;'הגדרות'!$B$143:$B$224&amp;'הגדרות'!$C$143:$C$224,0)),"")</f>
        <v/>
      </c>
      <c r="F294" s="16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15" t="n"/>
      <c r="V294" s="15" t="n"/>
      <c r="W294" s="15" t="n"/>
      <c r="X294" s="15" t="n"/>
      <c r="Y294" s="15" t="n"/>
      <c r="Z294" s="15" t="n"/>
      <c r="AA294" s="15" t="n"/>
      <c r="AB294" s="16" t="n"/>
      <c r="AC294" s="15" t="n"/>
      <c r="AD294" s="15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15" t="n"/>
      <c r="B295" s="15" t="n"/>
      <c r="C295" s="15" t="n"/>
      <c r="D295" s="15" t="n"/>
      <c r="E295">
        <f>IFERROR(INDEX('הגדרות'!$D$143:$D$224,MATCH(B295&amp;G295&amp;C295,'הגדרות'!$A$143:$A$224&amp;'הגדרות'!$B$143:$B$224&amp;'הגדרות'!$C$143:$C$224,0)),"")</f>
        <v/>
      </c>
      <c r="F295" s="16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15" t="n"/>
      <c r="V295" s="15" t="n"/>
      <c r="W295" s="15" t="n"/>
      <c r="X295" s="15" t="n"/>
      <c r="Y295" s="15" t="n"/>
      <c r="Z295" s="15" t="n"/>
      <c r="AA295" s="15" t="n"/>
      <c r="AB295" s="16" t="n"/>
      <c r="AC295" s="15" t="n"/>
      <c r="AD295" s="15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15" t="n"/>
      <c r="B296" s="15" t="n"/>
      <c r="C296" s="15" t="n"/>
      <c r="D296" s="15" t="n"/>
      <c r="E296">
        <f>IFERROR(INDEX('הגדרות'!$D$143:$D$224,MATCH(B296&amp;G296&amp;C296,'הגדרות'!$A$143:$A$224&amp;'הגדרות'!$B$143:$B$224&amp;'הגדרות'!$C$143:$C$224,0)),"")</f>
        <v/>
      </c>
      <c r="F296" s="16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15" t="n"/>
      <c r="V296" s="15" t="n"/>
      <c r="W296" s="15" t="n"/>
      <c r="X296" s="15" t="n"/>
      <c r="Y296" s="15" t="n"/>
      <c r="Z296" s="15" t="n"/>
      <c r="AA296" s="15" t="n"/>
      <c r="AB296" s="16" t="n"/>
      <c r="AC296" s="15" t="n"/>
      <c r="AD296" s="15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15" t="n"/>
      <c r="B297" s="15" t="n"/>
      <c r="C297" s="15" t="n"/>
      <c r="D297" s="15" t="n"/>
      <c r="E297">
        <f>IFERROR(INDEX('הגדרות'!$D$143:$D$224,MATCH(B297&amp;G297&amp;C297,'הגדרות'!$A$143:$A$224&amp;'הגדרות'!$B$143:$B$224&amp;'הגדרות'!$C$143:$C$224,0)),"")</f>
        <v/>
      </c>
      <c r="F297" s="16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15" t="n"/>
      <c r="V297" s="15" t="n"/>
      <c r="W297" s="15" t="n"/>
      <c r="X297" s="15" t="n"/>
      <c r="Y297" s="15" t="n"/>
      <c r="Z297" s="15" t="n"/>
      <c r="AA297" s="15" t="n"/>
      <c r="AB297" s="16" t="n"/>
      <c r="AC297" s="15" t="n"/>
      <c r="AD297" s="15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15" t="n"/>
      <c r="B298" s="15" t="n"/>
      <c r="C298" s="15" t="n"/>
      <c r="D298" s="15" t="n"/>
      <c r="E298">
        <f>IFERROR(INDEX('הגדרות'!$D$143:$D$224,MATCH(B298&amp;G298&amp;C298,'הגדרות'!$A$143:$A$224&amp;'הגדרות'!$B$143:$B$224&amp;'הגדרות'!$C$143:$C$224,0)),"")</f>
        <v/>
      </c>
      <c r="F298" s="16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15" t="n"/>
      <c r="V298" s="15" t="n"/>
      <c r="W298" s="15" t="n"/>
      <c r="X298" s="15" t="n"/>
      <c r="Y298" s="15" t="n"/>
      <c r="Z298" s="15" t="n"/>
      <c r="AA298" s="15" t="n"/>
      <c r="AB298" s="16" t="n"/>
      <c r="AC298" s="15" t="n"/>
      <c r="AD298" s="15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15" t="n"/>
      <c r="B299" s="15" t="n"/>
      <c r="C299" s="15" t="n"/>
      <c r="D299" s="15" t="n"/>
      <c r="E299">
        <f>IFERROR(INDEX('הגדרות'!$D$143:$D$224,MATCH(B299&amp;G299&amp;C299,'הגדרות'!$A$143:$A$224&amp;'הגדרות'!$B$143:$B$224&amp;'הגדרות'!$C$143:$C$224,0)),"")</f>
        <v/>
      </c>
      <c r="F299" s="16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15" t="n"/>
      <c r="V299" s="15" t="n"/>
      <c r="W299" s="15" t="n"/>
      <c r="X299" s="15" t="n"/>
      <c r="Y299" s="15" t="n"/>
      <c r="Z299" s="15" t="n"/>
      <c r="AA299" s="15" t="n"/>
      <c r="AB299" s="16" t="n"/>
      <c r="AC299" s="15" t="n"/>
      <c r="AD299" s="15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15" t="n"/>
      <c r="B300" s="15" t="n"/>
      <c r="C300" s="15" t="n"/>
      <c r="D300" s="15" t="n"/>
      <c r="E300">
        <f>IFERROR(INDEX('הגדרות'!$D$143:$D$224,MATCH(B300&amp;G300&amp;C300,'הגדרות'!$A$143:$A$224&amp;'הגדרות'!$B$143:$B$224&amp;'הגדרות'!$C$143:$C$224,0)),"")</f>
        <v/>
      </c>
      <c r="F300" s="16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15" t="n"/>
      <c r="V300" s="15" t="n"/>
      <c r="W300" s="15" t="n"/>
      <c r="X300" s="15" t="n"/>
      <c r="Y300" s="15" t="n"/>
      <c r="Z300" s="15" t="n"/>
      <c r="AA300" s="15" t="n"/>
      <c r="AB300" s="16" t="n"/>
      <c r="AC300" s="15" t="n"/>
      <c r="AD300" s="15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15" t="n"/>
      <c r="B301" s="15" t="n"/>
      <c r="C301" s="15" t="n"/>
      <c r="D301" s="15" t="n"/>
      <c r="E301">
        <f>IFERROR(INDEX('הגדרות'!$D$143:$D$224,MATCH(B301&amp;G301&amp;C301,'הגדרות'!$A$143:$A$224&amp;'הגדרות'!$B$143:$B$224&amp;'הגדרות'!$C$143:$C$224,0)),"")</f>
        <v/>
      </c>
      <c r="F301" s="16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15" t="n"/>
      <c r="V301" s="15" t="n"/>
      <c r="W301" s="15" t="n"/>
      <c r="X301" s="15" t="n"/>
      <c r="Y301" s="15" t="n"/>
      <c r="Z301" s="15" t="n"/>
      <c r="AA301" s="15" t="n"/>
      <c r="AB301" s="16" t="n"/>
      <c r="AC301" s="15" t="n"/>
      <c r="AD301" s="15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15" t="n"/>
      <c r="B302" s="15" t="n"/>
      <c r="C302" s="15" t="n"/>
      <c r="D302" s="15" t="n"/>
      <c r="E302">
        <f>IFERROR(INDEX('הגדרות'!$D$143:$D$224,MATCH(B302&amp;G302&amp;C302,'הגדרות'!$A$143:$A$224&amp;'הגדרות'!$B$143:$B$224&amp;'הגדרות'!$C$143:$C$224,0)),"")</f>
        <v/>
      </c>
      <c r="F302" s="16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15" t="n"/>
      <c r="V302" s="15" t="n"/>
      <c r="W302" s="15" t="n"/>
      <c r="X302" s="15" t="n"/>
      <c r="Y302" s="15" t="n"/>
      <c r="Z302" s="15" t="n"/>
      <c r="AA302" s="15" t="n"/>
      <c r="AB302" s="16" t="n"/>
      <c r="AC302" s="15" t="n"/>
      <c r="AD302" s="15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15" t="n"/>
      <c r="B303" s="15" t="n"/>
      <c r="C303" s="15" t="n"/>
      <c r="D303" s="15" t="n"/>
      <c r="E303">
        <f>IFERROR(INDEX('הגדרות'!$D$143:$D$224,MATCH(B303&amp;G303&amp;C303,'הגדרות'!$A$143:$A$224&amp;'הגדרות'!$B$143:$B$224&amp;'הגדרות'!$C$143:$C$224,0)),"")</f>
        <v/>
      </c>
      <c r="F303" s="16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15" t="n"/>
      <c r="V303" s="15" t="n"/>
      <c r="W303" s="15" t="n"/>
      <c r="X303" s="15" t="n"/>
      <c r="Y303" s="15" t="n"/>
      <c r="Z303" s="15" t="n"/>
      <c r="AA303" s="15" t="n"/>
      <c r="AB303" s="16" t="n"/>
      <c r="AC303" s="15" t="n"/>
      <c r="AD303" s="15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15" t="n"/>
      <c r="B304" s="15" t="n"/>
      <c r="C304" s="15" t="n"/>
      <c r="D304" s="15" t="n"/>
      <c r="E304">
        <f>IFERROR(INDEX('הגדרות'!$D$143:$D$224,MATCH(B304&amp;G304&amp;C304,'הגדרות'!$A$143:$A$224&amp;'הגדרות'!$B$143:$B$224&amp;'הגדרות'!$C$143:$C$224,0)),"")</f>
        <v/>
      </c>
      <c r="F304" s="16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15" t="n"/>
      <c r="V304" s="15" t="n"/>
      <c r="W304" s="15" t="n"/>
      <c r="X304" s="15" t="n"/>
      <c r="Y304" s="15" t="n"/>
      <c r="Z304" s="15" t="n"/>
      <c r="AA304" s="15" t="n"/>
      <c r="AB304" s="16" t="n"/>
      <c r="AC304" s="15" t="n"/>
      <c r="AD304" s="15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15" t="n"/>
      <c r="B305" s="15" t="n"/>
      <c r="C305" s="15" t="n"/>
      <c r="D305" s="15" t="n"/>
      <c r="E305">
        <f>IFERROR(INDEX('הגדרות'!$D$143:$D$224,MATCH(B305&amp;G305&amp;C305,'הגדרות'!$A$143:$A$224&amp;'הגדרות'!$B$143:$B$224&amp;'הגדרות'!$C$143:$C$224,0)),"")</f>
        <v/>
      </c>
      <c r="F305" s="16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15" t="n"/>
      <c r="V305" s="15" t="n"/>
      <c r="W305" s="15" t="n"/>
      <c r="X305" s="15" t="n"/>
      <c r="Y305" s="15" t="n"/>
      <c r="Z305" s="15" t="n"/>
      <c r="AA305" s="15" t="n"/>
      <c r="AB305" s="16" t="n"/>
      <c r="AC305" s="15" t="n"/>
      <c r="AD305" s="15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15" t="n"/>
      <c r="B306" s="15" t="n"/>
      <c r="C306" s="15" t="n"/>
      <c r="D306" s="15" t="n"/>
      <c r="E306">
        <f>IFERROR(INDEX('הגדרות'!$D$143:$D$224,MATCH(B306&amp;G306&amp;C306,'הגדרות'!$A$143:$A$224&amp;'הגדרות'!$B$143:$B$224&amp;'הגדרות'!$C$143:$C$224,0)),"")</f>
        <v/>
      </c>
      <c r="F306" s="16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15" t="n"/>
      <c r="V306" s="15" t="n"/>
      <c r="W306" s="15" t="n"/>
      <c r="X306" s="15" t="n"/>
      <c r="Y306" s="15" t="n"/>
      <c r="Z306" s="15" t="n"/>
      <c r="AA306" s="15" t="n"/>
      <c r="AB306" s="16" t="n"/>
      <c r="AC306" s="15" t="n"/>
      <c r="AD306" s="15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15" t="n"/>
      <c r="B307" s="15" t="n"/>
      <c r="C307" s="15" t="n"/>
      <c r="D307" s="15" t="n"/>
      <c r="E307">
        <f>IFERROR(INDEX('הגדרות'!$D$143:$D$224,MATCH(B307&amp;G307&amp;C307,'הגדרות'!$A$143:$A$224&amp;'הגדרות'!$B$143:$B$224&amp;'הגדרות'!$C$143:$C$224,0)),"")</f>
        <v/>
      </c>
      <c r="F307" s="16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15" t="n"/>
      <c r="V307" s="15" t="n"/>
      <c r="W307" s="15" t="n"/>
      <c r="X307" s="15" t="n"/>
      <c r="Y307" s="15" t="n"/>
      <c r="Z307" s="15" t="n"/>
      <c r="AA307" s="15" t="n"/>
      <c r="AB307" s="16" t="n"/>
      <c r="AC307" s="15" t="n"/>
      <c r="AD307" s="15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15" t="n"/>
      <c r="B308" s="15" t="n"/>
      <c r="C308" s="15" t="n"/>
      <c r="D308" s="15" t="n"/>
      <c r="E308">
        <f>IFERROR(INDEX('הגדרות'!$D$143:$D$224,MATCH(B308&amp;G308&amp;C308,'הגדרות'!$A$143:$A$224&amp;'הגדרות'!$B$143:$B$224&amp;'הגדרות'!$C$143:$C$224,0)),"")</f>
        <v/>
      </c>
      <c r="F308" s="16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15" t="n"/>
      <c r="V308" s="15" t="n"/>
      <c r="W308" s="15" t="n"/>
      <c r="X308" s="15" t="n"/>
      <c r="Y308" s="15" t="n"/>
      <c r="Z308" s="15" t="n"/>
      <c r="AA308" s="15" t="n"/>
      <c r="AB308" s="16" t="n"/>
      <c r="AC308" s="15" t="n"/>
      <c r="AD308" s="15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15" t="n"/>
      <c r="B309" s="15" t="n"/>
      <c r="C309" s="15" t="n"/>
      <c r="D309" s="15" t="n"/>
      <c r="E309">
        <f>IFERROR(INDEX('הגדרות'!$D$143:$D$224,MATCH(B309&amp;G309&amp;C309,'הגדרות'!$A$143:$A$224&amp;'הגדרות'!$B$143:$B$224&amp;'הגדרות'!$C$143:$C$224,0)),"")</f>
        <v/>
      </c>
      <c r="F309" s="16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15" t="n"/>
      <c r="V309" s="15" t="n"/>
      <c r="W309" s="15" t="n"/>
      <c r="X309" s="15" t="n"/>
      <c r="Y309" s="15" t="n"/>
      <c r="Z309" s="15" t="n"/>
      <c r="AA309" s="15" t="n"/>
      <c r="AB309" s="16" t="n"/>
      <c r="AC309" s="15" t="n"/>
      <c r="AD309" s="15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15" t="n"/>
      <c r="B310" s="15" t="n"/>
      <c r="C310" s="15" t="n"/>
      <c r="D310" s="15" t="n"/>
      <c r="E310">
        <f>IFERROR(INDEX('הגדרות'!$D$143:$D$224,MATCH(B310&amp;G310&amp;C310,'הגדרות'!$A$143:$A$224&amp;'הגדרות'!$B$143:$B$224&amp;'הגדרות'!$C$143:$C$224,0)),"")</f>
        <v/>
      </c>
      <c r="F310" s="16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15" t="n"/>
      <c r="V310" s="15" t="n"/>
      <c r="W310" s="15" t="n"/>
      <c r="X310" s="15" t="n"/>
      <c r="Y310" s="15" t="n"/>
      <c r="Z310" s="15" t="n"/>
      <c r="AA310" s="15" t="n"/>
      <c r="AB310" s="16" t="n"/>
      <c r="AC310" s="15" t="n"/>
      <c r="AD310" s="15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15" t="n"/>
      <c r="B311" s="15" t="n"/>
      <c r="C311" s="15" t="n"/>
      <c r="D311" s="15" t="n"/>
      <c r="E311">
        <f>IFERROR(INDEX('הגדרות'!$D$143:$D$224,MATCH(B311&amp;G311&amp;C311,'הגדרות'!$A$143:$A$224&amp;'הגדרות'!$B$143:$B$224&amp;'הגדרות'!$C$143:$C$224,0)),"")</f>
        <v/>
      </c>
      <c r="F311" s="16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15" t="n"/>
      <c r="V311" s="15" t="n"/>
      <c r="W311" s="15" t="n"/>
      <c r="X311" s="15" t="n"/>
      <c r="Y311" s="15" t="n"/>
      <c r="Z311" s="15" t="n"/>
      <c r="AA311" s="15" t="n"/>
      <c r="AB311" s="16" t="n"/>
      <c r="AC311" s="15" t="n"/>
      <c r="AD311" s="15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15" t="n"/>
      <c r="B312" s="15" t="n"/>
      <c r="C312" s="15" t="n"/>
      <c r="D312" s="15" t="n"/>
      <c r="E312">
        <f>IFERROR(INDEX('הגדרות'!$D$143:$D$224,MATCH(B312&amp;G312&amp;C312,'הגדרות'!$A$143:$A$224&amp;'הגדרות'!$B$143:$B$224&amp;'הגדרות'!$C$143:$C$224,0)),"")</f>
        <v/>
      </c>
      <c r="F312" s="16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15" t="n"/>
      <c r="V312" s="15" t="n"/>
      <c r="W312" s="15" t="n"/>
      <c r="X312" s="15" t="n"/>
      <c r="Y312" s="15" t="n"/>
      <c r="Z312" s="15" t="n"/>
      <c r="AA312" s="15" t="n"/>
      <c r="AB312" s="16" t="n"/>
      <c r="AC312" s="15" t="n"/>
      <c r="AD312" s="15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15" t="n"/>
      <c r="B313" s="15" t="n"/>
      <c r="C313" s="15" t="n"/>
      <c r="D313" s="15" t="n"/>
      <c r="E313">
        <f>IFERROR(INDEX('הגדרות'!$D$143:$D$224,MATCH(B313&amp;G313&amp;C313,'הגדרות'!$A$143:$A$224&amp;'הגדרות'!$B$143:$B$224&amp;'הגדרות'!$C$143:$C$224,0)),"")</f>
        <v/>
      </c>
      <c r="F313" s="16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15" t="n"/>
      <c r="V313" s="15" t="n"/>
      <c r="W313" s="15" t="n"/>
      <c r="X313" s="15" t="n"/>
      <c r="Y313" s="15" t="n"/>
      <c r="Z313" s="15" t="n"/>
      <c r="AA313" s="15" t="n"/>
      <c r="AB313" s="16" t="n"/>
      <c r="AC313" s="15" t="n"/>
      <c r="AD313" s="15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15" t="n"/>
      <c r="B314" s="15" t="n"/>
      <c r="C314" s="15" t="n"/>
      <c r="D314" s="15" t="n"/>
      <c r="E314">
        <f>IFERROR(INDEX('הגדרות'!$D$143:$D$224,MATCH(B314&amp;G314&amp;C314,'הגדרות'!$A$143:$A$224&amp;'הגדרות'!$B$143:$B$224&amp;'הגדרות'!$C$143:$C$224,0)),"")</f>
        <v/>
      </c>
      <c r="F314" s="16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15" t="n"/>
      <c r="V314" s="15" t="n"/>
      <c r="W314" s="15" t="n"/>
      <c r="X314" s="15" t="n"/>
      <c r="Y314" s="15" t="n"/>
      <c r="Z314" s="15" t="n"/>
      <c r="AA314" s="15" t="n"/>
      <c r="AB314" s="16" t="n"/>
      <c r="AC314" s="15" t="n"/>
      <c r="AD314" s="15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15" t="n"/>
      <c r="B315" s="15" t="n"/>
      <c r="C315" s="15" t="n"/>
      <c r="D315" s="15" t="n"/>
      <c r="E315">
        <f>IFERROR(INDEX('הגדרות'!$D$143:$D$224,MATCH(B315&amp;G315&amp;C315,'הגדרות'!$A$143:$A$224&amp;'הגדרות'!$B$143:$B$224&amp;'הגדרות'!$C$143:$C$224,0)),"")</f>
        <v/>
      </c>
      <c r="F315" s="16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15" t="n"/>
      <c r="V315" s="15" t="n"/>
      <c r="W315" s="15" t="n"/>
      <c r="X315" s="15" t="n"/>
      <c r="Y315" s="15" t="n"/>
      <c r="Z315" s="15" t="n"/>
      <c r="AA315" s="15" t="n"/>
      <c r="AB315" s="16" t="n"/>
      <c r="AC315" s="15" t="n"/>
      <c r="AD315" s="15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15" t="n"/>
      <c r="B316" s="15" t="n"/>
      <c r="C316" s="15" t="n"/>
      <c r="D316" s="15" t="n"/>
      <c r="E316">
        <f>IFERROR(INDEX('הגדרות'!$D$143:$D$224,MATCH(B316&amp;G316&amp;C316,'הגדרות'!$A$143:$A$224&amp;'הגדרות'!$B$143:$B$224&amp;'הגדרות'!$C$143:$C$224,0)),"")</f>
        <v/>
      </c>
      <c r="F316" s="16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15" t="n"/>
      <c r="V316" s="15" t="n"/>
      <c r="W316" s="15" t="n"/>
      <c r="X316" s="15" t="n"/>
      <c r="Y316" s="15" t="n"/>
      <c r="Z316" s="15" t="n"/>
      <c r="AA316" s="15" t="n"/>
      <c r="AB316" s="16" t="n"/>
      <c r="AC316" s="15" t="n"/>
      <c r="AD316" s="15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15" t="n"/>
      <c r="B317" s="15" t="n"/>
      <c r="C317" s="15" t="n"/>
      <c r="D317" s="15" t="n"/>
      <c r="E317">
        <f>IFERROR(INDEX('הגדרות'!$D$143:$D$224,MATCH(B317&amp;G317&amp;C317,'הגדרות'!$A$143:$A$224&amp;'הגדרות'!$B$143:$B$224&amp;'הגדרות'!$C$143:$C$224,0)),"")</f>
        <v/>
      </c>
      <c r="F317" s="16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15" t="n"/>
      <c r="V317" s="15" t="n"/>
      <c r="W317" s="15" t="n"/>
      <c r="X317" s="15" t="n"/>
      <c r="Y317" s="15" t="n"/>
      <c r="Z317" s="15" t="n"/>
      <c r="AA317" s="15" t="n"/>
      <c r="AB317" s="16" t="n"/>
      <c r="AC317" s="15" t="n"/>
      <c r="AD317" s="15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15" t="n"/>
      <c r="B318" s="15" t="n"/>
      <c r="C318" s="15" t="n"/>
      <c r="D318" s="15" t="n"/>
      <c r="E318">
        <f>IFERROR(INDEX('הגדרות'!$D$143:$D$224,MATCH(B318&amp;G318&amp;C318,'הגדרות'!$A$143:$A$224&amp;'הגדרות'!$B$143:$B$224&amp;'הגדרות'!$C$143:$C$224,0)),"")</f>
        <v/>
      </c>
      <c r="F318" s="16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15" t="n"/>
      <c r="V318" s="15" t="n"/>
      <c r="W318" s="15" t="n"/>
      <c r="X318" s="15" t="n"/>
      <c r="Y318" s="15" t="n"/>
      <c r="Z318" s="15" t="n"/>
      <c r="AA318" s="15" t="n"/>
      <c r="AB318" s="16" t="n"/>
      <c r="AC318" s="15" t="n"/>
      <c r="AD318" s="15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15" t="n"/>
      <c r="B319" s="15" t="n"/>
      <c r="C319" s="15" t="n"/>
      <c r="D319" s="15" t="n"/>
      <c r="E319">
        <f>IFERROR(INDEX('הגדרות'!$D$143:$D$224,MATCH(B319&amp;G319&amp;C319,'הגדרות'!$A$143:$A$224&amp;'הגדרות'!$B$143:$B$224&amp;'הגדרות'!$C$143:$C$224,0)),"")</f>
        <v/>
      </c>
      <c r="F319" s="16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15" t="n"/>
      <c r="V319" s="15" t="n"/>
      <c r="W319" s="15" t="n"/>
      <c r="X319" s="15" t="n"/>
      <c r="Y319" s="15" t="n"/>
      <c r="Z319" s="15" t="n"/>
      <c r="AA319" s="15" t="n"/>
      <c r="AB319" s="16" t="n"/>
      <c r="AC319" s="15" t="n"/>
      <c r="AD319" s="15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15" t="n"/>
      <c r="B320" s="15" t="n"/>
      <c r="C320" s="15" t="n"/>
      <c r="D320" s="15" t="n"/>
      <c r="E320">
        <f>IFERROR(INDEX('הגדרות'!$D$143:$D$224,MATCH(B320&amp;G320&amp;C320,'הגדרות'!$A$143:$A$224&amp;'הגדרות'!$B$143:$B$224&amp;'הגדרות'!$C$143:$C$224,0)),"")</f>
        <v/>
      </c>
      <c r="F320" s="16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15" t="n"/>
      <c r="V320" s="15" t="n"/>
      <c r="W320" s="15" t="n"/>
      <c r="X320" s="15" t="n"/>
      <c r="Y320" s="15" t="n"/>
      <c r="Z320" s="15" t="n"/>
      <c r="AA320" s="15" t="n"/>
      <c r="AB320" s="16" t="n"/>
      <c r="AC320" s="15" t="n"/>
      <c r="AD320" s="15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15" t="n"/>
      <c r="B321" s="15" t="n"/>
      <c r="C321" s="15" t="n"/>
      <c r="D321" s="15" t="n"/>
      <c r="E321">
        <f>IFERROR(INDEX('הגדרות'!$D$143:$D$224,MATCH(B321&amp;G321&amp;C321,'הגדרות'!$A$143:$A$224&amp;'הגדרות'!$B$143:$B$224&amp;'הגדרות'!$C$143:$C$224,0)),"")</f>
        <v/>
      </c>
      <c r="F321" s="16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15" t="n"/>
      <c r="V321" s="15" t="n"/>
      <c r="W321" s="15" t="n"/>
      <c r="X321" s="15" t="n"/>
      <c r="Y321" s="15" t="n"/>
      <c r="Z321" s="15" t="n"/>
      <c r="AA321" s="15" t="n"/>
      <c r="AB321" s="16" t="n"/>
      <c r="AC321" s="15" t="n"/>
      <c r="AD321" s="15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15" t="n"/>
      <c r="B322" s="15" t="n"/>
      <c r="C322" s="15" t="n"/>
      <c r="D322" s="15" t="n"/>
      <c r="E322">
        <f>IFERROR(INDEX('הגדרות'!$D$143:$D$224,MATCH(B322&amp;G322&amp;C322,'הגדרות'!$A$143:$A$224&amp;'הגדרות'!$B$143:$B$224&amp;'הגדרות'!$C$143:$C$224,0)),"")</f>
        <v/>
      </c>
      <c r="F322" s="16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15" t="n"/>
      <c r="V322" s="15" t="n"/>
      <c r="W322" s="15" t="n"/>
      <c r="X322" s="15" t="n"/>
      <c r="Y322" s="15" t="n"/>
      <c r="Z322" s="15" t="n"/>
      <c r="AA322" s="15" t="n"/>
      <c r="AB322" s="16" t="n"/>
      <c r="AC322" s="15" t="n"/>
      <c r="AD322" s="15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15" t="n"/>
      <c r="B323" s="15" t="n"/>
      <c r="C323" s="15" t="n"/>
      <c r="D323" s="15" t="n"/>
      <c r="E323">
        <f>IFERROR(INDEX('הגדרות'!$D$143:$D$224,MATCH(B323&amp;G323&amp;C323,'הגדרות'!$A$143:$A$224&amp;'הגדרות'!$B$143:$B$224&amp;'הגדרות'!$C$143:$C$224,0)),"")</f>
        <v/>
      </c>
      <c r="F323" s="16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15" t="n"/>
      <c r="V323" s="15" t="n"/>
      <c r="W323" s="15" t="n"/>
      <c r="X323" s="15" t="n"/>
      <c r="Y323" s="15" t="n"/>
      <c r="Z323" s="15" t="n"/>
      <c r="AA323" s="15" t="n"/>
      <c r="AB323" s="16" t="n"/>
      <c r="AC323" s="15" t="n"/>
      <c r="AD323" s="15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15" t="n"/>
      <c r="B324" s="15" t="n"/>
      <c r="C324" s="15" t="n"/>
      <c r="D324" s="15" t="n"/>
      <c r="E324">
        <f>IFERROR(INDEX('הגדרות'!$D$143:$D$224,MATCH(B324&amp;G324&amp;C324,'הגדרות'!$A$143:$A$224&amp;'הגדרות'!$B$143:$B$224&amp;'הגדרות'!$C$143:$C$224,0)),"")</f>
        <v/>
      </c>
      <c r="F324" s="16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15" t="n"/>
      <c r="V324" s="15" t="n"/>
      <c r="W324" s="15" t="n"/>
      <c r="X324" s="15" t="n"/>
      <c r="Y324" s="15" t="n"/>
      <c r="Z324" s="15" t="n"/>
      <c r="AA324" s="15" t="n"/>
      <c r="AB324" s="16" t="n"/>
      <c r="AC324" s="15" t="n"/>
      <c r="AD324" s="15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15" t="n"/>
      <c r="B325" s="15" t="n"/>
      <c r="C325" s="15" t="n"/>
      <c r="D325" s="15" t="n"/>
      <c r="E325">
        <f>IFERROR(INDEX('הגדרות'!$D$143:$D$224,MATCH(B325&amp;G325&amp;C325,'הגדרות'!$A$143:$A$224&amp;'הגדרות'!$B$143:$B$224&amp;'הגדרות'!$C$143:$C$224,0)),"")</f>
        <v/>
      </c>
      <c r="F325" s="16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15" t="n"/>
      <c r="V325" s="15" t="n"/>
      <c r="W325" s="15" t="n"/>
      <c r="X325" s="15" t="n"/>
      <c r="Y325" s="15" t="n"/>
      <c r="Z325" s="15" t="n"/>
      <c r="AA325" s="15" t="n"/>
      <c r="AB325" s="16" t="n"/>
      <c r="AC325" s="15" t="n"/>
      <c r="AD325" s="15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15" t="n"/>
      <c r="B326" s="15" t="n"/>
      <c r="C326" s="15" t="n"/>
      <c r="D326" s="15" t="n"/>
      <c r="E326">
        <f>IFERROR(INDEX('הגדרות'!$D$143:$D$224,MATCH(B326&amp;G326&amp;C326,'הגדרות'!$A$143:$A$224&amp;'הגדרות'!$B$143:$B$224&amp;'הגדרות'!$C$143:$C$224,0)),"")</f>
        <v/>
      </c>
      <c r="F326" s="16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15" t="n"/>
      <c r="V326" s="15" t="n"/>
      <c r="W326" s="15" t="n"/>
      <c r="X326" s="15" t="n"/>
      <c r="Y326" s="15" t="n"/>
      <c r="Z326" s="15" t="n"/>
      <c r="AA326" s="15" t="n"/>
      <c r="AB326" s="16" t="n"/>
      <c r="AC326" s="15" t="n"/>
      <c r="AD326" s="15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15" t="n"/>
      <c r="B327" s="15" t="n"/>
      <c r="C327" s="15" t="n"/>
      <c r="D327" s="15" t="n"/>
      <c r="E327">
        <f>IFERROR(INDEX('הגדרות'!$D$143:$D$224,MATCH(B327&amp;G327&amp;C327,'הגדרות'!$A$143:$A$224&amp;'הגדרות'!$B$143:$B$224&amp;'הגדרות'!$C$143:$C$224,0)),"")</f>
        <v/>
      </c>
      <c r="F327" s="16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15" t="n"/>
      <c r="V327" s="15" t="n"/>
      <c r="W327" s="15" t="n"/>
      <c r="X327" s="15" t="n"/>
      <c r="Y327" s="15" t="n"/>
      <c r="Z327" s="15" t="n"/>
      <c r="AA327" s="15" t="n"/>
      <c r="AB327" s="16" t="n"/>
      <c r="AC327" s="15" t="n"/>
      <c r="AD327" s="15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15" t="n"/>
      <c r="B328" s="15" t="n"/>
      <c r="C328" s="15" t="n"/>
      <c r="D328" s="15" t="n"/>
      <c r="E328">
        <f>IFERROR(INDEX('הגדרות'!$D$143:$D$224,MATCH(B328&amp;G328&amp;C328,'הגדרות'!$A$143:$A$224&amp;'הגדרות'!$B$143:$B$224&amp;'הגדרות'!$C$143:$C$224,0)),"")</f>
        <v/>
      </c>
      <c r="F328" s="16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15" t="n"/>
      <c r="V328" s="15" t="n"/>
      <c r="W328" s="15" t="n"/>
      <c r="X328" s="15" t="n"/>
      <c r="Y328" s="15" t="n"/>
      <c r="Z328" s="15" t="n"/>
      <c r="AA328" s="15" t="n"/>
      <c r="AB328" s="16" t="n"/>
      <c r="AC328" s="15" t="n"/>
      <c r="AD328" s="15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15" t="n"/>
      <c r="B329" s="15" t="n"/>
      <c r="C329" s="15" t="n"/>
      <c r="D329" s="15" t="n"/>
      <c r="E329">
        <f>IFERROR(INDEX('הגדרות'!$D$143:$D$224,MATCH(B329&amp;G329&amp;C329,'הגדרות'!$A$143:$A$224&amp;'הגדרות'!$B$143:$B$224&amp;'הגדרות'!$C$143:$C$224,0)),"")</f>
        <v/>
      </c>
      <c r="F329" s="16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15" t="n"/>
      <c r="V329" s="15" t="n"/>
      <c r="W329" s="15" t="n"/>
      <c r="X329" s="15" t="n"/>
      <c r="Y329" s="15" t="n"/>
      <c r="Z329" s="15" t="n"/>
      <c r="AA329" s="15" t="n"/>
      <c r="AB329" s="16" t="n"/>
      <c r="AC329" s="15" t="n"/>
      <c r="AD329" s="15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15" t="n"/>
      <c r="B330" s="15" t="n"/>
      <c r="C330" s="15" t="n"/>
      <c r="D330" s="15" t="n"/>
      <c r="E330">
        <f>IFERROR(INDEX('הגדרות'!$D$143:$D$224,MATCH(B330&amp;G330&amp;C330,'הגדרות'!$A$143:$A$224&amp;'הגדרות'!$B$143:$B$224&amp;'הגדרות'!$C$143:$C$224,0)),"")</f>
        <v/>
      </c>
      <c r="F330" s="16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15" t="n"/>
      <c r="V330" s="15" t="n"/>
      <c r="W330" s="15" t="n"/>
      <c r="X330" s="15" t="n"/>
      <c r="Y330" s="15" t="n"/>
      <c r="Z330" s="15" t="n"/>
      <c r="AA330" s="15" t="n"/>
      <c r="AB330" s="16" t="n"/>
      <c r="AC330" s="15" t="n"/>
      <c r="AD330" s="15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15" t="n"/>
      <c r="B331" s="15" t="n"/>
      <c r="C331" s="15" t="n"/>
      <c r="D331" s="15" t="n"/>
      <c r="E331">
        <f>IFERROR(INDEX('הגדרות'!$D$143:$D$224,MATCH(B331&amp;G331&amp;C331,'הגדרות'!$A$143:$A$224&amp;'הגדרות'!$B$143:$B$224&amp;'הגדרות'!$C$143:$C$224,0)),"")</f>
        <v/>
      </c>
      <c r="F331" s="16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15" t="n"/>
      <c r="V331" s="15" t="n"/>
      <c r="W331" s="15" t="n"/>
      <c r="X331" s="15" t="n"/>
      <c r="Y331" s="15" t="n"/>
      <c r="Z331" s="15" t="n"/>
      <c r="AA331" s="15" t="n"/>
      <c r="AB331" s="16" t="n"/>
      <c r="AC331" s="15" t="n"/>
      <c r="AD331" s="15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15" t="n"/>
      <c r="B332" s="15" t="n"/>
      <c r="C332" s="15" t="n"/>
      <c r="D332" s="15" t="n"/>
      <c r="E332">
        <f>IFERROR(INDEX('הגדרות'!$D$143:$D$224,MATCH(B332&amp;G332&amp;C332,'הגדרות'!$A$143:$A$224&amp;'הגדרות'!$B$143:$B$224&amp;'הגדרות'!$C$143:$C$224,0)),"")</f>
        <v/>
      </c>
      <c r="F332" s="16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15" t="n"/>
      <c r="V332" s="15" t="n"/>
      <c r="W332" s="15" t="n"/>
      <c r="X332" s="15" t="n"/>
      <c r="Y332" s="15" t="n"/>
      <c r="Z332" s="15" t="n"/>
      <c r="AA332" s="15" t="n"/>
      <c r="AB332" s="16" t="n"/>
      <c r="AC332" s="15" t="n"/>
      <c r="AD332" s="15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15" t="n"/>
      <c r="B333" s="15" t="n"/>
      <c r="C333" s="15" t="n"/>
      <c r="D333" s="15" t="n"/>
      <c r="E333">
        <f>IFERROR(INDEX('הגדרות'!$D$143:$D$224,MATCH(B333&amp;G333&amp;C333,'הגדרות'!$A$143:$A$224&amp;'הגדרות'!$B$143:$B$224&amp;'הגדרות'!$C$143:$C$224,0)),"")</f>
        <v/>
      </c>
      <c r="F333" s="16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15" t="n"/>
      <c r="V333" s="15" t="n"/>
      <c r="W333" s="15" t="n"/>
      <c r="X333" s="15" t="n"/>
      <c r="Y333" s="15" t="n"/>
      <c r="Z333" s="15" t="n"/>
      <c r="AA333" s="15" t="n"/>
      <c r="AB333" s="16" t="n"/>
      <c r="AC333" s="15" t="n"/>
      <c r="AD333" s="15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15" t="n"/>
      <c r="B334" s="15" t="n"/>
      <c r="C334" s="15" t="n"/>
      <c r="D334" s="15" t="n"/>
      <c r="E334">
        <f>IFERROR(INDEX('הגדרות'!$D$143:$D$224,MATCH(B334&amp;G334&amp;C334,'הגדרות'!$A$143:$A$224&amp;'הגדרות'!$B$143:$B$224&amp;'הגדרות'!$C$143:$C$224,0)),"")</f>
        <v/>
      </c>
      <c r="F334" s="16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15" t="n"/>
      <c r="V334" s="15" t="n"/>
      <c r="W334" s="15" t="n"/>
      <c r="X334" s="15" t="n"/>
      <c r="Y334" s="15" t="n"/>
      <c r="Z334" s="15" t="n"/>
      <c r="AA334" s="15" t="n"/>
      <c r="AB334" s="16" t="n"/>
      <c r="AC334" s="15" t="n"/>
      <c r="AD334" s="15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15" t="n"/>
      <c r="B335" s="15" t="n"/>
      <c r="C335" s="15" t="n"/>
      <c r="D335" s="15" t="n"/>
      <c r="E335">
        <f>IFERROR(INDEX('הגדרות'!$D$143:$D$224,MATCH(B335&amp;G335&amp;C335,'הגדרות'!$A$143:$A$224&amp;'הגדרות'!$B$143:$B$224&amp;'הגדרות'!$C$143:$C$224,0)),"")</f>
        <v/>
      </c>
      <c r="F335" s="16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15" t="n"/>
      <c r="V335" s="15" t="n"/>
      <c r="W335" s="15" t="n"/>
      <c r="X335" s="15" t="n"/>
      <c r="Y335" s="15" t="n"/>
      <c r="Z335" s="15" t="n"/>
      <c r="AA335" s="15" t="n"/>
      <c r="AB335" s="16" t="n"/>
      <c r="AC335" s="15" t="n"/>
      <c r="AD335" s="15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15" t="n"/>
      <c r="B336" s="15" t="n"/>
      <c r="C336" s="15" t="n"/>
      <c r="D336" s="15" t="n"/>
      <c r="E336">
        <f>IFERROR(INDEX('הגדרות'!$D$143:$D$224,MATCH(B336&amp;G336&amp;C336,'הגדרות'!$A$143:$A$224&amp;'הגדרות'!$B$143:$B$224&amp;'הגדרות'!$C$143:$C$224,0)),"")</f>
        <v/>
      </c>
      <c r="F336" s="16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15" t="n"/>
      <c r="V336" s="15" t="n"/>
      <c r="W336" s="15" t="n"/>
      <c r="X336" s="15" t="n"/>
      <c r="Y336" s="15" t="n"/>
      <c r="Z336" s="15" t="n"/>
      <c r="AA336" s="15" t="n"/>
      <c r="AB336" s="16" t="n"/>
      <c r="AC336" s="15" t="n"/>
      <c r="AD336" s="15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15" t="n"/>
      <c r="B337" s="15" t="n"/>
      <c r="C337" s="15" t="n"/>
      <c r="D337" s="15" t="n"/>
      <c r="E337">
        <f>IFERROR(INDEX('הגדרות'!$D$143:$D$224,MATCH(B337&amp;G337&amp;C337,'הגדרות'!$A$143:$A$224&amp;'הגדרות'!$B$143:$B$224&amp;'הגדרות'!$C$143:$C$224,0)),"")</f>
        <v/>
      </c>
      <c r="F337" s="16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15" t="n"/>
      <c r="V337" s="15" t="n"/>
      <c r="W337" s="15" t="n"/>
      <c r="X337" s="15" t="n"/>
      <c r="Y337" s="15" t="n"/>
      <c r="Z337" s="15" t="n"/>
      <c r="AA337" s="15" t="n"/>
      <c r="AB337" s="16" t="n"/>
      <c r="AC337" s="15" t="n"/>
      <c r="AD337" s="15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15" t="n"/>
      <c r="B338" s="15" t="n"/>
      <c r="C338" s="15" t="n"/>
      <c r="D338" s="15" t="n"/>
      <c r="E338">
        <f>IFERROR(INDEX('הגדרות'!$D$143:$D$224,MATCH(B338&amp;G338&amp;C338,'הגדרות'!$A$143:$A$224&amp;'הגדרות'!$B$143:$B$224&amp;'הגדרות'!$C$143:$C$224,0)),"")</f>
        <v/>
      </c>
      <c r="F338" s="16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15" t="n"/>
      <c r="V338" s="15" t="n"/>
      <c r="W338" s="15" t="n"/>
      <c r="X338" s="15" t="n"/>
      <c r="Y338" s="15" t="n"/>
      <c r="Z338" s="15" t="n"/>
      <c r="AA338" s="15" t="n"/>
      <c r="AB338" s="16" t="n"/>
      <c r="AC338" s="15" t="n"/>
      <c r="AD338" s="15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15" t="n"/>
      <c r="B339" s="15" t="n"/>
      <c r="C339" s="15" t="n"/>
      <c r="D339" s="15" t="n"/>
      <c r="E339">
        <f>IFERROR(INDEX('הגדרות'!$D$143:$D$224,MATCH(B339&amp;G339&amp;C339,'הגדרות'!$A$143:$A$224&amp;'הגדרות'!$B$143:$B$224&amp;'הגדרות'!$C$143:$C$224,0)),"")</f>
        <v/>
      </c>
      <c r="F339" s="16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15" t="n"/>
      <c r="V339" s="15" t="n"/>
      <c r="W339" s="15" t="n"/>
      <c r="X339" s="15" t="n"/>
      <c r="Y339" s="15" t="n"/>
      <c r="Z339" s="15" t="n"/>
      <c r="AA339" s="15" t="n"/>
      <c r="AB339" s="16" t="n"/>
      <c r="AC339" s="15" t="n"/>
      <c r="AD339" s="15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15" t="n"/>
      <c r="B340" s="15" t="n"/>
      <c r="C340" s="15" t="n"/>
      <c r="D340" s="15" t="n"/>
      <c r="E340">
        <f>IFERROR(INDEX('הגדרות'!$D$143:$D$224,MATCH(B340&amp;G340&amp;C340,'הגדרות'!$A$143:$A$224&amp;'הגדרות'!$B$143:$B$224&amp;'הגדרות'!$C$143:$C$224,0)),"")</f>
        <v/>
      </c>
      <c r="F340" s="16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15" t="n"/>
      <c r="V340" s="15" t="n"/>
      <c r="W340" s="15" t="n"/>
      <c r="X340" s="15" t="n"/>
      <c r="Y340" s="15" t="n"/>
      <c r="Z340" s="15" t="n"/>
      <c r="AA340" s="15" t="n"/>
      <c r="AB340" s="16" t="n"/>
      <c r="AC340" s="15" t="n"/>
      <c r="AD340" s="15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15" t="n"/>
      <c r="B341" s="15" t="n"/>
      <c r="C341" s="15" t="n"/>
      <c r="D341" s="15" t="n"/>
      <c r="E341">
        <f>IFERROR(INDEX('הגדרות'!$D$143:$D$224,MATCH(B341&amp;G341&amp;C341,'הגדרות'!$A$143:$A$224&amp;'הגדרות'!$B$143:$B$224&amp;'הגדרות'!$C$143:$C$224,0)),"")</f>
        <v/>
      </c>
      <c r="F341" s="16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15" t="n"/>
      <c r="V341" s="15" t="n"/>
      <c r="W341" s="15" t="n"/>
      <c r="X341" s="15" t="n"/>
      <c r="Y341" s="15" t="n"/>
      <c r="Z341" s="15" t="n"/>
      <c r="AA341" s="15" t="n"/>
      <c r="AB341" s="16" t="n"/>
      <c r="AC341" s="15" t="n"/>
      <c r="AD341" s="15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15" t="n"/>
      <c r="B342" s="15" t="n"/>
      <c r="C342" s="15" t="n"/>
      <c r="D342" s="15" t="n"/>
      <c r="E342">
        <f>IFERROR(INDEX('הגדרות'!$D$143:$D$224,MATCH(B342&amp;G342&amp;C342,'הגדרות'!$A$143:$A$224&amp;'הגדרות'!$B$143:$B$224&amp;'הגדרות'!$C$143:$C$224,0)),"")</f>
        <v/>
      </c>
      <c r="F342" s="16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15" t="n"/>
      <c r="V342" s="15" t="n"/>
      <c r="W342" s="15" t="n"/>
      <c r="X342" s="15" t="n"/>
      <c r="Y342" s="15" t="n"/>
      <c r="Z342" s="15" t="n"/>
      <c r="AA342" s="15" t="n"/>
      <c r="AB342" s="16" t="n"/>
      <c r="AC342" s="15" t="n"/>
      <c r="AD342" s="15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15" t="n"/>
      <c r="B343" s="15" t="n"/>
      <c r="C343" s="15" t="n"/>
      <c r="D343" s="15" t="n"/>
      <c r="E343">
        <f>IFERROR(INDEX('הגדרות'!$D$143:$D$224,MATCH(B343&amp;G343&amp;C343,'הגדרות'!$A$143:$A$224&amp;'הגדרות'!$B$143:$B$224&amp;'הגדרות'!$C$143:$C$224,0)),"")</f>
        <v/>
      </c>
      <c r="F343" s="16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15" t="n"/>
      <c r="V343" s="15" t="n"/>
      <c r="W343" s="15" t="n"/>
      <c r="X343" s="15" t="n"/>
      <c r="Y343" s="15" t="n"/>
      <c r="Z343" s="15" t="n"/>
      <c r="AA343" s="15" t="n"/>
      <c r="AB343" s="16" t="n"/>
      <c r="AC343" s="15" t="n"/>
      <c r="AD343" s="15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15" t="n"/>
      <c r="B344" s="15" t="n"/>
      <c r="C344" s="15" t="n"/>
      <c r="D344" s="15" t="n"/>
      <c r="E344">
        <f>IFERROR(INDEX('הגדרות'!$D$143:$D$224,MATCH(B344&amp;G344&amp;C344,'הגדרות'!$A$143:$A$224&amp;'הגדרות'!$B$143:$B$224&amp;'הגדרות'!$C$143:$C$224,0)),"")</f>
        <v/>
      </c>
      <c r="F344" s="16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15" t="n"/>
      <c r="V344" s="15" t="n"/>
      <c r="W344" s="15" t="n"/>
      <c r="X344" s="15" t="n"/>
      <c r="Y344" s="15" t="n"/>
      <c r="Z344" s="15" t="n"/>
      <c r="AA344" s="15" t="n"/>
      <c r="AB344" s="16" t="n"/>
      <c r="AC344" s="15" t="n"/>
      <c r="AD344" s="15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15" t="n"/>
      <c r="B345" s="15" t="n"/>
      <c r="C345" s="15" t="n"/>
      <c r="D345" s="15" t="n"/>
      <c r="E345">
        <f>IFERROR(INDEX('הגדרות'!$D$143:$D$224,MATCH(B345&amp;G345&amp;C345,'הגדרות'!$A$143:$A$224&amp;'הגדרות'!$B$143:$B$224&amp;'הגדרות'!$C$143:$C$224,0)),"")</f>
        <v/>
      </c>
      <c r="F345" s="16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15" t="n"/>
      <c r="V345" s="15" t="n"/>
      <c r="W345" s="15" t="n"/>
      <c r="X345" s="15" t="n"/>
      <c r="Y345" s="15" t="n"/>
      <c r="Z345" s="15" t="n"/>
      <c r="AA345" s="15" t="n"/>
      <c r="AB345" s="16" t="n"/>
      <c r="AC345" s="15" t="n"/>
      <c r="AD345" s="15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15" t="n"/>
      <c r="B346" s="15" t="n"/>
      <c r="C346" s="15" t="n"/>
      <c r="D346" s="15" t="n"/>
      <c r="E346">
        <f>IFERROR(INDEX('הגדרות'!$D$143:$D$224,MATCH(B346&amp;G346&amp;C346,'הגדרות'!$A$143:$A$224&amp;'הגדרות'!$B$143:$B$224&amp;'הגדרות'!$C$143:$C$224,0)),"")</f>
        <v/>
      </c>
      <c r="F346" s="16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15" t="n"/>
      <c r="V346" s="15" t="n"/>
      <c r="W346" s="15" t="n"/>
      <c r="X346" s="15" t="n"/>
      <c r="Y346" s="15" t="n"/>
      <c r="Z346" s="15" t="n"/>
      <c r="AA346" s="15" t="n"/>
      <c r="AB346" s="16" t="n"/>
      <c r="AC346" s="15" t="n"/>
      <c r="AD346" s="15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15" t="n"/>
      <c r="B347" s="15" t="n"/>
      <c r="C347" s="15" t="n"/>
      <c r="D347" s="15" t="n"/>
      <c r="E347">
        <f>IFERROR(INDEX('הגדרות'!$D$143:$D$224,MATCH(B347&amp;G347&amp;C347,'הגדרות'!$A$143:$A$224&amp;'הגדרות'!$B$143:$B$224&amp;'הגדרות'!$C$143:$C$224,0)),"")</f>
        <v/>
      </c>
      <c r="F347" s="16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15" t="n"/>
      <c r="V347" s="15" t="n"/>
      <c r="W347" s="15" t="n"/>
      <c r="X347" s="15" t="n"/>
      <c r="Y347" s="15" t="n"/>
      <c r="Z347" s="15" t="n"/>
      <c r="AA347" s="15" t="n"/>
      <c r="AB347" s="16" t="n"/>
      <c r="AC347" s="15" t="n"/>
      <c r="AD347" s="15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15" t="n"/>
      <c r="B348" s="15" t="n"/>
      <c r="C348" s="15" t="n"/>
      <c r="D348" s="15" t="n"/>
      <c r="E348">
        <f>IFERROR(INDEX('הגדרות'!$D$143:$D$224,MATCH(B348&amp;G348&amp;C348,'הגדרות'!$A$143:$A$224&amp;'הגדרות'!$B$143:$B$224&amp;'הגדרות'!$C$143:$C$224,0)),"")</f>
        <v/>
      </c>
      <c r="F348" s="16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15" t="n"/>
      <c r="V348" s="15" t="n"/>
      <c r="W348" s="15" t="n"/>
      <c r="X348" s="15" t="n"/>
      <c r="Y348" s="15" t="n"/>
      <c r="Z348" s="15" t="n"/>
      <c r="AA348" s="15" t="n"/>
      <c r="AB348" s="16" t="n"/>
      <c r="AC348" s="15" t="n"/>
      <c r="AD348" s="15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15" t="n"/>
      <c r="B349" s="15" t="n"/>
      <c r="C349" s="15" t="n"/>
      <c r="D349" s="15" t="n"/>
      <c r="E349">
        <f>IFERROR(INDEX('הגדרות'!$D$143:$D$224,MATCH(B349&amp;G349&amp;C349,'הגדרות'!$A$143:$A$224&amp;'הגדרות'!$B$143:$B$224&amp;'הגדרות'!$C$143:$C$224,0)),"")</f>
        <v/>
      </c>
      <c r="F349" s="16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15" t="n"/>
      <c r="V349" s="15" t="n"/>
      <c r="W349" s="15" t="n"/>
      <c r="X349" s="15" t="n"/>
      <c r="Y349" s="15" t="n"/>
      <c r="Z349" s="15" t="n"/>
      <c r="AA349" s="15" t="n"/>
      <c r="AB349" s="16" t="n"/>
      <c r="AC349" s="15" t="n"/>
      <c r="AD349" s="15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15" t="n"/>
      <c r="B350" s="15" t="n"/>
      <c r="C350" s="15" t="n"/>
      <c r="D350" s="15" t="n"/>
      <c r="E350">
        <f>IFERROR(INDEX('הגדרות'!$D$143:$D$224,MATCH(B350&amp;G350&amp;C350,'הגדרות'!$A$143:$A$224&amp;'הגדרות'!$B$143:$B$224&amp;'הגדרות'!$C$143:$C$224,0)),"")</f>
        <v/>
      </c>
      <c r="F350" s="16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15" t="n"/>
      <c r="V350" s="15" t="n"/>
      <c r="W350" s="15" t="n"/>
      <c r="X350" s="15" t="n"/>
      <c r="Y350" s="15" t="n"/>
      <c r="Z350" s="15" t="n"/>
      <c r="AA350" s="15" t="n"/>
      <c r="AB350" s="16" t="n"/>
      <c r="AC350" s="15" t="n"/>
      <c r="AD350" s="15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15" t="n"/>
      <c r="B351" s="15" t="n"/>
      <c r="C351" s="15" t="n"/>
      <c r="D351" s="15" t="n"/>
      <c r="E351">
        <f>IFERROR(INDEX('הגדרות'!$D$143:$D$224,MATCH(B351&amp;G351&amp;C351,'הגדרות'!$A$143:$A$224&amp;'הגדרות'!$B$143:$B$224&amp;'הגדרות'!$C$143:$C$224,0)),"")</f>
        <v/>
      </c>
      <c r="F351" s="16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15" t="n"/>
      <c r="V351" s="15" t="n"/>
      <c r="W351" s="15" t="n"/>
      <c r="X351" s="15" t="n"/>
      <c r="Y351" s="15" t="n"/>
      <c r="Z351" s="15" t="n"/>
      <c r="AA351" s="15" t="n"/>
      <c r="AB351" s="16" t="n"/>
      <c r="AC351" s="15" t="n"/>
      <c r="AD351" s="15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15" t="n"/>
      <c r="B352" s="15" t="n"/>
      <c r="C352" s="15" t="n"/>
      <c r="D352" s="15" t="n"/>
      <c r="E352">
        <f>IFERROR(INDEX('הגדרות'!$D$143:$D$224,MATCH(B352&amp;G352&amp;C352,'הגדרות'!$A$143:$A$224&amp;'הגדרות'!$B$143:$B$224&amp;'הגדרות'!$C$143:$C$224,0)),"")</f>
        <v/>
      </c>
      <c r="F352" s="16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15" t="n"/>
      <c r="V352" s="15" t="n"/>
      <c r="W352" s="15" t="n"/>
      <c r="X352" s="15" t="n"/>
      <c r="Y352" s="15" t="n"/>
      <c r="Z352" s="15" t="n"/>
      <c r="AA352" s="15" t="n"/>
      <c r="AB352" s="16" t="n"/>
      <c r="AC352" s="15" t="n"/>
      <c r="AD352" s="15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15" t="n"/>
      <c r="B353" s="15" t="n"/>
      <c r="C353" s="15" t="n"/>
      <c r="D353" s="15" t="n"/>
      <c r="E353">
        <f>IFERROR(INDEX('הגדרות'!$D$143:$D$224,MATCH(B353&amp;G353&amp;C353,'הגדרות'!$A$143:$A$224&amp;'הגדרות'!$B$143:$B$224&amp;'הגדרות'!$C$143:$C$224,0)),"")</f>
        <v/>
      </c>
      <c r="F353" s="16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15" t="n"/>
      <c r="V353" s="15" t="n"/>
      <c r="W353" s="15" t="n"/>
      <c r="X353" s="15" t="n"/>
      <c r="Y353" s="15" t="n"/>
      <c r="Z353" s="15" t="n"/>
      <c r="AA353" s="15" t="n"/>
      <c r="AB353" s="16" t="n"/>
      <c r="AC353" s="15" t="n"/>
      <c r="AD353" s="15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15" t="n"/>
      <c r="B354" s="15" t="n"/>
      <c r="C354" s="15" t="n"/>
      <c r="D354" s="15" t="n"/>
      <c r="E354">
        <f>IFERROR(INDEX('הגדרות'!$D$143:$D$224,MATCH(B354&amp;G354&amp;C354,'הגדרות'!$A$143:$A$224&amp;'הגדרות'!$B$143:$B$224&amp;'הגדרות'!$C$143:$C$224,0)),"")</f>
        <v/>
      </c>
      <c r="F354" s="16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15" t="n"/>
      <c r="V354" s="15" t="n"/>
      <c r="W354" s="15" t="n"/>
      <c r="X354" s="15" t="n"/>
      <c r="Y354" s="15" t="n"/>
      <c r="Z354" s="15" t="n"/>
      <c r="AA354" s="15" t="n"/>
      <c r="AB354" s="16" t="n"/>
      <c r="AC354" s="15" t="n"/>
      <c r="AD354" s="15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15" t="n"/>
      <c r="B355" s="15" t="n"/>
      <c r="C355" s="15" t="n"/>
      <c r="D355" s="15" t="n"/>
      <c r="E355">
        <f>IFERROR(INDEX('הגדרות'!$D$143:$D$224,MATCH(B355&amp;G355&amp;C355,'הגדרות'!$A$143:$A$224&amp;'הגדרות'!$B$143:$B$224&amp;'הגדרות'!$C$143:$C$224,0)),"")</f>
        <v/>
      </c>
      <c r="F355" s="16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15" t="n"/>
      <c r="V355" s="15" t="n"/>
      <c r="W355" s="15" t="n"/>
      <c r="X355" s="15" t="n"/>
      <c r="Y355" s="15" t="n"/>
      <c r="Z355" s="15" t="n"/>
      <c r="AA355" s="15" t="n"/>
      <c r="AB355" s="16" t="n"/>
      <c r="AC355" s="15" t="n"/>
      <c r="AD355" s="15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15" t="n"/>
      <c r="B356" s="15" t="n"/>
      <c r="C356" s="15" t="n"/>
      <c r="D356" s="15" t="n"/>
      <c r="E356">
        <f>IFERROR(INDEX('הגדרות'!$D$143:$D$224,MATCH(B356&amp;G356&amp;C356,'הגדרות'!$A$143:$A$224&amp;'הגדרות'!$B$143:$B$224&amp;'הגדרות'!$C$143:$C$224,0)),"")</f>
        <v/>
      </c>
      <c r="F356" s="16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15" t="n"/>
      <c r="V356" s="15" t="n"/>
      <c r="W356" s="15" t="n"/>
      <c r="X356" s="15" t="n"/>
      <c r="Y356" s="15" t="n"/>
      <c r="Z356" s="15" t="n"/>
      <c r="AA356" s="15" t="n"/>
      <c r="AB356" s="16" t="n"/>
      <c r="AC356" s="15" t="n"/>
      <c r="AD356" s="15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15" t="n"/>
      <c r="B357" s="15" t="n"/>
      <c r="C357" s="15" t="n"/>
      <c r="D357" s="15" t="n"/>
      <c r="E357">
        <f>IFERROR(INDEX('הגדרות'!$D$143:$D$224,MATCH(B357&amp;G357&amp;C357,'הגדרות'!$A$143:$A$224&amp;'הגדרות'!$B$143:$B$224&amp;'הגדרות'!$C$143:$C$224,0)),"")</f>
        <v/>
      </c>
      <c r="F357" s="16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15" t="n"/>
      <c r="V357" s="15" t="n"/>
      <c r="W357" s="15" t="n"/>
      <c r="X357" s="15" t="n"/>
      <c r="Y357" s="15" t="n"/>
      <c r="Z357" s="15" t="n"/>
      <c r="AA357" s="15" t="n"/>
      <c r="AB357" s="16" t="n"/>
      <c r="AC357" s="15" t="n"/>
      <c r="AD357" s="15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15" t="n"/>
      <c r="B358" s="15" t="n"/>
      <c r="C358" s="15" t="n"/>
      <c r="D358" s="15" t="n"/>
      <c r="E358">
        <f>IFERROR(INDEX('הגדרות'!$D$143:$D$224,MATCH(B358&amp;G358&amp;C358,'הגדרות'!$A$143:$A$224&amp;'הגדרות'!$B$143:$B$224&amp;'הגדרות'!$C$143:$C$224,0)),"")</f>
        <v/>
      </c>
      <c r="F358" s="16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15" t="n"/>
      <c r="V358" s="15" t="n"/>
      <c r="W358" s="15" t="n"/>
      <c r="X358" s="15" t="n"/>
      <c r="Y358" s="15" t="n"/>
      <c r="Z358" s="15" t="n"/>
      <c r="AA358" s="15" t="n"/>
      <c r="AB358" s="16" t="n"/>
      <c r="AC358" s="15" t="n"/>
      <c r="AD358" s="15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15" t="n"/>
      <c r="B359" s="15" t="n"/>
      <c r="C359" s="15" t="n"/>
      <c r="D359" s="15" t="n"/>
      <c r="E359">
        <f>IFERROR(INDEX('הגדרות'!$D$143:$D$224,MATCH(B359&amp;G359&amp;C359,'הגדרות'!$A$143:$A$224&amp;'הגדרות'!$B$143:$B$224&amp;'הגדרות'!$C$143:$C$224,0)),"")</f>
        <v/>
      </c>
      <c r="F359" s="16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15" t="n"/>
      <c r="V359" s="15" t="n"/>
      <c r="W359" s="15" t="n"/>
      <c r="X359" s="15" t="n"/>
      <c r="Y359" s="15" t="n"/>
      <c r="Z359" s="15" t="n"/>
      <c r="AA359" s="15" t="n"/>
      <c r="AB359" s="16" t="n"/>
      <c r="AC359" s="15" t="n"/>
      <c r="AD359" s="15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15" t="n"/>
      <c r="B360" s="15" t="n"/>
      <c r="C360" s="15" t="n"/>
      <c r="D360" s="15" t="n"/>
      <c r="E360">
        <f>IFERROR(INDEX('הגדרות'!$D$143:$D$224,MATCH(B360&amp;G360&amp;C360,'הגדרות'!$A$143:$A$224&amp;'הגדרות'!$B$143:$B$224&amp;'הגדרות'!$C$143:$C$224,0)),"")</f>
        <v/>
      </c>
      <c r="F360" s="16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15" t="n"/>
      <c r="V360" s="15" t="n"/>
      <c r="W360" s="15" t="n"/>
      <c r="X360" s="15" t="n"/>
      <c r="Y360" s="15" t="n"/>
      <c r="Z360" s="15" t="n"/>
      <c r="AA360" s="15" t="n"/>
      <c r="AB360" s="16" t="n"/>
      <c r="AC360" s="15" t="n"/>
      <c r="AD360" s="15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15" t="n"/>
      <c r="B361" s="15" t="n"/>
      <c r="C361" s="15" t="n"/>
      <c r="D361" s="15" t="n"/>
      <c r="E361">
        <f>IFERROR(INDEX('הגדרות'!$D$143:$D$224,MATCH(B361&amp;G361&amp;C361,'הגדרות'!$A$143:$A$224&amp;'הגדרות'!$B$143:$B$224&amp;'הגדרות'!$C$143:$C$224,0)),"")</f>
        <v/>
      </c>
      <c r="F361" s="16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15" t="n"/>
      <c r="V361" s="15" t="n"/>
      <c r="W361" s="15" t="n"/>
      <c r="X361" s="15" t="n"/>
      <c r="Y361" s="15" t="n"/>
      <c r="Z361" s="15" t="n"/>
      <c r="AA361" s="15" t="n"/>
      <c r="AB361" s="16" t="n"/>
      <c r="AC361" s="15" t="n"/>
      <c r="AD361" s="15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15" t="n"/>
      <c r="B362" s="15" t="n"/>
      <c r="C362" s="15" t="n"/>
      <c r="D362" s="15" t="n"/>
      <c r="E362">
        <f>IFERROR(INDEX('הגדרות'!$D$143:$D$224,MATCH(B362&amp;G362&amp;C362,'הגדרות'!$A$143:$A$224&amp;'הגדרות'!$B$143:$B$224&amp;'הגדרות'!$C$143:$C$224,0)),"")</f>
        <v/>
      </c>
      <c r="F362" s="16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15" t="n"/>
      <c r="V362" s="15" t="n"/>
      <c r="W362" s="15" t="n"/>
      <c r="X362" s="15" t="n"/>
      <c r="Y362" s="15" t="n"/>
      <c r="Z362" s="15" t="n"/>
      <c r="AA362" s="15" t="n"/>
      <c r="AB362" s="16" t="n"/>
      <c r="AC362" s="15" t="n"/>
      <c r="AD362" s="15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15" t="n"/>
      <c r="B363" s="15" t="n"/>
      <c r="C363" s="15" t="n"/>
      <c r="D363" s="15" t="n"/>
      <c r="E363">
        <f>IFERROR(INDEX('הגדרות'!$D$143:$D$224,MATCH(B363&amp;G363&amp;C363,'הגדרות'!$A$143:$A$224&amp;'הגדרות'!$B$143:$B$224&amp;'הגדרות'!$C$143:$C$224,0)),"")</f>
        <v/>
      </c>
      <c r="F363" s="16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15" t="n"/>
      <c r="V363" s="15" t="n"/>
      <c r="W363" s="15" t="n"/>
      <c r="X363" s="15" t="n"/>
      <c r="Y363" s="15" t="n"/>
      <c r="Z363" s="15" t="n"/>
      <c r="AA363" s="15" t="n"/>
      <c r="AB363" s="16" t="n"/>
      <c r="AC363" s="15" t="n"/>
      <c r="AD363" s="15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15" t="n"/>
      <c r="B364" s="15" t="n"/>
      <c r="C364" s="15" t="n"/>
      <c r="D364" s="15" t="n"/>
      <c r="E364">
        <f>IFERROR(INDEX('הגדרות'!$D$143:$D$224,MATCH(B364&amp;G364&amp;C364,'הגדרות'!$A$143:$A$224&amp;'הגדרות'!$B$143:$B$224&amp;'הגדרות'!$C$143:$C$224,0)),"")</f>
        <v/>
      </c>
      <c r="F364" s="16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15" t="n"/>
      <c r="V364" s="15" t="n"/>
      <c r="W364" s="15" t="n"/>
      <c r="X364" s="15" t="n"/>
      <c r="Y364" s="15" t="n"/>
      <c r="Z364" s="15" t="n"/>
      <c r="AA364" s="15" t="n"/>
      <c r="AB364" s="16" t="n"/>
      <c r="AC364" s="15" t="n"/>
      <c r="AD364" s="15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15" t="n"/>
      <c r="B365" s="15" t="n"/>
      <c r="C365" s="15" t="n"/>
      <c r="D365" s="15" t="n"/>
      <c r="E365">
        <f>IFERROR(INDEX('הגדרות'!$D$143:$D$224,MATCH(B365&amp;G365&amp;C365,'הגדרות'!$A$143:$A$224&amp;'הגדרות'!$B$143:$B$224&amp;'הגדרות'!$C$143:$C$224,0)),"")</f>
        <v/>
      </c>
      <c r="F365" s="16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15" t="n"/>
      <c r="V365" s="15" t="n"/>
      <c r="W365" s="15" t="n"/>
      <c r="X365" s="15" t="n"/>
      <c r="Y365" s="15" t="n"/>
      <c r="Z365" s="15" t="n"/>
      <c r="AA365" s="15" t="n"/>
      <c r="AB365" s="16" t="n"/>
      <c r="AC365" s="15" t="n"/>
      <c r="AD365" s="15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15" t="n"/>
      <c r="B366" s="15" t="n"/>
      <c r="C366" s="15" t="n"/>
      <c r="D366" s="15" t="n"/>
      <c r="E366">
        <f>IFERROR(INDEX('הגדרות'!$D$143:$D$224,MATCH(B366&amp;G366&amp;C366,'הגדרות'!$A$143:$A$224&amp;'הגדרות'!$B$143:$B$224&amp;'הגדרות'!$C$143:$C$224,0)),"")</f>
        <v/>
      </c>
      <c r="F366" s="16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15" t="n"/>
      <c r="V366" s="15" t="n"/>
      <c r="W366" s="15" t="n"/>
      <c r="X366" s="15" t="n"/>
      <c r="Y366" s="15" t="n"/>
      <c r="Z366" s="15" t="n"/>
      <c r="AA366" s="15" t="n"/>
      <c r="AB366" s="16" t="n"/>
      <c r="AC366" s="15" t="n"/>
      <c r="AD366" s="15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15" t="n"/>
      <c r="B367" s="15" t="n"/>
      <c r="C367" s="15" t="n"/>
      <c r="D367" s="15" t="n"/>
      <c r="E367">
        <f>IFERROR(INDEX('הגדרות'!$D$143:$D$224,MATCH(B367&amp;G367&amp;C367,'הגדרות'!$A$143:$A$224&amp;'הגדרות'!$B$143:$B$224&amp;'הגדרות'!$C$143:$C$224,0)),"")</f>
        <v/>
      </c>
      <c r="F367" s="16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15" t="n"/>
      <c r="V367" s="15" t="n"/>
      <c r="W367" s="15" t="n"/>
      <c r="X367" s="15" t="n"/>
      <c r="Y367" s="15" t="n"/>
      <c r="Z367" s="15" t="n"/>
      <c r="AA367" s="15" t="n"/>
      <c r="AB367" s="16" t="n"/>
      <c r="AC367" s="15" t="n"/>
      <c r="AD367" s="15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15" t="n"/>
      <c r="B368" s="15" t="n"/>
      <c r="C368" s="15" t="n"/>
      <c r="D368" s="15" t="n"/>
      <c r="E368">
        <f>IFERROR(INDEX('הגדרות'!$D$143:$D$224,MATCH(B368&amp;G368&amp;C368,'הגדרות'!$A$143:$A$224&amp;'הגדרות'!$B$143:$B$224&amp;'הגדרות'!$C$143:$C$224,0)),"")</f>
        <v/>
      </c>
      <c r="F368" s="16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15" t="n"/>
      <c r="V368" s="15" t="n"/>
      <c r="W368" s="15" t="n"/>
      <c r="X368" s="15" t="n"/>
      <c r="Y368" s="15" t="n"/>
      <c r="Z368" s="15" t="n"/>
      <c r="AA368" s="15" t="n"/>
      <c r="AB368" s="16" t="n"/>
      <c r="AC368" s="15" t="n"/>
      <c r="AD368" s="15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15" t="n"/>
      <c r="B369" s="15" t="n"/>
      <c r="C369" s="15" t="n"/>
      <c r="D369" s="15" t="n"/>
      <c r="E369">
        <f>IFERROR(INDEX('הגדרות'!$D$143:$D$224,MATCH(B369&amp;G369&amp;C369,'הגדרות'!$A$143:$A$224&amp;'הגדרות'!$B$143:$B$224&amp;'הגדרות'!$C$143:$C$224,0)),"")</f>
        <v/>
      </c>
      <c r="F369" s="16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15" t="n"/>
      <c r="V369" s="15" t="n"/>
      <c r="W369" s="15" t="n"/>
      <c r="X369" s="15" t="n"/>
      <c r="Y369" s="15" t="n"/>
      <c r="Z369" s="15" t="n"/>
      <c r="AA369" s="15" t="n"/>
      <c r="AB369" s="16" t="n"/>
      <c r="AC369" s="15" t="n"/>
      <c r="AD369" s="15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15" t="n"/>
      <c r="B370" s="15" t="n"/>
      <c r="C370" s="15" t="n"/>
      <c r="D370" s="15" t="n"/>
      <c r="E370">
        <f>IFERROR(INDEX('הגדרות'!$D$143:$D$224,MATCH(B370&amp;G370&amp;C370,'הגדרות'!$A$143:$A$224&amp;'הגדרות'!$B$143:$B$224&amp;'הגדרות'!$C$143:$C$224,0)),"")</f>
        <v/>
      </c>
      <c r="F370" s="16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15" t="n"/>
      <c r="V370" s="15" t="n"/>
      <c r="W370" s="15" t="n"/>
      <c r="X370" s="15" t="n"/>
      <c r="Y370" s="15" t="n"/>
      <c r="Z370" s="15" t="n"/>
      <c r="AA370" s="15" t="n"/>
      <c r="AB370" s="16" t="n"/>
      <c r="AC370" s="15" t="n"/>
      <c r="AD370" s="15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15" t="n"/>
      <c r="B371" s="15" t="n"/>
      <c r="C371" s="15" t="n"/>
      <c r="D371" s="15" t="n"/>
      <c r="E371">
        <f>IFERROR(INDEX('הגדרות'!$D$143:$D$224,MATCH(B371&amp;G371&amp;C371,'הגדרות'!$A$143:$A$224&amp;'הגדרות'!$B$143:$B$224&amp;'הגדרות'!$C$143:$C$224,0)),"")</f>
        <v/>
      </c>
      <c r="F371" s="16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15" t="n"/>
      <c r="V371" s="15" t="n"/>
      <c r="W371" s="15" t="n"/>
      <c r="X371" s="15" t="n"/>
      <c r="Y371" s="15" t="n"/>
      <c r="Z371" s="15" t="n"/>
      <c r="AA371" s="15" t="n"/>
      <c r="AB371" s="16" t="n"/>
      <c r="AC371" s="15" t="n"/>
      <c r="AD371" s="15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15" t="n"/>
      <c r="B372" s="15" t="n"/>
      <c r="C372" s="15" t="n"/>
      <c r="D372" s="15" t="n"/>
      <c r="E372">
        <f>IFERROR(INDEX('הגדרות'!$D$143:$D$224,MATCH(B372&amp;G372&amp;C372,'הגדרות'!$A$143:$A$224&amp;'הגדרות'!$B$143:$B$224&amp;'הגדרות'!$C$143:$C$224,0)),"")</f>
        <v/>
      </c>
      <c r="F372" s="16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15" t="n"/>
      <c r="V372" s="15" t="n"/>
      <c r="W372" s="15" t="n"/>
      <c r="X372" s="15" t="n"/>
      <c r="Y372" s="15" t="n"/>
      <c r="Z372" s="15" t="n"/>
      <c r="AA372" s="15" t="n"/>
      <c r="AB372" s="16" t="n"/>
      <c r="AC372" s="15" t="n"/>
      <c r="AD372" s="15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15" t="n"/>
      <c r="B373" s="15" t="n"/>
      <c r="C373" s="15" t="n"/>
      <c r="D373" s="15" t="n"/>
      <c r="E373">
        <f>IFERROR(INDEX('הגדרות'!$D$143:$D$224,MATCH(B373&amp;G373&amp;C373,'הגדרות'!$A$143:$A$224&amp;'הגדרות'!$B$143:$B$224&amp;'הגדרות'!$C$143:$C$224,0)),"")</f>
        <v/>
      </c>
      <c r="F373" s="16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15" t="n"/>
      <c r="V373" s="15" t="n"/>
      <c r="W373" s="15" t="n"/>
      <c r="X373" s="15" t="n"/>
      <c r="Y373" s="15" t="n"/>
      <c r="Z373" s="15" t="n"/>
      <c r="AA373" s="15" t="n"/>
      <c r="AB373" s="16" t="n"/>
      <c r="AC373" s="15" t="n"/>
      <c r="AD373" s="15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15" t="n"/>
      <c r="B374" s="15" t="n"/>
      <c r="C374" s="15" t="n"/>
      <c r="D374" s="15" t="n"/>
      <c r="E374">
        <f>IFERROR(INDEX('הגדרות'!$D$143:$D$224,MATCH(B374&amp;G374&amp;C374,'הגדרות'!$A$143:$A$224&amp;'הגדרות'!$B$143:$B$224&amp;'הגדרות'!$C$143:$C$224,0)),"")</f>
        <v/>
      </c>
      <c r="F374" s="16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15" t="n"/>
      <c r="V374" s="15" t="n"/>
      <c r="W374" s="15" t="n"/>
      <c r="X374" s="15" t="n"/>
      <c r="Y374" s="15" t="n"/>
      <c r="Z374" s="15" t="n"/>
      <c r="AA374" s="15" t="n"/>
      <c r="AB374" s="16" t="n"/>
      <c r="AC374" s="15" t="n"/>
      <c r="AD374" s="15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15" t="n"/>
      <c r="B375" s="15" t="n"/>
      <c r="C375" s="15" t="n"/>
      <c r="D375" s="15" t="n"/>
      <c r="E375">
        <f>IFERROR(INDEX('הגדרות'!$D$143:$D$224,MATCH(B375&amp;G375&amp;C375,'הגדרות'!$A$143:$A$224&amp;'הגדרות'!$B$143:$B$224&amp;'הגדרות'!$C$143:$C$224,0)),"")</f>
        <v/>
      </c>
      <c r="F375" s="16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15" t="n"/>
      <c r="V375" s="15" t="n"/>
      <c r="W375" s="15" t="n"/>
      <c r="X375" s="15" t="n"/>
      <c r="Y375" s="15" t="n"/>
      <c r="Z375" s="15" t="n"/>
      <c r="AA375" s="15" t="n"/>
      <c r="AB375" s="16" t="n"/>
      <c r="AC375" s="15" t="n"/>
      <c r="AD375" s="15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15" t="n"/>
      <c r="B376" s="15" t="n"/>
      <c r="C376" s="15" t="n"/>
      <c r="D376" s="15" t="n"/>
      <c r="E376">
        <f>IFERROR(INDEX('הגדרות'!$D$143:$D$224,MATCH(B376&amp;G376&amp;C376,'הגדרות'!$A$143:$A$224&amp;'הגדרות'!$B$143:$B$224&amp;'הגדרות'!$C$143:$C$224,0)),"")</f>
        <v/>
      </c>
      <c r="F376" s="16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15" t="n"/>
      <c r="V376" s="15" t="n"/>
      <c r="W376" s="15" t="n"/>
      <c r="X376" s="15" t="n"/>
      <c r="Y376" s="15" t="n"/>
      <c r="Z376" s="15" t="n"/>
      <c r="AA376" s="15" t="n"/>
      <c r="AB376" s="16" t="n"/>
      <c r="AC376" s="15" t="n"/>
      <c r="AD376" s="15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15" t="n"/>
      <c r="B377" s="15" t="n"/>
      <c r="C377" s="15" t="n"/>
      <c r="D377" s="15" t="n"/>
      <c r="E377">
        <f>IFERROR(INDEX('הגדרות'!$D$143:$D$224,MATCH(B377&amp;G377&amp;C377,'הגדרות'!$A$143:$A$224&amp;'הגדרות'!$B$143:$B$224&amp;'הגדרות'!$C$143:$C$224,0)),"")</f>
        <v/>
      </c>
      <c r="F377" s="16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15" t="n"/>
      <c r="V377" s="15" t="n"/>
      <c r="W377" s="15" t="n"/>
      <c r="X377" s="15" t="n"/>
      <c r="Y377" s="15" t="n"/>
      <c r="Z377" s="15" t="n"/>
      <c r="AA377" s="15" t="n"/>
      <c r="AB377" s="16" t="n"/>
      <c r="AC377" s="15" t="n"/>
      <c r="AD377" s="15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15" t="n"/>
      <c r="B378" s="15" t="n"/>
      <c r="C378" s="15" t="n"/>
      <c r="D378" s="15" t="n"/>
      <c r="E378">
        <f>IFERROR(INDEX('הגדרות'!$D$143:$D$224,MATCH(B378&amp;G378&amp;C378,'הגדרות'!$A$143:$A$224&amp;'הגדרות'!$B$143:$B$224&amp;'הגדרות'!$C$143:$C$224,0)),"")</f>
        <v/>
      </c>
      <c r="F378" s="16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15" t="n"/>
      <c r="V378" s="15" t="n"/>
      <c r="W378" s="15" t="n"/>
      <c r="X378" s="15" t="n"/>
      <c r="Y378" s="15" t="n"/>
      <c r="Z378" s="15" t="n"/>
      <c r="AA378" s="15" t="n"/>
      <c r="AB378" s="16" t="n"/>
      <c r="AC378" s="15" t="n"/>
      <c r="AD378" s="15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15" t="n"/>
      <c r="B379" s="15" t="n"/>
      <c r="C379" s="15" t="n"/>
      <c r="D379" s="15" t="n"/>
      <c r="E379">
        <f>IFERROR(INDEX('הגדרות'!$D$143:$D$224,MATCH(B379&amp;G379&amp;C379,'הגדרות'!$A$143:$A$224&amp;'הגדרות'!$B$143:$B$224&amp;'הגדרות'!$C$143:$C$224,0)),"")</f>
        <v/>
      </c>
      <c r="F379" s="16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15" t="n"/>
      <c r="V379" s="15" t="n"/>
      <c r="W379" s="15" t="n"/>
      <c r="X379" s="15" t="n"/>
      <c r="Y379" s="15" t="n"/>
      <c r="Z379" s="15" t="n"/>
      <c r="AA379" s="15" t="n"/>
      <c r="AB379" s="16" t="n"/>
      <c r="AC379" s="15" t="n"/>
      <c r="AD379" s="15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15" t="n"/>
      <c r="B380" s="15" t="n"/>
      <c r="C380" s="15" t="n"/>
      <c r="D380" s="15" t="n"/>
      <c r="E380">
        <f>IFERROR(INDEX('הגדרות'!$D$143:$D$224,MATCH(B380&amp;G380&amp;C380,'הגדרות'!$A$143:$A$224&amp;'הגדרות'!$B$143:$B$224&amp;'הגדרות'!$C$143:$C$224,0)),"")</f>
        <v/>
      </c>
      <c r="F380" s="16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15" t="n"/>
      <c r="V380" s="15" t="n"/>
      <c r="W380" s="15" t="n"/>
      <c r="X380" s="15" t="n"/>
      <c r="Y380" s="15" t="n"/>
      <c r="Z380" s="15" t="n"/>
      <c r="AA380" s="15" t="n"/>
      <c r="AB380" s="16" t="n"/>
      <c r="AC380" s="15" t="n"/>
      <c r="AD380" s="15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15" t="n"/>
      <c r="B381" s="15" t="n"/>
      <c r="C381" s="15" t="n"/>
      <c r="D381" s="15" t="n"/>
      <c r="E381">
        <f>IFERROR(INDEX('הגדרות'!$D$143:$D$224,MATCH(B381&amp;G381&amp;C381,'הגדרות'!$A$143:$A$224&amp;'הגדרות'!$B$143:$B$224&amp;'הגדרות'!$C$143:$C$224,0)),"")</f>
        <v/>
      </c>
      <c r="F381" s="16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15" t="n"/>
      <c r="V381" s="15" t="n"/>
      <c r="W381" s="15" t="n"/>
      <c r="X381" s="15" t="n"/>
      <c r="Y381" s="15" t="n"/>
      <c r="Z381" s="15" t="n"/>
      <c r="AA381" s="15" t="n"/>
      <c r="AB381" s="16" t="n"/>
      <c r="AC381" s="15" t="n"/>
      <c r="AD381" s="15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15" t="n"/>
      <c r="B382" s="15" t="n"/>
      <c r="C382" s="15" t="n"/>
      <c r="D382" s="15" t="n"/>
      <c r="E382">
        <f>IFERROR(INDEX('הגדרות'!$D$143:$D$224,MATCH(B382&amp;G382&amp;C382,'הגדרות'!$A$143:$A$224&amp;'הגדרות'!$B$143:$B$224&amp;'הגדרות'!$C$143:$C$224,0)),"")</f>
        <v/>
      </c>
      <c r="F382" s="16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15" t="n"/>
      <c r="V382" s="15" t="n"/>
      <c r="W382" s="15" t="n"/>
      <c r="X382" s="15" t="n"/>
      <c r="Y382" s="15" t="n"/>
      <c r="Z382" s="15" t="n"/>
      <c r="AA382" s="15" t="n"/>
      <c r="AB382" s="16" t="n"/>
      <c r="AC382" s="15" t="n"/>
      <c r="AD382" s="15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15" t="n"/>
      <c r="B383" s="15" t="n"/>
      <c r="C383" s="15" t="n"/>
      <c r="D383" s="15" t="n"/>
      <c r="E383">
        <f>IFERROR(INDEX('הגדרות'!$D$143:$D$224,MATCH(B383&amp;G383&amp;C383,'הגדרות'!$A$143:$A$224&amp;'הגדרות'!$B$143:$B$224&amp;'הגדרות'!$C$143:$C$224,0)),"")</f>
        <v/>
      </c>
      <c r="F383" s="16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15" t="n"/>
      <c r="V383" s="15" t="n"/>
      <c r="W383" s="15" t="n"/>
      <c r="X383" s="15" t="n"/>
      <c r="Y383" s="15" t="n"/>
      <c r="Z383" s="15" t="n"/>
      <c r="AA383" s="15" t="n"/>
      <c r="AB383" s="16" t="n"/>
      <c r="AC383" s="15" t="n"/>
      <c r="AD383" s="15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15" t="n"/>
      <c r="B384" s="15" t="n"/>
      <c r="C384" s="15" t="n"/>
      <c r="D384" s="15" t="n"/>
      <c r="E384">
        <f>IFERROR(INDEX('הגדרות'!$D$143:$D$224,MATCH(B384&amp;G384&amp;C384,'הגדרות'!$A$143:$A$224&amp;'הגדרות'!$B$143:$B$224&amp;'הגדרות'!$C$143:$C$224,0)),"")</f>
        <v/>
      </c>
      <c r="F384" s="16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15" t="n"/>
      <c r="V384" s="15" t="n"/>
      <c r="W384" s="15" t="n"/>
      <c r="X384" s="15" t="n"/>
      <c r="Y384" s="15" t="n"/>
      <c r="Z384" s="15" t="n"/>
      <c r="AA384" s="15" t="n"/>
      <c r="AB384" s="16" t="n"/>
      <c r="AC384" s="15" t="n"/>
      <c r="AD384" s="15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15" t="n"/>
      <c r="B385" s="15" t="n"/>
      <c r="C385" s="15" t="n"/>
      <c r="D385" s="15" t="n"/>
      <c r="E385">
        <f>IFERROR(INDEX('הגדרות'!$D$143:$D$224,MATCH(B385&amp;G385&amp;C385,'הגדרות'!$A$143:$A$224&amp;'הגדרות'!$B$143:$B$224&amp;'הגדרות'!$C$143:$C$224,0)),"")</f>
        <v/>
      </c>
      <c r="F385" s="16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15" t="n"/>
      <c r="V385" s="15" t="n"/>
      <c r="W385" s="15" t="n"/>
      <c r="X385" s="15" t="n"/>
      <c r="Y385" s="15" t="n"/>
      <c r="Z385" s="15" t="n"/>
      <c r="AA385" s="15" t="n"/>
      <c r="AB385" s="16" t="n"/>
      <c r="AC385" s="15" t="n"/>
      <c r="AD385" s="15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15" t="n"/>
      <c r="B386" s="15" t="n"/>
      <c r="C386" s="15" t="n"/>
      <c r="D386" s="15" t="n"/>
      <c r="E386">
        <f>IFERROR(INDEX('הגדרות'!$D$143:$D$224,MATCH(B386&amp;G386&amp;C386,'הגדרות'!$A$143:$A$224&amp;'הגדרות'!$B$143:$B$224&amp;'הגדרות'!$C$143:$C$224,0)),"")</f>
        <v/>
      </c>
      <c r="F386" s="16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15" t="n"/>
      <c r="V386" s="15" t="n"/>
      <c r="W386" s="15" t="n"/>
      <c r="X386" s="15" t="n"/>
      <c r="Y386" s="15" t="n"/>
      <c r="Z386" s="15" t="n"/>
      <c r="AA386" s="15" t="n"/>
      <c r="AB386" s="16" t="n"/>
      <c r="AC386" s="15" t="n"/>
      <c r="AD386" s="15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15" t="n"/>
      <c r="B387" s="15" t="n"/>
      <c r="C387" s="15" t="n"/>
      <c r="D387" s="15" t="n"/>
      <c r="E387">
        <f>IFERROR(INDEX('הגדרות'!$D$143:$D$224,MATCH(B387&amp;G387&amp;C387,'הגדרות'!$A$143:$A$224&amp;'הגדרות'!$B$143:$B$224&amp;'הגדרות'!$C$143:$C$224,0)),"")</f>
        <v/>
      </c>
      <c r="F387" s="16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15" t="n"/>
      <c r="V387" s="15" t="n"/>
      <c r="W387" s="15" t="n"/>
      <c r="X387" s="15" t="n"/>
      <c r="Y387" s="15" t="n"/>
      <c r="Z387" s="15" t="n"/>
      <c r="AA387" s="15" t="n"/>
      <c r="AB387" s="16" t="n"/>
      <c r="AC387" s="15" t="n"/>
      <c r="AD387" s="15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15" t="n"/>
      <c r="B388" s="15" t="n"/>
      <c r="C388" s="15" t="n"/>
      <c r="D388" s="15" t="n"/>
      <c r="E388">
        <f>IFERROR(INDEX('הגדרות'!$D$143:$D$224,MATCH(B388&amp;G388&amp;C388,'הגדרות'!$A$143:$A$224&amp;'הגדרות'!$B$143:$B$224&amp;'הגדרות'!$C$143:$C$224,0)),"")</f>
        <v/>
      </c>
      <c r="F388" s="16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15" t="n"/>
      <c r="V388" s="15" t="n"/>
      <c r="W388" s="15" t="n"/>
      <c r="X388" s="15" t="n"/>
      <c r="Y388" s="15" t="n"/>
      <c r="Z388" s="15" t="n"/>
      <c r="AA388" s="15" t="n"/>
      <c r="AB388" s="16" t="n"/>
      <c r="AC388" s="15" t="n"/>
      <c r="AD388" s="15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15" t="n"/>
      <c r="B389" s="15" t="n"/>
      <c r="C389" s="15" t="n"/>
      <c r="D389" s="15" t="n"/>
      <c r="E389">
        <f>IFERROR(INDEX('הגדרות'!$D$143:$D$224,MATCH(B389&amp;G389&amp;C389,'הגדרות'!$A$143:$A$224&amp;'הגדרות'!$B$143:$B$224&amp;'הגדרות'!$C$143:$C$224,0)),"")</f>
        <v/>
      </c>
      <c r="F389" s="16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15" t="n"/>
      <c r="V389" s="15" t="n"/>
      <c r="W389" s="15" t="n"/>
      <c r="X389" s="15" t="n"/>
      <c r="Y389" s="15" t="n"/>
      <c r="Z389" s="15" t="n"/>
      <c r="AA389" s="15" t="n"/>
      <c r="AB389" s="16" t="n"/>
      <c r="AC389" s="15" t="n"/>
      <c r="AD389" s="15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15" t="n"/>
      <c r="B390" s="15" t="n"/>
      <c r="C390" s="15" t="n"/>
      <c r="D390" s="15" t="n"/>
      <c r="E390">
        <f>IFERROR(INDEX('הגדרות'!$D$143:$D$224,MATCH(B390&amp;G390&amp;C390,'הגדרות'!$A$143:$A$224&amp;'הגדרות'!$B$143:$B$224&amp;'הגדרות'!$C$143:$C$224,0)),"")</f>
        <v/>
      </c>
      <c r="F390" s="16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15" t="n"/>
      <c r="V390" s="15" t="n"/>
      <c r="W390" s="15" t="n"/>
      <c r="X390" s="15" t="n"/>
      <c r="Y390" s="15" t="n"/>
      <c r="Z390" s="15" t="n"/>
      <c r="AA390" s="15" t="n"/>
      <c r="AB390" s="16" t="n"/>
      <c r="AC390" s="15" t="n"/>
      <c r="AD390" s="15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15" t="n"/>
      <c r="B391" s="15" t="n"/>
      <c r="C391" s="15" t="n"/>
      <c r="D391" s="15" t="n"/>
      <c r="E391">
        <f>IFERROR(INDEX('הגדרות'!$D$143:$D$224,MATCH(B391&amp;G391&amp;C391,'הגדרות'!$A$143:$A$224&amp;'הגדרות'!$B$143:$B$224&amp;'הגדרות'!$C$143:$C$224,0)),"")</f>
        <v/>
      </c>
      <c r="F391" s="16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15" t="n"/>
      <c r="V391" s="15" t="n"/>
      <c r="W391" s="15" t="n"/>
      <c r="X391" s="15" t="n"/>
      <c r="Y391" s="15" t="n"/>
      <c r="Z391" s="15" t="n"/>
      <c r="AA391" s="15" t="n"/>
      <c r="AB391" s="16" t="n"/>
      <c r="AC391" s="15" t="n"/>
      <c r="AD391" s="15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15" t="n"/>
      <c r="B392" s="15" t="n"/>
      <c r="C392" s="15" t="n"/>
      <c r="D392" s="15" t="n"/>
      <c r="E392">
        <f>IFERROR(INDEX('הגדרות'!$D$143:$D$224,MATCH(B392&amp;G392&amp;C392,'הגדרות'!$A$143:$A$224&amp;'הגדרות'!$B$143:$B$224&amp;'הגדרות'!$C$143:$C$224,0)),"")</f>
        <v/>
      </c>
      <c r="F392" s="16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15" t="n"/>
      <c r="V392" s="15" t="n"/>
      <c r="W392" s="15" t="n"/>
      <c r="X392" s="15" t="n"/>
      <c r="Y392" s="15" t="n"/>
      <c r="Z392" s="15" t="n"/>
      <c r="AA392" s="15" t="n"/>
      <c r="AB392" s="16" t="n"/>
      <c r="AC392" s="15" t="n"/>
      <c r="AD392" s="15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15" t="n"/>
      <c r="B393" s="15" t="n"/>
      <c r="C393" s="15" t="n"/>
      <c r="D393" s="15" t="n"/>
      <c r="E393">
        <f>IFERROR(INDEX('הגדרות'!$D$143:$D$224,MATCH(B393&amp;G393&amp;C393,'הגדרות'!$A$143:$A$224&amp;'הגדרות'!$B$143:$B$224&amp;'הגדרות'!$C$143:$C$224,0)),"")</f>
        <v/>
      </c>
      <c r="F393" s="16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15" t="n"/>
      <c r="V393" s="15" t="n"/>
      <c r="W393" s="15" t="n"/>
      <c r="X393" s="15" t="n"/>
      <c r="Y393" s="15" t="n"/>
      <c r="Z393" s="15" t="n"/>
      <c r="AA393" s="15" t="n"/>
      <c r="AB393" s="16" t="n"/>
      <c r="AC393" s="15" t="n"/>
      <c r="AD393" s="15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15" t="n"/>
      <c r="B394" s="15" t="n"/>
      <c r="C394" s="15" t="n"/>
      <c r="D394" s="15" t="n"/>
      <c r="E394">
        <f>IFERROR(INDEX('הגדרות'!$D$143:$D$224,MATCH(B394&amp;G394&amp;C394,'הגדרות'!$A$143:$A$224&amp;'הגדרות'!$B$143:$B$224&amp;'הגדרות'!$C$143:$C$224,0)),"")</f>
        <v/>
      </c>
      <c r="F394" s="16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15" t="n"/>
      <c r="V394" s="15" t="n"/>
      <c r="W394" s="15" t="n"/>
      <c r="X394" s="15" t="n"/>
      <c r="Y394" s="15" t="n"/>
      <c r="Z394" s="15" t="n"/>
      <c r="AA394" s="15" t="n"/>
      <c r="AB394" s="16" t="n"/>
      <c r="AC394" s="15" t="n"/>
      <c r="AD394" s="15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15" t="n"/>
      <c r="B395" s="15" t="n"/>
      <c r="C395" s="15" t="n"/>
      <c r="D395" s="15" t="n"/>
      <c r="E395">
        <f>IFERROR(INDEX('הגדרות'!$D$143:$D$224,MATCH(B395&amp;G395&amp;C395,'הגדרות'!$A$143:$A$224&amp;'הגדרות'!$B$143:$B$224&amp;'הגדרות'!$C$143:$C$224,0)),"")</f>
        <v/>
      </c>
      <c r="F395" s="16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15" t="n"/>
      <c r="V395" s="15" t="n"/>
      <c r="W395" s="15" t="n"/>
      <c r="X395" s="15" t="n"/>
      <c r="Y395" s="15" t="n"/>
      <c r="Z395" s="15" t="n"/>
      <c r="AA395" s="15" t="n"/>
      <c r="AB395" s="16" t="n"/>
      <c r="AC395" s="15" t="n"/>
      <c r="AD395" s="15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15" t="n"/>
      <c r="B396" s="15" t="n"/>
      <c r="C396" s="15" t="n"/>
      <c r="D396" s="15" t="n"/>
      <c r="E396">
        <f>IFERROR(INDEX('הגדרות'!$D$143:$D$224,MATCH(B396&amp;G396&amp;C396,'הגדרות'!$A$143:$A$224&amp;'הגדרות'!$B$143:$B$224&amp;'הגדרות'!$C$143:$C$224,0)),"")</f>
        <v/>
      </c>
      <c r="F396" s="16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15" t="n"/>
      <c r="V396" s="15" t="n"/>
      <c r="W396" s="15" t="n"/>
      <c r="X396" s="15" t="n"/>
      <c r="Y396" s="15" t="n"/>
      <c r="Z396" s="15" t="n"/>
      <c r="AA396" s="15" t="n"/>
      <c r="AB396" s="16" t="n"/>
      <c r="AC396" s="15" t="n"/>
      <c r="AD396" s="15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15" t="n"/>
      <c r="B397" s="15" t="n"/>
      <c r="C397" s="15" t="n"/>
      <c r="D397" s="15" t="n"/>
      <c r="E397">
        <f>IFERROR(INDEX('הגדרות'!$D$143:$D$224,MATCH(B397&amp;G397&amp;C397,'הגדרות'!$A$143:$A$224&amp;'הגדרות'!$B$143:$B$224&amp;'הגדרות'!$C$143:$C$224,0)),"")</f>
        <v/>
      </c>
      <c r="F397" s="16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15" t="n"/>
      <c r="V397" s="15" t="n"/>
      <c r="W397" s="15" t="n"/>
      <c r="X397" s="15" t="n"/>
      <c r="Y397" s="15" t="n"/>
      <c r="Z397" s="15" t="n"/>
      <c r="AA397" s="15" t="n"/>
      <c r="AB397" s="16" t="n"/>
      <c r="AC397" s="15" t="n"/>
      <c r="AD397" s="15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15" t="n"/>
      <c r="B398" s="15" t="n"/>
      <c r="C398" s="15" t="n"/>
      <c r="D398" s="15" t="n"/>
      <c r="E398">
        <f>IFERROR(INDEX('הגדרות'!$D$143:$D$224,MATCH(B398&amp;G398&amp;C398,'הגדרות'!$A$143:$A$224&amp;'הגדרות'!$B$143:$B$224&amp;'הגדרות'!$C$143:$C$224,0)),"")</f>
        <v/>
      </c>
      <c r="F398" s="16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15" t="n"/>
      <c r="V398" s="15" t="n"/>
      <c r="W398" s="15" t="n"/>
      <c r="X398" s="15" t="n"/>
      <c r="Y398" s="15" t="n"/>
      <c r="Z398" s="15" t="n"/>
      <c r="AA398" s="15" t="n"/>
      <c r="AB398" s="16" t="n"/>
      <c r="AC398" s="15" t="n"/>
      <c r="AD398" s="15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15" t="n"/>
      <c r="B399" s="15" t="n"/>
      <c r="C399" s="15" t="n"/>
      <c r="D399" s="15" t="n"/>
      <c r="E399">
        <f>IFERROR(INDEX('הגדרות'!$D$143:$D$224,MATCH(B399&amp;G399&amp;C399,'הגדרות'!$A$143:$A$224&amp;'הגדרות'!$B$143:$B$224&amp;'הגדרות'!$C$143:$C$224,0)),"")</f>
        <v/>
      </c>
      <c r="F399" s="16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15" t="n"/>
      <c r="V399" s="15" t="n"/>
      <c r="W399" s="15" t="n"/>
      <c r="X399" s="15" t="n"/>
      <c r="Y399" s="15" t="n"/>
      <c r="Z399" s="15" t="n"/>
      <c r="AA399" s="15" t="n"/>
      <c r="AB399" s="16" t="n"/>
      <c r="AC399" s="15" t="n"/>
      <c r="AD399" s="15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15" t="n"/>
      <c r="B400" s="15" t="n"/>
      <c r="C400" s="15" t="n"/>
      <c r="D400" s="15" t="n"/>
      <c r="E400">
        <f>IFERROR(INDEX('הגדרות'!$D$143:$D$224,MATCH(B400&amp;G400&amp;C400,'הגדרות'!$A$143:$A$224&amp;'הגדרות'!$B$143:$B$224&amp;'הגדרות'!$C$143:$C$224,0)),"")</f>
        <v/>
      </c>
      <c r="F400" s="16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15" t="n"/>
      <c r="V400" s="15" t="n"/>
      <c r="W400" s="15" t="n"/>
      <c r="X400" s="15" t="n"/>
      <c r="Y400" s="15" t="n"/>
      <c r="Z400" s="15" t="n"/>
      <c r="AA400" s="15" t="n"/>
      <c r="AB400" s="16" t="n"/>
      <c r="AC400" s="15" t="n"/>
      <c r="AD400" s="15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15" t="n"/>
      <c r="B401" s="15" t="n"/>
      <c r="C401" s="15" t="n"/>
      <c r="D401" s="15" t="n"/>
      <c r="E401">
        <f>IFERROR(INDEX('הגדרות'!$D$143:$D$224,MATCH(B401&amp;G401&amp;C401,'הגדרות'!$A$143:$A$224&amp;'הגדרות'!$B$143:$B$224&amp;'הגדרות'!$C$143:$C$224,0)),"")</f>
        <v/>
      </c>
      <c r="F401" s="16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15" t="n"/>
      <c r="V401" s="15" t="n"/>
      <c r="W401" s="15" t="n"/>
      <c r="X401" s="15" t="n"/>
      <c r="Y401" s="15" t="n"/>
      <c r="Z401" s="15" t="n"/>
      <c r="AA401" s="15" t="n"/>
      <c r="AB401" s="16" t="n"/>
      <c r="AC401" s="15" t="n"/>
      <c r="AD401" s="15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15" t="n"/>
      <c r="B402" s="15" t="n"/>
      <c r="C402" s="15" t="n"/>
      <c r="D402" s="15" t="n"/>
      <c r="E402">
        <f>IFERROR(INDEX('הגדרות'!$D$143:$D$224,MATCH(B402&amp;G402&amp;C402,'הגדרות'!$A$143:$A$224&amp;'הגדרות'!$B$143:$B$224&amp;'הגדרות'!$C$143:$C$224,0)),"")</f>
        <v/>
      </c>
      <c r="F402" s="16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15" t="n"/>
      <c r="V402" s="15" t="n"/>
      <c r="W402" s="15" t="n"/>
      <c r="X402" s="15" t="n"/>
      <c r="Y402" s="15" t="n"/>
      <c r="Z402" s="15" t="n"/>
      <c r="AA402" s="15" t="n"/>
      <c r="AB402" s="16" t="n"/>
      <c r="AC402" s="15" t="n"/>
      <c r="AD402" s="15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15" t="n"/>
      <c r="B403" s="15" t="n"/>
      <c r="C403" s="15" t="n"/>
      <c r="D403" s="15" t="n"/>
      <c r="E403">
        <f>IFERROR(INDEX('הגדרות'!$D$143:$D$224,MATCH(B403&amp;G403&amp;C403,'הגדרות'!$A$143:$A$224&amp;'הגדרות'!$B$143:$B$224&amp;'הגדרות'!$C$143:$C$224,0)),"")</f>
        <v/>
      </c>
      <c r="F403" s="16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15" t="n"/>
      <c r="V403" s="15" t="n"/>
      <c r="W403" s="15" t="n"/>
      <c r="X403" s="15" t="n"/>
      <c r="Y403" s="15" t="n"/>
      <c r="Z403" s="15" t="n"/>
      <c r="AA403" s="15" t="n"/>
      <c r="AB403" s="16" t="n"/>
      <c r="AC403" s="15" t="n"/>
      <c r="AD403" s="15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15" t="n"/>
      <c r="B404" s="15" t="n"/>
      <c r="C404" s="15" t="n"/>
      <c r="D404" s="15" t="n"/>
      <c r="E404">
        <f>IFERROR(INDEX('הגדרות'!$D$143:$D$224,MATCH(B404&amp;G404&amp;C404,'הגדרות'!$A$143:$A$224&amp;'הגדרות'!$B$143:$B$224&amp;'הגדרות'!$C$143:$C$224,0)),"")</f>
        <v/>
      </c>
      <c r="F404" s="16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15" t="n"/>
      <c r="V404" s="15" t="n"/>
      <c r="W404" s="15" t="n"/>
      <c r="X404" s="15" t="n"/>
      <c r="Y404" s="15" t="n"/>
      <c r="Z404" s="15" t="n"/>
      <c r="AA404" s="15" t="n"/>
      <c r="AB404" s="16" t="n"/>
      <c r="AC404" s="15" t="n"/>
      <c r="AD404" s="15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15" t="n"/>
      <c r="B405" s="15" t="n"/>
      <c r="C405" s="15" t="n"/>
      <c r="D405" s="15" t="n"/>
      <c r="E405">
        <f>IFERROR(INDEX('הגדרות'!$D$143:$D$224,MATCH(B405&amp;G405&amp;C405,'הגדרות'!$A$143:$A$224&amp;'הגדרות'!$B$143:$B$224&amp;'הגדרות'!$C$143:$C$224,0)),"")</f>
        <v/>
      </c>
      <c r="F405" s="16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15" t="n"/>
      <c r="V405" s="15" t="n"/>
      <c r="W405" s="15" t="n"/>
      <c r="X405" s="15" t="n"/>
      <c r="Y405" s="15" t="n"/>
      <c r="Z405" s="15" t="n"/>
      <c r="AA405" s="15" t="n"/>
      <c r="AB405" s="16" t="n"/>
      <c r="AC405" s="15" t="n"/>
      <c r="AD405" s="15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15" t="n"/>
      <c r="B406" s="15" t="n"/>
      <c r="C406" s="15" t="n"/>
      <c r="D406" s="15" t="n"/>
      <c r="E406">
        <f>IFERROR(INDEX('הגדרות'!$D$143:$D$224,MATCH(B406&amp;G406&amp;C406,'הגדרות'!$A$143:$A$224&amp;'הגדרות'!$B$143:$B$224&amp;'הגדרות'!$C$143:$C$224,0)),"")</f>
        <v/>
      </c>
      <c r="F406" s="16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15" t="n"/>
      <c r="V406" s="15" t="n"/>
      <c r="W406" s="15" t="n"/>
      <c r="X406" s="15" t="n"/>
      <c r="Y406" s="15" t="n"/>
      <c r="Z406" s="15" t="n"/>
      <c r="AA406" s="15" t="n"/>
      <c r="AB406" s="16" t="n"/>
      <c r="AC406" s="15" t="n"/>
      <c r="AD406" s="15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15" t="n"/>
      <c r="B407" s="15" t="n"/>
      <c r="C407" s="15" t="n"/>
      <c r="D407" s="15" t="n"/>
      <c r="E407">
        <f>IFERROR(INDEX('הגדרות'!$D$143:$D$224,MATCH(B407&amp;G407&amp;C407,'הגדרות'!$A$143:$A$224&amp;'הגדרות'!$B$143:$B$224&amp;'הגדרות'!$C$143:$C$224,0)),"")</f>
        <v/>
      </c>
      <c r="F407" s="16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15" t="n"/>
      <c r="V407" s="15" t="n"/>
      <c r="W407" s="15" t="n"/>
      <c r="X407" s="15" t="n"/>
      <c r="Y407" s="15" t="n"/>
      <c r="Z407" s="15" t="n"/>
      <c r="AA407" s="15" t="n"/>
      <c r="AB407" s="16" t="n"/>
      <c r="AC407" s="15" t="n"/>
      <c r="AD407" s="15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15" t="n"/>
      <c r="B408" s="15" t="n"/>
      <c r="C408" s="15" t="n"/>
      <c r="D408" s="15" t="n"/>
      <c r="E408">
        <f>IFERROR(INDEX('הגדרות'!$D$143:$D$224,MATCH(B408&amp;G408&amp;C408,'הגדרות'!$A$143:$A$224&amp;'הגדרות'!$B$143:$B$224&amp;'הגדרות'!$C$143:$C$224,0)),"")</f>
        <v/>
      </c>
      <c r="F408" s="16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15" t="n"/>
      <c r="V408" s="15" t="n"/>
      <c r="W408" s="15" t="n"/>
      <c r="X408" s="15" t="n"/>
      <c r="Y408" s="15" t="n"/>
      <c r="Z408" s="15" t="n"/>
      <c r="AA408" s="15" t="n"/>
      <c r="AB408" s="16" t="n"/>
      <c r="AC408" s="15" t="n"/>
      <c r="AD408" s="15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15" t="n"/>
      <c r="B409" s="15" t="n"/>
      <c r="C409" s="15" t="n"/>
      <c r="D409" s="15" t="n"/>
      <c r="E409">
        <f>IFERROR(INDEX('הגדרות'!$D$143:$D$224,MATCH(B409&amp;G409&amp;C409,'הגדרות'!$A$143:$A$224&amp;'הגדרות'!$B$143:$B$224&amp;'הגדרות'!$C$143:$C$224,0)),"")</f>
        <v/>
      </c>
      <c r="F409" s="16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15" t="n"/>
      <c r="V409" s="15" t="n"/>
      <c r="W409" s="15" t="n"/>
      <c r="X409" s="15" t="n"/>
      <c r="Y409" s="15" t="n"/>
      <c r="Z409" s="15" t="n"/>
      <c r="AA409" s="15" t="n"/>
      <c r="AB409" s="16" t="n"/>
      <c r="AC409" s="15" t="n"/>
      <c r="AD409" s="15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15" t="n"/>
      <c r="B410" s="15" t="n"/>
      <c r="C410" s="15" t="n"/>
      <c r="D410" s="15" t="n"/>
      <c r="E410">
        <f>IFERROR(INDEX('הגדרות'!$D$143:$D$224,MATCH(B410&amp;G410&amp;C410,'הגדרות'!$A$143:$A$224&amp;'הגדרות'!$B$143:$B$224&amp;'הגדרות'!$C$143:$C$224,0)),"")</f>
        <v/>
      </c>
      <c r="F410" s="16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15" t="n"/>
      <c r="V410" s="15" t="n"/>
      <c r="W410" s="15" t="n"/>
      <c r="X410" s="15" t="n"/>
      <c r="Y410" s="15" t="n"/>
      <c r="Z410" s="15" t="n"/>
      <c r="AA410" s="15" t="n"/>
      <c r="AB410" s="16" t="n"/>
      <c r="AC410" s="15" t="n"/>
      <c r="AD410" s="15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15" t="n"/>
      <c r="B411" s="15" t="n"/>
      <c r="C411" s="15" t="n"/>
      <c r="D411" s="15" t="n"/>
      <c r="E411">
        <f>IFERROR(INDEX('הגדרות'!$D$143:$D$224,MATCH(B411&amp;G411&amp;C411,'הגדרות'!$A$143:$A$224&amp;'הגדרות'!$B$143:$B$224&amp;'הגדרות'!$C$143:$C$224,0)),"")</f>
        <v/>
      </c>
      <c r="F411" s="16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15" t="n"/>
      <c r="V411" s="15" t="n"/>
      <c r="W411" s="15" t="n"/>
      <c r="X411" s="15" t="n"/>
      <c r="Y411" s="15" t="n"/>
      <c r="Z411" s="15" t="n"/>
      <c r="AA411" s="15" t="n"/>
      <c r="AB411" s="16" t="n"/>
      <c r="AC411" s="15" t="n"/>
      <c r="AD411" s="15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15" t="n"/>
      <c r="B412" s="15" t="n"/>
      <c r="C412" s="15" t="n"/>
      <c r="D412" s="15" t="n"/>
      <c r="E412">
        <f>IFERROR(INDEX('הגדרות'!$D$143:$D$224,MATCH(B412&amp;G412&amp;C412,'הגדרות'!$A$143:$A$224&amp;'הגדרות'!$B$143:$B$224&amp;'הגדרות'!$C$143:$C$224,0)),"")</f>
        <v/>
      </c>
      <c r="F412" s="16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15" t="n"/>
      <c r="V412" s="15" t="n"/>
      <c r="W412" s="15" t="n"/>
      <c r="X412" s="15" t="n"/>
      <c r="Y412" s="15" t="n"/>
      <c r="Z412" s="15" t="n"/>
      <c r="AA412" s="15" t="n"/>
      <c r="AB412" s="16" t="n"/>
      <c r="AC412" s="15" t="n"/>
      <c r="AD412" s="15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15" t="n"/>
      <c r="B413" s="15" t="n"/>
      <c r="C413" s="15" t="n"/>
      <c r="D413" s="15" t="n"/>
      <c r="E413">
        <f>IFERROR(INDEX('הגדרות'!$D$143:$D$224,MATCH(B413&amp;G413&amp;C413,'הגדרות'!$A$143:$A$224&amp;'הגדרות'!$B$143:$B$224&amp;'הגדרות'!$C$143:$C$224,0)),"")</f>
        <v/>
      </c>
      <c r="F413" s="16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15" t="n"/>
      <c r="V413" s="15" t="n"/>
      <c r="W413" s="15" t="n"/>
      <c r="X413" s="15" t="n"/>
      <c r="Y413" s="15" t="n"/>
      <c r="Z413" s="15" t="n"/>
      <c r="AA413" s="15" t="n"/>
      <c r="AB413" s="16" t="n"/>
      <c r="AC413" s="15" t="n"/>
      <c r="AD413" s="15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15" t="n"/>
      <c r="B414" s="15" t="n"/>
      <c r="C414" s="15" t="n"/>
      <c r="D414" s="15" t="n"/>
      <c r="E414">
        <f>IFERROR(INDEX('הגדרות'!$D$143:$D$224,MATCH(B414&amp;G414&amp;C414,'הגדרות'!$A$143:$A$224&amp;'הגדרות'!$B$143:$B$224&amp;'הגדרות'!$C$143:$C$224,0)),"")</f>
        <v/>
      </c>
      <c r="F414" s="16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15" t="n"/>
      <c r="V414" s="15" t="n"/>
      <c r="W414" s="15" t="n"/>
      <c r="X414" s="15" t="n"/>
      <c r="Y414" s="15" t="n"/>
      <c r="Z414" s="15" t="n"/>
      <c r="AA414" s="15" t="n"/>
      <c r="AB414" s="16" t="n"/>
      <c r="AC414" s="15" t="n"/>
      <c r="AD414" s="15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15" t="n"/>
      <c r="B415" s="15" t="n"/>
      <c r="C415" s="15" t="n"/>
      <c r="D415" s="15" t="n"/>
      <c r="E415">
        <f>IFERROR(INDEX('הגדרות'!$D$143:$D$224,MATCH(B415&amp;G415&amp;C415,'הגדרות'!$A$143:$A$224&amp;'הגדרות'!$B$143:$B$224&amp;'הגדרות'!$C$143:$C$224,0)),"")</f>
        <v/>
      </c>
      <c r="F415" s="16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15" t="n"/>
      <c r="V415" s="15" t="n"/>
      <c r="W415" s="15" t="n"/>
      <c r="X415" s="15" t="n"/>
      <c r="Y415" s="15" t="n"/>
      <c r="Z415" s="15" t="n"/>
      <c r="AA415" s="15" t="n"/>
      <c r="AB415" s="16" t="n"/>
      <c r="AC415" s="15" t="n"/>
      <c r="AD415" s="15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15" t="n"/>
      <c r="B416" s="15" t="n"/>
      <c r="C416" s="15" t="n"/>
      <c r="D416" s="15" t="n"/>
      <c r="E416">
        <f>IFERROR(INDEX('הגדרות'!$D$143:$D$224,MATCH(B416&amp;G416&amp;C416,'הגדרות'!$A$143:$A$224&amp;'הגדרות'!$B$143:$B$224&amp;'הגדרות'!$C$143:$C$224,0)),"")</f>
        <v/>
      </c>
      <c r="F416" s="16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15" t="n"/>
      <c r="V416" s="15" t="n"/>
      <c r="W416" s="15" t="n"/>
      <c r="X416" s="15" t="n"/>
      <c r="Y416" s="15" t="n"/>
      <c r="Z416" s="15" t="n"/>
      <c r="AA416" s="15" t="n"/>
      <c r="AB416" s="16" t="n"/>
      <c r="AC416" s="15" t="n"/>
      <c r="AD416" s="15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15" t="n"/>
      <c r="B417" s="15" t="n"/>
      <c r="C417" s="15" t="n"/>
      <c r="D417" s="15" t="n"/>
      <c r="E417">
        <f>IFERROR(INDEX('הגדרות'!$D$143:$D$224,MATCH(B417&amp;G417&amp;C417,'הגדרות'!$A$143:$A$224&amp;'הגדרות'!$B$143:$B$224&amp;'הגדרות'!$C$143:$C$224,0)),"")</f>
        <v/>
      </c>
      <c r="F417" s="16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15" t="n"/>
      <c r="V417" s="15" t="n"/>
      <c r="W417" s="15" t="n"/>
      <c r="X417" s="15" t="n"/>
      <c r="Y417" s="15" t="n"/>
      <c r="Z417" s="15" t="n"/>
      <c r="AA417" s="15" t="n"/>
      <c r="AB417" s="16" t="n"/>
      <c r="AC417" s="15" t="n"/>
      <c r="AD417" s="15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15" t="n"/>
      <c r="B418" s="15" t="n"/>
      <c r="C418" s="15" t="n"/>
      <c r="D418" s="15" t="n"/>
      <c r="E418">
        <f>IFERROR(INDEX('הגדרות'!$D$143:$D$224,MATCH(B418&amp;G418&amp;C418,'הגדרות'!$A$143:$A$224&amp;'הגדרות'!$B$143:$B$224&amp;'הגדרות'!$C$143:$C$224,0)),"")</f>
        <v/>
      </c>
      <c r="F418" s="16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15" t="n"/>
      <c r="V418" s="15" t="n"/>
      <c r="W418" s="15" t="n"/>
      <c r="X418" s="15" t="n"/>
      <c r="Y418" s="15" t="n"/>
      <c r="Z418" s="15" t="n"/>
      <c r="AA418" s="15" t="n"/>
      <c r="AB418" s="16" t="n"/>
      <c r="AC418" s="15" t="n"/>
      <c r="AD418" s="15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15" t="n"/>
      <c r="B419" s="15" t="n"/>
      <c r="C419" s="15" t="n"/>
      <c r="D419" s="15" t="n"/>
      <c r="E419">
        <f>IFERROR(INDEX('הגדרות'!$D$143:$D$224,MATCH(B419&amp;G419&amp;C419,'הגדרות'!$A$143:$A$224&amp;'הגדרות'!$B$143:$B$224&amp;'הגדרות'!$C$143:$C$224,0)),"")</f>
        <v/>
      </c>
      <c r="F419" s="16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15" t="n"/>
      <c r="V419" s="15" t="n"/>
      <c r="W419" s="15" t="n"/>
      <c r="X419" s="15" t="n"/>
      <c r="Y419" s="15" t="n"/>
      <c r="Z419" s="15" t="n"/>
      <c r="AA419" s="15" t="n"/>
      <c r="AB419" s="16" t="n"/>
      <c r="AC419" s="15" t="n"/>
      <c r="AD419" s="15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15" t="n"/>
      <c r="B420" s="15" t="n"/>
      <c r="C420" s="15" t="n"/>
      <c r="D420" s="15" t="n"/>
      <c r="E420">
        <f>IFERROR(INDEX('הגדרות'!$D$143:$D$224,MATCH(B420&amp;G420&amp;C420,'הגדרות'!$A$143:$A$224&amp;'הגדרות'!$B$143:$B$224&amp;'הגדרות'!$C$143:$C$224,0)),"")</f>
        <v/>
      </c>
      <c r="F420" s="16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15" t="n"/>
      <c r="V420" s="15" t="n"/>
      <c r="W420" s="15" t="n"/>
      <c r="X420" s="15" t="n"/>
      <c r="Y420" s="15" t="n"/>
      <c r="Z420" s="15" t="n"/>
      <c r="AA420" s="15" t="n"/>
      <c r="AB420" s="16" t="n"/>
      <c r="AC420" s="15" t="n"/>
      <c r="AD420" s="15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15" t="n"/>
      <c r="B421" s="15" t="n"/>
      <c r="C421" s="15" t="n"/>
      <c r="D421" s="15" t="n"/>
      <c r="E421">
        <f>IFERROR(INDEX('הגדרות'!$D$143:$D$224,MATCH(B421&amp;G421&amp;C421,'הגדרות'!$A$143:$A$224&amp;'הגדרות'!$B$143:$B$224&amp;'הגדרות'!$C$143:$C$224,0)),"")</f>
        <v/>
      </c>
      <c r="F421" s="16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15" t="n"/>
      <c r="V421" s="15" t="n"/>
      <c r="W421" s="15" t="n"/>
      <c r="X421" s="15" t="n"/>
      <c r="Y421" s="15" t="n"/>
      <c r="Z421" s="15" t="n"/>
      <c r="AA421" s="15" t="n"/>
      <c r="AB421" s="16" t="n"/>
      <c r="AC421" s="15" t="n"/>
      <c r="AD421" s="15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15" t="n"/>
      <c r="B422" s="15" t="n"/>
      <c r="C422" s="15" t="n"/>
      <c r="D422" s="15" t="n"/>
      <c r="E422">
        <f>IFERROR(INDEX('הגדרות'!$D$143:$D$224,MATCH(B422&amp;G422&amp;C422,'הגדרות'!$A$143:$A$224&amp;'הגדרות'!$B$143:$B$224&amp;'הגדרות'!$C$143:$C$224,0)),"")</f>
        <v/>
      </c>
      <c r="F422" s="16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15" t="n"/>
      <c r="V422" s="15" t="n"/>
      <c r="W422" s="15" t="n"/>
      <c r="X422" s="15" t="n"/>
      <c r="Y422" s="15" t="n"/>
      <c r="Z422" s="15" t="n"/>
      <c r="AA422" s="15" t="n"/>
      <c r="AB422" s="16" t="n"/>
      <c r="AC422" s="15" t="n"/>
      <c r="AD422" s="15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15" t="n"/>
      <c r="B423" s="15" t="n"/>
      <c r="C423" s="15" t="n"/>
      <c r="D423" s="15" t="n"/>
      <c r="E423">
        <f>IFERROR(INDEX('הגדרות'!$D$143:$D$224,MATCH(B423&amp;G423&amp;C423,'הגדרות'!$A$143:$A$224&amp;'הגדרות'!$B$143:$B$224&amp;'הגדרות'!$C$143:$C$224,0)),"")</f>
        <v/>
      </c>
      <c r="F423" s="16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15" t="n"/>
      <c r="V423" s="15" t="n"/>
      <c r="W423" s="15" t="n"/>
      <c r="X423" s="15" t="n"/>
      <c r="Y423" s="15" t="n"/>
      <c r="Z423" s="15" t="n"/>
      <c r="AA423" s="15" t="n"/>
      <c r="AB423" s="16" t="n"/>
      <c r="AC423" s="15" t="n"/>
      <c r="AD423" s="15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15" t="n"/>
      <c r="B424" s="15" t="n"/>
      <c r="C424" s="15" t="n"/>
      <c r="D424" s="15" t="n"/>
      <c r="E424">
        <f>IFERROR(INDEX('הגדרות'!$D$143:$D$224,MATCH(B424&amp;G424&amp;C424,'הגדרות'!$A$143:$A$224&amp;'הגדרות'!$B$143:$B$224&amp;'הגדרות'!$C$143:$C$224,0)),"")</f>
        <v/>
      </c>
      <c r="F424" s="16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15" t="n"/>
      <c r="V424" s="15" t="n"/>
      <c r="W424" s="15" t="n"/>
      <c r="X424" s="15" t="n"/>
      <c r="Y424" s="15" t="n"/>
      <c r="Z424" s="15" t="n"/>
      <c r="AA424" s="15" t="n"/>
      <c r="AB424" s="16" t="n"/>
      <c r="AC424" s="15" t="n"/>
      <c r="AD424" s="15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15" t="n"/>
      <c r="B425" s="15" t="n"/>
      <c r="C425" s="15" t="n"/>
      <c r="D425" s="15" t="n"/>
      <c r="E425">
        <f>IFERROR(INDEX('הגדרות'!$D$143:$D$224,MATCH(B425&amp;G425&amp;C425,'הגדרות'!$A$143:$A$224&amp;'הגדרות'!$B$143:$B$224&amp;'הגדרות'!$C$143:$C$224,0)),"")</f>
        <v/>
      </c>
      <c r="F425" s="16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15" t="n"/>
      <c r="V425" s="15" t="n"/>
      <c r="W425" s="15" t="n"/>
      <c r="X425" s="15" t="n"/>
      <c r="Y425" s="15" t="n"/>
      <c r="Z425" s="15" t="n"/>
      <c r="AA425" s="15" t="n"/>
      <c r="AB425" s="16" t="n"/>
      <c r="AC425" s="15" t="n"/>
      <c r="AD425" s="15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15" t="n"/>
      <c r="B426" s="15" t="n"/>
      <c r="C426" s="15" t="n"/>
      <c r="D426" s="15" t="n"/>
      <c r="E426">
        <f>IFERROR(INDEX('הגדרות'!$D$143:$D$224,MATCH(B426&amp;G426&amp;C426,'הגדרות'!$A$143:$A$224&amp;'הגדרות'!$B$143:$B$224&amp;'הגדרות'!$C$143:$C$224,0)),"")</f>
        <v/>
      </c>
      <c r="F426" s="16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15" t="n"/>
      <c r="V426" s="15" t="n"/>
      <c r="W426" s="15" t="n"/>
      <c r="X426" s="15" t="n"/>
      <c r="Y426" s="15" t="n"/>
      <c r="Z426" s="15" t="n"/>
      <c r="AA426" s="15" t="n"/>
      <c r="AB426" s="16" t="n"/>
      <c r="AC426" s="15" t="n"/>
      <c r="AD426" s="15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15" t="n"/>
      <c r="B427" s="15" t="n"/>
      <c r="C427" s="15" t="n"/>
      <c r="D427" s="15" t="n"/>
      <c r="E427">
        <f>IFERROR(INDEX('הגדרות'!$D$143:$D$224,MATCH(B427&amp;G427&amp;C427,'הגדרות'!$A$143:$A$224&amp;'הגדרות'!$B$143:$B$224&amp;'הגדרות'!$C$143:$C$224,0)),"")</f>
        <v/>
      </c>
      <c r="F427" s="16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15" t="n"/>
      <c r="V427" s="15" t="n"/>
      <c r="W427" s="15" t="n"/>
      <c r="X427" s="15" t="n"/>
      <c r="Y427" s="15" t="n"/>
      <c r="Z427" s="15" t="n"/>
      <c r="AA427" s="15" t="n"/>
      <c r="AB427" s="16" t="n"/>
      <c r="AC427" s="15" t="n"/>
      <c r="AD427" s="15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15" t="n"/>
      <c r="B428" s="15" t="n"/>
      <c r="C428" s="15" t="n"/>
      <c r="D428" s="15" t="n"/>
      <c r="E428">
        <f>IFERROR(INDEX('הגדרות'!$D$143:$D$224,MATCH(B428&amp;G428&amp;C428,'הגדרות'!$A$143:$A$224&amp;'הגדרות'!$B$143:$B$224&amp;'הגדרות'!$C$143:$C$224,0)),"")</f>
        <v/>
      </c>
      <c r="F428" s="16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15" t="n"/>
      <c r="V428" s="15" t="n"/>
      <c r="W428" s="15" t="n"/>
      <c r="X428" s="15" t="n"/>
      <c r="Y428" s="15" t="n"/>
      <c r="Z428" s="15" t="n"/>
      <c r="AA428" s="15" t="n"/>
      <c r="AB428" s="16" t="n"/>
      <c r="AC428" s="15" t="n"/>
      <c r="AD428" s="15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15" t="n"/>
      <c r="B429" s="15" t="n"/>
      <c r="C429" s="15" t="n"/>
      <c r="D429" s="15" t="n"/>
      <c r="E429">
        <f>IFERROR(INDEX('הגדרות'!$D$143:$D$224,MATCH(B429&amp;G429&amp;C429,'הגדרות'!$A$143:$A$224&amp;'הגדרות'!$B$143:$B$224&amp;'הגדרות'!$C$143:$C$224,0)),"")</f>
        <v/>
      </c>
      <c r="F429" s="16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15" t="n"/>
      <c r="V429" s="15" t="n"/>
      <c r="W429" s="15" t="n"/>
      <c r="X429" s="15" t="n"/>
      <c r="Y429" s="15" t="n"/>
      <c r="Z429" s="15" t="n"/>
      <c r="AA429" s="15" t="n"/>
      <c r="AB429" s="16" t="n"/>
      <c r="AC429" s="15" t="n"/>
      <c r="AD429" s="15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15" t="n"/>
      <c r="B430" s="15" t="n"/>
      <c r="C430" s="15" t="n"/>
      <c r="D430" s="15" t="n"/>
      <c r="E430">
        <f>IFERROR(INDEX('הגדרות'!$D$143:$D$224,MATCH(B430&amp;G430&amp;C430,'הגדרות'!$A$143:$A$224&amp;'הגדרות'!$B$143:$B$224&amp;'הגדרות'!$C$143:$C$224,0)),"")</f>
        <v/>
      </c>
      <c r="F430" s="16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15" t="n"/>
      <c r="V430" s="15" t="n"/>
      <c r="W430" s="15" t="n"/>
      <c r="X430" s="15" t="n"/>
      <c r="Y430" s="15" t="n"/>
      <c r="Z430" s="15" t="n"/>
      <c r="AA430" s="15" t="n"/>
      <c r="AB430" s="16" t="n"/>
      <c r="AC430" s="15" t="n"/>
      <c r="AD430" s="15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15" t="n"/>
      <c r="B431" s="15" t="n"/>
      <c r="C431" s="15" t="n"/>
      <c r="D431" s="15" t="n"/>
      <c r="E431">
        <f>IFERROR(INDEX('הגדרות'!$D$143:$D$224,MATCH(B431&amp;G431&amp;C431,'הגדרות'!$A$143:$A$224&amp;'הגדרות'!$B$143:$B$224&amp;'הגדרות'!$C$143:$C$224,0)),"")</f>
        <v/>
      </c>
      <c r="F431" s="16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15" t="n"/>
      <c r="V431" s="15" t="n"/>
      <c r="W431" s="15" t="n"/>
      <c r="X431" s="15" t="n"/>
      <c r="Y431" s="15" t="n"/>
      <c r="Z431" s="15" t="n"/>
      <c r="AA431" s="15" t="n"/>
      <c r="AB431" s="16" t="n"/>
      <c r="AC431" s="15" t="n"/>
      <c r="AD431" s="15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15" t="n"/>
      <c r="B432" s="15" t="n"/>
      <c r="C432" s="15" t="n"/>
      <c r="D432" s="15" t="n"/>
      <c r="E432">
        <f>IFERROR(INDEX('הגדרות'!$D$143:$D$224,MATCH(B432&amp;G432&amp;C432,'הגדרות'!$A$143:$A$224&amp;'הגדרות'!$B$143:$B$224&amp;'הגדרות'!$C$143:$C$224,0)),"")</f>
        <v/>
      </c>
      <c r="F432" s="16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15" t="n"/>
      <c r="V432" s="15" t="n"/>
      <c r="W432" s="15" t="n"/>
      <c r="X432" s="15" t="n"/>
      <c r="Y432" s="15" t="n"/>
      <c r="Z432" s="15" t="n"/>
      <c r="AA432" s="15" t="n"/>
      <c r="AB432" s="16" t="n"/>
      <c r="AC432" s="15" t="n"/>
      <c r="AD432" s="15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15" t="n"/>
      <c r="B433" s="15" t="n"/>
      <c r="C433" s="15" t="n"/>
      <c r="D433" s="15" t="n"/>
      <c r="E433">
        <f>IFERROR(INDEX('הגדרות'!$D$143:$D$224,MATCH(B433&amp;G433&amp;C433,'הגדרות'!$A$143:$A$224&amp;'הגדרות'!$B$143:$B$224&amp;'הגדרות'!$C$143:$C$224,0)),"")</f>
        <v/>
      </c>
      <c r="F433" s="16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15" t="n"/>
      <c r="V433" s="15" t="n"/>
      <c r="W433" s="15" t="n"/>
      <c r="X433" s="15" t="n"/>
      <c r="Y433" s="15" t="n"/>
      <c r="Z433" s="15" t="n"/>
      <c r="AA433" s="15" t="n"/>
      <c r="AB433" s="16" t="n"/>
      <c r="AC433" s="15" t="n"/>
      <c r="AD433" s="15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15" t="n"/>
      <c r="B434" s="15" t="n"/>
      <c r="C434" s="15" t="n"/>
      <c r="D434" s="15" t="n"/>
      <c r="E434">
        <f>IFERROR(INDEX('הגדרות'!$D$143:$D$224,MATCH(B434&amp;G434&amp;C434,'הגדרות'!$A$143:$A$224&amp;'הגדרות'!$B$143:$B$224&amp;'הגדרות'!$C$143:$C$224,0)),"")</f>
        <v/>
      </c>
      <c r="F434" s="16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15" t="n"/>
      <c r="V434" s="15" t="n"/>
      <c r="W434" s="15" t="n"/>
      <c r="X434" s="15" t="n"/>
      <c r="Y434" s="15" t="n"/>
      <c r="Z434" s="15" t="n"/>
      <c r="AA434" s="15" t="n"/>
      <c r="AB434" s="16" t="n"/>
      <c r="AC434" s="15" t="n"/>
      <c r="AD434" s="15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15" t="n"/>
      <c r="B435" s="15" t="n"/>
      <c r="C435" s="15" t="n"/>
      <c r="D435" s="15" t="n"/>
      <c r="E435">
        <f>IFERROR(INDEX('הגדרות'!$D$143:$D$224,MATCH(B435&amp;G435&amp;C435,'הגדרות'!$A$143:$A$224&amp;'הגדרות'!$B$143:$B$224&amp;'הגדרות'!$C$143:$C$224,0)),"")</f>
        <v/>
      </c>
      <c r="F435" s="16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15" t="n"/>
      <c r="V435" s="15" t="n"/>
      <c r="W435" s="15" t="n"/>
      <c r="X435" s="15" t="n"/>
      <c r="Y435" s="15" t="n"/>
      <c r="Z435" s="15" t="n"/>
      <c r="AA435" s="15" t="n"/>
      <c r="AB435" s="16" t="n"/>
      <c r="AC435" s="15" t="n"/>
      <c r="AD435" s="15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15" t="n"/>
      <c r="B436" s="15" t="n"/>
      <c r="C436" s="15" t="n"/>
      <c r="D436" s="15" t="n"/>
      <c r="E436">
        <f>IFERROR(INDEX('הגדרות'!$D$143:$D$224,MATCH(B436&amp;G436&amp;C436,'הגדרות'!$A$143:$A$224&amp;'הגדרות'!$B$143:$B$224&amp;'הגדרות'!$C$143:$C$224,0)),"")</f>
        <v/>
      </c>
      <c r="F436" s="16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15" t="n"/>
      <c r="V436" s="15" t="n"/>
      <c r="W436" s="15" t="n"/>
      <c r="X436" s="15" t="n"/>
      <c r="Y436" s="15" t="n"/>
      <c r="Z436" s="15" t="n"/>
      <c r="AA436" s="15" t="n"/>
      <c r="AB436" s="16" t="n"/>
      <c r="AC436" s="15" t="n"/>
      <c r="AD436" s="15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15" t="n"/>
      <c r="B437" s="15" t="n"/>
      <c r="C437" s="15" t="n"/>
      <c r="D437" s="15" t="n"/>
      <c r="E437">
        <f>IFERROR(INDEX('הגדרות'!$D$143:$D$224,MATCH(B437&amp;G437&amp;C437,'הגדרות'!$A$143:$A$224&amp;'הגדרות'!$B$143:$B$224&amp;'הגדרות'!$C$143:$C$224,0)),"")</f>
        <v/>
      </c>
      <c r="F437" s="16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15" t="n"/>
      <c r="V437" s="15" t="n"/>
      <c r="W437" s="15" t="n"/>
      <c r="X437" s="15" t="n"/>
      <c r="Y437" s="15" t="n"/>
      <c r="Z437" s="15" t="n"/>
      <c r="AA437" s="15" t="n"/>
      <c r="AB437" s="16" t="n"/>
      <c r="AC437" s="15" t="n"/>
      <c r="AD437" s="15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15" t="n"/>
      <c r="B438" s="15" t="n"/>
      <c r="C438" s="15" t="n"/>
      <c r="D438" s="15" t="n"/>
      <c r="E438">
        <f>IFERROR(INDEX('הגדרות'!$D$143:$D$224,MATCH(B438&amp;G438&amp;C438,'הגדרות'!$A$143:$A$224&amp;'הגדרות'!$B$143:$B$224&amp;'הגדרות'!$C$143:$C$224,0)),"")</f>
        <v/>
      </c>
      <c r="F438" s="16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15" t="n"/>
      <c r="V438" s="15" t="n"/>
      <c r="W438" s="15" t="n"/>
      <c r="X438" s="15" t="n"/>
      <c r="Y438" s="15" t="n"/>
      <c r="Z438" s="15" t="n"/>
      <c r="AA438" s="15" t="n"/>
      <c r="AB438" s="16" t="n"/>
      <c r="AC438" s="15" t="n"/>
      <c r="AD438" s="15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15" t="n"/>
      <c r="B439" s="15" t="n"/>
      <c r="C439" s="15" t="n"/>
      <c r="D439" s="15" t="n"/>
      <c r="E439">
        <f>IFERROR(INDEX('הגדרות'!$D$143:$D$224,MATCH(B439&amp;G439&amp;C439,'הגדרות'!$A$143:$A$224&amp;'הגדרות'!$B$143:$B$224&amp;'הגדרות'!$C$143:$C$224,0)),"")</f>
        <v/>
      </c>
      <c r="F439" s="16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15" t="n"/>
      <c r="V439" s="15" t="n"/>
      <c r="W439" s="15" t="n"/>
      <c r="X439" s="15" t="n"/>
      <c r="Y439" s="15" t="n"/>
      <c r="Z439" s="15" t="n"/>
      <c r="AA439" s="15" t="n"/>
      <c r="AB439" s="16" t="n"/>
      <c r="AC439" s="15" t="n"/>
      <c r="AD439" s="15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15" t="n"/>
      <c r="B440" s="15" t="n"/>
      <c r="C440" s="15" t="n"/>
      <c r="D440" s="15" t="n"/>
      <c r="E440">
        <f>IFERROR(INDEX('הגדרות'!$D$143:$D$224,MATCH(B440&amp;G440&amp;C440,'הגדרות'!$A$143:$A$224&amp;'הגדרות'!$B$143:$B$224&amp;'הגדרות'!$C$143:$C$224,0)),"")</f>
        <v/>
      </c>
      <c r="F440" s="16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15" t="n"/>
      <c r="V440" s="15" t="n"/>
      <c r="W440" s="15" t="n"/>
      <c r="X440" s="15" t="n"/>
      <c r="Y440" s="15" t="n"/>
      <c r="Z440" s="15" t="n"/>
      <c r="AA440" s="15" t="n"/>
      <c r="AB440" s="16" t="n"/>
      <c r="AC440" s="15" t="n"/>
      <c r="AD440" s="15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15" t="n"/>
      <c r="B441" s="15" t="n"/>
      <c r="C441" s="15" t="n"/>
      <c r="D441" s="15" t="n"/>
      <c r="E441">
        <f>IFERROR(INDEX('הגדרות'!$D$143:$D$224,MATCH(B441&amp;G441&amp;C441,'הגדרות'!$A$143:$A$224&amp;'הגדרות'!$B$143:$B$224&amp;'הגדרות'!$C$143:$C$224,0)),"")</f>
        <v/>
      </c>
      <c r="F441" s="16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15" t="n"/>
      <c r="V441" s="15" t="n"/>
      <c r="W441" s="15" t="n"/>
      <c r="X441" s="15" t="n"/>
      <c r="Y441" s="15" t="n"/>
      <c r="Z441" s="15" t="n"/>
      <c r="AA441" s="15" t="n"/>
      <c r="AB441" s="16" t="n"/>
      <c r="AC441" s="15" t="n"/>
      <c r="AD441" s="15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15" t="n"/>
      <c r="B442" s="15" t="n"/>
      <c r="C442" s="15" t="n"/>
      <c r="D442" s="15" t="n"/>
      <c r="E442">
        <f>IFERROR(INDEX('הגדרות'!$D$143:$D$224,MATCH(B442&amp;G442&amp;C442,'הגדרות'!$A$143:$A$224&amp;'הגדרות'!$B$143:$B$224&amp;'הגדרות'!$C$143:$C$224,0)),"")</f>
        <v/>
      </c>
      <c r="F442" s="16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15" t="n"/>
      <c r="V442" s="15" t="n"/>
      <c r="W442" s="15" t="n"/>
      <c r="X442" s="15" t="n"/>
      <c r="Y442" s="15" t="n"/>
      <c r="Z442" s="15" t="n"/>
      <c r="AA442" s="15" t="n"/>
      <c r="AB442" s="16" t="n"/>
      <c r="AC442" s="15" t="n"/>
      <c r="AD442" s="15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15" t="n"/>
      <c r="B443" s="15" t="n"/>
      <c r="C443" s="15" t="n"/>
      <c r="D443" s="15" t="n"/>
      <c r="E443">
        <f>IFERROR(INDEX('הגדרות'!$D$143:$D$224,MATCH(B443&amp;G443&amp;C443,'הגדרות'!$A$143:$A$224&amp;'הגדרות'!$B$143:$B$224&amp;'הגדרות'!$C$143:$C$224,0)),"")</f>
        <v/>
      </c>
      <c r="F443" s="16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15" t="n"/>
      <c r="V443" s="15" t="n"/>
      <c r="W443" s="15" t="n"/>
      <c r="X443" s="15" t="n"/>
      <c r="Y443" s="15" t="n"/>
      <c r="Z443" s="15" t="n"/>
      <c r="AA443" s="15" t="n"/>
      <c r="AB443" s="16" t="n"/>
      <c r="AC443" s="15" t="n"/>
      <c r="AD443" s="15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15" t="n"/>
      <c r="B444" s="15" t="n"/>
      <c r="C444" s="15" t="n"/>
      <c r="D444" s="15" t="n"/>
      <c r="E444">
        <f>IFERROR(INDEX('הגדרות'!$D$143:$D$224,MATCH(B444&amp;G444&amp;C444,'הגדרות'!$A$143:$A$224&amp;'הגדרות'!$B$143:$B$224&amp;'הגדרות'!$C$143:$C$224,0)),"")</f>
        <v/>
      </c>
      <c r="F444" s="16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15" t="n"/>
      <c r="V444" s="15" t="n"/>
      <c r="W444" s="15" t="n"/>
      <c r="X444" s="15" t="n"/>
      <c r="Y444" s="15" t="n"/>
      <c r="Z444" s="15" t="n"/>
      <c r="AA444" s="15" t="n"/>
      <c r="AB444" s="16" t="n"/>
      <c r="AC444" s="15" t="n"/>
      <c r="AD444" s="15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15" t="n"/>
      <c r="B445" s="15" t="n"/>
      <c r="C445" s="15" t="n"/>
      <c r="D445" s="15" t="n"/>
      <c r="E445">
        <f>IFERROR(INDEX('הגדרות'!$D$143:$D$224,MATCH(B445&amp;G445&amp;C445,'הגדרות'!$A$143:$A$224&amp;'הגדרות'!$B$143:$B$224&amp;'הגדרות'!$C$143:$C$224,0)),"")</f>
        <v/>
      </c>
      <c r="F445" s="16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15" t="n"/>
      <c r="V445" s="15" t="n"/>
      <c r="W445" s="15" t="n"/>
      <c r="X445" s="15" t="n"/>
      <c r="Y445" s="15" t="n"/>
      <c r="Z445" s="15" t="n"/>
      <c r="AA445" s="15" t="n"/>
      <c r="AB445" s="16" t="n"/>
      <c r="AC445" s="15" t="n"/>
      <c r="AD445" s="15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15" t="n"/>
      <c r="B446" s="15" t="n"/>
      <c r="C446" s="15" t="n"/>
      <c r="D446" s="15" t="n"/>
      <c r="E446">
        <f>IFERROR(INDEX('הגדרות'!$D$143:$D$224,MATCH(B446&amp;G446&amp;C446,'הגדרות'!$A$143:$A$224&amp;'הגדרות'!$B$143:$B$224&amp;'הגדרות'!$C$143:$C$224,0)),"")</f>
        <v/>
      </c>
      <c r="F446" s="16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15" t="n"/>
      <c r="V446" s="15" t="n"/>
      <c r="W446" s="15" t="n"/>
      <c r="X446" s="15" t="n"/>
      <c r="Y446" s="15" t="n"/>
      <c r="Z446" s="15" t="n"/>
      <c r="AA446" s="15" t="n"/>
      <c r="AB446" s="16" t="n"/>
      <c r="AC446" s="15" t="n"/>
      <c r="AD446" s="15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15" t="n"/>
      <c r="B447" s="15" t="n"/>
      <c r="C447" s="15" t="n"/>
      <c r="D447" s="15" t="n"/>
      <c r="E447">
        <f>IFERROR(INDEX('הגדרות'!$D$143:$D$224,MATCH(B447&amp;G447&amp;C447,'הגדרות'!$A$143:$A$224&amp;'הגדרות'!$B$143:$B$224&amp;'הגדרות'!$C$143:$C$224,0)),"")</f>
        <v/>
      </c>
      <c r="F447" s="16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15" t="n"/>
      <c r="V447" s="15" t="n"/>
      <c r="W447" s="15" t="n"/>
      <c r="X447" s="15" t="n"/>
      <c r="Y447" s="15" t="n"/>
      <c r="Z447" s="15" t="n"/>
      <c r="AA447" s="15" t="n"/>
      <c r="AB447" s="16" t="n"/>
      <c r="AC447" s="15" t="n"/>
      <c r="AD447" s="15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15" t="n"/>
      <c r="B448" s="15" t="n"/>
      <c r="C448" s="15" t="n"/>
      <c r="D448" s="15" t="n"/>
      <c r="E448">
        <f>IFERROR(INDEX('הגדרות'!$D$143:$D$224,MATCH(B448&amp;G448&amp;C448,'הגדרות'!$A$143:$A$224&amp;'הגדרות'!$B$143:$B$224&amp;'הגדרות'!$C$143:$C$224,0)),"")</f>
        <v/>
      </c>
      <c r="F448" s="16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15" t="n"/>
      <c r="V448" s="15" t="n"/>
      <c r="W448" s="15" t="n"/>
      <c r="X448" s="15" t="n"/>
      <c r="Y448" s="15" t="n"/>
      <c r="Z448" s="15" t="n"/>
      <c r="AA448" s="15" t="n"/>
      <c r="AB448" s="16" t="n"/>
      <c r="AC448" s="15" t="n"/>
      <c r="AD448" s="15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15" t="n"/>
      <c r="B449" s="15" t="n"/>
      <c r="C449" s="15" t="n"/>
      <c r="D449" s="15" t="n"/>
      <c r="E449">
        <f>IFERROR(INDEX('הגדרות'!$D$143:$D$224,MATCH(B449&amp;G449&amp;C449,'הגדרות'!$A$143:$A$224&amp;'הגדרות'!$B$143:$B$224&amp;'הגדרות'!$C$143:$C$224,0)),"")</f>
        <v/>
      </c>
      <c r="F449" s="16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15" t="n"/>
      <c r="V449" s="15" t="n"/>
      <c r="W449" s="15" t="n"/>
      <c r="X449" s="15" t="n"/>
      <c r="Y449" s="15" t="n"/>
      <c r="Z449" s="15" t="n"/>
      <c r="AA449" s="15" t="n"/>
      <c r="AB449" s="16" t="n"/>
      <c r="AC449" s="15" t="n"/>
      <c r="AD449" s="15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15" t="n"/>
      <c r="B450" s="15" t="n"/>
      <c r="C450" s="15" t="n"/>
      <c r="D450" s="15" t="n"/>
      <c r="E450">
        <f>IFERROR(INDEX('הגדרות'!$D$143:$D$224,MATCH(B450&amp;G450&amp;C450,'הגדרות'!$A$143:$A$224&amp;'הגדרות'!$B$143:$B$224&amp;'הגדרות'!$C$143:$C$224,0)),"")</f>
        <v/>
      </c>
      <c r="F450" s="16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15" t="n"/>
      <c r="V450" s="15" t="n"/>
      <c r="W450" s="15" t="n"/>
      <c r="X450" s="15" t="n"/>
      <c r="Y450" s="15" t="n"/>
      <c r="Z450" s="15" t="n"/>
      <c r="AA450" s="15" t="n"/>
      <c r="AB450" s="16" t="n"/>
      <c r="AC450" s="15" t="n"/>
      <c r="AD450" s="15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15" t="n"/>
      <c r="B451" s="15" t="n"/>
      <c r="C451" s="15" t="n"/>
      <c r="D451" s="15" t="n"/>
      <c r="E451">
        <f>IFERROR(INDEX('הגדרות'!$D$143:$D$224,MATCH(B451&amp;G451&amp;C451,'הגדרות'!$A$143:$A$224&amp;'הגדרות'!$B$143:$B$224&amp;'הגדרות'!$C$143:$C$224,0)),"")</f>
        <v/>
      </c>
      <c r="F451" s="16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15" t="n"/>
      <c r="V451" s="15" t="n"/>
      <c r="W451" s="15" t="n"/>
      <c r="X451" s="15" t="n"/>
      <c r="Y451" s="15" t="n"/>
      <c r="Z451" s="15" t="n"/>
      <c r="AA451" s="15" t="n"/>
      <c r="AB451" s="16" t="n"/>
      <c r="AC451" s="15" t="n"/>
      <c r="AD451" s="15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15" t="n"/>
      <c r="B452" s="15" t="n"/>
      <c r="C452" s="15" t="n"/>
      <c r="D452" s="15" t="n"/>
      <c r="E452">
        <f>IFERROR(INDEX('הגדרות'!$D$143:$D$224,MATCH(B452&amp;G452&amp;C452,'הגדרות'!$A$143:$A$224&amp;'הגדרות'!$B$143:$B$224&amp;'הגדרות'!$C$143:$C$224,0)),"")</f>
        <v/>
      </c>
      <c r="F452" s="16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15" t="n"/>
      <c r="V452" s="15" t="n"/>
      <c r="W452" s="15" t="n"/>
      <c r="X452" s="15" t="n"/>
      <c r="Y452" s="15" t="n"/>
      <c r="Z452" s="15" t="n"/>
      <c r="AA452" s="15" t="n"/>
      <c r="AB452" s="16" t="n"/>
      <c r="AC452" s="15" t="n"/>
      <c r="AD452" s="15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15" t="n"/>
      <c r="B453" s="15" t="n"/>
      <c r="C453" s="15" t="n"/>
      <c r="D453" s="15" t="n"/>
      <c r="E453">
        <f>IFERROR(INDEX('הגדרות'!$D$143:$D$224,MATCH(B453&amp;G453&amp;C453,'הגדרות'!$A$143:$A$224&amp;'הגדרות'!$B$143:$B$224&amp;'הגדרות'!$C$143:$C$224,0)),"")</f>
        <v/>
      </c>
      <c r="F453" s="16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15" t="n"/>
      <c r="V453" s="15" t="n"/>
      <c r="W453" s="15" t="n"/>
      <c r="X453" s="15" t="n"/>
      <c r="Y453" s="15" t="n"/>
      <c r="Z453" s="15" t="n"/>
      <c r="AA453" s="15" t="n"/>
      <c r="AB453" s="16" t="n"/>
      <c r="AC453" s="15" t="n"/>
      <c r="AD453" s="15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15" t="n"/>
      <c r="B454" s="15" t="n"/>
      <c r="C454" s="15" t="n"/>
      <c r="D454" s="15" t="n"/>
      <c r="E454">
        <f>IFERROR(INDEX('הגדרות'!$D$143:$D$224,MATCH(B454&amp;G454&amp;C454,'הגדרות'!$A$143:$A$224&amp;'הגדרות'!$B$143:$B$224&amp;'הגדרות'!$C$143:$C$224,0)),"")</f>
        <v/>
      </c>
      <c r="F454" s="16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15" t="n"/>
      <c r="V454" s="15" t="n"/>
      <c r="W454" s="15" t="n"/>
      <c r="X454" s="15" t="n"/>
      <c r="Y454" s="15" t="n"/>
      <c r="Z454" s="15" t="n"/>
      <c r="AA454" s="15" t="n"/>
      <c r="AB454" s="16" t="n"/>
      <c r="AC454" s="15" t="n"/>
      <c r="AD454" s="15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15" t="n"/>
      <c r="B455" s="15" t="n"/>
      <c r="C455" s="15" t="n"/>
      <c r="D455" s="15" t="n"/>
      <c r="E455">
        <f>IFERROR(INDEX('הגדרות'!$D$143:$D$224,MATCH(B455&amp;G455&amp;C455,'הגדרות'!$A$143:$A$224&amp;'הגדרות'!$B$143:$B$224&amp;'הגדרות'!$C$143:$C$224,0)),"")</f>
        <v/>
      </c>
      <c r="F455" s="16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15" t="n"/>
      <c r="V455" s="15" t="n"/>
      <c r="W455" s="15" t="n"/>
      <c r="X455" s="15" t="n"/>
      <c r="Y455" s="15" t="n"/>
      <c r="Z455" s="15" t="n"/>
      <c r="AA455" s="15" t="n"/>
      <c r="AB455" s="16" t="n"/>
      <c r="AC455" s="15" t="n"/>
      <c r="AD455" s="15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15" t="n"/>
      <c r="B456" s="15" t="n"/>
      <c r="C456" s="15" t="n"/>
      <c r="D456" s="15" t="n"/>
      <c r="E456">
        <f>IFERROR(INDEX('הגדרות'!$D$143:$D$224,MATCH(B456&amp;G456&amp;C456,'הגדרות'!$A$143:$A$224&amp;'הגדרות'!$B$143:$B$224&amp;'הגדרות'!$C$143:$C$224,0)),"")</f>
        <v/>
      </c>
      <c r="F456" s="16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15" t="n"/>
      <c r="V456" s="15" t="n"/>
      <c r="W456" s="15" t="n"/>
      <c r="X456" s="15" t="n"/>
      <c r="Y456" s="15" t="n"/>
      <c r="Z456" s="15" t="n"/>
      <c r="AA456" s="15" t="n"/>
      <c r="AB456" s="16" t="n"/>
      <c r="AC456" s="15" t="n"/>
      <c r="AD456" s="15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15" t="n"/>
      <c r="B457" s="15" t="n"/>
      <c r="C457" s="15" t="n"/>
      <c r="D457" s="15" t="n"/>
      <c r="E457">
        <f>IFERROR(INDEX('הגדרות'!$D$143:$D$224,MATCH(B457&amp;G457&amp;C457,'הגדרות'!$A$143:$A$224&amp;'הגדרות'!$B$143:$B$224&amp;'הגדרות'!$C$143:$C$224,0)),"")</f>
        <v/>
      </c>
      <c r="F457" s="16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15" t="n"/>
      <c r="V457" s="15" t="n"/>
      <c r="W457" s="15" t="n"/>
      <c r="X457" s="15" t="n"/>
      <c r="Y457" s="15" t="n"/>
      <c r="Z457" s="15" t="n"/>
      <c r="AA457" s="15" t="n"/>
      <c r="AB457" s="16" t="n"/>
      <c r="AC457" s="15" t="n"/>
      <c r="AD457" s="15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15" t="n"/>
      <c r="B458" s="15" t="n"/>
      <c r="C458" s="15" t="n"/>
      <c r="D458" s="15" t="n"/>
      <c r="E458">
        <f>IFERROR(INDEX('הגדרות'!$D$143:$D$224,MATCH(B458&amp;G458&amp;C458,'הגדרות'!$A$143:$A$224&amp;'הגדרות'!$B$143:$B$224&amp;'הגדרות'!$C$143:$C$224,0)),"")</f>
        <v/>
      </c>
      <c r="F458" s="16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15" t="n"/>
      <c r="V458" s="15" t="n"/>
      <c r="W458" s="15" t="n"/>
      <c r="X458" s="15" t="n"/>
      <c r="Y458" s="15" t="n"/>
      <c r="Z458" s="15" t="n"/>
      <c r="AA458" s="15" t="n"/>
      <c r="AB458" s="16" t="n"/>
      <c r="AC458" s="15" t="n"/>
      <c r="AD458" s="15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15" t="n"/>
      <c r="B459" s="15" t="n"/>
      <c r="C459" s="15" t="n"/>
      <c r="D459" s="15" t="n"/>
      <c r="E459">
        <f>IFERROR(INDEX('הגדרות'!$D$143:$D$224,MATCH(B459&amp;G459&amp;C459,'הגדרות'!$A$143:$A$224&amp;'הגדרות'!$B$143:$B$224&amp;'הגדרות'!$C$143:$C$224,0)),"")</f>
        <v/>
      </c>
      <c r="F459" s="16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15" t="n"/>
      <c r="V459" s="15" t="n"/>
      <c r="W459" s="15" t="n"/>
      <c r="X459" s="15" t="n"/>
      <c r="Y459" s="15" t="n"/>
      <c r="Z459" s="15" t="n"/>
      <c r="AA459" s="15" t="n"/>
      <c r="AB459" s="16" t="n"/>
      <c r="AC459" s="15" t="n"/>
      <c r="AD459" s="15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15" t="n"/>
      <c r="B460" s="15" t="n"/>
      <c r="C460" s="15" t="n"/>
      <c r="D460" s="15" t="n"/>
      <c r="E460">
        <f>IFERROR(INDEX('הגדרות'!$D$143:$D$224,MATCH(B460&amp;G460&amp;C460,'הגדרות'!$A$143:$A$224&amp;'הגדרות'!$B$143:$B$224&amp;'הגדרות'!$C$143:$C$224,0)),"")</f>
        <v/>
      </c>
      <c r="F460" s="16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15" t="n"/>
      <c r="V460" s="15" t="n"/>
      <c r="W460" s="15" t="n"/>
      <c r="X460" s="15" t="n"/>
      <c r="Y460" s="15" t="n"/>
      <c r="Z460" s="15" t="n"/>
      <c r="AA460" s="15" t="n"/>
      <c r="AB460" s="16" t="n"/>
      <c r="AC460" s="15" t="n"/>
      <c r="AD460" s="15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15" t="n"/>
      <c r="B461" s="15" t="n"/>
      <c r="C461" s="15" t="n"/>
      <c r="D461" s="15" t="n"/>
      <c r="E461">
        <f>IFERROR(INDEX('הגדרות'!$D$143:$D$224,MATCH(B461&amp;G461&amp;C461,'הגדרות'!$A$143:$A$224&amp;'הגדרות'!$B$143:$B$224&amp;'הגדרות'!$C$143:$C$224,0)),"")</f>
        <v/>
      </c>
      <c r="F461" s="16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15" t="n"/>
      <c r="V461" s="15" t="n"/>
      <c r="W461" s="15" t="n"/>
      <c r="X461" s="15" t="n"/>
      <c r="Y461" s="15" t="n"/>
      <c r="Z461" s="15" t="n"/>
      <c r="AA461" s="15" t="n"/>
      <c r="AB461" s="16" t="n"/>
      <c r="AC461" s="15" t="n"/>
      <c r="AD461" s="15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15" t="n"/>
      <c r="B462" s="15" t="n"/>
      <c r="C462" s="15" t="n"/>
      <c r="D462" s="15" t="n"/>
      <c r="E462">
        <f>IFERROR(INDEX('הגדרות'!$D$143:$D$224,MATCH(B462&amp;G462&amp;C462,'הגדרות'!$A$143:$A$224&amp;'הגדרות'!$B$143:$B$224&amp;'הגדרות'!$C$143:$C$224,0)),"")</f>
        <v/>
      </c>
      <c r="F462" s="16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15" t="n"/>
      <c r="V462" s="15" t="n"/>
      <c r="W462" s="15" t="n"/>
      <c r="X462" s="15" t="n"/>
      <c r="Y462" s="15" t="n"/>
      <c r="Z462" s="15" t="n"/>
      <c r="AA462" s="15" t="n"/>
      <c r="AB462" s="16" t="n"/>
      <c r="AC462" s="15" t="n"/>
      <c r="AD462" s="15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15" t="n"/>
      <c r="B463" s="15" t="n"/>
      <c r="C463" s="15" t="n"/>
      <c r="D463" s="15" t="n"/>
      <c r="E463">
        <f>IFERROR(INDEX('הגדרות'!$D$143:$D$224,MATCH(B463&amp;G463&amp;C463,'הגדרות'!$A$143:$A$224&amp;'הגדרות'!$B$143:$B$224&amp;'הגדרות'!$C$143:$C$224,0)),"")</f>
        <v/>
      </c>
      <c r="F463" s="16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15" t="n"/>
      <c r="V463" s="15" t="n"/>
      <c r="W463" s="15" t="n"/>
      <c r="X463" s="15" t="n"/>
      <c r="Y463" s="15" t="n"/>
      <c r="Z463" s="15" t="n"/>
      <c r="AA463" s="15" t="n"/>
      <c r="AB463" s="16" t="n"/>
      <c r="AC463" s="15" t="n"/>
      <c r="AD463" s="15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15" t="n"/>
      <c r="B464" s="15" t="n"/>
      <c r="C464" s="15" t="n"/>
      <c r="D464" s="15" t="n"/>
      <c r="E464">
        <f>IFERROR(INDEX('הגדרות'!$D$143:$D$224,MATCH(B464&amp;G464&amp;C464,'הגדרות'!$A$143:$A$224&amp;'הגדרות'!$B$143:$B$224&amp;'הגדרות'!$C$143:$C$224,0)),"")</f>
        <v/>
      </c>
      <c r="F464" s="16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15" t="n"/>
      <c r="V464" s="15" t="n"/>
      <c r="W464" s="15" t="n"/>
      <c r="X464" s="15" t="n"/>
      <c r="Y464" s="15" t="n"/>
      <c r="Z464" s="15" t="n"/>
      <c r="AA464" s="15" t="n"/>
      <c r="AB464" s="16" t="n"/>
      <c r="AC464" s="15" t="n"/>
      <c r="AD464" s="15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15" t="n"/>
      <c r="B465" s="15" t="n"/>
      <c r="C465" s="15" t="n"/>
      <c r="D465" s="15" t="n"/>
      <c r="E465">
        <f>IFERROR(INDEX('הגדרות'!$D$143:$D$224,MATCH(B465&amp;G465&amp;C465,'הגדרות'!$A$143:$A$224&amp;'הגדרות'!$B$143:$B$224&amp;'הגדרות'!$C$143:$C$224,0)),"")</f>
        <v/>
      </c>
      <c r="F465" s="16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15" t="n"/>
      <c r="V465" s="15" t="n"/>
      <c r="W465" s="15" t="n"/>
      <c r="X465" s="15" t="n"/>
      <c r="Y465" s="15" t="n"/>
      <c r="Z465" s="15" t="n"/>
      <c r="AA465" s="15" t="n"/>
      <c r="AB465" s="16" t="n"/>
      <c r="AC465" s="15" t="n"/>
      <c r="AD465" s="15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15" t="n"/>
      <c r="B466" s="15" t="n"/>
      <c r="C466" s="15" t="n"/>
      <c r="D466" s="15" t="n"/>
      <c r="E466">
        <f>IFERROR(INDEX('הגדרות'!$D$143:$D$224,MATCH(B466&amp;G466&amp;C466,'הגדרות'!$A$143:$A$224&amp;'הגדרות'!$B$143:$B$224&amp;'הגדרות'!$C$143:$C$224,0)),"")</f>
        <v/>
      </c>
      <c r="F466" s="16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15" t="n"/>
      <c r="V466" s="15" t="n"/>
      <c r="W466" s="15" t="n"/>
      <c r="X466" s="15" t="n"/>
      <c r="Y466" s="15" t="n"/>
      <c r="Z466" s="15" t="n"/>
      <c r="AA466" s="15" t="n"/>
      <c r="AB466" s="16" t="n"/>
      <c r="AC466" s="15" t="n"/>
      <c r="AD466" s="15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15" t="n"/>
      <c r="B467" s="15" t="n"/>
      <c r="C467" s="15" t="n"/>
      <c r="D467" s="15" t="n"/>
      <c r="E467">
        <f>IFERROR(INDEX('הגדרות'!$D$143:$D$224,MATCH(B467&amp;G467&amp;C467,'הגדרות'!$A$143:$A$224&amp;'הגדרות'!$B$143:$B$224&amp;'הגדרות'!$C$143:$C$224,0)),"")</f>
        <v/>
      </c>
      <c r="F467" s="16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15" t="n"/>
      <c r="V467" s="15" t="n"/>
      <c r="W467" s="15" t="n"/>
      <c r="X467" s="15" t="n"/>
      <c r="Y467" s="15" t="n"/>
      <c r="Z467" s="15" t="n"/>
      <c r="AA467" s="15" t="n"/>
      <c r="AB467" s="16" t="n"/>
      <c r="AC467" s="15" t="n"/>
      <c r="AD467" s="15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15" t="n"/>
      <c r="B468" s="15" t="n"/>
      <c r="C468" s="15" t="n"/>
      <c r="D468" s="15" t="n"/>
      <c r="E468">
        <f>IFERROR(INDEX('הגדרות'!$D$143:$D$224,MATCH(B468&amp;G468&amp;C468,'הגדרות'!$A$143:$A$224&amp;'הגדרות'!$B$143:$B$224&amp;'הגדרות'!$C$143:$C$224,0)),"")</f>
        <v/>
      </c>
      <c r="F468" s="16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15" t="n"/>
      <c r="V468" s="15" t="n"/>
      <c r="W468" s="15" t="n"/>
      <c r="X468" s="15" t="n"/>
      <c r="Y468" s="15" t="n"/>
      <c r="Z468" s="15" t="n"/>
      <c r="AA468" s="15" t="n"/>
      <c r="AB468" s="16" t="n"/>
      <c r="AC468" s="15" t="n"/>
      <c r="AD468" s="15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15" t="n"/>
      <c r="B469" s="15" t="n"/>
      <c r="C469" s="15" t="n"/>
      <c r="D469" s="15" t="n"/>
      <c r="E469">
        <f>IFERROR(INDEX('הגדרות'!$D$143:$D$224,MATCH(B469&amp;G469&amp;C469,'הגדרות'!$A$143:$A$224&amp;'הגדרות'!$B$143:$B$224&amp;'הגדרות'!$C$143:$C$224,0)),"")</f>
        <v/>
      </c>
      <c r="F469" s="16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15" t="n"/>
      <c r="V469" s="15" t="n"/>
      <c r="W469" s="15" t="n"/>
      <c r="X469" s="15" t="n"/>
      <c r="Y469" s="15" t="n"/>
      <c r="Z469" s="15" t="n"/>
      <c r="AA469" s="15" t="n"/>
      <c r="AB469" s="16" t="n"/>
      <c r="AC469" s="15" t="n"/>
      <c r="AD469" s="15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15" t="n"/>
      <c r="B470" s="15" t="n"/>
      <c r="C470" s="15" t="n"/>
      <c r="D470" s="15" t="n"/>
      <c r="E470">
        <f>IFERROR(INDEX('הגדרות'!$D$143:$D$224,MATCH(B470&amp;G470&amp;C470,'הגדרות'!$A$143:$A$224&amp;'הגדרות'!$B$143:$B$224&amp;'הגדרות'!$C$143:$C$224,0)),"")</f>
        <v/>
      </c>
      <c r="F470" s="16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15" t="n"/>
      <c r="V470" s="15" t="n"/>
      <c r="W470" s="15" t="n"/>
      <c r="X470" s="15" t="n"/>
      <c r="Y470" s="15" t="n"/>
      <c r="Z470" s="15" t="n"/>
      <c r="AA470" s="15" t="n"/>
      <c r="AB470" s="16" t="n"/>
      <c r="AC470" s="15" t="n"/>
      <c r="AD470" s="15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15" t="n"/>
      <c r="B471" s="15" t="n"/>
      <c r="C471" s="15" t="n"/>
      <c r="D471" s="15" t="n"/>
      <c r="E471">
        <f>IFERROR(INDEX('הגדרות'!$D$143:$D$224,MATCH(B471&amp;G471&amp;C471,'הגדרות'!$A$143:$A$224&amp;'הגדרות'!$B$143:$B$224&amp;'הגדרות'!$C$143:$C$224,0)),"")</f>
        <v/>
      </c>
      <c r="F471" s="16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15" t="n"/>
      <c r="V471" s="15" t="n"/>
      <c r="W471" s="15" t="n"/>
      <c r="X471" s="15" t="n"/>
      <c r="Y471" s="15" t="n"/>
      <c r="Z471" s="15" t="n"/>
      <c r="AA471" s="15" t="n"/>
      <c r="AB471" s="16" t="n"/>
      <c r="AC471" s="15" t="n"/>
      <c r="AD471" s="15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15" t="n"/>
      <c r="B472" s="15" t="n"/>
      <c r="C472" s="15" t="n"/>
      <c r="D472" s="15" t="n"/>
      <c r="E472">
        <f>IFERROR(INDEX('הגדרות'!$D$143:$D$224,MATCH(B472&amp;G472&amp;C472,'הגדרות'!$A$143:$A$224&amp;'הגדרות'!$B$143:$B$224&amp;'הגדרות'!$C$143:$C$224,0)),"")</f>
        <v/>
      </c>
      <c r="F472" s="16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15" t="n"/>
      <c r="V472" s="15" t="n"/>
      <c r="W472" s="15" t="n"/>
      <c r="X472" s="15" t="n"/>
      <c r="Y472" s="15" t="n"/>
      <c r="Z472" s="15" t="n"/>
      <c r="AA472" s="15" t="n"/>
      <c r="AB472" s="16" t="n"/>
      <c r="AC472" s="15" t="n"/>
      <c r="AD472" s="15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15" t="n"/>
      <c r="B473" s="15" t="n"/>
      <c r="C473" s="15" t="n"/>
      <c r="D473" s="15" t="n"/>
      <c r="E473">
        <f>IFERROR(INDEX('הגדרות'!$D$143:$D$224,MATCH(B473&amp;G473&amp;C473,'הגדרות'!$A$143:$A$224&amp;'הגדרות'!$B$143:$B$224&amp;'הגדרות'!$C$143:$C$224,0)),"")</f>
        <v/>
      </c>
      <c r="F473" s="16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15" t="n"/>
      <c r="V473" s="15" t="n"/>
      <c r="W473" s="15" t="n"/>
      <c r="X473" s="15" t="n"/>
      <c r="Y473" s="15" t="n"/>
      <c r="Z473" s="15" t="n"/>
      <c r="AA473" s="15" t="n"/>
      <c r="AB473" s="16" t="n"/>
      <c r="AC473" s="15" t="n"/>
      <c r="AD473" s="15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15" t="n"/>
      <c r="B474" s="15" t="n"/>
      <c r="C474" s="15" t="n"/>
      <c r="D474" s="15" t="n"/>
      <c r="E474">
        <f>IFERROR(INDEX('הגדרות'!$D$143:$D$224,MATCH(B474&amp;G474&amp;C474,'הגדרות'!$A$143:$A$224&amp;'הגדרות'!$B$143:$B$224&amp;'הגדרות'!$C$143:$C$224,0)),"")</f>
        <v/>
      </c>
      <c r="F474" s="16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15" t="n"/>
      <c r="V474" s="15" t="n"/>
      <c r="W474" s="15" t="n"/>
      <c r="X474" s="15" t="n"/>
      <c r="Y474" s="15" t="n"/>
      <c r="Z474" s="15" t="n"/>
      <c r="AA474" s="15" t="n"/>
      <c r="AB474" s="16" t="n"/>
      <c r="AC474" s="15" t="n"/>
      <c r="AD474" s="15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15" t="n"/>
      <c r="B475" s="15" t="n"/>
      <c r="C475" s="15" t="n"/>
      <c r="D475" s="15" t="n"/>
      <c r="E475">
        <f>IFERROR(INDEX('הגדרות'!$D$143:$D$224,MATCH(B475&amp;G475&amp;C475,'הגדרות'!$A$143:$A$224&amp;'הגדרות'!$B$143:$B$224&amp;'הגדרות'!$C$143:$C$224,0)),"")</f>
        <v/>
      </c>
      <c r="F475" s="16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15" t="n"/>
      <c r="V475" s="15" t="n"/>
      <c r="W475" s="15" t="n"/>
      <c r="X475" s="15" t="n"/>
      <c r="Y475" s="15" t="n"/>
      <c r="Z475" s="15" t="n"/>
      <c r="AA475" s="15" t="n"/>
      <c r="AB475" s="16" t="n"/>
      <c r="AC475" s="15" t="n"/>
      <c r="AD475" s="15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15" t="n"/>
      <c r="B476" s="15" t="n"/>
      <c r="C476" s="15" t="n"/>
      <c r="D476" s="15" t="n"/>
      <c r="E476">
        <f>IFERROR(INDEX('הגדרות'!$D$143:$D$224,MATCH(B476&amp;G476&amp;C476,'הגדרות'!$A$143:$A$224&amp;'הגדרות'!$B$143:$B$224&amp;'הגדרות'!$C$143:$C$224,0)),"")</f>
        <v/>
      </c>
      <c r="F476" s="16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15" t="n"/>
      <c r="V476" s="15" t="n"/>
      <c r="W476" s="15" t="n"/>
      <c r="X476" s="15" t="n"/>
      <c r="Y476" s="15" t="n"/>
      <c r="Z476" s="15" t="n"/>
      <c r="AA476" s="15" t="n"/>
      <c r="AB476" s="16" t="n"/>
      <c r="AC476" s="15" t="n"/>
      <c r="AD476" s="15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15" t="n"/>
      <c r="B477" s="15" t="n"/>
      <c r="C477" s="15" t="n"/>
      <c r="D477" s="15" t="n"/>
      <c r="E477">
        <f>IFERROR(INDEX('הגדרות'!$D$143:$D$224,MATCH(B477&amp;G477&amp;C477,'הגדרות'!$A$143:$A$224&amp;'הגדרות'!$B$143:$B$224&amp;'הגדרות'!$C$143:$C$224,0)),"")</f>
        <v/>
      </c>
      <c r="F477" s="16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15" t="n"/>
      <c r="V477" s="15" t="n"/>
      <c r="W477" s="15" t="n"/>
      <c r="X477" s="15" t="n"/>
      <c r="Y477" s="15" t="n"/>
      <c r="Z477" s="15" t="n"/>
      <c r="AA477" s="15" t="n"/>
      <c r="AB477" s="16" t="n"/>
      <c r="AC477" s="15" t="n"/>
      <c r="AD477" s="15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15" t="n"/>
      <c r="B478" s="15" t="n"/>
      <c r="C478" s="15" t="n"/>
      <c r="D478" s="15" t="n"/>
      <c r="E478">
        <f>IFERROR(INDEX('הגדרות'!$D$143:$D$224,MATCH(B478&amp;G478&amp;C478,'הגדרות'!$A$143:$A$224&amp;'הגדרות'!$B$143:$B$224&amp;'הגדרות'!$C$143:$C$224,0)),"")</f>
        <v/>
      </c>
      <c r="F478" s="16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15" t="n"/>
      <c r="V478" s="15" t="n"/>
      <c r="W478" s="15" t="n"/>
      <c r="X478" s="15" t="n"/>
      <c r="Y478" s="15" t="n"/>
      <c r="Z478" s="15" t="n"/>
      <c r="AA478" s="15" t="n"/>
      <c r="AB478" s="16" t="n"/>
      <c r="AC478" s="15" t="n"/>
      <c r="AD478" s="15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15" t="n"/>
      <c r="B479" s="15" t="n"/>
      <c r="C479" s="15" t="n"/>
      <c r="D479" s="15" t="n"/>
      <c r="E479">
        <f>IFERROR(INDEX('הגדרות'!$D$143:$D$224,MATCH(B479&amp;G479&amp;C479,'הגדרות'!$A$143:$A$224&amp;'הגדרות'!$B$143:$B$224&amp;'הגדרות'!$C$143:$C$224,0)),"")</f>
        <v/>
      </c>
      <c r="F479" s="16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15" t="n"/>
      <c r="V479" s="15" t="n"/>
      <c r="W479" s="15" t="n"/>
      <c r="X479" s="15" t="n"/>
      <c r="Y479" s="15" t="n"/>
      <c r="Z479" s="15" t="n"/>
      <c r="AA479" s="15" t="n"/>
      <c r="AB479" s="16" t="n"/>
      <c r="AC479" s="15" t="n"/>
      <c r="AD479" s="15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15" t="n"/>
      <c r="B480" s="15" t="n"/>
      <c r="C480" s="15" t="n"/>
      <c r="D480" s="15" t="n"/>
      <c r="E480">
        <f>IFERROR(INDEX('הגדרות'!$D$143:$D$224,MATCH(B480&amp;G480&amp;C480,'הגדרות'!$A$143:$A$224&amp;'הגדרות'!$B$143:$B$224&amp;'הגדרות'!$C$143:$C$224,0)),"")</f>
        <v/>
      </c>
      <c r="F480" s="16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15" t="n"/>
      <c r="V480" s="15" t="n"/>
      <c r="W480" s="15" t="n"/>
      <c r="X480" s="15" t="n"/>
      <c r="Y480" s="15" t="n"/>
      <c r="Z480" s="15" t="n"/>
      <c r="AA480" s="15" t="n"/>
      <c r="AB480" s="16" t="n"/>
      <c r="AC480" s="15" t="n"/>
      <c r="AD480" s="15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15" t="n"/>
      <c r="B481" s="15" t="n"/>
      <c r="C481" s="15" t="n"/>
      <c r="D481" s="15" t="n"/>
      <c r="E481">
        <f>IFERROR(INDEX('הגדרות'!$D$143:$D$224,MATCH(B481&amp;G481&amp;C481,'הגדרות'!$A$143:$A$224&amp;'הגדרות'!$B$143:$B$224&amp;'הגדרות'!$C$143:$C$224,0)),"")</f>
        <v/>
      </c>
      <c r="F481" s="16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15" t="n"/>
      <c r="V481" s="15" t="n"/>
      <c r="W481" s="15" t="n"/>
      <c r="X481" s="15" t="n"/>
      <c r="Y481" s="15" t="n"/>
      <c r="Z481" s="15" t="n"/>
      <c r="AA481" s="15" t="n"/>
      <c r="AB481" s="16" t="n"/>
      <c r="AC481" s="15" t="n"/>
      <c r="AD481" s="15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15" t="n"/>
      <c r="B482" s="15" t="n"/>
      <c r="C482" s="15" t="n"/>
      <c r="D482" s="15" t="n"/>
      <c r="E482">
        <f>IFERROR(INDEX('הגדרות'!$D$143:$D$224,MATCH(B482&amp;G482&amp;C482,'הגדרות'!$A$143:$A$224&amp;'הגדרות'!$B$143:$B$224&amp;'הגדרות'!$C$143:$C$224,0)),"")</f>
        <v/>
      </c>
      <c r="F482" s="16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15" t="n"/>
      <c r="V482" s="15" t="n"/>
      <c r="W482" s="15" t="n"/>
      <c r="X482" s="15" t="n"/>
      <c r="Y482" s="15" t="n"/>
      <c r="Z482" s="15" t="n"/>
      <c r="AA482" s="15" t="n"/>
      <c r="AB482" s="16" t="n"/>
      <c r="AC482" s="15" t="n"/>
      <c r="AD482" s="15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15" t="n"/>
      <c r="B483" s="15" t="n"/>
      <c r="C483" s="15" t="n"/>
      <c r="D483" s="15" t="n"/>
      <c r="E483">
        <f>IFERROR(INDEX('הגדרות'!$D$143:$D$224,MATCH(B483&amp;G483&amp;C483,'הגדרות'!$A$143:$A$224&amp;'הגדרות'!$B$143:$B$224&amp;'הגדרות'!$C$143:$C$224,0)),"")</f>
        <v/>
      </c>
      <c r="F483" s="16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15" t="n"/>
      <c r="V483" s="15" t="n"/>
      <c r="W483" s="15" t="n"/>
      <c r="X483" s="15" t="n"/>
      <c r="Y483" s="15" t="n"/>
      <c r="Z483" s="15" t="n"/>
      <c r="AA483" s="15" t="n"/>
      <c r="AB483" s="16" t="n"/>
      <c r="AC483" s="15" t="n"/>
      <c r="AD483" s="15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15" t="n"/>
      <c r="B484" s="15" t="n"/>
      <c r="C484" s="15" t="n"/>
      <c r="D484" s="15" t="n"/>
      <c r="E484">
        <f>IFERROR(INDEX('הגדרות'!$D$143:$D$224,MATCH(B484&amp;G484&amp;C484,'הגדרות'!$A$143:$A$224&amp;'הגדרות'!$B$143:$B$224&amp;'הגדרות'!$C$143:$C$224,0)),"")</f>
        <v/>
      </c>
      <c r="F484" s="16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15" t="n"/>
      <c r="V484" s="15" t="n"/>
      <c r="W484" s="15" t="n"/>
      <c r="X484" s="15" t="n"/>
      <c r="Y484" s="15" t="n"/>
      <c r="Z484" s="15" t="n"/>
      <c r="AA484" s="15" t="n"/>
      <c r="AB484" s="16" t="n"/>
      <c r="AC484" s="15" t="n"/>
      <c r="AD484" s="15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15" t="n"/>
      <c r="B485" s="15" t="n"/>
      <c r="C485" s="15" t="n"/>
      <c r="D485" s="15" t="n"/>
      <c r="E485">
        <f>IFERROR(INDEX('הגדרות'!$D$143:$D$224,MATCH(B485&amp;G485&amp;C485,'הגדרות'!$A$143:$A$224&amp;'הגדרות'!$B$143:$B$224&amp;'הגדרות'!$C$143:$C$224,0)),"")</f>
        <v/>
      </c>
      <c r="F485" s="16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15" t="n"/>
      <c r="V485" s="15" t="n"/>
      <c r="W485" s="15" t="n"/>
      <c r="X485" s="15" t="n"/>
      <c r="Y485" s="15" t="n"/>
      <c r="Z485" s="15" t="n"/>
      <c r="AA485" s="15" t="n"/>
      <c r="AB485" s="16" t="n"/>
      <c r="AC485" s="15" t="n"/>
      <c r="AD485" s="15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15" t="n"/>
      <c r="B486" s="15" t="n"/>
      <c r="C486" s="15" t="n"/>
      <c r="D486" s="15" t="n"/>
      <c r="E486">
        <f>IFERROR(INDEX('הגדרות'!$D$143:$D$224,MATCH(B486&amp;G486&amp;C486,'הגדרות'!$A$143:$A$224&amp;'הגדרות'!$B$143:$B$224&amp;'הגדרות'!$C$143:$C$224,0)),"")</f>
        <v/>
      </c>
      <c r="F486" s="16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15" t="n"/>
      <c r="V486" s="15" t="n"/>
      <c r="W486" s="15" t="n"/>
      <c r="X486" s="15" t="n"/>
      <c r="Y486" s="15" t="n"/>
      <c r="Z486" s="15" t="n"/>
      <c r="AA486" s="15" t="n"/>
      <c r="AB486" s="16" t="n"/>
      <c r="AC486" s="15" t="n"/>
      <c r="AD486" s="15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15" t="n"/>
      <c r="B487" s="15" t="n"/>
      <c r="C487" s="15" t="n"/>
      <c r="D487" s="15" t="n"/>
      <c r="E487">
        <f>IFERROR(INDEX('הגדרות'!$D$143:$D$224,MATCH(B487&amp;G487&amp;C487,'הגדרות'!$A$143:$A$224&amp;'הגדרות'!$B$143:$B$224&amp;'הגדרות'!$C$143:$C$224,0)),"")</f>
        <v/>
      </c>
      <c r="F487" s="16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15" t="n"/>
      <c r="V487" s="15" t="n"/>
      <c r="W487" s="15" t="n"/>
      <c r="X487" s="15" t="n"/>
      <c r="Y487" s="15" t="n"/>
      <c r="Z487" s="15" t="n"/>
      <c r="AA487" s="15" t="n"/>
      <c r="AB487" s="16" t="n"/>
      <c r="AC487" s="15" t="n"/>
      <c r="AD487" s="15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15" t="n"/>
      <c r="B488" s="15" t="n"/>
      <c r="C488" s="15" t="n"/>
      <c r="D488" s="15" t="n"/>
      <c r="E488">
        <f>IFERROR(INDEX('הגדרות'!$D$143:$D$224,MATCH(B488&amp;G488&amp;C488,'הגדרות'!$A$143:$A$224&amp;'הגדרות'!$B$143:$B$224&amp;'הגדרות'!$C$143:$C$224,0)),"")</f>
        <v/>
      </c>
      <c r="F488" s="16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15" t="n"/>
      <c r="V488" s="15" t="n"/>
      <c r="W488" s="15" t="n"/>
      <c r="X488" s="15" t="n"/>
      <c r="Y488" s="15" t="n"/>
      <c r="Z488" s="15" t="n"/>
      <c r="AA488" s="15" t="n"/>
      <c r="AB488" s="16" t="n"/>
      <c r="AC488" s="15" t="n"/>
      <c r="AD488" s="15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15" t="n"/>
      <c r="B489" s="15" t="n"/>
      <c r="C489" s="15" t="n"/>
      <c r="D489" s="15" t="n"/>
      <c r="E489">
        <f>IFERROR(INDEX('הגדרות'!$D$143:$D$224,MATCH(B489&amp;G489&amp;C489,'הגדרות'!$A$143:$A$224&amp;'הגדרות'!$B$143:$B$224&amp;'הגדרות'!$C$143:$C$224,0)),"")</f>
        <v/>
      </c>
      <c r="F489" s="16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15" t="n"/>
      <c r="V489" s="15" t="n"/>
      <c r="W489" s="15" t="n"/>
      <c r="X489" s="15" t="n"/>
      <c r="Y489" s="15" t="n"/>
      <c r="Z489" s="15" t="n"/>
      <c r="AA489" s="15" t="n"/>
      <c r="AB489" s="16" t="n"/>
      <c r="AC489" s="15" t="n"/>
      <c r="AD489" s="15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15" t="n"/>
      <c r="B490" s="15" t="n"/>
      <c r="C490" s="15" t="n"/>
      <c r="D490" s="15" t="n"/>
      <c r="E490">
        <f>IFERROR(INDEX('הגדרות'!$D$143:$D$224,MATCH(B490&amp;G490&amp;C490,'הגדרות'!$A$143:$A$224&amp;'הגדרות'!$B$143:$B$224&amp;'הגדרות'!$C$143:$C$224,0)),"")</f>
        <v/>
      </c>
      <c r="F490" s="16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15" t="n"/>
      <c r="V490" s="15" t="n"/>
      <c r="W490" s="15" t="n"/>
      <c r="X490" s="15" t="n"/>
      <c r="Y490" s="15" t="n"/>
      <c r="Z490" s="15" t="n"/>
      <c r="AA490" s="15" t="n"/>
      <c r="AB490" s="16" t="n"/>
      <c r="AC490" s="15" t="n"/>
      <c r="AD490" s="15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15" t="n"/>
      <c r="B491" s="15" t="n"/>
      <c r="C491" s="15" t="n"/>
      <c r="D491" s="15" t="n"/>
      <c r="E491">
        <f>IFERROR(INDEX('הגדרות'!$D$143:$D$224,MATCH(B491&amp;G491&amp;C491,'הגדרות'!$A$143:$A$224&amp;'הגדרות'!$B$143:$B$224&amp;'הגדרות'!$C$143:$C$224,0)),"")</f>
        <v/>
      </c>
      <c r="F491" s="16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15" t="n"/>
      <c r="V491" s="15" t="n"/>
      <c r="W491" s="15" t="n"/>
      <c r="X491" s="15" t="n"/>
      <c r="Y491" s="15" t="n"/>
      <c r="Z491" s="15" t="n"/>
      <c r="AA491" s="15" t="n"/>
      <c r="AB491" s="16" t="n"/>
      <c r="AC491" s="15" t="n"/>
      <c r="AD491" s="15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15" t="n"/>
      <c r="B492" s="15" t="n"/>
      <c r="C492" s="15" t="n"/>
      <c r="D492" s="15" t="n"/>
      <c r="E492">
        <f>IFERROR(INDEX('הגדרות'!$D$143:$D$224,MATCH(B492&amp;G492&amp;C492,'הגדרות'!$A$143:$A$224&amp;'הגדרות'!$B$143:$B$224&amp;'הגדרות'!$C$143:$C$224,0)),"")</f>
        <v/>
      </c>
      <c r="F492" s="16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15" t="n"/>
      <c r="V492" s="15" t="n"/>
      <c r="W492" s="15" t="n"/>
      <c r="X492" s="15" t="n"/>
      <c r="Y492" s="15" t="n"/>
      <c r="Z492" s="15" t="n"/>
      <c r="AA492" s="15" t="n"/>
      <c r="AB492" s="16" t="n"/>
      <c r="AC492" s="15" t="n"/>
      <c r="AD492" s="15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15" t="n"/>
      <c r="B493" s="15" t="n"/>
      <c r="C493" s="15" t="n"/>
      <c r="D493" s="15" t="n"/>
      <c r="E493">
        <f>IFERROR(INDEX('הגדרות'!$D$143:$D$224,MATCH(B493&amp;G493&amp;C493,'הגדרות'!$A$143:$A$224&amp;'הגדרות'!$B$143:$B$224&amp;'הגדרות'!$C$143:$C$224,0)),"")</f>
        <v/>
      </c>
      <c r="F493" s="16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15" t="n"/>
      <c r="V493" s="15" t="n"/>
      <c r="W493" s="15" t="n"/>
      <c r="X493" s="15" t="n"/>
      <c r="Y493" s="15" t="n"/>
      <c r="Z493" s="15" t="n"/>
      <c r="AA493" s="15" t="n"/>
      <c r="AB493" s="16" t="n"/>
      <c r="AC493" s="15" t="n"/>
      <c r="AD493" s="15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15" t="n"/>
      <c r="B494" s="15" t="n"/>
      <c r="C494" s="15" t="n"/>
      <c r="D494" s="15" t="n"/>
      <c r="E494">
        <f>IFERROR(INDEX('הגדרות'!$D$143:$D$224,MATCH(B494&amp;G494&amp;C494,'הגדרות'!$A$143:$A$224&amp;'הגדרות'!$B$143:$B$224&amp;'הגדרות'!$C$143:$C$224,0)),"")</f>
        <v/>
      </c>
      <c r="F494" s="16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15" t="n"/>
      <c r="V494" s="15" t="n"/>
      <c r="W494" s="15" t="n"/>
      <c r="X494" s="15" t="n"/>
      <c r="Y494" s="15" t="n"/>
      <c r="Z494" s="15" t="n"/>
      <c r="AA494" s="15" t="n"/>
      <c r="AB494" s="16" t="n"/>
      <c r="AC494" s="15" t="n"/>
      <c r="AD494" s="15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15" t="n"/>
      <c r="B495" s="15" t="n"/>
      <c r="C495" s="15" t="n"/>
      <c r="D495" s="15" t="n"/>
      <c r="E495">
        <f>IFERROR(INDEX('הגדרות'!$D$143:$D$224,MATCH(B495&amp;G495&amp;C495,'הגדרות'!$A$143:$A$224&amp;'הגדרות'!$B$143:$B$224&amp;'הגדרות'!$C$143:$C$224,0)),"")</f>
        <v/>
      </c>
      <c r="F495" s="16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15" t="n"/>
      <c r="V495" s="15" t="n"/>
      <c r="W495" s="15" t="n"/>
      <c r="X495" s="15" t="n"/>
      <c r="Y495" s="15" t="n"/>
      <c r="Z495" s="15" t="n"/>
      <c r="AA495" s="15" t="n"/>
      <c r="AB495" s="16" t="n"/>
      <c r="AC495" s="15" t="n"/>
      <c r="AD495" s="15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15" t="n"/>
      <c r="B496" s="15" t="n"/>
      <c r="C496" s="15" t="n"/>
      <c r="D496" s="15" t="n"/>
      <c r="E496">
        <f>IFERROR(INDEX('הגדרות'!$D$143:$D$224,MATCH(B496&amp;G496&amp;C496,'הגדרות'!$A$143:$A$224&amp;'הגדרות'!$B$143:$B$224&amp;'הגדרות'!$C$143:$C$224,0)),"")</f>
        <v/>
      </c>
      <c r="F496" s="16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15" t="n"/>
      <c r="V496" s="15" t="n"/>
      <c r="W496" s="15" t="n"/>
      <c r="X496" s="15" t="n"/>
      <c r="Y496" s="15" t="n"/>
      <c r="Z496" s="15" t="n"/>
      <c r="AA496" s="15" t="n"/>
      <c r="AB496" s="16" t="n"/>
      <c r="AC496" s="15" t="n"/>
      <c r="AD496" s="15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15" t="n"/>
      <c r="B497" s="15" t="n"/>
      <c r="C497" s="15" t="n"/>
      <c r="D497" s="15" t="n"/>
      <c r="E497">
        <f>IFERROR(INDEX('הגדרות'!$D$143:$D$224,MATCH(B497&amp;G497&amp;C497,'הגדרות'!$A$143:$A$224&amp;'הגדרות'!$B$143:$B$224&amp;'הגדרות'!$C$143:$C$224,0)),"")</f>
        <v/>
      </c>
      <c r="F497" s="16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15" t="n"/>
      <c r="V497" s="15" t="n"/>
      <c r="W497" s="15" t="n"/>
      <c r="X497" s="15" t="n"/>
      <c r="Y497" s="15" t="n"/>
      <c r="Z497" s="15" t="n"/>
      <c r="AA497" s="15" t="n"/>
      <c r="AB497" s="16" t="n"/>
      <c r="AC497" s="15" t="n"/>
      <c r="AD497" s="15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15" t="n"/>
      <c r="B498" s="15" t="n"/>
      <c r="C498" s="15" t="n"/>
      <c r="D498" s="15" t="n"/>
      <c r="E498">
        <f>IFERROR(INDEX('הגדרות'!$D$143:$D$224,MATCH(B498&amp;G498&amp;C498,'הגדרות'!$A$143:$A$224&amp;'הגדרות'!$B$143:$B$224&amp;'הגדרות'!$C$143:$C$224,0)),"")</f>
        <v/>
      </c>
      <c r="F498" s="16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15" t="n"/>
      <c r="V498" s="15" t="n"/>
      <c r="W498" s="15" t="n"/>
      <c r="X498" s="15" t="n"/>
      <c r="Y498" s="15" t="n"/>
      <c r="Z498" s="15" t="n"/>
      <c r="AA498" s="15" t="n"/>
      <c r="AB498" s="16" t="n"/>
      <c r="AC498" s="15" t="n"/>
      <c r="AD498" s="15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15" t="n"/>
      <c r="B499" s="15" t="n"/>
      <c r="C499" s="15" t="n"/>
      <c r="D499" s="15" t="n"/>
      <c r="E499">
        <f>IFERROR(INDEX('הגדרות'!$D$143:$D$224,MATCH(B499&amp;G499&amp;C499,'הגדרות'!$A$143:$A$224&amp;'הגדרות'!$B$143:$B$224&amp;'הגדרות'!$C$143:$C$224,0)),"")</f>
        <v/>
      </c>
      <c r="F499" s="16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15" t="n"/>
      <c r="V499" s="15" t="n"/>
      <c r="W499" s="15" t="n"/>
      <c r="X499" s="15" t="n"/>
      <c r="Y499" s="15" t="n"/>
      <c r="Z499" s="15" t="n"/>
      <c r="AA499" s="15" t="n"/>
      <c r="AB499" s="16" t="n"/>
      <c r="AC499" s="15" t="n"/>
      <c r="AD499" s="15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15" t="n"/>
      <c r="B500" s="15" t="n"/>
      <c r="C500" s="15" t="n"/>
      <c r="D500" s="15" t="n"/>
      <c r="E500">
        <f>IFERROR(INDEX('הגדרות'!$D$143:$D$224,MATCH(B500&amp;G500&amp;C500,'הגדרות'!$A$143:$A$224&amp;'הגדרות'!$B$143:$B$224&amp;'הגדרות'!$C$143:$C$224,0)),"")</f>
        <v/>
      </c>
      <c r="F500" s="16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15" t="n"/>
      <c r="V500" s="15" t="n"/>
      <c r="W500" s="15" t="n"/>
      <c r="X500" s="15" t="n"/>
      <c r="Y500" s="15" t="n"/>
      <c r="Z500" s="15" t="n"/>
      <c r="AA500" s="15" t="n"/>
      <c r="AB500" s="16" t="n"/>
      <c r="AC500" s="15" t="n"/>
      <c r="AD500" s="15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8">
        <f>IF($K5="","",INDEX(מלאי!$D$2:$D$500,$K5))</f>
        <v/>
      </c>
      <c r="B5" s="8">
        <f>IF($K5="","",INDEX(מלאי!$B$2:$B$500,$K5))</f>
        <v/>
      </c>
      <c r="C5" s="8">
        <f>IF($K5="","",INDEX(מלאי!$C$2:$C$500,$K5))</f>
        <v/>
      </c>
      <c r="D5" s="8">
        <f>IF($K5="","",INDEX(מלאי!$Y$2:$Y$500,$K5))</f>
        <v/>
      </c>
      <c r="E5" s="8">
        <f>IF($K5="","",INDEX(מלאי!$Z$2:$Z$500,$K5))</f>
        <v/>
      </c>
      <c r="F5" s="8">
        <f>IF($K5="","",INDEX(מלאי!$AA$2:$AA$500,$K5))</f>
        <v/>
      </c>
      <c r="G5" s="13">
        <f>IF($K5="","",INDEX(מלאי!$F$2:$F$500,$K5))</f>
        <v/>
      </c>
      <c r="H5" s="13">
        <f>IF($K5="","",INDEX(מלאי!$AB$2:$AB$500,$K5))</f>
        <v/>
      </c>
      <c r="I5" s="8">
        <f>IF($K5="","",IF(AND(INDEX(מלאי!$AB$2:$AB$500,$K5)&lt;&gt;"",INDEX(מלאי!$AB$2:$AB$500,$K5)&lt;TODAY()),"באיחור!","תקין"))</f>
        <v/>
      </c>
      <c r="J5" s="8">
        <f>IF($K5="","",INDEX(מלאי!$AC$2:$AC$500,$K5))</f>
        <v/>
      </c>
      <c r="K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9">
        <f>IF($K6="","",INDEX(מלאי!$D$2:$D$500,$K6))</f>
        <v/>
      </c>
      <c r="B6" s="9">
        <f>IF($K6="","",INDEX(מלאי!$B$2:$B$500,$K6))</f>
        <v/>
      </c>
      <c r="C6" s="9">
        <f>IF($K6="","",INDEX(מלאי!$C$2:$C$500,$K6))</f>
        <v/>
      </c>
      <c r="D6" s="9">
        <f>IF($K6="","",INDEX(מלאי!$Y$2:$Y$500,$K6))</f>
        <v/>
      </c>
      <c r="E6" s="9">
        <f>IF($K6="","",INDEX(מלאי!$Z$2:$Z$500,$K6))</f>
        <v/>
      </c>
      <c r="F6" s="9">
        <f>IF($K6="","",INDEX(מלאי!$AA$2:$AA$500,$K6))</f>
        <v/>
      </c>
      <c r="G6" s="14">
        <f>IF($K6="","",INDEX(מלאי!$F$2:$F$500,$K6))</f>
        <v/>
      </c>
      <c r="H6" s="14">
        <f>IF($K6="","",INDEX(מלאי!$AB$2:$AB$500,$K6))</f>
        <v/>
      </c>
      <c r="I6" s="9">
        <f>IF($K6="","",IF(AND(INDEX(מלאי!$AB$2:$AB$500,$K6)&lt;&gt;"",INDEX(מלאי!$AB$2:$AB$500,$K6)&lt;TODAY()),"באיחור!","תקין"))</f>
        <v/>
      </c>
      <c r="J6" s="9">
        <f>IF($K6="","",INDEX(מלאי!$AC$2:$AC$500,$K6))</f>
        <v/>
      </c>
      <c r="K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8">
        <f>IF($K7="","",INDEX(מלאי!$D$2:$D$500,$K7))</f>
        <v/>
      </c>
      <c r="B7" s="8">
        <f>IF($K7="","",INDEX(מלאי!$B$2:$B$500,$K7))</f>
        <v/>
      </c>
      <c r="C7" s="8">
        <f>IF($K7="","",INDEX(מלאי!$C$2:$C$500,$K7))</f>
        <v/>
      </c>
      <c r="D7" s="8">
        <f>IF($K7="","",INDEX(מלאי!$Y$2:$Y$500,$K7))</f>
        <v/>
      </c>
      <c r="E7" s="8">
        <f>IF($K7="","",INDEX(מלאי!$Z$2:$Z$500,$K7))</f>
        <v/>
      </c>
      <c r="F7" s="8">
        <f>IF($K7="","",INDEX(מלאי!$AA$2:$AA$500,$K7))</f>
        <v/>
      </c>
      <c r="G7" s="13">
        <f>IF($K7="","",INDEX(מלאי!$F$2:$F$500,$K7))</f>
        <v/>
      </c>
      <c r="H7" s="13">
        <f>IF($K7="","",INDEX(מלאי!$AB$2:$AB$500,$K7))</f>
        <v/>
      </c>
      <c r="I7" s="8">
        <f>IF($K7="","",IF(AND(INDEX(מלאי!$AB$2:$AB$500,$K7)&lt;&gt;"",INDEX(מלאי!$AB$2:$AB$500,$K7)&lt;TODAY()),"באיחור!","תקין"))</f>
        <v/>
      </c>
      <c r="J7" s="8">
        <f>IF($K7="","",INDEX(מלאי!$AC$2:$AC$500,$K7))</f>
        <v/>
      </c>
      <c r="K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9">
        <f>IF($K8="","",INDEX(מלאי!$D$2:$D$500,$K8))</f>
        <v/>
      </c>
      <c r="B8" s="9">
        <f>IF($K8="","",INDEX(מלאי!$B$2:$B$500,$K8))</f>
        <v/>
      </c>
      <c r="C8" s="9">
        <f>IF($K8="","",INDEX(מלאי!$C$2:$C$500,$K8))</f>
        <v/>
      </c>
      <c r="D8" s="9">
        <f>IF($K8="","",INDEX(מלאי!$Y$2:$Y$500,$K8))</f>
        <v/>
      </c>
      <c r="E8" s="9">
        <f>IF($K8="","",INDEX(מלאי!$Z$2:$Z$500,$K8))</f>
        <v/>
      </c>
      <c r="F8" s="9">
        <f>IF($K8="","",INDEX(מלאי!$AA$2:$AA$500,$K8))</f>
        <v/>
      </c>
      <c r="G8" s="14">
        <f>IF($K8="","",INDEX(מלאי!$F$2:$F$500,$K8))</f>
        <v/>
      </c>
      <c r="H8" s="14">
        <f>IF($K8="","",INDEX(מלאי!$AB$2:$AB$500,$K8))</f>
        <v/>
      </c>
      <c r="I8" s="9">
        <f>IF($K8="","",IF(AND(INDEX(מלאי!$AB$2:$AB$500,$K8)&lt;&gt;"",INDEX(מלאי!$AB$2:$AB$500,$K8)&lt;TODAY()),"באיחור!","תקין"))</f>
        <v/>
      </c>
      <c r="J8" s="9">
        <f>IF($K8="","",INDEX(מלאי!$AC$2:$AC$500,$K8))</f>
        <v/>
      </c>
      <c r="K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8">
        <f>IF($K9="","",INDEX(מלאי!$D$2:$D$500,$K9))</f>
        <v/>
      </c>
      <c r="B9" s="8">
        <f>IF($K9="","",INDEX(מלאי!$B$2:$B$500,$K9))</f>
        <v/>
      </c>
      <c r="C9" s="8">
        <f>IF($K9="","",INDEX(מלאי!$C$2:$C$500,$K9))</f>
        <v/>
      </c>
      <c r="D9" s="8">
        <f>IF($K9="","",INDEX(מלאי!$Y$2:$Y$500,$K9))</f>
        <v/>
      </c>
      <c r="E9" s="8">
        <f>IF($K9="","",INDEX(מלאי!$Z$2:$Z$500,$K9))</f>
        <v/>
      </c>
      <c r="F9" s="8">
        <f>IF($K9="","",INDEX(מלאי!$AA$2:$AA$500,$K9))</f>
        <v/>
      </c>
      <c r="G9" s="13">
        <f>IF($K9="","",INDEX(מלאי!$F$2:$F$500,$K9))</f>
        <v/>
      </c>
      <c r="H9" s="13">
        <f>IF($K9="","",INDEX(מלאי!$AB$2:$AB$500,$K9))</f>
        <v/>
      </c>
      <c r="I9" s="8">
        <f>IF($K9="","",IF(AND(INDEX(מלאי!$AB$2:$AB$500,$K9)&lt;&gt;"",INDEX(מלאי!$AB$2:$AB$500,$K9)&lt;TODAY()),"באיחור!","תקין"))</f>
        <v/>
      </c>
      <c r="J9" s="8">
        <f>IF($K9="","",INDEX(מלאי!$AC$2:$AC$500,$K9))</f>
        <v/>
      </c>
      <c r="K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9">
        <f>IF($K10="","",INDEX(מלאי!$D$2:$D$500,$K10))</f>
        <v/>
      </c>
      <c r="B10" s="9">
        <f>IF($K10="","",INDEX(מלאי!$B$2:$B$500,$K10))</f>
        <v/>
      </c>
      <c r="C10" s="9">
        <f>IF($K10="","",INDEX(מלאי!$C$2:$C$500,$K10))</f>
        <v/>
      </c>
      <c r="D10" s="9">
        <f>IF($K10="","",INDEX(מלאי!$Y$2:$Y$500,$K10))</f>
        <v/>
      </c>
      <c r="E10" s="9">
        <f>IF($K10="","",INDEX(מלאי!$Z$2:$Z$500,$K10))</f>
        <v/>
      </c>
      <c r="F10" s="9">
        <f>IF($K10="","",INDEX(מלאי!$AA$2:$AA$500,$K10))</f>
        <v/>
      </c>
      <c r="G10" s="14">
        <f>IF($K10="","",INDEX(מלאי!$F$2:$F$500,$K10))</f>
        <v/>
      </c>
      <c r="H10" s="14">
        <f>IF($K10="","",INDEX(מלאי!$AB$2:$AB$500,$K10))</f>
        <v/>
      </c>
      <c r="I10" s="9">
        <f>IF($K10="","",IF(AND(INDEX(מלאי!$AB$2:$AB$500,$K10)&lt;&gt;"",INDEX(מלאי!$AB$2:$AB$500,$K10)&lt;TODAY()),"באיחור!","תקין"))</f>
        <v/>
      </c>
      <c r="J10" s="9">
        <f>IF($K10="","",INDEX(מלאי!$AC$2:$AC$500,$K10))</f>
        <v/>
      </c>
      <c r="K1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8">
        <f>IF($K11="","",INDEX(מלאי!$D$2:$D$500,$K11))</f>
        <v/>
      </c>
      <c r="B11" s="8">
        <f>IF($K11="","",INDEX(מלאי!$B$2:$B$500,$K11))</f>
        <v/>
      </c>
      <c r="C11" s="8">
        <f>IF($K11="","",INDEX(מלאי!$C$2:$C$500,$K11))</f>
        <v/>
      </c>
      <c r="D11" s="8">
        <f>IF($K11="","",INDEX(מלאי!$Y$2:$Y$500,$K11))</f>
        <v/>
      </c>
      <c r="E11" s="8">
        <f>IF($K11="","",INDEX(מלאי!$Z$2:$Z$500,$K11))</f>
        <v/>
      </c>
      <c r="F11" s="8">
        <f>IF($K11="","",INDEX(מלאי!$AA$2:$AA$500,$K11))</f>
        <v/>
      </c>
      <c r="G11" s="13">
        <f>IF($K11="","",INDEX(מלאי!$F$2:$F$500,$K11))</f>
        <v/>
      </c>
      <c r="H11" s="13">
        <f>IF($K11="","",INDEX(מלאי!$AB$2:$AB$500,$K11))</f>
        <v/>
      </c>
      <c r="I11" s="8">
        <f>IF($K11="","",IF(AND(INDEX(מלאי!$AB$2:$AB$500,$K11)&lt;&gt;"",INDEX(מלאי!$AB$2:$AB$500,$K11)&lt;TODAY()),"באיחור!","תקין"))</f>
        <v/>
      </c>
      <c r="J11" s="8">
        <f>IF($K11="","",INDEX(מלאי!$AC$2:$AC$500,$K11))</f>
        <v/>
      </c>
      <c r="K1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9">
        <f>IF($K12="","",INDEX(מלאי!$D$2:$D$500,$K12))</f>
        <v/>
      </c>
      <c r="B12" s="9">
        <f>IF($K12="","",INDEX(מלאי!$B$2:$B$500,$K12))</f>
        <v/>
      </c>
      <c r="C12" s="9">
        <f>IF($K12="","",INDEX(מלאי!$C$2:$C$500,$K12))</f>
        <v/>
      </c>
      <c r="D12" s="9">
        <f>IF($K12="","",INDEX(מלאי!$Y$2:$Y$500,$K12))</f>
        <v/>
      </c>
      <c r="E12" s="9">
        <f>IF($K12="","",INDEX(מלאי!$Z$2:$Z$500,$K12))</f>
        <v/>
      </c>
      <c r="F12" s="9">
        <f>IF($K12="","",INDEX(מלאי!$AA$2:$AA$500,$K12))</f>
        <v/>
      </c>
      <c r="G12" s="14">
        <f>IF($K12="","",INDEX(מלאי!$F$2:$F$500,$K12))</f>
        <v/>
      </c>
      <c r="H12" s="14">
        <f>IF($K12="","",INDEX(מלאי!$AB$2:$AB$500,$K12))</f>
        <v/>
      </c>
      <c r="I12" s="9">
        <f>IF($K12="","",IF(AND(INDEX(מלאי!$AB$2:$AB$500,$K12)&lt;&gt;"",INDEX(מלאי!$AB$2:$AB$500,$K12)&lt;TODAY()),"באיחור!","תקין"))</f>
        <v/>
      </c>
      <c r="J12" s="9">
        <f>IF($K12="","",INDEX(מלאי!$AC$2:$AC$500,$K12))</f>
        <v/>
      </c>
      <c r="K1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8">
        <f>IF($K13="","",INDEX(מלאי!$D$2:$D$500,$K13))</f>
        <v/>
      </c>
      <c r="B13" s="8">
        <f>IF($K13="","",INDEX(מלאי!$B$2:$B$500,$K13))</f>
        <v/>
      </c>
      <c r="C13" s="8">
        <f>IF($K13="","",INDEX(מלאי!$C$2:$C$500,$K13))</f>
        <v/>
      </c>
      <c r="D13" s="8">
        <f>IF($K13="","",INDEX(מלאי!$Y$2:$Y$500,$K13))</f>
        <v/>
      </c>
      <c r="E13" s="8">
        <f>IF($K13="","",INDEX(מלאי!$Z$2:$Z$500,$K13))</f>
        <v/>
      </c>
      <c r="F13" s="8">
        <f>IF($K13="","",INDEX(מלאי!$AA$2:$AA$500,$K13))</f>
        <v/>
      </c>
      <c r="G13" s="13">
        <f>IF($K13="","",INDEX(מלאי!$F$2:$F$500,$K13))</f>
        <v/>
      </c>
      <c r="H13" s="13">
        <f>IF($K13="","",INDEX(מלאי!$AB$2:$AB$500,$K13))</f>
        <v/>
      </c>
      <c r="I13" s="8">
        <f>IF($K13="","",IF(AND(INDEX(מלאי!$AB$2:$AB$500,$K13)&lt;&gt;"",INDEX(מלאי!$AB$2:$AB$500,$K13)&lt;TODAY()),"באיחור!","תקין"))</f>
        <v/>
      </c>
      <c r="J13" s="8">
        <f>IF($K13="","",INDEX(מלאי!$AC$2:$AC$500,$K13))</f>
        <v/>
      </c>
      <c r="K1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9">
        <f>IF($K14="","",INDEX(מלאי!$D$2:$D$500,$K14))</f>
        <v/>
      </c>
      <c r="B14" s="9">
        <f>IF($K14="","",INDEX(מלאי!$B$2:$B$500,$K14))</f>
        <v/>
      </c>
      <c r="C14" s="9">
        <f>IF($K14="","",INDEX(מלאי!$C$2:$C$500,$K14))</f>
        <v/>
      </c>
      <c r="D14" s="9">
        <f>IF($K14="","",INDEX(מלאי!$Y$2:$Y$500,$K14))</f>
        <v/>
      </c>
      <c r="E14" s="9">
        <f>IF($K14="","",INDEX(מלאי!$Z$2:$Z$500,$K14))</f>
        <v/>
      </c>
      <c r="F14" s="9">
        <f>IF($K14="","",INDEX(מלאי!$AA$2:$AA$500,$K14))</f>
        <v/>
      </c>
      <c r="G14" s="14">
        <f>IF($K14="","",INDEX(מלאי!$F$2:$F$500,$K14))</f>
        <v/>
      </c>
      <c r="H14" s="14">
        <f>IF($K14="","",INDEX(מלאי!$AB$2:$AB$500,$K14))</f>
        <v/>
      </c>
      <c r="I14" s="9">
        <f>IF($K14="","",IF(AND(INDEX(מלאי!$AB$2:$AB$500,$K14)&lt;&gt;"",INDEX(מלאי!$AB$2:$AB$500,$K14)&lt;TODAY()),"באיחור!","תקין"))</f>
        <v/>
      </c>
      <c r="J14" s="9">
        <f>IF($K14="","",INDEX(מלאי!$AC$2:$AC$500,$K14))</f>
        <v/>
      </c>
      <c r="K1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8">
        <f>IF($K15="","",INDEX(מלאי!$D$2:$D$500,$K15))</f>
        <v/>
      </c>
      <c r="B15" s="8">
        <f>IF($K15="","",INDEX(מלאי!$B$2:$B$500,$K15))</f>
        <v/>
      </c>
      <c r="C15" s="8">
        <f>IF($K15="","",INDEX(מלאי!$C$2:$C$500,$K15))</f>
        <v/>
      </c>
      <c r="D15" s="8">
        <f>IF($K15="","",INDEX(מלאי!$Y$2:$Y$500,$K15))</f>
        <v/>
      </c>
      <c r="E15" s="8">
        <f>IF($K15="","",INDEX(מלאי!$Z$2:$Z$500,$K15))</f>
        <v/>
      </c>
      <c r="F15" s="8">
        <f>IF($K15="","",INDEX(מלאי!$AA$2:$AA$500,$K15))</f>
        <v/>
      </c>
      <c r="G15" s="13">
        <f>IF($K15="","",INDEX(מלאי!$F$2:$F$500,$K15))</f>
        <v/>
      </c>
      <c r="H15" s="13">
        <f>IF($K15="","",INDEX(מלאי!$AB$2:$AB$500,$K15))</f>
        <v/>
      </c>
      <c r="I15" s="8">
        <f>IF($K15="","",IF(AND(INDEX(מלאי!$AB$2:$AB$500,$K15)&lt;&gt;"",INDEX(מלאי!$AB$2:$AB$500,$K15)&lt;TODAY()),"באיחור!","תקין"))</f>
        <v/>
      </c>
      <c r="J15" s="8">
        <f>IF($K15="","",INDEX(מלאי!$AC$2:$AC$500,$K15))</f>
        <v/>
      </c>
      <c r="K1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9">
        <f>IF($K16="","",INDEX(מלאי!$D$2:$D$500,$K16))</f>
        <v/>
      </c>
      <c r="B16" s="9">
        <f>IF($K16="","",INDEX(מלאי!$B$2:$B$500,$K16))</f>
        <v/>
      </c>
      <c r="C16" s="9">
        <f>IF($K16="","",INDEX(מלאי!$C$2:$C$500,$K16))</f>
        <v/>
      </c>
      <c r="D16" s="9">
        <f>IF($K16="","",INDEX(מלאי!$Y$2:$Y$500,$K16))</f>
        <v/>
      </c>
      <c r="E16" s="9">
        <f>IF($K16="","",INDEX(מלאי!$Z$2:$Z$500,$K16))</f>
        <v/>
      </c>
      <c r="F16" s="9">
        <f>IF($K16="","",INDEX(מלאי!$AA$2:$AA$500,$K16))</f>
        <v/>
      </c>
      <c r="G16" s="14">
        <f>IF($K16="","",INDEX(מלאי!$F$2:$F$500,$K16))</f>
        <v/>
      </c>
      <c r="H16" s="14">
        <f>IF($K16="","",INDEX(מלאי!$AB$2:$AB$500,$K16))</f>
        <v/>
      </c>
      <c r="I16" s="9">
        <f>IF($K16="","",IF(AND(INDEX(מלאי!$AB$2:$AB$500,$K16)&lt;&gt;"",INDEX(מלאי!$AB$2:$AB$500,$K16)&lt;TODAY()),"באיחור!","תקין"))</f>
        <v/>
      </c>
      <c r="J16" s="9">
        <f>IF($K16="","",INDEX(מלאי!$AC$2:$AC$500,$K16))</f>
        <v/>
      </c>
      <c r="K1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8">
        <f>IF($K17="","",INDEX(מלאי!$D$2:$D$500,$K17))</f>
        <v/>
      </c>
      <c r="B17" s="8">
        <f>IF($K17="","",INDEX(מלאי!$B$2:$B$500,$K17))</f>
        <v/>
      </c>
      <c r="C17" s="8">
        <f>IF($K17="","",INDEX(מלאי!$C$2:$C$500,$K17))</f>
        <v/>
      </c>
      <c r="D17" s="8">
        <f>IF($K17="","",INDEX(מלאי!$Y$2:$Y$500,$K17))</f>
        <v/>
      </c>
      <c r="E17" s="8">
        <f>IF($K17="","",INDEX(מלאי!$Z$2:$Z$500,$K17))</f>
        <v/>
      </c>
      <c r="F17" s="8">
        <f>IF($K17="","",INDEX(מלאי!$AA$2:$AA$500,$K17))</f>
        <v/>
      </c>
      <c r="G17" s="13">
        <f>IF($K17="","",INDEX(מלאי!$F$2:$F$500,$K17))</f>
        <v/>
      </c>
      <c r="H17" s="13">
        <f>IF($K17="","",INDEX(מלאי!$AB$2:$AB$500,$K17))</f>
        <v/>
      </c>
      <c r="I17" s="8">
        <f>IF($K17="","",IF(AND(INDEX(מלאי!$AB$2:$AB$500,$K17)&lt;&gt;"",INDEX(מלאי!$AB$2:$AB$500,$K17)&lt;TODAY()),"באיחור!","תקין"))</f>
        <v/>
      </c>
      <c r="J17" s="8">
        <f>IF($K17="","",INDEX(מלאי!$AC$2:$AC$500,$K17))</f>
        <v/>
      </c>
      <c r="K1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9">
        <f>IF($K18="","",INDEX(מלאי!$D$2:$D$500,$K18))</f>
        <v/>
      </c>
      <c r="B18" s="9">
        <f>IF($K18="","",INDEX(מלאי!$B$2:$B$500,$K18))</f>
        <v/>
      </c>
      <c r="C18" s="9">
        <f>IF($K18="","",INDEX(מלאי!$C$2:$C$500,$K18))</f>
        <v/>
      </c>
      <c r="D18" s="9">
        <f>IF($K18="","",INDEX(מלאי!$Y$2:$Y$500,$K18))</f>
        <v/>
      </c>
      <c r="E18" s="9">
        <f>IF($K18="","",INDEX(מלאי!$Z$2:$Z$500,$K18))</f>
        <v/>
      </c>
      <c r="F18" s="9">
        <f>IF($K18="","",INDEX(מלאי!$AA$2:$AA$500,$K18))</f>
        <v/>
      </c>
      <c r="G18" s="14">
        <f>IF($K18="","",INDEX(מלאי!$F$2:$F$500,$K18))</f>
        <v/>
      </c>
      <c r="H18" s="14">
        <f>IF($K18="","",INDEX(מלאי!$AB$2:$AB$500,$K18))</f>
        <v/>
      </c>
      <c r="I18" s="9">
        <f>IF($K18="","",IF(AND(INDEX(מלאי!$AB$2:$AB$500,$K18)&lt;&gt;"",INDEX(מלאי!$AB$2:$AB$500,$K18)&lt;TODAY()),"באיחור!","תקין"))</f>
        <v/>
      </c>
      <c r="J18" s="9">
        <f>IF($K18="","",INDEX(מלאי!$AC$2:$AC$500,$K18))</f>
        <v/>
      </c>
      <c r="K1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8">
        <f>IF($K19="","",INDEX(מלאי!$D$2:$D$500,$K19))</f>
        <v/>
      </c>
      <c r="B19" s="8">
        <f>IF($K19="","",INDEX(מלאי!$B$2:$B$500,$K19))</f>
        <v/>
      </c>
      <c r="C19" s="8">
        <f>IF($K19="","",INDEX(מלאי!$C$2:$C$500,$K19))</f>
        <v/>
      </c>
      <c r="D19" s="8">
        <f>IF($K19="","",INDEX(מלאי!$Y$2:$Y$500,$K19))</f>
        <v/>
      </c>
      <c r="E19" s="8">
        <f>IF($K19="","",INDEX(מלאי!$Z$2:$Z$500,$K19))</f>
        <v/>
      </c>
      <c r="F19" s="8">
        <f>IF($K19="","",INDEX(מלאי!$AA$2:$AA$500,$K19))</f>
        <v/>
      </c>
      <c r="G19" s="13">
        <f>IF($K19="","",INDEX(מלאי!$F$2:$F$500,$K19))</f>
        <v/>
      </c>
      <c r="H19" s="13">
        <f>IF($K19="","",INDEX(מלאי!$AB$2:$AB$500,$K19))</f>
        <v/>
      </c>
      <c r="I19" s="8">
        <f>IF($K19="","",IF(AND(INDEX(מלאי!$AB$2:$AB$500,$K19)&lt;&gt;"",INDEX(מלאי!$AB$2:$AB$500,$K19)&lt;TODAY()),"באיחור!","תקין"))</f>
        <v/>
      </c>
      <c r="J19" s="8">
        <f>IF($K19="","",INDEX(מלאי!$AC$2:$AC$500,$K19))</f>
        <v/>
      </c>
      <c r="K1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9">
        <f>IF($K20="","",INDEX(מלאי!$D$2:$D$500,$K20))</f>
        <v/>
      </c>
      <c r="B20" s="9">
        <f>IF($K20="","",INDEX(מלאי!$B$2:$B$500,$K20))</f>
        <v/>
      </c>
      <c r="C20" s="9">
        <f>IF($K20="","",INDEX(מלאי!$C$2:$C$500,$K20))</f>
        <v/>
      </c>
      <c r="D20" s="9">
        <f>IF($K20="","",INDEX(מלאי!$Y$2:$Y$500,$K20))</f>
        <v/>
      </c>
      <c r="E20" s="9">
        <f>IF($K20="","",INDEX(מלאי!$Z$2:$Z$500,$K20))</f>
        <v/>
      </c>
      <c r="F20" s="9">
        <f>IF($K20="","",INDEX(מלאי!$AA$2:$AA$500,$K20))</f>
        <v/>
      </c>
      <c r="G20" s="14">
        <f>IF($K20="","",INDEX(מלאי!$F$2:$F$500,$K20))</f>
        <v/>
      </c>
      <c r="H20" s="14">
        <f>IF($K20="","",INDEX(מלאי!$AB$2:$AB$500,$K20))</f>
        <v/>
      </c>
      <c r="I20" s="9">
        <f>IF($K20="","",IF(AND(INDEX(מלאי!$AB$2:$AB$500,$K20)&lt;&gt;"",INDEX(מלאי!$AB$2:$AB$500,$K20)&lt;TODAY()),"באיחור!","תקין"))</f>
        <v/>
      </c>
      <c r="J20" s="9">
        <f>IF($K20="","",INDEX(מלאי!$AC$2:$AC$500,$K20))</f>
        <v/>
      </c>
      <c r="K2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8">
        <f>IF($K21="","",INDEX(מלאי!$D$2:$D$500,$K21))</f>
        <v/>
      </c>
      <c r="B21" s="8">
        <f>IF($K21="","",INDEX(מלאי!$B$2:$B$500,$K21))</f>
        <v/>
      </c>
      <c r="C21" s="8">
        <f>IF($K21="","",INDEX(מלאי!$C$2:$C$500,$K21))</f>
        <v/>
      </c>
      <c r="D21" s="8">
        <f>IF($K21="","",INDEX(מלאי!$Y$2:$Y$500,$K21))</f>
        <v/>
      </c>
      <c r="E21" s="8">
        <f>IF($K21="","",INDEX(מלאי!$Z$2:$Z$500,$K21))</f>
        <v/>
      </c>
      <c r="F21" s="8">
        <f>IF($K21="","",INDEX(מלאי!$AA$2:$AA$500,$K21))</f>
        <v/>
      </c>
      <c r="G21" s="13">
        <f>IF($K21="","",INDEX(מלאי!$F$2:$F$500,$K21))</f>
        <v/>
      </c>
      <c r="H21" s="13">
        <f>IF($K21="","",INDEX(מלאי!$AB$2:$AB$500,$K21))</f>
        <v/>
      </c>
      <c r="I21" s="8">
        <f>IF($K21="","",IF(AND(INDEX(מלאי!$AB$2:$AB$500,$K21)&lt;&gt;"",INDEX(מלאי!$AB$2:$AB$500,$K21)&lt;TODAY()),"באיחור!","תקין"))</f>
        <v/>
      </c>
      <c r="J21" s="8">
        <f>IF($K21="","",INDEX(מלאי!$AC$2:$AC$500,$K21))</f>
        <v/>
      </c>
      <c r="K2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9">
        <f>IF($K22="","",INDEX(מלאי!$D$2:$D$500,$K22))</f>
        <v/>
      </c>
      <c r="B22" s="9">
        <f>IF($K22="","",INDEX(מלאי!$B$2:$B$500,$K22))</f>
        <v/>
      </c>
      <c r="C22" s="9">
        <f>IF($K22="","",INDEX(מלאי!$C$2:$C$500,$K22))</f>
        <v/>
      </c>
      <c r="D22" s="9">
        <f>IF($K22="","",INDEX(מלאי!$Y$2:$Y$500,$K22))</f>
        <v/>
      </c>
      <c r="E22" s="9">
        <f>IF($K22="","",INDEX(מלאי!$Z$2:$Z$500,$K22))</f>
        <v/>
      </c>
      <c r="F22" s="9">
        <f>IF($K22="","",INDEX(מלאי!$AA$2:$AA$500,$K22))</f>
        <v/>
      </c>
      <c r="G22" s="14">
        <f>IF($K22="","",INDEX(מלאי!$F$2:$F$500,$K22))</f>
        <v/>
      </c>
      <c r="H22" s="14">
        <f>IF($K22="","",INDEX(מלאי!$AB$2:$AB$500,$K22))</f>
        <v/>
      </c>
      <c r="I22" s="9">
        <f>IF($K22="","",IF(AND(INDEX(מלאי!$AB$2:$AB$500,$K22)&lt;&gt;"",INDEX(מלאי!$AB$2:$AB$500,$K22)&lt;TODAY()),"באיחור!","תקין"))</f>
        <v/>
      </c>
      <c r="J22" s="9">
        <f>IF($K22="","",INDEX(מלאי!$AC$2:$AC$500,$K22))</f>
        <v/>
      </c>
      <c r="K2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8">
        <f>IF($K23="","",INDEX(מלאי!$D$2:$D$500,$K23))</f>
        <v/>
      </c>
      <c r="B23" s="8">
        <f>IF($K23="","",INDEX(מלאי!$B$2:$B$500,$K23))</f>
        <v/>
      </c>
      <c r="C23" s="8">
        <f>IF($K23="","",INDEX(מלאי!$C$2:$C$500,$K23))</f>
        <v/>
      </c>
      <c r="D23" s="8">
        <f>IF($K23="","",INDEX(מלאי!$Y$2:$Y$500,$K23))</f>
        <v/>
      </c>
      <c r="E23" s="8">
        <f>IF($K23="","",INDEX(מלאי!$Z$2:$Z$500,$K23))</f>
        <v/>
      </c>
      <c r="F23" s="8">
        <f>IF($K23="","",INDEX(מלאי!$AA$2:$AA$500,$K23))</f>
        <v/>
      </c>
      <c r="G23" s="13">
        <f>IF($K23="","",INDEX(מלאי!$F$2:$F$500,$K23))</f>
        <v/>
      </c>
      <c r="H23" s="13">
        <f>IF($K23="","",INDEX(מלאי!$AB$2:$AB$500,$K23))</f>
        <v/>
      </c>
      <c r="I23" s="8">
        <f>IF($K23="","",IF(AND(INDEX(מלאי!$AB$2:$AB$500,$K23)&lt;&gt;"",INDEX(מלאי!$AB$2:$AB$500,$K23)&lt;TODAY()),"באיחור!","תקין"))</f>
        <v/>
      </c>
      <c r="J23" s="8">
        <f>IF($K23="","",INDEX(מלאי!$AC$2:$AC$500,$K23))</f>
        <v/>
      </c>
      <c r="K2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9">
        <f>IF($K24="","",INDEX(מלאי!$D$2:$D$500,$K24))</f>
        <v/>
      </c>
      <c r="B24" s="9">
        <f>IF($K24="","",INDEX(מלאי!$B$2:$B$500,$K24))</f>
        <v/>
      </c>
      <c r="C24" s="9">
        <f>IF($K24="","",INDEX(מלאי!$C$2:$C$500,$K24))</f>
        <v/>
      </c>
      <c r="D24" s="9">
        <f>IF($K24="","",INDEX(מלאי!$Y$2:$Y$500,$K24))</f>
        <v/>
      </c>
      <c r="E24" s="9">
        <f>IF($K24="","",INDEX(מלאי!$Z$2:$Z$500,$K24))</f>
        <v/>
      </c>
      <c r="F24" s="9">
        <f>IF($K24="","",INDEX(מלאי!$AA$2:$AA$500,$K24))</f>
        <v/>
      </c>
      <c r="G24" s="14">
        <f>IF($K24="","",INDEX(מלאי!$F$2:$F$500,$K24))</f>
        <v/>
      </c>
      <c r="H24" s="14">
        <f>IF($K24="","",INDEX(מלאי!$AB$2:$AB$500,$K24))</f>
        <v/>
      </c>
      <c r="I24" s="9">
        <f>IF($K24="","",IF(AND(INDEX(מלאי!$AB$2:$AB$500,$K24)&lt;&gt;"",INDEX(מלאי!$AB$2:$AB$500,$K24)&lt;TODAY()),"באיחור!","תקין"))</f>
        <v/>
      </c>
      <c r="J24" s="9">
        <f>IF($K24="","",INDEX(מלאי!$AC$2:$AC$500,$K24))</f>
        <v/>
      </c>
      <c r="K2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8">
        <f>IF($K25="","",INDEX(מלאי!$D$2:$D$500,$K25))</f>
        <v/>
      </c>
      <c r="B25" s="8">
        <f>IF($K25="","",INDEX(מלאי!$B$2:$B$500,$K25))</f>
        <v/>
      </c>
      <c r="C25" s="8">
        <f>IF($K25="","",INDEX(מלאי!$C$2:$C$500,$K25))</f>
        <v/>
      </c>
      <c r="D25" s="8">
        <f>IF($K25="","",INDEX(מלאי!$Y$2:$Y$500,$K25))</f>
        <v/>
      </c>
      <c r="E25" s="8">
        <f>IF($K25="","",INDEX(מלאי!$Z$2:$Z$500,$K25))</f>
        <v/>
      </c>
      <c r="F25" s="8">
        <f>IF($K25="","",INDEX(מלאי!$AA$2:$AA$500,$K25))</f>
        <v/>
      </c>
      <c r="G25" s="13">
        <f>IF($K25="","",INDEX(מלאי!$F$2:$F$500,$K25))</f>
        <v/>
      </c>
      <c r="H25" s="13">
        <f>IF($K25="","",INDEX(מלאי!$AB$2:$AB$500,$K25))</f>
        <v/>
      </c>
      <c r="I25" s="8">
        <f>IF($K25="","",IF(AND(INDEX(מלאי!$AB$2:$AB$500,$K25)&lt;&gt;"",INDEX(מלאי!$AB$2:$AB$500,$K25)&lt;TODAY()),"באיחור!","תקין"))</f>
        <v/>
      </c>
      <c r="J25" s="8">
        <f>IF($K25="","",INDEX(מלאי!$AC$2:$AC$500,$K25))</f>
        <v/>
      </c>
      <c r="K2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9">
        <f>IF($K26="","",INDEX(מלאי!$D$2:$D$500,$K26))</f>
        <v/>
      </c>
      <c r="B26" s="9">
        <f>IF($K26="","",INDEX(מלאי!$B$2:$B$500,$K26))</f>
        <v/>
      </c>
      <c r="C26" s="9">
        <f>IF($K26="","",INDEX(מלאי!$C$2:$C$500,$K26))</f>
        <v/>
      </c>
      <c r="D26" s="9">
        <f>IF($K26="","",INDEX(מלאי!$Y$2:$Y$500,$K26))</f>
        <v/>
      </c>
      <c r="E26" s="9">
        <f>IF($K26="","",INDEX(מלאי!$Z$2:$Z$500,$K26))</f>
        <v/>
      </c>
      <c r="F26" s="9">
        <f>IF($K26="","",INDEX(מלאי!$AA$2:$AA$500,$K26))</f>
        <v/>
      </c>
      <c r="G26" s="14">
        <f>IF($K26="","",INDEX(מלאי!$F$2:$F$500,$K26))</f>
        <v/>
      </c>
      <c r="H26" s="14">
        <f>IF($K26="","",INDEX(מלאי!$AB$2:$AB$500,$K26))</f>
        <v/>
      </c>
      <c r="I26" s="9">
        <f>IF($K26="","",IF(AND(INDEX(מלאי!$AB$2:$AB$500,$K26)&lt;&gt;"",INDEX(מלאי!$AB$2:$AB$500,$K26)&lt;TODAY()),"באיחור!","תקין"))</f>
        <v/>
      </c>
      <c r="J26" s="9">
        <f>IF($K26="","",INDEX(מלאי!$AC$2:$AC$500,$K26))</f>
        <v/>
      </c>
      <c r="K2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8">
        <f>IF($K27="","",INDEX(מלאי!$D$2:$D$500,$K27))</f>
        <v/>
      </c>
      <c r="B27" s="8">
        <f>IF($K27="","",INDEX(מלאי!$B$2:$B$500,$K27))</f>
        <v/>
      </c>
      <c r="C27" s="8">
        <f>IF($K27="","",INDEX(מלאי!$C$2:$C$500,$K27))</f>
        <v/>
      </c>
      <c r="D27" s="8">
        <f>IF($K27="","",INDEX(מלאי!$Y$2:$Y$500,$K27))</f>
        <v/>
      </c>
      <c r="E27" s="8">
        <f>IF($K27="","",INDEX(מלאי!$Z$2:$Z$500,$K27))</f>
        <v/>
      </c>
      <c r="F27" s="8">
        <f>IF($K27="","",INDEX(מלאי!$AA$2:$AA$500,$K27))</f>
        <v/>
      </c>
      <c r="G27" s="13">
        <f>IF($K27="","",INDEX(מלאי!$F$2:$F$500,$K27))</f>
        <v/>
      </c>
      <c r="H27" s="13">
        <f>IF($K27="","",INDEX(מלאי!$AB$2:$AB$500,$K27))</f>
        <v/>
      </c>
      <c r="I27" s="8">
        <f>IF($K27="","",IF(AND(INDEX(מלאי!$AB$2:$AB$500,$K27)&lt;&gt;"",INDEX(מלאי!$AB$2:$AB$500,$K27)&lt;TODAY()),"באיחור!","תקין"))</f>
        <v/>
      </c>
      <c r="J27" s="8">
        <f>IF($K27="","",INDEX(מלאי!$AC$2:$AC$500,$K27))</f>
        <v/>
      </c>
      <c r="K2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9">
        <f>IF($K28="","",INDEX(מלאי!$D$2:$D$500,$K28))</f>
        <v/>
      </c>
      <c r="B28" s="9">
        <f>IF($K28="","",INDEX(מלאי!$B$2:$B$500,$K28))</f>
        <v/>
      </c>
      <c r="C28" s="9">
        <f>IF($K28="","",INDEX(מלאי!$C$2:$C$500,$K28))</f>
        <v/>
      </c>
      <c r="D28" s="9">
        <f>IF($K28="","",INDEX(מלאי!$Y$2:$Y$500,$K28))</f>
        <v/>
      </c>
      <c r="E28" s="9">
        <f>IF($K28="","",INDEX(מלאי!$Z$2:$Z$500,$K28))</f>
        <v/>
      </c>
      <c r="F28" s="9">
        <f>IF($K28="","",INDEX(מלאי!$AA$2:$AA$500,$K28))</f>
        <v/>
      </c>
      <c r="G28" s="14">
        <f>IF($K28="","",INDEX(מלאי!$F$2:$F$500,$K28))</f>
        <v/>
      </c>
      <c r="H28" s="14">
        <f>IF($K28="","",INDEX(מלאי!$AB$2:$AB$500,$K28))</f>
        <v/>
      </c>
      <c r="I28" s="9">
        <f>IF($K28="","",IF(AND(INDEX(מלאי!$AB$2:$AB$500,$K28)&lt;&gt;"",INDEX(מלאי!$AB$2:$AB$500,$K28)&lt;TODAY()),"באיחור!","תקין"))</f>
        <v/>
      </c>
      <c r="J28" s="9">
        <f>IF($K28="","",INDEX(מלאי!$AC$2:$AC$500,$K28))</f>
        <v/>
      </c>
      <c r="K2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8">
        <f>IF($K29="","",INDEX(מלאי!$D$2:$D$500,$K29))</f>
        <v/>
      </c>
      <c r="B29" s="8">
        <f>IF($K29="","",INDEX(מלאי!$B$2:$B$500,$K29))</f>
        <v/>
      </c>
      <c r="C29" s="8">
        <f>IF($K29="","",INDEX(מלאי!$C$2:$C$500,$K29))</f>
        <v/>
      </c>
      <c r="D29" s="8">
        <f>IF($K29="","",INDEX(מלאי!$Y$2:$Y$500,$K29))</f>
        <v/>
      </c>
      <c r="E29" s="8">
        <f>IF($K29="","",INDEX(מלאי!$Z$2:$Z$500,$K29))</f>
        <v/>
      </c>
      <c r="F29" s="8">
        <f>IF($K29="","",INDEX(מלאי!$AA$2:$AA$500,$K29))</f>
        <v/>
      </c>
      <c r="G29" s="13">
        <f>IF($K29="","",INDEX(מלאי!$F$2:$F$500,$K29))</f>
        <v/>
      </c>
      <c r="H29" s="13">
        <f>IF($K29="","",INDEX(מלאי!$AB$2:$AB$500,$K29))</f>
        <v/>
      </c>
      <c r="I29" s="8">
        <f>IF($K29="","",IF(AND(INDEX(מלאי!$AB$2:$AB$500,$K29)&lt;&gt;"",INDEX(מלאי!$AB$2:$AB$500,$K29)&lt;TODAY()),"באיחור!","תקין"))</f>
        <v/>
      </c>
      <c r="J29" s="8">
        <f>IF($K29="","",INDEX(מלאי!$AC$2:$AC$500,$K29))</f>
        <v/>
      </c>
      <c r="K2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9">
        <f>IF($K30="","",INDEX(מלאי!$D$2:$D$500,$K30))</f>
        <v/>
      </c>
      <c r="B30" s="9">
        <f>IF($K30="","",INDEX(מלאי!$B$2:$B$500,$K30))</f>
        <v/>
      </c>
      <c r="C30" s="9">
        <f>IF($K30="","",INDEX(מלאי!$C$2:$C$500,$K30))</f>
        <v/>
      </c>
      <c r="D30" s="9">
        <f>IF($K30="","",INDEX(מלאי!$Y$2:$Y$500,$K30))</f>
        <v/>
      </c>
      <c r="E30" s="9">
        <f>IF($K30="","",INDEX(מלאי!$Z$2:$Z$500,$K30))</f>
        <v/>
      </c>
      <c r="F30" s="9">
        <f>IF($K30="","",INDEX(מלאי!$AA$2:$AA$500,$K30))</f>
        <v/>
      </c>
      <c r="G30" s="14">
        <f>IF($K30="","",INDEX(מלאי!$F$2:$F$500,$K30))</f>
        <v/>
      </c>
      <c r="H30" s="14">
        <f>IF($K30="","",INDEX(מלאי!$AB$2:$AB$500,$K30))</f>
        <v/>
      </c>
      <c r="I30" s="9">
        <f>IF($K30="","",IF(AND(INDEX(מלאי!$AB$2:$AB$500,$K30)&lt;&gt;"",INDEX(מלאי!$AB$2:$AB$500,$K30)&lt;TODAY()),"באיחור!","תקין"))</f>
        <v/>
      </c>
      <c r="J30" s="9">
        <f>IF($K30="","",INDEX(מלאי!$AC$2:$AC$500,$K30))</f>
        <v/>
      </c>
      <c r="K3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8">
        <f>IF($K31="","",INDEX(מלאי!$D$2:$D$500,$K31))</f>
        <v/>
      </c>
      <c r="B31" s="8">
        <f>IF($K31="","",INDEX(מלאי!$B$2:$B$500,$K31))</f>
        <v/>
      </c>
      <c r="C31" s="8">
        <f>IF($K31="","",INDEX(מלאי!$C$2:$C$500,$K31))</f>
        <v/>
      </c>
      <c r="D31" s="8">
        <f>IF($K31="","",INDEX(מלאי!$Y$2:$Y$500,$K31))</f>
        <v/>
      </c>
      <c r="E31" s="8">
        <f>IF($K31="","",INDEX(מלאי!$Z$2:$Z$500,$K31))</f>
        <v/>
      </c>
      <c r="F31" s="8">
        <f>IF($K31="","",INDEX(מלאי!$AA$2:$AA$500,$K31))</f>
        <v/>
      </c>
      <c r="G31" s="13">
        <f>IF($K31="","",INDEX(מלאי!$F$2:$F$500,$K31))</f>
        <v/>
      </c>
      <c r="H31" s="13">
        <f>IF($K31="","",INDEX(מלאי!$AB$2:$AB$500,$K31))</f>
        <v/>
      </c>
      <c r="I31" s="8">
        <f>IF($K31="","",IF(AND(INDEX(מלאי!$AB$2:$AB$500,$K31)&lt;&gt;"",INDEX(מלאי!$AB$2:$AB$500,$K31)&lt;TODAY()),"באיחור!","תקין"))</f>
        <v/>
      </c>
      <c r="J31" s="8">
        <f>IF($K31="","",INDEX(מלאי!$AC$2:$AC$500,$K31))</f>
        <v/>
      </c>
      <c r="K3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9">
        <f>IF($K32="","",INDEX(מלאי!$D$2:$D$500,$K32))</f>
        <v/>
      </c>
      <c r="B32" s="9">
        <f>IF($K32="","",INDEX(מלאי!$B$2:$B$500,$K32))</f>
        <v/>
      </c>
      <c r="C32" s="9">
        <f>IF($K32="","",INDEX(מלאי!$C$2:$C$500,$K32))</f>
        <v/>
      </c>
      <c r="D32" s="9">
        <f>IF($K32="","",INDEX(מלאי!$Y$2:$Y$500,$K32))</f>
        <v/>
      </c>
      <c r="E32" s="9">
        <f>IF($K32="","",INDEX(מלאי!$Z$2:$Z$500,$K32))</f>
        <v/>
      </c>
      <c r="F32" s="9">
        <f>IF($K32="","",INDEX(מלאי!$AA$2:$AA$500,$K32))</f>
        <v/>
      </c>
      <c r="G32" s="14">
        <f>IF($K32="","",INDEX(מלאי!$F$2:$F$500,$K32))</f>
        <v/>
      </c>
      <c r="H32" s="14">
        <f>IF($K32="","",INDEX(מלאי!$AB$2:$AB$500,$K32))</f>
        <v/>
      </c>
      <c r="I32" s="9">
        <f>IF($K32="","",IF(AND(INDEX(מלאי!$AB$2:$AB$500,$K32)&lt;&gt;"",INDEX(מלאי!$AB$2:$AB$500,$K32)&lt;TODAY()),"באיחור!","תקין"))</f>
        <v/>
      </c>
      <c r="J32" s="9">
        <f>IF($K32="","",INDEX(מלאי!$AC$2:$AC$500,$K32))</f>
        <v/>
      </c>
      <c r="K3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8">
        <f>IF($K33="","",INDEX(מלאי!$D$2:$D$500,$K33))</f>
        <v/>
      </c>
      <c r="B33" s="8">
        <f>IF($K33="","",INDEX(מלאי!$B$2:$B$500,$K33))</f>
        <v/>
      </c>
      <c r="C33" s="8">
        <f>IF($K33="","",INDEX(מלאי!$C$2:$C$500,$K33))</f>
        <v/>
      </c>
      <c r="D33" s="8">
        <f>IF($K33="","",INDEX(מלאי!$Y$2:$Y$500,$K33))</f>
        <v/>
      </c>
      <c r="E33" s="8">
        <f>IF($K33="","",INDEX(מלאי!$Z$2:$Z$500,$K33))</f>
        <v/>
      </c>
      <c r="F33" s="8">
        <f>IF($K33="","",INDEX(מלאי!$AA$2:$AA$500,$K33))</f>
        <v/>
      </c>
      <c r="G33" s="13">
        <f>IF($K33="","",INDEX(מלאי!$F$2:$F$500,$K33))</f>
        <v/>
      </c>
      <c r="H33" s="13">
        <f>IF($K33="","",INDEX(מלאי!$AB$2:$AB$500,$K33))</f>
        <v/>
      </c>
      <c r="I33" s="8">
        <f>IF($K33="","",IF(AND(INDEX(מלאי!$AB$2:$AB$500,$K33)&lt;&gt;"",INDEX(מלאי!$AB$2:$AB$500,$K33)&lt;TODAY()),"באיחור!","תקין"))</f>
        <v/>
      </c>
      <c r="J33" s="8">
        <f>IF($K33="","",INDEX(מלאי!$AC$2:$AC$500,$K33))</f>
        <v/>
      </c>
      <c r="K3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9">
        <f>IF($K34="","",INDEX(מלאי!$D$2:$D$500,$K34))</f>
        <v/>
      </c>
      <c r="B34" s="9">
        <f>IF($K34="","",INDEX(מלאי!$B$2:$B$500,$K34))</f>
        <v/>
      </c>
      <c r="C34" s="9">
        <f>IF($K34="","",INDEX(מלאי!$C$2:$C$500,$K34))</f>
        <v/>
      </c>
      <c r="D34" s="9">
        <f>IF($K34="","",INDEX(מלאי!$Y$2:$Y$500,$K34))</f>
        <v/>
      </c>
      <c r="E34" s="9">
        <f>IF($K34="","",INDEX(מלאי!$Z$2:$Z$500,$K34))</f>
        <v/>
      </c>
      <c r="F34" s="9">
        <f>IF($K34="","",INDEX(מלאי!$AA$2:$AA$500,$K34))</f>
        <v/>
      </c>
      <c r="G34" s="14">
        <f>IF($K34="","",INDEX(מלאי!$F$2:$F$500,$K34))</f>
        <v/>
      </c>
      <c r="H34" s="14">
        <f>IF($K34="","",INDEX(מלאי!$AB$2:$AB$500,$K34))</f>
        <v/>
      </c>
      <c r="I34" s="9">
        <f>IF($K34="","",IF(AND(INDEX(מלאי!$AB$2:$AB$500,$K34)&lt;&gt;"",INDEX(מלאי!$AB$2:$AB$500,$K34)&lt;TODAY()),"באיחור!","תקין"))</f>
        <v/>
      </c>
      <c r="J34" s="9">
        <f>IF($K34="","",INDEX(מלאי!$AC$2:$AC$500,$K34))</f>
        <v/>
      </c>
      <c r="K3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8">
        <f>IF($K35="","",INDEX(מלאי!$D$2:$D$500,$K35))</f>
        <v/>
      </c>
      <c r="B35" s="8">
        <f>IF($K35="","",INDEX(מלאי!$B$2:$B$500,$K35))</f>
        <v/>
      </c>
      <c r="C35" s="8">
        <f>IF($K35="","",INDEX(מלאי!$C$2:$C$500,$K35))</f>
        <v/>
      </c>
      <c r="D35" s="8">
        <f>IF($K35="","",INDEX(מלאי!$Y$2:$Y$500,$K35))</f>
        <v/>
      </c>
      <c r="E35" s="8">
        <f>IF($K35="","",INDEX(מלאי!$Z$2:$Z$500,$K35))</f>
        <v/>
      </c>
      <c r="F35" s="8">
        <f>IF($K35="","",INDEX(מלאי!$AA$2:$AA$500,$K35))</f>
        <v/>
      </c>
      <c r="G35" s="13">
        <f>IF($K35="","",INDEX(מלאי!$F$2:$F$500,$K35))</f>
        <v/>
      </c>
      <c r="H35" s="13">
        <f>IF($K35="","",INDEX(מלאי!$AB$2:$AB$500,$K35))</f>
        <v/>
      </c>
      <c r="I35" s="8">
        <f>IF($K35="","",IF(AND(INDEX(מלאי!$AB$2:$AB$500,$K35)&lt;&gt;"",INDEX(מלאי!$AB$2:$AB$500,$K35)&lt;TODAY()),"באיחור!","תקין"))</f>
        <v/>
      </c>
      <c r="J35" s="8">
        <f>IF($K35="","",INDEX(מלאי!$AC$2:$AC$500,$K35))</f>
        <v/>
      </c>
      <c r="K3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9">
        <f>IF($K36="","",INDEX(מלאי!$D$2:$D$500,$K36))</f>
        <v/>
      </c>
      <c r="B36" s="9">
        <f>IF($K36="","",INDEX(מלאי!$B$2:$B$500,$K36))</f>
        <v/>
      </c>
      <c r="C36" s="9">
        <f>IF($K36="","",INDEX(מלאי!$C$2:$C$500,$K36))</f>
        <v/>
      </c>
      <c r="D36" s="9">
        <f>IF($K36="","",INDEX(מלאי!$Y$2:$Y$500,$K36))</f>
        <v/>
      </c>
      <c r="E36" s="9">
        <f>IF($K36="","",INDEX(מלאי!$Z$2:$Z$500,$K36))</f>
        <v/>
      </c>
      <c r="F36" s="9">
        <f>IF($K36="","",INDEX(מלאי!$AA$2:$AA$500,$K36))</f>
        <v/>
      </c>
      <c r="G36" s="14">
        <f>IF($K36="","",INDEX(מלאי!$F$2:$F$500,$K36))</f>
        <v/>
      </c>
      <c r="H36" s="14">
        <f>IF($K36="","",INDEX(מלאי!$AB$2:$AB$500,$K36))</f>
        <v/>
      </c>
      <c r="I36" s="9">
        <f>IF($K36="","",IF(AND(INDEX(מלאי!$AB$2:$AB$500,$K36)&lt;&gt;"",INDEX(מלאי!$AB$2:$AB$500,$K36)&lt;TODAY()),"באיחור!","תקין"))</f>
        <v/>
      </c>
      <c r="J36" s="9">
        <f>IF($K36="","",INDEX(מלאי!$AC$2:$AC$500,$K36))</f>
        <v/>
      </c>
      <c r="K3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8">
        <f>IF($K37="","",INDEX(מלאי!$D$2:$D$500,$K37))</f>
        <v/>
      </c>
      <c r="B37" s="8">
        <f>IF($K37="","",INDEX(מלאי!$B$2:$B$500,$K37))</f>
        <v/>
      </c>
      <c r="C37" s="8">
        <f>IF($K37="","",INDEX(מלאי!$C$2:$C$500,$K37))</f>
        <v/>
      </c>
      <c r="D37" s="8">
        <f>IF($K37="","",INDEX(מלאי!$Y$2:$Y$500,$K37))</f>
        <v/>
      </c>
      <c r="E37" s="8">
        <f>IF($K37="","",INDEX(מלאי!$Z$2:$Z$500,$K37))</f>
        <v/>
      </c>
      <c r="F37" s="8">
        <f>IF($K37="","",INDEX(מלאי!$AA$2:$AA$500,$K37))</f>
        <v/>
      </c>
      <c r="G37" s="13">
        <f>IF($K37="","",INDEX(מלאי!$F$2:$F$500,$K37))</f>
        <v/>
      </c>
      <c r="H37" s="13">
        <f>IF($K37="","",INDEX(מלאי!$AB$2:$AB$500,$K37))</f>
        <v/>
      </c>
      <c r="I37" s="8">
        <f>IF($K37="","",IF(AND(INDEX(מלאי!$AB$2:$AB$500,$K37)&lt;&gt;"",INDEX(מלאי!$AB$2:$AB$500,$K37)&lt;TODAY()),"באיחור!","תקין"))</f>
        <v/>
      </c>
      <c r="J37" s="8">
        <f>IF($K37="","",INDEX(מלאי!$AC$2:$AC$500,$K37))</f>
        <v/>
      </c>
      <c r="K3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9">
        <f>IF($K38="","",INDEX(מלאי!$D$2:$D$500,$K38))</f>
        <v/>
      </c>
      <c r="B38" s="9">
        <f>IF($K38="","",INDEX(מלאי!$B$2:$B$500,$K38))</f>
        <v/>
      </c>
      <c r="C38" s="9">
        <f>IF($K38="","",INDEX(מלאי!$C$2:$C$500,$K38))</f>
        <v/>
      </c>
      <c r="D38" s="9">
        <f>IF($K38="","",INDEX(מלאי!$Y$2:$Y$500,$K38))</f>
        <v/>
      </c>
      <c r="E38" s="9">
        <f>IF($K38="","",INDEX(מלאי!$Z$2:$Z$500,$K38))</f>
        <v/>
      </c>
      <c r="F38" s="9">
        <f>IF($K38="","",INDEX(מלאי!$AA$2:$AA$500,$K38))</f>
        <v/>
      </c>
      <c r="G38" s="14">
        <f>IF($K38="","",INDEX(מלאי!$F$2:$F$500,$K38))</f>
        <v/>
      </c>
      <c r="H38" s="14">
        <f>IF($K38="","",INDEX(מלאי!$AB$2:$AB$500,$K38))</f>
        <v/>
      </c>
      <c r="I38" s="9">
        <f>IF($K38="","",IF(AND(INDEX(מלאי!$AB$2:$AB$500,$K38)&lt;&gt;"",INDEX(מלאי!$AB$2:$AB$500,$K38)&lt;TODAY()),"באיחור!","תקין"))</f>
        <v/>
      </c>
      <c r="J38" s="9">
        <f>IF($K38="","",INDEX(מלאי!$AC$2:$AC$500,$K38))</f>
        <v/>
      </c>
      <c r="K3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8">
        <f>IF($K39="","",INDEX(מלאי!$D$2:$D$500,$K39))</f>
        <v/>
      </c>
      <c r="B39" s="8">
        <f>IF($K39="","",INDEX(מלאי!$B$2:$B$500,$K39))</f>
        <v/>
      </c>
      <c r="C39" s="8">
        <f>IF($K39="","",INDEX(מלאי!$C$2:$C$500,$K39))</f>
        <v/>
      </c>
      <c r="D39" s="8">
        <f>IF($K39="","",INDEX(מלאי!$Y$2:$Y$500,$K39))</f>
        <v/>
      </c>
      <c r="E39" s="8">
        <f>IF($K39="","",INDEX(מלאי!$Z$2:$Z$500,$K39))</f>
        <v/>
      </c>
      <c r="F39" s="8">
        <f>IF($K39="","",INDEX(מלאי!$AA$2:$AA$500,$K39))</f>
        <v/>
      </c>
      <c r="G39" s="13">
        <f>IF($K39="","",INDEX(מלאי!$F$2:$F$500,$K39))</f>
        <v/>
      </c>
      <c r="H39" s="13">
        <f>IF($K39="","",INDEX(מלאי!$AB$2:$AB$500,$K39))</f>
        <v/>
      </c>
      <c r="I39" s="8">
        <f>IF($K39="","",IF(AND(INDEX(מלאי!$AB$2:$AB$500,$K39)&lt;&gt;"",INDEX(מלאי!$AB$2:$AB$500,$K39)&lt;TODAY()),"באיחור!","תקין"))</f>
        <v/>
      </c>
      <c r="J39" s="8">
        <f>IF($K39="","",INDEX(מלאי!$AC$2:$AC$500,$K39))</f>
        <v/>
      </c>
      <c r="K3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9">
        <f>IF($K40="","",INDEX(מלאי!$D$2:$D$500,$K40))</f>
        <v/>
      </c>
      <c r="B40" s="9">
        <f>IF($K40="","",INDEX(מלאי!$B$2:$B$500,$K40))</f>
        <v/>
      </c>
      <c r="C40" s="9">
        <f>IF($K40="","",INDEX(מלאי!$C$2:$C$500,$K40))</f>
        <v/>
      </c>
      <c r="D40" s="9">
        <f>IF($K40="","",INDEX(מלאי!$Y$2:$Y$500,$K40))</f>
        <v/>
      </c>
      <c r="E40" s="9">
        <f>IF($K40="","",INDEX(מלאי!$Z$2:$Z$500,$K40))</f>
        <v/>
      </c>
      <c r="F40" s="9">
        <f>IF($K40="","",INDEX(מלאי!$AA$2:$AA$500,$K40))</f>
        <v/>
      </c>
      <c r="G40" s="14">
        <f>IF($K40="","",INDEX(מלאי!$F$2:$F$500,$K40))</f>
        <v/>
      </c>
      <c r="H40" s="14">
        <f>IF($K40="","",INDEX(מלאי!$AB$2:$AB$500,$K40))</f>
        <v/>
      </c>
      <c r="I40" s="9">
        <f>IF($K40="","",IF(AND(INDEX(מלאי!$AB$2:$AB$500,$K40)&lt;&gt;"",INDEX(מלאי!$AB$2:$AB$500,$K40)&lt;TODAY()),"באיחור!","תקין"))</f>
        <v/>
      </c>
      <c r="J40" s="9">
        <f>IF($K40="","",INDEX(מלאי!$AC$2:$AC$500,$K40))</f>
        <v/>
      </c>
      <c r="K4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8">
        <f>IF($K41="","",INDEX(מלאי!$D$2:$D$500,$K41))</f>
        <v/>
      </c>
      <c r="B41" s="8">
        <f>IF($K41="","",INDEX(מלאי!$B$2:$B$500,$K41))</f>
        <v/>
      </c>
      <c r="C41" s="8">
        <f>IF($K41="","",INDEX(מלאי!$C$2:$C$500,$K41))</f>
        <v/>
      </c>
      <c r="D41" s="8">
        <f>IF($K41="","",INDEX(מלאי!$Y$2:$Y$500,$K41))</f>
        <v/>
      </c>
      <c r="E41" s="8">
        <f>IF($K41="","",INDEX(מלאי!$Z$2:$Z$500,$K41))</f>
        <v/>
      </c>
      <c r="F41" s="8">
        <f>IF($K41="","",INDEX(מלאי!$AA$2:$AA$500,$K41))</f>
        <v/>
      </c>
      <c r="G41" s="13">
        <f>IF($K41="","",INDEX(מלאי!$F$2:$F$500,$K41))</f>
        <v/>
      </c>
      <c r="H41" s="13">
        <f>IF($K41="","",INDEX(מלאי!$AB$2:$AB$500,$K41))</f>
        <v/>
      </c>
      <c r="I41" s="8">
        <f>IF($K41="","",IF(AND(INDEX(מלאי!$AB$2:$AB$500,$K41)&lt;&gt;"",INDEX(מלאי!$AB$2:$AB$500,$K41)&lt;TODAY()),"באיחור!","תקין"))</f>
        <v/>
      </c>
      <c r="J41" s="8">
        <f>IF($K41="","",INDEX(מלאי!$AC$2:$AC$500,$K41))</f>
        <v/>
      </c>
      <c r="K4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9">
        <f>IF($K42="","",INDEX(מלאי!$D$2:$D$500,$K42))</f>
        <v/>
      </c>
      <c r="B42" s="9">
        <f>IF($K42="","",INDEX(מלאי!$B$2:$B$500,$K42))</f>
        <v/>
      </c>
      <c r="C42" s="9">
        <f>IF($K42="","",INDEX(מלאי!$C$2:$C$500,$K42))</f>
        <v/>
      </c>
      <c r="D42" s="9">
        <f>IF($K42="","",INDEX(מלאי!$Y$2:$Y$500,$K42))</f>
        <v/>
      </c>
      <c r="E42" s="9">
        <f>IF($K42="","",INDEX(מלאי!$Z$2:$Z$500,$K42))</f>
        <v/>
      </c>
      <c r="F42" s="9">
        <f>IF($K42="","",INDEX(מלאי!$AA$2:$AA$500,$K42))</f>
        <v/>
      </c>
      <c r="G42" s="14">
        <f>IF($K42="","",INDEX(מלאי!$F$2:$F$500,$K42))</f>
        <v/>
      </c>
      <c r="H42" s="14">
        <f>IF($K42="","",INDEX(מלאי!$AB$2:$AB$500,$K42))</f>
        <v/>
      </c>
      <c r="I42" s="9">
        <f>IF($K42="","",IF(AND(INDEX(מלאי!$AB$2:$AB$500,$K42)&lt;&gt;"",INDEX(מלאי!$AB$2:$AB$500,$K42)&lt;TODAY()),"באיחור!","תקין"))</f>
        <v/>
      </c>
      <c r="J42" s="9">
        <f>IF($K42="","",INDEX(מלאי!$AC$2:$AC$500,$K42))</f>
        <v/>
      </c>
      <c r="K4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8">
        <f>IF($K43="","",INDEX(מלאי!$D$2:$D$500,$K43))</f>
        <v/>
      </c>
      <c r="B43" s="8">
        <f>IF($K43="","",INDEX(מלאי!$B$2:$B$500,$K43))</f>
        <v/>
      </c>
      <c r="C43" s="8">
        <f>IF($K43="","",INDEX(מלאי!$C$2:$C$500,$K43))</f>
        <v/>
      </c>
      <c r="D43" s="8">
        <f>IF($K43="","",INDEX(מלאי!$Y$2:$Y$500,$K43))</f>
        <v/>
      </c>
      <c r="E43" s="8">
        <f>IF($K43="","",INDEX(מלאי!$Z$2:$Z$500,$K43))</f>
        <v/>
      </c>
      <c r="F43" s="8">
        <f>IF($K43="","",INDEX(מלאי!$AA$2:$AA$500,$K43))</f>
        <v/>
      </c>
      <c r="G43" s="13">
        <f>IF($K43="","",INDEX(מלאי!$F$2:$F$500,$K43))</f>
        <v/>
      </c>
      <c r="H43" s="13">
        <f>IF($K43="","",INDEX(מלאי!$AB$2:$AB$500,$K43))</f>
        <v/>
      </c>
      <c r="I43" s="8">
        <f>IF($K43="","",IF(AND(INDEX(מלאי!$AB$2:$AB$500,$K43)&lt;&gt;"",INDEX(מלאי!$AB$2:$AB$500,$K43)&lt;TODAY()),"באיחור!","תקין"))</f>
        <v/>
      </c>
      <c r="J43" s="8">
        <f>IF($K43="","",INDEX(מלאי!$AC$2:$AC$500,$K43))</f>
        <v/>
      </c>
      <c r="K4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9">
        <f>IF($K44="","",INDEX(מלאי!$D$2:$D$500,$K44))</f>
        <v/>
      </c>
      <c r="B44" s="9">
        <f>IF($K44="","",INDEX(מלאי!$B$2:$B$500,$K44))</f>
        <v/>
      </c>
      <c r="C44" s="9">
        <f>IF($K44="","",INDEX(מלאי!$C$2:$C$500,$K44))</f>
        <v/>
      </c>
      <c r="D44" s="9">
        <f>IF($K44="","",INDEX(מלאי!$Y$2:$Y$500,$K44))</f>
        <v/>
      </c>
      <c r="E44" s="9">
        <f>IF($K44="","",INDEX(מלאי!$Z$2:$Z$500,$K44))</f>
        <v/>
      </c>
      <c r="F44" s="9">
        <f>IF($K44="","",INDEX(מלאי!$AA$2:$AA$500,$K44))</f>
        <v/>
      </c>
      <c r="G44" s="14">
        <f>IF($K44="","",INDEX(מלאי!$F$2:$F$500,$K44))</f>
        <v/>
      </c>
      <c r="H44" s="14">
        <f>IF($K44="","",INDEX(מלאי!$AB$2:$AB$500,$K44))</f>
        <v/>
      </c>
      <c r="I44" s="9">
        <f>IF($K44="","",IF(AND(INDEX(מלאי!$AB$2:$AB$500,$K44)&lt;&gt;"",INDEX(מלאי!$AB$2:$AB$500,$K44)&lt;TODAY()),"באיחור!","תקין"))</f>
        <v/>
      </c>
      <c r="J44" s="9">
        <f>IF($K44="","",INDEX(מלאי!$AC$2:$AC$500,$K44))</f>
        <v/>
      </c>
      <c r="K4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8">
        <f>IF($K45="","",INDEX(מלאי!$D$2:$D$500,$K45))</f>
        <v/>
      </c>
      <c r="B45" s="8">
        <f>IF($K45="","",INDEX(מלאי!$B$2:$B$500,$K45))</f>
        <v/>
      </c>
      <c r="C45" s="8">
        <f>IF($K45="","",INDEX(מלאי!$C$2:$C$500,$K45))</f>
        <v/>
      </c>
      <c r="D45" s="8">
        <f>IF($K45="","",INDEX(מלאי!$Y$2:$Y$500,$K45))</f>
        <v/>
      </c>
      <c r="E45" s="8">
        <f>IF($K45="","",INDEX(מלאי!$Z$2:$Z$500,$K45))</f>
        <v/>
      </c>
      <c r="F45" s="8">
        <f>IF($K45="","",INDEX(מלאי!$AA$2:$AA$500,$K45))</f>
        <v/>
      </c>
      <c r="G45" s="13">
        <f>IF($K45="","",INDEX(מלאי!$F$2:$F$500,$K45))</f>
        <v/>
      </c>
      <c r="H45" s="13">
        <f>IF($K45="","",INDEX(מלאי!$AB$2:$AB$500,$K45))</f>
        <v/>
      </c>
      <c r="I45" s="8">
        <f>IF($K45="","",IF(AND(INDEX(מלאי!$AB$2:$AB$500,$K45)&lt;&gt;"",INDEX(מלאי!$AB$2:$AB$500,$K45)&lt;TODAY()),"באיחור!","תקין"))</f>
        <v/>
      </c>
      <c r="J45" s="8">
        <f>IF($K45="","",INDEX(מלאי!$AC$2:$AC$500,$K45))</f>
        <v/>
      </c>
      <c r="K4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9">
        <f>IF($K46="","",INDEX(מלאי!$D$2:$D$500,$K46))</f>
        <v/>
      </c>
      <c r="B46" s="9">
        <f>IF($K46="","",INDEX(מלאי!$B$2:$B$500,$K46))</f>
        <v/>
      </c>
      <c r="C46" s="9">
        <f>IF($K46="","",INDEX(מלאי!$C$2:$C$500,$K46))</f>
        <v/>
      </c>
      <c r="D46" s="9">
        <f>IF($K46="","",INDEX(מלאי!$Y$2:$Y$500,$K46))</f>
        <v/>
      </c>
      <c r="E46" s="9">
        <f>IF($K46="","",INDEX(מלאי!$Z$2:$Z$500,$K46))</f>
        <v/>
      </c>
      <c r="F46" s="9">
        <f>IF($K46="","",INDEX(מלאי!$AA$2:$AA$500,$K46))</f>
        <v/>
      </c>
      <c r="G46" s="14">
        <f>IF($K46="","",INDEX(מלאי!$F$2:$F$500,$K46))</f>
        <v/>
      </c>
      <c r="H46" s="14">
        <f>IF($K46="","",INDEX(מלאי!$AB$2:$AB$500,$K46))</f>
        <v/>
      </c>
      <c r="I46" s="9">
        <f>IF($K46="","",IF(AND(INDEX(מלאי!$AB$2:$AB$500,$K46)&lt;&gt;"",INDEX(מלאי!$AB$2:$AB$500,$K46)&lt;TODAY()),"באיחור!","תקין"))</f>
        <v/>
      </c>
      <c r="J46" s="9">
        <f>IF($K46="","",INDEX(מלאי!$AC$2:$AC$500,$K46))</f>
        <v/>
      </c>
      <c r="K4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8">
        <f>IF($K47="","",INDEX(מלאי!$D$2:$D$500,$K47))</f>
        <v/>
      </c>
      <c r="B47" s="8">
        <f>IF($K47="","",INDEX(מלאי!$B$2:$B$500,$K47))</f>
        <v/>
      </c>
      <c r="C47" s="8">
        <f>IF($K47="","",INDEX(מלאי!$C$2:$C$500,$K47))</f>
        <v/>
      </c>
      <c r="D47" s="8">
        <f>IF($K47="","",INDEX(מלאי!$Y$2:$Y$500,$K47))</f>
        <v/>
      </c>
      <c r="E47" s="8">
        <f>IF($K47="","",INDEX(מלאי!$Z$2:$Z$500,$K47))</f>
        <v/>
      </c>
      <c r="F47" s="8">
        <f>IF($K47="","",INDEX(מלאי!$AA$2:$AA$500,$K47))</f>
        <v/>
      </c>
      <c r="G47" s="13">
        <f>IF($K47="","",INDEX(מלאי!$F$2:$F$500,$K47))</f>
        <v/>
      </c>
      <c r="H47" s="13">
        <f>IF($K47="","",INDEX(מלאי!$AB$2:$AB$500,$K47))</f>
        <v/>
      </c>
      <c r="I47" s="8">
        <f>IF($K47="","",IF(AND(INDEX(מלאי!$AB$2:$AB$500,$K47)&lt;&gt;"",INDEX(מלאי!$AB$2:$AB$500,$K47)&lt;TODAY()),"באיחור!","תקין"))</f>
        <v/>
      </c>
      <c r="J47" s="8">
        <f>IF($K47="","",INDEX(מלאי!$AC$2:$AC$500,$K47))</f>
        <v/>
      </c>
      <c r="K4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9">
        <f>IF($K48="","",INDEX(מלאי!$D$2:$D$500,$K48))</f>
        <v/>
      </c>
      <c r="B48" s="9">
        <f>IF($K48="","",INDEX(מלאי!$B$2:$B$500,$K48))</f>
        <v/>
      </c>
      <c r="C48" s="9">
        <f>IF($K48="","",INDEX(מלאי!$C$2:$C$500,$K48))</f>
        <v/>
      </c>
      <c r="D48" s="9">
        <f>IF($K48="","",INDEX(מלאי!$Y$2:$Y$500,$K48))</f>
        <v/>
      </c>
      <c r="E48" s="9">
        <f>IF($K48="","",INDEX(מלאי!$Z$2:$Z$500,$K48))</f>
        <v/>
      </c>
      <c r="F48" s="9">
        <f>IF($K48="","",INDEX(מלאי!$AA$2:$AA$500,$K48))</f>
        <v/>
      </c>
      <c r="G48" s="14">
        <f>IF($K48="","",INDEX(מלאי!$F$2:$F$500,$K48))</f>
        <v/>
      </c>
      <c r="H48" s="14">
        <f>IF($K48="","",INDEX(מלאי!$AB$2:$AB$500,$K48))</f>
        <v/>
      </c>
      <c r="I48" s="9">
        <f>IF($K48="","",IF(AND(INDEX(מלאי!$AB$2:$AB$500,$K48)&lt;&gt;"",INDEX(מלאי!$AB$2:$AB$500,$K48)&lt;TODAY()),"באיחור!","תקין"))</f>
        <v/>
      </c>
      <c r="J48" s="9">
        <f>IF($K48="","",INDEX(מלאי!$AC$2:$AC$500,$K48))</f>
        <v/>
      </c>
      <c r="K4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8">
        <f>IF($K49="","",INDEX(מלאי!$D$2:$D$500,$K49))</f>
        <v/>
      </c>
      <c r="B49" s="8">
        <f>IF($K49="","",INDEX(מלאי!$B$2:$B$500,$K49))</f>
        <v/>
      </c>
      <c r="C49" s="8">
        <f>IF($K49="","",INDEX(מלאי!$C$2:$C$500,$K49))</f>
        <v/>
      </c>
      <c r="D49" s="8">
        <f>IF($K49="","",INDEX(מלאי!$Y$2:$Y$500,$K49))</f>
        <v/>
      </c>
      <c r="E49" s="8">
        <f>IF($K49="","",INDEX(מלאי!$Z$2:$Z$500,$K49))</f>
        <v/>
      </c>
      <c r="F49" s="8">
        <f>IF($K49="","",INDEX(מלאי!$AA$2:$AA$500,$K49))</f>
        <v/>
      </c>
      <c r="G49" s="13">
        <f>IF($K49="","",INDEX(מלאי!$F$2:$F$500,$K49))</f>
        <v/>
      </c>
      <c r="H49" s="13">
        <f>IF($K49="","",INDEX(מלאי!$AB$2:$AB$500,$K49))</f>
        <v/>
      </c>
      <c r="I49" s="8">
        <f>IF($K49="","",IF(AND(INDEX(מלאי!$AB$2:$AB$500,$K49)&lt;&gt;"",INDEX(מלאי!$AB$2:$AB$500,$K49)&lt;TODAY()),"באיחור!","תקין"))</f>
        <v/>
      </c>
      <c r="J49" s="8">
        <f>IF($K49="","",INDEX(מלאי!$AC$2:$AC$500,$K49))</f>
        <v/>
      </c>
      <c r="K4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9">
        <f>IF($K50="","",INDEX(מלאי!$D$2:$D$500,$K50))</f>
        <v/>
      </c>
      <c r="B50" s="9">
        <f>IF($K50="","",INDEX(מלאי!$B$2:$B$500,$K50))</f>
        <v/>
      </c>
      <c r="C50" s="9">
        <f>IF($K50="","",INDEX(מלאי!$C$2:$C$500,$K50))</f>
        <v/>
      </c>
      <c r="D50" s="9">
        <f>IF($K50="","",INDEX(מלאי!$Y$2:$Y$500,$K50))</f>
        <v/>
      </c>
      <c r="E50" s="9">
        <f>IF($K50="","",INDEX(מלאי!$Z$2:$Z$500,$K50))</f>
        <v/>
      </c>
      <c r="F50" s="9">
        <f>IF($K50="","",INDEX(מלאי!$AA$2:$AA$500,$K50))</f>
        <v/>
      </c>
      <c r="G50" s="14">
        <f>IF($K50="","",INDEX(מלאי!$F$2:$F$500,$K50))</f>
        <v/>
      </c>
      <c r="H50" s="14">
        <f>IF($K50="","",INDEX(מלאי!$AB$2:$AB$500,$K50))</f>
        <v/>
      </c>
      <c r="I50" s="9">
        <f>IF($K50="","",IF(AND(INDEX(מלאי!$AB$2:$AB$500,$K50)&lt;&gt;"",INDEX(מלאי!$AB$2:$AB$500,$K50)&lt;TODAY()),"באיחור!","תקין"))</f>
        <v/>
      </c>
      <c r="J50" s="9">
        <f>IF($K50="","",INDEX(מלאי!$AC$2:$AC$500,$K50))</f>
        <v/>
      </c>
      <c r="K5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8">
        <f>IF($K51="","",INDEX(מלאי!$D$2:$D$500,$K51))</f>
        <v/>
      </c>
      <c r="B51" s="8">
        <f>IF($K51="","",INDEX(מלאי!$B$2:$B$500,$K51))</f>
        <v/>
      </c>
      <c r="C51" s="8">
        <f>IF($K51="","",INDEX(מלאי!$C$2:$C$500,$K51))</f>
        <v/>
      </c>
      <c r="D51" s="8">
        <f>IF($K51="","",INDEX(מלאי!$Y$2:$Y$500,$K51))</f>
        <v/>
      </c>
      <c r="E51" s="8">
        <f>IF($K51="","",INDEX(מלאי!$Z$2:$Z$500,$K51))</f>
        <v/>
      </c>
      <c r="F51" s="8">
        <f>IF($K51="","",INDEX(מלאי!$AA$2:$AA$500,$K51))</f>
        <v/>
      </c>
      <c r="G51" s="13">
        <f>IF($K51="","",INDEX(מלאי!$F$2:$F$500,$K51))</f>
        <v/>
      </c>
      <c r="H51" s="13">
        <f>IF($K51="","",INDEX(מלאי!$AB$2:$AB$500,$K51))</f>
        <v/>
      </c>
      <c r="I51" s="8">
        <f>IF($K51="","",IF(AND(INDEX(מלאי!$AB$2:$AB$500,$K51)&lt;&gt;"",INDEX(מלאי!$AB$2:$AB$500,$K51)&lt;TODAY()),"באיחור!","תקין"))</f>
        <v/>
      </c>
      <c r="J51" s="8">
        <f>IF($K51="","",INDEX(מלאי!$AC$2:$AC$500,$K51))</f>
        <v/>
      </c>
      <c r="K5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9">
        <f>IF($K52="","",INDEX(מלאי!$D$2:$D$500,$K52))</f>
        <v/>
      </c>
      <c r="B52" s="9">
        <f>IF($K52="","",INDEX(מלאי!$B$2:$B$500,$K52))</f>
        <v/>
      </c>
      <c r="C52" s="9">
        <f>IF($K52="","",INDEX(מלאי!$C$2:$C$500,$K52))</f>
        <v/>
      </c>
      <c r="D52" s="9">
        <f>IF($K52="","",INDEX(מלאי!$Y$2:$Y$500,$K52))</f>
        <v/>
      </c>
      <c r="E52" s="9">
        <f>IF($K52="","",INDEX(מלאי!$Z$2:$Z$500,$K52))</f>
        <v/>
      </c>
      <c r="F52" s="9">
        <f>IF($K52="","",INDEX(מלאי!$AA$2:$AA$500,$K52))</f>
        <v/>
      </c>
      <c r="G52" s="14">
        <f>IF($K52="","",INDEX(מלאי!$F$2:$F$500,$K52))</f>
        <v/>
      </c>
      <c r="H52" s="14">
        <f>IF($K52="","",INDEX(מלאי!$AB$2:$AB$500,$K52))</f>
        <v/>
      </c>
      <c r="I52" s="9">
        <f>IF($K52="","",IF(AND(INDEX(מלאי!$AB$2:$AB$500,$K52)&lt;&gt;"",INDEX(מלאי!$AB$2:$AB$500,$K52)&lt;TODAY()),"באיחור!","תקין"))</f>
        <v/>
      </c>
      <c r="J52" s="9">
        <f>IF($K52="","",INDEX(מלאי!$AC$2:$AC$500,$K52))</f>
        <v/>
      </c>
      <c r="K5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8">
        <f>IF($K53="","",INDEX(מלאי!$D$2:$D$500,$K53))</f>
        <v/>
      </c>
      <c r="B53" s="8">
        <f>IF($K53="","",INDEX(מלאי!$B$2:$B$500,$K53))</f>
        <v/>
      </c>
      <c r="C53" s="8">
        <f>IF($K53="","",INDEX(מלאי!$C$2:$C$500,$K53))</f>
        <v/>
      </c>
      <c r="D53" s="8">
        <f>IF($K53="","",INDEX(מלאי!$Y$2:$Y$500,$K53))</f>
        <v/>
      </c>
      <c r="E53" s="8">
        <f>IF($K53="","",INDEX(מלאי!$Z$2:$Z$500,$K53))</f>
        <v/>
      </c>
      <c r="F53" s="8">
        <f>IF($K53="","",INDEX(מלאי!$AA$2:$AA$500,$K53))</f>
        <v/>
      </c>
      <c r="G53" s="13">
        <f>IF($K53="","",INDEX(מלאי!$F$2:$F$500,$K53))</f>
        <v/>
      </c>
      <c r="H53" s="13">
        <f>IF($K53="","",INDEX(מלאי!$AB$2:$AB$500,$K53))</f>
        <v/>
      </c>
      <c r="I53" s="8">
        <f>IF($K53="","",IF(AND(INDEX(מלאי!$AB$2:$AB$500,$K53)&lt;&gt;"",INDEX(מלאי!$AB$2:$AB$500,$K53)&lt;TODAY()),"באיחור!","תקין"))</f>
        <v/>
      </c>
      <c r="J53" s="8">
        <f>IF($K53="","",INDEX(מלאי!$AC$2:$AC$500,$K53))</f>
        <v/>
      </c>
      <c r="K5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9">
        <f>IF($K54="","",INDEX(מלאי!$D$2:$D$500,$K54))</f>
        <v/>
      </c>
      <c r="B54" s="9">
        <f>IF($K54="","",INDEX(מלאי!$B$2:$B$500,$K54))</f>
        <v/>
      </c>
      <c r="C54" s="9">
        <f>IF($K54="","",INDEX(מלאי!$C$2:$C$500,$K54))</f>
        <v/>
      </c>
      <c r="D54" s="9">
        <f>IF($K54="","",INDEX(מלאי!$Y$2:$Y$500,$K54))</f>
        <v/>
      </c>
      <c r="E54" s="9">
        <f>IF($K54="","",INDEX(מלאי!$Z$2:$Z$500,$K54))</f>
        <v/>
      </c>
      <c r="F54" s="9">
        <f>IF($K54="","",INDEX(מלאי!$AA$2:$AA$500,$K54))</f>
        <v/>
      </c>
      <c r="G54" s="14">
        <f>IF($K54="","",INDEX(מלאי!$F$2:$F$500,$K54))</f>
        <v/>
      </c>
      <c r="H54" s="14">
        <f>IF($K54="","",INDEX(מלאי!$AB$2:$AB$500,$K54))</f>
        <v/>
      </c>
      <c r="I54" s="9">
        <f>IF($K54="","",IF(AND(INDEX(מלאי!$AB$2:$AB$500,$K54)&lt;&gt;"",INDEX(מלאי!$AB$2:$AB$500,$K54)&lt;TODAY()),"באיחור!","תקין"))</f>
        <v/>
      </c>
      <c r="J54" s="9">
        <f>IF($K54="","",INDEX(מלאי!$AC$2:$AC$500,$K54))</f>
        <v/>
      </c>
      <c r="K5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8">
        <f>IF($K55="","",INDEX(מלאי!$D$2:$D$500,$K55))</f>
        <v/>
      </c>
      <c r="B55" s="8">
        <f>IF($K55="","",INDEX(מלאי!$B$2:$B$500,$K55))</f>
        <v/>
      </c>
      <c r="C55" s="8">
        <f>IF($K55="","",INDEX(מלאי!$C$2:$C$500,$K55))</f>
        <v/>
      </c>
      <c r="D55" s="8">
        <f>IF($K55="","",INDEX(מלאי!$Y$2:$Y$500,$K55))</f>
        <v/>
      </c>
      <c r="E55" s="8">
        <f>IF($K55="","",INDEX(מלאי!$Z$2:$Z$500,$K55))</f>
        <v/>
      </c>
      <c r="F55" s="8">
        <f>IF($K55="","",INDEX(מלאי!$AA$2:$AA$500,$K55))</f>
        <v/>
      </c>
      <c r="G55" s="13">
        <f>IF($K55="","",INDEX(מלאי!$F$2:$F$500,$K55))</f>
        <v/>
      </c>
      <c r="H55" s="13">
        <f>IF($K55="","",INDEX(מלאי!$AB$2:$AB$500,$K55))</f>
        <v/>
      </c>
      <c r="I55" s="8">
        <f>IF($K55="","",IF(AND(INDEX(מלאי!$AB$2:$AB$500,$K55)&lt;&gt;"",INDEX(מלאי!$AB$2:$AB$500,$K55)&lt;TODAY()),"באיחור!","תקין"))</f>
        <v/>
      </c>
      <c r="J55" s="8">
        <f>IF($K55="","",INDEX(מלאי!$AC$2:$AC$500,$K55))</f>
        <v/>
      </c>
      <c r="K5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9">
        <f>IF($K56="","",INDEX(מלאי!$D$2:$D$500,$K56))</f>
        <v/>
      </c>
      <c r="B56" s="9">
        <f>IF($K56="","",INDEX(מלאי!$B$2:$B$500,$K56))</f>
        <v/>
      </c>
      <c r="C56" s="9">
        <f>IF($K56="","",INDEX(מלאי!$C$2:$C$500,$K56))</f>
        <v/>
      </c>
      <c r="D56" s="9">
        <f>IF($K56="","",INDEX(מלאי!$Y$2:$Y$500,$K56))</f>
        <v/>
      </c>
      <c r="E56" s="9">
        <f>IF($K56="","",INDEX(מלאי!$Z$2:$Z$500,$K56))</f>
        <v/>
      </c>
      <c r="F56" s="9">
        <f>IF($K56="","",INDEX(מלאי!$AA$2:$AA$500,$K56))</f>
        <v/>
      </c>
      <c r="G56" s="14">
        <f>IF($K56="","",INDEX(מלאי!$F$2:$F$500,$K56))</f>
        <v/>
      </c>
      <c r="H56" s="14">
        <f>IF($K56="","",INDEX(מלאי!$AB$2:$AB$500,$K56))</f>
        <v/>
      </c>
      <c r="I56" s="9">
        <f>IF($K56="","",IF(AND(INDEX(מלאי!$AB$2:$AB$500,$K56)&lt;&gt;"",INDEX(מלאי!$AB$2:$AB$500,$K56)&lt;TODAY()),"באיחור!","תקין"))</f>
        <v/>
      </c>
      <c r="J56" s="9">
        <f>IF($K56="","",INDEX(מלאי!$AC$2:$AC$500,$K56))</f>
        <v/>
      </c>
      <c r="K5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8">
        <f>IF($K57="","",INDEX(מלאי!$D$2:$D$500,$K57))</f>
        <v/>
      </c>
      <c r="B57" s="8">
        <f>IF($K57="","",INDEX(מלאי!$B$2:$B$500,$K57))</f>
        <v/>
      </c>
      <c r="C57" s="8">
        <f>IF($K57="","",INDEX(מלאי!$C$2:$C$500,$K57))</f>
        <v/>
      </c>
      <c r="D57" s="8">
        <f>IF($K57="","",INDEX(מלאי!$Y$2:$Y$500,$K57))</f>
        <v/>
      </c>
      <c r="E57" s="8">
        <f>IF($K57="","",INDEX(מלאי!$Z$2:$Z$500,$K57))</f>
        <v/>
      </c>
      <c r="F57" s="8">
        <f>IF($K57="","",INDEX(מלאי!$AA$2:$AA$500,$K57))</f>
        <v/>
      </c>
      <c r="G57" s="13">
        <f>IF($K57="","",INDEX(מלאי!$F$2:$F$500,$K57))</f>
        <v/>
      </c>
      <c r="H57" s="13">
        <f>IF($K57="","",INDEX(מלאי!$AB$2:$AB$500,$K57))</f>
        <v/>
      </c>
      <c r="I57" s="8">
        <f>IF($K57="","",IF(AND(INDEX(מלאי!$AB$2:$AB$500,$K57)&lt;&gt;"",INDEX(מלאי!$AB$2:$AB$500,$K57)&lt;TODAY()),"באיחור!","תקין"))</f>
        <v/>
      </c>
      <c r="J57" s="8">
        <f>IF($K57="","",INDEX(מלאי!$AC$2:$AC$500,$K57))</f>
        <v/>
      </c>
      <c r="K5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9">
        <f>IF($K58="","",INDEX(מלאי!$D$2:$D$500,$K58))</f>
        <v/>
      </c>
      <c r="B58" s="9">
        <f>IF($K58="","",INDEX(מלאי!$B$2:$B$500,$K58))</f>
        <v/>
      </c>
      <c r="C58" s="9">
        <f>IF($K58="","",INDEX(מלאי!$C$2:$C$500,$K58))</f>
        <v/>
      </c>
      <c r="D58" s="9">
        <f>IF($K58="","",INDEX(מלאי!$Y$2:$Y$500,$K58))</f>
        <v/>
      </c>
      <c r="E58" s="9">
        <f>IF($K58="","",INDEX(מלאי!$Z$2:$Z$500,$K58))</f>
        <v/>
      </c>
      <c r="F58" s="9">
        <f>IF($K58="","",INDEX(מלאי!$AA$2:$AA$500,$K58))</f>
        <v/>
      </c>
      <c r="G58" s="14">
        <f>IF($K58="","",INDEX(מלאי!$F$2:$F$500,$K58))</f>
        <v/>
      </c>
      <c r="H58" s="14">
        <f>IF($K58="","",INDEX(מלאי!$AB$2:$AB$500,$K58))</f>
        <v/>
      </c>
      <c r="I58" s="9">
        <f>IF($K58="","",IF(AND(INDEX(מלאי!$AB$2:$AB$500,$K58)&lt;&gt;"",INDEX(מלאי!$AB$2:$AB$500,$K58)&lt;TODAY()),"באיחור!","תקין"))</f>
        <v/>
      </c>
      <c r="J58" s="9">
        <f>IF($K58="","",INDEX(מלאי!$AC$2:$AC$500,$K58))</f>
        <v/>
      </c>
      <c r="K5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8">
        <f>IF($K59="","",INDEX(מלאי!$D$2:$D$500,$K59))</f>
        <v/>
      </c>
      <c r="B59" s="8">
        <f>IF($K59="","",INDEX(מלאי!$B$2:$B$500,$K59))</f>
        <v/>
      </c>
      <c r="C59" s="8">
        <f>IF($K59="","",INDEX(מלאי!$C$2:$C$500,$K59))</f>
        <v/>
      </c>
      <c r="D59" s="8">
        <f>IF($K59="","",INDEX(מלאי!$Y$2:$Y$500,$K59))</f>
        <v/>
      </c>
      <c r="E59" s="8">
        <f>IF($K59="","",INDEX(מלאי!$Z$2:$Z$500,$K59))</f>
        <v/>
      </c>
      <c r="F59" s="8">
        <f>IF($K59="","",INDEX(מלאי!$AA$2:$AA$500,$K59))</f>
        <v/>
      </c>
      <c r="G59" s="13">
        <f>IF($K59="","",INDEX(מלאי!$F$2:$F$500,$K59))</f>
        <v/>
      </c>
      <c r="H59" s="13">
        <f>IF($K59="","",INDEX(מלאי!$AB$2:$AB$500,$K59))</f>
        <v/>
      </c>
      <c r="I59" s="8">
        <f>IF($K59="","",IF(AND(INDEX(מלאי!$AB$2:$AB$500,$K59)&lt;&gt;"",INDEX(מלאי!$AB$2:$AB$500,$K59)&lt;TODAY()),"באיחור!","תקין"))</f>
        <v/>
      </c>
      <c r="J59" s="8">
        <f>IF($K59="","",INDEX(מלאי!$AC$2:$AC$500,$K59))</f>
        <v/>
      </c>
      <c r="K5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9">
        <f>IF($K60="","",INDEX(מלאי!$D$2:$D$500,$K60))</f>
        <v/>
      </c>
      <c r="B60" s="9">
        <f>IF($K60="","",INDEX(מלאי!$B$2:$B$500,$K60))</f>
        <v/>
      </c>
      <c r="C60" s="9">
        <f>IF($K60="","",INDEX(מלאי!$C$2:$C$500,$K60))</f>
        <v/>
      </c>
      <c r="D60" s="9">
        <f>IF($K60="","",INDEX(מלאי!$Y$2:$Y$500,$K60))</f>
        <v/>
      </c>
      <c r="E60" s="9">
        <f>IF($K60="","",INDEX(מלאי!$Z$2:$Z$500,$K60))</f>
        <v/>
      </c>
      <c r="F60" s="9">
        <f>IF($K60="","",INDEX(מלאי!$AA$2:$AA$500,$K60))</f>
        <v/>
      </c>
      <c r="G60" s="14">
        <f>IF($K60="","",INDEX(מלאי!$F$2:$F$500,$K60))</f>
        <v/>
      </c>
      <c r="H60" s="14">
        <f>IF($K60="","",INDEX(מלאי!$AB$2:$AB$500,$K60))</f>
        <v/>
      </c>
      <c r="I60" s="9">
        <f>IF($K60="","",IF(AND(INDEX(מלאי!$AB$2:$AB$500,$K60)&lt;&gt;"",INDEX(מלאי!$AB$2:$AB$500,$K60)&lt;TODAY()),"באיחור!","תקין"))</f>
        <v/>
      </c>
      <c r="J60" s="9">
        <f>IF($K60="","",INDEX(מלאי!$AC$2:$AC$500,$K60))</f>
        <v/>
      </c>
      <c r="K6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8">
        <f>IF($K61="","",INDEX(מלאי!$D$2:$D$500,$K61))</f>
        <v/>
      </c>
      <c r="B61" s="8">
        <f>IF($K61="","",INDEX(מלאי!$B$2:$B$500,$K61))</f>
        <v/>
      </c>
      <c r="C61" s="8">
        <f>IF($K61="","",INDEX(מלאי!$C$2:$C$500,$K61))</f>
        <v/>
      </c>
      <c r="D61" s="8">
        <f>IF($K61="","",INDEX(מלאי!$Y$2:$Y$500,$K61))</f>
        <v/>
      </c>
      <c r="E61" s="8">
        <f>IF($K61="","",INDEX(מלאי!$Z$2:$Z$500,$K61))</f>
        <v/>
      </c>
      <c r="F61" s="8">
        <f>IF($K61="","",INDEX(מלאי!$AA$2:$AA$500,$K61))</f>
        <v/>
      </c>
      <c r="G61" s="13">
        <f>IF($K61="","",INDEX(מלאי!$F$2:$F$500,$K61))</f>
        <v/>
      </c>
      <c r="H61" s="13">
        <f>IF($K61="","",INDEX(מלאי!$AB$2:$AB$500,$K61))</f>
        <v/>
      </c>
      <c r="I61" s="8">
        <f>IF($K61="","",IF(AND(INDEX(מלאי!$AB$2:$AB$500,$K61)&lt;&gt;"",INDEX(מלאי!$AB$2:$AB$500,$K61)&lt;TODAY()),"באיחור!","תקין"))</f>
        <v/>
      </c>
      <c r="J61" s="8">
        <f>IF($K61="","",INDEX(מלאי!$AC$2:$AC$500,$K61))</f>
        <v/>
      </c>
      <c r="K6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9">
        <f>IF($K62="","",INDEX(מלאי!$D$2:$D$500,$K62))</f>
        <v/>
      </c>
      <c r="B62" s="9">
        <f>IF($K62="","",INDEX(מלאי!$B$2:$B$500,$K62))</f>
        <v/>
      </c>
      <c r="C62" s="9">
        <f>IF($K62="","",INDEX(מלאי!$C$2:$C$500,$K62))</f>
        <v/>
      </c>
      <c r="D62" s="9">
        <f>IF($K62="","",INDEX(מלאי!$Y$2:$Y$500,$K62))</f>
        <v/>
      </c>
      <c r="E62" s="9">
        <f>IF($K62="","",INDEX(מלאי!$Z$2:$Z$500,$K62))</f>
        <v/>
      </c>
      <c r="F62" s="9">
        <f>IF($K62="","",INDEX(מלאי!$AA$2:$AA$500,$K62))</f>
        <v/>
      </c>
      <c r="G62" s="14">
        <f>IF($K62="","",INDEX(מלאי!$F$2:$F$500,$K62))</f>
        <v/>
      </c>
      <c r="H62" s="14">
        <f>IF($K62="","",INDEX(מלאי!$AB$2:$AB$500,$K62))</f>
        <v/>
      </c>
      <c r="I62" s="9">
        <f>IF($K62="","",IF(AND(INDEX(מלאי!$AB$2:$AB$500,$K62)&lt;&gt;"",INDEX(מלאי!$AB$2:$AB$500,$K62)&lt;TODAY()),"באיחור!","תקין"))</f>
        <v/>
      </c>
      <c r="J62" s="9">
        <f>IF($K62="","",INDEX(מלאי!$AC$2:$AC$500,$K62))</f>
        <v/>
      </c>
      <c r="K6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8">
        <f>IF($K63="","",INDEX(מלאי!$D$2:$D$500,$K63))</f>
        <v/>
      </c>
      <c r="B63" s="8">
        <f>IF($K63="","",INDEX(מלאי!$B$2:$B$500,$K63))</f>
        <v/>
      </c>
      <c r="C63" s="8">
        <f>IF($K63="","",INDEX(מלאי!$C$2:$C$500,$K63))</f>
        <v/>
      </c>
      <c r="D63" s="8">
        <f>IF($K63="","",INDEX(מלאי!$Y$2:$Y$500,$K63))</f>
        <v/>
      </c>
      <c r="E63" s="8">
        <f>IF($K63="","",INDEX(מלאי!$Z$2:$Z$500,$K63))</f>
        <v/>
      </c>
      <c r="F63" s="8">
        <f>IF($K63="","",INDEX(מלאי!$AA$2:$AA$500,$K63))</f>
        <v/>
      </c>
      <c r="G63" s="13">
        <f>IF($K63="","",INDEX(מלאי!$F$2:$F$500,$K63))</f>
        <v/>
      </c>
      <c r="H63" s="13">
        <f>IF($K63="","",INDEX(מלאי!$AB$2:$AB$500,$K63))</f>
        <v/>
      </c>
      <c r="I63" s="8">
        <f>IF($K63="","",IF(AND(INDEX(מלאי!$AB$2:$AB$500,$K63)&lt;&gt;"",INDEX(מלאי!$AB$2:$AB$500,$K63)&lt;TODAY()),"באיחור!","תקין"))</f>
        <v/>
      </c>
      <c r="J63" s="8">
        <f>IF($K63="","",INDEX(מלאי!$AC$2:$AC$500,$K63))</f>
        <v/>
      </c>
      <c r="K6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9">
        <f>IF($K64="","",INDEX(מלאי!$D$2:$D$500,$K64))</f>
        <v/>
      </c>
      <c r="B64" s="9">
        <f>IF($K64="","",INDEX(מלאי!$B$2:$B$500,$K64))</f>
        <v/>
      </c>
      <c r="C64" s="9">
        <f>IF($K64="","",INDEX(מלאי!$C$2:$C$500,$K64))</f>
        <v/>
      </c>
      <c r="D64" s="9">
        <f>IF($K64="","",INDEX(מלאי!$Y$2:$Y$500,$K64))</f>
        <v/>
      </c>
      <c r="E64" s="9">
        <f>IF($K64="","",INDEX(מלאי!$Z$2:$Z$500,$K64))</f>
        <v/>
      </c>
      <c r="F64" s="9">
        <f>IF($K64="","",INDEX(מלאי!$AA$2:$AA$500,$K64))</f>
        <v/>
      </c>
      <c r="G64" s="14">
        <f>IF($K64="","",INDEX(מלאי!$F$2:$F$500,$K64))</f>
        <v/>
      </c>
      <c r="H64" s="14">
        <f>IF($K64="","",INDEX(מלאי!$AB$2:$AB$500,$K64))</f>
        <v/>
      </c>
      <c r="I64" s="9">
        <f>IF($K64="","",IF(AND(INDEX(מלאי!$AB$2:$AB$500,$K64)&lt;&gt;"",INDEX(מלאי!$AB$2:$AB$500,$K64)&lt;TODAY()),"באיחור!","תקין"))</f>
        <v/>
      </c>
      <c r="J64" s="9">
        <f>IF($K64="","",INDEX(מלאי!$AC$2:$AC$500,$K64))</f>
        <v/>
      </c>
      <c r="K6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8">
        <f>IF($K65="","",INDEX(מלאי!$D$2:$D$500,$K65))</f>
        <v/>
      </c>
      <c r="B65" s="8">
        <f>IF($K65="","",INDEX(מלאי!$B$2:$B$500,$K65))</f>
        <v/>
      </c>
      <c r="C65" s="8">
        <f>IF($K65="","",INDEX(מלאי!$C$2:$C$500,$K65))</f>
        <v/>
      </c>
      <c r="D65" s="8">
        <f>IF($K65="","",INDEX(מלאי!$Y$2:$Y$500,$K65))</f>
        <v/>
      </c>
      <c r="E65" s="8">
        <f>IF($K65="","",INDEX(מלאי!$Z$2:$Z$500,$K65))</f>
        <v/>
      </c>
      <c r="F65" s="8">
        <f>IF($K65="","",INDEX(מלאי!$AA$2:$AA$500,$K65))</f>
        <v/>
      </c>
      <c r="G65" s="13">
        <f>IF($K65="","",INDEX(מלאי!$F$2:$F$500,$K65))</f>
        <v/>
      </c>
      <c r="H65" s="13">
        <f>IF($K65="","",INDEX(מלאי!$AB$2:$AB$500,$K65))</f>
        <v/>
      </c>
      <c r="I65" s="8">
        <f>IF($K65="","",IF(AND(INDEX(מלאי!$AB$2:$AB$500,$K65)&lt;&gt;"",INDEX(מלאי!$AB$2:$AB$500,$K65)&lt;TODAY()),"באיחור!","תקין"))</f>
        <v/>
      </c>
      <c r="J65" s="8">
        <f>IF($K65="","",INDEX(מלאי!$AC$2:$AC$500,$K65))</f>
        <v/>
      </c>
      <c r="K6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9">
        <f>IF($K66="","",INDEX(מלאי!$D$2:$D$500,$K66))</f>
        <v/>
      </c>
      <c r="B66" s="9">
        <f>IF($K66="","",INDEX(מלאי!$B$2:$B$500,$K66))</f>
        <v/>
      </c>
      <c r="C66" s="9">
        <f>IF($K66="","",INDEX(מלאי!$C$2:$C$500,$K66))</f>
        <v/>
      </c>
      <c r="D66" s="9">
        <f>IF($K66="","",INDEX(מלאי!$Y$2:$Y$500,$K66))</f>
        <v/>
      </c>
      <c r="E66" s="9">
        <f>IF($K66="","",INDEX(מלאי!$Z$2:$Z$500,$K66))</f>
        <v/>
      </c>
      <c r="F66" s="9">
        <f>IF($K66="","",INDEX(מלאי!$AA$2:$AA$500,$K66))</f>
        <v/>
      </c>
      <c r="G66" s="14">
        <f>IF($K66="","",INDEX(מלאי!$F$2:$F$500,$K66))</f>
        <v/>
      </c>
      <c r="H66" s="14">
        <f>IF($K66="","",INDEX(מלאי!$AB$2:$AB$500,$K66))</f>
        <v/>
      </c>
      <c r="I66" s="9">
        <f>IF($K66="","",IF(AND(INDEX(מלאי!$AB$2:$AB$500,$K66)&lt;&gt;"",INDEX(מלאי!$AB$2:$AB$500,$K66)&lt;TODAY()),"באיחור!","תקין"))</f>
        <v/>
      </c>
      <c r="J66" s="9">
        <f>IF($K66="","",INDEX(מלאי!$AC$2:$AC$500,$K66))</f>
        <v/>
      </c>
      <c r="K6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8">
        <f>IF($K67="","",INDEX(מלאי!$D$2:$D$500,$K67))</f>
        <v/>
      </c>
      <c r="B67" s="8">
        <f>IF($K67="","",INDEX(מלאי!$B$2:$B$500,$K67))</f>
        <v/>
      </c>
      <c r="C67" s="8">
        <f>IF($K67="","",INDEX(מלאי!$C$2:$C$500,$K67))</f>
        <v/>
      </c>
      <c r="D67" s="8">
        <f>IF($K67="","",INDEX(מלאי!$Y$2:$Y$500,$K67))</f>
        <v/>
      </c>
      <c r="E67" s="8">
        <f>IF($K67="","",INDEX(מלאי!$Z$2:$Z$500,$K67))</f>
        <v/>
      </c>
      <c r="F67" s="8">
        <f>IF($K67="","",INDEX(מלאי!$AA$2:$AA$500,$K67))</f>
        <v/>
      </c>
      <c r="G67" s="13">
        <f>IF($K67="","",INDEX(מלאי!$F$2:$F$500,$K67))</f>
        <v/>
      </c>
      <c r="H67" s="13">
        <f>IF($K67="","",INDEX(מלאי!$AB$2:$AB$500,$K67))</f>
        <v/>
      </c>
      <c r="I67" s="8">
        <f>IF($K67="","",IF(AND(INDEX(מלאי!$AB$2:$AB$500,$K67)&lt;&gt;"",INDEX(מלאי!$AB$2:$AB$500,$K67)&lt;TODAY()),"באיחור!","תקין"))</f>
        <v/>
      </c>
      <c r="J67" s="8">
        <f>IF($K67="","",INDEX(מלאי!$AC$2:$AC$500,$K67))</f>
        <v/>
      </c>
      <c r="K6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9">
        <f>IF($K68="","",INDEX(מלאי!$D$2:$D$500,$K68))</f>
        <v/>
      </c>
      <c r="B68" s="9">
        <f>IF($K68="","",INDEX(מלאי!$B$2:$B$500,$K68))</f>
        <v/>
      </c>
      <c r="C68" s="9">
        <f>IF($K68="","",INDEX(מלאי!$C$2:$C$500,$K68))</f>
        <v/>
      </c>
      <c r="D68" s="9">
        <f>IF($K68="","",INDEX(מלאי!$Y$2:$Y$500,$K68))</f>
        <v/>
      </c>
      <c r="E68" s="9">
        <f>IF($K68="","",INDEX(מלאי!$Z$2:$Z$500,$K68))</f>
        <v/>
      </c>
      <c r="F68" s="9">
        <f>IF($K68="","",INDEX(מלאי!$AA$2:$AA$500,$K68))</f>
        <v/>
      </c>
      <c r="G68" s="14">
        <f>IF($K68="","",INDEX(מלאי!$F$2:$F$500,$K68))</f>
        <v/>
      </c>
      <c r="H68" s="14">
        <f>IF($K68="","",INDEX(מלאי!$AB$2:$AB$500,$K68))</f>
        <v/>
      </c>
      <c r="I68" s="9">
        <f>IF($K68="","",IF(AND(INDEX(מלאי!$AB$2:$AB$500,$K68)&lt;&gt;"",INDEX(מלאי!$AB$2:$AB$500,$K68)&lt;TODAY()),"באיחור!","תקין"))</f>
        <v/>
      </c>
      <c r="J68" s="9">
        <f>IF($K68="","",INDEX(מלאי!$AC$2:$AC$500,$K68))</f>
        <v/>
      </c>
      <c r="K6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8">
        <f>IF($K69="","",INDEX(מלאי!$D$2:$D$500,$K69))</f>
        <v/>
      </c>
      <c r="B69" s="8">
        <f>IF($K69="","",INDEX(מלאי!$B$2:$B$500,$K69))</f>
        <v/>
      </c>
      <c r="C69" s="8">
        <f>IF($K69="","",INDEX(מלאי!$C$2:$C$500,$K69))</f>
        <v/>
      </c>
      <c r="D69" s="8">
        <f>IF($K69="","",INDEX(מלאי!$Y$2:$Y$500,$K69))</f>
        <v/>
      </c>
      <c r="E69" s="8">
        <f>IF($K69="","",INDEX(מלאי!$Z$2:$Z$500,$K69))</f>
        <v/>
      </c>
      <c r="F69" s="8">
        <f>IF($K69="","",INDEX(מלאי!$AA$2:$AA$500,$K69))</f>
        <v/>
      </c>
      <c r="G69" s="13">
        <f>IF($K69="","",INDEX(מלאי!$F$2:$F$500,$K69))</f>
        <v/>
      </c>
      <c r="H69" s="13">
        <f>IF($K69="","",INDEX(מלאי!$AB$2:$AB$500,$K69))</f>
        <v/>
      </c>
      <c r="I69" s="8">
        <f>IF($K69="","",IF(AND(INDEX(מלאי!$AB$2:$AB$500,$K69)&lt;&gt;"",INDEX(מלאי!$AB$2:$AB$500,$K69)&lt;TODAY()),"באיחור!","תקין"))</f>
        <v/>
      </c>
      <c r="J69" s="8">
        <f>IF($K69="","",INDEX(מלאי!$AC$2:$AC$500,$K69))</f>
        <v/>
      </c>
      <c r="K6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9">
        <f>IF($K70="","",INDEX(מלאי!$D$2:$D$500,$K70))</f>
        <v/>
      </c>
      <c r="B70" s="9">
        <f>IF($K70="","",INDEX(מלאי!$B$2:$B$500,$K70))</f>
        <v/>
      </c>
      <c r="C70" s="9">
        <f>IF($K70="","",INDEX(מלאי!$C$2:$C$500,$K70))</f>
        <v/>
      </c>
      <c r="D70" s="9">
        <f>IF($K70="","",INDEX(מלאי!$Y$2:$Y$500,$K70))</f>
        <v/>
      </c>
      <c r="E70" s="9">
        <f>IF($K70="","",INDEX(מלאי!$Z$2:$Z$500,$K70))</f>
        <v/>
      </c>
      <c r="F70" s="9">
        <f>IF($K70="","",INDEX(מלאי!$AA$2:$AA$500,$K70))</f>
        <v/>
      </c>
      <c r="G70" s="14">
        <f>IF($K70="","",INDEX(מלאי!$F$2:$F$500,$K70))</f>
        <v/>
      </c>
      <c r="H70" s="14">
        <f>IF($K70="","",INDEX(מלאי!$AB$2:$AB$500,$K70))</f>
        <v/>
      </c>
      <c r="I70" s="9">
        <f>IF($K70="","",IF(AND(INDEX(מלאי!$AB$2:$AB$500,$K70)&lt;&gt;"",INDEX(מלאי!$AB$2:$AB$500,$K70)&lt;TODAY()),"באיחור!","תקין"))</f>
        <v/>
      </c>
      <c r="J70" s="9">
        <f>IF($K70="","",INDEX(מלאי!$AC$2:$AC$500,$K70))</f>
        <v/>
      </c>
      <c r="K7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8">
        <f>IF($K71="","",INDEX(מלאי!$D$2:$D$500,$K71))</f>
        <v/>
      </c>
      <c r="B71" s="8">
        <f>IF($K71="","",INDEX(מלאי!$B$2:$B$500,$K71))</f>
        <v/>
      </c>
      <c r="C71" s="8">
        <f>IF($K71="","",INDEX(מלאי!$C$2:$C$500,$K71))</f>
        <v/>
      </c>
      <c r="D71" s="8">
        <f>IF($K71="","",INDEX(מלאי!$Y$2:$Y$500,$K71))</f>
        <v/>
      </c>
      <c r="E71" s="8">
        <f>IF($K71="","",INDEX(מלאי!$Z$2:$Z$500,$K71))</f>
        <v/>
      </c>
      <c r="F71" s="8">
        <f>IF($K71="","",INDEX(מלאי!$AA$2:$AA$500,$K71))</f>
        <v/>
      </c>
      <c r="G71" s="13">
        <f>IF($K71="","",INDEX(מלאי!$F$2:$F$500,$K71))</f>
        <v/>
      </c>
      <c r="H71" s="13">
        <f>IF($K71="","",INDEX(מלאי!$AB$2:$AB$500,$K71))</f>
        <v/>
      </c>
      <c r="I71" s="8">
        <f>IF($K71="","",IF(AND(INDEX(מלאי!$AB$2:$AB$500,$K71)&lt;&gt;"",INDEX(מלאי!$AB$2:$AB$500,$K71)&lt;TODAY()),"באיחור!","תקין"))</f>
        <v/>
      </c>
      <c r="J71" s="8">
        <f>IF($K71="","",INDEX(מלאי!$AC$2:$AC$500,$K71))</f>
        <v/>
      </c>
      <c r="K7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9">
        <f>IF($K72="","",INDEX(מלאי!$D$2:$D$500,$K72))</f>
        <v/>
      </c>
      <c r="B72" s="9">
        <f>IF($K72="","",INDEX(מלאי!$B$2:$B$500,$K72))</f>
        <v/>
      </c>
      <c r="C72" s="9">
        <f>IF($K72="","",INDEX(מלאי!$C$2:$C$500,$K72))</f>
        <v/>
      </c>
      <c r="D72" s="9">
        <f>IF($K72="","",INDEX(מלאי!$Y$2:$Y$500,$K72))</f>
        <v/>
      </c>
      <c r="E72" s="9">
        <f>IF($K72="","",INDEX(מלאי!$Z$2:$Z$500,$K72))</f>
        <v/>
      </c>
      <c r="F72" s="9">
        <f>IF($K72="","",INDEX(מלאי!$AA$2:$AA$500,$K72))</f>
        <v/>
      </c>
      <c r="G72" s="14">
        <f>IF($K72="","",INDEX(מלאי!$F$2:$F$500,$K72))</f>
        <v/>
      </c>
      <c r="H72" s="14">
        <f>IF($K72="","",INDEX(מלאי!$AB$2:$AB$500,$K72))</f>
        <v/>
      </c>
      <c r="I72" s="9">
        <f>IF($K72="","",IF(AND(INDEX(מלאי!$AB$2:$AB$500,$K72)&lt;&gt;"",INDEX(מלאי!$AB$2:$AB$500,$K72)&lt;TODAY()),"באיחור!","תקין"))</f>
        <v/>
      </c>
      <c r="J72" s="9">
        <f>IF($K72="","",INDEX(מלאי!$AC$2:$AC$500,$K72))</f>
        <v/>
      </c>
      <c r="K7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8">
        <f>IF($K73="","",INDEX(מלאי!$D$2:$D$500,$K73))</f>
        <v/>
      </c>
      <c r="B73" s="8">
        <f>IF($K73="","",INDEX(מלאי!$B$2:$B$500,$K73))</f>
        <v/>
      </c>
      <c r="C73" s="8">
        <f>IF($K73="","",INDEX(מלאי!$C$2:$C$500,$K73))</f>
        <v/>
      </c>
      <c r="D73" s="8">
        <f>IF($K73="","",INDEX(מלאי!$Y$2:$Y$500,$K73))</f>
        <v/>
      </c>
      <c r="E73" s="8">
        <f>IF($K73="","",INDEX(מלאי!$Z$2:$Z$500,$K73))</f>
        <v/>
      </c>
      <c r="F73" s="8">
        <f>IF($K73="","",INDEX(מלאי!$AA$2:$AA$500,$K73))</f>
        <v/>
      </c>
      <c r="G73" s="13">
        <f>IF($K73="","",INDEX(מלאי!$F$2:$F$500,$K73))</f>
        <v/>
      </c>
      <c r="H73" s="13">
        <f>IF($K73="","",INDEX(מלאי!$AB$2:$AB$500,$K73))</f>
        <v/>
      </c>
      <c r="I73" s="8">
        <f>IF($K73="","",IF(AND(INDEX(מלאי!$AB$2:$AB$500,$K73)&lt;&gt;"",INDEX(מלאי!$AB$2:$AB$500,$K73)&lt;TODAY()),"באיחור!","תקין"))</f>
        <v/>
      </c>
      <c r="J73" s="8">
        <f>IF($K73="","",INDEX(מלאי!$AC$2:$AC$500,$K73))</f>
        <v/>
      </c>
      <c r="K7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9">
        <f>IF($K74="","",INDEX(מלאי!$D$2:$D$500,$K74))</f>
        <v/>
      </c>
      <c r="B74" s="9">
        <f>IF($K74="","",INDEX(מלאי!$B$2:$B$500,$K74))</f>
        <v/>
      </c>
      <c r="C74" s="9">
        <f>IF($K74="","",INDEX(מלאי!$C$2:$C$500,$K74))</f>
        <v/>
      </c>
      <c r="D74" s="9">
        <f>IF($K74="","",INDEX(מלאי!$Y$2:$Y$500,$K74))</f>
        <v/>
      </c>
      <c r="E74" s="9">
        <f>IF($K74="","",INDEX(מלאי!$Z$2:$Z$500,$K74))</f>
        <v/>
      </c>
      <c r="F74" s="9">
        <f>IF($K74="","",INDEX(מלאי!$AA$2:$AA$500,$K74))</f>
        <v/>
      </c>
      <c r="G74" s="14">
        <f>IF($K74="","",INDEX(מלאי!$F$2:$F$500,$K74))</f>
        <v/>
      </c>
      <c r="H74" s="14">
        <f>IF($K74="","",INDEX(מלאי!$AB$2:$AB$500,$K74))</f>
        <v/>
      </c>
      <c r="I74" s="9">
        <f>IF($K74="","",IF(AND(INDEX(מלאי!$AB$2:$AB$500,$K74)&lt;&gt;"",INDEX(מלאי!$AB$2:$AB$500,$K74)&lt;TODAY()),"באיחור!","תקין"))</f>
        <v/>
      </c>
      <c r="J74" s="9">
        <f>IF($K74="","",INDEX(מלאי!$AC$2:$AC$500,$K74))</f>
        <v/>
      </c>
      <c r="K7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8">
        <f>IF($K75="","",INDEX(מלאי!$D$2:$D$500,$K75))</f>
        <v/>
      </c>
      <c r="B75" s="8">
        <f>IF($K75="","",INDEX(מלאי!$B$2:$B$500,$K75))</f>
        <v/>
      </c>
      <c r="C75" s="8">
        <f>IF($K75="","",INDEX(מלאי!$C$2:$C$500,$K75))</f>
        <v/>
      </c>
      <c r="D75" s="8">
        <f>IF($K75="","",INDEX(מלאי!$Y$2:$Y$500,$K75))</f>
        <v/>
      </c>
      <c r="E75" s="8">
        <f>IF($K75="","",INDEX(מלאי!$Z$2:$Z$500,$K75))</f>
        <v/>
      </c>
      <c r="F75" s="8">
        <f>IF($K75="","",INDEX(מלאי!$AA$2:$AA$500,$K75))</f>
        <v/>
      </c>
      <c r="G75" s="13">
        <f>IF($K75="","",INDEX(מלאי!$F$2:$F$500,$K75))</f>
        <v/>
      </c>
      <c r="H75" s="13">
        <f>IF($K75="","",INDEX(מלאי!$AB$2:$AB$500,$K75))</f>
        <v/>
      </c>
      <c r="I75" s="8">
        <f>IF($K75="","",IF(AND(INDEX(מלאי!$AB$2:$AB$500,$K75)&lt;&gt;"",INDEX(מלאי!$AB$2:$AB$500,$K75)&lt;TODAY()),"באיחור!","תקין"))</f>
        <v/>
      </c>
      <c r="J75" s="8">
        <f>IF($K75="","",INDEX(מלאי!$AC$2:$AC$500,$K75))</f>
        <v/>
      </c>
      <c r="K7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9">
        <f>IF($K76="","",INDEX(מלאי!$D$2:$D$500,$K76))</f>
        <v/>
      </c>
      <c r="B76" s="9">
        <f>IF($K76="","",INDEX(מלאי!$B$2:$B$500,$K76))</f>
        <v/>
      </c>
      <c r="C76" s="9">
        <f>IF($K76="","",INDEX(מלאי!$C$2:$C$500,$K76))</f>
        <v/>
      </c>
      <c r="D76" s="9">
        <f>IF($K76="","",INDEX(מלאי!$Y$2:$Y$500,$K76))</f>
        <v/>
      </c>
      <c r="E76" s="9">
        <f>IF($K76="","",INDEX(מלאי!$Z$2:$Z$500,$K76))</f>
        <v/>
      </c>
      <c r="F76" s="9">
        <f>IF($K76="","",INDEX(מלאי!$AA$2:$AA$500,$K76))</f>
        <v/>
      </c>
      <c r="G76" s="14">
        <f>IF($K76="","",INDEX(מלאי!$F$2:$F$500,$K76))</f>
        <v/>
      </c>
      <c r="H76" s="14">
        <f>IF($K76="","",INDEX(מלאי!$AB$2:$AB$500,$K76))</f>
        <v/>
      </c>
      <c r="I76" s="9">
        <f>IF($K76="","",IF(AND(INDEX(מלאי!$AB$2:$AB$500,$K76)&lt;&gt;"",INDEX(מלאי!$AB$2:$AB$500,$K76)&lt;TODAY()),"באיחור!","תקין"))</f>
        <v/>
      </c>
      <c r="J76" s="9">
        <f>IF($K76="","",INDEX(מלאי!$AC$2:$AC$500,$K76))</f>
        <v/>
      </c>
      <c r="K7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8">
        <f>IF($K77="","",INDEX(מלאי!$D$2:$D$500,$K77))</f>
        <v/>
      </c>
      <c r="B77" s="8">
        <f>IF($K77="","",INDEX(מלאי!$B$2:$B$500,$K77))</f>
        <v/>
      </c>
      <c r="C77" s="8">
        <f>IF($K77="","",INDEX(מלאי!$C$2:$C$500,$K77))</f>
        <v/>
      </c>
      <c r="D77" s="8">
        <f>IF($K77="","",INDEX(מלאי!$Y$2:$Y$500,$K77))</f>
        <v/>
      </c>
      <c r="E77" s="8">
        <f>IF($K77="","",INDEX(מלאי!$Z$2:$Z$500,$K77))</f>
        <v/>
      </c>
      <c r="F77" s="8">
        <f>IF($K77="","",INDEX(מלאי!$AA$2:$AA$500,$K77))</f>
        <v/>
      </c>
      <c r="G77" s="13">
        <f>IF($K77="","",INDEX(מלאי!$F$2:$F$500,$K77))</f>
        <v/>
      </c>
      <c r="H77" s="13">
        <f>IF($K77="","",INDEX(מלאי!$AB$2:$AB$500,$K77))</f>
        <v/>
      </c>
      <c r="I77" s="8">
        <f>IF($K77="","",IF(AND(INDEX(מלאי!$AB$2:$AB$500,$K77)&lt;&gt;"",INDEX(מלאי!$AB$2:$AB$500,$K77)&lt;TODAY()),"באיחור!","תקין"))</f>
        <v/>
      </c>
      <c r="J77" s="8">
        <f>IF($K77="","",INDEX(מלאי!$AC$2:$AC$500,$K77))</f>
        <v/>
      </c>
      <c r="K7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9">
        <f>IF($K78="","",INDEX(מלאי!$D$2:$D$500,$K78))</f>
        <v/>
      </c>
      <c r="B78" s="9">
        <f>IF($K78="","",INDEX(מלאי!$B$2:$B$500,$K78))</f>
        <v/>
      </c>
      <c r="C78" s="9">
        <f>IF($K78="","",INDEX(מלאי!$C$2:$C$500,$K78))</f>
        <v/>
      </c>
      <c r="D78" s="9">
        <f>IF($K78="","",INDEX(מלאי!$Y$2:$Y$500,$K78))</f>
        <v/>
      </c>
      <c r="E78" s="9">
        <f>IF($K78="","",INDEX(מלאי!$Z$2:$Z$500,$K78))</f>
        <v/>
      </c>
      <c r="F78" s="9">
        <f>IF($K78="","",INDEX(מלאי!$AA$2:$AA$500,$K78))</f>
        <v/>
      </c>
      <c r="G78" s="14">
        <f>IF($K78="","",INDEX(מלאי!$F$2:$F$500,$K78))</f>
        <v/>
      </c>
      <c r="H78" s="14">
        <f>IF($K78="","",INDEX(מלאי!$AB$2:$AB$500,$K78))</f>
        <v/>
      </c>
      <c r="I78" s="9">
        <f>IF($K78="","",IF(AND(INDEX(מלאי!$AB$2:$AB$500,$K78)&lt;&gt;"",INDEX(מלאי!$AB$2:$AB$500,$K78)&lt;TODAY()),"באיחור!","תקין"))</f>
        <v/>
      </c>
      <c r="J78" s="9">
        <f>IF($K78="","",INDEX(מלאי!$AC$2:$AC$500,$K78))</f>
        <v/>
      </c>
      <c r="K7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8">
        <f>IF($K79="","",INDEX(מלאי!$D$2:$D$500,$K79))</f>
        <v/>
      </c>
      <c r="B79" s="8">
        <f>IF($K79="","",INDEX(מלאי!$B$2:$B$500,$K79))</f>
        <v/>
      </c>
      <c r="C79" s="8">
        <f>IF($K79="","",INDEX(מלאי!$C$2:$C$500,$K79))</f>
        <v/>
      </c>
      <c r="D79" s="8">
        <f>IF($K79="","",INDEX(מלאי!$Y$2:$Y$500,$K79))</f>
        <v/>
      </c>
      <c r="E79" s="8">
        <f>IF($K79="","",INDEX(מלאי!$Z$2:$Z$500,$K79))</f>
        <v/>
      </c>
      <c r="F79" s="8">
        <f>IF($K79="","",INDEX(מלאי!$AA$2:$AA$500,$K79))</f>
        <v/>
      </c>
      <c r="G79" s="13">
        <f>IF($K79="","",INDEX(מלאי!$F$2:$F$500,$K79))</f>
        <v/>
      </c>
      <c r="H79" s="13">
        <f>IF($K79="","",INDEX(מלאי!$AB$2:$AB$500,$K79))</f>
        <v/>
      </c>
      <c r="I79" s="8">
        <f>IF($K79="","",IF(AND(INDEX(מלאי!$AB$2:$AB$500,$K79)&lt;&gt;"",INDEX(מלאי!$AB$2:$AB$500,$K79)&lt;TODAY()),"באיחור!","תקין"))</f>
        <v/>
      </c>
      <c r="J79" s="8">
        <f>IF($K79="","",INDEX(מלאי!$AC$2:$AC$500,$K79))</f>
        <v/>
      </c>
      <c r="K7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9">
        <f>IF($K80="","",INDEX(מלאי!$D$2:$D$500,$K80))</f>
        <v/>
      </c>
      <c r="B80" s="9">
        <f>IF($K80="","",INDEX(מלאי!$B$2:$B$500,$K80))</f>
        <v/>
      </c>
      <c r="C80" s="9">
        <f>IF($K80="","",INDEX(מלאי!$C$2:$C$500,$K80))</f>
        <v/>
      </c>
      <c r="D80" s="9">
        <f>IF($K80="","",INDEX(מלאי!$Y$2:$Y$500,$K80))</f>
        <v/>
      </c>
      <c r="E80" s="9">
        <f>IF($K80="","",INDEX(מלאי!$Z$2:$Z$500,$K80))</f>
        <v/>
      </c>
      <c r="F80" s="9">
        <f>IF($K80="","",INDEX(מלאי!$AA$2:$AA$500,$K80))</f>
        <v/>
      </c>
      <c r="G80" s="14">
        <f>IF($K80="","",INDEX(מלאי!$F$2:$F$500,$K80))</f>
        <v/>
      </c>
      <c r="H80" s="14">
        <f>IF($K80="","",INDEX(מלאי!$AB$2:$AB$500,$K80))</f>
        <v/>
      </c>
      <c r="I80" s="9">
        <f>IF($K80="","",IF(AND(INDEX(מלאי!$AB$2:$AB$500,$K80)&lt;&gt;"",INDEX(מלאי!$AB$2:$AB$500,$K80)&lt;TODAY()),"באיחור!","תקין"))</f>
        <v/>
      </c>
      <c r="J80" s="9">
        <f>IF($K80="","",INDEX(מלאי!$AC$2:$AC$500,$K80))</f>
        <v/>
      </c>
      <c r="K8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8">
        <f>IF($K81="","",INDEX(מלאי!$D$2:$D$500,$K81))</f>
        <v/>
      </c>
      <c r="B81" s="8">
        <f>IF($K81="","",INDEX(מלאי!$B$2:$B$500,$K81))</f>
        <v/>
      </c>
      <c r="C81" s="8">
        <f>IF($K81="","",INDEX(מלאי!$C$2:$C$500,$K81))</f>
        <v/>
      </c>
      <c r="D81" s="8">
        <f>IF($K81="","",INDEX(מלאי!$Y$2:$Y$500,$K81))</f>
        <v/>
      </c>
      <c r="E81" s="8">
        <f>IF($K81="","",INDEX(מלאי!$Z$2:$Z$500,$K81))</f>
        <v/>
      </c>
      <c r="F81" s="8">
        <f>IF($K81="","",INDEX(מלאי!$AA$2:$AA$500,$K81))</f>
        <v/>
      </c>
      <c r="G81" s="13">
        <f>IF($K81="","",INDEX(מלאי!$F$2:$F$500,$K81))</f>
        <v/>
      </c>
      <c r="H81" s="13">
        <f>IF($K81="","",INDEX(מלאי!$AB$2:$AB$500,$K81))</f>
        <v/>
      </c>
      <c r="I81" s="8">
        <f>IF($K81="","",IF(AND(INDEX(מלאי!$AB$2:$AB$500,$K81)&lt;&gt;"",INDEX(מלאי!$AB$2:$AB$500,$K81)&lt;TODAY()),"באיחור!","תקין"))</f>
        <v/>
      </c>
      <c r="J81" s="8">
        <f>IF($K81="","",INDEX(מלאי!$AC$2:$AC$500,$K81))</f>
        <v/>
      </c>
      <c r="K8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9">
        <f>IF($K82="","",INDEX(מלאי!$D$2:$D$500,$K82))</f>
        <v/>
      </c>
      <c r="B82" s="9">
        <f>IF($K82="","",INDEX(מלאי!$B$2:$B$500,$K82))</f>
        <v/>
      </c>
      <c r="C82" s="9">
        <f>IF($K82="","",INDEX(מלאי!$C$2:$C$500,$K82))</f>
        <v/>
      </c>
      <c r="D82" s="9">
        <f>IF($K82="","",INDEX(מלאי!$Y$2:$Y$500,$K82))</f>
        <v/>
      </c>
      <c r="E82" s="9">
        <f>IF($K82="","",INDEX(מלאי!$Z$2:$Z$500,$K82))</f>
        <v/>
      </c>
      <c r="F82" s="9">
        <f>IF($K82="","",INDEX(מלאי!$AA$2:$AA$500,$K82))</f>
        <v/>
      </c>
      <c r="G82" s="14">
        <f>IF($K82="","",INDEX(מלאי!$F$2:$F$500,$K82))</f>
        <v/>
      </c>
      <c r="H82" s="14">
        <f>IF($K82="","",INDEX(מלאי!$AB$2:$AB$500,$K82))</f>
        <v/>
      </c>
      <c r="I82" s="9">
        <f>IF($K82="","",IF(AND(INDEX(מלאי!$AB$2:$AB$500,$K82)&lt;&gt;"",INDEX(מלאי!$AB$2:$AB$500,$K82)&lt;TODAY()),"באיחור!","תקין"))</f>
        <v/>
      </c>
      <c r="J82" s="9">
        <f>IF($K82="","",INDEX(מלאי!$AC$2:$AC$500,$K82))</f>
        <v/>
      </c>
      <c r="K8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8">
        <f>IF($K83="","",INDEX(מלאי!$D$2:$D$500,$K83))</f>
        <v/>
      </c>
      <c r="B83" s="8">
        <f>IF($K83="","",INDEX(מלאי!$B$2:$B$500,$K83))</f>
        <v/>
      </c>
      <c r="C83" s="8">
        <f>IF($K83="","",INDEX(מלאי!$C$2:$C$500,$K83))</f>
        <v/>
      </c>
      <c r="D83" s="8">
        <f>IF($K83="","",INDEX(מלאי!$Y$2:$Y$500,$K83))</f>
        <v/>
      </c>
      <c r="E83" s="8">
        <f>IF($K83="","",INDEX(מלאי!$Z$2:$Z$500,$K83))</f>
        <v/>
      </c>
      <c r="F83" s="8">
        <f>IF($K83="","",INDEX(מלאי!$AA$2:$AA$500,$K83))</f>
        <v/>
      </c>
      <c r="G83" s="13">
        <f>IF($K83="","",INDEX(מלאי!$F$2:$F$500,$K83))</f>
        <v/>
      </c>
      <c r="H83" s="13">
        <f>IF($K83="","",INDEX(מלאי!$AB$2:$AB$500,$K83))</f>
        <v/>
      </c>
      <c r="I83" s="8">
        <f>IF($K83="","",IF(AND(INDEX(מלאי!$AB$2:$AB$500,$K83)&lt;&gt;"",INDEX(מלאי!$AB$2:$AB$500,$K83)&lt;TODAY()),"באיחור!","תקין"))</f>
        <v/>
      </c>
      <c r="J83" s="8">
        <f>IF($K83="","",INDEX(מלאי!$AC$2:$AC$500,$K83))</f>
        <v/>
      </c>
      <c r="K8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9">
        <f>IF($K84="","",INDEX(מלאי!$D$2:$D$500,$K84))</f>
        <v/>
      </c>
      <c r="B84" s="9">
        <f>IF($K84="","",INDEX(מלאי!$B$2:$B$500,$K84))</f>
        <v/>
      </c>
      <c r="C84" s="9">
        <f>IF($K84="","",INDEX(מלאי!$C$2:$C$500,$K84))</f>
        <v/>
      </c>
      <c r="D84" s="9">
        <f>IF($K84="","",INDEX(מלאי!$Y$2:$Y$500,$K84))</f>
        <v/>
      </c>
      <c r="E84" s="9">
        <f>IF($K84="","",INDEX(מלאי!$Z$2:$Z$500,$K84))</f>
        <v/>
      </c>
      <c r="F84" s="9">
        <f>IF($K84="","",INDEX(מלאי!$AA$2:$AA$500,$K84))</f>
        <v/>
      </c>
      <c r="G84" s="14">
        <f>IF($K84="","",INDEX(מלאי!$F$2:$F$500,$K84))</f>
        <v/>
      </c>
      <c r="H84" s="14">
        <f>IF($K84="","",INDEX(מלאי!$AB$2:$AB$500,$K84))</f>
        <v/>
      </c>
      <c r="I84" s="9">
        <f>IF($K84="","",IF(AND(INDEX(מלאי!$AB$2:$AB$500,$K84)&lt;&gt;"",INDEX(מלאי!$AB$2:$AB$500,$K84)&lt;TODAY()),"באיחור!","תקין"))</f>
        <v/>
      </c>
      <c r="J84" s="9">
        <f>IF($K84="","",INDEX(מלאי!$AC$2:$AC$500,$K84))</f>
        <v/>
      </c>
      <c r="K8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8">
        <f>IF($K85="","",INDEX(מלאי!$D$2:$D$500,$K85))</f>
        <v/>
      </c>
      <c r="B85" s="8">
        <f>IF($K85="","",INDEX(מלאי!$B$2:$B$500,$K85))</f>
        <v/>
      </c>
      <c r="C85" s="8">
        <f>IF($K85="","",INDEX(מלאי!$C$2:$C$500,$K85))</f>
        <v/>
      </c>
      <c r="D85" s="8">
        <f>IF($K85="","",INDEX(מלאי!$Y$2:$Y$500,$K85))</f>
        <v/>
      </c>
      <c r="E85" s="8">
        <f>IF($K85="","",INDEX(מלאי!$Z$2:$Z$500,$K85))</f>
        <v/>
      </c>
      <c r="F85" s="8">
        <f>IF($K85="","",INDEX(מלאי!$AA$2:$AA$500,$K85))</f>
        <v/>
      </c>
      <c r="G85" s="13">
        <f>IF($K85="","",INDEX(מלאי!$F$2:$F$500,$K85))</f>
        <v/>
      </c>
      <c r="H85" s="13">
        <f>IF($K85="","",INDEX(מלאי!$AB$2:$AB$500,$K85))</f>
        <v/>
      </c>
      <c r="I85" s="8">
        <f>IF($K85="","",IF(AND(INDEX(מלאי!$AB$2:$AB$500,$K85)&lt;&gt;"",INDEX(מלאי!$AB$2:$AB$500,$K85)&lt;TODAY()),"באיחור!","תקין"))</f>
        <v/>
      </c>
      <c r="J85" s="8">
        <f>IF($K85="","",INDEX(מלאי!$AC$2:$AC$500,$K85))</f>
        <v/>
      </c>
      <c r="K8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9">
        <f>IF($K86="","",INDEX(מלאי!$D$2:$D$500,$K86))</f>
        <v/>
      </c>
      <c r="B86" s="9">
        <f>IF($K86="","",INDEX(מלאי!$B$2:$B$500,$K86))</f>
        <v/>
      </c>
      <c r="C86" s="9">
        <f>IF($K86="","",INDEX(מלאי!$C$2:$C$500,$K86))</f>
        <v/>
      </c>
      <c r="D86" s="9">
        <f>IF($K86="","",INDEX(מלאי!$Y$2:$Y$500,$K86))</f>
        <v/>
      </c>
      <c r="E86" s="9">
        <f>IF($K86="","",INDEX(מלאי!$Z$2:$Z$500,$K86))</f>
        <v/>
      </c>
      <c r="F86" s="9">
        <f>IF($K86="","",INDEX(מלאי!$AA$2:$AA$500,$K86))</f>
        <v/>
      </c>
      <c r="G86" s="14">
        <f>IF($K86="","",INDEX(מלאי!$F$2:$F$500,$K86))</f>
        <v/>
      </c>
      <c r="H86" s="14">
        <f>IF($K86="","",INDEX(מלאי!$AB$2:$AB$500,$K86))</f>
        <v/>
      </c>
      <c r="I86" s="9">
        <f>IF($K86="","",IF(AND(INDEX(מלאי!$AB$2:$AB$500,$K86)&lt;&gt;"",INDEX(מלאי!$AB$2:$AB$500,$K86)&lt;TODAY()),"באיחור!","תקין"))</f>
        <v/>
      </c>
      <c r="J86" s="9">
        <f>IF($K86="","",INDEX(מלאי!$AC$2:$AC$500,$K86))</f>
        <v/>
      </c>
      <c r="K8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8">
        <f>IF($K87="","",INDEX(מלאי!$D$2:$D$500,$K87))</f>
        <v/>
      </c>
      <c r="B87" s="8">
        <f>IF($K87="","",INDEX(מלאי!$B$2:$B$500,$K87))</f>
        <v/>
      </c>
      <c r="C87" s="8">
        <f>IF($K87="","",INDEX(מלאי!$C$2:$C$500,$K87))</f>
        <v/>
      </c>
      <c r="D87" s="8">
        <f>IF($K87="","",INDEX(מלאי!$Y$2:$Y$500,$K87))</f>
        <v/>
      </c>
      <c r="E87" s="8">
        <f>IF($K87="","",INDEX(מלאי!$Z$2:$Z$500,$K87))</f>
        <v/>
      </c>
      <c r="F87" s="8">
        <f>IF($K87="","",INDEX(מלאי!$AA$2:$AA$500,$K87))</f>
        <v/>
      </c>
      <c r="G87" s="13">
        <f>IF($K87="","",INDEX(מלאי!$F$2:$F$500,$K87))</f>
        <v/>
      </c>
      <c r="H87" s="13">
        <f>IF($K87="","",INDEX(מלאי!$AB$2:$AB$500,$K87))</f>
        <v/>
      </c>
      <c r="I87" s="8">
        <f>IF($K87="","",IF(AND(INDEX(מלאי!$AB$2:$AB$500,$K87)&lt;&gt;"",INDEX(מלאי!$AB$2:$AB$500,$K87)&lt;TODAY()),"באיחור!","תקין"))</f>
        <v/>
      </c>
      <c r="J87" s="8">
        <f>IF($K87="","",INDEX(מלאי!$AC$2:$AC$500,$K87))</f>
        <v/>
      </c>
      <c r="K8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9">
        <f>IF($K88="","",INDEX(מלאי!$D$2:$D$500,$K88))</f>
        <v/>
      </c>
      <c r="B88" s="9">
        <f>IF($K88="","",INDEX(מלאי!$B$2:$B$500,$K88))</f>
        <v/>
      </c>
      <c r="C88" s="9">
        <f>IF($K88="","",INDEX(מלאי!$C$2:$C$500,$K88))</f>
        <v/>
      </c>
      <c r="D88" s="9">
        <f>IF($K88="","",INDEX(מלאי!$Y$2:$Y$500,$K88))</f>
        <v/>
      </c>
      <c r="E88" s="9">
        <f>IF($K88="","",INDEX(מלאי!$Z$2:$Z$500,$K88))</f>
        <v/>
      </c>
      <c r="F88" s="9">
        <f>IF($K88="","",INDEX(מלאי!$AA$2:$AA$500,$K88))</f>
        <v/>
      </c>
      <c r="G88" s="14">
        <f>IF($K88="","",INDEX(מלאי!$F$2:$F$500,$K88))</f>
        <v/>
      </c>
      <c r="H88" s="14">
        <f>IF($K88="","",INDEX(מלאי!$AB$2:$AB$500,$K88))</f>
        <v/>
      </c>
      <c r="I88" s="9">
        <f>IF($K88="","",IF(AND(INDEX(מלאי!$AB$2:$AB$500,$K88)&lt;&gt;"",INDEX(מלאי!$AB$2:$AB$500,$K88)&lt;TODAY()),"באיחור!","תקין"))</f>
        <v/>
      </c>
      <c r="J88" s="9">
        <f>IF($K88="","",INDEX(מלאי!$AC$2:$AC$500,$K88))</f>
        <v/>
      </c>
      <c r="K8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8">
        <f>IF($K89="","",INDEX(מלאי!$D$2:$D$500,$K89))</f>
        <v/>
      </c>
      <c r="B89" s="8">
        <f>IF($K89="","",INDEX(מלאי!$B$2:$B$500,$K89))</f>
        <v/>
      </c>
      <c r="C89" s="8">
        <f>IF($K89="","",INDEX(מלאי!$C$2:$C$500,$K89))</f>
        <v/>
      </c>
      <c r="D89" s="8">
        <f>IF($K89="","",INDEX(מלאי!$Y$2:$Y$500,$K89))</f>
        <v/>
      </c>
      <c r="E89" s="8">
        <f>IF($K89="","",INDEX(מלאי!$Z$2:$Z$500,$K89))</f>
        <v/>
      </c>
      <c r="F89" s="8">
        <f>IF($K89="","",INDEX(מלאי!$AA$2:$AA$500,$K89))</f>
        <v/>
      </c>
      <c r="G89" s="13">
        <f>IF($K89="","",INDEX(מלאי!$F$2:$F$500,$K89))</f>
        <v/>
      </c>
      <c r="H89" s="13">
        <f>IF($K89="","",INDEX(מלאי!$AB$2:$AB$500,$K89))</f>
        <v/>
      </c>
      <c r="I89" s="8">
        <f>IF($K89="","",IF(AND(INDEX(מלאי!$AB$2:$AB$500,$K89)&lt;&gt;"",INDEX(מלאי!$AB$2:$AB$500,$K89)&lt;TODAY()),"באיחור!","תקין"))</f>
        <v/>
      </c>
      <c r="J89" s="8">
        <f>IF($K89="","",INDEX(מלאי!$AC$2:$AC$500,$K89))</f>
        <v/>
      </c>
      <c r="K8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9">
        <f>IF($K90="","",INDEX(מלאי!$D$2:$D$500,$K90))</f>
        <v/>
      </c>
      <c r="B90" s="9">
        <f>IF($K90="","",INDEX(מלאי!$B$2:$B$500,$K90))</f>
        <v/>
      </c>
      <c r="C90" s="9">
        <f>IF($K90="","",INDEX(מלאי!$C$2:$C$500,$K90))</f>
        <v/>
      </c>
      <c r="D90" s="9">
        <f>IF($K90="","",INDEX(מלאי!$Y$2:$Y$500,$K90))</f>
        <v/>
      </c>
      <c r="E90" s="9">
        <f>IF($K90="","",INDEX(מלאי!$Z$2:$Z$500,$K90))</f>
        <v/>
      </c>
      <c r="F90" s="9">
        <f>IF($K90="","",INDEX(מלאי!$AA$2:$AA$500,$K90))</f>
        <v/>
      </c>
      <c r="G90" s="14">
        <f>IF($K90="","",INDEX(מלאי!$F$2:$F$500,$K90))</f>
        <v/>
      </c>
      <c r="H90" s="14">
        <f>IF($K90="","",INDEX(מלאי!$AB$2:$AB$500,$K90))</f>
        <v/>
      </c>
      <c r="I90" s="9">
        <f>IF($K90="","",IF(AND(INDEX(מלאי!$AB$2:$AB$500,$K90)&lt;&gt;"",INDEX(מלאי!$AB$2:$AB$500,$K90)&lt;TODAY()),"באיחור!","תקין"))</f>
        <v/>
      </c>
      <c r="J90" s="9">
        <f>IF($K90="","",INDEX(מלאי!$AC$2:$AC$500,$K90))</f>
        <v/>
      </c>
      <c r="K9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8">
        <f>IF($K91="","",INDEX(מלאי!$D$2:$D$500,$K91))</f>
        <v/>
      </c>
      <c r="B91" s="8">
        <f>IF($K91="","",INDEX(מלאי!$B$2:$B$500,$K91))</f>
        <v/>
      </c>
      <c r="C91" s="8">
        <f>IF($K91="","",INDEX(מלאי!$C$2:$C$500,$K91))</f>
        <v/>
      </c>
      <c r="D91" s="8">
        <f>IF($K91="","",INDEX(מלאי!$Y$2:$Y$500,$K91))</f>
        <v/>
      </c>
      <c r="E91" s="8">
        <f>IF($K91="","",INDEX(מלאי!$Z$2:$Z$500,$K91))</f>
        <v/>
      </c>
      <c r="F91" s="8">
        <f>IF($K91="","",INDEX(מלאי!$AA$2:$AA$500,$K91))</f>
        <v/>
      </c>
      <c r="G91" s="13">
        <f>IF($K91="","",INDEX(מלאי!$F$2:$F$500,$K91))</f>
        <v/>
      </c>
      <c r="H91" s="13">
        <f>IF($K91="","",INDEX(מלאי!$AB$2:$AB$500,$K91))</f>
        <v/>
      </c>
      <c r="I91" s="8">
        <f>IF($K91="","",IF(AND(INDEX(מלאי!$AB$2:$AB$500,$K91)&lt;&gt;"",INDEX(מלאי!$AB$2:$AB$500,$K91)&lt;TODAY()),"באיחור!","תקין"))</f>
        <v/>
      </c>
      <c r="J91" s="8">
        <f>IF($K91="","",INDEX(מלאי!$AC$2:$AC$500,$K91))</f>
        <v/>
      </c>
      <c r="K9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9">
        <f>IF($K92="","",INDEX(מלאי!$D$2:$D$500,$K92))</f>
        <v/>
      </c>
      <c r="B92" s="9">
        <f>IF($K92="","",INDEX(מלאי!$B$2:$B$500,$K92))</f>
        <v/>
      </c>
      <c r="C92" s="9">
        <f>IF($K92="","",INDEX(מלאי!$C$2:$C$500,$K92))</f>
        <v/>
      </c>
      <c r="D92" s="9">
        <f>IF($K92="","",INDEX(מלאי!$Y$2:$Y$500,$K92))</f>
        <v/>
      </c>
      <c r="E92" s="9">
        <f>IF($K92="","",INDEX(מלאי!$Z$2:$Z$500,$K92))</f>
        <v/>
      </c>
      <c r="F92" s="9">
        <f>IF($K92="","",INDEX(מלאי!$AA$2:$AA$500,$K92))</f>
        <v/>
      </c>
      <c r="G92" s="14">
        <f>IF($K92="","",INDEX(מלאי!$F$2:$F$500,$K92))</f>
        <v/>
      </c>
      <c r="H92" s="14">
        <f>IF($K92="","",INDEX(מלאי!$AB$2:$AB$500,$K92))</f>
        <v/>
      </c>
      <c r="I92" s="9">
        <f>IF($K92="","",IF(AND(INDEX(מלאי!$AB$2:$AB$500,$K92)&lt;&gt;"",INDEX(מלאי!$AB$2:$AB$500,$K92)&lt;TODAY()),"באיחור!","תקין"))</f>
        <v/>
      </c>
      <c r="J92" s="9">
        <f>IF($K92="","",INDEX(מלאי!$AC$2:$AC$500,$K92))</f>
        <v/>
      </c>
      <c r="K9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8">
        <f>IF($K93="","",INDEX(מלאי!$D$2:$D$500,$K93))</f>
        <v/>
      </c>
      <c r="B93" s="8">
        <f>IF($K93="","",INDEX(מלאי!$B$2:$B$500,$K93))</f>
        <v/>
      </c>
      <c r="C93" s="8">
        <f>IF($K93="","",INDEX(מלאי!$C$2:$C$500,$K93))</f>
        <v/>
      </c>
      <c r="D93" s="8">
        <f>IF($K93="","",INDEX(מלאי!$Y$2:$Y$500,$K93))</f>
        <v/>
      </c>
      <c r="E93" s="8">
        <f>IF($K93="","",INDEX(מלאי!$Z$2:$Z$500,$K93))</f>
        <v/>
      </c>
      <c r="F93" s="8">
        <f>IF($K93="","",INDEX(מלאי!$AA$2:$AA$500,$K93))</f>
        <v/>
      </c>
      <c r="G93" s="13">
        <f>IF($K93="","",INDEX(מלאי!$F$2:$F$500,$K93))</f>
        <v/>
      </c>
      <c r="H93" s="13">
        <f>IF($K93="","",INDEX(מלאי!$AB$2:$AB$500,$K93))</f>
        <v/>
      </c>
      <c r="I93" s="8">
        <f>IF($K93="","",IF(AND(INDEX(מלאי!$AB$2:$AB$500,$K93)&lt;&gt;"",INDEX(מלאי!$AB$2:$AB$500,$K93)&lt;TODAY()),"באיחור!","תקין"))</f>
        <v/>
      </c>
      <c r="J93" s="8">
        <f>IF($K93="","",INDEX(מלאי!$AC$2:$AC$500,$K93))</f>
        <v/>
      </c>
      <c r="K9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9">
        <f>IF($K94="","",INDEX(מלאי!$D$2:$D$500,$K94))</f>
        <v/>
      </c>
      <c r="B94" s="9">
        <f>IF($K94="","",INDEX(מלאי!$B$2:$B$500,$K94))</f>
        <v/>
      </c>
      <c r="C94" s="9">
        <f>IF($K94="","",INDEX(מלאי!$C$2:$C$500,$K94))</f>
        <v/>
      </c>
      <c r="D94" s="9">
        <f>IF($K94="","",INDEX(מלאי!$Y$2:$Y$500,$K94))</f>
        <v/>
      </c>
      <c r="E94" s="9">
        <f>IF($K94="","",INDEX(מלאי!$Z$2:$Z$500,$K94))</f>
        <v/>
      </c>
      <c r="F94" s="9">
        <f>IF($K94="","",INDEX(מלאי!$AA$2:$AA$500,$K94))</f>
        <v/>
      </c>
      <c r="G94" s="14">
        <f>IF($K94="","",INDEX(מלאי!$F$2:$F$500,$K94))</f>
        <v/>
      </c>
      <c r="H94" s="14">
        <f>IF($K94="","",INDEX(מלאי!$AB$2:$AB$500,$K94))</f>
        <v/>
      </c>
      <c r="I94" s="9">
        <f>IF($K94="","",IF(AND(INDEX(מלאי!$AB$2:$AB$500,$K94)&lt;&gt;"",INDEX(מלאי!$AB$2:$AB$500,$K94)&lt;TODAY()),"באיחור!","תקין"))</f>
        <v/>
      </c>
      <c r="J94" s="9">
        <f>IF($K94="","",INDEX(מלאי!$AC$2:$AC$500,$K94))</f>
        <v/>
      </c>
      <c r="K9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8">
        <f>IF($K95="","",INDEX(מלאי!$D$2:$D$500,$K95))</f>
        <v/>
      </c>
      <c r="B95" s="8">
        <f>IF($K95="","",INDEX(מלאי!$B$2:$B$500,$K95))</f>
        <v/>
      </c>
      <c r="C95" s="8">
        <f>IF($K95="","",INDEX(מלאי!$C$2:$C$500,$K95))</f>
        <v/>
      </c>
      <c r="D95" s="8">
        <f>IF($K95="","",INDEX(מלאי!$Y$2:$Y$500,$K95))</f>
        <v/>
      </c>
      <c r="E95" s="8">
        <f>IF($K95="","",INDEX(מלאי!$Z$2:$Z$500,$K95))</f>
        <v/>
      </c>
      <c r="F95" s="8">
        <f>IF($K95="","",INDEX(מלאי!$AA$2:$AA$500,$K95))</f>
        <v/>
      </c>
      <c r="G95" s="13">
        <f>IF($K95="","",INDEX(מלאי!$F$2:$F$500,$K95))</f>
        <v/>
      </c>
      <c r="H95" s="13">
        <f>IF($K95="","",INDEX(מלאי!$AB$2:$AB$500,$K95))</f>
        <v/>
      </c>
      <c r="I95" s="8">
        <f>IF($K95="","",IF(AND(INDEX(מלאי!$AB$2:$AB$500,$K95)&lt;&gt;"",INDEX(מלאי!$AB$2:$AB$500,$K95)&lt;TODAY()),"באיחור!","תקין"))</f>
        <v/>
      </c>
      <c r="J95" s="8">
        <f>IF($K95="","",INDEX(מלאי!$AC$2:$AC$500,$K95))</f>
        <v/>
      </c>
      <c r="K9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9">
        <f>IF($K96="","",INDEX(מלאי!$D$2:$D$500,$K96))</f>
        <v/>
      </c>
      <c r="B96" s="9">
        <f>IF($K96="","",INDEX(מלאי!$B$2:$B$500,$K96))</f>
        <v/>
      </c>
      <c r="C96" s="9">
        <f>IF($K96="","",INDEX(מלאי!$C$2:$C$500,$K96))</f>
        <v/>
      </c>
      <c r="D96" s="9">
        <f>IF($K96="","",INDEX(מלאי!$Y$2:$Y$500,$K96))</f>
        <v/>
      </c>
      <c r="E96" s="9">
        <f>IF($K96="","",INDEX(מלאי!$Z$2:$Z$500,$K96))</f>
        <v/>
      </c>
      <c r="F96" s="9">
        <f>IF($K96="","",INDEX(מלאי!$AA$2:$AA$500,$K96))</f>
        <v/>
      </c>
      <c r="G96" s="14">
        <f>IF($K96="","",INDEX(מלאי!$F$2:$F$500,$K96))</f>
        <v/>
      </c>
      <c r="H96" s="14">
        <f>IF($K96="","",INDEX(מלאי!$AB$2:$AB$500,$K96))</f>
        <v/>
      </c>
      <c r="I96" s="9">
        <f>IF($K96="","",IF(AND(INDEX(מלאי!$AB$2:$AB$500,$K96)&lt;&gt;"",INDEX(מלאי!$AB$2:$AB$500,$K96)&lt;TODAY()),"באיחור!","תקין"))</f>
        <v/>
      </c>
      <c r="J96" s="9">
        <f>IF($K96="","",INDEX(מלאי!$AC$2:$AC$500,$K96))</f>
        <v/>
      </c>
      <c r="K9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8">
        <f>IF($K97="","",INDEX(מלאי!$D$2:$D$500,$K97))</f>
        <v/>
      </c>
      <c r="B97" s="8">
        <f>IF($K97="","",INDEX(מלאי!$B$2:$B$500,$K97))</f>
        <v/>
      </c>
      <c r="C97" s="8">
        <f>IF($K97="","",INDEX(מלאי!$C$2:$C$500,$K97))</f>
        <v/>
      </c>
      <c r="D97" s="8">
        <f>IF($K97="","",INDEX(מלאי!$Y$2:$Y$500,$K97))</f>
        <v/>
      </c>
      <c r="E97" s="8">
        <f>IF($K97="","",INDEX(מלאי!$Z$2:$Z$500,$K97))</f>
        <v/>
      </c>
      <c r="F97" s="8">
        <f>IF($K97="","",INDEX(מלאי!$AA$2:$AA$500,$K97))</f>
        <v/>
      </c>
      <c r="G97" s="13">
        <f>IF($K97="","",INDEX(מלאי!$F$2:$F$500,$K97))</f>
        <v/>
      </c>
      <c r="H97" s="13">
        <f>IF($K97="","",INDEX(מלאי!$AB$2:$AB$500,$K97))</f>
        <v/>
      </c>
      <c r="I97" s="8">
        <f>IF($K97="","",IF(AND(INDEX(מלאי!$AB$2:$AB$500,$K97)&lt;&gt;"",INDEX(מלאי!$AB$2:$AB$500,$K97)&lt;TODAY()),"באיחור!","תקין"))</f>
        <v/>
      </c>
      <c r="J97" s="8">
        <f>IF($K97="","",INDEX(מלאי!$AC$2:$AC$500,$K97))</f>
        <v/>
      </c>
      <c r="K9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9">
        <f>IF($K98="","",INDEX(מלאי!$D$2:$D$500,$K98))</f>
        <v/>
      </c>
      <c r="B98" s="9">
        <f>IF($K98="","",INDEX(מלאי!$B$2:$B$500,$K98))</f>
        <v/>
      </c>
      <c r="C98" s="9">
        <f>IF($K98="","",INDEX(מלאי!$C$2:$C$500,$K98))</f>
        <v/>
      </c>
      <c r="D98" s="9">
        <f>IF($K98="","",INDEX(מלאי!$Y$2:$Y$500,$K98))</f>
        <v/>
      </c>
      <c r="E98" s="9">
        <f>IF($K98="","",INDEX(מלאי!$Z$2:$Z$500,$K98))</f>
        <v/>
      </c>
      <c r="F98" s="9">
        <f>IF($K98="","",INDEX(מלאי!$AA$2:$AA$500,$K98))</f>
        <v/>
      </c>
      <c r="G98" s="14">
        <f>IF($K98="","",INDEX(מלאי!$F$2:$F$500,$K98))</f>
        <v/>
      </c>
      <c r="H98" s="14">
        <f>IF($K98="","",INDEX(מלאי!$AB$2:$AB$500,$K98))</f>
        <v/>
      </c>
      <c r="I98" s="9">
        <f>IF($K98="","",IF(AND(INDEX(מלאי!$AB$2:$AB$500,$K98)&lt;&gt;"",INDEX(מלאי!$AB$2:$AB$500,$K98)&lt;TODAY()),"באיחור!","תקין"))</f>
        <v/>
      </c>
      <c r="J98" s="9">
        <f>IF($K98="","",INDEX(מלאי!$AC$2:$AC$500,$K98))</f>
        <v/>
      </c>
      <c r="K9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8">
        <f>IF($K99="","",INDEX(מלאי!$D$2:$D$500,$K99))</f>
        <v/>
      </c>
      <c r="B99" s="8">
        <f>IF($K99="","",INDEX(מלאי!$B$2:$B$500,$K99))</f>
        <v/>
      </c>
      <c r="C99" s="8">
        <f>IF($K99="","",INDEX(מלאי!$C$2:$C$500,$K99))</f>
        <v/>
      </c>
      <c r="D99" s="8">
        <f>IF($K99="","",INDEX(מלאי!$Y$2:$Y$500,$K99))</f>
        <v/>
      </c>
      <c r="E99" s="8">
        <f>IF($K99="","",INDEX(מלאי!$Z$2:$Z$500,$K99))</f>
        <v/>
      </c>
      <c r="F99" s="8">
        <f>IF($K99="","",INDEX(מלאי!$AA$2:$AA$500,$K99))</f>
        <v/>
      </c>
      <c r="G99" s="13">
        <f>IF($K99="","",INDEX(מלאי!$F$2:$F$500,$K99))</f>
        <v/>
      </c>
      <c r="H99" s="13">
        <f>IF($K99="","",INDEX(מלאי!$AB$2:$AB$500,$K99))</f>
        <v/>
      </c>
      <c r="I99" s="8">
        <f>IF($K99="","",IF(AND(INDEX(מלאי!$AB$2:$AB$500,$K99)&lt;&gt;"",INDEX(מלאי!$AB$2:$AB$500,$K99)&lt;TODAY()),"באיחור!","תקין"))</f>
        <v/>
      </c>
      <c r="J99" s="8">
        <f>IF($K99="","",INDEX(מלאי!$AC$2:$AC$500,$K99))</f>
        <v/>
      </c>
      <c r="K9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9">
        <f>IF($K100="","",INDEX(מלאי!$D$2:$D$500,$K100))</f>
        <v/>
      </c>
      <c r="B100" s="9">
        <f>IF($K100="","",INDEX(מלאי!$B$2:$B$500,$K100))</f>
        <v/>
      </c>
      <c r="C100" s="9">
        <f>IF($K100="","",INDEX(מלאי!$C$2:$C$500,$K100))</f>
        <v/>
      </c>
      <c r="D100" s="9">
        <f>IF($K100="","",INDEX(מלאי!$Y$2:$Y$500,$K100))</f>
        <v/>
      </c>
      <c r="E100" s="9">
        <f>IF($K100="","",INDEX(מלאי!$Z$2:$Z$500,$K100))</f>
        <v/>
      </c>
      <c r="F100" s="9">
        <f>IF($K100="","",INDEX(מלאי!$AA$2:$AA$500,$K100))</f>
        <v/>
      </c>
      <c r="G100" s="14">
        <f>IF($K100="","",INDEX(מלאי!$F$2:$F$500,$K100))</f>
        <v/>
      </c>
      <c r="H100" s="14">
        <f>IF($K100="","",INDEX(מלאי!$AB$2:$AB$500,$K100))</f>
        <v/>
      </c>
      <c r="I100" s="9">
        <f>IF($K100="","",IF(AND(INDEX(מלאי!$AB$2:$AB$500,$K100)&lt;&gt;"",INDEX(מלאי!$AB$2:$AB$500,$K100)&lt;TODAY()),"באיחור!","תקין"))</f>
        <v/>
      </c>
      <c r="J100" s="9">
        <f>IF($K100="","",INDEX(מלאי!$AC$2:$AC$500,$K100))</f>
        <v/>
      </c>
      <c r="K10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8">
        <f>IF($K101="","",INDEX(מלאי!$D$2:$D$500,$K101))</f>
        <v/>
      </c>
      <c r="B101" s="8">
        <f>IF($K101="","",INDEX(מלאי!$B$2:$B$500,$K101))</f>
        <v/>
      </c>
      <c r="C101" s="8">
        <f>IF($K101="","",INDEX(מלאי!$C$2:$C$500,$K101))</f>
        <v/>
      </c>
      <c r="D101" s="8">
        <f>IF($K101="","",INDEX(מלאי!$Y$2:$Y$500,$K101))</f>
        <v/>
      </c>
      <c r="E101" s="8">
        <f>IF($K101="","",INDEX(מלאי!$Z$2:$Z$500,$K101))</f>
        <v/>
      </c>
      <c r="F101" s="8">
        <f>IF($K101="","",INDEX(מלאי!$AA$2:$AA$500,$K101))</f>
        <v/>
      </c>
      <c r="G101" s="13">
        <f>IF($K101="","",INDEX(מלאי!$F$2:$F$500,$K101))</f>
        <v/>
      </c>
      <c r="H101" s="13">
        <f>IF($K101="","",INDEX(מלאי!$AB$2:$AB$500,$K101))</f>
        <v/>
      </c>
      <c r="I101" s="8">
        <f>IF($K101="","",IF(AND(INDEX(מלאי!$AB$2:$AB$500,$K101)&lt;&gt;"",INDEX(מלאי!$AB$2:$AB$500,$K101)&lt;TODAY()),"באיחור!","תקין"))</f>
        <v/>
      </c>
      <c r="J101" s="8">
        <f>IF($K101="","",INDEX(מלאי!$AC$2:$AC$500,$K101))</f>
        <v/>
      </c>
      <c r="K10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9">
        <f>IF($K102="","",INDEX(מלאי!$D$2:$D$500,$K102))</f>
        <v/>
      </c>
      <c r="B102" s="9">
        <f>IF($K102="","",INDEX(מלאי!$B$2:$B$500,$K102))</f>
        <v/>
      </c>
      <c r="C102" s="9">
        <f>IF($K102="","",INDEX(מלאי!$C$2:$C$500,$K102))</f>
        <v/>
      </c>
      <c r="D102" s="9">
        <f>IF($K102="","",INDEX(מלאי!$Y$2:$Y$500,$K102))</f>
        <v/>
      </c>
      <c r="E102" s="9">
        <f>IF($K102="","",INDEX(מלאי!$Z$2:$Z$500,$K102))</f>
        <v/>
      </c>
      <c r="F102" s="9">
        <f>IF($K102="","",INDEX(מלאי!$AA$2:$AA$500,$K102))</f>
        <v/>
      </c>
      <c r="G102" s="14">
        <f>IF($K102="","",INDEX(מלאי!$F$2:$F$500,$K102))</f>
        <v/>
      </c>
      <c r="H102" s="14">
        <f>IF($K102="","",INDEX(מלאי!$AB$2:$AB$500,$K102))</f>
        <v/>
      </c>
      <c r="I102" s="9">
        <f>IF($K102="","",IF(AND(INDEX(מלאי!$AB$2:$AB$500,$K102)&lt;&gt;"",INDEX(מלאי!$AB$2:$AB$500,$K102)&lt;TODAY()),"באיחור!","תקין"))</f>
        <v/>
      </c>
      <c r="J102" s="9">
        <f>IF($K102="","",INDEX(מלאי!$AC$2:$AC$500,$K102))</f>
        <v/>
      </c>
      <c r="K10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8">
        <f>IF($K103="","",INDEX(מלאי!$D$2:$D$500,$K103))</f>
        <v/>
      </c>
      <c r="B103" s="8">
        <f>IF($K103="","",INDEX(מלאי!$B$2:$B$500,$K103))</f>
        <v/>
      </c>
      <c r="C103" s="8">
        <f>IF($K103="","",INDEX(מלאי!$C$2:$C$500,$K103))</f>
        <v/>
      </c>
      <c r="D103" s="8">
        <f>IF($K103="","",INDEX(מלאי!$Y$2:$Y$500,$K103))</f>
        <v/>
      </c>
      <c r="E103" s="8">
        <f>IF($K103="","",INDEX(מלאי!$Z$2:$Z$500,$K103))</f>
        <v/>
      </c>
      <c r="F103" s="8">
        <f>IF($K103="","",INDEX(מלאי!$AA$2:$AA$500,$K103))</f>
        <v/>
      </c>
      <c r="G103" s="13">
        <f>IF($K103="","",INDEX(מלאי!$F$2:$F$500,$K103))</f>
        <v/>
      </c>
      <c r="H103" s="13">
        <f>IF($K103="","",INDEX(מלאי!$AB$2:$AB$500,$K103))</f>
        <v/>
      </c>
      <c r="I103" s="8">
        <f>IF($K103="","",IF(AND(INDEX(מלאי!$AB$2:$AB$500,$K103)&lt;&gt;"",INDEX(מלאי!$AB$2:$AB$500,$K103)&lt;TODAY()),"באיחור!","תקין"))</f>
        <v/>
      </c>
      <c r="J103" s="8">
        <f>IF($K103="","",INDEX(מלאי!$AC$2:$AC$500,$K103))</f>
        <v/>
      </c>
      <c r="K10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9">
        <f>IF($K104="","",INDEX(מלאי!$D$2:$D$500,$K104))</f>
        <v/>
      </c>
      <c r="B104" s="9">
        <f>IF($K104="","",INDEX(מלאי!$B$2:$B$500,$K104))</f>
        <v/>
      </c>
      <c r="C104" s="9">
        <f>IF($K104="","",INDEX(מלאי!$C$2:$C$500,$K104))</f>
        <v/>
      </c>
      <c r="D104" s="9">
        <f>IF($K104="","",INDEX(מלאי!$Y$2:$Y$500,$K104))</f>
        <v/>
      </c>
      <c r="E104" s="9">
        <f>IF($K104="","",INDEX(מלאי!$Z$2:$Z$500,$K104))</f>
        <v/>
      </c>
      <c r="F104" s="9">
        <f>IF($K104="","",INDEX(מלאי!$AA$2:$AA$500,$K104))</f>
        <v/>
      </c>
      <c r="G104" s="14">
        <f>IF($K104="","",INDEX(מלאי!$F$2:$F$500,$K104))</f>
        <v/>
      </c>
      <c r="H104" s="14">
        <f>IF($K104="","",INDEX(מלאי!$AB$2:$AB$500,$K104))</f>
        <v/>
      </c>
      <c r="I104" s="9">
        <f>IF($K104="","",IF(AND(INDEX(מלאי!$AB$2:$AB$500,$K104)&lt;&gt;"",INDEX(מלאי!$AB$2:$AB$500,$K104)&lt;TODAY()),"באיחור!","תקין"))</f>
        <v/>
      </c>
      <c r="J104" s="9">
        <f>IF($K104="","",INDEX(מלאי!$AC$2:$AC$500,$K104))</f>
        <v/>
      </c>
      <c r="K10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2">
    <dataValidation sqref="A2" showDropDown="0" showInputMessage="0" showErrorMessage="0" allowBlank="1" type="list">
      <formula1>"הכל,ישראל,ארה"ב,גרמניה,צרפת,בריטניה,הודו,קנדה,אוסטרליה,אחר"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7" t="inlineStr">
        <is>
          <t>שם מוצר</t>
        </is>
      </c>
      <c r="B1" s="7" t="inlineStr">
        <is>
          <t>פריט תכולה</t>
        </is>
      </c>
      <c r="C1" s="7" t="inlineStr">
        <is>
          <t>כמות נדרשת</t>
        </is>
      </c>
      <c r="D1" s="7" t="inlineStr">
        <is>
          <t>הערות</t>
        </is>
      </c>
    </row>
    <row r="2">
      <c r="A2" s="17" t="n"/>
      <c r="B2" s="17" t="n"/>
      <c r="C2" s="18" t="n"/>
      <c r="D2" s="17" t="n"/>
    </row>
    <row r="3">
      <c r="A3" s="19" t="n"/>
      <c r="B3" s="19" t="n"/>
      <c r="C3" s="20" t="n"/>
      <c r="D3" s="19" t="n"/>
    </row>
    <row r="4">
      <c r="A4" s="17" t="n"/>
      <c r="B4" s="17" t="n"/>
      <c r="C4" s="18" t="n"/>
      <c r="D4" s="17" t="n"/>
    </row>
    <row r="5">
      <c r="A5" s="19" t="n"/>
      <c r="B5" s="19" t="n"/>
      <c r="C5" s="20" t="n"/>
      <c r="D5" s="19" t="n"/>
    </row>
    <row r="6">
      <c r="A6" s="17" t="n"/>
      <c r="B6" s="17" t="n"/>
      <c r="C6" s="18" t="n"/>
      <c r="D6" s="17" t="n"/>
    </row>
    <row r="7">
      <c r="A7" s="19" t="n"/>
      <c r="B7" s="19" t="n"/>
      <c r="C7" s="20" t="n"/>
      <c r="D7" s="19" t="n"/>
    </row>
    <row r="8">
      <c r="A8" s="17" t="n"/>
      <c r="B8" s="17" t="n"/>
      <c r="C8" s="18" t="n"/>
      <c r="D8" s="17" t="n"/>
    </row>
    <row r="9">
      <c r="A9" s="19" t="n"/>
      <c r="B9" s="19" t="n"/>
      <c r="C9" s="20" t="n"/>
      <c r="D9" s="19" t="n"/>
    </row>
    <row r="10">
      <c r="A10" s="17" t="n"/>
      <c r="B10" s="17" t="n"/>
      <c r="C10" s="18" t="n"/>
      <c r="D10" s="17" t="n"/>
    </row>
    <row r="11">
      <c r="A11" s="19" t="n"/>
      <c r="B11" s="19" t="n"/>
      <c r="C11" s="20" t="n"/>
      <c r="D11" s="19" t="n"/>
    </row>
    <row r="12">
      <c r="A12" s="17" t="n"/>
      <c r="B12" s="17" t="n"/>
      <c r="C12" s="18" t="n"/>
      <c r="D12" s="17" t="n"/>
    </row>
    <row r="13">
      <c r="A13" s="19" t="n"/>
      <c r="B13" s="19" t="n"/>
      <c r="C13" s="20" t="n"/>
      <c r="D13" s="19" t="n"/>
    </row>
    <row r="14">
      <c r="A14" s="17" t="n"/>
      <c r="B14" s="17" t="n"/>
      <c r="C14" s="18" t="n"/>
      <c r="D14" s="17" t="n"/>
    </row>
    <row r="15">
      <c r="A15" s="19" t="n"/>
      <c r="B15" s="19" t="n"/>
      <c r="C15" s="20" t="n"/>
      <c r="D15" s="19" t="n"/>
    </row>
    <row r="16">
      <c r="A16" s="17" t="n"/>
      <c r="B16" s="17" t="n"/>
      <c r="C16" s="18" t="n"/>
      <c r="D16" s="17" t="n"/>
    </row>
    <row r="17">
      <c r="A17" s="19" t="n"/>
      <c r="B17" s="19" t="n"/>
      <c r="C17" s="20" t="n"/>
      <c r="D17" s="19" t="n"/>
    </row>
    <row r="18">
      <c r="A18" s="17" t="n"/>
      <c r="B18" s="17" t="n"/>
      <c r="C18" s="18" t="n"/>
      <c r="D18" s="17" t="n"/>
    </row>
    <row r="19">
      <c r="A19" s="19" t="n"/>
      <c r="B19" s="19" t="n"/>
      <c r="C19" s="20" t="n"/>
      <c r="D19" s="19" t="n"/>
    </row>
    <row r="20">
      <c r="A20" s="17" t="n"/>
      <c r="B20" s="17" t="n"/>
      <c r="C20" s="18" t="n"/>
      <c r="D20" s="17" t="n"/>
    </row>
    <row r="21">
      <c r="A21" s="19" t="n"/>
      <c r="B21" s="19" t="n"/>
      <c r="C21" s="20" t="n"/>
      <c r="D21" s="19" t="n"/>
    </row>
    <row r="22">
      <c r="A22" s="17" t="n"/>
      <c r="B22" s="17" t="n"/>
      <c r="C22" s="18" t="n"/>
      <c r="D22" s="17" t="n"/>
    </row>
    <row r="23">
      <c r="A23" s="19" t="n"/>
      <c r="B23" s="19" t="n"/>
      <c r="C23" s="20" t="n"/>
      <c r="D23" s="19" t="n"/>
    </row>
    <row r="24">
      <c r="A24" s="17" t="n"/>
      <c r="B24" s="17" t="n"/>
      <c r="C24" s="18" t="n"/>
      <c r="D24" s="17" t="n"/>
    </row>
    <row r="25">
      <c r="A25" s="19" t="n"/>
      <c r="B25" s="19" t="n"/>
      <c r="C25" s="20" t="n"/>
      <c r="D25" s="19" t="n"/>
    </row>
    <row r="26">
      <c r="A26" s="17" t="n"/>
      <c r="B26" s="17" t="n"/>
      <c r="C26" s="18" t="n"/>
      <c r="D26" s="17" t="n"/>
    </row>
    <row r="27">
      <c r="A27" s="19" t="n"/>
      <c r="B27" s="19" t="n"/>
      <c r="C27" s="20" t="n"/>
      <c r="D27" s="19" t="n"/>
    </row>
    <row r="28">
      <c r="A28" s="17" t="n"/>
      <c r="B28" s="17" t="n"/>
      <c r="C28" s="18" t="n"/>
      <c r="D28" s="17" t="n"/>
    </row>
    <row r="29">
      <c r="A29" s="19" t="n"/>
      <c r="B29" s="19" t="n"/>
      <c r="C29" s="20" t="n"/>
      <c r="D29" s="19" t="n"/>
    </row>
    <row r="30">
      <c r="A30" s="17" t="n"/>
      <c r="B30" s="17" t="n"/>
      <c r="C30" s="18" t="n"/>
      <c r="D30" s="17" t="n"/>
    </row>
    <row r="31">
      <c r="A31" s="19" t="n"/>
      <c r="B31" s="19" t="n"/>
      <c r="C31" s="20" t="n"/>
      <c r="D31" s="1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2" t="inlineStr">
        <is>
          <t>הכל</t>
        </is>
      </c>
      <c r="B6" s="2" t="n"/>
      <c r="C6" s="2" t="n"/>
      <c r="D6" s="2" t="n"/>
      <c r="E6" s="2" t="n"/>
      <c r="F6" s="2" t="n"/>
      <c r="G6" s="2" t="n"/>
    </row>
    <row r="7">
      <c r="A7" s="3" t="inlineStr">
        <is>
          <t>סיכום</t>
        </is>
      </c>
    </row>
    <row r="8">
      <c r="A8" s="4" t="inlineStr">
        <is>
          <t>סה"כ פריטים תואמים</t>
        </is>
      </c>
      <c r="B8" s="31" t="n"/>
      <c r="C8" s="32" t="n"/>
      <c r="D8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4" t="inlineStr">
        <is>
          <t>כמות תקין לגמרי</t>
        </is>
      </c>
      <c r="B9" s="31" t="n"/>
      <c r="C9" s="32" t="n"/>
      <c r="D9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4" t="inlineStr">
        <is>
          <t>כמות תקין ויזואלית בלבד</t>
        </is>
      </c>
      <c r="B10" s="31" t="n"/>
      <c r="C10" s="32" t="n"/>
      <c r="D10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4" t="inlineStr">
        <is>
          <t>כמות תקין תרמית בלבד</t>
        </is>
      </c>
      <c r="B11" s="31" t="n"/>
      <c r="C11" s="32" t="n"/>
      <c r="D11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4" t="inlineStr">
        <is>
          <t>כמות במלאי</t>
        </is>
      </c>
      <c r="B12" s="31" t="n"/>
      <c r="C12" s="32" t="n"/>
      <c r="D12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טכנולוגיים'!$A$2:$A$500,0))&lt;=$G$6),0)))*(מלאי!$X$2:$X$500="במלאי"))</f>
        <v/>
      </c>
    </row>
    <row r="13">
      <c r="A13" s="4" t="inlineStr">
        <is>
          <t>כמות מושאלים</t>
        </is>
      </c>
      <c r="B13" s="31" t="n"/>
      <c r="C13" s="32" t="n"/>
      <c r="D13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טכנולוגיים'!$A$2:$A$500,0))&lt;=$G$6),0)))*(מלאי!$X$2:$X$500="מושאל"))</f>
        <v/>
      </c>
    </row>
    <row r="14">
      <c r="A14" s="4" t="inlineStr">
        <is>
          <t>כמות בחדר תצוגה</t>
        </is>
      </c>
      <c r="B14" s="31" t="n"/>
      <c r="C14" s="32" t="n"/>
      <c r="D14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טכנולוגיים'!$A$2:$A$500,0))&lt;=$G$6),0)))*(מלאי!$X$2:$X$500="בחדר תצוגה"))</f>
        <v/>
      </c>
    </row>
    <row r="15">
      <c r="A15" s="4" t="inlineStr">
        <is>
          <t>כמות בתיק הדגמה</t>
        </is>
      </c>
      <c r="B15" s="31" t="n"/>
      <c r="C15" s="32" t="n"/>
      <c r="D15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טכנולוגיים'!$A$2:$A$500,0))&lt;=$G$6),0)))*(מלאי!$X$2:$X$500="בתיק הדגמה"))</f>
        <v/>
      </c>
    </row>
    <row r="16">
      <c r="A16" s="4" t="inlineStr">
        <is>
          <t>כמות עם פער בתכולה</t>
        </is>
      </c>
      <c r="B16" s="31" t="n"/>
      <c r="C16" s="32" t="n"/>
      <c r="D16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טכנולוגיים'!$A$2:$A$500,0))&lt;=$G$6),0)))*(מלאי!$AD$2:$AD$500="כן"))</f>
        <v/>
      </c>
    </row>
    <row r="17">
      <c r="A17" s="4" t="inlineStr">
        <is>
          <t>כמות גרסה מיוחדת - פיתוח</t>
        </is>
      </c>
      <c r="B17" s="31" t="n"/>
      <c r="C17" s="32" t="n"/>
      <c r="D17" s="5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טכנולוגיים'!$A$2:$A$500,0))&lt;=$G$6),0)))*(מלאי!$J$2:$J$500="כן"))</f>
        <v/>
      </c>
    </row>
    <row r="18">
      <c r="A18" s="4" t="inlineStr">
        <is>
          <t>תקינים ויזואלית אך הדפס לא מתאים לסביבה</t>
        </is>
      </c>
      <c r="B18" s="31" t="n"/>
      <c r="C18" s="32" t="n"/>
      <c r="D18" s="5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$A$2="הכל",FALSE,(מלאי!$Q$2:$Q$500&lt;&gt;$A$2)*(מלאי!$R$2:$R$500&lt;&gt;$A$2)*(מלאי!$S$2:$S$500&lt;&gt;$A$2)*(מלאי!$T$2:$T$500&lt;&gt;$A$2)))*((מלאי!$O$2:$O$500="כן")+(מלאי!$P$2:$P$500="כן")&gt;0)))</f>
        <v/>
      </c>
    </row>
    <row r="19">
      <c r="A19" s="4" t="inlineStr">
        <is>
          <t>פירוט הדפסים שאינם מתאימים</t>
        </is>
      </c>
      <c r="B19" s="31" t="n"/>
      <c r="C19" s="32" t="n"/>
      <c r="D19" s="6">
        <f>IF($A$2="הכל","—",IFERROR(TEXTJOIN(", ",TRUE,UNIQUE(FILTER(מלאי!$M$2:$M$500,(מלאי!$D$2:$D$500&lt;&gt;"")*(IF($A$2="הכל",FALSE,(מלאי!$Q$2:$Q$500&lt;&gt;$A$2)*(מלאי!$R$2:$R$500&lt;&gt;$A$2)*(מלאי!$S$2:$S$500&lt;&gt;$A$2)*(מלאי!$T$2:$T$500&lt;&gt;$A$2)))*((מלאי!$O$2:$O$500="כן")+(מלאי!$P$2:$P$500="כן")&gt;0)))),""))</f>
        <v/>
      </c>
      <c r="E19" s="31" t="n"/>
      <c r="F19" s="31" t="n"/>
      <c r="G19" s="31" t="n"/>
      <c r="H19" s="31" t="n"/>
      <c r="I19" s="31" t="n"/>
      <c r="J19" s="32" t="n"/>
    </row>
    <row r="21">
      <c r="A21" s="3" t="inlineStr">
        <is>
          <t>פירוט פריטים מסוננים</t>
        </is>
      </c>
    </row>
    <row r="22">
      <c r="A22" s="7" t="inlineStr">
        <is>
          <t>מזהה</t>
        </is>
      </c>
      <c r="B22" s="7" t="inlineStr">
        <is>
          <t>שם מוצר</t>
        </is>
      </c>
      <c r="C22" s="7" t="inlineStr">
        <is>
          <t>גרסה</t>
        </is>
      </c>
      <c r="D22" s="7" t="inlineStr">
        <is>
          <t>סוג בד</t>
        </is>
      </c>
      <c r="E22" s="7" t="inlineStr">
        <is>
          <t>הדפס A</t>
        </is>
      </c>
      <c r="F22" s="7" t="inlineStr">
        <is>
          <t>הדפס B</t>
        </is>
      </c>
      <c r="G22" s="7" t="inlineStr">
        <is>
          <t>תקין ויזואלי</t>
        </is>
      </c>
      <c r="H22" s="7" t="inlineStr">
        <is>
          <t>תקין תרמי</t>
        </is>
      </c>
      <c r="I22" s="7" t="inlineStr">
        <is>
          <t>סטטוס</t>
        </is>
      </c>
      <c r="J22" s="7" t="inlineStr">
        <is>
          <t>הערות</t>
        </is>
      </c>
      <c r="K22" s="7" t="inlineStr">
        <is>
          <t>row_ref</t>
        </is>
      </c>
      <c r="L22" s="7" t="inlineStr">
        <is>
          <t>נובל</t>
        </is>
      </c>
      <c r="M22" s="7" t="inlineStr">
        <is>
          <t>MWIR A</t>
        </is>
      </c>
      <c r="N22" s="7" t="inlineStr">
        <is>
          <t>MWIR B</t>
        </is>
      </c>
      <c r="O22" s="7" t="inlineStr">
        <is>
          <t>LWIR A</t>
        </is>
      </c>
      <c r="P22" s="7" t="inlineStr">
        <is>
          <t>LWIR B</t>
        </is>
      </c>
      <c r="Q22" s="7" t="inlineStr">
        <is>
          <t>ממוצע משולב</t>
        </is>
      </c>
    </row>
    <row r="23">
      <c r="A23" s="8">
        <f>IF($K23="","",INDEX(מלאי!$D$2:$D$500,$K23))</f>
        <v/>
      </c>
      <c r="B23" s="8">
        <f>IF($K23="","",INDEX(מלאי!$B$2:$B$500,$K23))</f>
        <v/>
      </c>
      <c r="C23" s="8">
        <f>IF($K23="","",INDEX(מלאי!$C$2:$C$500,$K23))</f>
        <v/>
      </c>
      <c r="D23" s="8">
        <f>IF($K23="","",INDEX(מלאי!$G$2:$G$500,$K23))</f>
        <v/>
      </c>
      <c r="E23" s="8">
        <f>IF($K23="","",INDEX(מלאי!$M$2:$M$500,$K23))</f>
        <v/>
      </c>
      <c r="F23" s="8">
        <f>IF($K23="","",INDEX(מלאי!$N$2:$N$500,$K23))</f>
        <v/>
      </c>
      <c r="G23" s="8">
        <f>IF($K23="","",INDEX(מלאי!$O$2:$O$500,$K23))</f>
        <v/>
      </c>
      <c r="H23" s="8">
        <f>IF($K23="","",INDEX(מלאי!$U$2:$U$500,$K23))</f>
        <v/>
      </c>
      <c r="I23" s="8">
        <f>IF($K23="","",INDEX(מלאי!$X$2:$X$500,$K23))</f>
        <v/>
      </c>
      <c r="J23" s="8">
        <f>IF($K23="","",INDEX(מלאי!$AC$2:$AC$500,$K23))</f>
        <v/>
      </c>
      <c r="K2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טכנולוגיים'!$A$2:$A$500,0))&lt;=$G$6),0))),ROW(מלאי!$A$2:$A$500)-ROW(מלאי!$A$2)+1,""),1),"")</f>
        <v/>
      </c>
      <c r="L23" s="8">
        <f>IF($K23="","",IFERROR(INDEX('ערכים טכנולוגיים'!$M$2:$M$500,MATCH(A23,'ערכים טכנולוגיים'!$A$2:$A$500,0)),""))</f>
        <v/>
      </c>
      <c r="M23" s="8">
        <f>IF($K23="","",IFERROR(INDEX('ערכים טכנולוגיים'!$F$2:$F$500,MATCH(A23,'ערכים טכנולוגיים'!$A$2:$A$500,0)),""))</f>
        <v/>
      </c>
      <c r="N23" s="8">
        <f>IF($K23="","",IFERROR(INDEX('ערכים טכנולוגיים'!$J$2:$J$500,MATCH(A23,'ערכים טכנולוגיים'!$A$2:$A$500,0)),""))</f>
        <v/>
      </c>
      <c r="O23" s="8">
        <f>IF($K23="","",IFERROR(INDEX('ערכים טכנולוגיים'!$G$2:$G$500,MATCH(A23,'ערכים טכנולוגיים'!$A$2:$A$500,0)),""))</f>
        <v/>
      </c>
      <c r="P23" s="8">
        <f>IF($K23="","",IFERROR(INDEX('ערכים טכנולוגיים'!$K$2:$K$500,MATCH(A23,'ערכים טכנולוגיים'!$A$2:$A$500,0)),""))</f>
        <v/>
      </c>
      <c r="Q23" s="8">
        <f>IF($K23="","",IFERROR(INDEX('ערכים טכנולוגיים'!$P$2:$P$500,MATCH(A23,'ערכים טכנולוגיים'!$A$2:$A$500,0)),""))</f>
        <v/>
      </c>
    </row>
    <row r="24">
      <c r="A24" s="9">
        <f>IF($K24="","",INDEX(מלאי!$D$2:$D$500,$K24))</f>
        <v/>
      </c>
      <c r="B24" s="9">
        <f>IF($K24="","",INDEX(מלאי!$B$2:$B$500,$K24))</f>
        <v/>
      </c>
      <c r="C24" s="9">
        <f>IF($K24="","",INDEX(מלאי!$C$2:$C$500,$K24))</f>
        <v/>
      </c>
      <c r="D24" s="9">
        <f>IF($K24="","",INDEX(מלאי!$G$2:$G$500,$K24))</f>
        <v/>
      </c>
      <c r="E24" s="9">
        <f>IF($K24="","",INDEX(מלאי!$M$2:$M$500,$K24))</f>
        <v/>
      </c>
      <c r="F24" s="9">
        <f>IF($K24="","",INDEX(מלאי!$N$2:$N$500,$K24))</f>
        <v/>
      </c>
      <c r="G24" s="9">
        <f>IF($K24="","",INDEX(מלאי!$O$2:$O$500,$K24))</f>
        <v/>
      </c>
      <c r="H24" s="9">
        <f>IF($K24="","",INDEX(מלאי!$U$2:$U$500,$K24))</f>
        <v/>
      </c>
      <c r="I24" s="9">
        <f>IF($K24="","",INDEX(מלאי!$X$2:$X$500,$K24))</f>
        <v/>
      </c>
      <c r="J24" s="9">
        <f>IF($K24="","",INDEX(מלאי!$AC$2:$AC$500,$K24))</f>
        <v/>
      </c>
      <c r="K2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טכנולוגיים'!$A$2:$A$500,0))&lt;=$G$6),0))),ROW(מלאי!$A$2:$A$500)-ROW(מלאי!$A$2)+1,""),2),"")</f>
        <v/>
      </c>
      <c r="L24" s="9">
        <f>IF($K24="","",IFERROR(INDEX('ערכים טכנולוגיים'!$M$2:$M$500,MATCH(A24,'ערכים טכנולוגיים'!$A$2:$A$500,0)),""))</f>
        <v/>
      </c>
      <c r="M24" s="9">
        <f>IF($K24="","",IFERROR(INDEX('ערכים טכנולוגיים'!$F$2:$F$500,MATCH(A24,'ערכים טכנולוגיים'!$A$2:$A$500,0)),""))</f>
        <v/>
      </c>
      <c r="N24" s="9">
        <f>IF($K24="","",IFERROR(INDEX('ערכים טכנולוגיים'!$J$2:$J$500,MATCH(A24,'ערכים טכנולוגיים'!$A$2:$A$500,0)),""))</f>
        <v/>
      </c>
      <c r="O24" s="9">
        <f>IF($K24="","",IFERROR(INDEX('ערכים טכנולוגיים'!$G$2:$G$500,MATCH(A24,'ערכים טכנולוגיים'!$A$2:$A$500,0)),""))</f>
        <v/>
      </c>
      <c r="P24" s="9">
        <f>IF($K24="","",IFERROR(INDEX('ערכים טכנולוגיים'!$K$2:$K$500,MATCH(A24,'ערכים טכנולוגיים'!$A$2:$A$500,0)),""))</f>
        <v/>
      </c>
      <c r="Q24" s="9">
        <f>IF($K24="","",IFERROR(INDEX('ערכים טכנולוגיים'!$P$2:$P$500,MATCH(A24,'ערכים טכנולוגיים'!$A$2:$A$500,0)),""))</f>
        <v/>
      </c>
    </row>
    <row r="25">
      <c r="A25" s="8">
        <f>IF($K25="","",INDEX(מלאי!$D$2:$D$500,$K25))</f>
        <v/>
      </c>
      <c r="B25" s="8">
        <f>IF($K25="","",INDEX(מלאי!$B$2:$B$500,$K25))</f>
        <v/>
      </c>
      <c r="C25" s="8">
        <f>IF($K25="","",INDEX(מלאי!$C$2:$C$500,$K25))</f>
        <v/>
      </c>
      <c r="D25" s="8">
        <f>IF($K25="","",INDEX(מלאי!$G$2:$G$500,$K25))</f>
        <v/>
      </c>
      <c r="E25" s="8">
        <f>IF($K25="","",INDEX(מלאי!$M$2:$M$500,$K25))</f>
        <v/>
      </c>
      <c r="F25" s="8">
        <f>IF($K25="","",INDEX(מלאי!$N$2:$N$500,$K25))</f>
        <v/>
      </c>
      <c r="G25" s="8">
        <f>IF($K25="","",INDEX(מלאי!$O$2:$O$500,$K25))</f>
        <v/>
      </c>
      <c r="H25" s="8">
        <f>IF($K25="","",INDEX(מלאי!$U$2:$U$500,$K25))</f>
        <v/>
      </c>
      <c r="I25" s="8">
        <f>IF($K25="","",INDEX(מלאי!$X$2:$X$500,$K25))</f>
        <v/>
      </c>
      <c r="J25" s="8">
        <f>IF($K25="","",INDEX(מלאי!$AC$2:$AC$500,$K25))</f>
        <v/>
      </c>
      <c r="K2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טכנולוגיים'!$A$2:$A$500,0))&lt;=$G$6),0))),ROW(מלאי!$A$2:$A$500)-ROW(מלאי!$A$2)+1,""),3),"")</f>
        <v/>
      </c>
      <c r="L25" s="8">
        <f>IF($K25="","",IFERROR(INDEX('ערכים טכנולוגיים'!$M$2:$M$500,MATCH(A25,'ערכים טכנולוגיים'!$A$2:$A$500,0)),""))</f>
        <v/>
      </c>
      <c r="M25" s="8">
        <f>IF($K25="","",IFERROR(INDEX('ערכים טכנולוגיים'!$F$2:$F$500,MATCH(A25,'ערכים טכנולוגיים'!$A$2:$A$500,0)),""))</f>
        <v/>
      </c>
      <c r="N25" s="8">
        <f>IF($K25="","",IFERROR(INDEX('ערכים טכנולוגיים'!$J$2:$J$500,MATCH(A25,'ערכים טכנולוגיים'!$A$2:$A$500,0)),""))</f>
        <v/>
      </c>
      <c r="O25" s="8">
        <f>IF($K25="","",IFERROR(INDEX('ערכים טכנולוגיים'!$G$2:$G$500,MATCH(A25,'ערכים טכנולוגיים'!$A$2:$A$500,0)),""))</f>
        <v/>
      </c>
      <c r="P25" s="8">
        <f>IF($K25="","",IFERROR(INDEX('ערכים טכנולוגיים'!$K$2:$K$500,MATCH(A25,'ערכים טכנולוגיים'!$A$2:$A$500,0)),""))</f>
        <v/>
      </c>
      <c r="Q25" s="8">
        <f>IF($K25="","",IFERROR(INDEX('ערכים טכנולוגיים'!$P$2:$P$500,MATCH(A25,'ערכים טכנולוגיים'!$A$2:$A$500,0)),""))</f>
        <v/>
      </c>
    </row>
    <row r="26">
      <c r="A26" s="9">
        <f>IF($K26="","",INDEX(מלאי!$D$2:$D$500,$K26))</f>
        <v/>
      </c>
      <c r="B26" s="9">
        <f>IF($K26="","",INDEX(מלאי!$B$2:$B$500,$K26))</f>
        <v/>
      </c>
      <c r="C26" s="9">
        <f>IF($K26="","",INDEX(מלאי!$C$2:$C$500,$K26))</f>
        <v/>
      </c>
      <c r="D26" s="9">
        <f>IF($K26="","",INDEX(מלאי!$G$2:$G$500,$K26))</f>
        <v/>
      </c>
      <c r="E26" s="9">
        <f>IF($K26="","",INDEX(מלאי!$M$2:$M$500,$K26))</f>
        <v/>
      </c>
      <c r="F26" s="9">
        <f>IF($K26="","",INDEX(מלאי!$N$2:$N$500,$K26))</f>
        <v/>
      </c>
      <c r="G26" s="9">
        <f>IF($K26="","",INDEX(מלאי!$O$2:$O$500,$K26))</f>
        <v/>
      </c>
      <c r="H26" s="9">
        <f>IF($K26="","",INDEX(מלאי!$U$2:$U$500,$K26))</f>
        <v/>
      </c>
      <c r="I26" s="9">
        <f>IF($K26="","",INDEX(מלאי!$X$2:$X$500,$K26))</f>
        <v/>
      </c>
      <c r="J26" s="9">
        <f>IF($K26="","",INDEX(מלאי!$AC$2:$AC$500,$K26))</f>
        <v/>
      </c>
      <c r="K2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טכנולוגיים'!$A$2:$A$500,0))&lt;=$G$6),0))),ROW(מלאי!$A$2:$A$500)-ROW(מלאי!$A$2)+1,""),4),"")</f>
        <v/>
      </c>
      <c r="L26" s="9">
        <f>IF($K26="","",IFERROR(INDEX('ערכים טכנולוגיים'!$M$2:$M$500,MATCH(A26,'ערכים טכנולוגיים'!$A$2:$A$500,0)),""))</f>
        <v/>
      </c>
      <c r="M26" s="9">
        <f>IF($K26="","",IFERROR(INDEX('ערכים טכנולוגיים'!$F$2:$F$500,MATCH(A26,'ערכים טכנולוגיים'!$A$2:$A$500,0)),""))</f>
        <v/>
      </c>
      <c r="N26" s="9">
        <f>IF($K26="","",IFERROR(INDEX('ערכים טכנולוגיים'!$J$2:$J$500,MATCH(A26,'ערכים טכנולוגיים'!$A$2:$A$500,0)),""))</f>
        <v/>
      </c>
      <c r="O26" s="9">
        <f>IF($K26="","",IFERROR(INDEX('ערכים טכנולוגיים'!$G$2:$G$500,MATCH(A26,'ערכים טכנולוגיים'!$A$2:$A$500,0)),""))</f>
        <v/>
      </c>
      <c r="P26" s="9">
        <f>IF($K26="","",IFERROR(INDEX('ערכים טכנולוגיים'!$K$2:$K$500,MATCH(A26,'ערכים טכנולוגיים'!$A$2:$A$500,0)),""))</f>
        <v/>
      </c>
      <c r="Q26" s="9">
        <f>IF($K26="","",IFERROR(INDEX('ערכים טכנולוגיים'!$P$2:$P$500,MATCH(A26,'ערכים טכנולוגיים'!$A$2:$A$500,0)),""))</f>
        <v/>
      </c>
    </row>
    <row r="27">
      <c r="A27" s="8">
        <f>IF($K27="","",INDEX(מלאי!$D$2:$D$500,$K27))</f>
        <v/>
      </c>
      <c r="B27" s="8">
        <f>IF($K27="","",INDEX(מלאי!$B$2:$B$500,$K27))</f>
        <v/>
      </c>
      <c r="C27" s="8">
        <f>IF($K27="","",INDEX(מלאי!$C$2:$C$500,$K27))</f>
        <v/>
      </c>
      <c r="D27" s="8">
        <f>IF($K27="","",INDEX(מלאי!$G$2:$G$500,$K27))</f>
        <v/>
      </c>
      <c r="E27" s="8">
        <f>IF($K27="","",INDEX(מלאי!$M$2:$M$500,$K27))</f>
        <v/>
      </c>
      <c r="F27" s="8">
        <f>IF($K27="","",INDEX(מלאי!$N$2:$N$500,$K27))</f>
        <v/>
      </c>
      <c r="G27" s="8">
        <f>IF($K27="","",INDEX(מלאי!$O$2:$O$500,$K27))</f>
        <v/>
      </c>
      <c r="H27" s="8">
        <f>IF($K27="","",INDEX(מלאי!$U$2:$U$500,$K27))</f>
        <v/>
      </c>
      <c r="I27" s="8">
        <f>IF($K27="","",INDEX(מלאי!$X$2:$X$500,$K27))</f>
        <v/>
      </c>
      <c r="J27" s="8">
        <f>IF($K27="","",INDEX(מלאי!$AC$2:$AC$500,$K27))</f>
        <v/>
      </c>
      <c r="K2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טכנולוגיים'!$A$2:$A$500,0))&lt;=$G$6),0))),ROW(מלאי!$A$2:$A$500)-ROW(מלאי!$A$2)+1,""),5),"")</f>
        <v/>
      </c>
      <c r="L27" s="8">
        <f>IF($K27="","",IFERROR(INDEX('ערכים טכנולוגיים'!$M$2:$M$500,MATCH(A27,'ערכים טכנולוגיים'!$A$2:$A$500,0)),""))</f>
        <v/>
      </c>
      <c r="M27" s="8">
        <f>IF($K27="","",IFERROR(INDEX('ערכים טכנולוגיים'!$F$2:$F$500,MATCH(A27,'ערכים טכנולוגיים'!$A$2:$A$500,0)),""))</f>
        <v/>
      </c>
      <c r="N27" s="8">
        <f>IF($K27="","",IFERROR(INDEX('ערכים טכנולוגיים'!$J$2:$J$500,MATCH(A27,'ערכים טכנולוגיים'!$A$2:$A$500,0)),""))</f>
        <v/>
      </c>
      <c r="O27" s="8">
        <f>IF($K27="","",IFERROR(INDEX('ערכים טכנולוגיים'!$G$2:$G$500,MATCH(A27,'ערכים טכנולוגיים'!$A$2:$A$500,0)),""))</f>
        <v/>
      </c>
      <c r="P27" s="8">
        <f>IF($K27="","",IFERROR(INDEX('ערכים טכנולוגיים'!$K$2:$K$500,MATCH(A27,'ערכים טכנולוגיים'!$A$2:$A$500,0)),""))</f>
        <v/>
      </c>
      <c r="Q27" s="8">
        <f>IF($K27="","",IFERROR(INDEX('ערכים טכנולוגיים'!$P$2:$P$500,MATCH(A27,'ערכים טכנולוגיים'!$A$2:$A$500,0)),""))</f>
        <v/>
      </c>
    </row>
    <row r="28">
      <c r="A28" s="9">
        <f>IF($K28="","",INDEX(מלאי!$D$2:$D$500,$K28))</f>
        <v/>
      </c>
      <c r="B28" s="9">
        <f>IF($K28="","",INDEX(מלאי!$B$2:$B$500,$K28))</f>
        <v/>
      </c>
      <c r="C28" s="9">
        <f>IF($K28="","",INDEX(מלאי!$C$2:$C$500,$K28))</f>
        <v/>
      </c>
      <c r="D28" s="9">
        <f>IF($K28="","",INDEX(מלאי!$G$2:$G$500,$K28))</f>
        <v/>
      </c>
      <c r="E28" s="9">
        <f>IF($K28="","",INDEX(מלאי!$M$2:$M$500,$K28))</f>
        <v/>
      </c>
      <c r="F28" s="9">
        <f>IF($K28="","",INDEX(מלאי!$N$2:$N$500,$K28))</f>
        <v/>
      </c>
      <c r="G28" s="9">
        <f>IF($K28="","",INDEX(מלאי!$O$2:$O$500,$K28))</f>
        <v/>
      </c>
      <c r="H28" s="9">
        <f>IF($K28="","",INDEX(מלאי!$U$2:$U$500,$K28))</f>
        <v/>
      </c>
      <c r="I28" s="9">
        <f>IF($K28="","",INDEX(מלאי!$X$2:$X$500,$K28))</f>
        <v/>
      </c>
      <c r="J28" s="9">
        <f>IF($K28="","",INDEX(מלאי!$AC$2:$AC$500,$K28))</f>
        <v/>
      </c>
      <c r="K2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טכנולוגיים'!$A$2:$A$500,0))&lt;=$G$6),0))),ROW(מלאי!$A$2:$A$500)-ROW(מלאי!$A$2)+1,""),6),"")</f>
        <v/>
      </c>
      <c r="L28" s="9">
        <f>IF($K28="","",IFERROR(INDEX('ערכים טכנולוגיים'!$M$2:$M$500,MATCH(A28,'ערכים טכנולוגיים'!$A$2:$A$500,0)),""))</f>
        <v/>
      </c>
      <c r="M28" s="9">
        <f>IF($K28="","",IFERROR(INDEX('ערכים טכנולוגיים'!$F$2:$F$500,MATCH(A28,'ערכים טכנולוגיים'!$A$2:$A$500,0)),""))</f>
        <v/>
      </c>
      <c r="N28" s="9">
        <f>IF($K28="","",IFERROR(INDEX('ערכים טכנולוגיים'!$J$2:$J$500,MATCH(A28,'ערכים טכנולוגיים'!$A$2:$A$500,0)),""))</f>
        <v/>
      </c>
      <c r="O28" s="9">
        <f>IF($K28="","",IFERROR(INDEX('ערכים טכנולוגיים'!$G$2:$G$500,MATCH(A28,'ערכים טכנולוגיים'!$A$2:$A$500,0)),""))</f>
        <v/>
      </c>
      <c r="P28" s="9">
        <f>IF($K28="","",IFERROR(INDEX('ערכים טכנולוגיים'!$K$2:$K$500,MATCH(A28,'ערכים טכנולוגיים'!$A$2:$A$500,0)),""))</f>
        <v/>
      </c>
      <c r="Q28" s="9">
        <f>IF($K28="","",IFERROR(INDEX('ערכים טכנולוגיים'!$P$2:$P$500,MATCH(A28,'ערכים טכנולוגיים'!$A$2:$A$500,0)),""))</f>
        <v/>
      </c>
    </row>
    <row r="29">
      <c r="A29" s="8">
        <f>IF($K29="","",INDEX(מלאי!$D$2:$D$500,$K29))</f>
        <v/>
      </c>
      <c r="B29" s="8">
        <f>IF($K29="","",INDEX(מלאי!$B$2:$B$500,$K29))</f>
        <v/>
      </c>
      <c r="C29" s="8">
        <f>IF($K29="","",INDEX(מלאי!$C$2:$C$500,$K29))</f>
        <v/>
      </c>
      <c r="D29" s="8">
        <f>IF($K29="","",INDEX(מלאי!$G$2:$G$500,$K29))</f>
        <v/>
      </c>
      <c r="E29" s="8">
        <f>IF($K29="","",INDEX(מלאי!$M$2:$M$500,$K29))</f>
        <v/>
      </c>
      <c r="F29" s="8">
        <f>IF($K29="","",INDEX(מלאי!$N$2:$N$500,$K29))</f>
        <v/>
      </c>
      <c r="G29" s="8">
        <f>IF($K29="","",INDEX(מלאי!$O$2:$O$500,$K29))</f>
        <v/>
      </c>
      <c r="H29" s="8">
        <f>IF($K29="","",INDEX(מלאי!$U$2:$U$500,$K29))</f>
        <v/>
      </c>
      <c r="I29" s="8">
        <f>IF($K29="","",INDEX(מלאי!$X$2:$X$500,$K29))</f>
        <v/>
      </c>
      <c r="J29" s="8">
        <f>IF($K29="","",INDEX(מלאי!$AC$2:$AC$500,$K29))</f>
        <v/>
      </c>
      <c r="K2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טכנולוגיים'!$A$2:$A$500,0))&lt;=$G$6),0))),ROW(מלאי!$A$2:$A$500)-ROW(מלאי!$A$2)+1,""),7),"")</f>
        <v/>
      </c>
      <c r="L29" s="8">
        <f>IF($K29="","",IFERROR(INDEX('ערכים טכנולוגיים'!$M$2:$M$500,MATCH(A29,'ערכים טכנולוגיים'!$A$2:$A$500,0)),""))</f>
        <v/>
      </c>
      <c r="M29" s="8">
        <f>IF($K29="","",IFERROR(INDEX('ערכים טכנולוגיים'!$F$2:$F$500,MATCH(A29,'ערכים טכנולוגיים'!$A$2:$A$500,0)),""))</f>
        <v/>
      </c>
      <c r="N29" s="8">
        <f>IF($K29="","",IFERROR(INDEX('ערכים טכנולוגיים'!$J$2:$J$500,MATCH(A29,'ערכים טכנולוגיים'!$A$2:$A$500,0)),""))</f>
        <v/>
      </c>
      <c r="O29" s="8">
        <f>IF($K29="","",IFERROR(INDEX('ערכים טכנולוגיים'!$G$2:$G$500,MATCH(A29,'ערכים טכנולוגיים'!$A$2:$A$500,0)),""))</f>
        <v/>
      </c>
      <c r="P29" s="8">
        <f>IF($K29="","",IFERROR(INDEX('ערכים טכנולוגיים'!$K$2:$K$500,MATCH(A29,'ערכים טכנולוגיים'!$A$2:$A$500,0)),""))</f>
        <v/>
      </c>
      <c r="Q29" s="8">
        <f>IF($K29="","",IFERROR(INDEX('ערכים טכנולוגיים'!$P$2:$P$500,MATCH(A29,'ערכים טכנולוגיים'!$A$2:$A$500,0)),""))</f>
        <v/>
      </c>
    </row>
    <row r="30">
      <c r="A30" s="9">
        <f>IF($K30="","",INDEX(מלאי!$D$2:$D$500,$K30))</f>
        <v/>
      </c>
      <c r="B30" s="9">
        <f>IF($K30="","",INDEX(מלאי!$B$2:$B$500,$K30))</f>
        <v/>
      </c>
      <c r="C30" s="9">
        <f>IF($K30="","",INDEX(מלאי!$C$2:$C$500,$K30))</f>
        <v/>
      </c>
      <c r="D30" s="9">
        <f>IF($K30="","",INDEX(מלאי!$G$2:$G$500,$K30))</f>
        <v/>
      </c>
      <c r="E30" s="9">
        <f>IF($K30="","",INDEX(מלאי!$M$2:$M$500,$K30))</f>
        <v/>
      </c>
      <c r="F30" s="9">
        <f>IF($K30="","",INDEX(מלאי!$N$2:$N$500,$K30))</f>
        <v/>
      </c>
      <c r="G30" s="9">
        <f>IF($K30="","",INDEX(מלאי!$O$2:$O$500,$K30))</f>
        <v/>
      </c>
      <c r="H30" s="9">
        <f>IF($K30="","",INDEX(מלאי!$U$2:$U$500,$K30))</f>
        <v/>
      </c>
      <c r="I30" s="9">
        <f>IF($K30="","",INDEX(מלאי!$X$2:$X$500,$K30))</f>
        <v/>
      </c>
      <c r="J30" s="9">
        <f>IF($K30="","",INDEX(מלאי!$AC$2:$AC$500,$K30))</f>
        <v/>
      </c>
      <c r="K3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טכנולוגיים'!$A$2:$A$500,0))&lt;=$G$6),0))),ROW(מלאי!$A$2:$A$500)-ROW(מלאי!$A$2)+1,""),8),"")</f>
        <v/>
      </c>
      <c r="L30" s="9">
        <f>IF($K30="","",IFERROR(INDEX('ערכים טכנולוגיים'!$M$2:$M$500,MATCH(A30,'ערכים טכנולוגיים'!$A$2:$A$500,0)),""))</f>
        <v/>
      </c>
      <c r="M30" s="9">
        <f>IF($K30="","",IFERROR(INDEX('ערכים טכנולוגיים'!$F$2:$F$500,MATCH(A30,'ערכים טכנולוגיים'!$A$2:$A$500,0)),""))</f>
        <v/>
      </c>
      <c r="N30" s="9">
        <f>IF($K30="","",IFERROR(INDEX('ערכים טכנולוגיים'!$J$2:$J$500,MATCH(A30,'ערכים טכנולוגיים'!$A$2:$A$500,0)),""))</f>
        <v/>
      </c>
      <c r="O30" s="9">
        <f>IF($K30="","",IFERROR(INDEX('ערכים טכנולוגיים'!$G$2:$G$500,MATCH(A30,'ערכים טכנולוגיים'!$A$2:$A$500,0)),""))</f>
        <v/>
      </c>
      <c r="P30" s="9">
        <f>IF($K30="","",IFERROR(INDEX('ערכים טכנולוגיים'!$K$2:$K$500,MATCH(A30,'ערכים טכנולוגיים'!$A$2:$A$500,0)),""))</f>
        <v/>
      </c>
      <c r="Q30" s="9">
        <f>IF($K30="","",IFERROR(INDEX('ערכים טכנולוגיים'!$P$2:$P$500,MATCH(A30,'ערכים טכנולוגיים'!$A$2:$A$500,0)),""))</f>
        <v/>
      </c>
    </row>
    <row r="31">
      <c r="A31" s="8">
        <f>IF($K31="","",INDEX(מלאי!$D$2:$D$500,$K31))</f>
        <v/>
      </c>
      <c r="B31" s="8">
        <f>IF($K31="","",INDEX(מלאי!$B$2:$B$500,$K31))</f>
        <v/>
      </c>
      <c r="C31" s="8">
        <f>IF($K31="","",INDEX(מלאי!$C$2:$C$500,$K31))</f>
        <v/>
      </c>
      <c r="D31" s="8">
        <f>IF($K31="","",INDEX(מלאי!$G$2:$G$500,$K31))</f>
        <v/>
      </c>
      <c r="E31" s="8">
        <f>IF($K31="","",INDEX(מלאי!$M$2:$M$500,$K31))</f>
        <v/>
      </c>
      <c r="F31" s="8">
        <f>IF($K31="","",INDEX(מלאי!$N$2:$N$500,$K31))</f>
        <v/>
      </c>
      <c r="G31" s="8">
        <f>IF($K31="","",INDEX(מלאי!$O$2:$O$500,$K31))</f>
        <v/>
      </c>
      <c r="H31" s="8">
        <f>IF($K31="","",INDEX(מלאי!$U$2:$U$500,$K31))</f>
        <v/>
      </c>
      <c r="I31" s="8">
        <f>IF($K31="","",INDEX(מלאי!$X$2:$X$500,$K31))</f>
        <v/>
      </c>
      <c r="J31" s="8">
        <f>IF($K31="","",INDEX(מלאי!$AC$2:$AC$500,$K31))</f>
        <v/>
      </c>
      <c r="K3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טכנולוגיים'!$A$2:$A$500,0))&lt;=$G$6),0))),ROW(מלאי!$A$2:$A$500)-ROW(מלאי!$A$2)+1,""),9),"")</f>
        <v/>
      </c>
      <c r="L31" s="8">
        <f>IF($K31="","",IFERROR(INDEX('ערכים טכנולוגיים'!$M$2:$M$500,MATCH(A31,'ערכים טכנולוגיים'!$A$2:$A$500,0)),""))</f>
        <v/>
      </c>
      <c r="M31" s="8">
        <f>IF($K31="","",IFERROR(INDEX('ערכים טכנולוגיים'!$F$2:$F$500,MATCH(A31,'ערכים טכנולוגיים'!$A$2:$A$500,0)),""))</f>
        <v/>
      </c>
      <c r="N31" s="8">
        <f>IF($K31="","",IFERROR(INDEX('ערכים טכנולוגיים'!$J$2:$J$500,MATCH(A31,'ערכים טכנולוגיים'!$A$2:$A$500,0)),""))</f>
        <v/>
      </c>
      <c r="O31" s="8">
        <f>IF($K31="","",IFERROR(INDEX('ערכים טכנולוגיים'!$G$2:$G$500,MATCH(A31,'ערכים טכנולוגיים'!$A$2:$A$500,0)),""))</f>
        <v/>
      </c>
      <c r="P31" s="8">
        <f>IF($K31="","",IFERROR(INDEX('ערכים טכנולוגיים'!$K$2:$K$500,MATCH(A31,'ערכים טכנולוגיים'!$A$2:$A$500,0)),""))</f>
        <v/>
      </c>
      <c r="Q31" s="8">
        <f>IF($K31="","",IFERROR(INDEX('ערכים טכנולוגיים'!$P$2:$P$500,MATCH(A31,'ערכים טכנולוגיים'!$A$2:$A$500,0)),""))</f>
        <v/>
      </c>
    </row>
    <row r="32">
      <c r="A32" s="9">
        <f>IF($K32="","",INDEX(מלאי!$D$2:$D$500,$K32))</f>
        <v/>
      </c>
      <c r="B32" s="9">
        <f>IF($K32="","",INDEX(מלאי!$B$2:$B$500,$K32))</f>
        <v/>
      </c>
      <c r="C32" s="9">
        <f>IF($K32="","",INDEX(מלאי!$C$2:$C$500,$K32))</f>
        <v/>
      </c>
      <c r="D32" s="9">
        <f>IF($K32="","",INDEX(מלאי!$G$2:$G$500,$K32))</f>
        <v/>
      </c>
      <c r="E32" s="9">
        <f>IF($K32="","",INDEX(מלאי!$M$2:$M$500,$K32))</f>
        <v/>
      </c>
      <c r="F32" s="9">
        <f>IF($K32="","",INDEX(מלאי!$N$2:$N$500,$K32))</f>
        <v/>
      </c>
      <c r="G32" s="9">
        <f>IF($K32="","",INDEX(מלאי!$O$2:$O$500,$K32))</f>
        <v/>
      </c>
      <c r="H32" s="9">
        <f>IF($K32="","",INDEX(מלאי!$U$2:$U$500,$K32))</f>
        <v/>
      </c>
      <c r="I32" s="9">
        <f>IF($K32="","",INDEX(מלאי!$X$2:$X$500,$K32))</f>
        <v/>
      </c>
      <c r="J32" s="9">
        <f>IF($K32="","",INDEX(מלאי!$AC$2:$AC$500,$K32))</f>
        <v/>
      </c>
      <c r="K3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טכנולוגיים'!$A$2:$A$500,0))&lt;=$G$6),0))),ROW(מלאי!$A$2:$A$500)-ROW(מלאי!$A$2)+1,""),10),"")</f>
        <v/>
      </c>
      <c r="L32" s="9">
        <f>IF($K32="","",IFERROR(INDEX('ערכים טכנולוגיים'!$M$2:$M$500,MATCH(A32,'ערכים טכנולוגיים'!$A$2:$A$500,0)),""))</f>
        <v/>
      </c>
      <c r="M32" s="9">
        <f>IF($K32="","",IFERROR(INDEX('ערכים טכנולוגיים'!$F$2:$F$500,MATCH(A32,'ערכים טכנולוגיים'!$A$2:$A$500,0)),""))</f>
        <v/>
      </c>
      <c r="N32" s="9">
        <f>IF($K32="","",IFERROR(INDEX('ערכים טכנולוגיים'!$J$2:$J$500,MATCH(A32,'ערכים טכנולוגיים'!$A$2:$A$500,0)),""))</f>
        <v/>
      </c>
      <c r="O32" s="9">
        <f>IF($K32="","",IFERROR(INDEX('ערכים טכנולוגיים'!$G$2:$G$500,MATCH(A32,'ערכים טכנולוגיים'!$A$2:$A$500,0)),""))</f>
        <v/>
      </c>
      <c r="P32" s="9">
        <f>IF($K32="","",IFERROR(INDEX('ערכים טכנולוגיים'!$K$2:$K$500,MATCH(A32,'ערכים טכנולוגיים'!$A$2:$A$500,0)),""))</f>
        <v/>
      </c>
      <c r="Q32" s="9">
        <f>IF($K32="","",IFERROR(INDEX('ערכים טכנולוגיים'!$P$2:$P$500,MATCH(A32,'ערכים טכנולוגיים'!$A$2:$A$500,0)),""))</f>
        <v/>
      </c>
    </row>
    <row r="33">
      <c r="A33" s="8">
        <f>IF($K33="","",INDEX(מלאי!$D$2:$D$500,$K33))</f>
        <v/>
      </c>
      <c r="B33" s="8">
        <f>IF($K33="","",INDEX(מלאי!$B$2:$B$500,$K33))</f>
        <v/>
      </c>
      <c r="C33" s="8">
        <f>IF($K33="","",INDEX(מלאי!$C$2:$C$500,$K33))</f>
        <v/>
      </c>
      <c r="D33" s="8">
        <f>IF($K33="","",INDEX(מלאי!$G$2:$G$500,$K33))</f>
        <v/>
      </c>
      <c r="E33" s="8">
        <f>IF($K33="","",INDEX(מלאי!$M$2:$M$500,$K33))</f>
        <v/>
      </c>
      <c r="F33" s="8">
        <f>IF($K33="","",INDEX(מלאי!$N$2:$N$500,$K33))</f>
        <v/>
      </c>
      <c r="G33" s="8">
        <f>IF($K33="","",INDEX(מלאי!$O$2:$O$500,$K33))</f>
        <v/>
      </c>
      <c r="H33" s="8">
        <f>IF($K33="","",INDEX(מלאי!$U$2:$U$500,$K33))</f>
        <v/>
      </c>
      <c r="I33" s="8">
        <f>IF($K33="","",INDEX(מלאי!$X$2:$X$500,$K33))</f>
        <v/>
      </c>
      <c r="J33" s="8">
        <f>IF($K33="","",INDEX(מלאי!$AC$2:$AC$500,$K33))</f>
        <v/>
      </c>
      <c r="K3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טכנולוגיים'!$A$2:$A$500,0))&lt;=$G$6),0))),ROW(מלאי!$A$2:$A$500)-ROW(מלאי!$A$2)+1,""),11),"")</f>
        <v/>
      </c>
      <c r="L33" s="8">
        <f>IF($K33="","",IFERROR(INDEX('ערכים טכנולוגיים'!$M$2:$M$500,MATCH(A33,'ערכים טכנולוגיים'!$A$2:$A$500,0)),""))</f>
        <v/>
      </c>
      <c r="M33" s="8">
        <f>IF($K33="","",IFERROR(INDEX('ערכים טכנולוגיים'!$F$2:$F$500,MATCH(A33,'ערכים טכנולוגיים'!$A$2:$A$500,0)),""))</f>
        <v/>
      </c>
      <c r="N33" s="8">
        <f>IF($K33="","",IFERROR(INDEX('ערכים טכנולוגיים'!$J$2:$J$500,MATCH(A33,'ערכים טכנולוגיים'!$A$2:$A$500,0)),""))</f>
        <v/>
      </c>
      <c r="O33" s="8">
        <f>IF($K33="","",IFERROR(INDEX('ערכים טכנולוגיים'!$G$2:$G$500,MATCH(A33,'ערכים טכנולוגיים'!$A$2:$A$500,0)),""))</f>
        <v/>
      </c>
      <c r="P33" s="8">
        <f>IF($K33="","",IFERROR(INDEX('ערכים טכנולוגיים'!$K$2:$K$500,MATCH(A33,'ערכים טכנולוגיים'!$A$2:$A$500,0)),""))</f>
        <v/>
      </c>
      <c r="Q33" s="8">
        <f>IF($K33="","",IFERROR(INDEX('ערכים טכנולוגיים'!$P$2:$P$500,MATCH(A33,'ערכים טכנולוגיים'!$A$2:$A$500,0)),""))</f>
        <v/>
      </c>
    </row>
    <row r="34">
      <c r="A34" s="9">
        <f>IF($K34="","",INDEX(מלאי!$D$2:$D$500,$K34))</f>
        <v/>
      </c>
      <c r="B34" s="9">
        <f>IF($K34="","",INDEX(מלאי!$B$2:$B$500,$K34))</f>
        <v/>
      </c>
      <c r="C34" s="9">
        <f>IF($K34="","",INDEX(מלאי!$C$2:$C$500,$K34))</f>
        <v/>
      </c>
      <c r="D34" s="9">
        <f>IF($K34="","",INDEX(מלאי!$G$2:$G$500,$K34))</f>
        <v/>
      </c>
      <c r="E34" s="9">
        <f>IF($K34="","",INDEX(מלאי!$M$2:$M$500,$K34))</f>
        <v/>
      </c>
      <c r="F34" s="9">
        <f>IF($K34="","",INDEX(מלאי!$N$2:$N$500,$K34))</f>
        <v/>
      </c>
      <c r="G34" s="9">
        <f>IF($K34="","",INDEX(מלאי!$O$2:$O$500,$K34))</f>
        <v/>
      </c>
      <c r="H34" s="9">
        <f>IF($K34="","",INDEX(מלאי!$U$2:$U$500,$K34))</f>
        <v/>
      </c>
      <c r="I34" s="9">
        <f>IF($K34="","",INDEX(מלאי!$X$2:$X$500,$K34))</f>
        <v/>
      </c>
      <c r="J34" s="9">
        <f>IF($K34="","",INDEX(מלאי!$AC$2:$AC$500,$K34))</f>
        <v/>
      </c>
      <c r="K3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טכנולוגיים'!$A$2:$A$500,0))&lt;=$G$6),0))),ROW(מלאי!$A$2:$A$500)-ROW(מלאי!$A$2)+1,""),12),"")</f>
        <v/>
      </c>
      <c r="L34" s="9">
        <f>IF($K34="","",IFERROR(INDEX('ערכים טכנולוגיים'!$M$2:$M$500,MATCH(A34,'ערכים טכנולוגיים'!$A$2:$A$500,0)),""))</f>
        <v/>
      </c>
      <c r="M34" s="9">
        <f>IF($K34="","",IFERROR(INDEX('ערכים טכנולוגיים'!$F$2:$F$500,MATCH(A34,'ערכים טכנולוגיים'!$A$2:$A$500,0)),""))</f>
        <v/>
      </c>
      <c r="N34" s="9">
        <f>IF($K34="","",IFERROR(INDEX('ערכים טכנולוגיים'!$J$2:$J$500,MATCH(A34,'ערכים טכנולוגיים'!$A$2:$A$500,0)),""))</f>
        <v/>
      </c>
      <c r="O34" s="9">
        <f>IF($K34="","",IFERROR(INDEX('ערכים טכנולוגיים'!$G$2:$G$500,MATCH(A34,'ערכים טכנולוגיים'!$A$2:$A$500,0)),""))</f>
        <v/>
      </c>
      <c r="P34" s="9">
        <f>IF($K34="","",IFERROR(INDEX('ערכים טכנולוגיים'!$K$2:$K$500,MATCH(A34,'ערכים טכנולוגיים'!$A$2:$A$500,0)),""))</f>
        <v/>
      </c>
      <c r="Q34" s="9">
        <f>IF($K34="","",IFERROR(INDEX('ערכים טכנולוגיים'!$P$2:$P$500,MATCH(A34,'ערכים טכנולוגיים'!$A$2:$A$500,0)),""))</f>
        <v/>
      </c>
    </row>
    <row r="35">
      <c r="A35" s="8">
        <f>IF($K35="","",INDEX(מלאי!$D$2:$D$500,$K35))</f>
        <v/>
      </c>
      <c r="B35" s="8">
        <f>IF($K35="","",INDEX(מלאי!$B$2:$B$500,$K35))</f>
        <v/>
      </c>
      <c r="C35" s="8">
        <f>IF($K35="","",INDEX(מלאי!$C$2:$C$500,$K35))</f>
        <v/>
      </c>
      <c r="D35" s="8">
        <f>IF($K35="","",INDEX(מלאי!$G$2:$G$500,$K35))</f>
        <v/>
      </c>
      <c r="E35" s="8">
        <f>IF($K35="","",INDEX(מלאי!$M$2:$M$500,$K35))</f>
        <v/>
      </c>
      <c r="F35" s="8">
        <f>IF($K35="","",INDEX(מלאי!$N$2:$N$500,$K35))</f>
        <v/>
      </c>
      <c r="G35" s="8">
        <f>IF($K35="","",INDEX(מלאי!$O$2:$O$500,$K35))</f>
        <v/>
      </c>
      <c r="H35" s="8">
        <f>IF($K35="","",INDEX(מלאי!$U$2:$U$500,$K35))</f>
        <v/>
      </c>
      <c r="I35" s="8">
        <f>IF($K35="","",INDEX(מלאי!$X$2:$X$500,$K35))</f>
        <v/>
      </c>
      <c r="J35" s="8">
        <f>IF($K35="","",INDEX(מלאי!$AC$2:$AC$500,$K35))</f>
        <v/>
      </c>
      <c r="K3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טכנולוגיים'!$A$2:$A$500,0))&lt;=$G$6),0))),ROW(מלאי!$A$2:$A$500)-ROW(מלאי!$A$2)+1,""),13),"")</f>
        <v/>
      </c>
      <c r="L35" s="8">
        <f>IF($K35="","",IFERROR(INDEX('ערכים טכנולוגיים'!$M$2:$M$500,MATCH(A35,'ערכים טכנולוגיים'!$A$2:$A$500,0)),""))</f>
        <v/>
      </c>
      <c r="M35" s="8">
        <f>IF($K35="","",IFERROR(INDEX('ערכים טכנולוגיים'!$F$2:$F$500,MATCH(A35,'ערכים טכנולוגיים'!$A$2:$A$500,0)),""))</f>
        <v/>
      </c>
      <c r="N35" s="8">
        <f>IF($K35="","",IFERROR(INDEX('ערכים טכנולוגיים'!$J$2:$J$500,MATCH(A35,'ערכים טכנולוגיים'!$A$2:$A$500,0)),""))</f>
        <v/>
      </c>
      <c r="O35" s="8">
        <f>IF($K35="","",IFERROR(INDEX('ערכים טכנולוגיים'!$G$2:$G$500,MATCH(A35,'ערכים טכנולוגיים'!$A$2:$A$500,0)),""))</f>
        <v/>
      </c>
      <c r="P35" s="8">
        <f>IF($K35="","",IFERROR(INDEX('ערכים טכנולוגיים'!$K$2:$K$500,MATCH(A35,'ערכים טכנולוגיים'!$A$2:$A$500,0)),""))</f>
        <v/>
      </c>
      <c r="Q35" s="8">
        <f>IF($K35="","",IFERROR(INDEX('ערכים טכנולוגיים'!$P$2:$P$500,MATCH(A35,'ערכים טכנולוגיים'!$A$2:$A$500,0)),""))</f>
        <v/>
      </c>
    </row>
    <row r="36">
      <c r="A36" s="9">
        <f>IF($K36="","",INDEX(מלאי!$D$2:$D$500,$K36))</f>
        <v/>
      </c>
      <c r="B36" s="9">
        <f>IF($K36="","",INDEX(מלאי!$B$2:$B$500,$K36))</f>
        <v/>
      </c>
      <c r="C36" s="9">
        <f>IF($K36="","",INDEX(מלאי!$C$2:$C$500,$K36))</f>
        <v/>
      </c>
      <c r="D36" s="9">
        <f>IF($K36="","",INDEX(מלאי!$G$2:$G$500,$K36))</f>
        <v/>
      </c>
      <c r="E36" s="9">
        <f>IF($K36="","",INDEX(מלאי!$M$2:$M$500,$K36))</f>
        <v/>
      </c>
      <c r="F36" s="9">
        <f>IF($K36="","",INDEX(מלאי!$N$2:$N$500,$K36))</f>
        <v/>
      </c>
      <c r="G36" s="9">
        <f>IF($K36="","",INDEX(מלאי!$O$2:$O$500,$K36))</f>
        <v/>
      </c>
      <c r="H36" s="9">
        <f>IF($K36="","",INDEX(מלאי!$U$2:$U$500,$K36))</f>
        <v/>
      </c>
      <c r="I36" s="9">
        <f>IF($K36="","",INDEX(מלאי!$X$2:$X$500,$K36))</f>
        <v/>
      </c>
      <c r="J36" s="9">
        <f>IF($K36="","",INDEX(מלאי!$AC$2:$AC$500,$K36))</f>
        <v/>
      </c>
      <c r="K3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טכנולוגיים'!$A$2:$A$500,0))&lt;=$G$6),0))),ROW(מלאי!$A$2:$A$500)-ROW(מלאי!$A$2)+1,""),14),"")</f>
        <v/>
      </c>
      <c r="L36" s="9">
        <f>IF($K36="","",IFERROR(INDEX('ערכים טכנולוגיים'!$M$2:$M$500,MATCH(A36,'ערכים טכנולוגיים'!$A$2:$A$500,0)),""))</f>
        <v/>
      </c>
      <c r="M36" s="9">
        <f>IF($K36="","",IFERROR(INDEX('ערכים טכנולוגיים'!$F$2:$F$500,MATCH(A36,'ערכים טכנולוגיים'!$A$2:$A$500,0)),""))</f>
        <v/>
      </c>
      <c r="N36" s="9">
        <f>IF($K36="","",IFERROR(INDEX('ערכים טכנולוגיים'!$J$2:$J$500,MATCH(A36,'ערכים טכנולוגיים'!$A$2:$A$500,0)),""))</f>
        <v/>
      </c>
      <c r="O36" s="9">
        <f>IF($K36="","",IFERROR(INDEX('ערכים טכנולוגיים'!$G$2:$G$500,MATCH(A36,'ערכים טכנולוגיים'!$A$2:$A$500,0)),""))</f>
        <v/>
      </c>
      <c r="P36" s="9">
        <f>IF($K36="","",IFERROR(INDEX('ערכים טכנולוגיים'!$K$2:$K$500,MATCH(A36,'ערכים טכנולוגיים'!$A$2:$A$500,0)),""))</f>
        <v/>
      </c>
      <c r="Q36" s="9">
        <f>IF($K36="","",IFERROR(INDEX('ערכים טכנולוגיים'!$P$2:$P$500,MATCH(A36,'ערכים טכנולוגיים'!$A$2:$A$500,0)),""))</f>
        <v/>
      </c>
    </row>
    <row r="37">
      <c r="A37" s="8">
        <f>IF($K37="","",INDEX(מלאי!$D$2:$D$500,$K37))</f>
        <v/>
      </c>
      <c r="B37" s="8">
        <f>IF($K37="","",INDEX(מלאי!$B$2:$B$500,$K37))</f>
        <v/>
      </c>
      <c r="C37" s="8">
        <f>IF($K37="","",INDEX(מלאי!$C$2:$C$500,$K37))</f>
        <v/>
      </c>
      <c r="D37" s="8">
        <f>IF($K37="","",INDEX(מלאי!$G$2:$G$500,$K37))</f>
        <v/>
      </c>
      <c r="E37" s="8">
        <f>IF($K37="","",INDEX(מלאי!$M$2:$M$500,$K37))</f>
        <v/>
      </c>
      <c r="F37" s="8">
        <f>IF($K37="","",INDEX(מלאי!$N$2:$N$500,$K37))</f>
        <v/>
      </c>
      <c r="G37" s="8">
        <f>IF($K37="","",INDEX(מלאי!$O$2:$O$500,$K37))</f>
        <v/>
      </c>
      <c r="H37" s="8">
        <f>IF($K37="","",INDEX(מלאי!$U$2:$U$500,$K37))</f>
        <v/>
      </c>
      <c r="I37" s="8">
        <f>IF($K37="","",INDEX(מלאי!$X$2:$X$500,$K37))</f>
        <v/>
      </c>
      <c r="J37" s="8">
        <f>IF($K37="","",INDEX(מלאי!$AC$2:$AC$500,$K37))</f>
        <v/>
      </c>
      <c r="K3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טכנולוגיים'!$A$2:$A$500,0))&lt;=$G$6),0))),ROW(מלאי!$A$2:$A$500)-ROW(מלאי!$A$2)+1,""),15),"")</f>
        <v/>
      </c>
      <c r="L37" s="8">
        <f>IF($K37="","",IFERROR(INDEX('ערכים טכנולוגיים'!$M$2:$M$500,MATCH(A37,'ערכים טכנולוגיים'!$A$2:$A$500,0)),""))</f>
        <v/>
      </c>
      <c r="M37" s="8">
        <f>IF($K37="","",IFERROR(INDEX('ערכים טכנולוגיים'!$F$2:$F$500,MATCH(A37,'ערכים טכנולוגיים'!$A$2:$A$500,0)),""))</f>
        <v/>
      </c>
      <c r="N37" s="8">
        <f>IF($K37="","",IFERROR(INDEX('ערכים טכנולוגיים'!$J$2:$J$500,MATCH(A37,'ערכים טכנולוגיים'!$A$2:$A$500,0)),""))</f>
        <v/>
      </c>
      <c r="O37" s="8">
        <f>IF($K37="","",IFERROR(INDEX('ערכים טכנולוגיים'!$G$2:$G$500,MATCH(A37,'ערכים טכנולוגיים'!$A$2:$A$500,0)),""))</f>
        <v/>
      </c>
      <c r="P37" s="8">
        <f>IF($K37="","",IFERROR(INDEX('ערכים טכנולוגיים'!$K$2:$K$500,MATCH(A37,'ערכים טכנולוגיים'!$A$2:$A$500,0)),""))</f>
        <v/>
      </c>
      <c r="Q37" s="8">
        <f>IF($K37="","",IFERROR(INDEX('ערכים טכנולוגיים'!$P$2:$P$500,MATCH(A37,'ערכים טכנולוגיים'!$A$2:$A$500,0)),""))</f>
        <v/>
      </c>
    </row>
    <row r="38">
      <c r="A38" s="9">
        <f>IF($K38="","",INDEX(מלאי!$D$2:$D$500,$K38))</f>
        <v/>
      </c>
      <c r="B38" s="9">
        <f>IF($K38="","",INDEX(מלאי!$B$2:$B$500,$K38))</f>
        <v/>
      </c>
      <c r="C38" s="9">
        <f>IF($K38="","",INDEX(מלאי!$C$2:$C$500,$K38))</f>
        <v/>
      </c>
      <c r="D38" s="9">
        <f>IF($K38="","",INDEX(מלאי!$G$2:$G$500,$K38))</f>
        <v/>
      </c>
      <c r="E38" s="9">
        <f>IF($K38="","",INDEX(מלאי!$M$2:$M$500,$K38))</f>
        <v/>
      </c>
      <c r="F38" s="9">
        <f>IF($K38="","",INDEX(מלאי!$N$2:$N$500,$K38))</f>
        <v/>
      </c>
      <c r="G38" s="9">
        <f>IF($K38="","",INDEX(מלאי!$O$2:$O$500,$K38))</f>
        <v/>
      </c>
      <c r="H38" s="9">
        <f>IF($K38="","",INDEX(מלאי!$U$2:$U$500,$K38))</f>
        <v/>
      </c>
      <c r="I38" s="9">
        <f>IF($K38="","",INDEX(מלאי!$X$2:$X$500,$K38))</f>
        <v/>
      </c>
      <c r="J38" s="9">
        <f>IF($K38="","",INDEX(מלאי!$AC$2:$AC$500,$K38))</f>
        <v/>
      </c>
      <c r="K3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טכנולוגיים'!$A$2:$A$500,0))&lt;=$G$6),0))),ROW(מלאי!$A$2:$A$500)-ROW(מלאי!$A$2)+1,""),16),"")</f>
        <v/>
      </c>
      <c r="L38" s="9">
        <f>IF($K38="","",IFERROR(INDEX('ערכים טכנולוגיים'!$M$2:$M$500,MATCH(A38,'ערכים טכנולוגיים'!$A$2:$A$500,0)),""))</f>
        <v/>
      </c>
      <c r="M38" s="9">
        <f>IF($K38="","",IFERROR(INDEX('ערכים טכנולוגיים'!$F$2:$F$500,MATCH(A38,'ערכים טכנולוגיים'!$A$2:$A$500,0)),""))</f>
        <v/>
      </c>
      <c r="N38" s="9">
        <f>IF($K38="","",IFERROR(INDEX('ערכים טכנולוגיים'!$J$2:$J$500,MATCH(A38,'ערכים טכנולוגיים'!$A$2:$A$500,0)),""))</f>
        <v/>
      </c>
      <c r="O38" s="9">
        <f>IF($K38="","",IFERROR(INDEX('ערכים טכנולוגיים'!$G$2:$G$500,MATCH(A38,'ערכים טכנולוגיים'!$A$2:$A$500,0)),""))</f>
        <v/>
      </c>
      <c r="P38" s="9">
        <f>IF($K38="","",IFERROR(INDEX('ערכים טכנולוגיים'!$K$2:$K$500,MATCH(A38,'ערכים טכנולוגיים'!$A$2:$A$500,0)),""))</f>
        <v/>
      </c>
      <c r="Q38" s="9">
        <f>IF($K38="","",IFERROR(INDEX('ערכים טכנולוגיים'!$P$2:$P$500,MATCH(A38,'ערכים טכנולוגיים'!$A$2:$A$500,0)),""))</f>
        <v/>
      </c>
    </row>
    <row r="39">
      <c r="A39" s="8">
        <f>IF($K39="","",INDEX(מלאי!$D$2:$D$500,$K39))</f>
        <v/>
      </c>
      <c r="B39" s="8">
        <f>IF($K39="","",INDEX(מלאי!$B$2:$B$500,$K39))</f>
        <v/>
      </c>
      <c r="C39" s="8">
        <f>IF($K39="","",INDEX(מלאי!$C$2:$C$500,$K39))</f>
        <v/>
      </c>
      <c r="D39" s="8">
        <f>IF($K39="","",INDEX(מלאי!$G$2:$G$500,$K39))</f>
        <v/>
      </c>
      <c r="E39" s="8">
        <f>IF($K39="","",INDEX(מלאי!$M$2:$M$500,$K39))</f>
        <v/>
      </c>
      <c r="F39" s="8">
        <f>IF($K39="","",INDEX(מלאי!$N$2:$N$500,$K39))</f>
        <v/>
      </c>
      <c r="G39" s="8">
        <f>IF($K39="","",INDEX(מלאי!$O$2:$O$500,$K39))</f>
        <v/>
      </c>
      <c r="H39" s="8">
        <f>IF($K39="","",INDEX(מלאי!$U$2:$U$500,$K39))</f>
        <v/>
      </c>
      <c r="I39" s="8">
        <f>IF($K39="","",INDEX(מלאי!$X$2:$X$500,$K39))</f>
        <v/>
      </c>
      <c r="J39" s="8">
        <f>IF($K39="","",INDEX(מלאי!$AC$2:$AC$500,$K39))</f>
        <v/>
      </c>
      <c r="K3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טכנולוגיים'!$A$2:$A$500,0))&lt;=$G$6),0))),ROW(מלאי!$A$2:$A$500)-ROW(מלאי!$A$2)+1,""),17),"")</f>
        <v/>
      </c>
      <c r="L39" s="8">
        <f>IF($K39="","",IFERROR(INDEX('ערכים טכנולוגיים'!$M$2:$M$500,MATCH(A39,'ערכים טכנולוגיים'!$A$2:$A$500,0)),""))</f>
        <v/>
      </c>
      <c r="M39" s="8">
        <f>IF($K39="","",IFERROR(INDEX('ערכים טכנולוגיים'!$F$2:$F$500,MATCH(A39,'ערכים טכנולוגיים'!$A$2:$A$500,0)),""))</f>
        <v/>
      </c>
      <c r="N39" s="8">
        <f>IF($K39="","",IFERROR(INDEX('ערכים טכנולוגיים'!$J$2:$J$500,MATCH(A39,'ערכים טכנולוגיים'!$A$2:$A$500,0)),""))</f>
        <v/>
      </c>
      <c r="O39" s="8">
        <f>IF($K39="","",IFERROR(INDEX('ערכים טכנולוגיים'!$G$2:$G$500,MATCH(A39,'ערכים טכנולוגיים'!$A$2:$A$500,0)),""))</f>
        <v/>
      </c>
      <c r="P39" s="8">
        <f>IF($K39="","",IFERROR(INDEX('ערכים טכנולוגיים'!$K$2:$K$500,MATCH(A39,'ערכים טכנולוגיים'!$A$2:$A$500,0)),""))</f>
        <v/>
      </c>
      <c r="Q39" s="8">
        <f>IF($K39="","",IFERROR(INDEX('ערכים טכנולוגיים'!$P$2:$P$500,MATCH(A39,'ערכים טכנולוגיים'!$A$2:$A$500,0)),""))</f>
        <v/>
      </c>
    </row>
    <row r="40">
      <c r="A40" s="9">
        <f>IF($K40="","",INDEX(מלאי!$D$2:$D$500,$K40))</f>
        <v/>
      </c>
      <c r="B40" s="9">
        <f>IF($K40="","",INDEX(מלאי!$B$2:$B$500,$K40))</f>
        <v/>
      </c>
      <c r="C40" s="9">
        <f>IF($K40="","",INDEX(מלאי!$C$2:$C$500,$K40))</f>
        <v/>
      </c>
      <c r="D40" s="9">
        <f>IF($K40="","",INDEX(מלאי!$G$2:$G$500,$K40))</f>
        <v/>
      </c>
      <c r="E40" s="9">
        <f>IF($K40="","",INDEX(מלאי!$M$2:$M$500,$K40))</f>
        <v/>
      </c>
      <c r="F40" s="9">
        <f>IF($K40="","",INDEX(מלאי!$N$2:$N$500,$K40))</f>
        <v/>
      </c>
      <c r="G40" s="9">
        <f>IF($K40="","",INDEX(מלאי!$O$2:$O$500,$K40))</f>
        <v/>
      </c>
      <c r="H40" s="9">
        <f>IF($K40="","",INDEX(מלאי!$U$2:$U$500,$K40))</f>
        <v/>
      </c>
      <c r="I40" s="9">
        <f>IF($K40="","",INDEX(מלאי!$X$2:$X$500,$K40))</f>
        <v/>
      </c>
      <c r="J40" s="9">
        <f>IF($K40="","",INDEX(מלאי!$AC$2:$AC$500,$K40))</f>
        <v/>
      </c>
      <c r="K4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טכנולוגיים'!$A$2:$A$500,0))&lt;=$G$6),0))),ROW(מלאי!$A$2:$A$500)-ROW(מלאי!$A$2)+1,""),18),"")</f>
        <v/>
      </c>
      <c r="L40" s="9">
        <f>IF($K40="","",IFERROR(INDEX('ערכים טכנולוגיים'!$M$2:$M$500,MATCH(A40,'ערכים טכנולוגיים'!$A$2:$A$500,0)),""))</f>
        <v/>
      </c>
      <c r="M40" s="9">
        <f>IF($K40="","",IFERROR(INDEX('ערכים טכנולוגיים'!$F$2:$F$500,MATCH(A40,'ערכים טכנולוגיים'!$A$2:$A$500,0)),""))</f>
        <v/>
      </c>
      <c r="N40" s="9">
        <f>IF($K40="","",IFERROR(INDEX('ערכים טכנולוגיים'!$J$2:$J$500,MATCH(A40,'ערכים טכנולוגיים'!$A$2:$A$500,0)),""))</f>
        <v/>
      </c>
      <c r="O40" s="9">
        <f>IF($K40="","",IFERROR(INDEX('ערכים טכנולוגיים'!$G$2:$G$500,MATCH(A40,'ערכים טכנולוגיים'!$A$2:$A$500,0)),""))</f>
        <v/>
      </c>
      <c r="P40" s="9">
        <f>IF($K40="","",IFERROR(INDEX('ערכים טכנולוגיים'!$K$2:$K$500,MATCH(A40,'ערכים טכנולוגיים'!$A$2:$A$500,0)),""))</f>
        <v/>
      </c>
      <c r="Q40" s="9">
        <f>IF($K40="","",IFERROR(INDEX('ערכים טכנולוגיים'!$P$2:$P$500,MATCH(A40,'ערכים טכנולוגיים'!$A$2:$A$500,0)),""))</f>
        <v/>
      </c>
    </row>
    <row r="41">
      <c r="A41" s="8">
        <f>IF($K41="","",INDEX(מלאי!$D$2:$D$500,$K41))</f>
        <v/>
      </c>
      <c r="B41" s="8">
        <f>IF($K41="","",INDEX(מלאי!$B$2:$B$500,$K41))</f>
        <v/>
      </c>
      <c r="C41" s="8">
        <f>IF($K41="","",INDEX(מלאי!$C$2:$C$500,$K41))</f>
        <v/>
      </c>
      <c r="D41" s="8">
        <f>IF($K41="","",INDEX(מלאי!$G$2:$G$500,$K41))</f>
        <v/>
      </c>
      <c r="E41" s="8">
        <f>IF($K41="","",INDEX(מלאי!$M$2:$M$500,$K41))</f>
        <v/>
      </c>
      <c r="F41" s="8">
        <f>IF($K41="","",INDEX(מלאי!$N$2:$N$500,$K41))</f>
        <v/>
      </c>
      <c r="G41" s="8">
        <f>IF($K41="","",INDEX(מלאי!$O$2:$O$500,$K41))</f>
        <v/>
      </c>
      <c r="H41" s="8">
        <f>IF($K41="","",INDEX(מלאי!$U$2:$U$500,$K41))</f>
        <v/>
      </c>
      <c r="I41" s="8">
        <f>IF($K41="","",INDEX(מלאי!$X$2:$X$500,$K41))</f>
        <v/>
      </c>
      <c r="J41" s="8">
        <f>IF($K41="","",INDEX(מלאי!$AC$2:$AC$500,$K41))</f>
        <v/>
      </c>
      <c r="K4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טכנולוגיים'!$A$2:$A$500,0))&lt;=$G$6),0))),ROW(מלאי!$A$2:$A$500)-ROW(מלאי!$A$2)+1,""),19),"")</f>
        <v/>
      </c>
      <c r="L41" s="8">
        <f>IF($K41="","",IFERROR(INDEX('ערכים טכנולוגיים'!$M$2:$M$500,MATCH(A41,'ערכים טכנולוגיים'!$A$2:$A$500,0)),""))</f>
        <v/>
      </c>
      <c r="M41" s="8">
        <f>IF($K41="","",IFERROR(INDEX('ערכים טכנולוגיים'!$F$2:$F$500,MATCH(A41,'ערכים טכנולוגיים'!$A$2:$A$500,0)),""))</f>
        <v/>
      </c>
      <c r="N41" s="8">
        <f>IF($K41="","",IFERROR(INDEX('ערכים טכנולוגיים'!$J$2:$J$500,MATCH(A41,'ערכים טכנולוגיים'!$A$2:$A$500,0)),""))</f>
        <v/>
      </c>
      <c r="O41" s="8">
        <f>IF($K41="","",IFERROR(INDEX('ערכים טכנולוגיים'!$G$2:$G$500,MATCH(A41,'ערכים טכנולוגיים'!$A$2:$A$500,0)),""))</f>
        <v/>
      </c>
      <c r="P41" s="8">
        <f>IF($K41="","",IFERROR(INDEX('ערכים טכנולוגיים'!$K$2:$K$500,MATCH(A41,'ערכים טכנולוגיים'!$A$2:$A$500,0)),""))</f>
        <v/>
      </c>
      <c r="Q41" s="8">
        <f>IF($K41="","",IFERROR(INDEX('ערכים טכנולוגיים'!$P$2:$P$500,MATCH(A41,'ערכים טכנולוגיים'!$A$2:$A$500,0)),""))</f>
        <v/>
      </c>
    </row>
    <row r="42">
      <c r="A42" s="9">
        <f>IF($K42="","",INDEX(מלאי!$D$2:$D$500,$K42))</f>
        <v/>
      </c>
      <c r="B42" s="9">
        <f>IF($K42="","",INDEX(מלאי!$B$2:$B$500,$K42))</f>
        <v/>
      </c>
      <c r="C42" s="9">
        <f>IF($K42="","",INDEX(מלאי!$C$2:$C$500,$K42))</f>
        <v/>
      </c>
      <c r="D42" s="9">
        <f>IF($K42="","",INDEX(מלאי!$G$2:$G$500,$K42))</f>
        <v/>
      </c>
      <c r="E42" s="9">
        <f>IF($K42="","",INDEX(מלאי!$M$2:$M$500,$K42))</f>
        <v/>
      </c>
      <c r="F42" s="9">
        <f>IF($K42="","",INDEX(מלאי!$N$2:$N$500,$K42))</f>
        <v/>
      </c>
      <c r="G42" s="9">
        <f>IF($K42="","",INDEX(מלאי!$O$2:$O$500,$K42))</f>
        <v/>
      </c>
      <c r="H42" s="9">
        <f>IF($K42="","",INDEX(מלאי!$U$2:$U$500,$K42))</f>
        <v/>
      </c>
      <c r="I42" s="9">
        <f>IF($K42="","",INDEX(מלאי!$X$2:$X$500,$K42))</f>
        <v/>
      </c>
      <c r="J42" s="9">
        <f>IF($K42="","",INDEX(מלאי!$AC$2:$AC$500,$K42))</f>
        <v/>
      </c>
      <c r="K4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טכנולוגיים'!$A$2:$A$500,0))&lt;=$G$6),0))),ROW(מלאי!$A$2:$A$500)-ROW(מלאי!$A$2)+1,""),20),"")</f>
        <v/>
      </c>
      <c r="L42" s="9">
        <f>IF($K42="","",IFERROR(INDEX('ערכים טכנולוגיים'!$M$2:$M$500,MATCH(A42,'ערכים טכנולוגיים'!$A$2:$A$500,0)),""))</f>
        <v/>
      </c>
      <c r="M42" s="9">
        <f>IF($K42="","",IFERROR(INDEX('ערכים טכנולוגיים'!$F$2:$F$500,MATCH(A42,'ערכים טכנולוגיים'!$A$2:$A$500,0)),""))</f>
        <v/>
      </c>
      <c r="N42" s="9">
        <f>IF($K42="","",IFERROR(INDEX('ערכים טכנולוגיים'!$J$2:$J$500,MATCH(A42,'ערכים טכנולוגיים'!$A$2:$A$500,0)),""))</f>
        <v/>
      </c>
      <c r="O42" s="9">
        <f>IF($K42="","",IFERROR(INDEX('ערכים טכנולוגיים'!$G$2:$G$500,MATCH(A42,'ערכים טכנולוגיים'!$A$2:$A$500,0)),""))</f>
        <v/>
      </c>
      <c r="P42" s="9">
        <f>IF($K42="","",IFERROR(INDEX('ערכים טכנולוגיים'!$K$2:$K$500,MATCH(A42,'ערכים טכנולוגיים'!$A$2:$A$500,0)),""))</f>
        <v/>
      </c>
      <c r="Q42" s="9">
        <f>IF($K42="","",IFERROR(INDEX('ערכים טכנולוגיים'!$P$2:$P$500,MATCH(A42,'ערכים טכנולוגיים'!$A$2:$A$500,0)),""))</f>
        <v/>
      </c>
    </row>
    <row r="43">
      <c r="A43" s="8">
        <f>IF($K43="","",INDEX(מלאי!$D$2:$D$500,$K43))</f>
        <v/>
      </c>
      <c r="B43" s="8">
        <f>IF($K43="","",INDEX(מלאי!$B$2:$B$500,$K43))</f>
        <v/>
      </c>
      <c r="C43" s="8">
        <f>IF($K43="","",INDEX(מלאי!$C$2:$C$500,$K43))</f>
        <v/>
      </c>
      <c r="D43" s="8">
        <f>IF($K43="","",INDEX(מלאי!$G$2:$G$500,$K43))</f>
        <v/>
      </c>
      <c r="E43" s="8">
        <f>IF($K43="","",INDEX(מלאי!$M$2:$M$500,$K43))</f>
        <v/>
      </c>
      <c r="F43" s="8">
        <f>IF($K43="","",INDEX(מלאי!$N$2:$N$500,$K43))</f>
        <v/>
      </c>
      <c r="G43" s="8">
        <f>IF($K43="","",INDEX(מלאי!$O$2:$O$500,$K43))</f>
        <v/>
      </c>
      <c r="H43" s="8">
        <f>IF($K43="","",INDEX(מלאי!$U$2:$U$500,$K43))</f>
        <v/>
      </c>
      <c r="I43" s="8">
        <f>IF($K43="","",INDEX(מלאי!$X$2:$X$500,$K43))</f>
        <v/>
      </c>
      <c r="J43" s="8">
        <f>IF($K43="","",INDEX(מלאי!$AC$2:$AC$500,$K43))</f>
        <v/>
      </c>
      <c r="K4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טכנולוגיים'!$A$2:$A$500,0))&lt;=$G$6),0))),ROW(מלאי!$A$2:$A$500)-ROW(מלאי!$A$2)+1,""),21),"")</f>
        <v/>
      </c>
      <c r="L43" s="8">
        <f>IF($K43="","",IFERROR(INDEX('ערכים טכנולוגיים'!$M$2:$M$500,MATCH(A43,'ערכים טכנולוגיים'!$A$2:$A$500,0)),""))</f>
        <v/>
      </c>
      <c r="M43" s="8">
        <f>IF($K43="","",IFERROR(INDEX('ערכים טכנולוגיים'!$F$2:$F$500,MATCH(A43,'ערכים טכנולוגיים'!$A$2:$A$500,0)),""))</f>
        <v/>
      </c>
      <c r="N43" s="8">
        <f>IF($K43="","",IFERROR(INDEX('ערכים טכנולוגיים'!$J$2:$J$500,MATCH(A43,'ערכים טכנולוגיים'!$A$2:$A$500,0)),""))</f>
        <v/>
      </c>
      <c r="O43" s="8">
        <f>IF($K43="","",IFERROR(INDEX('ערכים טכנולוגיים'!$G$2:$G$500,MATCH(A43,'ערכים טכנולוגיים'!$A$2:$A$500,0)),""))</f>
        <v/>
      </c>
      <c r="P43" s="8">
        <f>IF($K43="","",IFERROR(INDEX('ערכים טכנולוגיים'!$K$2:$K$500,MATCH(A43,'ערכים טכנולוגיים'!$A$2:$A$500,0)),""))</f>
        <v/>
      </c>
      <c r="Q43" s="8">
        <f>IF($K43="","",IFERROR(INDEX('ערכים טכנולוגיים'!$P$2:$P$500,MATCH(A43,'ערכים טכנולוגיים'!$A$2:$A$500,0)),""))</f>
        <v/>
      </c>
    </row>
    <row r="44">
      <c r="A44" s="9">
        <f>IF($K44="","",INDEX(מלאי!$D$2:$D$500,$K44))</f>
        <v/>
      </c>
      <c r="B44" s="9">
        <f>IF($K44="","",INDEX(מלאי!$B$2:$B$500,$K44))</f>
        <v/>
      </c>
      <c r="C44" s="9">
        <f>IF($K44="","",INDEX(מלאי!$C$2:$C$500,$K44))</f>
        <v/>
      </c>
      <c r="D44" s="9">
        <f>IF($K44="","",INDEX(מלאי!$G$2:$G$500,$K44))</f>
        <v/>
      </c>
      <c r="E44" s="9">
        <f>IF($K44="","",INDEX(מלאי!$M$2:$M$500,$K44))</f>
        <v/>
      </c>
      <c r="F44" s="9">
        <f>IF($K44="","",INDEX(מלאי!$N$2:$N$500,$K44))</f>
        <v/>
      </c>
      <c r="G44" s="9">
        <f>IF($K44="","",INDEX(מלאי!$O$2:$O$500,$K44))</f>
        <v/>
      </c>
      <c r="H44" s="9">
        <f>IF($K44="","",INDEX(מלאי!$U$2:$U$500,$K44))</f>
        <v/>
      </c>
      <c r="I44" s="9">
        <f>IF($K44="","",INDEX(מלאי!$X$2:$X$500,$K44))</f>
        <v/>
      </c>
      <c r="J44" s="9">
        <f>IF($K44="","",INDEX(מלאי!$AC$2:$AC$500,$K44))</f>
        <v/>
      </c>
      <c r="K4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טכנולוגיים'!$A$2:$A$500,0))&lt;=$G$6),0))),ROW(מלאי!$A$2:$A$500)-ROW(מלאי!$A$2)+1,""),22),"")</f>
        <v/>
      </c>
      <c r="L44" s="9">
        <f>IF($K44="","",IFERROR(INDEX('ערכים טכנולוגיים'!$M$2:$M$500,MATCH(A44,'ערכים טכנולוגיים'!$A$2:$A$500,0)),""))</f>
        <v/>
      </c>
      <c r="M44" s="9">
        <f>IF($K44="","",IFERROR(INDEX('ערכים טכנולוגיים'!$F$2:$F$500,MATCH(A44,'ערכים טכנולוגיים'!$A$2:$A$500,0)),""))</f>
        <v/>
      </c>
      <c r="N44" s="9">
        <f>IF($K44="","",IFERROR(INDEX('ערכים טכנולוגיים'!$J$2:$J$500,MATCH(A44,'ערכים טכנולוגיים'!$A$2:$A$500,0)),""))</f>
        <v/>
      </c>
      <c r="O44" s="9">
        <f>IF($K44="","",IFERROR(INDEX('ערכים טכנולוגיים'!$G$2:$G$500,MATCH(A44,'ערכים טכנולוגיים'!$A$2:$A$500,0)),""))</f>
        <v/>
      </c>
      <c r="P44" s="9">
        <f>IF($K44="","",IFERROR(INDEX('ערכים טכנולוגיים'!$K$2:$K$500,MATCH(A44,'ערכים טכנולוגיים'!$A$2:$A$500,0)),""))</f>
        <v/>
      </c>
      <c r="Q44" s="9">
        <f>IF($K44="","",IFERROR(INDEX('ערכים טכנולוגיים'!$P$2:$P$500,MATCH(A44,'ערכים טכנולוגיים'!$A$2:$A$500,0)),""))</f>
        <v/>
      </c>
    </row>
    <row r="45">
      <c r="A45" s="8">
        <f>IF($K45="","",INDEX(מלאי!$D$2:$D$500,$K45))</f>
        <v/>
      </c>
      <c r="B45" s="8">
        <f>IF($K45="","",INDEX(מלאי!$B$2:$B$500,$K45))</f>
        <v/>
      </c>
      <c r="C45" s="8">
        <f>IF($K45="","",INDEX(מלאי!$C$2:$C$500,$K45))</f>
        <v/>
      </c>
      <c r="D45" s="8">
        <f>IF($K45="","",INDEX(מלאי!$G$2:$G$500,$K45))</f>
        <v/>
      </c>
      <c r="E45" s="8">
        <f>IF($K45="","",INDEX(מלאי!$M$2:$M$500,$K45))</f>
        <v/>
      </c>
      <c r="F45" s="8">
        <f>IF($K45="","",INDEX(מלאי!$N$2:$N$500,$K45))</f>
        <v/>
      </c>
      <c r="G45" s="8">
        <f>IF($K45="","",INDEX(מלאי!$O$2:$O$500,$K45))</f>
        <v/>
      </c>
      <c r="H45" s="8">
        <f>IF($K45="","",INDEX(מלאי!$U$2:$U$500,$K45))</f>
        <v/>
      </c>
      <c r="I45" s="8">
        <f>IF($K45="","",INDEX(מלאי!$X$2:$X$500,$K45))</f>
        <v/>
      </c>
      <c r="J45" s="8">
        <f>IF($K45="","",INDEX(מלאי!$AC$2:$AC$500,$K45))</f>
        <v/>
      </c>
      <c r="K4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טכנולוגיים'!$A$2:$A$500,0))&lt;=$G$6),0))),ROW(מלאי!$A$2:$A$500)-ROW(מלאי!$A$2)+1,""),23),"")</f>
        <v/>
      </c>
      <c r="L45" s="8">
        <f>IF($K45="","",IFERROR(INDEX('ערכים טכנולוגיים'!$M$2:$M$500,MATCH(A45,'ערכים טכנולוגיים'!$A$2:$A$500,0)),""))</f>
        <v/>
      </c>
      <c r="M45" s="8">
        <f>IF($K45="","",IFERROR(INDEX('ערכים טכנולוגיים'!$F$2:$F$500,MATCH(A45,'ערכים טכנולוגיים'!$A$2:$A$500,0)),""))</f>
        <v/>
      </c>
      <c r="N45" s="8">
        <f>IF($K45="","",IFERROR(INDEX('ערכים טכנולוגיים'!$J$2:$J$500,MATCH(A45,'ערכים טכנולוגיים'!$A$2:$A$500,0)),""))</f>
        <v/>
      </c>
      <c r="O45" s="8">
        <f>IF($K45="","",IFERROR(INDEX('ערכים טכנולוגיים'!$G$2:$G$500,MATCH(A45,'ערכים טכנולוגיים'!$A$2:$A$500,0)),""))</f>
        <v/>
      </c>
      <c r="P45" s="8">
        <f>IF($K45="","",IFERROR(INDEX('ערכים טכנולוגיים'!$K$2:$K$500,MATCH(A45,'ערכים טכנולוגיים'!$A$2:$A$500,0)),""))</f>
        <v/>
      </c>
      <c r="Q45" s="8">
        <f>IF($K45="","",IFERROR(INDEX('ערכים טכנולוגיים'!$P$2:$P$500,MATCH(A45,'ערכים טכנולוגיים'!$A$2:$A$500,0)),""))</f>
        <v/>
      </c>
    </row>
    <row r="46">
      <c r="A46" s="9">
        <f>IF($K46="","",INDEX(מלאי!$D$2:$D$500,$K46))</f>
        <v/>
      </c>
      <c r="B46" s="9">
        <f>IF($K46="","",INDEX(מלאי!$B$2:$B$500,$K46))</f>
        <v/>
      </c>
      <c r="C46" s="9">
        <f>IF($K46="","",INDEX(מלאי!$C$2:$C$500,$K46))</f>
        <v/>
      </c>
      <c r="D46" s="9">
        <f>IF($K46="","",INDEX(מלאי!$G$2:$G$500,$K46))</f>
        <v/>
      </c>
      <c r="E46" s="9">
        <f>IF($K46="","",INDEX(מלאי!$M$2:$M$500,$K46))</f>
        <v/>
      </c>
      <c r="F46" s="9">
        <f>IF($K46="","",INDEX(מלאי!$N$2:$N$500,$K46))</f>
        <v/>
      </c>
      <c r="G46" s="9">
        <f>IF($K46="","",INDEX(מלאי!$O$2:$O$500,$K46))</f>
        <v/>
      </c>
      <c r="H46" s="9">
        <f>IF($K46="","",INDEX(מלאי!$U$2:$U$500,$K46))</f>
        <v/>
      </c>
      <c r="I46" s="9">
        <f>IF($K46="","",INDEX(מלאי!$X$2:$X$500,$K46))</f>
        <v/>
      </c>
      <c r="J46" s="9">
        <f>IF($K46="","",INDEX(מלאי!$AC$2:$AC$500,$K46))</f>
        <v/>
      </c>
      <c r="K4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טכנולוגיים'!$A$2:$A$500,0))&lt;=$G$6),0))),ROW(מלאי!$A$2:$A$500)-ROW(מלאי!$A$2)+1,""),24),"")</f>
        <v/>
      </c>
      <c r="L46" s="9">
        <f>IF($K46="","",IFERROR(INDEX('ערכים טכנולוגיים'!$M$2:$M$500,MATCH(A46,'ערכים טכנולוגיים'!$A$2:$A$500,0)),""))</f>
        <v/>
      </c>
      <c r="M46" s="9">
        <f>IF($K46="","",IFERROR(INDEX('ערכים טכנולוגיים'!$F$2:$F$500,MATCH(A46,'ערכים טכנולוגיים'!$A$2:$A$500,0)),""))</f>
        <v/>
      </c>
      <c r="N46" s="9">
        <f>IF($K46="","",IFERROR(INDEX('ערכים טכנולוגיים'!$J$2:$J$500,MATCH(A46,'ערכים טכנולוגיים'!$A$2:$A$500,0)),""))</f>
        <v/>
      </c>
      <c r="O46" s="9">
        <f>IF($K46="","",IFERROR(INDEX('ערכים טכנולוגיים'!$G$2:$G$500,MATCH(A46,'ערכים טכנולוגיים'!$A$2:$A$500,0)),""))</f>
        <v/>
      </c>
      <c r="P46" s="9">
        <f>IF($K46="","",IFERROR(INDEX('ערכים טכנולוגיים'!$K$2:$K$500,MATCH(A46,'ערכים טכנולוגיים'!$A$2:$A$500,0)),""))</f>
        <v/>
      </c>
      <c r="Q46" s="9">
        <f>IF($K46="","",IFERROR(INDEX('ערכים טכנולוגיים'!$P$2:$P$500,MATCH(A46,'ערכים טכנולוגיים'!$A$2:$A$500,0)),""))</f>
        <v/>
      </c>
    </row>
    <row r="47">
      <c r="A47" s="8">
        <f>IF($K47="","",INDEX(מלאי!$D$2:$D$500,$K47))</f>
        <v/>
      </c>
      <c r="B47" s="8">
        <f>IF($K47="","",INDEX(מלאי!$B$2:$B$500,$K47))</f>
        <v/>
      </c>
      <c r="C47" s="8">
        <f>IF($K47="","",INDEX(מלאי!$C$2:$C$500,$K47))</f>
        <v/>
      </c>
      <c r="D47" s="8">
        <f>IF($K47="","",INDEX(מלאי!$G$2:$G$500,$K47))</f>
        <v/>
      </c>
      <c r="E47" s="8">
        <f>IF($K47="","",INDEX(מלאי!$M$2:$M$500,$K47))</f>
        <v/>
      </c>
      <c r="F47" s="8">
        <f>IF($K47="","",INDEX(מלאי!$N$2:$N$500,$K47))</f>
        <v/>
      </c>
      <c r="G47" s="8">
        <f>IF($K47="","",INDEX(מלאי!$O$2:$O$500,$K47))</f>
        <v/>
      </c>
      <c r="H47" s="8">
        <f>IF($K47="","",INDEX(מלאי!$U$2:$U$500,$K47))</f>
        <v/>
      </c>
      <c r="I47" s="8">
        <f>IF($K47="","",INDEX(מלאי!$X$2:$X$500,$K47))</f>
        <v/>
      </c>
      <c r="J47" s="8">
        <f>IF($K47="","",INDEX(מלאי!$AC$2:$AC$500,$K47))</f>
        <v/>
      </c>
      <c r="K4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טכנולוגיים'!$A$2:$A$500,0))&lt;=$G$6),0))),ROW(מלאי!$A$2:$A$500)-ROW(מלאי!$A$2)+1,""),25),"")</f>
        <v/>
      </c>
      <c r="L47" s="8">
        <f>IF($K47="","",IFERROR(INDEX('ערכים טכנולוגיים'!$M$2:$M$500,MATCH(A47,'ערכים טכנולוגיים'!$A$2:$A$500,0)),""))</f>
        <v/>
      </c>
      <c r="M47" s="8">
        <f>IF($K47="","",IFERROR(INDEX('ערכים טכנולוגיים'!$F$2:$F$500,MATCH(A47,'ערכים טכנולוגיים'!$A$2:$A$500,0)),""))</f>
        <v/>
      </c>
      <c r="N47" s="8">
        <f>IF($K47="","",IFERROR(INDEX('ערכים טכנולוגיים'!$J$2:$J$500,MATCH(A47,'ערכים טכנולוגיים'!$A$2:$A$500,0)),""))</f>
        <v/>
      </c>
      <c r="O47" s="8">
        <f>IF($K47="","",IFERROR(INDEX('ערכים טכנולוגיים'!$G$2:$G$500,MATCH(A47,'ערכים טכנולוגיים'!$A$2:$A$500,0)),""))</f>
        <v/>
      </c>
      <c r="P47" s="8">
        <f>IF($K47="","",IFERROR(INDEX('ערכים טכנולוגיים'!$K$2:$K$500,MATCH(A47,'ערכים טכנולוגיים'!$A$2:$A$500,0)),""))</f>
        <v/>
      </c>
      <c r="Q47" s="8">
        <f>IF($K47="","",IFERROR(INDEX('ערכים טכנולוגיים'!$P$2:$P$500,MATCH(A47,'ערכים טכנולוגיים'!$A$2:$A$500,0)),""))</f>
        <v/>
      </c>
    </row>
    <row r="48">
      <c r="A48" s="9">
        <f>IF($K48="","",INDEX(מלאי!$D$2:$D$500,$K48))</f>
        <v/>
      </c>
      <c r="B48" s="9">
        <f>IF($K48="","",INDEX(מלאי!$B$2:$B$500,$K48))</f>
        <v/>
      </c>
      <c r="C48" s="9">
        <f>IF($K48="","",INDEX(מלאי!$C$2:$C$500,$K48))</f>
        <v/>
      </c>
      <c r="D48" s="9">
        <f>IF($K48="","",INDEX(מלאי!$G$2:$G$500,$K48))</f>
        <v/>
      </c>
      <c r="E48" s="9">
        <f>IF($K48="","",INDEX(מלאי!$M$2:$M$500,$K48))</f>
        <v/>
      </c>
      <c r="F48" s="9">
        <f>IF($K48="","",INDEX(מלאי!$N$2:$N$500,$K48))</f>
        <v/>
      </c>
      <c r="G48" s="9">
        <f>IF($K48="","",INDEX(מלאי!$O$2:$O$500,$K48))</f>
        <v/>
      </c>
      <c r="H48" s="9">
        <f>IF($K48="","",INDEX(מלאי!$U$2:$U$500,$K48))</f>
        <v/>
      </c>
      <c r="I48" s="9">
        <f>IF($K48="","",INDEX(מלאי!$X$2:$X$500,$K48))</f>
        <v/>
      </c>
      <c r="J48" s="9">
        <f>IF($K48="","",INDEX(מלאי!$AC$2:$AC$500,$K48))</f>
        <v/>
      </c>
      <c r="K4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טכנולוגיים'!$A$2:$A$500,0))&lt;=$G$6),0))),ROW(מלאי!$A$2:$A$500)-ROW(מלאי!$A$2)+1,""),26),"")</f>
        <v/>
      </c>
      <c r="L48" s="9">
        <f>IF($K48="","",IFERROR(INDEX('ערכים טכנולוגיים'!$M$2:$M$500,MATCH(A48,'ערכים טכנולוגיים'!$A$2:$A$500,0)),""))</f>
        <v/>
      </c>
      <c r="M48" s="9">
        <f>IF($K48="","",IFERROR(INDEX('ערכים טכנולוגיים'!$F$2:$F$500,MATCH(A48,'ערכים טכנולוגיים'!$A$2:$A$500,0)),""))</f>
        <v/>
      </c>
      <c r="N48" s="9">
        <f>IF($K48="","",IFERROR(INDEX('ערכים טכנולוגיים'!$J$2:$J$500,MATCH(A48,'ערכים טכנולוגיים'!$A$2:$A$500,0)),""))</f>
        <v/>
      </c>
      <c r="O48" s="9">
        <f>IF($K48="","",IFERROR(INDEX('ערכים טכנולוגיים'!$G$2:$G$500,MATCH(A48,'ערכים טכנולוגיים'!$A$2:$A$500,0)),""))</f>
        <v/>
      </c>
      <c r="P48" s="9">
        <f>IF($K48="","",IFERROR(INDEX('ערכים טכנולוגיים'!$K$2:$K$500,MATCH(A48,'ערכים טכנולוגיים'!$A$2:$A$500,0)),""))</f>
        <v/>
      </c>
      <c r="Q48" s="9">
        <f>IF($K48="","",IFERROR(INDEX('ערכים טכנולוגיים'!$P$2:$P$500,MATCH(A48,'ערכים טכנולוגיים'!$A$2:$A$500,0)),""))</f>
        <v/>
      </c>
    </row>
    <row r="49">
      <c r="A49" s="8">
        <f>IF($K49="","",INDEX(מלאי!$D$2:$D$500,$K49))</f>
        <v/>
      </c>
      <c r="B49" s="8">
        <f>IF($K49="","",INDEX(מלאי!$B$2:$B$500,$K49))</f>
        <v/>
      </c>
      <c r="C49" s="8">
        <f>IF($K49="","",INDEX(מלאי!$C$2:$C$500,$K49))</f>
        <v/>
      </c>
      <c r="D49" s="8">
        <f>IF($K49="","",INDEX(מלאי!$G$2:$G$500,$K49))</f>
        <v/>
      </c>
      <c r="E49" s="8">
        <f>IF($K49="","",INDEX(מלאי!$M$2:$M$500,$K49))</f>
        <v/>
      </c>
      <c r="F49" s="8">
        <f>IF($K49="","",INDEX(מלאי!$N$2:$N$500,$K49))</f>
        <v/>
      </c>
      <c r="G49" s="8">
        <f>IF($K49="","",INDEX(מלאי!$O$2:$O$500,$K49))</f>
        <v/>
      </c>
      <c r="H49" s="8">
        <f>IF($K49="","",INDEX(מלאי!$U$2:$U$500,$K49))</f>
        <v/>
      </c>
      <c r="I49" s="8">
        <f>IF($K49="","",INDEX(מלאי!$X$2:$X$500,$K49))</f>
        <v/>
      </c>
      <c r="J49" s="8">
        <f>IF($K49="","",INDEX(מלאי!$AC$2:$AC$500,$K49))</f>
        <v/>
      </c>
      <c r="K4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טכנולוגיים'!$A$2:$A$500,0))&lt;=$G$6),0))),ROW(מלאי!$A$2:$A$500)-ROW(מלאי!$A$2)+1,""),27),"")</f>
        <v/>
      </c>
      <c r="L49" s="8">
        <f>IF($K49="","",IFERROR(INDEX('ערכים טכנולוגיים'!$M$2:$M$500,MATCH(A49,'ערכים טכנולוגיים'!$A$2:$A$500,0)),""))</f>
        <v/>
      </c>
      <c r="M49" s="8">
        <f>IF($K49="","",IFERROR(INDEX('ערכים טכנולוגיים'!$F$2:$F$500,MATCH(A49,'ערכים טכנולוגיים'!$A$2:$A$500,0)),""))</f>
        <v/>
      </c>
      <c r="N49" s="8">
        <f>IF($K49="","",IFERROR(INDEX('ערכים טכנולוגיים'!$J$2:$J$500,MATCH(A49,'ערכים טכנולוגיים'!$A$2:$A$500,0)),""))</f>
        <v/>
      </c>
      <c r="O49" s="8">
        <f>IF($K49="","",IFERROR(INDEX('ערכים טכנולוגיים'!$G$2:$G$500,MATCH(A49,'ערכים טכנולוגיים'!$A$2:$A$500,0)),""))</f>
        <v/>
      </c>
      <c r="P49" s="8">
        <f>IF($K49="","",IFERROR(INDEX('ערכים טכנולוגיים'!$K$2:$K$500,MATCH(A49,'ערכים טכנולוגיים'!$A$2:$A$500,0)),""))</f>
        <v/>
      </c>
      <c r="Q49" s="8">
        <f>IF($K49="","",IFERROR(INDEX('ערכים טכנולוגיים'!$P$2:$P$500,MATCH(A49,'ערכים טכנולוגיים'!$A$2:$A$500,0)),""))</f>
        <v/>
      </c>
    </row>
    <row r="50">
      <c r="A50" s="9">
        <f>IF($K50="","",INDEX(מלאי!$D$2:$D$500,$K50))</f>
        <v/>
      </c>
      <c r="B50" s="9">
        <f>IF($K50="","",INDEX(מלאי!$B$2:$B$500,$K50))</f>
        <v/>
      </c>
      <c r="C50" s="9">
        <f>IF($K50="","",INDEX(מלאי!$C$2:$C$500,$K50))</f>
        <v/>
      </c>
      <c r="D50" s="9">
        <f>IF($K50="","",INDEX(מלאי!$G$2:$G$500,$K50))</f>
        <v/>
      </c>
      <c r="E50" s="9">
        <f>IF($K50="","",INDEX(מלאי!$M$2:$M$500,$K50))</f>
        <v/>
      </c>
      <c r="F50" s="9">
        <f>IF($K50="","",INDEX(מלאי!$N$2:$N$500,$K50))</f>
        <v/>
      </c>
      <c r="G50" s="9">
        <f>IF($K50="","",INDEX(מלאי!$O$2:$O$500,$K50))</f>
        <v/>
      </c>
      <c r="H50" s="9">
        <f>IF($K50="","",INDEX(מלאי!$U$2:$U$500,$K50))</f>
        <v/>
      </c>
      <c r="I50" s="9">
        <f>IF($K50="","",INDEX(מלאי!$X$2:$X$500,$K50))</f>
        <v/>
      </c>
      <c r="J50" s="9">
        <f>IF($K50="","",INDEX(מלאי!$AC$2:$AC$500,$K50))</f>
        <v/>
      </c>
      <c r="K5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טכנולוגיים'!$A$2:$A$500,0))&lt;=$G$6),0))),ROW(מלאי!$A$2:$A$500)-ROW(מלאי!$A$2)+1,""),28),"")</f>
        <v/>
      </c>
      <c r="L50" s="9">
        <f>IF($K50="","",IFERROR(INDEX('ערכים טכנולוגיים'!$M$2:$M$500,MATCH(A50,'ערכים טכנולוגיים'!$A$2:$A$500,0)),""))</f>
        <v/>
      </c>
      <c r="M50" s="9">
        <f>IF($K50="","",IFERROR(INDEX('ערכים טכנולוגיים'!$F$2:$F$500,MATCH(A50,'ערכים טכנולוגיים'!$A$2:$A$500,0)),""))</f>
        <v/>
      </c>
      <c r="N50" s="9">
        <f>IF($K50="","",IFERROR(INDEX('ערכים טכנולוגיים'!$J$2:$J$500,MATCH(A50,'ערכים טכנולוגיים'!$A$2:$A$500,0)),""))</f>
        <v/>
      </c>
      <c r="O50" s="9">
        <f>IF($K50="","",IFERROR(INDEX('ערכים טכנולוגיים'!$G$2:$G$500,MATCH(A50,'ערכים טכנולוגיים'!$A$2:$A$500,0)),""))</f>
        <v/>
      </c>
      <c r="P50" s="9">
        <f>IF($K50="","",IFERROR(INDEX('ערכים טכנולוגיים'!$K$2:$K$500,MATCH(A50,'ערכים טכנולוגיים'!$A$2:$A$500,0)),""))</f>
        <v/>
      </c>
      <c r="Q50" s="9">
        <f>IF($K50="","",IFERROR(INDEX('ערכים טכנולוגיים'!$P$2:$P$500,MATCH(A50,'ערכים טכנולוגיים'!$A$2:$A$500,0)),""))</f>
        <v/>
      </c>
    </row>
    <row r="51">
      <c r="A51" s="8">
        <f>IF($K51="","",INDEX(מלאי!$D$2:$D$500,$K51))</f>
        <v/>
      </c>
      <c r="B51" s="8">
        <f>IF($K51="","",INDEX(מלאי!$B$2:$B$500,$K51))</f>
        <v/>
      </c>
      <c r="C51" s="8">
        <f>IF($K51="","",INDEX(מלאי!$C$2:$C$500,$K51))</f>
        <v/>
      </c>
      <c r="D51" s="8">
        <f>IF($K51="","",INDEX(מלאי!$G$2:$G$500,$K51))</f>
        <v/>
      </c>
      <c r="E51" s="8">
        <f>IF($K51="","",INDEX(מלאי!$M$2:$M$500,$K51))</f>
        <v/>
      </c>
      <c r="F51" s="8">
        <f>IF($K51="","",INDEX(מלאי!$N$2:$N$500,$K51))</f>
        <v/>
      </c>
      <c r="G51" s="8">
        <f>IF($K51="","",INDEX(מלאי!$O$2:$O$500,$K51))</f>
        <v/>
      </c>
      <c r="H51" s="8">
        <f>IF($K51="","",INDEX(מלאי!$U$2:$U$500,$K51))</f>
        <v/>
      </c>
      <c r="I51" s="8">
        <f>IF($K51="","",INDEX(מלאי!$X$2:$X$500,$K51))</f>
        <v/>
      </c>
      <c r="J51" s="8">
        <f>IF($K51="","",INDEX(מלאי!$AC$2:$AC$500,$K51))</f>
        <v/>
      </c>
      <c r="K5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טכנולוגיים'!$A$2:$A$500,0))&lt;=$G$6),0))),ROW(מלאי!$A$2:$A$500)-ROW(מלאי!$A$2)+1,""),29),"")</f>
        <v/>
      </c>
      <c r="L51" s="8">
        <f>IF($K51="","",IFERROR(INDEX('ערכים טכנולוגיים'!$M$2:$M$500,MATCH(A51,'ערכים טכנולוגיים'!$A$2:$A$500,0)),""))</f>
        <v/>
      </c>
      <c r="M51" s="8">
        <f>IF($K51="","",IFERROR(INDEX('ערכים טכנולוגיים'!$F$2:$F$500,MATCH(A51,'ערכים טכנולוגיים'!$A$2:$A$500,0)),""))</f>
        <v/>
      </c>
      <c r="N51" s="8">
        <f>IF($K51="","",IFERROR(INDEX('ערכים טכנולוגיים'!$J$2:$J$500,MATCH(A51,'ערכים טכנולוגיים'!$A$2:$A$500,0)),""))</f>
        <v/>
      </c>
      <c r="O51" s="8">
        <f>IF($K51="","",IFERROR(INDEX('ערכים טכנולוגיים'!$G$2:$G$500,MATCH(A51,'ערכים טכנולוגיים'!$A$2:$A$500,0)),""))</f>
        <v/>
      </c>
      <c r="P51" s="8">
        <f>IF($K51="","",IFERROR(INDEX('ערכים טכנולוגיים'!$K$2:$K$500,MATCH(A51,'ערכים טכנולוגיים'!$A$2:$A$500,0)),""))</f>
        <v/>
      </c>
      <c r="Q51" s="8">
        <f>IF($K51="","",IFERROR(INDEX('ערכים טכנולוגיים'!$P$2:$P$500,MATCH(A51,'ערכים טכנולוגיים'!$A$2:$A$500,0)),""))</f>
        <v/>
      </c>
    </row>
    <row r="52">
      <c r="A52" s="9">
        <f>IF($K52="","",INDEX(מלאי!$D$2:$D$500,$K52))</f>
        <v/>
      </c>
      <c r="B52" s="9">
        <f>IF($K52="","",INDEX(מלאי!$B$2:$B$500,$K52))</f>
        <v/>
      </c>
      <c r="C52" s="9">
        <f>IF($K52="","",INDEX(מלאי!$C$2:$C$500,$K52))</f>
        <v/>
      </c>
      <c r="D52" s="9">
        <f>IF($K52="","",INDEX(מלאי!$G$2:$G$500,$K52))</f>
        <v/>
      </c>
      <c r="E52" s="9">
        <f>IF($K52="","",INDEX(מלאי!$M$2:$M$500,$K52))</f>
        <v/>
      </c>
      <c r="F52" s="9">
        <f>IF($K52="","",INDEX(מלאי!$N$2:$N$500,$K52))</f>
        <v/>
      </c>
      <c r="G52" s="9">
        <f>IF($K52="","",INDEX(מלאי!$O$2:$O$500,$K52))</f>
        <v/>
      </c>
      <c r="H52" s="9">
        <f>IF($K52="","",INDEX(מלאי!$U$2:$U$500,$K52))</f>
        <v/>
      </c>
      <c r="I52" s="9">
        <f>IF($K52="","",INDEX(מלאי!$X$2:$X$500,$K52))</f>
        <v/>
      </c>
      <c r="J52" s="9">
        <f>IF($K52="","",INDEX(מלאי!$AC$2:$AC$500,$K52))</f>
        <v/>
      </c>
      <c r="K5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טכנולוגיים'!$A$2:$A$500,0))&lt;=$G$6),0))),ROW(מלאי!$A$2:$A$500)-ROW(מלאי!$A$2)+1,""),30),"")</f>
        <v/>
      </c>
      <c r="L52" s="9">
        <f>IF($K52="","",IFERROR(INDEX('ערכים טכנולוגיים'!$M$2:$M$500,MATCH(A52,'ערכים טכנולוגיים'!$A$2:$A$500,0)),""))</f>
        <v/>
      </c>
      <c r="M52" s="9">
        <f>IF($K52="","",IFERROR(INDEX('ערכים טכנולוגיים'!$F$2:$F$500,MATCH(A52,'ערכים טכנולוגיים'!$A$2:$A$500,0)),""))</f>
        <v/>
      </c>
      <c r="N52" s="9">
        <f>IF($K52="","",IFERROR(INDEX('ערכים טכנולוגיים'!$J$2:$J$500,MATCH(A52,'ערכים טכנולוגיים'!$A$2:$A$500,0)),""))</f>
        <v/>
      </c>
      <c r="O52" s="9">
        <f>IF($K52="","",IFERROR(INDEX('ערכים טכנולוגיים'!$G$2:$G$500,MATCH(A52,'ערכים טכנולוגיים'!$A$2:$A$500,0)),""))</f>
        <v/>
      </c>
      <c r="P52" s="9">
        <f>IF($K52="","",IFERROR(INDEX('ערכים טכנולוגיים'!$K$2:$K$500,MATCH(A52,'ערכים טכנולוגיים'!$A$2:$A$500,0)),""))</f>
        <v/>
      </c>
      <c r="Q52" s="9">
        <f>IF($K52="","",IFERROR(INDEX('ערכים טכנולוגיים'!$P$2:$P$500,MATCH(A52,'ערכים טכנולוגיים'!$A$2:$A$500,0)),""))</f>
        <v/>
      </c>
    </row>
    <row r="53">
      <c r="A53" s="8">
        <f>IF($K53="","",INDEX(מלאי!$D$2:$D$500,$K53))</f>
        <v/>
      </c>
      <c r="B53" s="8">
        <f>IF($K53="","",INDEX(מלאי!$B$2:$B$500,$K53))</f>
        <v/>
      </c>
      <c r="C53" s="8">
        <f>IF($K53="","",INDEX(מלאי!$C$2:$C$500,$K53))</f>
        <v/>
      </c>
      <c r="D53" s="8">
        <f>IF($K53="","",INDEX(מלאי!$G$2:$G$500,$K53))</f>
        <v/>
      </c>
      <c r="E53" s="8">
        <f>IF($K53="","",INDEX(מלאי!$M$2:$M$500,$K53))</f>
        <v/>
      </c>
      <c r="F53" s="8">
        <f>IF($K53="","",INDEX(מלאי!$N$2:$N$500,$K53))</f>
        <v/>
      </c>
      <c r="G53" s="8">
        <f>IF($K53="","",INDEX(מלאי!$O$2:$O$500,$K53))</f>
        <v/>
      </c>
      <c r="H53" s="8">
        <f>IF($K53="","",INDEX(מלאי!$U$2:$U$500,$K53))</f>
        <v/>
      </c>
      <c r="I53" s="8">
        <f>IF($K53="","",INDEX(מלאי!$X$2:$X$500,$K53))</f>
        <v/>
      </c>
      <c r="J53" s="8">
        <f>IF($K53="","",INDEX(מלאי!$AC$2:$AC$500,$K53))</f>
        <v/>
      </c>
      <c r="K5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טכנולוגיים'!$A$2:$A$500,0))&lt;=$G$6),0))),ROW(מלאי!$A$2:$A$500)-ROW(מלאי!$A$2)+1,""),31),"")</f>
        <v/>
      </c>
      <c r="L53" s="8">
        <f>IF($K53="","",IFERROR(INDEX('ערכים טכנולוגיים'!$M$2:$M$500,MATCH(A53,'ערכים טכנולוגיים'!$A$2:$A$500,0)),""))</f>
        <v/>
      </c>
      <c r="M53" s="8">
        <f>IF($K53="","",IFERROR(INDEX('ערכים טכנולוגיים'!$F$2:$F$500,MATCH(A53,'ערכים טכנולוגיים'!$A$2:$A$500,0)),""))</f>
        <v/>
      </c>
      <c r="N53" s="8">
        <f>IF($K53="","",IFERROR(INDEX('ערכים טכנולוגיים'!$J$2:$J$500,MATCH(A53,'ערכים טכנולוגיים'!$A$2:$A$500,0)),""))</f>
        <v/>
      </c>
      <c r="O53" s="8">
        <f>IF($K53="","",IFERROR(INDEX('ערכים טכנולוגיים'!$G$2:$G$500,MATCH(A53,'ערכים טכנולוגיים'!$A$2:$A$500,0)),""))</f>
        <v/>
      </c>
      <c r="P53" s="8">
        <f>IF($K53="","",IFERROR(INDEX('ערכים טכנולוגיים'!$K$2:$K$500,MATCH(A53,'ערכים טכנולוגיים'!$A$2:$A$500,0)),""))</f>
        <v/>
      </c>
      <c r="Q53" s="8">
        <f>IF($K53="","",IFERROR(INDEX('ערכים טכנולוגיים'!$P$2:$P$500,MATCH(A53,'ערכים טכנולוגיים'!$A$2:$A$500,0)),""))</f>
        <v/>
      </c>
    </row>
    <row r="54">
      <c r="A54" s="9">
        <f>IF($K54="","",INDEX(מלאי!$D$2:$D$500,$K54))</f>
        <v/>
      </c>
      <c r="B54" s="9">
        <f>IF($K54="","",INDEX(מלאי!$B$2:$B$500,$K54))</f>
        <v/>
      </c>
      <c r="C54" s="9">
        <f>IF($K54="","",INDEX(מלאי!$C$2:$C$500,$K54))</f>
        <v/>
      </c>
      <c r="D54" s="9">
        <f>IF($K54="","",INDEX(מלאי!$G$2:$G$500,$K54))</f>
        <v/>
      </c>
      <c r="E54" s="9">
        <f>IF($K54="","",INDEX(מלאי!$M$2:$M$500,$K54))</f>
        <v/>
      </c>
      <c r="F54" s="9">
        <f>IF($K54="","",INDEX(מלאי!$N$2:$N$500,$K54))</f>
        <v/>
      </c>
      <c r="G54" s="9">
        <f>IF($K54="","",INDEX(מלאי!$O$2:$O$500,$K54))</f>
        <v/>
      </c>
      <c r="H54" s="9">
        <f>IF($K54="","",INDEX(מלאי!$U$2:$U$500,$K54))</f>
        <v/>
      </c>
      <c r="I54" s="9">
        <f>IF($K54="","",INDEX(מלאי!$X$2:$X$500,$K54))</f>
        <v/>
      </c>
      <c r="J54" s="9">
        <f>IF($K54="","",INDEX(מלאי!$AC$2:$AC$500,$K54))</f>
        <v/>
      </c>
      <c r="K5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טכנולוגיים'!$A$2:$A$500,0))&lt;=$G$6),0))),ROW(מלאי!$A$2:$A$500)-ROW(מלאי!$A$2)+1,""),32),"")</f>
        <v/>
      </c>
      <c r="L54" s="9">
        <f>IF($K54="","",IFERROR(INDEX('ערכים טכנולוגיים'!$M$2:$M$500,MATCH(A54,'ערכים טכנולוגיים'!$A$2:$A$500,0)),""))</f>
        <v/>
      </c>
      <c r="M54" s="9">
        <f>IF($K54="","",IFERROR(INDEX('ערכים טכנולוגיים'!$F$2:$F$500,MATCH(A54,'ערכים טכנולוגיים'!$A$2:$A$500,0)),""))</f>
        <v/>
      </c>
      <c r="N54" s="9">
        <f>IF($K54="","",IFERROR(INDEX('ערכים טכנולוגיים'!$J$2:$J$500,MATCH(A54,'ערכים טכנולוגיים'!$A$2:$A$500,0)),""))</f>
        <v/>
      </c>
      <c r="O54" s="9">
        <f>IF($K54="","",IFERROR(INDEX('ערכים טכנולוגיים'!$G$2:$G$500,MATCH(A54,'ערכים טכנולוגיים'!$A$2:$A$500,0)),""))</f>
        <v/>
      </c>
      <c r="P54" s="9">
        <f>IF($K54="","",IFERROR(INDEX('ערכים טכנולוגיים'!$K$2:$K$500,MATCH(A54,'ערכים טכנולוגיים'!$A$2:$A$500,0)),""))</f>
        <v/>
      </c>
      <c r="Q54" s="9">
        <f>IF($K54="","",IFERROR(INDEX('ערכים טכנולוגיים'!$P$2:$P$500,MATCH(A54,'ערכים טכנולוגיים'!$A$2:$A$500,0)),""))</f>
        <v/>
      </c>
    </row>
    <row r="55">
      <c r="A55" s="8">
        <f>IF($K55="","",INDEX(מלאי!$D$2:$D$500,$K55))</f>
        <v/>
      </c>
      <c r="B55" s="8">
        <f>IF($K55="","",INDEX(מלאי!$B$2:$B$500,$K55))</f>
        <v/>
      </c>
      <c r="C55" s="8">
        <f>IF($K55="","",INDEX(מלאי!$C$2:$C$500,$K55))</f>
        <v/>
      </c>
      <c r="D55" s="8">
        <f>IF($K55="","",INDEX(מלאי!$G$2:$G$500,$K55))</f>
        <v/>
      </c>
      <c r="E55" s="8">
        <f>IF($K55="","",INDEX(מלאי!$M$2:$M$500,$K55))</f>
        <v/>
      </c>
      <c r="F55" s="8">
        <f>IF($K55="","",INDEX(מלאי!$N$2:$N$500,$K55))</f>
        <v/>
      </c>
      <c r="G55" s="8">
        <f>IF($K55="","",INDEX(מלאי!$O$2:$O$500,$K55))</f>
        <v/>
      </c>
      <c r="H55" s="8">
        <f>IF($K55="","",INDEX(מלאי!$U$2:$U$500,$K55))</f>
        <v/>
      </c>
      <c r="I55" s="8">
        <f>IF($K55="","",INDEX(מלאי!$X$2:$X$500,$K55))</f>
        <v/>
      </c>
      <c r="J55" s="8">
        <f>IF($K55="","",INDEX(מלאי!$AC$2:$AC$500,$K55))</f>
        <v/>
      </c>
      <c r="K5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טכנולוגיים'!$A$2:$A$500,0))&lt;=$G$6),0))),ROW(מלאי!$A$2:$A$500)-ROW(מלאי!$A$2)+1,""),33),"")</f>
        <v/>
      </c>
      <c r="L55" s="8">
        <f>IF($K55="","",IFERROR(INDEX('ערכים טכנולוגיים'!$M$2:$M$500,MATCH(A55,'ערכים טכנולוגיים'!$A$2:$A$500,0)),""))</f>
        <v/>
      </c>
      <c r="M55" s="8">
        <f>IF($K55="","",IFERROR(INDEX('ערכים טכנולוגיים'!$F$2:$F$500,MATCH(A55,'ערכים טכנולוגיים'!$A$2:$A$500,0)),""))</f>
        <v/>
      </c>
      <c r="N55" s="8">
        <f>IF($K55="","",IFERROR(INDEX('ערכים טכנולוגיים'!$J$2:$J$500,MATCH(A55,'ערכים טכנולוגיים'!$A$2:$A$500,0)),""))</f>
        <v/>
      </c>
      <c r="O55" s="8">
        <f>IF($K55="","",IFERROR(INDEX('ערכים טכנולוגיים'!$G$2:$G$500,MATCH(A55,'ערכים טכנולוגיים'!$A$2:$A$500,0)),""))</f>
        <v/>
      </c>
      <c r="P55" s="8">
        <f>IF($K55="","",IFERROR(INDEX('ערכים טכנולוגיים'!$K$2:$K$500,MATCH(A55,'ערכים טכנולוגיים'!$A$2:$A$500,0)),""))</f>
        <v/>
      </c>
      <c r="Q55" s="8">
        <f>IF($K55="","",IFERROR(INDEX('ערכים טכנולוגיים'!$P$2:$P$500,MATCH(A55,'ערכים טכנולוגיים'!$A$2:$A$500,0)),""))</f>
        <v/>
      </c>
    </row>
    <row r="56">
      <c r="A56" s="9">
        <f>IF($K56="","",INDEX(מלאי!$D$2:$D$500,$K56))</f>
        <v/>
      </c>
      <c r="B56" s="9">
        <f>IF($K56="","",INDEX(מלאי!$B$2:$B$500,$K56))</f>
        <v/>
      </c>
      <c r="C56" s="9">
        <f>IF($K56="","",INDEX(מלאי!$C$2:$C$500,$K56))</f>
        <v/>
      </c>
      <c r="D56" s="9">
        <f>IF($K56="","",INDEX(מלאי!$G$2:$G$500,$K56))</f>
        <v/>
      </c>
      <c r="E56" s="9">
        <f>IF($K56="","",INDEX(מלאי!$M$2:$M$500,$K56))</f>
        <v/>
      </c>
      <c r="F56" s="9">
        <f>IF($K56="","",INDEX(מלאי!$N$2:$N$500,$K56))</f>
        <v/>
      </c>
      <c r="G56" s="9">
        <f>IF($K56="","",INDEX(מלאי!$O$2:$O$500,$K56))</f>
        <v/>
      </c>
      <c r="H56" s="9">
        <f>IF($K56="","",INDEX(מלאי!$U$2:$U$500,$K56))</f>
        <v/>
      </c>
      <c r="I56" s="9">
        <f>IF($K56="","",INDEX(מלאי!$X$2:$X$500,$K56))</f>
        <v/>
      </c>
      <c r="J56" s="9">
        <f>IF($K56="","",INDEX(מלאי!$AC$2:$AC$500,$K56))</f>
        <v/>
      </c>
      <c r="K5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טכנולוגיים'!$A$2:$A$500,0))&lt;=$G$6),0))),ROW(מלאי!$A$2:$A$500)-ROW(מלאי!$A$2)+1,""),34),"")</f>
        <v/>
      </c>
      <c r="L56" s="9">
        <f>IF($K56="","",IFERROR(INDEX('ערכים טכנולוגיים'!$M$2:$M$500,MATCH(A56,'ערכים טכנולוגיים'!$A$2:$A$500,0)),""))</f>
        <v/>
      </c>
      <c r="M56" s="9">
        <f>IF($K56="","",IFERROR(INDEX('ערכים טכנולוגיים'!$F$2:$F$500,MATCH(A56,'ערכים טכנולוגיים'!$A$2:$A$500,0)),""))</f>
        <v/>
      </c>
      <c r="N56" s="9">
        <f>IF($K56="","",IFERROR(INDEX('ערכים טכנולוגיים'!$J$2:$J$500,MATCH(A56,'ערכים טכנולוגיים'!$A$2:$A$500,0)),""))</f>
        <v/>
      </c>
      <c r="O56" s="9">
        <f>IF($K56="","",IFERROR(INDEX('ערכים טכנולוגיים'!$G$2:$G$500,MATCH(A56,'ערכים טכנולוגיים'!$A$2:$A$500,0)),""))</f>
        <v/>
      </c>
      <c r="P56" s="9">
        <f>IF($K56="","",IFERROR(INDEX('ערכים טכנולוגיים'!$K$2:$K$500,MATCH(A56,'ערכים טכנולוגיים'!$A$2:$A$500,0)),""))</f>
        <v/>
      </c>
      <c r="Q56" s="9">
        <f>IF($K56="","",IFERROR(INDEX('ערכים טכנולוגיים'!$P$2:$P$500,MATCH(A56,'ערכים טכנולוגיים'!$A$2:$A$500,0)),""))</f>
        <v/>
      </c>
    </row>
    <row r="57">
      <c r="A57" s="8">
        <f>IF($K57="","",INDEX(מלאי!$D$2:$D$500,$K57))</f>
        <v/>
      </c>
      <c r="B57" s="8">
        <f>IF($K57="","",INDEX(מלאי!$B$2:$B$500,$K57))</f>
        <v/>
      </c>
      <c r="C57" s="8">
        <f>IF($K57="","",INDEX(מלאי!$C$2:$C$500,$K57))</f>
        <v/>
      </c>
      <c r="D57" s="8">
        <f>IF($K57="","",INDEX(מלאי!$G$2:$G$500,$K57))</f>
        <v/>
      </c>
      <c r="E57" s="8">
        <f>IF($K57="","",INDEX(מלאי!$M$2:$M$500,$K57))</f>
        <v/>
      </c>
      <c r="F57" s="8">
        <f>IF($K57="","",INDEX(מלאי!$N$2:$N$500,$K57))</f>
        <v/>
      </c>
      <c r="G57" s="8">
        <f>IF($K57="","",INDEX(מלאי!$O$2:$O$500,$K57))</f>
        <v/>
      </c>
      <c r="H57" s="8">
        <f>IF($K57="","",INDEX(מלאי!$U$2:$U$500,$K57))</f>
        <v/>
      </c>
      <c r="I57" s="8">
        <f>IF($K57="","",INDEX(מלאי!$X$2:$X$500,$K57))</f>
        <v/>
      </c>
      <c r="J57" s="8">
        <f>IF($K57="","",INDEX(מלאי!$AC$2:$AC$500,$K57))</f>
        <v/>
      </c>
      <c r="K5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טכנולוגיים'!$A$2:$A$500,0))&lt;=$G$6),0))),ROW(מלאי!$A$2:$A$500)-ROW(מלאי!$A$2)+1,""),35),"")</f>
        <v/>
      </c>
      <c r="L57" s="8">
        <f>IF($K57="","",IFERROR(INDEX('ערכים טכנולוגיים'!$M$2:$M$500,MATCH(A57,'ערכים טכנולוגיים'!$A$2:$A$500,0)),""))</f>
        <v/>
      </c>
      <c r="M57" s="8">
        <f>IF($K57="","",IFERROR(INDEX('ערכים טכנולוגיים'!$F$2:$F$500,MATCH(A57,'ערכים טכנולוגיים'!$A$2:$A$500,0)),""))</f>
        <v/>
      </c>
      <c r="N57" s="8">
        <f>IF($K57="","",IFERROR(INDEX('ערכים טכנולוגיים'!$J$2:$J$500,MATCH(A57,'ערכים טכנולוגיים'!$A$2:$A$500,0)),""))</f>
        <v/>
      </c>
      <c r="O57" s="8">
        <f>IF($K57="","",IFERROR(INDEX('ערכים טכנולוגיים'!$G$2:$G$500,MATCH(A57,'ערכים טכנולוגיים'!$A$2:$A$500,0)),""))</f>
        <v/>
      </c>
      <c r="P57" s="8">
        <f>IF($K57="","",IFERROR(INDEX('ערכים טכנולוגיים'!$K$2:$K$500,MATCH(A57,'ערכים טכנולוגיים'!$A$2:$A$500,0)),""))</f>
        <v/>
      </c>
      <c r="Q57" s="8">
        <f>IF($K57="","",IFERROR(INDEX('ערכים טכנולוגיים'!$P$2:$P$500,MATCH(A57,'ערכים טכנולוגיים'!$A$2:$A$500,0)),""))</f>
        <v/>
      </c>
    </row>
    <row r="58">
      <c r="A58" s="9">
        <f>IF($K58="","",INDEX(מלאי!$D$2:$D$500,$K58))</f>
        <v/>
      </c>
      <c r="B58" s="9">
        <f>IF($K58="","",INDEX(מלאי!$B$2:$B$500,$K58))</f>
        <v/>
      </c>
      <c r="C58" s="9">
        <f>IF($K58="","",INDEX(מלאי!$C$2:$C$500,$K58))</f>
        <v/>
      </c>
      <c r="D58" s="9">
        <f>IF($K58="","",INDEX(מלאי!$G$2:$G$500,$K58))</f>
        <v/>
      </c>
      <c r="E58" s="9">
        <f>IF($K58="","",INDEX(מלאי!$M$2:$M$500,$K58))</f>
        <v/>
      </c>
      <c r="F58" s="9">
        <f>IF($K58="","",INDEX(מלאי!$N$2:$N$500,$K58))</f>
        <v/>
      </c>
      <c r="G58" s="9">
        <f>IF($K58="","",INDEX(מלאי!$O$2:$O$500,$K58))</f>
        <v/>
      </c>
      <c r="H58" s="9">
        <f>IF($K58="","",INDEX(מלאי!$U$2:$U$500,$K58))</f>
        <v/>
      </c>
      <c r="I58" s="9">
        <f>IF($K58="","",INDEX(מלאי!$X$2:$X$500,$K58))</f>
        <v/>
      </c>
      <c r="J58" s="9">
        <f>IF($K58="","",INDEX(מלאי!$AC$2:$AC$500,$K58))</f>
        <v/>
      </c>
      <c r="K5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טכנולוגיים'!$A$2:$A$500,0))&lt;=$G$6),0))),ROW(מלאי!$A$2:$A$500)-ROW(מלאי!$A$2)+1,""),36),"")</f>
        <v/>
      </c>
      <c r="L58" s="9">
        <f>IF($K58="","",IFERROR(INDEX('ערכים טכנולוגיים'!$M$2:$M$500,MATCH(A58,'ערכים טכנולוגיים'!$A$2:$A$500,0)),""))</f>
        <v/>
      </c>
      <c r="M58" s="9">
        <f>IF($K58="","",IFERROR(INDEX('ערכים טכנולוגיים'!$F$2:$F$500,MATCH(A58,'ערכים טכנולוגיים'!$A$2:$A$500,0)),""))</f>
        <v/>
      </c>
      <c r="N58" s="9">
        <f>IF($K58="","",IFERROR(INDEX('ערכים טכנולוגיים'!$J$2:$J$500,MATCH(A58,'ערכים טכנולוגיים'!$A$2:$A$500,0)),""))</f>
        <v/>
      </c>
      <c r="O58" s="9">
        <f>IF($K58="","",IFERROR(INDEX('ערכים טכנולוגיים'!$G$2:$G$500,MATCH(A58,'ערכים טכנולוגיים'!$A$2:$A$500,0)),""))</f>
        <v/>
      </c>
      <c r="P58" s="9">
        <f>IF($K58="","",IFERROR(INDEX('ערכים טכנולוגיים'!$K$2:$K$500,MATCH(A58,'ערכים טכנולוגיים'!$A$2:$A$500,0)),""))</f>
        <v/>
      </c>
      <c r="Q58" s="9">
        <f>IF($K58="","",IFERROR(INDEX('ערכים טכנולוגיים'!$P$2:$P$500,MATCH(A58,'ערכים טכנולוגיים'!$A$2:$A$500,0)),""))</f>
        <v/>
      </c>
    </row>
    <row r="59">
      <c r="A59" s="8">
        <f>IF($K59="","",INDEX(מלאי!$D$2:$D$500,$K59))</f>
        <v/>
      </c>
      <c r="B59" s="8">
        <f>IF($K59="","",INDEX(מלאי!$B$2:$B$500,$K59))</f>
        <v/>
      </c>
      <c r="C59" s="8">
        <f>IF($K59="","",INDEX(מלאי!$C$2:$C$500,$K59))</f>
        <v/>
      </c>
      <c r="D59" s="8">
        <f>IF($K59="","",INDEX(מלאי!$G$2:$G$500,$K59))</f>
        <v/>
      </c>
      <c r="E59" s="8">
        <f>IF($K59="","",INDEX(מלאי!$M$2:$M$500,$K59))</f>
        <v/>
      </c>
      <c r="F59" s="8">
        <f>IF($K59="","",INDEX(מלאי!$N$2:$N$500,$K59))</f>
        <v/>
      </c>
      <c r="G59" s="8">
        <f>IF($K59="","",INDEX(מלאי!$O$2:$O$500,$K59))</f>
        <v/>
      </c>
      <c r="H59" s="8">
        <f>IF($K59="","",INDEX(מלאי!$U$2:$U$500,$K59))</f>
        <v/>
      </c>
      <c r="I59" s="8">
        <f>IF($K59="","",INDEX(מלאי!$X$2:$X$500,$K59))</f>
        <v/>
      </c>
      <c r="J59" s="8">
        <f>IF($K59="","",INDEX(מלאי!$AC$2:$AC$500,$K59))</f>
        <v/>
      </c>
      <c r="K5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טכנולוגיים'!$A$2:$A$500,0))&lt;=$G$6),0))),ROW(מלאי!$A$2:$A$500)-ROW(מלאי!$A$2)+1,""),37),"")</f>
        <v/>
      </c>
      <c r="L59" s="8">
        <f>IF($K59="","",IFERROR(INDEX('ערכים טכנולוגיים'!$M$2:$M$500,MATCH(A59,'ערכים טכנולוגיים'!$A$2:$A$500,0)),""))</f>
        <v/>
      </c>
      <c r="M59" s="8">
        <f>IF($K59="","",IFERROR(INDEX('ערכים טכנולוגיים'!$F$2:$F$500,MATCH(A59,'ערכים טכנולוגיים'!$A$2:$A$500,0)),""))</f>
        <v/>
      </c>
      <c r="N59" s="8">
        <f>IF($K59="","",IFERROR(INDEX('ערכים טכנולוגיים'!$J$2:$J$500,MATCH(A59,'ערכים טכנולוגיים'!$A$2:$A$500,0)),""))</f>
        <v/>
      </c>
      <c r="O59" s="8">
        <f>IF($K59="","",IFERROR(INDEX('ערכים טכנולוגיים'!$G$2:$G$500,MATCH(A59,'ערכים טכנולוגיים'!$A$2:$A$500,0)),""))</f>
        <v/>
      </c>
      <c r="P59" s="8">
        <f>IF($K59="","",IFERROR(INDEX('ערכים טכנולוגיים'!$K$2:$K$500,MATCH(A59,'ערכים טכנולוגיים'!$A$2:$A$500,0)),""))</f>
        <v/>
      </c>
      <c r="Q59" s="8">
        <f>IF($K59="","",IFERROR(INDEX('ערכים טכנולוגיים'!$P$2:$P$500,MATCH(A59,'ערכים טכנולוגיים'!$A$2:$A$500,0)),""))</f>
        <v/>
      </c>
    </row>
    <row r="60">
      <c r="A60" s="9">
        <f>IF($K60="","",INDEX(מלאי!$D$2:$D$500,$K60))</f>
        <v/>
      </c>
      <c r="B60" s="9">
        <f>IF($K60="","",INDEX(מלאי!$B$2:$B$500,$K60))</f>
        <v/>
      </c>
      <c r="C60" s="9">
        <f>IF($K60="","",INDEX(מלאי!$C$2:$C$500,$K60))</f>
        <v/>
      </c>
      <c r="D60" s="9">
        <f>IF($K60="","",INDEX(מלאי!$G$2:$G$500,$K60))</f>
        <v/>
      </c>
      <c r="E60" s="9">
        <f>IF($K60="","",INDEX(מלאי!$M$2:$M$500,$K60))</f>
        <v/>
      </c>
      <c r="F60" s="9">
        <f>IF($K60="","",INDEX(מלאי!$N$2:$N$500,$K60))</f>
        <v/>
      </c>
      <c r="G60" s="9">
        <f>IF($K60="","",INDEX(מלאי!$O$2:$O$500,$K60))</f>
        <v/>
      </c>
      <c r="H60" s="9">
        <f>IF($K60="","",INDEX(מלאי!$U$2:$U$500,$K60))</f>
        <v/>
      </c>
      <c r="I60" s="9">
        <f>IF($K60="","",INDEX(מלאי!$X$2:$X$500,$K60))</f>
        <v/>
      </c>
      <c r="J60" s="9">
        <f>IF($K60="","",INDEX(מלאי!$AC$2:$AC$500,$K60))</f>
        <v/>
      </c>
      <c r="K6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טכנולוגיים'!$A$2:$A$500,0))&lt;=$G$6),0))),ROW(מלאי!$A$2:$A$500)-ROW(מלאי!$A$2)+1,""),38),"")</f>
        <v/>
      </c>
      <c r="L60" s="9">
        <f>IF($K60="","",IFERROR(INDEX('ערכים טכנולוגיים'!$M$2:$M$500,MATCH(A60,'ערכים טכנולוגיים'!$A$2:$A$500,0)),""))</f>
        <v/>
      </c>
      <c r="M60" s="9">
        <f>IF($K60="","",IFERROR(INDEX('ערכים טכנולוגיים'!$F$2:$F$500,MATCH(A60,'ערכים טכנולוגיים'!$A$2:$A$500,0)),""))</f>
        <v/>
      </c>
      <c r="N60" s="9">
        <f>IF($K60="","",IFERROR(INDEX('ערכים טכנולוגיים'!$J$2:$J$500,MATCH(A60,'ערכים טכנולוגיים'!$A$2:$A$500,0)),""))</f>
        <v/>
      </c>
      <c r="O60" s="9">
        <f>IF($K60="","",IFERROR(INDEX('ערכים טכנולוגיים'!$G$2:$G$500,MATCH(A60,'ערכים טכנולוגיים'!$A$2:$A$500,0)),""))</f>
        <v/>
      </c>
      <c r="P60" s="9">
        <f>IF($K60="","",IFERROR(INDEX('ערכים טכנולוגיים'!$K$2:$K$500,MATCH(A60,'ערכים טכנולוגיים'!$A$2:$A$500,0)),""))</f>
        <v/>
      </c>
      <c r="Q60" s="9">
        <f>IF($K60="","",IFERROR(INDEX('ערכים טכנולוגיים'!$P$2:$P$500,MATCH(A60,'ערכים טכנולוגיים'!$A$2:$A$500,0)),""))</f>
        <v/>
      </c>
    </row>
    <row r="61">
      <c r="A61" s="8">
        <f>IF($K61="","",INDEX(מלאי!$D$2:$D$500,$K61))</f>
        <v/>
      </c>
      <c r="B61" s="8">
        <f>IF($K61="","",INDEX(מלאי!$B$2:$B$500,$K61))</f>
        <v/>
      </c>
      <c r="C61" s="8">
        <f>IF($K61="","",INDEX(מלאי!$C$2:$C$500,$K61))</f>
        <v/>
      </c>
      <c r="D61" s="8">
        <f>IF($K61="","",INDEX(מלאי!$G$2:$G$500,$K61))</f>
        <v/>
      </c>
      <c r="E61" s="8">
        <f>IF($K61="","",INDEX(מלאי!$M$2:$M$500,$K61))</f>
        <v/>
      </c>
      <c r="F61" s="8">
        <f>IF($K61="","",INDEX(מלאי!$N$2:$N$500,$K61))</f>
        <v/>
      </c>
      <c r="G61" s="8">
        <f>IF($K61="","",INDEX(מלאי!$O$2:$O$500,$K61))</f>
        <v/>
      </c>
      <c r="H61" s="8">
        <f>IF($K61="","",INDEX(מלאי!$U$2:$U$500,$K61))</f>
        <v/>
      </c>
      <c r="I61" s="8">
        <f>IF($K61="","",INDEX(מלאי!$X$2:$X$500,$K61))</f>
        <v/>
      </c>
      <c r="J61" s="8">
        <f>IF($K61="","",INDEX(מלאי!$AC$2:$AC$500,$K61))</f>
        <v/>
      </c>
      <c r="K6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טכנולוגיים'!$A$2:$A$500,0))&lt;=$G$6),0))),ROW(מלאי!$A$2:$A$500)-ROW(מלאי!$A$2)+1,""),39),"")</f>
        <v/>
      </c>
      <c r="L61" s="8">
        <f>IF($K61="","",IFERROR(INDEX('ערכים טכנולוגיים'!$M$2:$M$500,MATCH(A61,'ערכים טכנולוגיים'!$A$2:$A$500,0)),""))</f>
        <v/>
      </c>
      <c r="M61" s="8">
        <f>IF($K61="","",IFERROR(INDEX('ערכים טכנולוגיים'!$F$2:$F$500,MATCH(A61,'ערכים טכנולוגיים'!$A$2:$A$500,0)),""))</f>
        <v/>
      </c>
      <c r="N61" s="8">
        <f>IF($K61="","",IFERROR(INDEX('ערכים טכנולוגיים'!$J$2:$J$500,MATCH(A61,'ערכים טכנולוגיים'!$A$2:$A$500,0)),""))</f>
        <v/>
      </c>
      <c r="O61" s="8">
        <f>IF($K61="","",IFERROR(INDEX('ערכים טכנולוגיים'!$G$2:$G$500,MATCH(A61,'ערכים טכנולוגיים'!$A$2:$A$500,0)),""))</f>
        <v/>
      </c>
      <c r="P61" s="8">
        <f>IF($K61="","",IFERROR(INDEX('ערכים טכנולוגיים'!$K$2:$K$500,MATCH(A61,'ערכים טכנולוגיים'!$A$2:$A$500,0)),""))</f>
        <v/>
      </c>
      <c r="Q61" s="8">
        <f>IF($K61="","",IFERROR(INDEX('ערכים טכנולוגיים'!$P$2:$P$500,MATCH(A61,'ערכים טכנולוגיים'!$A$2:$A$500,0)),""))</f>
        <v/>
      </c>
    </row>
    <row r="62">
      <c r="A62" s="9">
        <f>IF($K62="","",INDEX(מלאי!$D$2:$D$500,$K62))</f>
        <v/>
      </c>
      <c r="B62" s="9">
        <f>IF($K62="","",INDEX(מלאי!$B$2:$B$500,$K62))</f>
        <v/>
      </c>
      <c r="C62" s="9">
        <f>IF($K62="","",INDEX(מלאי!$C$2:$C$500,$K62))</f>
        <v/>
      </c>
      <c r="D62" s="9">
        <f>IF($K62="","",INDEX(מלאי!$G$2:$G$500,$K62))</f>
        <v/>
      </c>
      <c r="E62" s="9">
        <f>IF($K62="","",INDEX(מלאי!$M$2:$M$500,$K62))</f>
        <v/>
      </c>
      <c r="F62" s="9">
        <f>IF($K62="","",INDEX(מלאי!$N$2:$N$500,$K62))</f>
        <v/>
      </c>
      <c r="G62" s="9">
        <f>IF($K62="","",INDEX(מלאי!$O$2:$O$500,$K62))</f>
        <v/>
      </c>
      <c r="H62" s="9">
        <f>IF($K62="","",INDEX(מלאי!$U$2:$U$500,$K62))</f>
        <v/>
      </c>
      <c r="I62" s="9">
        <f>IF($K62="","",INDEX(מלאי!$X$2:$X$500,$K62))</f>
        <v/>
      </c>
      <c r="J62" s="9">
        <f>IF($K62="","",INDEX(מלאי!$AC$2:$AC$500,$K62))</f>
        <v/>
      </c>
      <c r="K6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טכנולוגיים'!$A$2:$A$500,0))&lt;=$G$6),0))),ROW(מלאי!$A$2:$A$500)-ROW(מלאי!$A$2)+1,""),40),"")</f>
        <v/>
      </c>
      <c r="L62" s="9">
        <f>IF($K62="","",IFERROR(INDEX('ערכים טכנולוגיים'!$M$2:$M$500,MATCH(A62,'ערכים טכנולוגיים'!$A$2:$A$500,0)),""))</f>
        <v/>
      </c>
      <c r="M62" s="9">
        <f>IF($K62="","",IFERROR(INDEX('ערכים טכנולוגיים'!$F$2:$F$500,MATCH(A62,'ערכים טכנולוגיים'!$A$2:$A$500,0)),""))</f>
        <v/>
      </c>
      <c r="N62" s="9">
        <f>IF($K62="","",IFERROR(INDEX('ערכים טכנולוגיים'!$J$2:$J$500,MATCH(A62,'ערכים טכנולוגיים'!$A$2:$A$500,0)),""))</f>
        <v/>
      </c>
      <c r="O62" s="9">
        <f>IF($K62="","",IFERROR(INDEX('ערכים טכנולוגיים'!$G$2:$G$500,MATCH(A62,'ערכים טכנולוגיים'!$A$2:$A$500,0)),""))</f>
        <v/>
      </c>
      <c r="P62" s="9">
        <f>IF($K62="","",IFERROR(INDEX('ערכים טכנולוגיים'!$K$2:$K$500,MATCH(A62,'ערכים טכנולוגיים'!$A$2:$A$500,0)),""))</f>
        <v/>
      </c>
      <c r="Q62" s="9">
        <f>IF($K62="","",IFERROR(INDEX('ערכים טכנולוגיים'!$P$2:$P$500,MATCH(A62,'ערכים טכנולוגיים'!$A$2:$A$500,0)),""))</f>
        <v/>
      </c>
    </row>
    <row r="63">
      <c r="A63" s="8">
        <f>IF($K63="","",INDEX(מלאי!$D$2:$D$500,$K63))</f>
        <v/>
      </c>
      <c r="B63" s="8">
        <f>IF($K63="","",INDEX(מלאי!$B$2:$B$500,$K63))</f>
        <v/>
      </c>
      <c r="C63" s="8">
        <f>IF($K63="","",INDEX(מלאי!$C$2:$C$500,$K63))</f>
        <v/>
      </c>
      <c r="D63" s="8">
        <f>IF($K63="","",INDEX(מלאי!$G$2:$G$500,$K63))</f>
        <v/>
      </c>
      <c r="E63" s="8">
        <f>IF($K63="","",INDEX(מלאי!$M$2:$M$500,$K63))</f>
        <v/>
      </c>
      <c r="F63" s="8">
        <f>IF($K63="","",INDEX(מלאי!$N$2:$N$500,$K63))</f>
        <v/>
      </c>
      <c r="G63" s="8">
        <f>IF($K63="","",INDEX(מלאי!$O$2:$O$500,$K63))</f>
        <v/>
      </c>
      <c r="H63" s="8">
        <f>IF($K63="","",INDEX(מלאי!$U$2:$U$500,$K63))</f>
        <v/>
      </c>
      <c r="I63" s="8">
        <f>IF($K63="","",INDEX(מלאי!$X$2:$X$500,$K63))</f>
        <v/>
      </c>
      <c r="J63" s="8">
        <f>IF($K63="","",INDEX(מלאי!$AC$2:$AC$500,$K63))</f>
        <v/>
      </c>
      <c r="K6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טכנולוגיים'!$A$2:$A$500,0))&lt;=$G$6),0))),ROW(מלאי!$A$2:$A$500)-ROW(מלאי!$A$2)+1,""),41),"")</f>
        <v/>
      </c>
      <c r="L63" s="8">
        <f>IF($K63="","",IFERROR(INDEX('ערכים טכנולוגיים'!$M$2:$M$500,MATCH(A63,'ערכים טכנולוגיים'!$A$2:$A$500,0)),""))</f>
        <v/>
      </c>
      <c r="M63" s="8">
        <f>IF($K63="","",IFERROR(INDEX('ערכים טכנולוגיים'!$F$2:$F$500,MATCH(A63,'ערכים טכנולוגיים'!$A$2:$A$500,0)),""))</f>
        <v/>
      </c>
      <c r="N63" s="8">
        <f>IF($K63="","",IFERROR(INDEX('ערכים טכנולוגיים'!$J$2:$J$500,MATCH(A63,'ערכים טכנולוגיים'!$A$2:$A$500,0)),""))</f>
        <v/>
      </c>
      <c r="O63" s="8">
        <f>IF($K63="","",IFERROR(INDEX('ערכים טכנולוגיים'!$G$2:$G$500,MATCH(A63,'ערכים טכנולוגיים'!$A$2:$A$500,0)),""))</f>
        <v/>
      </c>
      <c r="P63" s="8">
        <f>IF($K63="","",IFERROR(INDEX('ערכים טכנולוגיים'!$K$2:$K$500,MATCH(A63,'ערכים טכנולוגיים'!$A$2:$A$500,0)),""))</f>
        <v/>
      </c>
      <c r="Q63" s="8">
        <f>IF($K63="","",IFERROR(INDEX('ערכים טכנולוגיים'!$P$2:$P$500,MATCH(A63,'ערכים טכנולוגיים'!$A$2:$A$500,0)),""))</f>
        <v/>
      </c>
    </row>
    <row r="64">
      <c r="A64" s="9">
        <f>IF($K64="","",INDEX(מלאי!$D$2:$D$500,$K64))</f>
        <v/>
      </c>
      <c r="B64" s="9">
        <f>IF($K64="","",INDEX(מלאי!$B$2:$B$500,$K64))</f>
        <v/>
      </c>
      <c r="C64" s="9">
        <f>IF($K64="","",INDEX(מלאי!$C$2:$C$500,$K64))</f>
        <v/>
      </c>
      <c r="D64" s="9">
        <f>IF($K64="","",INDEX(מלאי!$G$2:$G$500,$K64))</f>
        <v/>
      </c>
      <c r="E64" s="9">
        <f>IF($K64="","",INDEX(מלאי!$M$2:$M$500,$K64))</f>
        <v/>
      </c>
      <c r="F64" s="9">
        <f>IF($K64="","",INDEX(מלאי!$N$2:$N$500,$K64))</f>
        <v/>
      </c>
      <c r="G64" s="9">
        <f>IF($K64="","",INDEX(מלאי!$O$2:$O$500,$K64))</f>
        <v/>
      </c>
      <c r="H64" s="9">
        <f>IF($K64="","",INDEX(מלאי!$U$2:$U$500,$K64))</f>
        <v/>
      </c>
      <c r="I64" s="9">
        <f>IF($K64="","",INDEX(מלאי!$X$2:$X$500,$K64))</f>
        <v/>
      </c>
      <c r="J64" s="9">
        <f>IF($K64="","",INDEX(מלאי!$AC$2:$AC$500,$K64))</f>
        <v/>
      </c>
      <c r="K6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טכנולוגיים'!$A$2:$A$500,0))&lt;=$G$6),0))),ROW(מלאי!$A$2:$A$500)-ROW(מלאי!$A$2)+1,""),42),"")</f>
        <v/>
      </c>
      <c r="L64" s="9">
        <f>IF($K64="","",IFERROR(INDEX('ערכים טכנולוגיים'!$M$2:$M$500,MATCH(A64,'ערכים טכנולוגיים'!$A$2:$A$500,0)),""))</f>
        <v/>
      </c>
      <c r="M64" s="9">
        <f>IF($K64="","",IFERROR(INDEX('ערכים טכנולוגיים'!$F$2:$F$500,MATCH(A64,'ערכים טכנולוגיים'!$A$2:$A$500,0)),""))</f>
        <v/>
      </c>
      <c r="N64" s="9">
        <f>IF($K64="","",IFERROR(INDEX('ערכים טכנולוגיים'!$J$2:$J$500,MATCH(A64,'ערכים טכנולוגיים'!$A$2:$A$500,0)),""))</f>
        <v/>
      </c>
      <c r="O64" s="9">
        <f>IF($K64="","",IFERROR(INDEX('ערכים טכנולוגיים'!$G$2:$G$500,MATCH(A64,'ערכים טכנולוגיים'!$A$2:$A$500,0)),""))</f>
        <v/>
      </c>
      <c r="P64" s="9">
        <f>IF($K64="","",IFERROR(INDEX('ערכים טכנולוגיים'!$K$2:$K$500,MATCH(A64,'ערכים טכנולוגיים'!$A$2:$A$500,0)),""))</f>
        <v/>
      </c>
      <c r="Q64" s="9">
        <f>IF($K64="","",IFERROR(INDEX('ערכים טכנולוגיים'!$P$2:$P$500,MATCH(A64,'ערכים טכנולוגיים'!$A$2:$A$500,0)),""))</f>
        <v/>
      </c>
    </row>
    <row r="65">
      <c r="A65" s="8">
        <f>IF($K65="","",INDEX(מלאי!$D$2:$D$500,$K65))</f>
        <v/>
      </c>
      <c r="B65" s="8">
        <f>IF($K65="","",INDEX(מלאי!$B$2:$B$500,$K65))</f>
        <v/>
      </c>
      <c r="C65" s="8">
        <f>IF($K65="","",INDEX(מלאי!$C$2:$C$500,$K65))</f>
        <v/>
      </c>
      <c r="D65" s="8">
        <f>IF($K65="","",INDEX(מלאי!$G$2:$G$500,$K65))</f>
        <v/>
      </c>
      <c r="E65" s="8">
        <f>IF($K65="","",INDEX(מלאי!$M$2:$M$500,$K65))</f>
        <v/>
      </c>
      <c r="F65" s="8">
        <f>IF($K65="","",INDEX(מלאי!$N$2:$N$500,$K65))</f>
        <v/>
      </c>
      <c r="G65" s="8">
        <f>IF($K65="","",INDEX(מלאי!$O$2:$O$500,$K65))</f>
        <v/>
      </c>
      <c r="H65" s="8">
        <f>IF($K65="","",INDEX(מלאי!$U$2:$U$500,$K65))</f>
        <v/>
      </c>
      <c r="I65" s="8">
        <f>IF($K65="","",INDEX(מלאי!$X$2:$X$500,$K65))</f>
        <v/>
      </c>
      <c r="J65" s="8">
        <f>IF($K65="","",INDEX(מלאי!$AC$2:$AC$500,$K65))</f>
        <v/>
      </c>
      <c r="K6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טכנולוגיים'!$A$2:$A$500,0))&lt;=$G$6),0))),ROW(מלאי!$A$2:$A$500)-ROW(מלאי!$A$2)+1,""),43),"")</f>
        <v/>
      </c>
      <c r="L65" s="8">
        <f>IF($K65="","",IFERROR(INDEX('ערכים טכנולוגיים'!$M$2:$M$500,MATCH(A65,'ערכים טכנולוגיים'!$A$2:$A$500,0)),""))</f>
        <v/>
      </c>
      <c r="M65" s="8">
        <f>IF($K65="","",IFERROR(INDEX('ערכים טכנולוגיים'!$F$2:$F$500,MATCH(A65,'ערכים טכנולוגיים'!$A$2:$A$500,0)),""))</f>
        <v/>
      </c>
      <c r="N65" s="8">
        <f>IF($K65="","",IFERROR(INDEX('ערכים טכנולוגיים'!$J$2:$J$500,MATCH(A65,'ערכים טכנולוגיים'!$A$2:$A$500,0)),""))</f>
        <v/>
      </c>
      <c r="O65" s="8">
        <f>IF($K65="","",IFERROR(INDEX('ערכים טכנולוגיים'!$G$2:$G$500,MATCH(A65,'ערכים טכנולוגיים'!$A$2:$A$500,0)),""))</f>
        <v/>
      </c>
      <c r="P65" s="8">
        <f>IF($K65="","",IFERROR(INDEX('ערכים טכנולוגיים'!$K$2:$K$500,MATCH(A65,'ערכים טכנולוגיים'!$A$2:$A$500,0)),""))</f>
        <v/>
      </c>
      <c r="Q65" s="8">
        <f>IF($K65="","",IFERROR(INDEX('ערכים טכנולוגיים'!$P$2:$P$500,MATCH(A65,'ערכים טכנולוגיים'!$A$2:$A$500,0)),""))</f>
        <v/>
      </c>
    </row>
    <row r="66">
      <c r="A66" s="9">
        <f>IF($K66="","",INDEX(מלאי!$D$2:$D$500,$K66))</f>
        <v/>
      </c>
      <c r="B66" s="9">
        <f>IF($K66="","",INDEX(מלאי!$B$2:$B$500,$K66))</f>
        <v/>
      </c>
      <c r="C66" s="9">
        <f>IF($K66="","",INDEX(מלאי!$C$2:$C$500,$K66))</f>
        <v/>
      </c>
      <c r="D66" s="9">
        <f>IF($K66="","",INDEX(מלאי!$G$2:$G$500,$K66))</f>
        <v/>
      </c>
      <c r="E66" s="9">
        <f>IF($K66="","",INDEX(מלאי!$M$2:$M$500,$K66))</f>
        <v/>
      </c>
      <c r="F66" s="9">
        <f>IF($K66="","",INDEX(מלאי!$N$2:$N$500,$K66))</f>
        <v/>
      </c>
      <c r="G66" s="9">
        <f>IF($K66="","",INDEX(מלאי!$O$2:$O$500,$K66))</f>
        <v/>
      </c>
      <c r="H66" s="9">
        <f>IF($K66="","",INDEX(מלאי!$U$2:$U$500,$K66))</f>
        <v/>
      </c>
      <c r="I66" s="9">
        <f>IF($K66="","",INDEX(מלאי!$X$2:$X$500,$K66))</f>
        <v/>
      </c>
      <c r="J66" s="9">
        <f>IF($K66="","",INDEX(מלאי!$AC$2:$AC$500,$K66))</f>
        <v/>
      </c>
      <c r="K6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טכנולוגיים'!$A$2:$A$500,0))&lt;=$G$6),0))),ROW(מלאי!$A$2:$A$500)-ROW(מלאי!$A$2)+1,""),44),"")</f>
        <v/>
      </c>
      <c r="L66" s="9">
        <f>IF($K66="","",IFERROR(INDEX('ערכים טכנולוגיים'!$M$2:$M$500,MATCH(A66,'ערכים טכנולוגיים'!$A$2:$A$500,0)),""))</f>
        <v/>
      </c>
      <c r="M66" s="9">
        <f>IF($K66="","",IFERROR(INDEX('ערכים טכנולוגיים'!$F$2:$F$500,MATCH(A66,'ערכים טכנולוגיים'!$A$2:$A$500,0)),""))</f>
        <v/>
      </c>
      <c r="N66" s="9">
        <f>IF($K66="","",IFERROR(INDEX('ערכים טכנולוגיים'!$J$2:$J$500,MATCH(A66,'ערכים טכנולוגיים'!$A$2:$A$500,0)),""))</f>
        <v/>
      </c>
      <c r="O66" s="9">
        <f>IF($K66="","",IFERROR(INDEX('ערכים טכנולוגיים'!$G$2:$G$500,MATCH(A66,'ערכים טכנולוגיים'!$A$2:$A$500,0)),""))</f>
        <v/>
      </c>
      <c r="P66" s="9">
        <f>IF($K66="","",IFERROR(INDEX('ערכים טכנולוגיים'!$K$2:$K$500,MATCH(A66,'ערכים טכנולוגיים'!$A$2:$A$500,0)),""))</f>
        <v/>
      </c>
      <c r="Q66" s="9">
        <f>IF($K66="","",IFERROR(INDEX('ערכים טכנולוגיים'!$P$2:$P$500,MATCH(A66,'ערכים טכנולוגיים'!$A$2:$A$500,0)),""))</f>
        <v/>
      </c>
    </row>
    <row r="67">
      <c r="A67" s="8">
        <f>IF($K67="","",INDEX(מלאי!$D$2:$D$500,$K67))</f>
        <v/>
      </c>
      <c r="B67" s="8">
        <f>IF($K67="","",INDEX(מלאי!$B$2:$B$500,$K67))</f>
        <v/>
      </c>
      <c r="C67" s="8">
        <f>IF($K67="","",INDEX(מלאי!$C$2:$C$500,$K67))</f>
        <v/>
      </c>
      <c r="D67" s="8">
        <f>IF($K67="","",INDEX(מלאי!$G$2:$G$500,$K67))</f>
        <v/>
      </c>
      <c r="E67" s="8">
        <f>IF($K67="","",INDEX(מלאי!$M$2:$M$500,$K67))</f>
        <v/>
      </c>
      <c r="F67" s="8">
        <f>IF($K67="","",INDEX(מלאי!$N$2:$N$500,$K67))</f>
        <v/>
      </c>
      <c r="G67" s="8">
        <f>IF($K67="","",INDEX(מלאי!$O$2:$O$500,$K67))</f>
        <v/>
      </c>
      <c r="H67" s="8">
        <f>IF($K67="","",INDEX(מלאי!$U$2:$U$500,$K67))</f>
        <v/>
      </c>
      <c r="I67" s="8">
        <f>IF($K67="","",INDEX(מלאי!$X$2:$X$500,$K67))</f>
        <v/>
      </c>
      <c r="J67" s="8">
        <f>IF($K67="","",INDEX(מלאי!$AC$2:$AC$500,$K67))</f>
        <v/>
      </c>
      <c r="K6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טכנולוגיים'!$A$2:$A$500,0))&lt;=$G$6),0))),ROW(מלאי!$A$2:$A$500)-ROW(מלאי!$A$2)+1,""),45),"")</f>
        <v/>
      </c>
      <c r="L67" s="8">
        <f>IF($K67="","",IFERROR(INDEX('ערכים טכנולוגיים'!$M$2:$M$500,MATCH(A67,'ערכים טכנולוגיים'!$A$2:$A$500,0)),""))</f>
        <v/>
      </c>
      <c r="M67" s="8">
        <f>IF($K67="","",IFERROR(INDEX('ערכים טכנולוגיים'!$F$2:$F$500,MATCH(A67,'ערכים טכנולוגיים'!$A$2:$A$500,0)),""))</f>
        <v/>
      </c>
      <c r="N67" s="8">
        <f>IF($K67="","",IFERROR(INDEX('ערכים טכנולוגיים'!$J$2:$J$500,MATCH(A67,'ערכים טכנולוגיים'!$A$2:$A$500,0)),""))</f>
        <v/>
      </c>
      <c r="O67" s="8">
        <f>IF($K67="","",IFERROR(INDEX('ערכים טכנולוגיים'!$G$2:$G$500,MATCH(A67,'ערכים טכנולוגיים'!$A$2:$A$500,0)),""))</f>
        <v/>
      </c>
      <c r="P67" s="8">
        <f>IF($K67="","",IFERROR(INDEX('ערכים טכנולוגיים'!$K$2:$K$500,MATCH(A67,'ערכים טכנולוגיים'!$A$2:$A$500,0)),""))</f>
        <v/>
      </c>
      <c r="Q67" s="8">
        <f>IF($K67="","",IFERROR(INDEX('ערכים טכנולוגיים'!$P$2:$P$500,MATCH(A67,'ערכים טכנולוגיים'!$A$2:$A$500,0)),""))</f>
        <v/>
      </c>
    </row>
    <row r="68">
      <c r="A68" s="9">
        <f>IF($K68="","",INDEX(מלאי!$D$2:$D$500,$K68))</f>
        <v/>
      </c>
      <c r="B68" s="9">
        <f>IF($K68="","",INDEX(מלאי!$B$2:$B$500,$K68))</f>
        <v/>
      </c>
      <c r="C68" s="9">
        <f>IF($K68="","",INDEX(מלאי!$C$2:$C$500,$K68))</f>
        <v/>
      </c>
      <c r="D68" s="9">
        <f>IF($K68="","",INDEX(מלאי!$G$2:$G$500,$K68))</f>
        <v/>
      </c>
      <c r="E68" s="9">
        <f>IF($K68="","",INDEX(מלאי!$M$2:$M$500,$K68))</f>
        <v/>
      </c>
      <c r="F68" s="9">
        <f>IF($K68="","",INDEX(מלאי!$N$2:$N$500,$K68))</f>
        <v/>
      </c>
      <c r="G68" s="9">
        <f>IF($K68="","",INDEX(מלאי!$O$2:$O$500,$K68))</f>
        <v/>
      </c>
      <c r="H68" s="9">
        <f>IF($K68="","",INDEX(מלאי!$U$2:$U$500,$K68))</f>
        <v/>
      </c>
      <c r="I68" s="9">
        <f>IF($K68="","",INDEX(מלאי!$X$2:$X$500,$K68))</f>
        <v/>
      </c>
      <c r="J68" s="9">
        <f>IF($K68="","",INDEX(מלאי!$AC$2:$AC$500,$K68))</f>
        <v/>
      </c>
      <c r="K6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טכנולוגיים'!$A$2:$A$500,0))&lt;=$G$6),0))),ROW(מלאי!$A$2:$A$500)-ROW(מלאי!$A$2)+1,""),46),"")</f>
        <v/>
      </c>
      <c r="L68" s="9">
        <f>IF($K68="","",IFERROR(INDEX('ערכים טכנולוגיים'!$M$2:$M$500,MATCH(A68,'ערכים טכנולוגיים'!$A$2:$A$500,0)),""))</f>
        <v/>
      </c>
      <c r="M68" s="9">
        <f>IF($K68="","",IFERROR(INDEX('ערכים טכנולוגיים'!$F$2:$F$500,MATCH(A68,'ערכים טכנולוגיים'!$A$2:$A$500,0)),""))</f>
        <v/>
      </c>
      <c r="N68" s="9">
        <f>IF($K68="","",IFERROR(INDEX('ערכים טכנולוגיים'!$J$2:$J$500,MATCH(A68,'ערכים טכנולוגיים'!$A$2:$A$500,0)),""))</f>
        <v/>
      </c>
      <c r="O68" s="9">
        <f>IF($K68="","",IFERROR(INDEX('ערכים טכנולוגיים'!$G$2:$G$500,MATCH(A68,'ערכים טכנולוגיים'!$A$2:$A$500,0)),""))</f>
        <v/>
      </c>
      <c r="P68" s="9">
        <f>IF($K68="","",IFERROR(INDEX('ערכים טכנולוגיים'!$K$2:$K$500,MATCH(A68,'ערכים טכנולוגיים'!$A$2:$A$500,0)),""))</f>
        <v/>
      </c>
      <c r="Q68" s="9">
        <f>IF($K68="","",IFERROR(INDEX('ערכים טכנולוגיים'!$P$2:$P$500,MATCH(A68,'ערכים טכנולוגיים'!$A$2:$A$500,0)),""))</f>
        <v/>
      </c>
    </row>
    <row r="69">
      <c r="A69" s="8">
        <f>IF($K69="","",INDEX(מלאי!$D$2:$D$500,$K69))</f>
        <v/>
      </c>
      <c r="B69" s="8">
        <f>IF($K69="","",INDEX(מלאי!$B$2:$B$500,$K69))</f>
        <v/>
      </c>
      <c r="C69" s="8">
        <f>IF($K69="","",INDEX(מלאי!$C$2:$C$500,$K69))</f>
        <v/>
      </c>
      <c r="D69" s="8">
        <f>IF($K69="","",INDEX(מלאי!$G$2:$G$500,$K69))</f>
        <v/>
      </c>
      <c r="E69" s="8">
        <f>IF($K69="","",INDEX(מלאי!$M$2:$M$500,$K69))</f>
        <v/>
      </c>
      <c r="F69" s="8">
        <f>IF($K69="","",INDEX(מלאי!$N$2:$N$500,$K69))</f>
        <v/>
      </c>
      <c r="G69" s="8">
        <f>IF($K69="","",INDEX(מלאי!$O$2:$O$500,$K69))</f>
        <v/>
      </c>
      <c r="H69" s="8">
        <f>IF($K69="","",INDEX(מלאי!$U$2:$U$500,$K69))</f>
        <v/>
      </c>
      <c r="I69" s="8">
        <f>IF($K69="","",INDEX(מלאי!$X$2:$X$500,$K69))</f>
        <v/>
      </c>
      <c r="J69" s="8">
        <f>IF($K69="","",INDEX(מלאי!$AC$2:$AC$500,$K69))</f>
        <v/>
      </c>
      <c r="K6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טכנולוגיים'!$A$2:$A$500,0))&lt;=$G$6),0))),ROW(מלאי!$A$2:$A$500)-ROW(מלאי!$A$2)+1,""),47),"")</f>
        <v/>
      </c>
      <c r="L69" s="8">
        <f>IF($K69="","",IFERROR(INDEX('ערכים טכנולוגיים'!$M$2:$M$500,MATCH(A69,'ערכים טכנולוגיים'!$A$2:$A$500,0)),""))</f>
        <v/>
      </c>
      <c r="M69" s="8">
        <f>IF($K69="","",IFERROR(INDEX('ערכים טכנולוגיים'!$F$2:$F$500,MATCH(A69,'ערכים טכנולוגיים'!$A$2:$A$500,0)),""))</f>
        <v/>
      </c>
      <c r="N69" s="8">
        <f>IF($K69="","",IFERROR(INDEX('ערכים טכנולוגיים'!$J$2:$J$500,MATCH(A69,'ערכים טכנולוגיים'!$A$2:$A$500,0)),""))</f>
        <v/>
      </c>
      <c r="O69" s="8">
        <f>IF($K69="","",IFERROR(INDEX('ערכים טכנולוגיים'!$G$2:$G$500,MATCH(A69,'ערכים טכנולוגיים'!$A$2:$A$500,0)),""))</f>
        <v/>
      </c>
      <c r="P69" s="8">
        <f>IF($K69="","",IFERROR(INDEX('ערכים טכנולוגיים'!$K$2:$K$500,MATCH(A69,'ערכים טכנולוגיים'!$A$2:$A$500,0)),""))</f>
        <v/>
      </c>
      <c r="Q69" s="8">
        <f>IF($K69="","",IFERROR(INDEX('ערכים טכנולוגיים'!$P$2:$P$500,MATCH(A69,'ערכים טכנולוגיים'!$A$2:$A$500,0)),""))</f>
        <v/>
      </c>
    </row>
    <row r="70">
      <c r="A70" s="9">
        <f>IF($K70="","",INDEX(מלאי!$D$2:$D$500,$K70))</f>
        <v/>
      </c>
      <c r="B70" s="9">
        <f>IF($K70="","",INDEX(מלאי!$B$2:$B$500,$K70))</f>
        <v/>
      </c>
      <c r="C70" s="9">
        <f>IF($K70="","",INDEX(מלאי!$C$2:$C$500,$K70))</f>
        <v/>
      </c>
      <c r="D70" s="9">
        <f>IF($K70="","",INDEX(מלאי!$G$2:$G$500,$K70))</f>
        <v/>
      </c>
      <c r="E70" s="9">
        <f>IF($K70="","",INDEX(מלאי!$M$2:$M$500,$K70))</f>
        <v/>
      </c>
      <c r="F70" s="9">
        <f>IF($K70="","",INDEX(מלאי!$N$2:$N$500,$K70))</f>
        <v/>
      </c>
      <c r="G70" s="9">
        <f>IF($K70="","",INDEX(מלאי!$O$2:$O$500,$K70))</f>
        <v/>
      </c>
      <c r="H70" s="9">
        <f>IF($K70="","",INDEX(מלאי!$U$2:$U$500,$K70))</f>
        <v/>
      </c>
      <c r="I70" s="9">
        <f>IF($K70="","",INDEX(מלאי!$X$2:$X$500,$K70))</f>
        <v/>
      </c>
      <c r="J70" s="9">
        <f>IF($K70="","",INDEX(מלאי!$AC$2:$AC$500,$K70))</f>
        <v/>
      </c>
      <c r="K7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טכנולוגיים'!$A$2:$A$500,0))&lt;=$G$6),0))),ROW(מלאי!$A$2:$A$500)-ROW(מלאי!$A$2)+1,""),48),"")</f>
        <v/>
      </c>
      <c r="L70" s="9">
        <f>IF($K70="","",IFERROR(INDEX('ערכים טכנולוגיים'!$M$2:$M$500,MATCH(A70,'ערכים טכנולוגיים'!$A$2:$A$500,0)),""))</f>
        <v/>
      </c>
      <c r="M70" s="9">
        <f>IF($K70="","",IFERROR(INDEX('ערכים טכנולוגיים'!$F$2:$F$500,MATCH(A70,'ערכים טכנולוגיים'!$A$2:$A$500,0)),""))</f>
        <v/>
      </c>
      <c r="N70" s="9">
        <f>IF($K70="","",IFERROR(INDEX('ערכים טכנולוגיים'!$J$2:$J$500,MATCH(A70,'ערכים טכנולוגיים'!$A$2:$A$500,0)),""))</f>
        <v/>
      </c>
      <c r="O70" s="9">
        <f>IF($K70="","",IFERROR(INDEX('ערכים טכנולוגיים'!$G$2:$G$500,MATCH(A70,'ערכים טכנולוגיים'!$A$2:$A$500,0)),""))</f>
        <v/>
      </c>
      <c r="P70" s="9">
        <f>IF($K70="","",IFERROR(INDEX('ערכים טכנולוגיים'!$K$2:$K$500,MATCH(A70,'ערכים טכנולוגיים'!$A$2:$A$500,0)),""))</f>
        <v/>
      </c>
      <c r="Q70" s="9">
        <f>IF($K70="","",IFERROR(INDEX('ערכים טכנולוגיים'!$P$2:$P$500,MATCH(A70,'ערכים טכנולוגיים'!$A$2:$A$500,0)),""))</f>
        <v/>
      </c>
    </row>
    <row r="71">
      <c r="A71" s="8">
        <f>IF($K71="","",INDEX(מלאי!$D$2:$D$500,$K71))</f>
        <v/>
      </c>
      <c r="B71" s="8">
        <f>IF($K71="","",INDEX(מלאי!$B$2:$B$500,$K71))</f>
        <v/>
      </c>
      <c r="C71" s="8">
        <f>IF($K71="","",INDEX(מלאי!$C$2:$C$500,$K71))</f>
        <v/>
      </c>
      <c r="D71" s="8">
        <f>IF($K71="","",INDEX(מלאי!$G$2:$G$500,$K71))</f>
        <v/>
      </c>
      <c r="E71" s="8">
        <f>IF($K71="","",INDEX(מלאי!$M$2:$M$500,$K71))</f>
        <v/>
      </c>
      <c r="F71" s="8">
        <f>IF($K71="","",INDEX(מלאי!$N$2:$N$500,$K71))</f>
        <v/>
      </c>
      <c r="G71" s="8">
        <f>IF($K71="","",INDEX(מלאי!$O$2:$O$500,$K71))</f>
        <v/>
      </c>
      <c r="H71" s="8">
        <f>IF($K71="","",INDEX(מלאי!$U$2:$U$500,$K71))</f>
        <v/>
      </c>
      <c r="I71" s="8">
        <f>IF($K71="","",INDEX(מלאי!$X$2:$X$500,$K71))</f>
        <v/>
      </c>
      <c r="J71" s="8">
        <f>IF($K71="","",INDEX(מלאי!$AC$2:$AC$500,$K71))</f>
        <v/>
      </c>
      <c r="K7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טכנולוגיים'!$A$2:$A$500,0))&lt;=$G$6),0))),ROW(מלאי!$A$2:$A$500)-ROW(מלאי!$A$2)+1,""),49),"")</f>
        <v/>
      </c>
      <c r="L71" s="8">
        <f>IF($K71="","",IFERROR(INDEX('ערכים טכנולוגיים'!$M$2:$M$500,MATCH(A71,'ערכים טכנולוגיים'!$A$2:$A$500,0)),""))</f>
        <v/>
      </c>
      <c r="M71" s="8">
        <f>IF($K71="","",IFERROR(INDEX('ערכים טכנולוגיים'!$F$2:$F$500,MATCH(A71,'ערכים טכנולוגיים'!$A$2:$A$500,0)),""))</f>
        <v/>
      </c>
      <c r="N71" s="8">
        <f>IF($K71="","",IFERROR(INDEX('ערכים טכנולוגיים'!$J$2:$J$500,MATCH(A71,'ערכים טכנולוגיים'!$A$2:$A$500,0)),""))</f>
        <v/>
      </c>
      <c r="O71" s="8">
        <f>IF($K71="","",IFERROR(INDEX('ערכים טכנולוגיים'!$G$2:$G$500,MATCH(A71,'ערכים טכנולוגיים'!$A$2:$A$500,0)),""))</f>
        <v/>
      </c>
      <c r="P71" s="8">
        <f>IF($K71="","",IFERROR(INDEX('ערכים טכנולוגיים'!$K$2:$K$500,MATCH(A71,'ערכים טכנולוגיים'!$A$2:$A$500,0)),""))</f>
        <v/>
      </c>
      <c r="Q71" s="8">
        <f>IF($K71="","",IFERROR(INDEX('ערכים טכנולוגיים'!$P$2:$P$500,MATCH(A71,'ערכים טכנולוגיים'!$A$2:$A$500,0)),""))</f>
        <v/>
      </c>
    </row>
    <row r="72">
      <c r="A72" s="9">
        <f>IF($K72="","",INDEX(מלאי!$D$2:$D$500,$K72))</f>
        <v/>
      </c>
      <c r="B72" s="9">
        <f>IF($K72="","",INDEX(מלאי!$B$2:$B$500,$K72))</f>
        <v/>
      </c>
      <c r="C72" s="9">
        <f>IF($K72="","",INDEX(מלאי!$C$2:$C$500,$K72))</f>
        <v/>
      </c>
      <c r="D72" s="9">
        <f>IF($K72="","",INDEX(מלאי!$G$2:$G$500,$K72))</f>
        <v/>
      </c>
      <c r="E72" s="9">
        <f>IF($K72="","",INDEX(מלאי!$M$2:$M$500,$K72))</f>
        <v/>
      </c>
      <c r="F72" s="9">
        <f>IF($K72="","",INDEX(מלאי!$N$2:$N$500,$K72))</f>
        <v/>
      </c>
      <c r="G72" s="9">
        <f>IF($K72="","",INDEX(מלאי!$O$2:$O$500,$K72))</f>
        <v/>
      </c>
      <c r="H72" s="9">
        <f>IF($K72="","",INDEX(מלאי!$U$2:$U$500,$K72))</f>
        <v/>
      </c>
      <c r="I72" s="9">
        <f>IF($K72="","",INDEX(מלאי!$X$2:$X$500,$K72))</f>
        <v/>
      </c>
      <c r="J72" s="9">
        <f>IF($K72="","",INDEX(מלאי!$AC$2:$AC$500,$K72))</f>
        <v/>
      </c>
      <c r="K7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טכנולוגיים'!$A$2:$A$500,0))&lt;=$G$6),0))),ROW(מלאי!$A$2:$A$500)-ROW(מלאי!$A$2)+1,""),50),"")</f>
        <v/>
      </c>
      <c r="L72" s="9">
        <f>IF($K72="","",IFERROR(INDEX('ערכים טכנולוגיים'!$M$2:$M$500,MATCH(A72,'ערכים טכנולוגיים'!$A$2:$A$500,0)),""))</f>
        <v/>
      </c>
      <c r="M72" s="9">
        <f>IF($K72="","",IFERROR(INDEX('ערכים טכנולוגיים'!$F$2:$F$500,MATCH(A72,'ערכים טכנולוגיים'!$A$2:$A$500,0)),""))</f>
        <v/>
      </c>
      <c r="N72" s="9">
        <f>IF($K72="","",IFERROR(INDEX('ערכים טכנולוגיים'!$J$2:$J$500,MATCH(A72,'ערכים טכנולוגיים'!$A$2:$A$500,0)),""))</f>
        <v/>
      </c>
      <c r="O72" s="9">
        <f>IF($K72="","",IFERROR(INDEX('ערכים טכנולוגיים'!$G$2:$G$500,MATCH(A72,'ערכים טכנולוגיים'!$A$2:$A$500,0)),""))</f>
        <v/>
      </c>
      <c r="P72" s="9">
        <f>IF($K72="","",IFERROR(INDEX('ערכים טכנולוגיים'!$K$2:$K$500,MATCH(A72,'ערכים טכנולוגיים'!$A$2:$A$500,0)),""))</f>
        <v/>
      </c>
      <c r="Q72" s="9">
        <f>IF($K72="","",IFERROR(INDEX('ערכים טכנולוגיים'!$P$2:$P$500,MATCH(A72,'ערכים טכנולוגיים'!$A$2:$A$500,0)),""))</f>
        <v/>
      </c>
    </row>
    <row r="73">
      <c r="A73" s="8">
        <f>IF($K73="","",INDEX(מלאי!$D$2:$D$500,$K73))</f>
        <v/>
      </c>
      <c r="B73" s="8">
        <f>IF($K73="","",INDEX(מלאי!$B$2:$B$500,$K73))</f>
        <v/>
      </c>
      <c r="C73" s="8">
        <f>IF($K73="","",INDEX(מלאי!$C$2:$C$500,$K73))</f>
        <v/>
      </c>
      <c r="D73" s="8">
        <f>IF($K73="","",INDEX(מלאי!$G$2:$G$500,$K73))</f>
        <v/>
      </c>
      <c r="E73" s="8">
        <f>IF($K73="","",INDEX(מלאי!$M$2:$M$500,$K73))</f>
        <v/>
      </c>
      <c r="F73" s="8">
        <f>IF($K73="","",INDEX(מלאי!$N$2:$N$500,$K73))</f>
        <v/>
      </c>
      <c r="G73" s="8">
        <f>IF($K73="","",INDEX(מלאי!$O$2:$O$500,$K73))</f>
        <v/>
      </c>
      <c r="H73" s="8">
        <f>IF($K73="","",INDEX(מלאי!$U$2:$U$500,$K73))</f>
        <v/>
      </c>
      <c r="I73" s="8">
        <f>IF($K73="","",INDEX(מלאי!$X$2:$X$500,$K73))</f>
        <v/>
      </c>
      <c r="J73" s="8">
        <f>IF($K73="","",INDEX(מלאי!$AC$2:$AC$500,$K73))</f>
        <v/>
      </c>
      <c r="K7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טכנולוגיים'!$A$2:$A$500,0))&lt;=$G$6),0))),ROW(מלאי!$A$2:$A$500)-ROW(מלאי!$A$2)+1,""),51),"")</f>
        <v/>
      </c>
      <c r="L73" s="8">
        <f>IF($K73="","",IFERROR(INDEX('ערכים טכנולוגיים'!$M$2:$M$500,MATCH(A73,'ערכים טכנולוגיים'!$A$2:$A$500,0)),""))</f>
        <v/>
      </c>
      <c r="M73" s="8">
        <f>IF($K73="","",IFERROR(INDEX('ערכים טכנולוגיים'!$F$2:$F$500,MATCH(A73,'ערכים טכנולוגיים'!$A$2:$A$500,0)),""))</f>
        <v/>
      </c>
      <c r="N73" s="8">
        <f>IF($K73="","",IFERROR(INDEX('ערכים טכנולוגיים'!$J$2:$J$500,MATCH(A73,'ערכים טכנולוגיים'!$A$2:$A$500,0)),""))</f>
        <v/>
      </c>
      <c r="O73" s="8">
        <f>IF($K73="","",IFERROR(INDEX('ערכים טכנולוגיים'!$G$2:$G$500,MATCH(A73,'ערכים טכנולוגיים'!$A$2:$A$500,0)),""))</f>
        <v/>
      </c>
      <c r="P73" s="8">
        <f>IF($K73="","",IFERROR(INDEX('ערכים טכנולוגיים'!$K$2:$K$500,MATCH(A73,'ערכים טכנולוגיים'!$A$2:$A$500,0)),""))</f>
        <v/>
      </c>
      <c r="Q73" s="8">
        <f>IF($K73="","",IFERROR(INDEX('ערכים טכנולוגיים'!$P$2:$P$500,MATCH(A73,'ערכים טכנולוגיים'!$A$2:$A$500,0)),""))</f>
        <v/>
      </c>
    </row>
    <row r="74">
      <c r="A74" s="9">
        <f>IF($K74="","",INDEX(מלאי!$D$2:$D$500,$K74))</f>
        <v/>
      </c>
      <c r="B74" s="9">
        <f>IF($K74="","",INDEX(מלאי!$B$2:$B$500,$K74))</f>
        <v/>
      </c>
      <c r="C74" s="9">
        <f>IF($K74="","",INDEX(מלאי!$C$2:$C$500,$K74))</f>
        <v/>
      </c>
      <c r="D74" s="9">
        <f>IF($K74="","",INDEX(מלאי!$G$2:$G$500,$K74))</f>
        <v/>
      </c>
      <c r="E74" s="9">
        <f>IF($K74="","",INDEX(מלאי!$M$2:$M$500,$K74))</f>
        <v/>
      </c>
      <c r="F74" s="9">
        <f>IF($K74="","",INDEX(מלאי!$N$2:$N$500,$K74))</f>
        <v/>
      </c>
      <c r="G74" s="9">
        <f>IF($K74="","",INDEX(מלאי!$O$2:$O$500,$K74))</f>
        <v/>
      </c>
      <c r="H74" s="9">
        <f>IF($K74="","",INDEX(מלאי!$U$2:$U$500,$K74))</f>
        <v/>
      </c>
      <c r="I74" s="9">
        <f>IF($K74="","",INDEX(מלאי!$X$2:$X$500,$K74))</f>
        <v/>
      </c>
      <c r="J74" s="9">
        <f>IF($K74="","",INDEX(מלאי!$AC$2:$AC$500,$K74))</f>
        <v/>
      </c>
      <c r="K7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טכנולוגיים'!$A$2:$A$500,0))&lt;=$G$6),0))),ROW(מלאי!$A$2:$A$500)-ROW(מלאי!$A$2)+1,""),52),"")</f>
        <v/>
      </c>
      <c r="L74" s="9">
        <f>IF($K74="","",IFERROR(INDEX('ערכים טכנולוגיים'!$M$2:$M$500,MATCH(A74,'ערכים טכנולוגיים'!$A$2:$A$500,0)),""))</f>
        <v/>
      </c>
      <c r="M74" s="9">
        <f>IF($K74="","",IFERROR(INDEX('ערכים טכנולוגיים'!$F$2:$F$500,MATCH(A74,'ערכים טכנולוגיים'!$A$2:$A$500,0)),""))</f>
        <v/>
      </c>
      <c r="N74" s="9">
        <f>IF($K74="","",IFERROR(INDEX('ערכים טכנולוגיים'!$J$2:$J$500,MATCH(A74,'ערכים טכנולוגיים'!$A$2:$A$500,0)),""))</f>
        <v/>
      </c>
      <c r="O74" s="9">
        <f>IF($K74="","",IFERROR(INDEX('ערכים טכנולוגיים'!$G$2:$G$500,MATCH(A74,'ערכים טכנולוגיים'!$A$2:$A$500,0)),""))</f>
        <v/>
      </c>
      <c r="P74" s="9">
        <f>IF($K74="","",IFERROR(INDEX('ערכים טכנולוגיים'!$K$2:$K$500,MATCH(A74,'ערכים טכנולוגיים'!$A$2:$A$500,0)),""))</f>
        <v/>
      </c>
      <c r="Q74" s="9">
        <f>IF($K74="","",IFERROR(INDEX('ערכים טכנולוגיים'!$P$2:$P$500,MATCH(A74,'ערכים טכנולוגיים'!$A$2:$A$500,0)),""))</f>
        <v/>
      </c>
    </row>
    <row r="75">
      <c r="A75" s="8">
        <f>IF($K75="","",INDEX(מלאי!$D$2:$D$500,$K75))</f>
        <v/>
      </c>
      <c r="B75" s="8">
        <f>IF($K75="","",INDEX(מלאי!$B$2:$B$500,$K75))</f>
        <v/>
      </c>
      <c r="C75" s="8">
        <f>IF($K75="","",INDEX(מלאי!$C$2:$C$500,$K75))</f>
        <v/>
      </c>
      <c r="D75" s="8">
        <f>IF($K75="","",INDEX(מלאי!$G$2:$G$500,$K75))</f>
        <v/>
      </c>
      <c r="E75" s="8">
        <f>IF($K75="","",INDEX(מלאי!$M$2:$M$500,$K75))</f>
        <v/>
      </c>
      <c r="F75" s="8">
        <f>IF($K75="","",INDEX(מלאי!$N$2:$N$500,$K75))</f>
        <v/>
      </c>
      <c r="G75" s="8">
        <f>IF($K75="","",INDEX(מלאי!$O$2:$O$500,$K75))</f>
        <v/>
      </c>
      <c r="H75" s="8">
        <f>IF($K75="","",INDEX(מלאי!$U$2:$U$500,$K75))</f>
        <v/>
      </c>
      <c r="I75" s="8">
        <f>IF($K75="","",INDEX(מלאי!$X$2:$X$500,$K75))</f>
        <v/>
      </c>
      <c r="J75" s="8">
        <f>IF($K75="","",INDEX(מלאי!$AC$2:$AC$500,$K75))</f>
        <v/>
      </c>
      <c r="K7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טכנולוגיים'!$A$2:$A$500,0))&lt;=$G$6),0))),ROW(מלאי!$A$2:$A$500)-ROW(מלאי!$A$2)+1,""),53),"")</f>
        <v/>
      </c>
      <c r="L75" s="8">
        <f>IF($K75="","",IFERROR(INDEX('ערכים טכנולוגיים'!$M$2:$M$500,MATCH(A75,'ערכים טכנולוגיים'!$A$2:$A$500,0)),""))</f>
        <v/>
      </c>
      <c r="M75" s="8">
        <f>IF($K75="","",IFERROR(INDEX('ערכים טכנולוגיים'!$F$2:$F$500,MATCH(A75,'ערכים טכנולוגיים'!$A$2:$A$500,0)),""))</f>
        <v/>
      </c>
      <c r="N75" s="8">
        <f>IF($K75="","",IFERROR(INDEX('ערכים טכנולוגיים'!$J$2:$J$500,MATCH(A75,'ערכים טכנולוגיים'!$A$2:$A$500,0)),""))</f>
        <v/>
      </c>
      <c r="O75" s="8">
        <f>IF($K75="","",IFERROR(INDEX('ערכים טכנולוגיים'!$G$2:$G$500,MATCH(A75,'ערכים טכנולוגיים'!$A$2:$A$500,0)),""))</f>
        <v/>
      </c>
      <c r="P75" s="8">
        <f>IF($K75="","",IFERROR(INDEX('ערכים טכנולוגיים'!$K$2:$K$500,MATCH(A75,'ערכים טכנולוגיים'!$A$2:$A$500,0)),""))</f>
        <v/>
      </c>
      <c r="Q75" s="8">
        <f>IF($K75="","",IFERROR(INDEX('ערכים טכנולוגיים'!$P$2:$P$500,MATCH(A75,'ערכים טכנולוגיים'!$A$2:$A$500,0)),""))</f>
        <v/>
      </c>
    </row>
    <row r="76">
      <c r="A76" s="9">
        <f>IF($K76="","",INDEX(מלאי!$D$2:$D$500,$K76))</f>
        <v/>
      </c>
      <c r="B76" s="9">
        <f>IF($K76="","",INDEX(מלאי!$B$2:$B$500,$K76))</f>
        <v/>
      </c>
      <c r="C76" s="9">
        <f>IF($K76="","",INDEX(מלאי!$C$2:$C$500,$K76))</f>
        <v/>
      </c>
      <c r="D76" s="9">
        <f>IF($K76="","",INDEX(מלאי!$G$2:$G$500,$K76))</f>
        <v/>
      </c>
      <c r="E76" s="9">
        <f>IF($K76="","",INDEX(מלאי!$M$2:$M$500,$K76))</f>
        <v/>
      </c>
      <c r="F76" s="9">
        <f>IF($K76="","",INDEX(מלאי!$N$2:$N$500,$K76))</f>
        <v/>
      </c>
      <c r="G76" s="9">
        <f>IF($K76="","",INDEX(מלאי!$O$2:$O$500,$K76))</f>
        <v/>
      </c>
      <c r="H76" s="9">
        <f>IF($K76="","",INDEX(מלאי!$U$2:$U$500,$K76))</f>
        <v/>
      </c>
      <c r="I76" s="9">
        <f>IF($K76="","",INDEX(מלאי!$X$2:$X$500,$K76))</f>
        <v/>
      </c>
      <c r="J76" s="9">
        <f>IF($K76="","",INDEX(מלאי!$AC$2:$AC$500,$K76))</f>
        <v/>
      </c>
      <c r="K7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טכנולוגיים'!$A$2:$A$500,0))&lt;=$G$6),0))),ROW(מלאי!$A$2:$A$500)-ROW(מלאי!$A$2)+1,""),54),"")</f>
        <v/>
      </c>
      <c r="L76" s="9">
        <f>IF($K76="","",IFERROR(INDEX('ערכים טכנולוגיים'!$M$2:$M$500,MATCH(A76,'ערכים טכנולוגיים'!$A$2:$A$500,0)),""))</f>
        <v/>
      </c>
      <c r="M76" s="9">
        <f>IF($K76="","",IFERROR(INDEX('ערכים טכנולוגיים'!$F$2:$F$500,MATCH(A76,'ערכים טכנולוגיים'!$A$2:$A$500,0)),""))</f>
        <v/>
      </c>
      <c r="N76" s="9">
        <f>IF($K76="","",IFERROR(INDEX('ערכים טכנולוגיים'!$J$2:$J$500,MATCH(A76,'ערכים טכנולוגיים'!$A$2:$A$500,0)),""))</f>
        <v/>
      </c>
      <c r="O76" s="9">
        <f>IF($K76="","",IFERROR(INDEX('ערכים טכנולוגיים'!$G$2:$G$500,MATCH(A76,'ערכים טכנולוגיים'!$A$2:$A$500,0)),""))</f>
        <v/>
      </c>
      <c r="P76" s="9">
        <f>IF($K76="","",IFERROR(INDEX('ערכים טכנולוגיים'!$K$2:$K$500,MATCH(A76,'ערכים טכנולוגיים'!$A$2:$A$500,0)),""))</f>
        <v/>
      </c>
      <c r="Q76" s="9">
        <f>IF($K76="","",IFERROR(INDEX('ערכים טכנולוגיים'!$P$2:$P$500,MATCH(A76,'ערכים טכנולוגיים'!$A$2:$A$500,0)),""))</f>
        <v/>
      </c>
    </row>
    <row r="77">
      <c r="A77" s="8">
        <f>IF($K77="","",INDEX(מלאי!$D$2:$D$500,$K77))</f>
        <v/>
      </c>
      <c r="B77" s="8">
        <f>IF($K77="","",INDEX(מלאי!$B$2:$B$500,$K77))</f>
        <v/>
      </c>
      <c r="C77" s="8">
        <f>IF($K77="","",INDEX(מלאי!$C$2:$C$500,$K77))</f>
        <v/>
      </c>
      <c r="D77" s="8">
        <f>IF($K77="","",INDEX(מלאי!$G$2:$G$500,$K77))</f>
        <v/>
      </c>
      <c r="E77" s="8">
        <f>IF($K77="","",INDEX(מלאי!$M$2:$M$500,$K77))</f>
        <v/>
      </c>
      <c r="F77" s="8">
        <f>IF($K77="","",INDEX(מלאי!$N$2:$N$500,$K77))</f>
        <v/>
      </c>
      <c r="G77" s="8">
        <f>IF($K77="","",INDEX(מלאי!$O$2:$O$500,$K77))</f>
        <v/>
      </c>
      <c r="H77" s="8">
        <f>IF($K77="","",INDEX(מלאי!$U$2:$U$500,$K77))</f>
        <v/>
      </c>
      <c r="I77" s="8">
        <f>IF($K77="","",INDEX(מלאי!$X$2:$X$500,$K77))</f>
        <v/>
      </c>
      <c r="J77" s="8">
        <f>IF($K77="","",INDEX(מלאי!$AC$2:$AC$500,$K77))</f>
        <v/>
      </c>
      <c r="K7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טכנולוגיים'!$A$2:$A$500,0))&lt;=$G$6),0))),ROW(מלאי!$A$2:$A$500)-ROW(מלאי!$A$2)+1,""),55),"")</f>
        <v/>
      </c>
      <c r="L77" s="8">
        <f>IF($K77="","",IFERROR(INDEX('ערכים טכנולוגיים'!$M$2:$M$500,MATCH(A77,'ערכים טכנולוגיים'!$A$2:$A$500,0)),""))</f>
        <v/>
      </c>
      <c r="M77" s="8">
        <f>IF($K77="","",IFERROR(INDEX('ערכים טכנולוגיים'!$F$2:$F$500,MATCH(A77,'ערכים טכנולוגיים'!$A$2:$A$500,0)),""))</f>
        <v/>
      </c>
      <c r="N77" s="8">
        <f>IF($K77="","",IFERROR(INDEX('ערכים טכנולוגיים'!$J$2:$J$500,MATCH(A77,'ערכים טכנולוגיים'!$A$2:$A$500,0)),""))</f>
        <v/>
      </c>
      <c r="O77" s="8">
        <f>IF($K77="","",IFERROR(INDEX('ערכים טכנולוגיים'!$G$2:$G$500,MATCH(A77,'ערכים טכנולוגיים'!$A$2:$A$500,0)),""))</f>
        <v/>
      </c>
      <c r="P77" s="8">
        <f>IF($K77="","",IFERROR(INDEX('ערכים טכנולוגיים'!$K$2:$K$500,MATCH(A77,'ערכים טכנולוגיים'!$A$2:$A$500,0)),""))</f>
        <v/>
      </c>
      <c r="Q77" s="8">
        <f>IF($K77="","",IFERROR(INDEX('ערכים טכנולוגיים'!$P$2:$P$500,MATCH(A77,'ערכים טכנולוגיים'!$A$2:$A$500,0)),""))</f>
        <v/>
      </c>
    </row>
    <row r="78">
      <c r="A78" s="9">
        <f>IF($K78="","",INDEX(מלאי!$D$2:$D$500,$K78))</f>
        <v/>
      </c>
      <c r="B78" s="9">
        <f>IF($K78="","",INDEX(מלאי!$B$2:$B$500,$K78))</f>
        <v/>
      </c>
      <c r="C78" s="9">
        <f>IF($K78="","",INDEX(מלאי!$C$2:$C$500,$K78))</f>
        <v/>
      </c>
      <c r="D78" s="9">
        <f>IF($K78="","",INDEX(מלאי!$G$2:$G$500,$K78))</f>
        <v/>
      </c>
      <c r="E78" s="9">
        <f>IF($K78="","",INDEX(מלאי!$M$2:$M$500,$K78))</f>
        <v/>
      </c>
      <c r="F78" s="9">
        <f>IF($K78="","",INDEX(מלאי!$N$2:$N$500,$K78))</f>
        <v/>
      </c>
      <c r="G78" s="9">
        <f>IF($K78="","",INDEX(מלאי!$O$2:$O$500,$K78))</f>
        <v/>
      </c>
      <c r="H78" s="9">
        <f>IF($K78="","",INDEX(מלאי!$U$2:$U$500,$K78))</f>
        <v/>
      </c>
      <c r="I78" s="9">
        <f>IF($K78="","",INDEX(מלאי!$X$2:$X$500,$K78))</f>
        <v/>
      </c>
      <c r="J78" s="9">
        <f>IF($K78="","",INDEX(מלאי!$AC$2:$AC$500,$K78))</f>
        <v/>
      </c>
      <c r="K7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טכנולוגיים'!$A$2:$A$500,0))&lt;=$G$6),0))),ROW(מלאי!$A$2:$A$500)-ROW(מלאי!$A$2)+1,""),56),"")</f>
        <v/>
      </c>
      <c r="L78" s="9">
        <f>IF($K78="","",IFERROR(INDEX('ערכים טכנולוגיים'!$M$2:$M$500,MATCH(A78,'ערכים טכנולוגיים'!$A$2:$A$500,0)),""))</f>
        <v/>
      </c>
      <c r="M78" s="9">
        <f>IF($K78="","",IFERROR(INDEX('ערכים טכנולוגיים'!$F$2:$F$500,MATCH(A78,'ערכים טכנולוגיים'!$A$2:$A$500,0)),""))</f>
        <v/>
      </c>
      <c r="N78" s="9">
        <f>IF($K78="","",IFERROR(INDEX('ערכים טכנולוגיים'!$J$2:$J$500,MATCH(A78,'ערכים טכנולוגיים'!$A$2:$A$500,0)),""))</f>
        <v/>
      </c>
      <c r="O78" s="9">
        <f>IF($K78="","",IFERROR(INDEX('ערכים טכנולוגיים'!$G$2:$G$500,MATCH(A78,'ערכים טכנולוגיים'!$A$2:$A$500,0)),""))</f>
        <v/>
      </c>
      <c r="P78" s="9">
        <f>IF($K78="","",IFERROR(INDEX('ערכים טכנולוגיים'!$K$2:$K$500,MATCH(A78,'ערכים טכנולוגיים'!$A$2:$A$500,0)),""))</f>
        <v/>
      </c>
      <c r="Q78" s="9">
        <f>IF($K78="","",IFERROR(INDEX('ערכים טכנולוגיים'!$P$2:$P$500,MATCH(A78,'ערכים טכנולוגיים'!$A$2:$A$500,0)),""))</f>
        <v/>
      </c>
    </row>
    <row r="79">
      <c r="A79" s="8">
        <f>IF($K79="","",INDEX(מלאי!$D$2:$D$500,$K79))</f>
        <v/>
      </c>
      <c r="B79" s="8">
        <f>IF($K79="","",INDEX(מלאי!$B$2:$B$500,$K79))</f>
        <v/>
      </c>
      <c r="C79" s="8">
        <f>IF($K79="","",INDEX(מלאי!$C$2:$C$500,$K79))</f>
        <v/>
      </c>
      <c r="D79" s="8">
        <f>IF($K79="","",INDEX(מלאי!$G$2:$G$500,$K79))</f>
        <v/>
      </c>
      <c r="E79" s="8">
        <f>IF($K79="","",INDEX(מלאי!$M$2:$M$500,$K79))</f>
        <v/>
      </c>
      <c r="F79" s="8">
        <f>IF($K79="","",INDEX(מלאי!$N$2:$N$500,$K79))</f>
        <v/>
      </c>
      <c r="G79" s="8">
        <f>IF($K79="","",INDEX(מלאי!$O$2:$O$500,$K79))</f>
        <v/>
      </c>
      <c r="H79" s="8">
        <f>IF($K79="","",INDEX(מלאי!$U$2:$U$500,$K79))</f>
        <v/>
      </c>
      <c r="I79" s="8">
        <f>IF($K79="","",INDEX(מלאי!$X$2:$X$500,$K79))</f>
        <v/>
      </c>
      <c r="J79" s="8">
        <f>IF($K79="","",INDEX(מלאי!$AC$2:$AC$500,$K79))</f>
        <v/>
      </c>
      <c r="K7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טכנולוגיים'!$A$2:$A$500,0))&lt;=$G$6),0))),ROW(מלאי!$A$2:$A$500)-ROW(מלאי!$A$2)+1,""),57),"")</f>
        <v/>
      </c>
      <c r="L79" s="8">
        <f>IF($K79="","",IFERROR(INDEX('ערכים טכנולוגיים'!$M$2:$M$500,MATCH(A79,'ערכים טכנולוגיים'!$A$2:$A$500,0)),""))</f>
        <v/>
      </c>
      <c r="M79" s="8">
        <f>IF($K79="","",IFERROR(INDEX('ערכים טכנולוגיים'!$F$2:$F$500,MATCH(A79,'ערכים טכנולוגיים'!$A$2:$A$500,0)),""))</f>
        <v/>
      </c>
      <c r="N79" s="8">
        <f>IF($K79="","",IFERROR(INDEX('ערכים טכנולוגיים'!$J$2:$J$500,MATCH(A79,'ערכים טכנולוגיים'!$A$2:$A$500,0)),""))</f>
        <v/>
      </c>
      <c r="O79" s="8">
        <f>IF($K79="","",IFERROR(INDEX('ערכים טכנולוגיים'!$G$2:$G$500,MATCH(A79,'ערכים טכנולוגיים'!$A$2:$A$500,0)),""))</f>
        <v/>
      </c>
      <c r="P79" s="8">
        <f>IF($K79="","",IFERROR(INDEX('ערכים טכנולוגיים'!$K$2:$K$500,MATCH(A79,'ערכים טכנולוגיים'!$A$2:$A$500,0)),""))</f>
        <v/>
      </c>
      <c r="Q79" s="8">
        <f>IF($K79="","",IFERROR(INDEX('ערכים טכנולוגיים'!$P$2:$P$500,MATCH(A79,'ערכים טכנולוגיים'!$A$2:$A$500,0)),""))</f>
        <v/>
      </c>
    </row>
    <row r="80">
      <c r="A80" s="9">
        <f>IF($K80="","",INDEX(מלאי!$D$2:$D$500,$K80))</f>
        <v/>
      </c>
      <c r="B80" s="9">
        <f>IF($K80="","",INDEX(מלאי!$B$2:$B$500,$K80))</f>
        <v/>
      </c>
      <c r="C80" s="9">
        <f>IF($K80="","",INDEX(מלאי!$C$2:$C$500,$K80))</f>
        <v/>
      </c>
      <c r="D80" s="9">
        <f>IF($K80="","",INDEX(מלאי!$G$2:$G$500,$K80))</f>
        <v/>
      </c>
      <c r="E80" s="9">
        <f>IF($K80="","",INDEX(מלאי!$M$2:$M$500,$K80))</f>
        <v/>
      </c>
      <c r="F80" s="9">
        <f>IF($K80="","",INDEX(מלאי!$N$2:$N$500,$K80))</f>
        <v/>
      </c>
      <c r="G80" s="9">
        <f>IF($K80="","",INDEX(מלאי!$O$2:$O$500,$K80))</f>
        <v/>
      </c>
      <c r="H80" s="9">
        <f>IF($K80="","",INDEX(מלאי!$U$2:$U$500,$K80))</f>
        <v/>
      </c>
      <c r="I80" s="9">
        <f>IF($K80="","",INDEX(מלאי!$X$2:$X$500,$K80))</f>
        <v/>
      </c>
      <c r="J80" s="9">
        <f>IF($K80="","",INDEX(מלאי!$AC$2:$AC$500,$K80))</f>
        <v/>
      </c>
      <c r="K8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טכנולוגיים'!$A$2:$A$500,0))&lt;=$G$6),0))),ROW(מלאי!$A$2:$A$500)-ROW(מלאי!$A$2)+1,""),58),"")</f>
        <v/>
      </c>
      <c r="L80" s="9">
        <f>IF($K80="","",IFERROR(INDEX('ערכים טכנולוגיים'!$M$2:$M$500,MATCH(A80,'ערכים טכנולוגיים'!$A$2:$A$500,0)),""))</f>
        <v/>
      </c>
      <c r="M80" s="9">
        <f>IF($K80="","",IFERROR(INDEX('ערכים טכנולוגיים'!$F$2:$F$500,MATCH(A80,'ערכים טכנולוגיים'!$A$2:$A$500,0)),""))</f>
        <v/>
      </c>
      <c r="N80" s="9">
        <f>IF($K80="","",IFERROR(INDEX('ערכים טכנולוגיים'!$J$2:$J$500,MATCH(A80,'ערכים טכנולוגיים'!$A$2:$A$500,0)),""))</f>
        <v/>
      </c>
      <c r="O80" s="9">
        <f>IF($K80="","",IFERROR(INDEX('ערכים טכנולוגיים'!$G$2:$G$500,MATCH(A80,'ערכים טכנולוגיים'!$A$2:$A$500,0)),""))</f>
        <v/>
      </c>
      <c r="P80" s="9">
        <f>IF($K80="","",IFERROR(INDEX('ערכים טכנולוגיים'!$K$2:$K$500,MATCH(A80,'ערכים טכנולוגיים'!$A$2:$A$500,0)),""))</f>
        <v/>
      </c>
      <c r="Q80" s="9">
        <f>IF($K80="","",IFERROR(INDEX('ערכים טכנולוגיים'!$P$2:$P$500,MATCH(A80,'ערכים טכנולוגיים'!$A$2:$A$500,0)),""))</f>
        <v/>
      </c>
    </row>
    <row r="81">
      <c r="A81" s="8">
        <f>IF($K81="","",INDEX(מלאי!$D$2:$D$500,$K81))</f>
        <v/>
      </c>
      <c r="B81" s="8">
        <f>IF($K81="","",INDEX(מלאי!$B$2:$B$500,$K81))</f>
        <v/>
      </c>
      <c r="C81" s="8">
        <f>IF($K81="","",INDEX(מלאי!$C$2:$C$500,$K81))</f>
        <v/>
      </c>
      <c r="D81" s="8">
        <f>IF($K81="","",INDEX(מלאי!$G$2:$G$500,$K81))</f>
        <v/>
      </c>
      <c r="E81" s="8">
        <f>IF($K81="","",INDEX(מלאי!$M$2:$M$500,$K81))</f>
        <v/>
      </c>
      <c r="F81" s="8">
        <f>IF($K81="","",INDEX(מלאי!$N$2:$N$500,$K81))</f>
        <v/>
      </c>
      <c r="G81" s="8">
        <f>IF($K81="","",INDEX(מלאי!$O$2:$O$500,$K81))</f>
        <v/>
      </c>
      <c r="H81" s="8">
        <f>IF($K81="","",INDEX(מלאי!$U$2:$U$500,$K81))</f>
        <v/>
      </c>
      <c r="I81" s="8">
        <f>IF($K81="","",INDEX(מלאי!$X$2:$X$500,$K81))</f>
        <v/>
      </c>
      <c r="J81" s="8">
        <f>IF($K81="","",INDEX(מלאי!$AC$2:$AC$500,$K81))</f>
        <v/>
      </c>
      <c r="K8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טכנולוגיים'!$A$2:$A$500,0))&lt;=$G$6),0))),ROW(מלאי!$A$2:$A$500)-ROW(מלאי!$A$2)+1,""),59),"")</f>
        <v/>
      </c>
      <c r="L81" s="8">
        <f>IF($K81="","",IFERROR(INDEX('ערכים טכנולוגיים'!$M$2:$M$500,MATCH(A81,'ערכים טכנולוגיים'!$A$2:$A$500,0)),""))</f>
        <v/>
      </c>
      <c r="M81" s="8">
        <f>IF($K81="","",IFERROR(INDEX('ערכים טכנולוגיים'!$F$2:$F$500,MATCH(A81,'ערכים טכנולוגיים'!$A$2:$A$500,0)),""))</f>
        <v/>
      </c>
      <c r="N81" s="8">
        <f>IF($K81="","",IFERROR(INDEX('ערכים טכנולוגיים'!$J$2:$J$500,MATCH(A81,'ערכים טכנולוגיים'!$A$2:$A$500,0)),""))</f>
        <v/>
      </c>
      <c r="O81" s="8">
        <f>IF($K81="","",IFERROR(INDEX('ערכים טכנולוגיים'!$G$2:$G$500,MATCH(A81,'ערכים טכנולוגיים'!$A$2:$A$500,0)),""))</f>
        <v/>
      </c>
      <c r="P81" s="8">
        <f>IF($K81="","",IFERROR(INDEX('ערכים טכנולוגיים'!$K$2:$K$500,MATCH(A81,'ערכים טכנולוגיים'!$A$2:$A$500,0)),""))</f>
        <v/>
      </c>
      <c r="Q81" s="8">
        <f>IF($K81="","",IFERROR(INDEX('ערכים טכנולוגיים'!$P$2:$P$500,MATCH(A81,'ערכים טכנולוגיים'!$A$2:$A$500,0)),""))</f>
        <v/>
      </c>
    </row>
    <row r="82">
      <c r="A82" s="9">
        <f>IF($K82="","",INDEX(מלאי!$D$2:$D$500,$K82))</f>
        <v/>
      </c>
      <c r="B82" s="9">
        <f>IF($K82="","",INDEX(מלאי!$B$2:$B$500,$K82))</f>
        <v/>
      </c>
      <c r="C82" s="9">
        <f>IF($K82="","",INDEX(מלאי!$C$2:$C$500,$K82))</f>
        <v/>
      </c>
      <c r="D82" s="9">
        <f>IF($K82="","",INDEX(מלאי!$G$2:$G$500,$K82))</f>
        <v/>
      </c>
      <c r="E82" s="9">
        <f>IF($K82="","",INDEX(מלאי!$M$2:$M$500,$K82))</f>
        <v/>
      </c>
      <c r="F82" s="9">
        <f>IF($K82="","",INDEX(מלאי!$N$2:$N$500,$K82))</f>
        <v/>
      </c>
      <c r="G82" s="9">
        <f>IF($K82="","",INDEX(מלאי!$O$2:$O$500,$K82))</f>
        <v/>
      </c>
      <c r="H82" s="9">
        <f>IF($K82="","",INDEX(מלאי!$U$2:$U$500,$K82))</f>
        <v/>
      </c>
      <c r="I82" s="9">
        <f>IF($K82="","",INDEX(מלאי!$X$2:$X$500,$K82))</f>
        <v/>
      </c>
      <c r="J82" s="9">
        <f>IF($K82="","",INDEX(מלאי!$AC$2:$AC$500,$K82))</f>
        <v/>
      </c>
      <c r="K8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טכנולוגיים'!$A$2:$A$500,0))&lt;=$G$6),0))),ROW(מלאי!$A$2:$A$500)-ROW(מלאי!$A$2)+1,""),60),"")</f>
        <v/>
      </c>
      <c r="L82" s="9">
        <f>IF($K82="","",IFERROR(INDEX('ערכים טכנולוגיים'!$M$2:$M$500,MATCH(A82,'ערכים טכנולוגיים'!$A$2:$A$500,0)),""))</f>
        <v/>
      </c>
      <c r="M82" s="9">
        <f>IF($K82="","",IFERROR(INDEX('ערכים טכנולוגיים'!$F$2:$F$500,MATCH(A82,'ערכים טכנולוגיים'!$A$2:$A$500,0)),""))</f>
        <v/>
      </c>
      <c r="N82" s="9">
        <f>IF($K82="","",IFERROR(INDEX('ערכים טכנולוגיים'!$J$2:$J$500,MATCH(A82,'ערכים טכנולוגיים'!$A$2:$A$500,0)),""))</f>
        <v/>
      </c>
      <c r="O82" s="9">
        <f>IF($K82="","",IFERROR(INDEX('ערכים טכנולוגיים'!$G$2:$G$500,MATCH(A82,'ערכים טכנולוגיים'!$A$2:$A$500,0)),""))</f>
        <v/>
      </c>
      <c r="P82" s="9">
        <f>IF($K82="","",IFERROR(INDEX('ערכים טכנולוגיים'!$K$2:$K$500,MATCH(A82,'ערכים טכנולוגיים'!$A$2:$A$500,0)),""))</f>
        <v/>
      </c>
      <c r="Q82" s="9">
        <f>IF($K82="","",IFERROR(INDEX('ערכים טכנולוגיים'!$P$2:$P$500,MATCH(A82,'ערכים טכנולוגיים'!$A$2:$A$500,0)),""))</f>
        <v/>
      </c>
    </row>
    <row r="83">
      <c r="A83" s="8">
        <f>IF($K83="","",INDEX(מלאי!$D$2:$D$500,$K83))</f>
        <v/>
      </c>
      <c r="B83" s="8">
        <f>IF($K83="","",INDEX(מלאי!$B$2:$B$500,$K83))</f>
        <v/>
      </c>
      <c r="C83" s="8">
        <f>IF($K83="","",INDEX(מלאי!$C$2:$C$500,$K83))</f>
        <v/>
      </c>
      <c r="D83" s="8">
        <f>IF($K83="","",INDEX(מלאי!$G$2:$G$500,$K83))</f>
        <v/>
      </c>
      <c r="E83" s="8">
        <f>IF($K83="","",INDEX(מלאי!$M$2:$M$500,$K83))</f>
        <v/>
      </c>
      <c r="F83" s="8">
        <f>IF($K83="","",INDEX(מלאי!$N$2:$N$500,$K83))</f>
        <v/>
      </c>
      <c r="G83" s="8">
        <f>IF($K83="","",INDEX(מלאי!$O$2:$O$500,$K83))</f>
        <v/>
      </c>
      <c r="H83" s="8">
        <f>IF($K83="","",INDEX(מלאי!$U$2:$U$500,$K83))</f>
        <v/>
      </c>
      <c r="I83" s="8">
        <f>IF($K83="","",INDEX(מלאי!$X$2:$X$500,$K83))</f>
        <v/>
      </c>
      <c r="J83" s="8">
        <f>IF($K83="","",INDEX(מלאי!$AC$2:$AC$500,$K83))</f>
        <v/>
      </c>
      <c r="K8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טכנולוגיים'!$A$2:$A$500,0))&lt;=$G$6),0))),ROW(מלאי!$A$2:$A$500)-ROW(מלאי!$A$2)+1,""),61),"")</f>
        <v/>
      </c>
      <c r="L83" s="8">
        <f>IF($K83="","",IFERROR(INDEX('ערכים טכנולוגיים'!$M$2:$M$500,MATCH(A83,'ערכים טכנולוגיים'!$A$2:$A$500,0)),""))</f>
        <v/>
      </c>
      <c r="M83" s="8">
        <f>IF($K83="","",IFERROR(INDEX('ערכים טכנולוגיים'!$F$2:$F$500,MATCH(A83,'ערכים טכנולוגיים'!$A$2:$A$500,0)),""))</f>
        <v/>
      </c>
      <c r="N83" s="8">
        <f>IF($K83="","",IFERROR(INDEX('ערכים טכנולוגיים'!$J$2:$J$500,MATCH(A83,'ערכים טכנולוגיים'!$A$2:$A$500,0)),""))</f>
        <v/>
      </c>
      <c r="O83" s="8">
        <f>IF($K83="","",IFERROR(INDEX('ערכים טכנולוגיים'!$G$2:$G$500,MATCH(A83,'ערכים טכנולוגיים'!$A$2:$A$500,0)),""))</f>
        <v/>
      </c>
      <c r="P83" s="8">
        <f>IF($K83="","",IFERROR(INDEX('ערכים טכנולוגיים'!$K$2:$K$500,MATCH(A83,'ערכים טכנולוגיים'!$A$2:$A$500,0)),""))</f>
        <v/>
      </c>
      <c r="Q83" s="8">
        <f>IF($K83="","",IFERROR(INDEX('ערכים טכנולוגיים'!$P$2:$P$500,MATCH(A83,'ערכים טכנולוגיים'!$A$2:$A$500,0)),""))</f>
        <v/>
      </c>
    </row>
    <row r="84">
      <c r="A84" s="9">
        <f>IF($K84="","",INDEX(מלאי!$D$2:$D$500,$K84))</f>
        <v/>
      </c>
      <c r="B84" s="9">
        <f>IF($K84="","",INDEX(מלאי!$B$2:$B$500,$K84))</f>
        <v/>
      </c>
      <c r="C84" s="9">
        <f>IF($K84="","",INDEX(מלאי!$C$2:$C$500,$K84))</f>
        <v/>
      </c>
      <c r="D84" s="9">
        <f>IF($K84="","",INDEX(מלאי!$G$2:$G$500,$K84))</f>
        <v/>
      </c>
      <c r="E84" s="9">
        <f>IF($K84="","",INDEX(מלאי!$M$2:$M$500,$K84))</f>
        <v/>
      </c>
      <c r="F84" s="9">
        <f>IF($K84="","",INDEX(מלאי!$N$2:$N$500,$K84))</f>
        <v/>
      </c>
      <c r="G84" s="9">
        <f>IF($K84="","",INDEX(מלאי!$O$2:$O$500,$K84))</f>
        <v/>
      </c>
      <c r="H84" s="9">
        <f>IF($K84="","",INDEX(מלאי!$U$2:$U$500,$K84))</f>
        <v/>
      </c>
      <c r="I84" s="9">
        <f>IF($K84="","",INDEX(מלאי!$X$2:$X$500,$K84))</f>
        <v/>
      </c>
      <c r="J84" s="9">
        <f>IF($K84="","",INDEX(מלאי!$AC$2:$AC$500,$K84))</f>
        <v/>
      </c>
      <c r="K8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טכנולוגיים'!$A$2:$A$500,0))&lt;=$G$6),0))),ROW(מלאי!$A$2:$A$500)-ROW(מלאי!$A$2)+1,""),62),"")</f>
        <v/>
      </c>
      <c r="L84" s="9">
        <f>IF($K84="","",IFERROR(INDEX('ערכים טכנולוגיים'!$M$2:$M$500,MATCH(A84,'ערכים טכנולוגיים'!$A$2:$A$500,0)),""))</f>
        <v/>
      </c>
      <c r="M84" s="9">
        <f>IF($K84="","",IFERROR(INDEX('ערכים טכנולוגיים'!$F$2:$F$500,MATCH(A84,'ערכים טכנולוגיים'!$A$2:$A$500,0)),""))</f>
        <v/>
      </c>
      <c r="N84" s="9">
        <f>IF($K84="","",IFERROR(INDEX('ערכים טכנולוגיים'!$J$2:$J$500,MATCH(A84,'ערכים טכנולוגיים'!$A$2:$A$500,0)),""))</f>
        <v/>
      </c>
      <c r="O84" s="9">
        <f>IF($K84="","",IFERROR(INDEX('ערכים טכנולוגיים'!$G$2:$G$500,MATCH(A84,'ערכים טכנולוגיים'!$A$2:$A$500,0)),""))</f>
        <v/>
      </c>
      <c r="P84" s="9">
        <f>IF($K84="","",IFERROR(INDEX('ערכים טכנולוגיים'!$K$2:$K$500,MATCH(A84,'ערכים טכנולוגיים'!$A$2:$A$500,0)),""))</f>
        <v/>
      </c>
      <c r="Q84" s="9">
        <f>IF($K84="","",IFERROR(INDEX('ערכים טכנולוגיים'!$P$2:$P$500,MATCH(A84,'ערכים טכנולוגיים'!$A$2:$A$500,0)),""))</f>
        <v/>
      </c>
    </row>
    <row r="85">
      <c r="A85" s="8">
        <f>IF($K85="","",INDEX(מלאי!$D$2:$D$500,$K85))</f>
        <v/>
      </c>
      <c r="B85" s="8">
        <f>IF($K85="","",INDEX(מלאי!$B$2:$B$500,$K85))</f>
        <v/>
      </c>
      <c r="C85" s="8">
        <f>IF($K85="","",INDEX(מלאי!$C$2:$C$500,$K85))</f>
        <v/>
      </c>
      <c r="D85" s="8">
        <f>IF($K85="","",INDEX(מלאי!$G$2:$G$500,$K85))</f>
        <v/>
      </c>
      <c r="E85" s="8">
        <f>IF($K85="","",INDEX(מלאי!$M$2:$M$500,$K85))</f>
        <v/>
      </c>
      <c r="F85" s="8">
        <f>IF($K85="","",INDEX(מלאי!$N$2:$N$500,$K85))</f>
        <v/>
      </c>
      <c r="G85" s="8">
        <f>IF($K85="","",INDEX(מלאי!$O$2:$O$500,$K85))</f>
        <v/>
      </c>
      <c r="H85" s="8">
        <f>IF($K85="","",INDEX(מלאי!$U$2:$U$500,$K85))</f>
        <v/>
      </c>
      <c r="I85" s="8">
        <f>IF($K85="","",INDEX(מלאי!$X$2:$X$500,$K85))</f>
        <v/>
      </c>
      <c r="J85" s="8">
        <f>IF($K85="","",INDEX(מלאי!$AC$2:$AC$500,$K85))</f>
        <v/>
      </c>
      <c r="K8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טכנולוגיים'!$A$2:$A$500,0))&lt;=$G$6),0))),ROW(מלאי!$A$2:$A$500)-ROW(מלאי!$A$2)+1,""),63),"")</f>
        <v/>
      </c>
      <c r="L85" s="8">
        <f>IF($K85="","",IFERROR(INDEX('ערכים טכנולוגיים'!$M$2:$M$500,MATCH(A85,'ערכים טכנולוגיים'!$A$2:$A$500,0)),""))</f>
        <v/>
      </c>
      <c r="M85" s="8">
        <f>IF($K85="","",IFERROR(INDEX('ערכים טכנולוגיים'!$F$2:$F$500,MATCH(A85,'ערכים טכנולוגיים'!$A$2:$A$500,0)),""))</f>
        <v/>
      </c>
      <c r="N85" s="8">
        <f>IF($K85="","",IFERROR(INDEX('ערכים טכנולוגיים'!$J$2:$J$500,MATCH(A85,'ערכים טכנולוגיים'!$A$2:$A$500,0)),""))</f>
        <v/>
      </c>
      <c r="O85" s="8">
        <f>IF($K85="","",IFERROR(INDEX('ערכים טכנולוגיים'!$G$2:$G$500,MATCH(A85,'ערכים טכנולוגיים'!$A$2:$A$500,0)),""))</f>
        <v/>
      </c>
      <c r="P85" s="8">
        <f>IF($K85="","",IFERROR(INDEX('ערכים טכנולוגיים'!$K$2:$K$500,MATCH(A85,'ערכים טכנולוגיים'!$A$2:$A$500,0)),""))</f>
        <v/>
      </c>
      <c r="Q85" s="8">
        <f>IF($K85="","",IFERROR(INDEX('ערכים טכנולוגיים'!$P$2:$P$500,MATCH(A85,'ערכים טכנולוגיים'!$A$2:$A$500,0)),""))</f>
        <v/>
      </c>
    </row>
    <row r="86">
      <c r="A86" s="9">
        <f>IF($K86="","",INDEX(מלאי!$D$2:$D$500,$K86))</f>
        <v/>
      </c>
      <c r="B86" s="9">
        <f>IF($K86="","",INDEX(מלאי!$B$2:$B$500,$K86))</f>
        <v/>
      </c>
      <c r="C86" s="9">
        <f>IF($K86="","",INDEX(מלאי!$C$2:$C$500,$K86))</f>
        <v/>
      </c>
      <c r="D86" s="9">
        <f>IF($K86="","",INDEX(מלאי!$G$2:$G$500,$K86))</f>
        <v/>
      </c>
      <c r="E86" s="9">
        <f>IF($K86="","",INDEX(מלאי!$M$2:$M$500,$K86))</f>
        <v/>
      </c>
      <c r="F86" s="9">
        <f>IF($K86="","",INDEX(מלאי!$N$2:$N$500,$K86))</f>
        <v/>
      </c>
      <c r="G86" s="9">
        <f>IF($K86="","",INDEX(מלאי!$O$2:$O$500,$K86))</f>
        <v/>
      </c>
      <c r="H86" s="9">
        <f>IF($K86="","",INDEX(מלאי!$U$2:$U$500,$K86))</f>
        <v/>
      </c>
      <c r="I86" s="9">
        <f>IF($K86="","",INDEX(מלאי!$X$2:$X$500,$K86))</f>
        <v/>
      </c>
      <c r="J86" s="9">
        <f>IF($K86="","",INDEX(מלאי!$AC$2:$AC$500,$K86))</f>
        <v/>
      </c>
      <c r="K8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טכנולוגיים'!$A$2:$A$500,0))&lt;=$G$6),0))),ROW(מלאי!$A$2:$A$500)-ROW(מלאי!$A$2)+1,""),64),"")</f>
        <v/>
      </c>
      <c r="L86" s="9">
        <f>IF($K86="","",IFERROR(INDEX('ערכים טכנולוגיים'!$M$2:$M$500,MATCH(A86,'ערכים טכנולוגיים'!$A$2:$A$500,0)),""))</f>
        <v/>
      </c>
      <c r="M86" s="9">
        <f>IF($K86="","",IFERROR(INDEX('ערכים טכנולוגיים'!$F$2:$F$500,MATCH(A86,'ערכים טכנולוגיים'!$A$2:$A$500,0)),""))</f>
        <v/>
      </c>
      <c r="N86" s="9">
        <f>IF($K86="","",IFERROR(INDEX('ערכים טכנולוגיים'!$J$2:$J$500,MATCH(A86,'ערכים טכנולוגיים'!$A$2:$A$500,0)),""))</f>
        <v/>
      </c>
      <c r="O86" s="9">
        <f>IF($K86="","",IFERROR(INDEX('ערכים טכנולוגיים'!$G$2:$G$500,MATCH(A86,'ערכים טכנולוגיים'!$A$2:$A$500,0)),""))</f>
        <v/>
      </c>
      <c r="P86" s="9">
        <f>IF($K86="","",IFERROR(INDEX('ערכים טכנולוגיים'!$K$2:$K$500,MATCH(A86,'ערכים טכנולוגיים'!$A$2:$A$500,0)),""))</f>
        <v/>
      </c>
      <c r="Q86" s="9">
        <f>IF($K86="","",IFERROR(INDEX('ערכים טכנולוגיים'!$P$2:$P$500,MATCH(A86,'ערכים טכנולוגיים'!$A$2:$A$500,0)),""))</f>
        <v/>
      </c>
    </row>
    <row r="87">
      <c r="A87" s="8">
        <f>IF($K87="","",INDEX(מלאי!$D$2:$D$500,$K87))</f>
        <v/>
      </c>
      <c r="B87" s="8">
        <f>IF($K87="","",INDEX(מלאי!$B$2:$B$500,$K87))</f>
        <v/>
      </c>
      <c r="C87" s="8">
        <f>IF($K87="","",INDEX(מלאי!$C$2:$C$500,$K87))</f>
        <v/>
      </c>
      <c r="D87" s="8">
        <f>IF($K87="","",INDEX(מלאי!$G$2:$G$500,$K87))</f>
        <v/>
      </c>
      <c r="E87" s="8">
        <f>IF($K87="","",INDEX(מלאי!$M$2:$M$500,$K87))</f>
        <v/>
      </c>
      <c r="F87" s="8">
        <f>IF($K87="","",INDEX(מלאי!$N$2:$N$500,$K87))</f>
        <v/>
      </c>
      <c r="G87" s="8">
        <f>IF($K87="","",INDEX(מלאי!$O$2:$O$500,$K87))</f>
        <v/>
      </c>
      <c r="H87" s="8">
        <f>IF($K87="","",INDEX(מלאי!$U$2:$U$500,$K87))</f>
        <v/>
      </c>
      <c r="I87" s="8">
        <f>IF($K87="","",INDEX(מלאי!$X$2:$X$500,$K87))</f>
        <v/>
      </c>
      <c r="J87" s="8">
        <f>IF($K87="","",INDEX(מלאי!$AC$2:$AC$500,$K87))</f>
        <v/>
      </c>
      <c r="K8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טכנולוגיים'!$A$2:$A$500,0))&lt;=$G$6),0))),ROW(מלאי!$A$2:$A$500)-ROW(מלאי!$A$2)+1,""),65),"")</f>
        <v/>
      </c>
      <c r="L87" s="8">
        <f>IF($K87="","",IFERROR(INDEX('ערכים טכנולוגיים'!$M$2:$M$500,MATCH(A87,'ערכים טכנולוגיים'!$A$2:$A$500,0)),""))</f>
        <v/>
      </c>
      <c r="M87" s="8">
        <f>IF($K87="","",IFERROR(INDEX('ערכים טכנולוגיים'!$F$2:$F$500,MATCH(A87,'ערכים טכנולוגיים'!$A$2:$A$500,0)),""))</f>
        <v/>
      </c>
      <c r="N87" s="8">
        <f>IF($K87="","",IFERROR(INDEX('ערכים טכנולוגיים'!$J$2:$J$500,MATCH(A87,'ערכים טכנולוגיים'!$A$2:$A$500,0)),""))</f>
        <v/>
      </c>
      <c r="O87" s="8">
        <f>IF($K87="","",IFERROR(INDEX('ערכים טכנולוגיים'!$G$2:$G$500,MATCH(A87,'ערכים טכנולוגיים'!$A$2:$A$500,0)),""))</f>
        <v/>
      </c>
      <c r="P87" s="8">
        <f>IF($K87="","",IFERROR(INDEX('ערכים טכנולוגיים'!$K$2:$K$500,MATCH(A87,'ערכים טכנולוגיים'!$A$2:$A$500,0)),""))</f>
        <v/>
      </c>
      <c r="Q87" s="8">
        <f>IF($K87="","",IFERROR(INDEX('ערכים טכנולוגיים'!$P$2:$P$500,MATCH(A87,'ערכים טכנולוגיים'!$A$2:$A$500,0)),""))</f>
        <v/>
      </c>
    </row>
    <row r="88">
      <c r="A88" s="9">
        <f>IF($K88="","",INDEX(מלאי!$D$2:$D$500,$K88))</f>
        <v/>
      </c>
      <c r="B88" s="9">
        <f>IF($K88="","",INDEX(מלאי!$B$2:$B$500,$K88))</f>
        <v/>
      </c>
      <c r="C88" s="9">
        <f>IF($K88="","",INDEX(מלאי!$C$2:$C$500,$K88))</f>
        <v/>
      </c>
      <c r="D88" s="9">
        <f>IF($K88="","",INDEX(מלאי!$G$2:$G$500,$K88))</f>
        <v/>
      </c>
      <c r="E88" s="9">
        <f>IF($K88="","",INDEX(מלאי!$M$2:$M$500,$K88))</f>
        <v/>
      </c>
      <c r="F88" s="9">
        <f>IF($K88="","",INDEX(מלאי!$N$2:$N$500,$K88))</f>
        <v/>
      </c>
      <c r="G88" s="9">
        <f>IF($K88="","",INDEX(מלאי!$O$2:$O$500,$K88))</f>
        <v/>
      </c>
      <c r="H88" s="9">
        <f>IF($K88="","",INDEX(מלאי!$U$2:$U$500,$K88))</f>
        <v/>
      </c>
      <c r="I88" s="9">
        <f>IF($K88="","",INDEX(מלאי!$X$2:$X$500,$K88))</f>
        <v/>
      </c>
      <c r="J88" s="9">
        <f>IF($K88="","",INDEX(מלאי!$AC$2:$AC$500,$K88))</f>
        <v/>
      </c>
      <c r="K8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טכנולוגיים'!$A$2:$A$500,0))&lt;=$G$6),0))),ROW(מלאי!$A$2:$A$500)-ROW(מלאי!$A$2)+1,""),66),"")</f>
        <v/>
      </c>
      <c r="L88" s="9">
        <f>IF($K88="","",IFERROR(INDEX('ערכים טכנולוגיים'!$M$2:$M$500,MATCH(A88,'ערכים טכנולוגיים'!$A$2:$A$500,0)),""))</f>
        <v/>
      </c>
      <c r="M88" s="9">
        <f>IF($K88="","",IFERROR(INDEX('ערכים טכנולוגיים'!$F$2:$F$500,MATCH(A88,'ערכים טכנולוגיים'!$A$2:$A$500,0)),""))</f>
        <v/>
      </c>
      <c r="N88" s="9">
        <f>IF($K88="","",IFERROR(INDEX('ערכים טכנולוגיים'!$J$2:$J$500,MATCH(A88,'ערכים טכנולוגיים'!$A$2:$A$500,0)),""))</f>
        <v/>
      </c>
      <c r="O88" s="9">
        <f>IF($K88="","",IFERROR(INDEX('ערכים טכנולוגיים'!$G$2:$G$500,MATCH(A88,'ערכים טכנולוגיים'!$A$2:$A$500,0)),""))</f>
        <v/>
      </c>
      <c r="P88" s="9">
        <f>IF($K88="","",IFERROR(INDEX('ערכים טכנולוגיים'!$K$2:$K$500,MATCH(A88,'ערכים טכנולוגיים'!$A$2:$A$500,0)),""))</f>
        <v/>
      </c>
      <c r="Q88" s="9">
        <f>IF($K88="","",IFERROR(INDEX('ערכים טכנולוגיים'!$P$2:$P$500,MATCH(A88,'ערכים טכנולוגיים'!$A$2:$A$500,0)),""))</f>
        <v/>
      </c>
    </row>
    <row r="89">
      <c r="A89" s="8">
        <f>IF($K89="","",INDEX(מלאי!$D$2:$D$500,$K89))</f>
        <v/>
      </c>
      <c r="B89" s="8">
        <f>IF($K89="","",INDEX(מלאי!$B$2:$B$500,$K89))</f>
        <v/>
      </c>
      <c r="C89" s="8">
        <f>IF($K89="","",INDEX(מלאי!$C$2:$C$500,$K89))</f>
        <v/>
      </c>
      <c r="D89" s="8">
        <f>IF($K89="","",INDEX(מלאי!$G$2:$G$500,$K89))</f>
        <v/>
      </c>
      <c r="E89" s="8">
        <f>IF($K89="","",INDEX(מלאי!$M$2:$M$500,$K89))</f>
        <v/>
      </c>
      <c r="F89" s="8">
        <f>IF($K89="","",INDEX(מלאי!$N$2:$N$500,$K89))</f>
        <v/>
      </c>
      <c r="G89" s="8">
        <f>IF($K89="","",INDEX(מלאי!$O$2:$O$500,$K89))</f>
        <v/>
      </c>
      <c r="H89" s="8">
        <f>IF($K89="","",INDEX(מלאי!$U$2:$U$500,$K89))</f>
        <v/>
      </c>
      <c r="I89" s="8">
        <f>IF($K89="","",INDEX(מלאי!$X$2:$X$500,$K89))</f>
        <v/>
      </c>
      <c r="J89" s="8">
        <f>IF($K89="","",INDEX(מלאי!$AC$2:$AC$500,$K89))</f>
        <v/>
      </c>
      <c r="K8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טכנולוגיים'!$A$2:$A$500,0))&lt;=$G$6),0))),ROW(מלאי!$A$2:$A$500)-ROW(מלאי!$A$2)+1,""),67),"")</f>
        <v/>
      </c>
      <c r="L89" s="8">
        <f>IF($K89="","",IFERROR(INDEX('ערכים טכנולוגיים'!$M$2:$M$500,MATCH(A89,'ערכים טכנולוגיים'!$A$2:$A$500,0)),""))</f>
        <v/>
      </c>
      <c r="M89" s="8">
        <f>IF($K89="","",IFERROR(INDEX('ערכים טכנולוגיים'!$F$2:$F$500,MATCH(A89,'ערכים טכנולוגיים'!$A$2:$A$500,0)),""))</f>
        <v/>
      </c>
      <c r="N89" s="8">
        <f>IF($K89="","",IFERROR(INDEX('ערכים טכנולוגיים'!$J$2:$J$500,MATCH(A89,'ערכים טכנולוגיים'!$A$2:$A$500,0)),""))</f>
        <v/>
      </c>
      <c r="O89" s="8">
        <f>IF($K89="","",IFERROR(INDEX('ערכים טכנולוגיים'!$G$2:$G$500,MATCH(A89,'ערכים טכנולוגיים'!$A$2:$A$500,0)),""))</f>
        <v/>
      </c>
      <c r="P89" s="8">
        <f>IF($K89="","",IFERROR(INDEX('ערכים טכנולוגיים'!$K$2:$K$500,MATCH(A89,'ערכים טכנולוגיים'!$A$2:$A$500,0)),""))</f>
        <v/>
      </c>
      <c r="Q89" s="8">
        <f>IF($K89="","",IFERROR(INDEX('ערכים טכנולוגיים'!$P$2:$P$500,MATCH(A89,'ערכים טכנולוגיים'!$A$2:$A$500,0)),""))</f>
        <v/>
      </c>
    </row>
    <row r="90">
      <c r="A90" s="9">
        <f>IF($K90="","",INDEX(מלאי!$D$2:$D$500,$K90))</f>
        <v/>
      </c>
      <c r="B90" s="9">
        <f>IF($K90="","",INDEX(מלאי!$B$2:$B$500,$K90))</f>
        <v/>
      </c>
      <c r="C90" s="9">
        <f>IF($K90="","",INDEX(מלאי!$C$2:$C$500,$K90))</f>
        <v/>
      </c>
      <c r="D90" s="9">
        <f>IF($K90="","",INDEX(מלאי!$G$2:$G$500,$K90))</f>
        <v/>
      </c>
      <c r="E90" s="9">
        <f>IF($K90="","",INDEX(מלאי!$M$2:$M$500,$K90))</f>
        <v/>
      </c>
      <c r="F90" s="9">
        <f>IF($K90="","",INDEX(מלאי!$N$2:$N$500,$K90))</f>
        <v/>
      </c>
      <c r="G90" s="9">
        <f>IF($K90="","",INDEX(מלאי!$O$2:$O$500,$K90))</f>
        <v/>
      </c>
      <c r="H90" s="9">
        <f>IF($K90="","",INDEX(מלאי!$U$2:$U$500,$K90))</f>
        <v/>
      </c>
      <c r="I90" s="9">
        <f>IF($K90="","",INDEX(מלאי!$X$2:$X$500,$K90))</f>
        <v/>
      </c>
      <c r="J90" s="9">
        <f>IF($K90="","",INDEX(מלאי!$AC$2:$AC$500,$K90))</f>
        <v/>
      </c>
      <c r="K9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טכנולוגיים'!$A$2:$A$500,0))&lt;=$G$6),0))),ROW(מלאי!$A$2:$A$500)-ROW(מלאי!$A$2)+1,""),68),"")</f>
        <v/>
      </c>
      <c r="L90" s="9">
        <f>IF($K90="","",IFERROR(INDEX('ערכים טכנולוגיים'!$M$2:$M$500,MATCH(A90,'ערכים טכנולוגיים'!$A$2:$A$500,0)),""))</f>
        <v/>
      </c>
      <c r="M90" s="9">
        <f>IF($K90="","",IFERROR(INDEX('ערכים טכנולוגיים'!$F$2:$F$500,MATCH(A90,'ערכים טכנולוגיים'!$A$2:$A$500,0)),""))</f>
        <v/>
      </c>
      <c r="N90" s="9">
        <f>IF($K90="","",IFERROR(INDEX('ערכים טכנולוגיים'!$J$2:$J$500,MATCH(A90,'ערכים טכנולוגיים'!$A$2:$A$500,0)),""))</f>
        <v/>
      </c>
      <c r="O90" s="9">
        <f>IF($K90="","",IFERROR(INDEX('ערכים טכנולוגיים'!$G$2:$G$500,MATCH(A90,'ערכים טכנולוגיים'!$A$2:$A$500,0)),""))</f>
        <v/>
      </c>
      <c r="P90" s="9">
        <f>IF($K90="","",IFERROR(INDEX('ערכים טכנולוגיים'!$K$2:$K$500,MATCH(A90,'ערכים טכנולוגיים'!$A$2:$A$500,0)),""))</f>
        <v/>
      </c>
      <c r="Q90" s="9">
        <f>IF($K90="","",IFERROR(INDEX('ערכים טכנולוגיים'!$P$2:$P$500,MATCH(A90,'ערכים טכנולוגיים'!$A$2:$A$500,0)),""))</f>
        <v/>
      </c>
    </row>
    <row r="91">
      <c r="A91" s="8">
        <f>IF($K91="","",INDEX(מלאי!$D$2:$D$500,$K91))</f>
        <v/>
      </c>
      <c r="B91" s="8">
        <f>IF($K91="","",INDEX(מלאי!$B$2:$B$500,$K91))</f>
        <v/>
      </c>
      <c r="C91" s="8">
        <f>IF($K91="","",INDEX(מלאי!$C$2:$C$500,$K91))</f>
        <v/>
      </c>
      <c r="D91" s="8">
        <f>IF($K91="","",INDEX(מלאי!$G$2:$G$500,$K91))</f>
        <v/>
      </c>
      <c r="E91" s="8">
        <f>IF($K91="","",INDEX(מלאי!$M$2:$M$500,$K91))</f>
        <v/>
      </c>
      <c r="F91" s="8">
        <f>IF($K91="","",INDEX(מלאי!$N$2:$N$500,$K91))</f>
        <v/>
      </c>
      <c r="G91" s="8">
        <f>IF($K91="","",INDEX(מלאי!$O$2:$O$500,$K91))</f>
        <v/>
      </c>
      <c r="H91" s="8">
        <f>IF($K91="","",INDEX(מלאי!$U$2:$U$500,$K91))</f>
        <v/>
      </c>
      <c r="I91" s="8">
        <f>IF($K91="","",INDEX(מלאי!$X$2:$X$500,$K91))</f>
        <v/>
      </c>
      <c r="J91" s="8">
        <f>IF($K91="","",INDEX(מלאי!$AC$2:$AC$500,$K91))</f>
        <v/>
      </c>
      <c r="K9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טכנולוגיים'!$A$2:$A$500,0))&lt;=$G$6),0))),ROW(מלאי!$A$2:$A$500)-ROW(מלאי!$A$2)+1,""),69),"")</f>
        <v/>
      </c>
      <c r="L91" s="8">
        <f>IF($K91="","",IFERROR(INDEX('ערכים טכנולוגיים'!$M$2:$M$500,MATCH(A91,'ערכים טכנולוגיים'!$A$2:$A$500,0)),""))</f>
        <v/>
      </c>
      <c r="M91" s="8">
        <f>IF($K91="","",IFERROR(INDEX('ערכים טכנולוגיים'!$F$2:$F$500,MATCH(A91,'ערכים טכנולוגיים'!$A$2:$A$500,0)),""))</f>
        <v/>
      </c>
      <c r="N91" s="8">
        <f>IF($K91="","",IFERROR(INDEX('ערכים טכנולוגיים'!$J$2:$J$500,MATCH(A91,'ערכים טכנולוגיים'!$A$2:$A$500,0)),""))</f>
        <v/>
      </c>
      <c r="O91" s="8">
        <f>IF($K91="","",IFERROR(INDEX('ערכים טכנולוגיים'!$G$2:$G$500,MATCH(A91,'ערכים טכנולוגיים'!$A$2:$A$500,0)),""))</f>
        <v/>
      </c>
      <c r="P91" s="8">
        <f>IF($K91="","",IFERROR(INDEX('ערכים טכנולוגיים'!$K$2:$K$500,MATCH(A91,'ערכים טכנולוגיים'!$A$2:$A$500,0)),""))</f>
        <v/>
      </c>
      <c r="Q91" s="8">
        <f>IF($K91="","",IFERROR(INDEX('ערכים טכנולוגיים'!$P$2:$P$500,MATCH(A91,'ערכים טכנולוגיים'!$A$2:$A$500,0)),""))</f>
        <v/>
      </c>
    </row>
    <row r="92">
      <c r="A92" s="9">
        <f>IF($K92="","",INDEX(מלאי!$D$2:$D$500,$K92))</f>
        <v/>
      </c>
      <c r="B92" s="9">
        <f>IF($K92="","",INDEX(מלאי!$B$2:$B$500,$K92))</f>
        <v/>
      </c>
      <c r="C92" s="9">
        <f>IF($K92="","",INDEX(מלאי!$C$2:$C$500,$K92))</f>
        <v/>
      </c>
      <c r="D92" s="9">
        <f>IF($K92="","",INDEX(מלאי!$G$2:$G$500,$K92))</f>
        <v/>
      </c>
      <c r="E92" s="9">
        <f>IF($K92="","",INDEX(מלאי!$M$2:$M$500,$K92))</f>
        <v/>
      </c>
      <c r="F92" s="9">
        <f>IF($K92="","",INDEX(מלאי!$N$2:$N$500,$K92))</f>
        <v/>
      </c>
      <c r="G92" s="9">
        <f>IF($K92="","",INDEX(מלאי!$O$2:$O$500,$K92))</f>
        <v/>
      </c>
      <c r="H92" s="9">
        <f>IF($K92="","",INDEX(מלאי!$U$2:$U$500,$K92))</f>
        <v/>
      </c>
      <c r="I92" s="9">
        <f>IF($K92="","",INDEX(מלאי!$X$2:$X$500,$K92))</f>
        <v/>
      </c>
      <c r="J92" s="9">
        <f>IF($K92="","",INDEX(מלאי!$AC$2:$AC$500,$K92))</f>
        <v/>
      </c>
      <c r="K9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טכנולוגיים'!$A$2:$A$500,0))&lt;=$G$6),0))),ROW(מלאי!$A$2:$A$500)-ROW(מלאי!$A$2)+1,""),70),"")</f>
        <v/>
      </c>
      <c r="L92" s="9">
        <f>IF($K92="","",IFERROR(INDEX('ערכים טכנולוגיים'!$M$2:$M$500,MATCH(A92,'ערכים טכנולוגיים'!$A$2:$A$500,0)),""))</f>
        <v/>
      </c>
      <c r="M92" s="9">
        <f>IF($K92="","",IFERROR(INDEX('ערכים טכנולוגיים'!$F$2:$F$500,MATCH(A92,'ערכים טכנולוגיים'!$A$2:$A$500,0)),""))</f>
        <v/>
      </c>
      <c r="N92" s="9">
        <f>IF($K92="","",IFERROR(INDEX('ערכים טכנולוגיים'!$J$2:$J$500,MATCH(A92,'ערכים טכנולוגיים'!$A$2:$A$500,0)),""))</f>
        <v/>
      </c>
      <c r="O92" s="9">
        <f>IF($K92="","",IFERROR(INDEX('ערכים טכנולוגיים'!$G$2:$G$500,MATCH(A92,'ערכים טכנולוגיים'!$A$2:$A$500,0)),""))</f>
        <v/>
      </c>
      <c r="P92" s="9">
        <f>IF($K92="","",IFERROR(INDEX('ערכים טכנולוגיים'!$K$2:$K$500,MATCH(A92,'ערכים טכנולוגיים'!$A$2:$A$500,0)),""))</f>
        <v/>
      </c>
      <c r="Q92" s="9">
        <f>IF($K92="","",IFERROR(INDEX('ערכים טכנולוגיים'!$P$2:$P$500,MATCH(A92,'ערכים טכנולוגיים'!$A$2:$A$500,0)),""))</f>
        <v/>
      </c>
    </row>
    <row r="93">
      <c r="A93" s="8">
        <f>IF($K93="","",INDEX(מלאי!$D$2:$D$500,$K93))</f>
        <v/>
      </c>
      <c r="B93" s="8">
        <f>IF($K93="","",INDEX(מלאי!$B$2:$B$500,$K93))</f>
        <v/>
      </c>
      <c r="C93" s="8">
        <f>IF($K93="","",INDEX(מלאי!$C$2:$C$500,$K93))</f>
        <v/>
      </c>
      <c r="D93" s="8">
        <f>IF($K93="","",INDEX(מלאי!$G$2:$G$500,$K93))</f>
        <v/>
      </c>
      <c r="E93" s="8">
        <f>IF($K93="","",INDEX(מלאי!$M$2:$M$500,$K93))</f>
        <v/>
      </c>
      <c r="F93" s="8">
        <f>IF($K93="","",INDEX(מלאי!$N$2:$N$500,$K93))</f>
        <v/>
      </c>
      <c r="G93" s="8">
        <f>IF($K93="","",INDEX(מלאי!$O$2:$O$500,$K93))</f>
        <v/>
      </c>
      <c r="H93" s="8">
        <f>IF($K93="","",INDEX(מלאי!$U$2:$U$500,$K93))</f>
        <v/>
      </c>
      <c r="I93" s="8">
        <f>IF($K93="","",INDEX(מלאי!$X$2:$X$500,$K93))</f>
        <v/>
      </c>
      <c r="J93" s="8">
        <f>IF($K93="","",INDEX(מלאי!$AC$2:$AC$500,$K93))</f>
        <v/>
      </c>
      <c r="K9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טכנולוגיים'!$A$2:$A$500,0))&lt;=$G$6),0))),ROW(מלאי!$A$2:$A$500)-ROW(מלאי!$A$2)+1,""),71),"")</f>
        <v/>
      </c>
      <c r="L93" s="8">
        <f>IF($K93="","",IFERROR(INDEX('ערכים טכנולוגיים'!$M$2:$M$500,MATCH(A93,'ערכים טכנולוגיים'!$A$2:$A$500,0)),""))</f>
        <v/>
      </c>
      <c r="M93" s="8">
        <f>IF($K93="","",IFERROR(INDEX('ערכים טכנולוגיים'!$F$2:$F$500,MATCH(A93,'ערכים טכנולוגיים'!$A$2:$A$500,0)),""))</f>
        <v/>
      </c>
      <c r="N93" s="8">
        <f>IF($K93="","",IFERROR(INDEX('ערכים טכנולוגיים'!$J$2:$J$500,MATCH(A93,'ערכים טכנולוגיים'!$A$2:$A$500,0)),""))</f>
        <v/>
      </c>
      <c r="O93" s="8">
        <f>IF($K93="","",IFERROR(INDEX('ערכים טכנולוגיים'!$G$2:$G$500,MATCH(A93,'ערכים טכנולוגיים'!$A$2:$A$500,0)),""))</f>
        <v/>
      </c>
      <c r="P93" s="8">
        <f>IF($K93="","",IFERROR(INDEX('ערכים טכנולוגיים'!$K$2:$K$500,MATCH(A93,'ערכים טכנולוגיים'!$A$2:$A$500,0)),""))</f>
        <v/>
      </c>
      <c r="Q93" s="8">
        <f>IF($K93="","",IFERROR(INDEX('ערכים טכנולוגיים'!$P$2:$P$500,MATCH(A93,'ערכים טכנולוגיים'!$A$2:$A$500,0)),""))</f>
        <v/>
      </c>
    </row>
    <row r="94">
      <c r="A94" s="9">
        <f>IF($K94="","",INDEX(מלאי!$D$2:$D$500,$K94))</f>
        <v/>
      </c>
      <c r="B94" s="9">
        <f>IF($K94="","",INDEX(מלאי!$B$2:$B$500,$K94))</f>
        <v/>
      </c>
      <c r="C94" s="9">
        <f>IF($K94="","",INDEX(מלאי!$C$2:$C$500,$K94))</f>
        <v/>
      </c>
      <c r="D94" s="9">
        <f>IF($K94="","",INDEX(מלאי!$G$2:$G$500,$K94))</f>
        <v/>
      </c>
      <c r="E94" s="9">
        <f>IF($K94="","",INDEX(מלאי!$M$2:$M$500,$K94))</f>
        <v/>
      </c>
      <c r="F94" s="9">
        <f>IF($K94="","",INDEX(מלאי!$N$2:$N$500,$K94))</f>
        <v/>
      </c>
      <c r="G94" s="9">
        <f>IF($K94="","",INDEX(מלאי!$O$2:$O$500,$K94))</f>
        <v/>
      </c>
      <c r="H94" s="9">
        <f>IF($K94="","",INDEX(מלאי!$U$2:$U$500,$K94))</f>
        <v/>
      </c>
      <c r="I94" s="9">
        <f>IF($K94="","",INDEX(מלאי!$X$2:$X$500,$K94))</f>
        <v/>
      </c>
      <c r="J94" s="9">
        <f>IF($K94="","",INDEX(מלאי!$AC$2:$AC$500,$K94))</f>
        <v/>
      </c>
      <c r="K9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טכנולוגיים'!$A$2:$A$500,0))&lt;=$G$6),0))),ROW(מלאי!$A$2:$A$500)-ROW(מלאי!$A$2)+1,""),72),"")</f>
        <v/>
      </c>
      <c r="L94" s="9">
        <f>IF($K94="","",IFERROR(INDEX('ערכים טכנולוגיים'!$M$2:$M$500,MATCH(A94,'ערכים טכנולוגיים'!$A$2:$A$500,0)),""))</f>
        <v/>
      </c>
      <c r="M94" s="9">
        <f>IF($K94="","",IFERROR(INDEX('ערכים טכנולוגיים'!$F$2:$F$500,MATCH(A94,'ערכים טכנולוגיים'!$A$2:$A$500,0)),""))</f>
        <v/>
      </c>
      <c r="N94" s="9">
        <f>IF($K94="","",IFERROR(INDEX('ערכים טכנולוגיים'!$J$2:$J$500,MATCH(A94,'ערכים טכנולוגיים'!$A$2:$A$500,0)),""))</f>
        <v/>
      </c>
      <c r="O94" s="9">
        <f>IF($K94="","",IFERROR(INDEX('ערכים טכנולוגיים'!$G$2:$G$500,MATCH(A94,'ערכים טכנולוגיים'!$A$2:$A$500,0)),""))</f>
        <v/>
      </c>
      <c r="P94" s="9">
        <f>IF($K94="","",IFERROR(INDEX('ערכים טכנולוגיים'!$K$2:$K$500,MATCH(A94,'ערכים טכנולוגיים'!$A$2:$A$500,0)),""))</f>
        <v/>
      </c>
      <c r="Q94" s="9">
        <f>IF($K94="","",IFERROR(INDEX('ערכים טכנולוגיים'!$P$2:$P$500,MATCH(A94,'ערכים טכנולוגיים'!$A$2:$A$500,0)),""))</f>
        <v/>
      </c>
    </row>
    <row r="95">
      <c r="A95" s="8">
        <f>IF($K95="","",INDEX(מלאי!$D$2:$D$500,$K95))</f>
        <v/>
      </c>
      <c r="B95" s="8">
        <f>IF($K95="","",INDEX(מלאי!$B$2:$B$500,$K95))</f>
        <v/>
      </c>
      <c r="C95" s="8">
        <f>IF($K95="","",INDEX(מלאי!$C$2:$C$500,$K95))</f>
        <v/>
      </c>
      <c r="D95" s="8">
        <f>IF($K95="","",INDEX(מלאי!$G$2:$G$500,$K95))</f>
        <v/>
      </c>
      <c r="E95" s="8">
        <f>IF($K95="","",INDEX(מלאי!$M$2:$M$500,$K95))</f>
        <v/>
      </c>
      <c r="F95" s="8">
        <f>IF($K95="","",INDEX(מלאי!$N$2:$N$500,$K95))</f>
        <v/>
      </c>
      <c r="G95" s="8">
        <f>IF($K95="","",INDEX(מלאי!$O$2:$O$500,$K95))</f>
        <v/>
      </c>
      <c r="H95" s="8">
        <f>IF($K95="","",INDEX(מלאי!$U$2:$U$500,$K95))</f>
        <v/>
      </c>
      <c r="I95" s="8">
        <f>IF($K95="","",INDEX(מלאי!$X$2:$X$500,$K95))</f>
        <v/>
      </c>
      <c r="J95" s="8">
        <f>IF($K95="","",INDEX(מלאי!$AC$2:$AC$500,$K95))</f>
        <v/>
      </c>
      <c r="K9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טכנולוגיים'!$A$2:$A$500,0))&lt;=$G$6),0))),ROW(מלאי!$A$2:$A$500)-ROW(מלאי!$A$2)+1,""),73),"")</f>
        <v/>
      </c>
      <c r="L95" s="8">
        <f>IF($K95="","",IFERROR(INDEX('ערכים טכנולוגיים'!$M$2:$M$500,MATCH(A95,'ערכים טכנולוגיים'!$A$2:$A$500,0)),""))</f>
        <v/>
      </c>
      <c r="M95" s="8">
        <f>IF($K95="","",IFERROR(INDEX('ערכים טכנולוגיים'!$F$2:$F$500,MATCH(A95,'ערכים טכנולוגיים'!$A$2:$A$500,0)),""))</f>
        <v/>
      </c>
      <c r="N95" s="8">
        <f>IF($K95="","",IFERROR(INDEX('ערכים טכנולוגיים'!$J$2:$J$500,MATCH(A95,'ערכים טכנולוגיים'!$A$2:$A$500,0)),""))</f>
        <v/>
      </c>
      <c r="O95" s="8">
        <f>IF($K95="","",IFERROR(INDEX('ערכים טכנולוגיים'!$G$2:$G$500,MATCH(A95,'ערכים טכנולוגיים'!$A$2:$A$500,0)),""))</f>
        <v/>
      </c>
      <c r="P95" s="8">
        <f>IF($K95="","",IFERROR(INDEX('ערכים טכנולוגיים'!$K$2:$K$500,MATCH(A95,'ערכים טכנולוגיים'!$A$2:$A$500,0)),""))</f>
        <v/>
      </c>
      <c r="Q95" s="8">
        <f>IF($K95="","",IFERROR(INDEX('ערכים טכנולוגיים'!$P$2:$P$500,MATCH(A95,'ערכים טכנולוגיים'!$A$2:$A$500,0)),""))</f>
        <v/>
      </c>
    </row>
    <row r="96">
      <c r="A96" s="9">
        <f>IF($K96="","",INDEX(מלאי!$D$2:$D$500,$K96))</f>
        <v/>
      </c>
      <c r="B96" s="9">
        <f>IF($K96="","",INDEX(מלאי!$B$2:$B$500,$K96))</f>
        <v/>
      </c>
      <c r="C96" s="9">
        <f>IF($K96="","",INDEX(מלאי!$C$2:$C$500,$K96))</f>
        <v/>
      </c>
      <c r="D96" s="9">
        <f>IF($K96="","",INDEX(מלאי!$G$2:$G$500,$K96))</f>
        <v/>
      </c>
      <c r="E96" s="9">
        <f>IF($K96="","",INDEX(מלאי!$M$2:$M$500,$K96))</f>
        <v/>
      </c>
      <c r="F96" s="9">
        <f>IF($K96="","",INDEX(מלאי!$N$2:$N$500,$K96))</f>
        <v/>
      </c>
      <c r="G96" s="9">
        <f>IF($K96="","",INDEX(מלאי!$O$2:$O$500,$K96))</f>
        <v/>
      </c>
      <c r="H96" s="9">
        <f>IF($K96="","",INDEX(מלאי!$U$2:$U$500,$K96))</f>
        <v/>
      </c>
      <c r="I96" s="9">
        <f>IF($K96="","",INDEX(מלאי!$X$2:$X$500,$K96))</f>
        <v/>
      </c>
      <c r="J96" s="9">
        <f>IF($K96="","",INDEX(מלאי!$AC$2:$AC$500,$K96))</f>
        <v/>
      </c>
      <c r="K9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טכנולוגיים'!$A$2:$A$500,0))&lt;=$G$6),0))),ROW(מלאי!$A$2:$A$500)-ROW(מלאי!$A$2)+1,""),74),"")</f>
        <v/>
      </c>
      <c r="L96" s="9">
        <f>IF($K96="","",IFERROR(INDEX('ערכים טכנולוגיים'!$M$2:$M$500,MATCH(A96,'ערכים טכנולוגיים'!$A$2:$A$500,0)),""))</f>
        <v/>
      </c>
      <c r="M96" s="9">
        <f>IF($K96="","",IFERROR(INDEX('ערכים טכנולוגיים'!$F$2:$F$500,MATCH(A96,'ערכים טכנולוגיים'!$A$2:$A$500,0)),""))</f>
        <v/>
      </c>
      <c r="N96" s="9">
        <f>IF($K96="","",IFERROR(INDEX('ערכים טכנולוגיים'!$J$2:$J$500,MATCH(A96,'ערכים טכנולוגיים'!$A$2:$A$500,0)),""))</f>
        <v/>
      </c>
      <c r="O96" s="9">
        <f>IF($K96="","",IFERROR(INDEX('ערכים טכנולוגיים'!$G$2:$G$500,MATCH(A96,'ערכים טכנולוגיים'!$A$2:$A$500,0)),""))</f>
        <v/>
      </c>
      <c r="P96" s="9">
        <f>IF($K96="","",IFERROR(INDEX('ערכים טכנולוגיים'!$K$2:$K$500,MATCH(A96,'ערכים טכנולוגיים'!$A$2:$A$500,0)),""))</f>
        <v/>
      </c>
      <c r="Q96" s="9">
        <f>IF($K96="","",IFERROR(INDEX('ערכים טכנולוגיים'!$P$2:$P$500,MATCH(A96,'ערכים טכנולוגיים'!$A$2:$A$500,0)),""))</f>
        <v/>
      </c>
    </row>
    <row r="97">
      <c r="A97" s="8">
        <f>IF($K97="","",INDEX(מלאי!$D$2:$D$500,$K97))</f>
        <v/>
      </c>
      <c r="B97" s="8">
        <f>IF($K97="","",INDEX(מלאי!$B$2:$B$500,$K97))</f>
        <v/>
      </c>
      <c r="C97" s="8">
        <f>IF($K97="","",INDEX(מלאי!$C$2:$C$500,$K97))</f>
        <v/>
      </c>
      <c r="D97" s="8">
        <f>IF($K97="","",INDEX(מלאי!$G$2:$G$500,$K97))</f>
        <v/>
      </c>
      <c r="E97" s="8">
        <f>IF($K97="","",INDEX(מלאי!$M$2:$M$500,$K97))</f>
        <v/>
      </c>
      <c r="F97" s="8">
        <f>IF($K97="","",INDEX(מלאי!$N$2:$N$500,$K97))</f>
        <v/>
      </c>
      <c r="G97" s="8">
        <f>IF($K97="","",INDEX(מלאי!$O$2:$O$500,$K97))</f>
        <v/>
      </c>
      <c r="H97" s="8">
        <f>IF($K97="","",INDEX(מלאי!$U$2:$U$500,$K97))</f>
        <v/>
      </c>
      <c r="I97" s="8">
        <f>IF($K97="","",INDEX(מלאי!$X$2:$X$500,$K97))</f>
        <v/>
      </c>
      <c r="J97" s="8">
        <f>IF($K97="","",INDEX(מלאי!$AC$2:$AC$500,$K97))</f>
        <v/>
      </c>
      <c r="K9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טכנולוגיים'!$A$2:$A$500,0))&lt;=$G$6),0))),ROW(מלאי!$A$2:$A$500)-ROW(מלאי!$A$2)+1,""),75),"")</f>
        <v/>
      </c>
      <c r="L97" s="8">
        <f>IF($K97="","",IFERROR(INDEX('ערכים טכנולוגיים'!$M$2:$M$500,MATCH(A97,'ערכים טכנולוגיים'!$A$2:$A$500,0)),""))</f>
        <v/>
      </c>
      <c r="M97" s="8">
        <f>IF($K97="","",IFERROR(INDEX('ערכים טכנולוגיים'!$F$2:$F$500,MATCH(A97,'ערכים טכנולוגיים'!$A$2:$A$500,0)),""))</f>
        <v/>
      </c>
      <c r="N97" s="8">
        <f>IF($K97="","",IFERROR(INDEX('ערכים טכנולוגיים'!$J$2:$J$500,MATCH(A97,'ערכים טכנולוגיים'!$A$2:$A$500,0)),""))</f>
        <v/>
      </c>
      <c r="O97" s="8">
        <f>IF($K97="","",IFERROR(INDEX('ערכים טכנולוגיים'!$G$2:$G$500,MATCH(A97,'ערכים טכנולוגיים'!$A$2:$A$500,0)),""))</f>
        <v/>
      </c>
      <c r="P97" s="8">
        <f>IF($K97="","",IFERROR(INDEX('ערכים טכנולוגיים'!$K$2:$K$500,MATCH(A97,'ערכים טכנולוגיים'!$A$2:$A$500,0)),""))</f>
        <v/>
      </c>
      <c r="Q97" s="8">
        <f>IF($K97="","",IFERROR(INDEX('ערכים טכנולוגיים'!$P$2:$P$500,MATCH(A97,'ערכים טכנולוגיים'!$A$2:$A$500,0)),""))</f>
        <v/>
      </c>
    </row>
    <row r="98">
      <c r="A98" s="9">
        <f>IF($K98="","",INDEX(מלאי!$D$2:$D$500,$K98))</f>
        <v/>
      </c>
      <c r="B98" s="9">
        <f>IF($K98="","",INDEX(מלאי!$B$2:$B$500,$K98))</f>
        <v/>
      </c>
      <c r="C98" s="9">
        <f>IF($K98="","",INDEX(מלאי!$C$2:$C$500,$K98))</f>
        <v/>
      </c>
      <c r="D98" s="9">
        <f>IF($K98="","",INDEX(מלאי!$G$2:$G$500,$K98))</f>
        <v/>
      </c>
      <c r="E98" s="9">
        <f>IF($K98="","",INDEX(מלאי!$M$2:$M$500,$K98))</f>
        <v/>
      </c>
      <c r="F98" s="9">
        <f>IF($K98="","",INDEX(מלאי!$N$2:$N$500,$K98))</f>
        <v/>
      </c>
      <c r="G98" s="9">
        <f>IF($K98="","",INDEX(מלאי!$O$2:$O$500,$K98))</f>
        <v/>
      </c>
      <c r="H98" s="9">
        <f>IF($K98="","",INDEX(מלאי!$U$2:$U$500,$K98))</f>
        <v/>
      </c>
      <c r="I98" s="9">
        <f>IF($K98="","",INDEX(מלאי!$X$2:$X$500,$K98))</f>
        <v/>
      </c>
      <c r="J98" s="9">
        <f>IF($K98="","",INDEX(מלאי!$AC$2:$AC$500,$K98))</f>
        <v/>
      </c>
      <c r="K9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טכנולוגיים'!$A$2:$A$500,0))&lt;=$G$6),0))),ROW(מלאי!$A$2:$A$500)-ROW(מלאי!$A$2)+1,""),76),"")</f>
        <v/>
      </c>
      <c r="L98" s="9">
        <f>IF($K98="","",IFERROR(INDEX('ערכים טכנולוגיים'!$M$2:$M$500,MATCH(A98,'ערכים טכנולוגיים'!$A$2:$A$500,0)),""))</f>
        <v/>
      </c>
      <c r="M98" s="9">
        <f>IF($K98="","",IFERROR(INDEX('ערכים טכנולוגיים'!$F$2:$F$500,MATCH(A98,'ערכים טכנולוגיים'!$A$2:$A$500,0)),""))</f>
        <v/>
      </c>
      <c r="N98" s="9">
        <f>IF($K98="","",IFERROR(INDEX('ערכים טכנולוגיים'!$J$2:$J$500,MATCH(A98,'ערכים טכנולוגיים'!$A$2:$A$500,0)),""))</f>
        <v/>
      </c>
      <c r="O98" s="9">
        <f>IF($K98="","",IFERROR(INDEX('ערכים טכנולוגיים'!$G$2:$G$500,MATCH(A98,'ערכים טכנולוגיים'!$A$2:$A$500,0)),""))</f>
        <v/>
      </c>
      <c r="P98" s="9">
        <f>IF($K98="","",IFERROR(INDEX('ערכים טכנולוגיים'!$K$2:$K$500,MATCH(A98,'ערכים טכנולוגיים'!$A$2:$A$500,0)),""))</f>
        <v/>
      </c>
      <c r="Q98" s="9">
        <f>IF($K98="","",IFERROR(INDEX('ערכים טכנולוגיים'!$P$2:$P$500,MATCH(A98,'ערכים טכנולוגיים'!$A$2:$A$500,0)),""))</f>
        <v/>
      </c>
    </row>
    <row r="99">
      <c r="A99" s="8">
        <f>IF($K99="","",INDEX(מלאי!$D$2:$D$500,$K99))</f>
        <v/>
      </c>
      <c r="B99" s="8">
        <f>IF($K99="","",INDEX(מלאי!$B$2:$B$500,$K99))</f>
        <v/>
      </c>
      <c r="C99" s="8">
        <f>IF($K99="","",INDEX(מלאי!$C$2:$C$500,$K99))</f>
        <v/>
      </c>
      <c r="D99" s="8">
        <f>IF($K99="","",INDEX(מלאי!$G$2:$G$500,$K99))</f>
        <v/>
      </c>
      <c r="E99" s="8">
        <f>IF($K99="","",INDEX(מלאי!$M$2:$M$500,$K99))</f>
        <v/>
      </c>
      <c r="F99" s="8">
        <f>IF($K99="","",INDEX(מלאי!$N$2:$N$500,$K99))</f>
        <v/>
      </c>
      <c r="G99" s="8">
        <f>IF($K99="","",INDEX(מלאי!$O$2:$O$500,$K99))</f>
        <v/>
      </c>
      <c r="H99" s="8">
        <f>IF($K99="","",INDEX(מלאי!$U$2:$U$500,$K99))</f>
        <v/>
      </c>
      <c r="I99" s="8">
        <f>IF($K99="","",INDEX(מלאי!$X$2:$X$500,$K99))</f>
        <v/>
      </c>
      <c r="J99" s="8">
        <f>IF($K99="","",INDEX(מלאי!$AC$2:$AC$500,$K99))</f>
        <v/>
      </c>
      <c r="K9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טכנולוגיים'!$A$2:$A$500,0))&lt;=$G$6),0))),ROW(מלאי!$A$2:$A$500)-ROW(מלאי!$A$2)+1,""),77),"")</f>
        <v/>
      </c>
      <c r="L99" s="8">
        <f>IF($K99="","",IFERROR(INDEX('ערכים טכנולוגיים'!$M$2:$M$500,MATCH(A99,'ערכים טכנולוגיים'!$A$2:$A$500,0)),""))</f>
        <v/>
      </c>
      <c r="M99" s="8">
        <f>IF($K99="","",IFERROR(INDEX('ערכים טכנולוגיים'!$F$2:$F$500,MATCH(A99,'ערכים טכנולוגיים'!$A$2:$A$500,0)),""))</f>
        <v/>
      </c>
      <c r="N99" s="8">
        <f>IF($K99="","",IFERROR(INDEX('ערכים טכנולוגיים'!$J$2:$J$500,MATCH(A99,'ערכים טכנולוגיים'!$A$2:$A$500,0)),""))</f>
        <v/>
      </c>
      <c r="O99" s="8">
        <f>IF($K99="","",IFERROR(INDEX('ערכים טכנולוגיים'!$G$2:$G$500,MATCH(A99,'ערכים טכנולוגיים'!$A$2:$A$500,0)),""))</f>
        <v/>
      </c>
      <c r="P99" s="8">
        <f>IF($K99="","",IFERROR(INDEX('ערכים טכנולוגיים'!$K$2:$K$500,MATCH(A99,'ערכים טכנולוגיים'!$A$2:$A$500,0)),""))</f>
        <v/>
      </c>
      <c r="Q99" s="8">
        <f>IF($K99="","",IFERROR(INDEX('ערכים טכנולוגיים'!$P$2:$P$500,MATCH(A99,'ערכים טכנולוגיים'!$A$2:$A$500,0)),""))</f>
        <v/>
      </c>
    </row>
    <row r="100">
      <c r="A100" s="9">
        <f>IF($K100="","",INDEX(מלאי!$D$2:$D$500,$K100))</f>
        <v/>
      </c>
      <c r="B100" s="9">
        <f>IF($K100="","",INDEX(מלאי!$B$2:$B$500,$K100))</f>
        <v/>
      </c>
      <c r="C100" s="9">
        <f>IF($K100="","",INDEX(מלאי!$C$2:$C$500,$K100))</f>
        <v/>
      </c>
      <c r="D100" s="9">
        <f>IF($K100="","",INDEX(מלאי!$G$2:$G$500,$K100))</f>
        <v/>
      </c>
      <c r="E100" s="9">
        <f>IF($K100="","",INDEX(מלאי!$M$2:$M$500,$K100))</f>
        <v/>
      </c>
      <c r="F100" s="9">
        <f>IF($K100="","",INDEX(מלאי!$N$2:$N$500,$K100))</f>
        <v/>
      </c>
      <c r="G100" s="9">
        <f>IF($K100="","",INDEX(מלאי!$O$2:$O$500,$K100))</f>
        <v/>
      </c>
      <c r="H100" s="9">
        <f>IF($K100="","",INDEX(מלאי!$U$2:$U$500,$K100))</f>
        <v/>
      </c>
      <c r="I100" s="9">
        <f>IF($K100="","",INDEX(מלאי!$X$2:$X$500,$K100))</f>
        <v/>
      </c>
      <c r="J100" s="9">
        <f>IF($K100="","",INDEX(מלאי!$AC$2:$AC$500,$K100))</f>
        <v/>
      </c>
      <c r="K10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טכנולוגיים'!$A$2:$A$500,0))&lt;=$G$6),0))),ROW(מלאי!$A$2:$A$500)-ROW(מלאי!$A$2)+1,""),78),"")</f>
        <v/>
      </c>
      <c r="L100" s="9">
        <f>IF($K100="","",IFERROR(INDEX('ערכים טכנולוגיים'!$M$2:$M$500,MATCH(A100,'ערכים טכנולוגיים'!$A$2:$A$500,0)),""))</f>
        <v/>
      </c>
      <c r="M100" s="9">
        <f>IF($K100="","",IFERROR(INDEX('ערכים טכנולוגיים'!$F$2:$F$500,MATCH(A100,'ערכים טכנולוגיים'!$A$2:$A$500,0)),""))</f>
        <v/>
      </c>
      <c r="N100" s="9">
        <f>IF($K100="","",IFERROR(INDEX('ערכים טכנולוגיים'!$J$2:$J$500,MATCH(A100,'ערכים טכנולוגיים'!$A$2:$A$500,0)),""))</f>
        <v/>
      </c>
      <c r="O100" s="9">
        <f>IF($K100="","",IFERROR(INDEX('ערכים טכנולוגיים'!$G$2:$G$500,MATCH(A100,'ערכים טכנולוגיים'!$A$2:$A$500,0)),""))</f>
        <v/>
      </c>
      <c r="P100" s="9">
        <f>IF($K100="","",IFERROR(INDEX('ערכים טכנולוגיים'!$K$2:$K$500,MATCH(A100,'ערכים טכנולוגיים'!$A$2:$A$500,0)),""))</f>
        <v/>
      </c>
      <c r="Q100" s="9">
        <f>IF($K100="","",IFERROR(INDEX('ערכים טכנולוגיים'!$P$2:$P$500,MATCH(A100,'ערכים טכנולוגיים'!$A$2:$A$500,0)),""))</f>
        <v/>
      </c>
    </row>
    <row r="101">
      <c r="A101" s="8">
        <f>IF($K101="","",INDEX(מלאי!$D$2:$D$500,$K101))</f>
        <v/>
      </c>
      <c r="B101" s="8">
        <f>IF($K101="","",INDEX(מלאי!$B$2:$B$500,$K101))</f>
        <v/>
      </c>
      <c r="C101" s="8">
        <f>IF($K101="","",INDEX(מלאי!$C$2:$C$500,$K101))</f>
        <v/>
      </c>
      <c r="D101" s="8">
        <f>IF($K101="","",INDEX(מלאי!$G$2:$G$500,$K101))</f>
        <v/>
      </c>
      <c r="E101" s="8">
        <f>IF($K101="","",INDEX(מלאי!$M$2:$M$500,$K101))</f>
        <v/>
      </c>
      <c r="F101" s="8">
        <f>IF($K101="","",INDEX(מלאי!$N$2:$N$500,$K101))</f>
        <v/>
      </c>
      <c r="G101" s="8">
        <f>IF($K101="","",INDEX(מלאי!$O$2:$O$500,$K101))</f>
        <v/>
      </c>
      <c r="H101" s="8">
        <f>IF($K101="","",INDEX(מלאי!$U$2:$U$500,$K101))</f>
        <v/>
      </c>
      <c r="I101" s="8">
        <f>IF($K101="","",INDEX(מלאי!$X$2:$X$500,$K101))</f>
        <v/>
      </c>
      <c r="J101" s="8">
        <f>IF($K101="","",INDEX(מלאי!$AC$2:$AC$500,$K101))</f>
        <v/>
      </c>
      <c r="K10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טכנולוגיים'!$A$2:$A$500,0))&lt;=$G$6),0))),ROW(מלאי!$A$2:$A$500)-ROW(מלאי!$A$2)+1,""),79),"")</f>
        <v/>
      </c>
      <c r="L101" s="8">
        <f>IF($K101="","",IFERROR(INDEX('ערכים טכנולוגיים'!$M$2:$M$500,MATCH(A101,'ערכים טכנולוגיים'!$A$2:$A$500,0)),""))</f>
        <v/>
      </c>
      <c r="M101" s="8">
        <f>IF($K101="","",IFERROR(INDEX('ערכים טכנולוגיים'!$F$2:$F$500,MATCH(A101,'ערכים טכנולוגיים'!$A$2:$A$500,0)),""))</f>
        <v/>
      </c>
      <c r="N101" s="8">
        <f>IF($K101="","",IFERROR(INDEX('ערכים טכנולוגיים'!$J$2:$J$500,MATCH(A101,'ערכים טכנולוגיים'!$A$2:$A$500,0)),""))</f>
        <v/>
      </c>
      <c r="O101" s="8">
        <f>IF($K101="","",IFERROR(INDEX('ערכים טכנולוגיים'!$G$2:$G$500,MATCH(A101,'ערכים טכנולוגיים'!$A$2:$A$500,0)),""))</f>
        <v/>
      </c>
      <c r="P101" s="8">
        <f>IF($K101="","",IFERROR(INDEX('ערכים טכנולוגיים'!$K$2:$K$500,MATCH(A101,'ערכים טכנולוגיים'!$A$2:$A$500,0)),""))</f>
        <v/>
      </c>
      <c r="Q101" s="8">
        <f>IF($K101="","",IFERROR(INDEX('ערכים טכנולוגיים'!$P$2:$P$500,MATCH(A101,'ערכים טכנולוגיים'!$A$2:$A$500,0)),""))</f>
        <v/>
      </c>
    </row>
    <row r="102">
      <c r="A102" s="9">
        <f>IF($K102="","",INDEX(מלאי!$D$2:$D$500,$K102))</f>
        <v/>
      </c>
      <c r="B102" s="9">
        <f>IF($K102="","",INDEX(מלאי!$B$2:$B$500,$K102))</f>
        <v/>
      </c>
      <c r="C102" s="9">
        <f>IF($K102="","",INDEX(מלאי!$C$2:$C$500,$K102))</f>
        <v/>
      </c>
      <c r="D102" s="9">
        <f>IF($K102="","",INDEX(מלאי!$G$2:$G$500,$K102))</f>
        <v/>
      </c>
      <c r="E102" s="9">
        <f>IF($K102="","",INDEX(מלאי!$M$2:$M$500,$K102))</f>
        <v/>
      </c>
      <c r="F102" s="9">
        <f>IF($K102="","",INDEX(מלאי!$N$2:$N$500,$K102))</f>
        <v/>
      </c>
      <c r="G102" s="9">
        <f>IF($K102="","",INDEX(מלאי!$O$2:$O$500,$K102))</f>
        <v/>
      </c>
      <c r="H102" s="9">
        <f>IF($K102="","",INDEX(מלאי!$U$2:$U$500,$K102))</f>
        <v/>
      </c>
      <c r="I102" s="9">
        <f>IF($K102="","",INDEX(מלאי!$X$2:$X$500,$K102))</f>
        <v/>
      </c>
      <c r="J102" s="9">
        <f>IF($K102="","",INDEX(מלאי!$AC$2:$AC$500,$K102))</f>
        <v/>
      </c>
      <c r="K10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טכנולוגיים'!$A$2:$A$500,0))&lt;=$G$6),0))),ROW(מלאי!$A$2:$A$500)-ROW(מלאי!$A$2)+1,""),80),"")</f>
        <v/>
      </c>
      <c r="L102" s="9">
        <f>IF($K102="","",IFERROR(INDEX('ערכים טכנולוגיים'!$M$2:$M$500,MATCH(A102,'ערכים טכנולוגיים'!$A$2:$A$500,0)),""))</f>
        <v/>
      </c>
      <c r="M102" s="9">
        <f>IF($K102="","",IFERROR(INDEX('ערכים טכנולוגיים'!$F$2:$F$500,MATCH(A102,'ערכים טכנולוגיים'!$A$2:$A$500,0)),""))</f>
        <v/>
      </c>
      <c r="N102" s="9">
        <f>IF($K102="","",IFERROR(INDEX('ערכים טכנולוגיים'!$J$2:$J$500,MATCH(A102,'ערכים טכנולוגיים'!$A$2:$A$500,0)),""))</f>
        <v/>
      </c>
      <c r="O102" s="9">
        <f>IF($K102="","",IFERROR(INDEX('ערכים טכנולוגיים'!$G$2:$G$500,MATCH(A102,'ערכים טכנולוגיים'!$A$2:$A$500,0)),""))</f>
        <v/>
      </c>
      <c r="P102" s="9">
        <f>IF($K102="","",IFERROR(INDEX('ערכים טכנולוגיים'!$K$2:$K$500,MATCH(A102,'ערכים טכנולוגיים'!$A$2:$A$500,0)),""))</f>
        <v/>
      </c>
      <c r="Q102" s="9">
        <f>IF($K102="","",IFERROR(INDEX('ערכים טכנולוגיים'!$P$2:$P$500,MATCH(A102,'ערכים טכנולוגיים'!$A$2:$A$500,0)),""))</f>
        <v/>
      </c>
    </row>
    <row r="103">
      <c r="A103" s="8">
        <f>IF($K103="","",INDEX(מלאי!$D$2:$D$500,$K103))</f>
        <v/>
      </c>
      <c r="B103" s="8">
        <f>IF($K103="","",INDEX(מלאי!$B$2:$B$500,$K103))</f>
        <v/>
      </c>
      <c r="C103" s="8">
        <f>IF($K103="","",INDEX(מלאי!$C$2:$C$500,$K103))</f>
        <v/>
      </c>
      <c r="D103" s="8">
        <f>IF($K103="","",INDEX(מלאי!$G$2:$G$500,$K103))</f>
        <v/>
      </c>
      <c r="E103" s="8">
        <f>IF($K103="","",INDEX(מלאי!$M$2:$M$500,$K103))</f>
        <v/>
      </c>
      <c r="F103" s="8">
        <f>IF($K103="","",INDEX(מלאי!$N$2:$N$500,$K103))</f>
        <v/>
      </c>
      <c r="G103" s="8">
        <f>IF($K103="","",INDEX(מלאי!$O$2:$O$500,$K103))</f>
        <v/>
      </c>
      <c r="H103" s="8">
        <f>IF($K103="","",INDEX(מלאי!$U$2:$U$500,$K103))</f>
        <v/>
      </c>
      <c r="I103" s="8">
        <f>IF($K103="","",INDEX(מלאי!$X$2:$X$500,$K103))</f>
        <v/>
      </c>
      <c r="J103" s="8">
        <f>IF($K103="","",INDEX(מלאי!$AC$2:$AC$500,$K103))</f>
        <v/>
      </c>
      <c r="K10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טכנולוגיים'!$A$2:$A$500,0))&lt;=$G$6),0))),ROW(מלאי!$A$2:$A$500)-ROW(מלאי!$A$2)+1,""),81),"")</f>
        <v/>
      </c>
      <c r="L103" s="8">
        <f>IF($K103="","",IFERROR(INDEX('ערכים טכנולוגיים'!$M$2:$M$500,MATCH(A103,'ערכים טכנולוגיים'!$A$2:$A$500,0)),""))</f>
        <v/>
      </c>
      <c r="M103" s="8">
        <f>IF($K103="","",IFERROR(INDEX('ערכים טכנולוגיים'!$F$2:$F$500,MATCH(A103,'ערכים טכנולוגיים'!$A$2:$A$500,0)),""))</f>
        <v/>
      </c>
      <c r="N103" s="8">
        <f>IF($K103="","",IFERROR(INDEX('ערכים טכנולוגיים'!$J$2:$J$500,MATCH(A103,'ערכים טכנולוגיים'!$A$2:$A$500,0)),""))</f>
        <v/>
      </c>
      <c r="O103" s="8">
        <f>IF($K103="","",IFERROR(INDEX('ערכים טכנולוגיים'!$G$2:$G$500,MATCH(A103,'ערכים טכנולוגיים'!$A$2:$A$500,0)),""))</f>
        <v/>
      </c>
      <c r="P103" s="8">
        <f>IF($K103="","",IFERROR(INDEX('ערכים טכנולוגיים'!$K$2:$K$500,MATCH(A103,'ערכים טכנולוגיים'!$A$2:$A$500,0)),""))</f>
        <v/>
      </c>
      <c r="Q103" s="8">
        <f>IF($K103="","",IFERROR(INDEX('ערכים טכנולוגיים'!$P$2:$P$500,MATCH(A103,'ערכים טכנולוגיים'!$A$2:$A$500,0)),""))</f>
        <v/>
      </c>
    </row>
    <row r="104">
      <c r="A104" s="9">
        <f>IF($K104="","",INDEX(מלאי!$D$2:$D$500,$K104))</f>
        <v/>
      </c>
      <c r="B104" s="9">
        <f>IF($K104="","",INDEX(מלאי!$B$2:$B$500,$K104))</f>
        <v/>
      </c>
      <c r="C104" s="9">
        <f>IF($K104="","",INDEX(מלאי!$C$2:$C$500,$K104))</f>
        <v/>
      </c>
      <c r="D104" s="9">
        <f>IF($K104="","",INDEX(מלאי!$G$2:$G$500,$K104))</f>
        <v/>
      </c>
      <c r="E104" s="9">
        <f>IF($K104="","",INDEX(מלאי!$M$2:$M$500,$K104))</f>
        <v/>
      </c>
      <c r="F104" s="9">
        <f>IF($K104="","",INDEX(מלאי!$N$2:$N$500,$K104))</f>
        <v/>
      </c>
      <c r="G104" s="9">
        <f>IF($K104="","",INDEX(מלאי!$O$2:$O$500,$K104))</f>
        <v/>
      </c>
      <c r="H104" s="9">
        <f>IF($K104="","",INDEX(מלאי!$U$2:$U$500,$K104))</f>
        <v/>
      </c>
      <c r="I104" s="9">
        <f>IF($K104="","",INDEX(מלאי!$X$2:$X$500,$K104))</f>
        <v/>
      </c>
      <c r="J104" s="9">
        <f>IF($K104="","",INDEX(מלאי!$AC$2:$AC$500,$K104))</f>
        <v/>
      </c>
      <c r="K10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טכנולוגיים'!$A$2:$A$500,0))&lt;=$G$6),0))),ROW(מלאי!$A$2:$A$500)-ROW(מלאי!$A$2)+1,""),82),"")</f>
        <v/>
      </c>
      <c r="L104" s="9">
        <f>IF($K104="","",IFERROR(INDEX('ערכים טכנולוגיים'!$M$2:$M$500,MATCH(A104,'ערכים טכנולוגיים'!$A$2:$A$500,0)),""))</f>
        <v/>
      </c>
      <c r="M104" s="9">
        <f>IF($K104="","",IFERROR(INDEX('ערכים טכנולוגיים'!$F$2:$F$500,MATCH(A104,'ערכים טכנולוגיים'!$A$2:$A$500,0)),""))</f>
        <v/>
      </c>
      <c r="N104" s="9">
        <f>IF($K104="","",IFERROR(INDEX('ערכים טכנולוגיים'!$J$2:$J$500,MATCH(A104,'ערכים טכנולוגיים'!$A$2:$A$500,0)),""))</f>
        <v/>
      </c>
      <c r="O104" s="9">
        <f>IF($K104="","",IFERROR(INDEX('ערכים טכנולוגיים'!$G$2:$G$500,MATCH(A104,'ערכים טכנולוגיים'!$A$2:$A$500,0)),""))</f>
        <v/>
      </c>
      <c r="P104" s="9">
        <f>IF($K104="","",IFERROR(INDEX('ערכים טכנולוגיים'!$K$2:$K$500,MATCH(A104,'ערכים טכנולוגיים'!$A$2:$A$500,0)),""))</f>
        <v/>
      </c>
      <c r="Q104" s="9">
        <f>IF($K104="","",IFERROR(INDEX('ערכים טכנולוגיים'!$P$2:$P$500,MATCH(A104,'ערכים טכנולוגיים'!$A$2:$A$500,0)),""))</f>
        <v/>
      </c>
    </row>
    <row r="105">
      <c r="A105" s="8">
        <f>IF($K105="","",INDEX(מלאי!$D$2:$D$500,$K105))</f>
        <v/>
      </c>
      <c r="B105" s="8">
        <f>IF($K105="","",INDEX(מלאי!$B$2:$B$500,$K105))</f>
        <v/>
      </c>
      <c r="C105" s="8">
        <f>IF($K105="","",INDEX(מלאי!$C$2:$C$500,$K105))</f>
        <v/>
      </c>
      <c r="D105" s="8">
        <f>IF($K105="","",INDEX(מלאי!$G$2:$G$500,$K105))</f>
        <v/>
      </c>
      <c r="E105" s="8">
        <f>IF($K105="","",INDEX(מלאי!$M$2:$M$500,$K105))</f>
        <v/>
      </c>
      <c r="F105" s="8">
        <f>IF($K105="","",INDEX(מלאי!$N$2:$N$500,$K105))</f>
        <v/>
      </c>
      <c r="G105" s="8">
        <f>IF($K105="","",INDEX(מלאי!$O$2:$O$500,$K105))</f>
        <v/>
      </c>
      <c r="H105" s="8">
        <f>IF($K105="","",INDEX(מלאי!$U$2:$U$500,$K105))</f>
        <v/>
      </c>
      <c r="I105" s="8">
        <f>IF($K105="","",INDEX(מלאי!$X$2:$X$500,$K105))</f>
        <v/>
      </c>
      <c r="J105" s="8">
        <f>IF($K105="","",INDEX(מלאי!$AC$2:$AC$500,$K105))</f>
        <v/>
      </c>
      <c r="K10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טכנולוגיים'!$A$2:$A$500,0))&lt;=$G$6),0))),ROW(מלאי!$A$2:$A$500)-ROW(מלאי!$A$2)+1,""),83),"")</f>
        <v/>
      </c>
      <c r="L105" s="8">
        <f>IF($K105="","",IFERROR(INDEX('ערכים טכנולוגיים'!$M$2:$M$500,MATCH(A105,'ערכים טכנולוגיים'!$A$2:$A$500,0)),""))</f>
        <v/>
      </c>
      <c r="M105" s="8">
        <f>IF($K105="","",IFERROR(INDEX('ערכים טכנולוגיים'!$F$2:$F$500,MATCH(A105,'ערכים טכנולוגיים'!$A$2:$A$500,0)),""))</f>
        <v/>
      </c>
      <c r="N105" s="8">
        <f>IF($K105="","",IFERROR(INDEX('ערכים טכנולוגיים'!$J$2:$J$500,MATCH(A105,'ערכים טכנולוגיים'!$A$2:$A$500,0)),""))</f>
        <v/>
      </c>
      <c r="O105" s="8">
        <f>IF($K105="","",IFERROR(INDEX('ערכים טכנולוגיים'!$G$2:$G$500,MATCH(A105,'ערכים טכנולוגיים'!$A$2:$A$500,0)),""))</f>
        <v/>
      </c>
      <c r="P105" s="8">
        <f>IF($K105="","",IFERROR(INDEX('ערכים טכנולוגיים'!$K$2:$K$500,MATCH(A105,'ערכים טכנולוגיים'!$A$2:$A$500,0)),""))</f>
        <v/>
      </c>
      <c r="Q105" s="8">
        <f>IF($K105="","",IFERROR(INDEX('ערכים טכנולוגיים'!$P$2:$P$500,MATCH(A105,'ערכים טכנולוגיים'!$A$2:$A$500,0)),""))</f>
        <v/>
      </c>
    </row>
    <row r="106">
      <c r="A106" s="9">
        <f>IF($K106="","",INDEX(מלאי!$D$2:$D$500,$K106))</f>
        <v/>
      </c>
      <c r="B106" s="9">
        <f>IF($K106="","",INDEX(מלאי!$B$2:$B$500,$K106))</f>
        <v/>
      </c>
      <c r="C106" s="9">
        <f>IF($K106="","",INDEX(מלאי!$C$2:$C$500,$K106))</f>
        <v/>
      </c>
      <c r="D106" s="9">
        <f>IF($K106="","",INDEX(מלאי!$G$2:$G$500,$K106))</f>
        <v/>
      </c>
      <c r="E106" s="9">
        <f>IF($K106="","",INDEX(מלאי!$M$2:$M$500,$K106))</f>
        <v/>
      </c>
      <c r="F106" s="9">
        <f>IF($K106="","",INDEX(מלאי!$N$2:$N$500,$K106))</f>
        <v/>
      </c>
      <c r="G106" s="9">
        <f>IF($K106="","",INDEX(מלאי!$O$2:$O$500,$K106))</f>
        <v/>
      </c>
      <c r="H106" s="9">
        <f>IF($K106="","",INDEX(מלאי!$U$2:$U$500,$K106))</f>
        <v/>
      </c>
      <c r="I106" s="9">
        <f>IF($K106="","",INDEX(מלאי!$X$2:$X$500,$K106))</f>
        <v/>
      </c>
      <c r="J106" s="9">
        <f>IF($K106="","",INDEX(מלאי!$AC$2:$AC$500,$K106))</f>
        <v/>
      </c>
      <c r="K10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טכנולוגיים'!$A$2:$A$500,0))&lt;=$G$6),0))),ROW(מלאי!$A$2:$A$500)-ROW(מלאי!$A$2)+1,""),84),"")</f>
        <v/>
      </c>
      <c r="L106" s="9">
        <f>IF($K106="","",IFERROR(INDEX('ערכים טכנולוגיים'!$M$2:$M$500,MATCH(A106,'ערכים טכנולוגיים'!$A$2:$A$500,0)),""))</f>
        <v/>
      </c>
      <c r="M106" s="9">
        <f>IF($K106="","",IFERROR(INDEX('ערכים טכנולוגיים'!$F$2:$F$500,MATCH(A106,'ערכים טכנולוגיים'!$A$2:$A$500,0)),""))</f>
        <v/>
      </c>
      <c r="N106" s="9">
        <f>IF($K106="","",IFERROR(INDEX('ערכים טכנולוגיים'!$J$2:$J$500,MATCH(A106,'ערכים טכנולוגיים'!$A$2:$A$500,0)),""))</f>
        <v/>
      </c>
      <c r="O106" s="9">
        <f>IF($K106="","",IFERROR(INDEX('ערכים טכנולוגיים'!$G$2:$G$500,MATCH(A106,'ערכים טכנולוגיים'!$A$2:$A$500,0)),""))</f>
        <v/>
      </c>
      <c r="P106" s="9">
        <f>IF($K106="","",IFERROR(INDEX('ערכים טכנולוגיים'!$K$2:$K$500,MATCH(A106,'ערכים טכנולוגיים'!$A$2:$A$500,0)),""))</f>
        <v/>
      </c>
      <c r="Q106" s="9">
        <f>IF($K106="","",IFERROR(INDEX('ערכים טכנולוגיים'!$P$2:$P$500,MATCH(A106,'ערכים טכנולוגיים'!$A$2:$A$500,0)),""))</f>
        <v/>
      </c>
    </row>
    <row r="107">
      <c r="A107" s="8">
        <f>IF($K107="","",INDEX(מלאי!$D$2:$D$500,$K107))</f>
        <v/>
      </c>
      <c r="B107" s="8">
        <f>IF($K107="","",INDEX(מלאי!$B$2:$B$500,$K107))</f>
        <v/>
      </c>
      <c r="C107" s="8">
        <f>IF($K107="","",INDEX(מלאי!$C$2:$C$500,$K107))</f>
        <v/>
      </c>
      <c r="D107" s="8">
        <f>IF($K107="","",INDEX(מלאי!$G$2:$G$500,$K107))</f>
        <v/>
      </c>
      <c r="E107" s="8">
        <f>IF($K107="","",INDEX(מלאי!$M$2:$M$500,$K107))</f>
        <v/>
      </c>
      <c r="F107" s="8">
        <f>IF($K107="","",INDEX(מלאי!$N$2:$N$500,$K107))</f>
        <v/>
      </c>
      <c r="G107" s="8">
        <f>IF($K107="","",INDEX(מלאי!$O$2:$O$500,$K107))</f>
        <v/>
      </c>
      <c r="H107" s="8">
        <f>IF($K107="","",INDEX(מלאי!$U$2:$U$500,$K107))</f>
        <v/>
      </c>
      <c r="I107" s="8">
        <f>IF($K107="","",INDEX(מלאי!$X$2:$X$500,$K107))</f>
        <v/>
      </c>
      <c r="J107" s="8">
        <f>IF($K107="","",INDEX(מלאי!$AC$2:$AC$500,$K107))</f>
        <v/>
      </c>
      <c r="K10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טכנולוגיים'!$A$2:$A$500,0))&lt;=$G$6),0))),ROW(מלאי!$A$2:$A$500)-ROW(מלאי!$A$2)+1,""),85),"")</f>
        <v/>
      </c>
      <c r="L107" s="8">
        <f>IF($K107="","",IFERROR(INDEX('ערכים טכנולוגיים'!$M$2:$M$500,MATCH(A107,'ערכים טכנולוגיים'!$A$2:$A$500,0)),""))</f>
        <v/>
      </c>
      <c r="M107" s="8">
        <f>IF($K107="","",IFERROR(INDEX('ערכים טכנולוגיים'!$F$2:$F$500,MATCH(A107,'ערכים טכנולוגיים'!$A$2:$A$500,0)),""))</f>
        <v/>
      </c>
      <c r="N107" s="8">
        <f>IF($K107="","",IFERROR(INDEX('ערכים טכנולוגיים'!$J$2:$J$500,MATCH(A107,'ערכים טכנולוגיים'!$A$2:$A$500,0)),""))</f>
        <v/>
      </c>
      <c r="O107" s="8">
        <f>IF($K107="","",IFERROR(INDEX('ערכים טכנולוגיים'!$G$2:$G$500,MATCH(A107,'ערכים טכנולוגיים'!$A$2:$A$500,0)),""))</f>
        <v/>
      </c>
      <c r="P107" s="8">
        <f>IF($K107="","",IFERROR(INDEX('ערכים טכנולוגיים'!$K$2:$K$500,MATCH(A107,'ערכים טכנולוגיים'!$A$2:$A$500,0)),""))</f>
        <v/>
      </c>
      <c r="Q107" s="8">
        <f>IF($K107="","",IFERROR(INDEX('ערכים טכנולוגיים'!$P$2:$P$500,MATCH(A107,'ערכים טכנולוגיים'!$A$2:$A$500,0)),""))</f>
        <v/>
      </c>
    </row>
    <row r="108">
      <c r="A108" s="9">
        <f>IF($K108="","",INDEX(מלאי!$D$2:$D$500,$K108))</f>
        <v/>
      </c>
      <c r="B108" s="9">
        <f>IF($K108="","",INDEX(מלאי!$B$2:$B$500,$K108))</f>
        <v/>
      </c>
      <c r="C108" s="9">
        <f>IF($K108="","",INDEX(מלאי!$C$2:$C$500,$K108))</f>
        <v/>
      </c>
      <c r="D108" s="9">
        <f>IF($K108="","",INDEX(מלאי!$G$2:$G$500,$K108))</f>
        <v/>
      </c>
      <c r="E108" s="9">
        <f>IF($K108="","",INDEX(מלאי!$M$2:$M$500,$K108))</f>
        <v/>
      </c>
      <c r="F108" s="9">
        <f>IF($K108="","",INDEX(מלאי!$N$2:$N$500,$K108))</f>
        <v/>
      </c>
      <c r="G108" s="9">
        <f>IF($K108="","",INDEX(מלאי!$O$2:$O$500,$K108))</f>
        <v/>
      </c>
      <c r="H108" s="9">
        <f>IF($K108="","",INDEX(מלאי!$U$2:$U$500,$K108))</f>
        <v/>
      </c>
      <c r="I108" s="9">
        <f>IF($K108="","",INDEX(מלאי!$X$2:$X$500,$K108))</f>
        <v/>
      </c>
      <c r="J108" s="9">
        <f>IF($K108="","",INDEX(מלאי!$AC$2:$AC$500,$K108))</f>
        <v/>
      </c>
      <c r="K10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טכנולוגיים'!$A$2:$A$500,0))&lt;=$G$6),0))),ROW(מלאי!$A$2:$A$500)-ROW(מלאי!$A$2)+1,""),86),"")</f>
        <v/>
      </c>
      <c r="L108" s="9">
        <f>IF($K108="","",IFERROR(INDEX('ערכים טכנולוגיים'!$M$2:$M$500,MATCH(A108,'ערכים טכנולוגיים'!$A$2:$A$500,0)),""))</f>
        <v/>
      </c>
      <c r="M108" s="9">
        <f>IF($K108="","",IFERROR(INDEX('ערכים טכנולוגיים'!$F$2:$F$500,MATCH(A108,'ערכים טכנולוגיים'!$A$2:$A$500,0)),""))</f>
        <v/>
      </c>
      <c r="N108" s="9">
        <f>IF($K108="","",IFERROR(INDEX('ערכים טכנולוגיים'!$J$2:$J$500,MATCH(A108,'ערכים טכנולוגיים'!$A$2:$A$500,0)),""))</f>
        <v/>
      </c>
      <c r="O108" s="9">
        <f>IF($K108="","",IFERROR(INDEX('ערכים טכנולוגיים'!$G$2:$G$500,MATCH(A108,'ערכים טכנולוגיים'!$A$2:$A$500,0)),""))</f>
        <v/>
      </c>
      <c r="P108" s="9">
        <f>IF($K108="","",IFERROR(INDEX('ערכים טכנולוגיים'!$K$2:$K$500,MATCH(A108,'ערכים טכנולוגיים'!$A$2:$A$500,0)),""))</f>
        <v/>
      </c>
      <c r="Q108" s="9">
        <f>IF($K108="","",IFERROR(INDEX('ערכים טכנולוגיים'!$P$2:$P$500,MATCH(A108,'ערכים טכנולוגיים'!$A$2:$A$500,0)),""))</f>
        <v/>
      </c>
    </row>
    <row r="109">
      <c r="A109" s="8">
        <f>IF($K109="","",INDEX(מלאי!$D$2:$D$500,$K109))</f>
        <v/>
      </c>
      <c r="B109" s="8">
        <f>IF($K109="","",INDEX(מלאי!$B$2:$B$500,$K109))</f>
        <v/>
      </c>
      <c r="C109" s="8">
        <f>IF($K109="","",INDEX(מלאי!$C$2:$C$500,$K109))</f>
        <v/>
      </c>
      <c r="D109" s="8">
        <f>IF($K109="","",INDEX(מלאי!$G$2:$G$500,$K109))</f>
        <v/>
      </c>
      <c r="E109" s="8">
        <f>IF($K109="","",INDEX(מלאי!$M$2:$M$500,$K109))</f>
        <v/>
      </c>
      <c r="F109" s="8">
        <f>IF($K109="","",INDEX(מלאי!$N$2:$N$500,$K109))</f>
        <v/>
      </c>
      <c r="G109" s="8">
        <f>IF($K109="","",INDEX(מלאי!$O$2:$O$500,$K109))</f>
        <v/>
      </c>
      <c r="H109" s="8">
        <f>IF($K109="","",INDEX(מלאי!$U$2:$U$500,$K109))</f>
        <v/>
      </c>
      <c r="I109" s="8">
        <f>IF($K109="","",INDEX(מלאי!$X$2:$X$500,$K109))</f>
        <v/>
      </c>
      <c r="J109" s="8">
        <f>IF($K109="","",INDEX(מלאי!$AC$2:$AC$500,$K109))</f>
        <v/>
      </c>
      <c r="K10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טכנולוגיים'!$A$2:$A$500,0))&lt;=$G$6),0))),ROW(מלאי!$A$2:$A$500)-ROW(מלאי!$A$2)+1,""),87),"")</f>
        <v/>
      </c>
      <c r="L109" s="8">
        <f>IF($K109="","",IFERROR(INDEX('ערכים טכנולוגיים'!$M$2:$M$500,MATCH(A109,'ערכים טכנולוגיים'!$A$2:$A$500,0)),""))</f>
        <v/>
      </c>
      <c r="M109" s="8">
        <f>IF($K109="","",IFERROR(INDEX('ערכים טכנולוגיים'!$F$2:$F$500,MATCH(A109,'ערכים טכנולוגיים'!$A$2:$A$500,0)),""))</f>
        <v/>
      </c>
      <c r="N109" s="8">
        <f>IF($K109="","",IFERROR(INDEX('ערכים טכנולוגיים'!$J$2:$J$500,MATCH(A109,'ערכים טכנולוגיים'!$A$2:$A$500,0)),""))</f>
        <v/>
      </c>
      <c r="O109" s="8">
        <f>IF($K109="","",IFERROR(INDEX('ערכים טכנולוגיים'!$G$2:$G$500,MATCH(A109,'ערכים טכנולוגיים'!$A$2:$A$500,0)),""))</f>
        <v/>
      </c>
      <c r="P109" s="8">
        <f>IF($K109="","",IFERROR(INDEX('ערכים טכנולוגיים'!$K$2:$K$500,MATCH(A109,'ערכים טכנולוגיים'!$A$2:$A$500,0)),""))</f>
        <v/>
      </c>
      <c r="Q109" s="8">
        <f>IF($K109="","",IFERROR(INDEX('ערכים טכנולוגיים'!$P$2:$P$500,MATCH(A109,'ערכים טכנולוגיים'!$A$2:$A$500,0)),""))</f>
        <v/>
      </c>
    </row>
    <row r="110">
      <c r="A110" s="9">
        <f>IF($K110="","",INDEX(מלאי!$D$2:$D$500,$K110))</f>
        <v/>
      </c>
      <c r="B110" s="9">
        <f>IF($K110="","",INDEX(מלאי!$B$2:$B$500,$K110))</f>
        <v/>
      </c>
      <c r="C110" s="9">
        <f>IF($K110="","",INDEX(מלאי!$C$2:$C$500,$K110))</f>
        <v/>
      </c>
      <c r="D110" s="9">
        <f>IF($K110="","",INDEX(מלאי!$G$2:$G$500,$K110))</f>
        <v/>
      </c>
      <c r="E110" s="9">
        <f>IF($K110="","",INDEX(מלאי!$M$2:$M$500,$K110))</f>
        <v/>
      </c>
      <c r="F110" s="9">
        <f>IF($K110="","",INDEX(מלאי!$N$2:$N$500,$K110))</f>
        <v/>
      </c>
      <c r="G110" s="9">
        <f>IF($K110="","",INDEX(מלאי!$O$2:$O$500,$K110))</f>
        <v/>
      </c>
      <c r="H110" s="9">
        <f>IF($K110="","",INDEX(מלאי!$U$2:$U$500,$K110))</f>
        <v/>
      </c>
      <c r="I110" s="9">
        <f>IF($K110="","",INDEX(מלאי!$X$2:$X$500,$K110))</f>
        <v/>
      </c>
      <c r="J110" s="9">
        <f>IF($K110="","",INDEX(מלאי!$AC$2:$AC$500,$K110))</f>
        <v/>
      </c>
      <c r="K11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טכנולוגיים'!$A$2:$A$500,0))&lt;=$G$6),0))),ROW(מלאי!$A$2:$A$500)-ROW(מלאי!$A$2)+1,""),88),"")</f>
        <v/>
      </c>
      <c r="L110" s="9">
        <f>IF($K110="","",IFERROR(INDEX('ערכים טכנולוגיים'!$M$2:$M$500,MATCH(A110,'ערכים טכנולוגיים'!$A$2:$A$500,0)),""))</f>
        <v/>
      </c>
      <c r="M110" s="9">
        <f>IF($K110="","",IFERROR(INDEX('ערכים טכנולוגיים'!$F$2:$F$500,MATCH(A110,'ערכים טכנולוגיים'!$A$2:$A$500,0)),""))</f>
        <v/>
      </c>
      <c r="N110" s="9">
        <f>IF($K110="","",IFERROR(INDEX('ערכים טכנולוגיים'!$J$2:$J$500,MATCH(A110,'ערכים טכנולוגיים'!$A$2:$A$500,0)),""))</f>
        <v/>
      </c>
      <c r="O110" s="9">
        <f>IF($K110="","",IFERROR(INDEX('ערכים טכנולוגיים'!$G$2:$G$500,MATCH(A110,'ערכים טכנולוגיים'!$A$2:$A$500,0)),""))</f>
        <v/>
      </c>
      <c r="P110" s="9">
        <f>IF($K110="","",IFERROR(INDEX('ערכים טכנולוגיים'!$K$2:$K$500,MATCH(A110,'ערכים טכנולוגיים'!$A$2:$A$500,0)),""))</f>
        <v/>
      </c>
      <c r="Q110" s="9">
        <f>IF($K110="","",IFERROR(INDEX('ערכים טכנולוגיים'!$P$2:$P$500,MATCH(A110,'ערכים טכנולוגיים'!$A$2:$A$500,0)),""))</f>
        <v/>
      </c>
    </row>
    <row r="111">
      <c r="A111" s="8">
        <f>IF($K111="","",INDEX(מלאי!$D$2:$D$500,$K111))</f>
        <v/>
      </c>
      <c r="B111" s="8">
        <f>IF($K111="","",INDEX(מלאי!$B$2:$B$500,$K111))</f>
        <v/>
      </c>
      <c r="C111" s="8">
        <f>IF($K111="","",INDEX(מלאי!$C$2:$C$500,$K111))</f>
        <v/>
      </c>
      <c r="D111" s="8">
        <f>IF($K111="","",INDEX(מלאי!$G$2:$G$500,$K111))</f>
        <v/>
      </c>
      <c r="E111" s="8">
        <f>IF($K111="","",INDEX(מלאי!$M$2:$M$500,$K111))</f>
        <v/>
      </c>
      <c r="F111" s="8">
        <f>IF($K111="","",INDEX(מלאי!$N$2:$N$500,$K111))</f>
        <v/>
      </c>
      <c r="G111" s="8">
        <f>IF($K111="","",INDEX(מלאי!$O$2:$O$500,$K111))</f>
        <v/>
      </c>
      <c r="H111" s="8">
        <f>IF($K111="","",INDEX(מלאי!$U$2:$U$500,$K111))</f>
        <v/>
      </c>
      <c r="I111" s="8">
        <f>IF($K111="","",INDEX(מלאי!$X$2:$X$500,$K111))</f>
        <v/>
      </c>
      <c r="J111" s="8">
        <f>IF($K111="","",INDEX(מלאי!$AC$2:$AC$500,$K111))</f>
        <v/>
      </c>
      <c r="K11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טכנולוגיים'!$A$2:$A$500,0))&lt;=$G$6),0))),ROW(מלאי!$A$2:$A$500)-ROW(מלאי!$A$2)+1,""),89),"")</f>
        <v/>
      </c>
      <c r="L111" s="8">
        <f>IF($K111="","",IFERROR(INDEX('ערכים טכנולוגיים'!$M$2:$M$500,MATCH(A111,'ערכים טכנולוגיים'!$A$2:$A$500,0)),""))</f>
        <v/>
      </c>
      <c r="M111" s="8">
        <f>IF($K111="","",IFERROR(INDEX('ערכים טכנולוגיים'!$F$2:$F$500,MATCH(A111,'ערכים טכנולוגיים'!$A$2:$A$500,0)),""))</f>
        <v/>
      </c>
      <c r="N111" s="8">
        <f>IF($K111="","",IFERROR(INDEX('ערכים טכנולוגיים'!$J$2:$J$500,MATCH(A111,'ערכים טכנולוגיים'!$A$2:$A$500,0)),""))</f>
        <v/>
      </c>
      <c r="O111" s="8">
        <f>IF($K111="","",IFERROR(INDEX('ערכים טכנולוגיים'!$G$2:$G$500,MATCH(A111,'ערכים טכנולוגיים'!$A$2:$A$500,0)),""))</f>
        <v/>
      </c>
      <c r="P111" s="8">
        <f>IF($K111="","",IFERROR(INDEX('ערכים טכנולוגיים'!$K$2:$K$500,MATCH(A111,'ערכים טכנולוגיים'!$A$2:$A$500,0)),""))</f>
        <v/>
      </c>
      <c r="Q111" s="8">
        <f>IF($K111="","",IFERROR(INDEX('ערכים טכנולוגיים'!$P$2:$P$500,MATCH(A111,'ערכים טכנולוגיים'!$A$2:$A$500,0)),""))</f>
        <v/>
      </c>
    </row>
    <row r="112">
      <c r="A112" s="9">
        <f>IF($K112="","",INDEX(מלאי!$D$2:$D$500,$K112))</f>
        <v/>
      </c>
      <c r="B112" s="9">
        <f>IF($K112="","",INDEX(מלאי!$B$2:$B$500,$K112))</f>
        <v/>
      </c>
      <c r="C112" s="9">
        <f>IF($K112="","",INDEX(מלאי!$C$2:$C$500,$K112))</f>
        <v/>
      </c>
      <c r="D112" s="9">
        <f>IF($K112="","",INDEX(מלאי!$G$2:$G$500,$K112))</f>
        <v/>
      </c>
      <c r="E112" s="9">
        <f>IF($K112="","",INDEX(מלאי!$M$2:$M$500,$K112))</f>
        <v/>
      </c>
      <c r="F112" s="9">
        <f>IF($K112="","",INDEX(מלאי!$N$2:$N$500,$K112))</f>
        <v/>
      </c>
      <c r="G112" s="9">
        <f>IF($K112="","",INDEX(מלאי!$O$2:$O$500,$K112))</f>
        <v/>
      </c>
      <c r="H112" s="9">
        <f>IF($K112="","",INDEX(מלאי!$U$2:$U$500,$K112))</f>
        <v/>
      </c>
      <c r="I112" s="9">
        <f>IF($K112="","",INDEX(מלאי!$X$2:$X$500,$K112))</f>
        <v/>
      </c>
      <c r="J112" s="9">
        <f>IF($K112="","",INDEX(מלאי!$AC$2:$AC$500,$K112))</f>
        <v/>
      </c>
      <c r="K11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טכנולוגיים'!$A$2:$A$500,0))&lt;=$G$6),0))),ROW(מלאי!$A$2:$A$500)-ROW(מלאי!$A$2)+1,""),90),"")</f>
        <v/>
      </c>
      <c r="L112" s="9">
        <f>IF($K112="","",IFERROR(INDEX('ערכים טכנולוגיים'!$M$2:$M$500,MATCH(A112,'ערכים טכנולוגיים'!$A$2:$A$500,0)),""))</f>
        <v/>
      </c>
      <c r="M112" s="9">
        <f>IF($K112="","",IFERROR(INDEX('ערכים טכנולוגיים'!$F$2:$F$500,MATCH(A112,'ערכים טכנולוגיים'!$A$2:$A$500,0)),""))</f>
        <v/>
      </c>
      <c r="N112" s="9">
        <f>IF($K112="","",IFERROR(INDEX('ערכים טכנולוגיים'!$J$2:$J$500,MATCH(A112,'ערכים טכנולוגיים'!$A$2:$A$500,0)),""))</f>
        <v/>
      </c>
      <c r="O112" s="9">
        <f>IF($K112="","",IFERROR(INDEX('ערכים טכנולוגיים'!$G$2:$G$500,MATCH(A112,'ערכים טכנולוגיים'!$A$2:$A$500,0)),""))</f>
        <v/>
      </c>
      <c r="P112" s="9">
        <f>IF($K112="","",IFERROR(INDEX('ערכים טכנולוגיים'!$K$2:$K$500,MATCH(A112,'ערכים טכנולוגיים'!$A$2:$A$500,0)),""))</f>
        <v/>
      </c>
      <c r="Q112" s="9">
        <f>IF($K112="","",IFERROR(INDEX('ערכים טכנולוגיים'!$P$2:$P$500,MATCH(A112,'ערכים טכנולוגיים'!$A$2:$A$500,0)),""))</f>
        <v/>
      </c>
    </row>
    <row r="113">
      <c r="A113" s="8">
        <f>IF($K113="","",INDEX(מלאי!$D$2:$D$500,$K113))</f>
        <v/>
      </c>
      <c r="B113" s="8">
        <f>IF($K113="","",INDEX(מלאי!$B$2:$B$500,$K113))</f>
        <v/>
      </c>
      <c r="C113" s="8">
        <f>IF($K113="","",INDEX(מלאי!$C$2:$C$500,$K113))</f>
        <v/>
      </c>
      <c r="D113" s="8">
        <f>IF($K113="","",INDEX(מלאי!$G$2:$G$500,$K113))</f>
        <v/>
      </c>
      <c r="E113" s="8">
        <f>IF($K113="","",INDEX(מלאי!$M$2:$M$500,$K113))</f>
        <v/>
      </c>
      <c r="F113" s="8">
        <f>IF($K113="","",INDEX(מלאי!$N$2:$N$500,$K113))</f>
        <v/>
      </c>
      <c r="G113" s="8">
        <f>IF($K113="","",INDEX(מלאי!$O$2:$O$500,$K113))</f>
        <v/>
      </c>
      <c r="H113" s="8">
        <f>IF($K113="","",INDEX(מלאי!$U$2:$U$500,$K113))</f>
        <v/>
      </c>
      <c r="I113" s="8">
        <f>IF($K113="","",INDEX(מלאי!$X$2:$X$500,$K113))</f>
        <v/>
      </c>
      <c r="J113" s="8">
        <f>IF($K113="","",INDEX(מלאי!$AC$2:$AC$500,$K113))</f>
        <v/>
      </c>
      <c r="K11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טכנולוגיים'!$A$2:$A$500,0))&lt;=$G$6),0))),ROW(מלאי!$A$2:$A$500)-ROW(מלאי!$A$2)+1,""),91),"")</f>
        <v/>
      </c>
      <c r="L113" s="8">
        <f>IF($K113="","",IFERROR(INDEX('ערכים טכנולוגיים'!$M$2:$M$500,MATCH(A113,'ערכים טכנולוגיים'!$A$2:$A$500,0)),""))</f>
        <v/>
      </c>
      <c r="M113" s="8">
        <f>IF($K113="","",IFERROR(INDEX('ערכים טכנולוגיים'!$F$2:$F$500,MATCH(A113,'ערכים טכנולוגיים'!$A$2:$A$500,0)),""))</f>
        <v/>
      </c>
      <c r="N113" s="8">
        <f>IF($K113="","",IFERROR(INDEX('ערכים טכנולוגיים'!$J$2:$J$500,MATCH(A113,'ערכים טכנולוגיים'!$A$2:$A$500,0)),""))</f>
        <v/>
      </c>
      <c r="O113" s="8">
        <f>IF($K113="","",IFERROR(INDEX('ערכים טכנולוגיים'!$G$2:$G$500,MATCH(A113,'ערכים טכנולוגיים'!$A$2:$A$500,0)),""))</f>
        <v/>
      </c>
      <c r="P113" s="8">
        <f>IF($K113="","",IFERROR(INDEX('ערכים טכנולוגיים'!$K$2:$K$500,MATCH(A113,'ערכים טכנולוגיים'!$A$2:$A$500,0)),""))</f>
        <v/>
      </c>
      <c r="Q113" s="8">
        <f>IF($K113="","",IFERROR(INDEX('ערכים טכנולוגיים'!$P$2:$P$500,MATCH(A113,'ערכים טכנולוגיים'!$A$2:$A$500,0)),""))</f>
        <v/>
      </c>
    </row>
    <row r="114">
      <c r="A114" s="9">
        <f>IF($K114="","",INDEX(מלאי!$D$2:$D$500,$K114))</f>
        <v/>
      </c>
      <c r="B114" s="9">
        <f>IF($K114="","",INDEX(מלאי!$B$2:$B$500,$K114))</f>
        <v/>
      </c>
      <c r="C114" s="9">
        <f>IF($K114="","",INDEX(מלאי!$C$2:$C$500,$K114))</f>
        <v/>
      </c>
      <c r="D114" s="9">
        <f>IF($K114="","",INDEX(מלאי!$G$2:$G$500,$K114))</f>
        <v/>
      </c>
      <c r="E114" s="9">
        <f>IF($K114="","",INDEX(מלאי!$M$2:$M$500,$K114))</f>
        <v/>
      </c>
      <c r="F114" s="9">
        <f>IF($K114="","",INDEX(מלאי!$N$2:$N$500,$K114))</f>
        <v/>
      </c>
      <c r="G114" s="9">
        <f>IF($K114="","",INDEX(מלאי!$O$2:$O$500,$K114))</f>
        <v/>
      </c>
      <c r="H114" s="9">
        <f>IF($K114="","",INDEX(מלאי!$U$2:$U$500,$K114))</f>
        <v/>
      </c>
      <c r="I114" s="9">
        <f>IF($K114="","",INDEX(מלאי!$X$2:$X$500,$K114))</f>
        <v/>
      </c>
      <c r="J114" s="9">
        <f>IF($K114="","",INDEX(מלאי!$AC$2:$AC$500,$K114))</f>
        <v/>
      </c>
      <c r="K11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טכנולוגיים'!$A$2:$A$500,0))&lt;=$G$6),0))),ROW(מלאי!$A$2:$A$500)-ROW(מלאי!$A$2)+1,""),92),"")</f>
        <v/>
      </c>
      <c r="L114" s="9">
        <f>IF($K114="","",IFERROR(INDEX('ערכים טכנולוגיים'!$M$2:$M$500,MATCH(A114,'ערכים טכנולוגיים'!$A$2:$A$500,0)),""))</f>
        <v/>
      </c>
      <c r="M114" s="9">
        <f>IF($K114="","",IFERROR(INDEX('ערכים טכנולוגיים'!$F$2:$F$500,MATCH(A114,'ערכים טכנולוגיים'!$A$2:$A$500,0)),""))</f>
        <v/>
      </c>
      <c r="N114" s="9">
        <f>IF($K114="","",IFERROR(INDEX('ערכים טכנולוגיים'!$J$2:$J$500,MATCH(A114,'ערכים טכנולוגיים'!$A$2:$A$500,0)),""))</f>
        <v/>
      </c>
      <c r="O114" s="9">
        <f>IF($K114="","",IFERROR(INDEX('ערכים טכנולוגיים'!$G$2:$G$500,MATCH(A114,'ערכים טכנולוגיים'!$A$2:$A$500,0)),""))</f>
        <v/>
      </c>
      <c r="P114" s="9">
        <f>IF($K114="","",IFERROR(INDEX('ערכים טכנולוגיים'!$K$2:$K$500,MATCH(A114,'ערכים טכנולוגיים'!$A$2:$A$500,0)),""))</f>
        <v/>
      </c>
      <c r="Q114" s="9">
        <f>IF($K114="","",IFERROR(INDEX('ערכים טכנולוגיים'!$P$2:$P$500,MATCH(A114,'ערכים טכנולוגיים'!$A$2:$A$500,0)),""))</f>
        <v/>
      </c>
    </row>
    <row r="115">
      <c r="A115" s="8">
        <f>IF($K115="","",INDEX(מלאי!$D$2:$D$500,$K115))</f>
        <v/>
      </c>
      <c r="B115" s="8">
        <f>IF($K115="","",INDEX(מלאי!$B$2:$B$500,$K115))</f>
        <v/>
      </c>
      <c r="C115" s="8">
        <f>IF($K115="","",INDEX(מלאי!$C$2:$C$500,$K115))</f>
        <v/>
      </c>
      <c r="D115" s="8">
        <f>IF($K115="","",INDEX(מלאי!$G$2:$G$500,$K115))</f>
        <v/>
      </c>
      <c r="E115" s="8">
        <f>IF($K115="","",INDEX(מלאי!$M$2:$M$500,$K115))</f>
        <v/>
      </c>
      <c r="F115" s="8">
        <f>IF($K115="","",INDEX(מלאי!$N$2:$N$500,$K115))</f>
        <v/>
      </c>
      <c r="G115" s="8">
        <f>IF($K115="","",INDEX(מלאי!$O$2:$O$500,$K115))</f>
        <v/>
      </c>
      <c r="H115" s="8">
        <f>IF($K115="","",INDEX(מלאי!$U$2:$U$500,$K115))</f>
        <v/>
      </c>
      <c r="I115" s="8">
        <f>IF($K115="","",INDEX(מלאי!$X$2:$X$500,$K115))</f>
        <v/>
      </c>
      <c r="J115" s="8">
        <f>IF($K115="","",INDEX(מלאי!$AC$2:$AC$500,$K115))</f>
        <v/>
      </c>
      <c r="K11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טכנולוגיים'!$A$2:$A$500,0))&lt;=$G$6),0))),ROW(מלאי!$A$2:$A$500)-ROW(מלאי!$A$2)+1,""),93),"")</f>
        <v/>
      </c>
      <c r="L115" s="8">
        <f>IF($K115="","",IFERROR(INDEX('ערכים טכנולוגיים'!$M$2:$M$500,MATCH(A115,'ערכים טכנולוגיים'!$A$2:$A$500,0)),""))</f>
        <v/>
      </c>
      <c r="M115" s="8">
        <f>IF($K115="","",IFERROR(INDEX('ערכים טכנולוגיים'!$F$2:$F$500,MATCH(A115,'ערכים טכנולוגיים'!$A$2:$A$500,0)),""))</f>
        <v/>
      </c>
      <c r="N115" s="8">
        <f>IF($K115="","",IFERROR(INDEX('ערכים טכנולוגיים'!$J$2:$J$500,MATCH(A115,'ערכים טכנולוגיים'!$A$2:$A$500,0)),""))</f>
        <v/>
      </c>
      <c r="O115" s="8">
        <f>IF($K115="","",IFERROR(INDEX('ערכים טכנולוגיים'!$G$2:$G$500,MATCH(A115,'ערכים טכנולוגיים'!$A$2:$A$500,0)),""))</f>
        <v/>
      </c>
      <c r="P115" s="8">
        <f>IF($K115="","",IFERROR(INDEX('ערכים טכנולוגיים'!$K$2:$K$500,MATCH(A115,'ערכים טכנולוגיים'!$A$2:$A$500,0)),""))</f>
        <v/>
      </c>
      <c r="Q115" s="8">
        <f>IF($K115="","",IFERROR(INDEX('ערכים טכנולוגיים'!$P$2:$P$500,MATCH(A115,'ערכים טכנולוגיים'!$A$2:$A$500,0)),""))</f>
        <v/>
      </c>
    </row>
    <row r="116">
      <c r="A116" s="9">
        <f>IF($K116="","",INDEX(מלאי!$D$2:$D$500,$K116))</f>
        <v/>
      </c>
      <c r="B116" s="9">
        <f>IF($K116="","",INDEX(מלאי!$B$2:$B$500,$K116))</f>
        <v/>
      </c>
      <c r="C116" s="9">
        <f>IF($K116="","",INDEX(מלאי!$C$2:$C$500,$K116))</f>
        <v/>
      </c>
      <c r="D116" s="9">
        <f>IF($K116="","",INDEX(מלאי!$G$2:$G$500,$K116))</f>
        <v/>
      </c>
      <c r="E116" s="9">
        <f>IF($K116="","",INDEX(מלאי!$M$2:$M$500,$K116))</f>
        <v/>
      </c>
      <c r="F116" s="9">
        <f>IF($K116="","",INDEX(מלאי!$N$2:$N$500,$K116))</f>
        <v/>
      </c>
      <c r="G116" s="9">
        <f>IF($K116="","",INDEX(מלאי!$O$2:$O$500,$K116))</f>
        <v/>
      </c>
      <c r="H116" s="9">
        <f>IF($K116="","",INDEX(מלאי!$U$2:$U$500,$K116))</f>
        <v/>
      </c>
      <c r="I116" s="9">
        <f>IF($K116="","",INDEX(מלאי!$X$2:$X$500,$K116))</f>
        <v/>
      </c>
      <c r="J116" s="9">
        <f>IF($K116="","",INDEX(מלאי!$AC$2:$AC$500,$K116))</f>
        <v/>
      </c>
      <c r="K11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טכנולוגיים'!$A$2:$A$500,0))&lt;=$G$6),0))),ROW(מלאי!$A$2:$A$500)-ROW(מלאי!$A$2)+1,""),94),"")</f>
        <v/>
      </c>
      <c r="L116" s="9">
        <f>IF($K116="","",IFERROR(INDEX('ערכים טכנולוגיים'!$M$2:$M$500,MATCH(A116,'ערכים טכנולוגיים'!$A$2:$A$500,0)),""))</f>
        <v/>
      </c>
      <c r="M116" s="9">
        <f>IF($K116="","",IFERROR(INDEX('ערכים טכנולוגיים'!$F$2:$F$500,MATCH(A116,'ערכים טכנולוגיים'!$A$2:$A$500,0)),""))</f>
        <v/>
      </c>
      <c r="N116" s="9">
        <f>IF($K116="","",IFERROR(INDEX('ערכים טכנולוגיים'!$J$2:$J$500,MATCH(A116,'ערכים טכנולוגיים'!$A$2:$A$500,0)),""))</f>
        <v/>
      </c>
      <c r="O116" s="9">
        <f>IF($K116="","",IFERROR(INDEX('ערכים טכנולוגיים'!$G$2:$G$500,MATCH(A116,'ערכים טכנולוגיים'!$A$2:$A$500,0)),""))</f>
        <v/>
      </c>
      <c r="P116" s="9">
        <f>IF($K116="","",IFERROR(INDEX('ערכים טכנולוגיים'!$K$2:$K$500,MATCH(A116,'ערכים טכנולוגיים'!$A$2:$A$500,0)),""))</f>
        <v/>
      </c>
      <c r="Q116" s="9">
        <f>IF($K116="","",IFERROR(INDEX('ערכים טכנולוגיים'!$P$2:$P$500,MATCH(A116,'ערכים טכנולוגיים'!$A$2:$A$500,0)),""))</f>
        <v/>
      </c>
    </row>
    <row r="117">
      <c r="A117" s="8">
        <f>IF($K117="","",INDEX(מלאי!$D$2:$D$500,$K117))</f>
        <v/>
      </c>
      <c r="B117" s="8">
        <f>IF($K117="","",INDEX(מלאי!$B$2:$B$500,$K117))</f>
        <v/>
      </c>
      <c r="C117" s="8">
        <f>IF($K117="","",INDEX(מלאי!$C$2:$C$500,$K117))</f>
        <v/>
      </c>
      <c r="D117" s="8">
        <f>IF($K117="","",INDEX(מלאי!$G$2:$G$500,$K117))</f>
        <v/>
      </c>
      <c r="E117" s="8">
        <f>IF($K117="","",INDEX(מלאי!$M$2:$M$500,$K117))</f>
        <v/>
      </c>
      <c r="F117" s="8">
        <f>IF($K117="","",INDEX(מלאי!$N$2:$N$500,$K117))</f>
        <v/>
      </c>
      <c r="G117" s="8">
        <f>IF($K117="","",INDEX(מלאי!$O$2:$O$500,$K117))</f>
        <v/>
      </c>
      <c r="H117" s="8">
        <f>IF($K117="","",INDEX(מלאי!$U$2:$U$500,$K117))</f>
        <v/>
      </c>
      <c r="I117" s="8">
        <f>IF($K117="","",INDEX(מלאי!$X$2:$X$500,$K117))</f>
        <v/>
      </c>
      <c r="J117" s="8">
        <f>IF($K117="","",INDEX(מלאי!$AC$2:$AC$500,$K117))</f>
        <v/>
      </c>
      <c r="K11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טכנולוגיים'!$A$2:$A$500,0))&lt;=$G$6),0))),ROW(מלאי!$A$2:$A$500)-ROW(מלאי!$A$2)+1,""),95),"")</f>
        <v/>
      </c>
      <c r="L117" s="8">
        <f>IF($K117="","",IFERROR(INDEX('ערכים טכנולוגיים'!$M$2:$M$500,MATCH(A117,'ערכים טכנולוגיים'!$A$2:$A$500,0)),""))</f>
        <v/>
      </c>
      <c r="M117" s="8">
        <f>IF($K117="","",IFERROR(INDEX('ערכים טכנולוגיים'!$F$2:$F$500,MATCH(A117,'ערכים טכנולוגיים'!$A$2:$A$500,0)),""))</f>
        <v/>
      </c>
      <c r="N117" s="8">
        <f>IF($K117="","",IFERROR(INDEX('ערכים טכנולוגיים'!$J$2:$J$500,MATCH(A117,'ערכים טכנולוגיים'!$A$2:$A$500,0)),""))</f>
        <v/>
      </c>
      <c r="O117" s="8">
        <f>IF($K117="","",IFERROR(INDEX('ערכים טכנולוגיים'!$G$2:$G$500,MATCH(A117,'ערכים טכנולוגיים'!$A$2:$A$500,0)),""))</f>
        <v/>
      </c>
      <c r="P117" s="8">
        <f>IF($K117="","",IFERROR(INDEX('ערכים טכנולוגיים'!$K$2:$K$500,MATCH(A117,'ערכים טכנולוגיים'!$A$2:$A$500,0)),""))</f>
        <v/>
      </c>
      <c r="Q117" s="8">
        <f>IF($K117="","",IFERROR(INDEX('ערכים טכנולוגיים'!$P$2:$P$500,MATCH(A117,'ערכים טכנולוגיים'!$A$2:$A$500,0)),""))</f>
        <v/>
      </c>
    </row>
    <row r="118">
      <c r="A118" s="9">
        <f>IF($K118="","",INDEX(מלאי!$D$2:$D$500,$K118))</f>
        <v/>
      </c>
      <c r="B118" s="9">
        <f>IF($K118="","",INDEX(מלאי!$B$2:$B$500,$K118))</f>
        <v/>
      </c>
      <c r="C118" s="9">
        <f>IF($K118="","",INDEX(מלאי!$C$2:$C$500,$K118))</f>
        <v/>
      </c>
      <c r="D118" s="9">
        <f>IF($K118="","",INDEX(מלאי!$G$2:$G$500,$K118))</f>
        <v/>
      </c>
      <c r="E118" s="9">
        <f>IF($K118="","",INDEX(מלאי!$M$2:$M$500,$K118))</f>
        <v/>
      </c>
      <c r="F118" s="9">
        <f>IF($K118="","",INDEX(מלאי!$N$2:$N$500,$K118))</f>
        <v/>
      </c>
      <c r="G118" s="9">
        <f>IF($K118="","",INDEX(מלאי!$O$2:$O$500,$K118))</f>
        <v/>
      </c>
      <c r="H118" s="9">
        <f>IF($K118="","",INDEX(מלאי!$U$2:$U$500,$K118))</f>
        <v/>
      </c>
      <c r="I118" s="9">
        <f>IF($K118="","",INDEX(מלאי!$X$2:$X$500,$K118))</f>
        <v/>
      </c>
      <c r="J118" s="9">
        <f>IF($K118="","",INDEX(מלאי!$AC$2:$AC$500,$K118))</f>
        <v/>
      </c>
      <c r="K11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טכנולוגיים'!$A$2:$A$500,0))&lt;=$G$6),0))),ROW(מלאי!$A$2:$A$500)-ROW(מלאי!$A$2)+1,""),96),"")</f>
        <v/>
      </c>
      <c r="L118" s="9">
        <f>IF($K118="","",IFERROR(INDEX('ערכים טכנולוגיים'!$M$2:$M$500,MATCH(A118,'ערכים טכנולוגיים'!$A$2:$A$500,0)),""))</f>
        <v/>
      </c>
      <c r="M118" s="9">
        <f>IF($K118="","",IFERROR(INDEX('ערכים טכנולוגיים'!$F$2:$F$500,MATCH(A118,'ערכים טכנולוגיים'!$A$2:$A$500,0)),""))</f>
        <v/>
      </c>
      <c r="N118" s="9">
        <f>IF($K118="","",IFERROR(INDEX('ערכים טכנולוגיים'!$J$2:$J$500,MATCH(A118,'ערכים טכנולוגיים'!$A$2:$A$500,0)),""))</f>
        <v/>
      </c>
      <c r="O118" s="9">
        <f>IF($K118="","",IFERROR(INDEX('ערכים טכנולוגיים'!$G$2:$G$500,MATCH(A118,'ערכים טכנולוגיים'!$A$2:$A$500,0)),""))</f>
        <v/>
      </c>
      <c r="P118" s="9">
        <f>IF($K118="","",IFERROR(INDEX('ערכים טכנולוגיים'!$K$2:$K$500,MATCH(A118,'ערכים טכנולוגיים'!$A$2:$A$500,0)),""))</f>
        <v/>
      </c>
      <c r="Q118" s="9">
        <f>IF($K118="","",IFERROR(INDEX('ערכים טכנולוגיים'!$P$2:$P$500,MATCH(A118,'ערכים טכנולוגיים'!$A$2:$A$500,0)),""))</f>
        <v/>
      </c>
    </row>
    <row r="119">
      <c r="A119" s="8">
        <f>IF($K119="","",INDEX(מלאי!$D$2:$D$500,$K119))</f>
        <v/>
      </c>
      <c r="B119" s="8">
        <f>IF($K119="","",INDEX(מלאי!$B$2:$B$500,$K119))</f>
        <v/>
      </c>
      <c r="C119" s="8">
        <f>IF($K119="","",INDEX(מלאי!$C$2:$C$500,$K119))</f>
        <v/>
      </c>
      <c r="D119" s="8">
        <f>IF($K119="","",INDEX(מלאי!$G$2:$G$500,$K119))</f>
        <v/>
      </c>
      <c r="E119" s="8">
        <f>IF($K119="","",INDEX(מלאי!$M$2:$M$500,$K119))</f>
        <v/>
      </c>
      <c r="F119" s="8">
        <f>IF($K119="","",INDEX(מלאי!$N$2:$N$500,$K119))</f>
        <v/>
      </c>
      <c r="G119" s="8">
        <f>IF($K119="","",INDEX(מלאי!$O$2:$O$500,$K119))</f>
        <v/>
      </c>
      <c r="H119" s="8">
        <f>IF($K119="","",INDEX(מלאי!$U$2:$U$500,$K119))</f>
        <v/>
      </c>
      <c r="I119" s="8">
        <f>IF($K119="","",INDEX(מלאי!$X$2:$X$500,$K119))</f>
        <v/>
      </c>
      <c r="J119" s="8">
        <f>IF($K119="","",INDEX(מלאי!$AC$2:$AC$500,$K119))</f>
        <v/>
      </c>
      <c r="K11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טכנולוגיים'!$A$2:$A$500,0))&lt;=$G$6),0))),ROW(מלאי!$A$2:$A$500)-ROW(מלאי!$A$2)+1,""),97),"")</f>
        <v/>
      </c>
      <c r="L119" s="8">
        <f>IF($K119="","",IFERROR(INDEX('ערכים טכנולוגיים'!$M$2:$M$500,MATCH(A119,'ערכים טכנולוגיים'!$A$2:$A$500,0)),""))</f>
        <v/>
      </c>
      <c r="M119" s="8">
        <f>IF($K119="","",IFERROR(INDEX('ערכים טכנולוגיים'!$F$2:$F$500,MATCH(A119,'ערכים טכנולוגיים'!$A$2:$A$500,0)),""))</f>
        <v/>
      </c>
      <c r="N119" s="8">
        <f>IF($K119="","",IFERROR(INDEX('ערכים טכנולוגיים'!$J$2:$J$500,MATCH(A119,'ערכים טכנולוגיים'!$A$2:$A$500,0)),""))</f>
        <v/>
      </c>
      <c r="O119" s="8">
        <f>IF($K119="","",IFERROR(INDEX('ערכים טכנולוגיים'!$G$2:$G$500,MATCH(A119,'ערכים טכנולוגיים'!$A$2:$A$500,0)),""))</f>
        <v/>
      </c>
      <c r="P119" s="8">
        <f>IF($K119="","",IFERROR(INDEX('ערכים טכנולוגיים'!$K$2:$K$500,MATCH(A119,'ערכים טכנולוגיים'!$A$2:$A$500,0)),""))</f>
        <v/>
      </c>
      <c r="Q119" s="8">
        <f>IF($K119="","",IFERROR(INDEX('ערכים טכנולוגיים'!$P$2:$P$500,MATCH(A119,'ערכים טכנולוגיים'!$A$2:$A$500,0)),""))</f>
        <v/>
      </c>
    </row>
    <row r="120">
      <c r="A120" s="9">
        <f>IF($K120="","",INDEX(מלאי!$D$2:$D$500,$K120))</f>
        <v/>
      </c>
      <c r="B120" s="9">
        <f>IF($K120="","",INDEX(מלאי!$B$2:$B$500,$K120))</f>
        <v/>
      </c>
      <c r="C120" s="9">
        <f>IF($K120="","",INDEX(מלאי!$C$2:$C$500,$K120))</f>
        <v/>
      </c>
      <c r="D120" s="9">
        <f>IF($K120="","",INDEX(מלאי!$G$2:$G$500,$K120))</f>
        <v/>
      </c>
      <c r="E120" s="9">
        <f>IF($K120="","",INDEX(מלאי!$M$2:$M$500,$K120))</f>
        <v/>
      </c>
      <c r="F120" s="9">
        <f>IF($K120="","",INDEX(מלאי!$N$2:$N$500,$K120))</f>
        <v/>
      </c>
      <c r="G120" s="9">
        <f>IF($K120="","",INDEX(מלאי!$O$2:$O$500,$K120))</f>
        <v/>
      </c>
      <c r="H120" s="9">
        <f>IF($K120="","",INDEX(מלאי!$U$2:$U$500,$K120))</f>
        <v/>
      </c>
      <c r="I120" s="9">
        <f>IF($K120="","",INDEX(מלאי!$X$2:$X$500,$K120))</f>
        <v/>
      </c>
      <c r="J120" s="9">
        <f>IF($K120="","",INDEX(מלאי!$AC$2:$AC$500,$K120))</f>
        <v/>
      </c>
      <c r="K12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טכנולוגיים'!$A$2:$A$500,0))&lt;=$G$6),0))),ROW(מלאי!$A$2:$A$500)-ROW(מלאי!$A$2)+1,""),98),"")</f>
        <v/>
      </c>
      <c r="L120" s="9">
        <f>IF($K120="","",IFERROR(INDEX('ערכים טכנולוגיים'!$M$2:$M$500,MATCH(A120,'ערכים טכנולוגיים'!$A$2:$A$500,0)),""))</f>
        <v/>
      </c>
      <c r="M120" s="9">
        <f>IF($K120="","",IFERROR(INDEX('ערכים טכנולוגיים'!$F$2:$F$500,MATCH(A120,'ערכים טכנולוגיים'!$A$2:$A$500,0)),""))</f>
        <v/>
      </c>
      <c r="N120" s="9">
        <f>IF($K120="","",IFERROR(INDEX('ערכים טכנולוגיים'!$J$2:$J$500,MATCH(A120,'ערכים טכנולוגיים'!$A$2:$A$500,0)),""))</f>
        <v/>
      </c>
      <c r="O120" s="9">
        <f>IF($K120="","",IFERROR(INDEX('ערכים טכנולוגיים'!$G$2:$G$500,MATCH(A120,'ערכים טכנולוגיים'!$A$2:$A$500,0)),""))</f>
        <v/>
      </c>
      <c r="P120" s="9">
        <f>IF($K120="","",IFERROR(INDEX('ערכים טכנולוגיים'!$K$2:$K$500,MATCH(A120,'ערכים טכנולוגיים'!$A$2:$A$500,0)),""))</f>
        <v/>
      </c>
      <c r="Q120" s="9">
        <f>IF($K120="","",IFERROR(INDEX('ערכים טכנולוגיים'!$P$2:$P$500,MATCH(A120,'ערכים טכנולוגיים'!$A$2:$A$500,0)),""))</f>
        <v/>
      </c>
    </row>
    <row r="121">
      <c r="A121" s="8">
        <f>IF($K121="","",INDEX(מלאי!$D$2:$D$500,$K121))</f>
        <v/>
      </c>
      <c r="B121" s="8">
        <f>IF($K121="","",INDEX(מלאי!$B$2:$B$500,$K121))</f>
        <v/>
      </c>
      <c r="C121" s="8">
        <f>IF($K121="","",INDEX(מלאי!$C$2:$C$500,$K121))</f>
        <v/>
      </c>
      <c r="D121" s="8">
        <f>IF($K121="","",INDEX(מלאי!$G$2:$G$500,$K121))</f>
        <v/>
      </c>
      <c r="E121" s="8">
        <f>IF($K121="","",INDEX(מלאי!$M$2:$M$500,$K121))</f>
        <v/>
      </c>
      <c r="F121" s="8">
        <f>IF($K121="","",INDEX(מלאי!$N$2:$N$500,$K121))</f>
        <v/>
      </c>
      <c r="G121" s="8">
        <f>IF($K121="","",INDEX(מלאי!$O$2:$O$500,$K121))</f>
        <v/>
      </c>
      <c r="H121" s="8">
        <f>IF($K121="","",INDEX(מלאי!$U$2:$U$500,$K121))</f>
        <v/>
      </c>
      <c r="I121" s="8">
        <f>IF($K121="","",INDEX(מלאי!$X$2:$X$500,$K121))</f>
        <v/>
      </c>
      <c r="J121" s="8">
        <f>IF($K121="","",INDEX(מלאי!$AC$2:$AC$500,$K121))</f>
        <v/>
      </c>
      <c r="K12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טכנולוגיים'!$A$2:$A$500,0))&lt;=$G$6),0))),ROW(מלאי!$A$2:$A$500)-ROW(מלאי!$A$2)+1,""),99),"")</f>
        <v/>
      </c>
      <c r="L121" s="8">
        <f>IF($K121="","",IFERROR(INDEX('ערכים טכנולוגיים'!$M$2:$M$500,MATCH(A121,'ערכים טכנולוגיים'!$A$2:$A$500,0)),""))</f>
        <v/>
      </c>
      <c r="M121" s="8">
        <f>IF($K121="","",IFERROR(INDEX('ערכים טכנולוגיים'!$F$2:$F$500,MATCH(A121,'ערכים טכנולוגיים'!$A$2:$A$500,0)),""))</f>
        <v/>
      </c>
      <c r="N121" s="8">
        <f>IF($K121="","",IFERROR(INDEX('ערכים טכנולוגיים'!$J$2:$J$500,MATCH(A121,'ערכים טכנולוגיים'!$A$2:$A$500,0)),""))</f>
        <v/>
      </c>
      <c r="O121" s="8">
        <f>IF($K121="","",IFERROR(INDEX('ערכים טכנולוגיים'!$G$2:$G$500,MATCH(A121,'ערכים טכנולוגיים'!$A$2:$A$500,0)),""))</f>
        <v/>
      </c>
      <c r="P121" s="8">
        <f>IF($K121="","",IFERROR(INDEX('ערכים טכנולוגיים'!$K$2:$K$500,MATCH(A121,'ערכים טכנולוגיים'!$A$2:$A$500,0)),""))</f>
        <v/>
      </c>
      <c r="Q121" s="8">
        <f>IF($K121="","",IFERROR(INDEX('ערכים טכנולוגיים'!$P$2:$P$500,MATCH(A121,'ערכים טכנולוגיים'!$A$2:$A$500,0)),""))</f>
        <v/>
      </c>
    </row>
    <row r="122">
      <c r="A122" s="9">
        <f>IF($K122="","",INDEX(מלאי!$D$2:$D$500,$K122))</f>
        <v/>
      </c>
      <c r="B122" s="9">
        <f>IF($K122="","",INDEX(מלאי!$B$2:$B$500,$K122))</f>
        <v/>
      </c>
      <c r="C122" s="9">
        <f>IF($K122="","",INDEX(מלאי!$C$2:$C$500,$K122))</f>
        <v/>
      </c>
      <c r="D122" s="9">
        <f>IF($K122="","",INDEX(מלאי!$G$2:$G$500,$K122))</f>
        <v/>
      </c>
      <c r="E122" s="9">
        <f>IF($K122="","",INDEX(מלאי!$M$2:$M$500,$K122))</f>
        <v/>
      </c>
      <c r="F122" s="9">
        <f>IF($K122="","",INDEX(מלאי!$N$2:$N$500,$K122))</f>
        <v/>
      </c>
      <c r="G122" s="9">
        <f>IF($K122="","",INDEX(מלאי!$O$2:$O$500,$K122))</f>
        <v/>
      </c>
      <c r="H122" s="9">
        <f>IF($K122="","",INDEX(מלאי!$U$2:$U$500,$K122))</f>
        <v/>
      </c>
      <c r="I122" s="9">
        <f>IF($K122="","",INDEX(מלאי!$X$2:$X$500,$K122))</f>
        <v/>
      </c>
      <c r="J122" s="9">
        <f>IF($K122="","",INDEX(מלאי!$AC$2:$AC$500,$K122))</f>
        <v/>
      </c>
      <c r="K12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טכנולוגיים'!$A$2:$A$500,0))&lt;=$G$6),0))),ROW(מלאי!$A$2:$A$500)-ROW(מלאי!$A$2)+1,""),100),"")</f>
        <v/>
      </c>
      <c r="L122" s="9">
        <f>IF($K122="","",IFERROR(INDEX('ערכים טכנולוגיים'!$M$2:$M$500,MATCH(A122,'ערכים טכנולוגיים'!$A$2:$A$500,0)),""))</f>
        <v/>
      </c>
      <c r="M122" s="9">
        <f>IF($K122="","",IFERROR(INDEX('ערכים טכנולוגיים'!$F$2:$F$500,MATCH(A122,'ערכים טכנולוגיים'!$A$2:$A$500,0)),""))</f>
        <v/>
      </c>
      <c r="N122" s="9">
        <f>IF($K122="","",IFERROR(INDEX('ערכים טכנולוגיים'!$J$2:$J$500,MATCH(A122,'ערכים טכנולוגיים'!$A$2:$A$500,0)),""))</f>
        <v/>
      </c>
      <c r="O122" s="9">
        <f>IF($K122="","",IFERROR(INDEX('ערכים טכנולוגיים'!$G$2:$G$500,MATCH(A122,'ערכים טכנולוגיים'!$A$2:$A$500,0)),""))</f>
        <v/>
      </c>
      <c r="P122" s="9">
        <f>IF($K122="","",IFERROR(INDEX('ערכים טכנולוגיים'!$K$2:$K$500,MATCH(A122,'ערכים טכנולוגיים'!$A$2:$A$500,0)),""))</f>
        <v/>
      </c>
      <c r="Q122" s="9">
        <f>IF($K122="","",IFERROR(INDEX('ערכים טכנולוגיים'!$P$2:$P$500,MATCH(A122,'ערכים טכנולוגיים'!$A$2:$A$500,0)),""))</f>
        <v/>
      </c>
    </row>
    <row r="123">
      <c r="A123" s="8">
        <f>IF($K123="","",INDEX(מלאי!$D$2:$D$500,$K123))</f>
        <v/>
      </c>
      <c r="B123" s="8">
        <f>IF($K123="","",INDEX(מלאי!$B$2:$B$500,$K123))</f>
        <v/>
      </c>
      <c r="C123" s="8">
        <f>IF($K123="","",INDEX(מלאי!$C$2:$C$500,$K123))</f>
        <v/>
      </c>
      <c r="D123" s="8">
        <f>IF($K123="","",INDEX(מלאי!$G$2:$G$500,$K123))</f>
        <v/>
      </c>
      <c r="E123" s="8">
        <f>IF($K123="","",INDEX(מלאי!$M$2:$M$500,$K123))</f>
        <v/>
      </c>
      <c r="F123" s="8">
        <f>IF($K123="","",INDEX(מלאי!$N$2:$N$500,$K123))</f>
        <v/>
      </c>
      <c r="G123" s="8">
        <f>IF($K123="","",INDEX(מלאי!$O$2:$O$500,$K123))</f>
        <v/>
      </c>
      <c r="H123" s="8">
        <f>IF($K123="","",INDEX(מלאי!$U$2:$U$500,$K123))</f>
        <v/>
      </c>
      <c r="I123" s="8">
        <f>IF($K123="","",INDEX(מלאי!$X$2:$X$500,$K123))</f>
        <v/>
      </c>
      <c r="J123" s="8">
        <f>IF($K123="","",INDEX(מלאי!$AC$2:$AC$500,$K123))</f>
        <v/>
      </c>
      <c r="K12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טכנולוגיים'!$A$2:$A$500,0))&lt;=$G$6),0))),ROW(מלאי!$A$2:$A$500)-ROW(מלאי!$A$2)+1,""),101),"")</f>
        <v/>
      </c>
      <c r="L123" s="8">
        <f>IF($K123="","",IFERROR(INDEX('ערכים טכנולוגיים'!$M$2:$M$500,MATCH(A123,'ערכים טכנולוגיים'!$A$2:$A$500,0)),""))</f>
        <v/>
      </c>
      <c r="M123" s="8">
        <f>IF($K123="","",IFERROR(INDEX('ערכים טכנולוגיים'!$F$2:$F$500,MATCH(A123,'ערכים טכנולוגיים'!$A$2:$A$500,0)),""))</f>
        <v/>
      </c>
      <c r="N123" s="8">
        <f>IF($K123="","",IFERROR(INDEX('ערכים טכנולוגיים'!$J$2:$J$500,MATCH(A123,'ערכים טכנולוגיים'!$A$2:$A$500,0)),""))</f>
        <v/>
      </c>
      <c r="O123" s="8">
        <f>IF($K123="","",IFERROR(INDEX('ערכים טכנולוגיים'!$G$2:$G$500,MATCH(A123,'ערכים טכנולוגיים'!$A$2:$A$500,0)),""))</f>
        <v/>
      </c>
      <c r="P123" s="8">
        <f>IF($K123="","",IFERROR(INDEX('ערכים טכנולוגיים'!$K$2:$K$500,MATCH(A123,'ערכים טכנולוגיים'!$A$2:$A$500,0)),""))</f>
        <v/>
      </c>
      <c r="Q123" s="8">
        <f>IF($K123="","",IFERROR(INDEX('ערכים טכנולוגיים'!$P$2:$P$500,MATCH(A123,'ערכים טכנולוגיים'!$A$2:$A$500,0)),""))</f>
        <v/>
      </c>
    </row>
    <row r="124">
      <c r="A124" s="9">
        <f>IF($K124="","",INDEX(מלאי!$D$2:$D$500,$K124))</f>
        <v/>
      </c>
      <c r="B124" s="9">
        <f>IF($K124="","",INDEX(מלאי!$B$2:$B$500,$K124))</f>
        <v/>
      </c>
      <c r="C124" s="9">
        <f>IF($K124="","",INDEX(מלאי!$C$2:$C$500,$K124))</f>
        <v/>
      </c>
      <c r="D124" s="9">
        <f>IF($K124="","",INDEX(מלאי!$G$2:$G$500,$K124))</f>
        <v/>
      </c>
      <c r="E124" s="9">
        <f>IF($K124="","",INDEX(מלאי!$M$2:$M$500,$K124))</f>
        <v/>
      </c>
      <c r="F124" s="9">
        <f>IF($K124="","",INDEX(מלאי!$N$2:$N$500,$K124))</f>
        <v/>
      </c>
      <c r="G124" s="9">
        <f>IF($K124="","",INDEX(מלאי!$O$2:$O$500,$K124))</f>
        <v/>
      </c>
      <c r="H124" s="9">
        <f>IF($K124="","",INDEX(מלאי!$U$2:$U$500,$K124))</f>
        <v/>
      </c>
      <c r="I124" s="9">
        <f>IF($K124="","",INDEX(מלאי!$X$2:$X$500,$K124))</f>
        <v/>
      </c>
      <c r="J124" s="9">
        <f>IF($K124="","",INDEX(מלאי!$AC$2:$AC$500,$K124))</f>
        <v/>
      </c>
      <c r="K12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טכנולוגיים'!$A$2:$A$500,0))&lt;=$G$6),0))),ROW(מלאי!$A$2:$A$500)-ROW(מלאי!$A$2)+1,""),102),"")</f>
        <v/>
      </c>
      <c r="L124" s="9">
        <f>IF($K124="","",IFERROR(INDEX('ערכים טכנולוגיים'!$M$2:$M$500,MATCH(A124,'ערכים טכנולוגיים'!$A$2:$A$500,0)),""))</f>
        <v/>
      </c>
      <c r="M124" s="9">
        <f>IF($K124="","",IFERROR(INDEX('ערכים טכנולוגיים'!$F$2:$F$500,MATCH(A124,'ערכים טכנולוגיים'!$A$2:$A$500,0)),""))</f>
        <v/>
      </c>
      <c r="N124" s="9">
        <f>IF($K124="","",IFERROR(INDEX('ערכים טכנולוגיים'!$J$2:$J$500,MATCH(A124,'ערכים טכנולוגיים'!$A$2:$A$500,0)),""))</f>
        <v/>
      </c>
      <c r="O124" s="9">
        <f>IF($K124="","",IFERROR(INDEX('ערכים טכנולוגיים'!$G$2:$G$500,MATCH(A124,'ערכים טכנולוגיים'!$A$2:$A$500,0)),""))</f>
        <v/>
      </c>
      <c r="P124" s="9">
        <f>IF($K124="","",IFERROR(INDEX('ערכים טכנולוגיים'!$K$2:$K$500,MATCH(A124,'ערכים טכנולוגיים'!$A$2:$A$500,0)),""))</f>
        <v/>
      </c>
      <c r="Q124" s="9">
        <f>IF($K124="","",IFERROR(INDEX('ערכים טכנולוגיים'!$P$2:$P$500,MATCH(A124,'ערכים טכנולוגיים'!$A$2:$A$500,0)),""))</f>
        <v/>
      </c>
    </row>
    <row r="125">
      <c r="A125" s="8">
        <f>IF($K125="","",INDEX(מלאי!$D$2:$D$500,$K125))</f>
        <v/>
      </c>
      <c r="B125" s="8">
        <f>IF($K125="","",INDEX(מלאי!$B$2:$B$500,$K125))</f>
        <v/>
      </c>
      <c r="C125" s="8">
        <f>IF($K125="","",INDEX(מלאי!$C$2:$C$500,$K125))</f>
        <v/>
      </c>
      <c r="D125" s="8">
        <f>IF($K125="","",INDEX(מלאי!$G$2:$G$500,$K125))</f>
        <v/>
      </c>
      <c r="E125" s="8">
        <f>IF($K125="","",INDEX(מלאי!$M$2:$M$500,$K125))</f>
        <v/>
      </c>
      <c r="F125" s="8">
        <f>IF($K125="","",INDEX(מלאי!$N$2:$N$500,$K125))</f>
        <v/>
      </c>
      <c r="G125" s="8">
        <f>IF($K125="","",INDEX(מלאי!$O$2:$O$500,$K125))</f>
        <v/>
      </c>
      <c r="H125" s="8">
        <f>IF($K125="","",INDEX(מלאי!$U$2:$U$500,$K125))</f>
        <v/>
      </c>
      <c r="I125" s="8">
        <f>IF($K125="","",INDEX(מלאי!$X$2:$X$500,$K125))</f>
        <v/>
      </c>
      <c r="J125" s="8">
        <f>IF($K125="","",INDEX(מלאי!$AC$2:$AC$500,$K125))</f>
        <v/>
      </c>
      <c r="K12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טכנולוגיים'!$A$2:$A$500,0))&lt;=$G$6),0))),ROW(מלאי!$A$2:$A$500)-ROW(מלאי!$A$2)+1,""),103),"")</f>
        <v/>
      </c>
      <c r="L125" s="8">
        <f>IF($K125="","",IFERROR(INDEX('ערכים טכנולוגיים'!$M$2:$M$500,MATCH(A125,'ערכים טכנולוגיים'!$A$2:$A$500,0)),""))</f>
        <v/>
      </c>
      <c r="M125" s="8">
        <f>IF($K125="","",IFERROR(INDEX('ערכים טכנולוגיים'!$F$2:$F$500,MATCH(A125,'ערכים טכנולוגיים'!$A$2:$A$500,0)),""))</f>
        <v/>
      </c>
      <c r="N125" s="8">
        <f>IF($K125="","",IFERROR(INDEX('ערכים טכנולוגיים'!$J$2:$J$500,MATCH(A125,'ערכים טכנולוגיים'!$A$2:$A$500,0)),""))</f>
        <v/>
      </c>
      <c r="O125" s="8">
        <f>IF($K125="","",IFERROR(INDEX('ערכים טכנולוגיים'!$G$2:$G$500,MATCH(A125,'ערכים טכנולוגיים'!$A$2:$A$500,0)),""))</f>
        <v/>
      </c>
      <c r="P125" s="8">
        <f>IF($K125="","",IFERROR(INDEX('ערכים טכנולוגיים'!$K$2:$K$500,MATCH(A125,'ערכים טכנולוגיים'!$A$2:$A$500,0)),""))</f>
        <v/>
      </c>
      <c r="Q125" s="8">
        <f>IF($K125="","",IFERROR(INDEX('ערכים טכנולוגיים'!$P$2:$P$500,MATCH(A125,'ערכים טכנולוגיים'!$A$2:$A$500,0)),""))</f>
        <v/>
      </c>
    </row>
    <row r="126">
      <c r="A126" s="9">
        <f>IF($K126="","",INDEX(מלאי!$D$2:$D$500,$K126))</f>
        <v/>
      </c>
      <c r="B126" s="9">
        <f>IF($K126="","",INDEX(מלאי!$B$2:$B$500,$K126))</f>
        <v/>
      </c>
      <c r="C126" s="9">
        <f>IF($K126="","",INDEX(מלאי!$C$2:$C$500,$K126))</f>
        <v/>
      </c>
      <c r="D126" s="9">
        <f>IF($K126="","",INDEX(מלאי!$G$2:$G$500,$K126))</f>
        <v/>
      </c>
      <c r="E126" s="9">
        <f>IF($K126="","",INDEX(מלאי!$M$2:$M$500,$K126))</f>
        <v/>
      </c>
      <c r="F126" s="9">
        <f>IF($K126="","",INDEX(מלאי!$N$2:$N$500,$K126))</f>
        <v/>
      </c>
      <c r="G126" s="9">
        <f>IF($K126="","",INDEX(מלאי!$O$2:$O$500,$K126))</f>
        <v/>
      </c>
      <c r="H126" s="9">
        <f>IF($K126="","",INDEX(מלאי!$U$2:$U$500,$K126))</f>
        <v/>
      </c>
      <c r="I126" s="9">
        <f>IF($K126="","",INDEX(מלאי!$X$2:$X$500,$K126))</f>
        <v/>
      </c>
      <c r="J126" s="9">
        <f>IF($K126="","",INDEX(מלאי!$AC$2:$AC$500,$K126))</f>
        <v/>
      </c>
      <c r="K12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טכנולוגיים'!$A$2:$A$500,0))&lt;=$G$6),0))),ROW(מלאי!$A$2:$A$500)-ROW(מלאי!$A$2)+1,""),104),"")</f>
        <v/>
      </c>
      <c r="L126" s="9">
        <f>IF($K126="","",IFERROR(INDEX('ערכים טכנולוגיים'!$M$2:$M$500,MATCH(A126,'ערכים טכנולוגיים'!$A$2:$A$500,0)),""))</f>
        <v/>
      </c>
      <c r="M126" s="9">
        <f>IF($K126="","",IFERROR(INDEX('ערכים טכנולוגיים'!$F$2:$F$500,MATCH(A126,'ערכים טכנולוגיים'!$A$2:$A$500,0)),""))</f>
        <v/>
      </c>
      <c r="N126" s="9">
        <f>IF($K126="","",IFERROR(INDEX('ערכים טכנולוגיים'!$J$2:$J$500,MATCH(A126,'ערכים טכנולוגיים'!$A$2:$A$500,0)),""))</f>
        <v/>
      </c>
      <c r="O126" s="9">
        <f>IF($K126="","",IFERROR(INDEX('ערכים טכנולוגיים'!$G$2:$G$500,MATCH(A126,'ערכים טכנולוגיים'!$A$2:$A$500,0)),""))</f>
        <v/>
      </c>
      <c r="P126" s="9">
        <f>IF($K126="","",IFERROR(INDEX('ערכים טכנולוגיים'!$K$2:$K$500,MATCH(A126,'ערכים טכנולוגיים'!$A$2:$A$500,0)),""))</f>
        <v/>
      </c>
      <c r="Q126" s="9">
        <f>IF($K126="","",IFERROR(INDEX('ערכים טכנולוגיים'!$P$2:$P$500,MATCH(A126,'ערכים טכנולוגיים'!$A$2:$A$500,0)),""))</f>
        <v/>
      </c>
    </row>
    <row r="127">
      <c r="A127" s="8">
        <f>IF($K127="","",INDEX(מלאי!$D$2:$D$500,$K127))</f>
        <v/>
      </c>
      <c r="B127" s="8">
        <f>IF($K127="","",INDEX(מלאי!$B$2:$B$500,$K127))</f>
        <v/>
      </c>
      <c r="C127" s="8">
        <f>IF($K127="","",INDEX(מלאי!$C$2:$C$500,$K127))</f>
        <v/>
      </c>
      <c r="D127" s="8">
        <f>IF($K127="","",INDEX(מלאי!$G$2:$G$500,$K127))</f>
        <v/>
      </c>
      <c r="E127" s="8">
        <f>IF($K127="","",INDEX(מלאי!$M$2:$M$500,$K127))</f>
        <v/>
      </c>
      <c r="F127" s="8">
        <f>IF($K127="","",INDEX(מלאי!$N$2:$N$500,$K127))</f>
        <v/>
      </c>
      <c r="G127" s="8">
        <f>IF($K127="","",INDEX(מלאי!$O$2:$O$500,$K127))</f>
        <v/>
      </c>
      <c r="H127" s="8">
        <f>IF($K127="","",INDEX(מלאי!$U$2:$U$500,$K127))</f>
        <v/>
      </c>
      <c r="I127" s="8">
        <f>IF($K127="","",INDEX(מלאי!$X$2:$X$500,$K127))</f>
        <v/>
      </c>
      <c r="J127" s="8">
        <f>IF($K127="","",INDEX(מלאי!$AC$2:$AC$500,$K127))</f>
        <v/>
      </c>
      <c r="K12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טכנולוגיים'!$A$2:$A$500,0))&lt;=$G$6),0))),ROW(מלאי!$A$2:$A$500)-ROW(מלאי!$A$2)+1,""),105),"")</f>
        <v/>
      </c>
      <c r="L127" s="8">
        <f>IF($K127="","",IFERROR(INDEX('ערכים טכנולוגיים'!$M$2:$M$500,MATCH(A127,'ערכים טכנולוגיים'!$A$2:$A$500,0)),""))</f>
        <v/>
      </c>
      <c r="M127" s="8">
        <f>IF($K127="","",IFERROR(INDEX('ערכים טכנולוגיים'!$F$2:$F$500,MATCH(A127,'ערכים טכנולוגיים'!$A$2:$A$500,0)),""))</f>
        <v/>
      </c>
      <c r="N127" s="8">
        <f>IF($K127="","",IFERROR(INDEX('ערכים טכנולוגיים'!$J$2:$J$500,MATCH(A127,'ערכים טכנולוגיים'!$A$2:$A$500,0)),""))</f>
        <v/>
      </c>
      <c r="O127" s="8">
        <f>IF($K127="","",IFERROR(INDEX('ערכים טכנולוגיים'!$G$2:$G$500,MATCH(A127,'ערכים טכנולוגיים'!$A$2:$A$500,0)),""))</f>
        <v/>
      </c>
      <c r="P127" s="8">
        <f>IF($K127="","",IFERROR(INDEX('ערכים טכנולוגיים'!$K$2:$K$500,MATCH(A127,'ערכים טכנולוגיים'!$A$2:$A$500,0)),""))</f>
        <v/>
      </c>
      <c r="Q127" s="8">
        <f>IF($K127="","",IFERROR(INDEX('ערכים טכנולוגיים'!$P$2:$P$500,MATCH(A127,'ערכים טכנולוגיים'!$A$2:$A$500,0)),""))</f>
        <v/>
      </c>
    </row>
    <row r="128">
      <c r="A128" s="9">
        <f>IF($K128="","",INDEX(מלאי!$D$2:$D$500,$K128))</f>
        <v/>
      </c>
      <c r="B128" s="9">
        <f>IF($K128="","",INDEX(מלאי!$B$2:$B$500,$K128))</f>
        <v/>
      </c>
      <c r="C128" s="9">
        <f>IF($K128="","",INDEX(מלאי!$C$2:$C$500,$K128))</f>
        <v/>
      </c>
      <c r="D128" s="9">
        <f>IF($K128="","",INDEX(מלאי!$G$2:$G$500,$K128))</f>
        <v/>
      </c>
      <c r="E128" s="9">
        <f>IF($K128="","",INDEX(מלאי!$M$2:$M$500,$K128))</f>
        <v/>
      </c>
      <c r="F128" s="9">
        <f>IF($K128="","",INDEX(מלאי!$N$2:$N$500,$K128))</f>
        <v/>
      </c>
      <c r="G128" s="9">
        <f>IF($K128="","",INDEX(מלאי!$O$2:$O$500,$K128))</f>
        <v/>
      </c>
      <c r="H128" s="9">
        <f>IF($K128="","",INDEX(מלאי!$U$2:$U$500,$K128))</f>
        <v/>
      </c>
      <c r="I128" s="9">
        <f>IF($K128="","",INDEX(מלאי!$X$2:$X$500,$K128))</f>
        <v/>
      </c>
      <c r="J128" s="9">
        <f>IF($K128="","",INDEX(מלאי!$AC$2:$AC$500,$K128))</f>
        <v/>
      </c>
      <c r="K12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טכנולוגיים'!$A$2:$A$500,0))&lt;=$G$6),0))),ROW(מלאי!$A$2:$A$500)-ROW(מלאי!$A$2)+1,""),106),"")</f>
        <v/>
      </c>
      <c r="L128" s="9">
        <f>IF($K128="","",IFERROR(INDEX('ערכים טכנולוגיים'!$M$2:$M$500,MATCH(A128,'ערכים טכנולוגיים'!$A$2:$A$500,0)),""))</f>
        <v/>
      </c>
      <c r="M128" s="9">
        <f>IF($K128="","",IFERROR(INDEX('ערכים טכנולוגיים'!$F$2:$F$500,MATCH(A128,'ערכים טכנולוגיים'!$A$2:$A$500,0)),""))</f>
        <v/>
      </c>
      <c r="N128" s="9">
        <f>IF($K128="","",IFERROR(INDEX('ערכים טכנולוגיים'!$J$2:$J$500,MATCH(A128,'ערכים טכנולוגיים'!$A$2:$A$500,0)),""))</f>
        <v/>
      </c>
      <c r="O128" s="9">
        <f>IF($K128="","",IFERROR(INDEX('ערכים טכנולוגיים'!$G$2:$G$500,MATCH(A128,'ערכים טכנולוגיים'!$A$2:$A$500,0)),""))</f>
        <v/>
      </c>
      <c r="P128" s="9">
        <f>IF($K128="","",IFERROR(INDEX('ערכים טכנולוגיים'!$K$2:$K$500,MATCH(A128,'ערכים טכנולוגיים'!$A$2:$A$500,0)),""))</f>
        <v/>
      </c>
      <c r="Q128" s="9">
        <f>IF($K128="","",IFERROR(INDEX('ערכים טכנולוגיים'!$P$2:$P$500,MATCH(A128,'ערכים טכנולוגיים'!$A$2:$A$500,0)),""))</f>
        <v/>
      </c>
    </row>
    <row r="129">
      <c r="A129" s="8">
        <f>IF($K129="","",INDEX(מלאי!$D$2:$D$500,$K129))</f>
        <v/>
      </c>
      <c r="B129" s="8">
        <f>IF($K129="","",INDEX(מלאי!$B$2:$B$500,$K129))</f>
        <v/>
      </c>
      <c r="C129" s="8">
        <f>IF($K129="","",INDEX(מלאי!$C$2:$C$500,$K129))</f>
        <v/>
      </c>
      <c r="D129" s="8">
        <f>IF($K129="","",INDEX(מלאי!$G$2:$G$500,$K129))</f>
        <v/>
      </c>
      <c r="E129" s="8">
        <f>IF($K129="","",INDEX(מלאי!$M$2:$M$500,$K129))</f>
        <v/>
      </c>
      <c r="F129" s="8">
        <f>IF($K129="","",INDEX(מלאי!$N$2:$N$500,$K129))</f>
        <v/>
      </c>
      <c r="G129" s="8">
        <f>IF($K129="","",INDEX(מלאי!$O$2:$O$500,$K129))</f>
        <v/>
      </c>
      <c r="H129" s="8">
        <f>IF($K129="","",INDEX(מלאי!$U$2:$U$500,$K129))</f>
        <v/>
      </c>
      <c r="I129" s="8">
        <f>IF($K129="","",INDEX(מלאי!$X$2:$X$500,$K129))</f>
        <v/>
      </c>
      <c r="J129" s="8">
        <f>IF($K129="","",INDEX(מלאי!$AC$2:$AC$500,$K129))</f>
        <v/>
      </c>
      <c r="K12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טכנולוגיים'!$A$2:$A$500,0))&lt;=$G$6),0))),ROW(מלאי!$A$2:$A$500)-ROW(מלאי!$A$2)+1,""),107),"")</f>
        <v/>
      </c>
      <c r="L129" s="8">
        <f>IF($K129="","",IFERROR(INDEX('ערכים טכנולוגיים'!$M$2:$M$500,MATCH(A129,'ערכים טכנולוגיים'!$A$2:$A$500,0)),""))</f>
        <v/>
      </c>
      <c r="M129" s="8">
        <f>IF($K129="","",IFERROR(INDEX('ערכים טכנולוגיים'!$F$2:$F$500,MATCH(A129,'ערכים טכנולוגיים'!$A$2:$A$500,0)),""))</f>
        <v/>
      </c>
      <c r="N129" s="8">
        <f>IF($K129="","",IFERROR(INDEX('ערכים טכנולוגיים'!$J$2:$J$500,MATCH(A129,'ערכים טכנולוגיים'!$A$2:$A$500,0)),""))</f>
        <v/>
      </c>
      <c r="O129" s="8">
        <f>IF($K129="","",IFERROR(INDEX('ערכים טכנולוגיים'!$G$2:$G$500,MATCH(A129,'ערכים טכנולוגיים'!$A$2:$A$500,0)),""))</f>
        <v/>
      </c>
      <c r="P129" s="8">
        <f>IF($K129="","",IFERROR(INDEX('ערכים טכנולוגיים'!$K$2:$K$500,MATCH(A129,'ערכים טכנולוגיים'!$A$2:$A$500,0)),""))</f>
        <v/>
      </c>
      <c r="Q129" s="8">
        <f>IF($K129="","",IFERROR(INDEX('ערכים טכנולוגיים'!$P$2:$P$500,MATCH(A129,'ערכים טכנולוגיים'!$A$2:$A$500,0)),""))</f>
        <v/>
      </c>
    </row>
    <row r="130">
      <c r="A130" s="9">
        <f>IF($K130="","",INDEX(מלאי!$D$2:$D$500,$K130))</f>
        <v/>
      </c>
      <c r="B130" s="9">
        <f>IF($K130="","",INDEX(מלאי!$B$2:$B$500,$K130))</f>
        <v/>
      </c>
      <c r="C130" s="9">
        <f>IF($K130="","",INDEX(מלאי!$C$2:$C$500,$K130))</f>
        <v/>
      </c>
      <c r="D130" s="9">
        <f>IF($K130="","",INDEX(מלאי!$G$2:$G$500,$K130))</f>
        <v/>
      </c>
      <c r="E130" s="9">
        <f>IF($K130="","",INDEX(מלאי!$M$2:$M$500,$K130))</f>
        <v/>
      </c>
      <c r="F130" s="9">
        <f>IF($K130="","",INDEX(מלאי!$N$2:$N$500,$K130))</f>
        <v/>
      </c>
      <c r="G130" s="9">
        <f>IF($K130="","",INDEX(מלאי!$O$2:$O$500,$K130))</f>
        <v/>
      </c>
      <c r="H130" s="9">
        <f>IF($K130="","",INDEX(מלאי!$U$2:$U$500,$K130))</f>
        <v/>
      </c>
      <c r="I130" s="9">
        <f>IF($K130="","",INDEX(מלאי!$X$2:$X$500,$K130))</f>
        <v/>
      </c>
      <c r="J130" s="9">
        <f>IF($K130="","",INDEX(מלאי!$AC$2:$AC$500,$K130))</f>
        <v/>
      </c>
      <c r="K13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טכנולוגיים'!$A$2:$A$500,0))&lt;=$G$6),0))),ROW(מלאי!$A$2:$A$500)-ROW(מלאי!$A$2)+1,""),108),"")</f>
        <v/>
      </c>
      <c r="L130" s="9">
        <f>IF($K130="","",IFERROR(INDEX('ערכים טכנולוגיים'!$M$2:$M$500,MATCH(A130,'ערכים טכנולוגיים'!$A$2:$A$500,0)),""))</f>
        <v/>
      </c>
      <c r="M130" s="9">
        <f>IF($K130="","",IFERROR(INDEX('ערכים טכנולוגיים'!$F$2:$F$500,MATCH(A130,'ערכים טכנולוגיים'!$A$2:$A$500,0)),""))</f>
        <v/>
      </c>
      <c r="N130" s="9">
        <f>IF($K130="","",IFERROR(INDEX('ערכים טכנולוגיים'!$J$2:$J$500,MATCH(A130,'ערכים טכנולוגיים'!$A$2:$A$500,0)),""))</f>
        <v/>
      </c>
      <c r="O130" s="9">
        <f>IF($K130="","",IFERROR(INDEX('ערכים טכנולוגיים'!$G$2:$G$500,MATCH(A130,'ערכים טכנולוגיים'!$A$2:$A$500,0)),""))</f>
        <v/>
      </c>
      <c r="P130" s="9">
        <f>IF($K130="","",IFERROR(INDEX('ערכים טכנולוגיים'!$K$2:$K$500,MATCH(A130,'ערכים טכנולוגיים'!$A$2:$A$500,0)),""))</f>
        <v/>
      </c>
      <c r="Q130" s="9">
        <f>IF($K130="","",IFERROR(INDEX('ערכים טכנולוגיים'!$P$2:$P$500,MATCH(A130,'ערכים טכנולוגיים'!$A$2:$A$500,0)),""))</f>
        <v/>
      </c>
    </row>
    <row r="131">
      <c r="A131" s="8">
        <f>IF($K131="","",INDEX(מלאי!$D$2:$D$500,$K131))</f>
        <v/>
      </c>
      <c r="B131" s="8">
        <f>IF($K131="","",INDEX(מלאי!$B$2:$B$500,$K131))</f>
        <v/>
      </c>
      <c r="C131" s="8">
        <f>IF($K131="","",INDEX(מלאי!$C$2:$C$500,$K131))</f>
        <v/>
      </c>
      <c r="D131" s="8">
        <f>IF($K131="","",INDEX(מלאי!$G$2:$G$500,$K131))</f>
        <v/>
      </c>
      <c r="E131" s="8">
        <f>IF($K131="","",INDEX(מלאי!$M$2:$M$500,$K131))</f>
        <v/>
      </c>
      <c r="F131" s="8">
        <f>IF($K131="","",INDEX(מלאי!$N$2:$N$500,$K131))</f>
        <v/>
      </c>
      <c r="G131" s="8">
        <f>IF($K131="","",INDEX(מלאי!$O$2:$O$500,$K131))</f>
        <v/>
      </c>
      <c r="H131" s="8">
        <f>IF($K131="","",INDEX(מלאי!$U$2:$U$500,$K131))</f>
        <v/>
      </c>
      <c r="I131" s="8">
        <f>IF($K131="","",INDEX(מלאי!$X$2:$X$500,$K131))</f>
        <v/>
      </c>
      <c r="J131" s="8">
        <f>IF($K131="","",INDEX(מלאי!$AC$2:$AC$500,$K131))</f>
        <v/>
      </c>
      <c r="K13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טכנולוגיים'!$A$2:$A$500,0))&lt;=$G$6),0))),ROW(מלאי!$A$2:$A$500)-ROW(מלאי!$A$2)+1,""),109),"")</f>
        <v/>
      </c>
      <c r="L131" s="8">
        <f>IF($K131="","",IFERROR(INDEX('ערכים טכנולוגיים'!$M$2:$M$500,MATCH(A131,'ערכים טכנולוגיים'!$A$2:$A$500,0)),""))</f>
        <v/>
      </c>
      <c r="M131" s="8">
        <f>IF($K131="","",IFERROR(INDEX('ערכים טכנולוגיים'!$F$2:$F$500,MATCH(A131,'ערכים טכנולוגיים'!$A$2:$A$500,0)),""))</f>
        <v/>
      </c>
      <c r="N131" s="8">
        <f>IF($K131="","",IFERROR(INDEX('ערכים טכנולוגיים'!$J$2:$J$500,MATCH(A131,'ערכים טכנולוגיים'!$A$2:$A$500,0)),""))</f>
        <v/>
      </c>
      <c r="O131" s="8">
        <f>IF($K131="","",IFERROR(INDEX('ערכים טכנולוגיים'!$G$2:$G$500,MATCH(A131,'ערכים טכנולוגיים'!$A$2:$A$500,0)),""))</f>
        <v/>
      </c>
      <c r="P131" s="8">
        <f>IF($K131="","",IFERROR(INDEX('ערכים טכנולוגיים'!$K$2:$K$500,MATCH(A131,'ערכים טכנולוגיים'!$A$2:$A$500,0)),""))</f>
        <v/>
      </c>
      <c r="Q131" s="8">
        <f>IF($K131="","",IFERROR(INDEX('ערכים טכנולוגיים'!$P$2:$P$500,MATCH(A131,'ערכים טכנולוגיים'!$A$2:$A$500,0)),""))</f>
        <v/>
      </c>
    </row>
    <row r="132">
      <c r="A132" s="9">
        <f>IF($K132="","",INDEX(מלאי!$D$2:$D$500,$K132))</f>
        <v/>
      </c>
      <c r="B132" s="9">
        <f>IF($K132="","",INDEX(מלאי!$B$2:$B$500,$K132))</f>
        <v/>
      </c>
      <c r="C132" s="9">
        <f>IF($K132="","",INDEX(מלאי!$C$2:$C$500,$K132))</f>
        <v/>
      </c>
      <c r="D132" s="9">
        <f>IF($K132="","",INDEX(מלאי!$G$2:$G$500,$K132))</f>
        <v/>
      </c>
      <c r="E132" s="9">
        <f>IF($K132="","",INDEX(מלאי!$M$2:$M$500,$K132))</f>
        <v/>
      </c>
      <c r="F132" s="9">
        <f>IF($K132="","",INDEX(מלאי!$N$2:$N$500,$K132))</f>
        <v/>
      </c>
      <c r="G132" s="9">
        <f>IF($K132="","",INDEX(מלאי!$O$2:$O$500,$K132))</f>
        <v/>
      </c>
      <c r="H132" s="9">
        <f>IF($K132="","",INDEX(מלאי!$U$2:$U$500,$K132))</f>
        <v/>
      </c>
      <c r="I132" s="9">
        <f>IF($K132="","",INDEX(מלאי!$X$2:$X$500,$K132))</f>
        <v/>
      </c>
      <c r="J132" s="9">
        <f>IF($K132="","",INDEX(מלאי!$AC$2:$AC$500,$K132))</f>
        <v/>
      </c>
      <c r="K13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טכנולוגיים'!$A$2:$A$500,0))&lt;=$G$6),0))),ROW(מלאי!$A$2:$A$500)-ROW(מלאי!$A$2)+1,""),110),"")</f>
        <v/>
      </c>
      <c r="L132" s="9">
        <f>IF($K132="","",IFERROR(INDEX('ערכים טכנולוגיים'!$M$2:$M$500,MATCH(A132,'ערכים טכנולוגיים'!$A$2:$A$500,0)),""))</f>
        <v/>
      </c>
      <c r="M132" s="9">
        <f>IF($K132="","",IFERROR(INDEX('ערכים טכנולוגיים'!$F$2:$F$500,MATCH(A132,'ערכים טכנולוגיים'!$A$2:$A$500,0)),""))</f>
        <v/>
      </c>
      <c r="N132" s="9">
        <f>IF($K132="","",IFERROR(INDEX('ערכים טכנולוגיים'!$J$2:$J$500,MATCH(A132,'ערכים טכנולוגיים'!$A$2:$A$500,0)),""))</f>
        <v/>
      </c>
      <c r="O132" s="9">
        <f>IF($K132="","",IFERROR(INDEX('ערכים טכנולוגיים'!$G$2:$G$500,MATCH(A132,'ערכים טכנולוגיים'!$A$2:$A$500,0)),""))</f>
        <v/>
      </c>
      <c r="P132" s="9">
        <f>IF($K132="","",IFERROR(INDEX('ערכים טכנולוגיים'!$K$2:$K$500,MATCH(A132,'ערכים טכנולוגיים'!$A$2:$A$500,0)),""))</f>
        <v/>
      </c>
      <c r="Q132" s="9">
        <f>IF($K132="","",IFERROR(INDEX('ערכים טכנולוגיים'!$P$2:$P$500,MATCH(A132,'ערכים טכנולוגיים'!$A$2:$A$500,0)),""))</f>
        <v/>
      </c>
    </row>
    <row r="133">
      <c r="A133" s="8">
        <f>IF($K133="","",INDEX(מלאי!$D$2:$D$500,$K133))</f>
        <v/>
      </c>
      <c r="B133" s="8">
        <f>IF($K133="","",INDEX(מלאי!$B$2:$B$500,$K133))</f>
        <v/>
      </c>
      <c r="C133" s="8">
        <f>IF($K133="","",INDEX(מלאי!$C$2:$C$500,$K133))</f>
        <v/>
      </c>
      <c r="D133" s="8">
        <f>IF($K133="","",INDEX(מלאי!$G$2:$G$500,$K133))</f>
        <v/>
      </c>
      <c r="E133" s="8">
        <f>IF($K133="","",INDEX(מלאי!$M$2:$M$500,$K133))</f>
        <v/>
      </c>
      <c r="F133" s="8">
        <f>IF($K133="","",INDEX(מלאי!$N$2:$N$500,$K133))</f>
        <v/>
      </c>
      <c r="G133" s="8">
        <f>IF($K133="","",INDEX(מלאי!$O$2:$O$500,$K133))</f>
        <v/>
      </c>
      <c r="H133" s="8">
        <f>IF($K133="","",INDEX(מלאי!$U$2:$U$500,$K133))</f>
        <v/>
      </c>
      <c r="I133" s="8">
        <f>IF($K133="","",INDEX(מלאי!$X$2:$X$500,$K133))</f>
        <v/>
      </c>
      <c r="J133" s="8">
        <f>IF($K133="","",INDEX(מלאי!$AC$2:$AC$500,$K133))</f>
        <v/>
      </c>
      <c r="K13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טכנולוגיים'!$A$2:$A$500,0))&lt;=$G$6),0))),ROW(מלאי!$A$2:$A$500)-ROW(מלאי!$A$2)+1,""),111),"")</f>
        <v/>
      </c>
      <c r="L133" s="8">
        <f>IF($K133="","",IFERROR(INDEX('ערכים טכנולוגיים'!$M$2:$M$500,MATCH(A133,'ערכים טכנולוגיים'!$A$2:$A$500,0)),""))</f>
        <v/>
      </c>
      <c r="M133" s="8">
        <f>IF($K133="","",IFERROR(INDEX('ערכים טכנולוגיים'!$F$2:$F$500,MATCH(A133,'ערכים טכנולוגיים'!$A$2:$A$500,0)),""))</f>
        <v/>
      </c>
      <c r="N133" s="8">
        <f>IF($K133="","",IFERROR(INDEX('ערכים טכנולוגיים'!$J$2:$J$500,MATCH(A133,'ערכים טכנולוגיים'!$A$2:$A$500,0)),""))</f>
        <v/>
      </c>
      <c r="O133" s="8">
        <f>IF($K133="","",IFERROR(INDEX('ערכים טכנולוגיים'!$G$2:$G$500,MATCH(A133,'ערכים טכנולוגיים'!$A$2:$A$500,0)),""))</f>
        <v/>
      </c>
      <c r="P133" s="8">
        <f>IF($K133="","",IFERROR(INDEX('ערכים טכנולוגיים'!$K$2:$K$500,MATCH(A133,'ערכים טכנולוגיים'!$A$2:$A$500,0)),""))</f>
        <v/>
      </c>
      <c r="Q133" s="8">
        <f>IF($K133="","",IFERROR(INDEX('ערכים טכנולוגיים'!$P$2:$P$500,MATCH(A133,'ערכים טכנולוגיים'!$A$2:$A$500,0)),""))</f>
        <v/>
      </c>
    </row>
    <row r="134">
      <c r="A134" s="9">
        <f>IF($K134="","",INDEX(מלאי!$D$2:$D$500,$K134))</f>
        <v/>
      </c>
      <c r="B134" s="9">
        <f>IF($K134="","",INDEX(מלאי!$B$2:$B$500,$K134))</f>
        <v/>
      </c>
      <c r="C134" s="9">
        <f>IF($K134="","",INDEX(מלאי!$C$2:$C$500,$K134))</f>
        <v/>
      </c>
      <c r="D134" s="9">
        <f>IF($K134="","",INDEX(מלאי!$G$2:$G$500,$K134))</f>
        <v/>
      </c>
      <c r="E134" s="9">
        <f>IF($K134="","",INDEX(מלאי!$M$2:$M$500,$K134))</f>
        <v/>
      </c>
      <c r="F134" s="9">
        <f>IF($K134="","",INDEX(מלאי!$N$2:$N$500,$K134))</f>
        <v/>
      </c>
      <c r="G134" s="9">
        <f>IF($K134="","",INDEX(מלאי!$O$2:$O$500,$K134))</f>
        <v/>
      </c>
      <c r="H134" s="9">
        <f>IF($K134="","",INDEX(מלאי!$U$2:$U$500,$K134))</f>
        <v/>
      </c>
      <c r="I134" s="9">
        <f>IF($K134="","",INDEX(מלאי!$X$2:$X$500,$K134))</f>
        <v/>
      </c>
      <c r="J134" s="9">
        <f>IF($K134="","",INDEX(מלאי!$AC$2:$AC$500,$K134))</f>
        <v/>
      </c>
      <c r="K13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טכנולוגיים'!$A$2:$A$500,0))&lt;=$G$6),0))),ROW(מלאי!$A$2:$A$500)-ROW(מלאי!$A$2)+1,""),112),"")</f>
        <v/>
      </c>
      <c r="L134" s="9">
        <f>IF($K134="","",IFERROR(INDEX('ערכים טכנולוגיים'!$M$2:$M$500,MATCH(A134,'ערכים טכנולוגיים'!$A$2:$A$500,0)),""))</f>
        <v/>
      </c>
      <c r="M134" s="9">
        <f>IF($K134="","",IFERROR(INDEX('ערכים טכנולוגיים'!$F$2:$F$500,MATCH(A134,'ערכים טכנולוגיים'!$A$2:$A$500,0)),""))</f>
        <v/>
      </c>
      <c r="N134" s="9">
        <f>IF($K134="","",IFERROR(INDEX('ערכים טכנולוגיים'!$J$2:$J$500,MATCH(A134,'ערכים טכנולוגיים'!$A$2:$A$500,0)),""))</f>
        <v/>
      </c>
      <c r="O134" s="9">
        <f>IF($K134="","",IFERROR(INDEX('ערכים טכנולוגיים'!$G$2:$G$500,MATCH(A134,'ערכים טכנולוגיים'!$A$2:$A$500,0)),""))</f>
        <v/>
      </c>
      <c r="P134" s="9">
        <f>IF($K134="","",IFERROR(INDEX('ערכים טכנולוגיים'!$K$2:$K$500,MATCH(A134,'ערכים טכנולוגיים'!$A$2:$A$500,0)),""))</f>
        <v/>
      </c>
      <c r="Q134" s="9">
        <f>IF($K134="","",IFERROR(INDEX('ערכים טכנולוגיים'!$P$2:$P$500,MATCH(A134,'ערכים טכנולוגיים'!$A$2:$A$500,0)),""))</f>
        <v/>
      </c>
    </row>
    <row r="135">
      <c r="A135" s="8">
        <f>IF($K135="","",INDEX(מלאי!$D$2:$D$500,$K135))</f>
        <v/>
      </c>
      <c r="B135" s="8">
        <f>IF($K135="","",INDEX(מלאי!$B$2:$B$500,$K135))</f>
        <v/>
      </c>
      <c r="C135" s="8">
        <f>IF($K135="","",INDEX(מלאי!$C$2:$C$500,$K135))</f>
        <v/>
      </c>
      <c r="D135" s="8">
        <f>IF($K135="","",INDEX(מלאי!$G$2:$G$500,$K135))</f>
        <v/>
      </c>
      <c r="E135" s="8">
        <f>IF($K135="","",INDEX(מלאי!$M$2:$M$500,$K135))</f>
        <v/>
      </c>
      <c r="F135" s="8">
        <f>IF($K135="","",INDEX(מלאי!$N$2:$N$500,$K135))</f>
        <v/>
      </c>
      <c r="G135" s="8">
        <f>IF($K135="","",INDEX(מלאי!$O$2:$O$500,$K135))</f>
        <v/>
      </c>
      <c r="H135" s="8">
        <f>IF($K135="","",INDEX(מלאי!$U$2:$U$500,$K135))</f>
        <v/>
      </c>
      <c r="I135" s="8">
        <f>IF($K135="","",INDEX(מלאי!$X$2:$X$500,$K135))</f>
        <v/>
      </c>
      <c r="J135" s="8">
        <f>IF($K135="","",INDEX(מלאי!$AC$2:$AC$500,$K135))</f>
        <v/>
      </c>
      <c r="K13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טכנולוגיים'!$A$2:$A$500,0))&lt;=$G$6),0))),ROW(מלאי!$A$2:$A$500)-ROW(מלאי!$A$2)+1,""),113),"")</f>
        <v/>
      </c>
      <c r="L135" s="8">
        <f>IF($K135="","",IFERROR(INDEX('ערכים טכנולוגיים'!$M$2:$M$500,MATCH(A135,'ערכים טכנולוגיים'!$A$2:$A$500,0)),""))</f>
        <v/>
      </c>
      <c r="M135" s="8">
        <f>IF($K135="","",IFERROR(INDEX('ערכים טכנולוגיים'!$F$2:$F$500,MATCH(A135,'ערכים טכנולוגיים'!$A$2:$A$500,0)),""))</f>
        <v/>
      </c>
      <c r="N135" s="8">
        <f>IF($K135="","",IFERROR(INDEX('ערכים טכנולוגיים'!$J$2:$J$500,MATCH(A135,'ערכים טכנולוגיים'!$A$2:$A$500,0)),""))</f>
        <v/>
      </c>
      <c r="O135" s="8">
        <f>IF($K135="","",IFERROR(INDEX('ערכים טכנולוגיים'!$G$2:$G$500,MATCH(A135,'ערכים טכנולוגיים'!$A$2:$A$500,0)),""))</f>
        <v/>
      </c>
      <c r="P135" s="8">
        <f>IF($K135="","",IFERROR(INDEX('ערכים טכנולוגיים'!$K$2:$K$500,MATCH(A135,'ערכים טכנולוגיים'!$A$2:$A$500,0)),""))</f>
        <v/>
      </c>
      <c r="Q135" s="8">
        <f>IF($K135="","",IFERROR(INDEX('ערכים טכנולוגיים'!$P$2:$P$500,MATCH(A135,'ערכים טכנולוגיים'!$A$2:$A$500,0)),""))</f>
        <v/>
      </c>
    </row>
    <row r="136">
      <c r="A136" s="9">
        <f>IF($K136="","",INDEX(מלאי!$D$2:$D$500,$K136))</f>
        <v/>
      </c>
      <c r="B136" s="9">
        <f>IF($K136="","",INDEX(מלאי!$B$2:$B$500,$K136))</f>
        <v/>
      </c>
      <c r="C136" s="9">
        <f>IF($K136="","",INDEX(מלאי!$C$2:$C$500,$K136))</f>
        <v/>
      </c>
      <c r="D136" s="9">
        <f>IF($K136="","",INDEX(מלאי!$G$2:$G$500,$K136))</f>
        <v/>
      </c>
      <c r="E136" s="9">
        <f>IF($K136="","",INDEX(מלאי!$M$2:$M$500,$K136))</f>
        <v/>
      </c>
      <c r="F136" s="9">
        <f>IF($K136="","",INDEX(מלאי!$N$2:$N$500,$K136))</f>
        <v/>
      </c>
      <c r="G136" s="9">
        <f>IF($K136="","",INDEX(מלאי!$O$2:$O$500,$K136))</f>
        <v/>
      </c>
      <c r="H136" s="9">
        <f>IF($K136="","",INDEX(מלאי!$U$2:$U$500,$K136))</f>
        <v/>
      </c>
      <c r="I136" s="9">
        <f>IF($K136="","",INDEX(מלאי!$X$2:$X$500,$K136))</f>
        <v/>
      </c>
      <c r="J136" s="9">
        <f>IF($K136="","",INDEX(מלאי!$AC$2:$AC$500,$K136))</f>
        <v/>
      </c>
      <c r="K13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טכנולוגיים'!$A$2:$A$500,0))&lt;=$G$6),0))),ROW(מלאי!$A$2:$A$500)-ROW(מלאי!$A$2)+1,""),114),"")</f>
        <v/>
      </c>
      <c r="L136" s="9">
        <f>IF($K136="","",IFERROR(INDEX('ערכים טכנולוגיים'!$M$2:$M$500,MATCH(A136,'ערכים טכנולוגיים'!$A$2:$A$500,0)),""))</f>
        <v/>
      </c>
      <c r="M136" s="9">
        <f>IF($K136="","",IFERROR(INDEX('ערכים טכנולוגיים'!$F$2:$F$500,MATCH(A136,'ערכים טכנולוגיים'!$A$2:$A$500,0)),""))</f>
        <v/>
      </c>
      <c r="N136" s="9">
        <f>IF($K136="","",IFERROR(INDEX('ערכים טכנולוגיים'!$J$2:$J$500,MATCH(A136,'ערכים טכנולוגיים'!$A$2:$A$500,0)),""))</f>
        <v/>
      </c>
      <c r="O136" s="9">
        <f>IF($K136="","",IFERROR(INDEX('ערכים טכנולוגיים'!$G$2:$G$500,MATCH(A136,'ערכים טכנולוגיים'!$A$2:$A$500,0)),""))</f>
        <v/>
      </c>
      <c r="P136" s="9">
        <f>IF($K136="","",IFERROR(INDEX('ערכים טכנולוגיים'!$K$2:$K$500,MATCH(A136,'ערכים טכנולוגיים'!$A$2:$A$500,0)),""))</f>
        <v/>
      </c>
      <c r="Q136" s="9">
        <f>IF($K136="","",IFERROR(INDEX('ערכים טכנולוגיים'!$P$2:$P$500,MATCH(A136,'ערכים טכנולוגיים'!$A$2:$A$500,0)),""))</f>
        <v/>
      </c>
    </row>
    <row r="137">
      <c r="A137" s="8">
        <f>IF($K137="","",INDEX(מלאי!$D$2:$D$500,$K137))</f>
        <v/>
      </c>
      <c r="B137" s="8">
        <f>IF($K137="","",INDEX(מלאי!$B$2:$B$500,$K137))</f>
        <v/>
      </c>
      <c r="C137" s="8">
        <f>IF($K137="","",INDEX(מלאי!$C$2:$C$500,$K137))</f>
        <v/>
      </c>
      <c r="D137" s="8">
        <f>IF($K137="","",INDEX(מלאי!$G$2:$G$500,$K137))</f>
        <v/>
      </c>
      <c r="E137" s="8">
        <f>IF($K137="","",INDEX(מלאי!$M$2:$M$500,$K137))</f>
        <v/>
      </c>
      <c r="F137" s="8">
        <f>IF($K137="","",INDEX(מלאי!$N$2:$N$500,$K137))</f>
        <v/>
      </c>
      <c r="G137" s="8">
        <f>IF($K137="","",INDEX(מלאי!$O$2:$O$500,$K137))</f>
        <v/>
      </c>
      <c r="H137" s="8">
        <f>IF($K137="","",INDEX(מלאי!$U$2:$U$500,$K137))</f>
        <v/>
      </c>
      <c r="I137" s="8">
        <f>IF($K137="","",INDEX(מלאי!$X$2:$X$500,$K137))</f>
        <v/>
      </c>
      <c r="J137" s="8">
        <f>IF($K137="","",INDEX(מלאי!$AC$2:$AC$500,$K137))</f>
        <v/>
      </c>
      <c r="K13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טכנולוגיים'!$A$2:$A$500,0))&lt;=$G$6),0))),ROW(מלאי!$A$2:$A$500)-ROW(מלאי!$A$2)+1,""),115),"")</f>
        <v/>
      </c>
      <c r="L137" s="8">
        <f>IF($K137="","",IFERROR(INDEX('ערכים טכנולוגיים'!$M$2:$M$500,MATCH(A137,'ערכים טכנולוגיים'!$A$2:$A$500,0)),""))</f>
        <v/>
      </c>
      <c r="M137" s="8">
        <f>IF($K137="","",IFERROR(INDEX('ערכים טכנולוגיים'!$F$2:$F$500,MATCH(A137,'ערכים טכנולוגיים'!$A$2:$A$500,0)),""))</f>
        <v/>
      </c>
      <c r="N137" s="8">
        <f>IF($K137="","",IFERROR(INDEX('ערכים טכנולוגיים'!$J$2:$J$500,MATCH(A137,'ערכים טכנולוגיים'!$A$2:$A$500,0)),""))</f>
        <v/>
      </c>
      <c r="O137" s="8">
        <f>IF($K137="","",IFERROR(INDEX('ערכים טכנולוגיים'!$G$2:$G$500,MATCH(A137,'ערכים טכנולוגיים'!$A$2:$A$500,0)),""))</f>
        <v/>
      </c>
      <c r="P137" s="8">
        <f>IF($K137="","",IFERROR(INDEX('ערכים טכנולוגיים'!$K$2:$K$500,MATCH(A137,'ערכים טכנולוגיים'!$A$2:$A$500,0)),""))</f>
        <v/>
      </c>
      <c r="Q137" s="8">
        <f>IF($K137="","",IFERROR(INDEX('ערכים טכנולוגיים'!$P$2:$P$500,MATCH(A137,'ערכים טכנולוגיים'!$A$2:$A$500,0)),""))</f>
        <v/>
      </c>
    </row>
    <row r="138">
      <c r="A138" s="9">
        <f>IF($K138="","",INDEX(מלאי!$D$2:$D$500,$K138))</f>
        <v/>
      </c>
      <c r="B138" s="9">
        <f>IF($K138="","",INDEX(מלאי!$B$2:$B$500,$K138))</f>
        <v/>
      </c>
      <c r="C138" s="9">
        <f>IF($K138="","",INDEX(מלאי!$C$2:$C$500,$K138))</f>
        <v/>
      </c>
      <c r="D138" s="9">
        <f>IF($K138="","",INDEX(מלאי!$G$2:$G$500,$K138))</f>
        <v/>
      </c>
      <c r="E138" s="9">
        <f>IF($K138="","",INDEX(מלאי!$M$2:$M$500,$K138))</f>
        <v/>
      </c>
      <c r="F138" s="9">
        <f>IF($K138="","",INDEX(מלאי!$N$2:$N$500,$K138))</f>
        <v/>
      </c>
      <c r="G138" s="9">
        <f>IF($K138="","",INDEX(מלאי!$O$2:$O$500,$K138))</f>
        <v/>
      </c>
      <c r="H138" s="9">
        <f>IF($K138="","",INDEX(מלאי!$U$2:$U$500,$K138))</f>
        <v/>
      </c>
      <c r="I138" s="9">
        <f>IF($K138="","",INDEX(מלאי!$X$2:$X$500,$K138))</f>
        <v/>
      </c>
      <c r="J138" s="9">
        <f>IF($K138="","",INDEX(מלאי!$AC$2:$AC$500,$K138))</f>
        <v/>
      </c>
      <c r="K13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טכנולוגיים'!$A$2:$A$500,0))&lt;=$G$6),0))),ROW(מלאי!$A$2:$A$500)-ROW(מלאי!$A$2)+1,""),116),"")</f>
        <v/>
      </c>
      <c r="L138" s="9">
        <f>IF($K138="","",IFERROR(INDEX('ערכים טכנולוגיים'!$M$2:$M$500,MATCH(A138,'ערכים טכנולוגיים'!$A$2:$A$500,0)),""))</f>
        <v/>
      </c>
      <c r="M138" s="9">
        <f>IF($K138="","",IFERROR(INDEX('ערכים טכנולוגיים'!$F$2:$F$500,MATCH(A138,'ערכים טכנולוגיים'!$A$2:$A$500,0)),""))</f>
        <v/>
      </c>
      <c r="N138" s="9">
        <f>IF($K138="","",IFERROR(INDEX('ערכים טכנולוגיים'!$J$2:$J$500,MATCH(A138,'ערכים טכנולוגיים'!$A$2:$A$500,0)),""))</f>
        <v/>
      </c>
      <c r="O138" s="9">
        <f>IF($K138="","",IFERROR(INDEX('ערכים טכנולוגיים'!$G$2:$G$500,MATCH(A138,'ערכים טכנולוגיים'!$A$2:$A$500,0)),""))</f>
        <v/>
      </c>
      <c r="P138" s="9">
        <f>IF($K138="","",IFERROR(INDEX('ערכים טכנולוגיים'!$K$2:$K$500,MATCH(A138,'ערכים טכנולוגיים'!$A$2:$A$500,0)),""))</f>
        <v/>
      </c>
      <c r="Q138" s="9">
        <f>IF($K138="","",IFERROR(INDEX('ערכים טכנולוגיים'!$P$2:$P$500,MATCH(A138,'ערכים טכנולוגיים'!$A$2:$A$500,0)),""))</f>
        <v/>
      </c>
    </row>
    <row r="139">
      <c r="A139" s="8">
        <f>IF($K139="","",INDEX(מלאי!$D$2:$D$500,$K139))</f>
        <v/>
      </c>
      <c r="B139" s="8">
        <f>IF($K139="","",INDEX(מלאי!$B$2:$B$500,$K139))</f>
        <v/>
      </c>
      <c r="C139" s="8">
        <f>IF($K139="","",INDEX(מלאי!$C$2:$C$500,$K139))</f>
        <v/>
      </c>
      <c r="D139" s="8">
        <f>IF($K139="","",INDEX(מלאי!$G$2:$G$500,$K139))</f>
        <v/>
      </c>
      <c r="E139" s="8">
        <f>IF($K139="","",INDEX(מלאי!$M$2:$M$500,$K139))</f>
        <v/>
      </c>
      <c r="F139" s="8">
        <f>IF($K139="","",INDEX(מלאי!$N$2:$N$500,$K139))</f>
        <v/>
      </c>
      <c r="G139" s="8">
        <f>IF($K139="","",INDEX(מלאי!$O$2:$O$500,$K139))</f>
        <v/>
      </c>
      <c r="H139" s="8">
        <f>IF($K139="","",INDEX(מלאי!$U$2:$U$500,$K139))</f>
        <v/>
      </c>
      <c r="I139" s="8">
        <f>IF($K139="","",INDEX(מלאי!$X$2:$X$500,$K139))</f>
        <v/>
      </c>
      <c r="J139" s="8">
        <f>IF($K139="","",INDEX(מלאי!$AC$2:$AC$500,$K139))</f>
        <v/>
      </c>
      <c r="K13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טכנולוגיים'!$A$2:$A$500,0))&lt;=$G$6),0))),ROW(מלאי!$A$2:$A$500)-ROW(מלאי!$A$2)+1,""),117),"")</f>
        <v/>
      </c>
      <c r="L139" s="8">
        <f>IF($K139="","",IFERROR(INDEX('ערכים טכנולוגיים'!$M$2:$M$500,MATCH(A139,'ערכים טכנולוגיים'!$A$2:$A$500,0)),""))</f>
        <v/>
      </c>
      <c r="M139" s="8">
        <f>IF($K139="","",IFERROR(INDEX('ערכים טכנולוגיים'!$F$2:$F$500,MATCH(A139,'ערכים טכנולוגיים'!$A$2:$A$500,0)),""))</f>
        <v/>
      </c>
      <c r="N139" s="8">
        <f>IF($K139="","",IFERROR(INDEX('ערכים טכנולוגיים'!$J$2:$J$500,MATCH(A139,'ערכים טכנולוגיים'!$A$2:$A$500,0)),""))</f>
        <v/>
      </c>
      <c r="O139" s="8">
        <f>IF($K139="","",IFERROR(INDEX('ערכים טכנולוגיים'!$G$2:$G$500,MATCH(A139,'ערכים טכנולוגיים'!$A$2:$A$500,0)),""))</f>
        <v/>
      </c>
      <c r="P139" s="8">
        <f>IF($K139="","",IFERROR(INDEX('ערכים טכנולוגיים'!$K$2:$K$500,MATCH(A139,'ערכים טכנולוגיים'!$A$2:$A$500,0)),""))</f>
        <v/>
      </c>
      <c r="Q139" s="8">
        <f>IF($K139="","",IFERROR(INDEX('ערכים טכנולוגיים'!$P$2:$P$500,MATCH(A139,'ערכים טכנולוגיים'!$A$2:$A$500,0)),""))</f>
        <v/>
      </c>
    </row>
    <row r="140">
      <c r="A140" s="9">
        <f>IF($K140="","",INDEX(מלאי!$D$2:$D$500,$K140))</f>
        <v/>
      </c>
      <c r="B140" s="9">
        <f>IF($K140="","",INDEX(מלאי!$B$2:$B$500,$K140))</f>
        <v/>
      </c>
      <c r="C140" s="9">
        <f>IF($K140="","",INDEX(מלאי!$C$2:$C$500,$K140))</f>
        <v/>
      </c>
      <c r="D140" s="9">
        <f>IF($K140="","",INDEX(מלאי!$G$2:$G$500,$K140))</f>
        <v/>
      </c>
      <c r="E140" s="9">
        <f>IF($K140="","",INDEX(מלאי!$M$2:$M$500,$K140))</f>
        <v/>
      </c>
      <c r="F140" s="9">
        <f>IF($K140="","",INDEX(מלאי!$N$2:$N$500,$K140))</f>
        <v/>
      </c>
      <c r="G140" s="9">
        <f>IF($K140="","",INDEX(מלאי!$O$2:$O$500,$K140))</f>
        <v/>
      </c>
      <c r="H140" s="9">
        <f>IF($K140="","",INDEX(מלאי!$U$2:$U$500,$K140))</f>
        <v/>
      </c>
      <c r="I140" s="9">
        <f>IF($K140="","",INDEX(מלאי!$X$2:$X$500,$K140))</f>
        <v/>
      </c>
      <c r="J140" s="9">
        <f>IF($K140="","",INDEX(מלאי!$AC$2:$AC$500,$K140))</f>
        <v/>
      </c>
      <c r="K14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טכנולוגיים'!$A$2:$A$500,0))&lt;=$G$6),0))),ROW(מלאי!$A$2:$A$500)-ROW(מלאי!$A$2)+1,""),118),"")</f>
        <v/>
      </c>
      <c r="L140" s="9">
        <f>IF($K140="","",IFERROR(INDEX('ערכים טכנולוגיים'!$M$2:$M$500,MATCH(A140,'ערכים טכנולוגיים'!$A$2:$A$500,0)),""))</f>
        <v/>
      </c>
      <c r="M140" s="9">
        <f>IF($K140="","",IFERROR(INDEX('ערכים טכנולוגיים'!$F$2:$F$500,MATCH(A140,'ערכים טכנולוגיים'!$A$2:$A$500,0)),""))</f>
        <v/>
      </c>
      <c r="N140" s="9">
        <f>IF($K140="","",IFERROR(INDEX('ערכים טכנולוגיים'!$J$2:$J$500,MATCH(A140,'ערכים טכנולוגיים'!$A$2:$A$500,0)),""))</f>
        <v/>
      </c>
      <c r="O140" s="9">
        <f>IF($K140="","",IFERROR(INDEX('ערכים טכנולוגיים'!$G$2:$G$500,MATCH(A140,'ערכים טכנולוגיים'!$A$2:$A$500,0)),""))</f>
        <v/>
      </c>
      <c r="P140" s="9">
        <f>IF($K140="","",IFERROR(INDEX('ערכים טכנולוגיים'!$K$2:$K$500,MATCH(A140,'ערכים טכנולוגיים'!$A$2:$A$500,0)),""))</f>
        <v/>
      </c>
      <c r="Q140" s="9">
        <f>IF($K140="","",IFERROR(INDEX('ערכים טכנולוגיים'!$P$2:$P$500,MATCH(A140,'ערכים טכנולוגיים'!$A$2:$A$500,0)),""))</f>
        <v/>
      </c>
    </row>
    <row r="141">
      <c r="A141" s="8">
        <f>IF($K141="","",INDEX(מלאי!$D$2:$D$500,$K141))</f>
        <v/>
      </c>
      <c r="B141" s="8">
        <f>IF($K141="","",INDEX(מלאי!$B$2:$B$500,$K141))</f>
        <v/>
      </c>
      <c r="C141" s="8">
        <f>IF($K141="","",INDEX(מלאי!$C$2:$C$500,$K141))</f>
        <v/>
      </c>
      <c r="D141" s="8">
        <f>IF($K141="","",INDEX(מלאי!$G$2:$G$500,$K141))</f>
        <v/>
      </c>
      <c r="E141" s="8">
        <f>IF($K141="","",INDEX(מלאי!$M$2:$M$500,$K141))</f>
        <v/>
      </c>
      <c r="F141" s="8">
        <f>IF($K141="","",INDEX(מלאי!$N$2:$N$500,$K141))</f>
        <v/>
      </c>
      <c r="G141" s="8">
        <f>IF($K141="","",INDEX(מלאי!$O$2:$O$500,$K141))</f>
        <v/>
      </c>
      <c r="H141" s="8">
        <f>IF($K141="","",INDEX(מלאי!$U$2:$U$500,$K141))</f>
        <v/>
      </c>
      <c r="I141" s="8">
        <f>IF($K141="","",INDEX(מלאי!$X$2:$X$500,$K141))</f>
        <v/>
      </c>
      <c r="J141" s="8">
        <f>IF($K141="","",INDEX(מלאי!$AC$2:$AC$500,$K141))</f>
        <v/>
      </c>
      <c r="K14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טכנולוגיים'!$A$2:$A$500,0))&lt;=$G$6),0))),ROW(מלאי!$A$2:$A$500)-ROW(מלאי!$A$2)+1,""),119),"")</f>
        <v/>
      </c>
      <c r="L141" s="8">
        <f>IF($K141="","",IFERROR(INDEX('ערכים טכנולוגיים'!$M$2:$M$500,MATCH(A141,'ערכים טכנולוגיים'!$A$2:$A$500,0)),""))</f>
        <v/>
      </c>
      <c r="M141" s="8">
        <f>IF($K141="","",IFERROR(INDEX('ערכים טכנולוגיים'!$F$2:$F$500,MATCH(A141,'ערכים טכנולוגיים'!$A$2:$A$500,0)),""))</f>
        <v/>
      </c>
      <c r="N141" s="8">
        <f>IF($K141="","",IFERROR(INDEX('ערכים טכנולוגיים'!$J$2:$J$500,MATCH(A141,'ערכים טכנולוגיים'!$A$2:$A$500,0)),""))</f>
        <v/>
      </c>
      <c r="O141" s="8">
        <f>IF($K141="","",IFERROR(INDEX('ערכים טכנולוגיים'!$G$2:$G$500,MATCH(A141,'ערכים טכנולוגיים'!$A$2:$A$500,0)),""))</f>
        <v/>
      </c>
      <c r="P141" s="8">
        <f>IF($K141="","",IFERROR(INDEX('ערכים טכנולוגיים'!$K$2:$K$500,MATCH(A141,'ערכים טכנולוגיים'!$A$2:$A$500,0)),""))</f>
        <v/>
      </c>
      <c r="Q141" s="8">
        <f>IF($K141="","",IFERROR(INDEX('ערכים טכנולוגיים'!$P$2:$P$500,MATCH(A141,'ערכים טכנולוגיים'!$A$2:$A$500,0)),""))</f>
        <v/>
      </c>
    </row>
    <row r="142">
      <c r="A142" s="9">
        <f>IF($K142="","",INDEX(מלאי!$D$2:$D$500,$K142))</f>
        <v/>
      </c>
      <c r="B142" s="9">
        <f>IF($K142="","",INDEX(מלאי!$B$2:$B$500,$K142))</f>
        <v/>
      </c>
      <c r="C142" s="9">
        <f>IF($K142="","",INDEX(מלאי!$C$2:$C$500,$K142))</f>
        <v/>
      </c>
      <c r="D142" s="9">
        <f>IF($K142="","",INDEX(מלאי!$G$2:$G$500,$K142))</f>
        <v/>
      </c>
      <c r="E142" s="9">
        <f>IF($K142="","",INDEX(מלאי!$M$2:$M$500,$K142))</f>
        <v/>
      </c>
      <c r="F142" s="9">
        <f>IF($K142="","",INDEX(מלאי!$N$2:$N$500,$K142))</f>
        <v/>
      </c>
      <c r="G142" s="9">
        <f>IF($K142="","",INDEX(מלאי!$O$2:$O$500,$K142))</f>
        <v/>
      </c>
      <c r="H142" s="9">
        <f>IF($K142="","",INDEX(מלאי!$U$2:$U$500,$K142))</f>
        <v/>
      </c>
      <c r="I142" s="9">
        <f>IF($K142="","",INDEX(מלאי!$X$2:$X$500,$K142))</f>
        <v/>
      </c>
      <c r="J142" s="9">
        <f>IF($K142="","",INDEX(מלאי!$AC$2:$AC$500,$K142))</f>
        <v/>
      </c>
      <c r="K14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טכנולוגיים'!$A$2:$A$500,0))&lt;=$G$6),0))),ROW(מלאי!$A$2:$A$500)-ROW(מלאי!$A$2)+1,""),120),"")</f>
        <v/>
      </c>
      <c r="L142" s="9">
        <f>IF($K142="","",IFERROR(INDEX('ערכים טכנולוגיים'!$M$2:$M$500,MATCH(A142,'ערכים טכנולוגיים'!$A$2:$A$500,0)),""))</f>
        <v/>
      </c>
      <c r="M142" s="9">
        <f>IF($K142="","",IFERROR(INDEX('ערכים טכנולוגיים'!$F$2:$F$500,MATCH(A142,'ערכים טכנולוגיים'!$A$2:$A$500,0)),""))</f>
        <v/>
      </c>
      <c r="N142" s="9">
        <f>IF($K142="","",IFERROR(INDEX('ערכים טכנולוגיים'!$J$2:$J$500,MATCH(A142,'ערכים טכנולוגיים'!$A$2:$A$500,0)),""))</f>
        <v/>
      </c>
      <c r="O142" s="9">
        <f>IF($K142="","",IFERROR(INDEX('ערכים טכנולוגיים'!$G$2:$G$500,MATCH(A142,'ערכים טכנולוגיים'!$A$2:$A$500,0)),""))</f>
        <v/>
      </c>
      <c r="P142" s="9">
        <f>IF($K142="","",IFERROR(INDEX('ערכים טכנולוגיים'!$K$2:$K$500,MATCH(A142,'ערכים טכנולוגיים'!$A$2:$A$500,0)),""))</f>
        <v/>
      </c>
      <c r="Q142" s="9">
        <f>IF($K142="","",IFERROR(INDEX('ערכים טכנולוגיים'!$P$2:$P$500,MATCH(A142,'ערכים טכנולוגיים'!$A$2:$A$500,0)),""))</f>
        <v/>
      </c>
    </row>
    <row r="143">
      <c r="A143" s="8">
        <f>IF($K143="","",INDEX(מלאי!$D$2:$D$500,$K143))</f>
        <v/>
      </c>
      <c r="B143" s="8">
        <f>IF($K143="","",INDEX(מלאי!$B$2:$B$500,$K143))</f>
        <v/>
      </c>
      <c r="C143" s="8">
        <f>IF($K143="","",INDEX(מלאי!$C$2:$C$500,$K143))</f>
        <v/>
      </c>
      <c r="D143" s="8">
        <f>IF($K143="","",INDEX(מלאי!$G$2:$G$500,$K143))</f>
        <v/>
      </c>
      <c r="E143" s="8">
        <f>IF($K143="","",INDEX(מלאי!$M$2:$M$500,$K143))</f>
        <v/>
      </c>
      <c r="F143" s="8">
        <f>IF($K143="","",INDEX(מלאי!$N$2:$N$500,$K143))</f>
        <v/>
      </c>
      <c r="G143" s="8">
        <f>IF($K143="","",INDEX(מלאי!$O$2:$O$500,$K143))</f>
        <v/>
      </c>
      <c r="H143" s="8">
        <f>IF($K143="","",INDEX(מלאי!$U$2:$U$500,$K143))</f>
        <v/>
      </c>
      <c r="I143" s="8">
        <f>IF($K143="","",INDEX(מלאי!$X$2:$X$500,$K143))</f>
        <v/>
      </c>
      <c r="J143" s="8">
        <f>IF($K143="","",INDEX(מלאי!$AC$2:$AC$500,$K143))</f>
        <v/>
      </c>
      <c r="K14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טכנולוגיים'!$A$2:$A$500,0))&lt;=$G$6),0))),ROW(מלאי!$A$2:$A$500)-ROW(מלאי!$A$2)+1,""),121),"")</f>
        <v/>
      </c>
      <c r="L143" s="8">
        <f>IF($K143="","",IFERROR(INDEX('ערכים טכנולוגיים'!$M$2:$M$500,MATCH(A143,'ערכים טכנולוגיים'!$A$2:$A$500,0)),""))</f>
        <v/>
      </c>
      <c r="M143" s="8">
        <f>IF($K143="","",IFERROR(INDEX('ערכים טכנולוגיים'!$F$2:$F$500,MATCH(A143,'ערכים טכנולוגיים'!$A$2:$A$500,0)),""))</f>
        <v/>
      </c>
      <c r="N143" s="8">
        <f>IF($K143="","",IFERROR(INDEX('ערכים טכנולוגיים'!$J$2:$J$500,MATCH(A143,'ערכים טכנולוגיים'!$A$2:$A$500,0)),""))</f>
        <v/>
      </c>
      <c r="O143" s="8">
        <f>IF($K143="","",IFERROR(INDEX('ערכים טכנולוגיים'!$G$2:$G$500,MATCH(A143,'ערכים טכנולוגיים'!$A$2:$A$500,0)),""))</f>
        <v/>
      </c>
      <c r="P143" s="8">
        <f>IF($K143="","",IFERROR(INDEX('ערכים טכנולוגיים'!$K$2:$K$500,MATCH(A143,'ערכים טכנולוגיים'!$A$2:$A$500,0)),""))</f>
        <v/>
      </c>
      <c r="Q143" s="8">
        <f>IF($K143="","",IFERROR(INDEX('ערכים טכנולוגיים'!$P$2:$P$500,MATCH(A143,'ערכים טכנולוגיים'!$A$2:$A$500,0)),""))</f>
        <v/>
      </c>
    </row>
    <row r="144">
      <c r="A144" s="9">
        <f>IF($K144="","",INDEX(מלאי!$D$2:$D$500,$K144))</f>
        <v/>
      </c>
      <c r="B144" s="9">
        <f>IF($K144="","",INDEX(מלאי!$B$2:$B$500,$K144))</f>
        <v/>
      </c>
      <c r="C144" s="9">
        <f>IF($K144="","",INDEX(מלאי!$C$2:$C$500,$K144))</f>
        <v/>
      </c>
      <c r="D144" s="9">
        <f>IF($K144="","",INDEX(מלאי!$G$2:$G$500,$K144))</f>
        <v/>
      </c>
      <c r="E144" s="9">
        <f>IF($K144="","",INDEX(מלאי!$M$2:$M$500,$K144))</f>
        <v/>
      </c>
      <c r="F144" s="9">
        <f>IF($K144="","",INDEX(מלאי!$N$2:$N$500,$K144))</f>
        <v/>
      </c>
      <c r="G144" s="9">
        <f>IF($K144="","",INDEX(מלאי!$O$2:$O$500,$K144))</f>
        <v/>
      </c>
      <c r="H144" s="9">
        <f>IF($K144="","",INDEX(מלאי!$U$2:$U$500,$K144))</f>
        <v/>
      </c>
      <c r="I144" s="9">
        <f>IF($K144="","",INDEX(מלאי!$X$2:$X$500,$K144))</f>
        <v/>
      </c>
      <c r="J144" s="9">
        <f>IF($K144="","",INDEX(מלאי!$AC$2:$AC$500,$K144))</f>
        <v/>
      </c>
      <c r="K14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טכנולוגיים'!$A$2:$A$500,0))&lt;=$G$6),0))),ROW(מלאי!$A$2:$A$500)-ROW(מלאי!$A$2)+1,""),122),"")</f>
        <v/>
      </c>
      <c r="L144" s="9">
        <f>IF($K144="","",IFERROR(INDEX('ערכים טכנולוגיים'!$M$2:$M$500,MATCH(A144,'ערכים טכנולוגיים'!$A$2:$A$500,0)),""))</f>
        <v/>
      </c>
      <c r="M144" s="9">
        <f>IF($K144="","",IFERROR(INDEX('ערכים טכנולוגיים'!$F$2:$F$500,MATCH(A144,'ערכים טכנולוגיים'!$A$2:$A$500,0)),""))</f>
        <v/>
      </c>
      <c r="N144" s="9">
        <f>IF($K144="","",IFERROR(INDEX('ערכים טכנולוגיים'!$J$2:$J$500,MATCH(A144,'ערכים טכנולוגיים'!$A$2:$A$500,0)),""))</f>
        <v/>
      </c>
      <c r="O144" s="9">
        <f>IF($K144="","",IFERROR(INDEX('ערכים טכנולוגיים'!$G$2:$G$500,MATCH(A144,'ערכים טכנולוגיים'!$A$2:$A$500,0)),""))</f>
        <v/>
      </c>
      <c r="P144" s="9">
        <f>IF($K144="","",IFERROR(INDEX('ערכים טכנולוגיים'!$K$2:$K$500,MATCH(A144,'ערכים טכנולוגיים'!$A$2:$A$500,0)),""))</f>
        <v/>
      </c>
      <c r="Q144" s="9">
        <f>IF($K144="","",IFERROR(INDEX('ערכים טכנולוגיים'!$P$2:$P$500,MATCH(A144,'ערכים טכנולוגיים'!$A$2:$A$500,0)),""))</f>
        <v/>
      </c>
    </row>
    <row r="145">
      <c r="A145" s="8">
        <f>IF($K145="","",INDEX(מלאי!$D$2:$D$500,$K145))</f>
        <v/>
      </c>
      <c r="B145" s="8">
        <f>IF($K145="","",INDEX(מלאי!$B$2:$B$500,$K145))</f>
        <v/>
      </c>
      <c r="C145" s="8">
        <f>IF($K145="","",INDEX(מלאי!$C$2:$C$500,$K145))</f>
        <v/>
      </c>
      <c r="D145" s="8">
        <f>IF($K145="","",INDEX(מלאי!$G$2:$G$500,$K145))</f>
        <v/>
      </c>
      <c r="E145" s="8">
        <f>IF($K145="","",INDEX(מלאי!$M$2:$M$500,$K145))</f>
        <v/>
      </c>
      <c r="F145" s="8">
        <f>IF($K145="","",INDEX(מלאי!$N$2:$N$500,$K145))</f>
        <v/>
      </c>
      <c r="G145" s="8">
        <f>IF($K145="","",INDEX(מלאי!$O$2:$O$500,$K145))</f>
        <v/>
      </c>
      <c r="H145" s="8">
        <f>IF($K145="","",INDEX(מלאי!$U$2:$U$500,$K145))</f>
        <v/>
      </c>
      <c r="I145" s="8">
        <f>IF($K145="","",INDEX(מלאי!$X$2:$X$500,$K145))</f>
        <v/>
      </c>
      <c r="J145" s="8">
        <f>IF($K145="","",INDEX(מלאי!$AC$2:$AC$500,$K145))</f>
        <v/>
      </c>
      <c r="K14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טכנולוגיים'!$A$2:$A$500,0))&lt;=$G$6),0))),ROW(מלאי!$A$2:$A$500)-ROW(מלאי!$A$2)+1,""),123),"")</f>
        <v/>
      </c>
      <c r="L145" s="8">
        <f>IF($K145="","",IFERROR(INDEX('ערכים טכנולוגיים'!$M$2:$M$500,MATCH(A145,'ערכים טכנולוגיים'!$A$2:$A$500,0)),""))</f>
        <v/>
      </c>
      <c r="M145" s="8">
        <f>IF($K145="","",IFERROR(INDEX('ערכים טכנולוגיים'!$F$2:$F$500,MATCH(A145,'ערכים טכנולוגיים'!$A$2:$A$500,0)),""))</f>
        <v/>
      </c>
      <c r="N145" s="8">
        <f>IF($K145="","",IFERROR(INDEX('ערכים טכנולוגיים'!$J$2:$J$500,MATCH(A145,'ערכים טכנולוגיים'!$A$2:$A$500,0)),""))</f>
        <v/>
      </c>
      <c r="O145" s="8">
        <f>IF($K145="","",IFERROR(INDEX('ערכים טכנולוגיים'!$G$2:$G$500,MATCH(A145,'ערכים טכנולוגיים'!$A$2:$A$500,0)),""))</f>
        <v/>
      </c>
      <c r="P145" s="8">
        <f>IF($K145="","",IFERROR(INDEX('ערכים טכנולוגיים'!$K$2:$K$500,MATCH(A145,'ערכים טכנולוגיים'!$A$2:$A$500,0)),""))</f>
        <v/>
      </c>
      <c r="Q145" s="8">
        <f>IF($K145="","",IFERROR(INDEX('ערכים טכנולוגיים'!$P$2:$P$500,MATCH(A145,'ערכים טכנולוגיים'!$A$2:$A$500,0)),""))</f>
        <v/>
      </c>
    </row>
    <row r="146">
      <c r="A146" s="9">
        <f>IF($K146="","",INDEX(מלאי!$D$2:$D$500,$K146))</f>
        <v/>
      </c>
      <c r="B146" s="9">
        <f>IF($K146="","",INDEX(מלאי!$B$2:$B$500,$K146))</f>
        <v/>
      </c>
      <c r="C146" s="9">
        <f>IF($K146="","",INDEX(מלאי!$C$2:$C$500,$K146))</f>
        <v/>
      </c>
      <c r="D146" s="9">
        <f>IF($K146="","",INDEX(מלאי!$G$2:$G$500,$K146))</f>
        <v/>
      </c>
      <c r="E146" s="9">
        <f>IF($K146="","",INDEX(מלאי!$M$2:$M$500,$K146))</f>
        <v/>
      </c>
      <c r="F146" s="9">
        <f>IF($K146="","",INDEX(מלאי!$N$2:$N$500,$K146))</f>
        <v/>
      </c>
      <c r="G146" s="9">
        <f>IF($K146="","",INDEX(מלאי!$O$2:$O$500,$K146))</f>
        <v/>
      </c>
      <c r="H146" s="9">
        <f>IF($K146="","",INDEX(מלאי!$U$2:$U$500,$K146))</f>
        <v/>
      </c>
      <c r="I146" s="9">
        <f>IF($K146="","",INDEX(מלאי!$X$2:$X$500,$K146))</f>
        <v/>
      </c>
      <c r="J146" s="9">
        <f>IF($K146="","",INDEX(מלאי!$AC$2:$AC$500,$K146))</f>
        <v/>
      </c>
      <c r="K14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טכנולוגיים'!$A$2:$A$500,0))&lt;=$G$6),0))),ROW(מלאי!$A$2:$A$500)-ROW(מלאי!$A$2)+1,""),124),"")</f>
        <v/>
      </c>
      <c r="L146" s="9">
        <f>IF($K146="","",IFERROR(INDEX('ערכים טכנולוגיים'!$M$2:$M$500,MATCH(A146,'ערכים טכנולוגיים'!$A$2:$A$500,0)),""))</f>
        <v/>
      </c>
      <c r="M146" s="9">
        <f>IF($K146="","",IFERROR(INDEX('ערכים טכנולוגיים'!$F$2:$F$500,MATCH(A146,'ערכים טכנולוגיים'!$A$2:$A$500,0)),""))</f>
        <v/>
      </c>
      <c r="N146" s="9">
        <f>IF($K146="","",IFERROR(INDEX('ערכים טכנולוגיים'!$J$2:$J$500,MATCH(A146,'ערכים טכנולוגיים'!$A$2:$A$500,0)),""))</f>
        <v/>
      </c>
      <c r="O146" s="9">
        <f>IF($K146="","",IFERROR(INDEX('ערכים טכנולוגיים'!$G$2:$G$500,MATCH(A146,'ערכים טכנולוגיים'!$A$2:$A$500,0)),""))</f>
        <v/>
      </c>
      <c r="P146" s="9">
        <f>IF($K146="","",IFERROR(INDEX('ערכים טכנולוגיים'!$K$2:$K$500,MATCH(A146,'ערכים טכנולוגיים'!$A$2:$A$500,0)),""))</f>
        <v/>
      </c>
      <c r="Q146" s="9">
        <f>IF($K146="","",IFERROR(INDEX('ערכים טכנולוגיים'!$P$2:$P$500,MATCH(A146,'ערכים טכנולוגיים'!$A$2:$A$500,0)),""))</f>
        <v/>
      </c>
    </row>
    <row r="147">
      <c r="A147" s="8">
        <f>IF($K147="","",INDEX(מלאי!$D$2:$D$500,$K147))</f>
        <v/>
      </c>
      <c r="B147" s="8">
        <f>IF($K147="","",INDEX(מלאי!$B$2:$B$500,$K147))</f>
        <v/>
      </c>
      <c r="C147" s="8">
        <f>IF($K147="","",INDEX(מלאי!$C$2:$C$500,$K147))</f>
        <v/>
      </c>
      <c r="D147" s="8">
        <f>IF($K147="","",INDEX(מלאי!$G$2:$G$500,$K147))</f>
        <v/>
      </c>
      <c r="E147" s="8">
        <f>IF($K147="","",INDEX(מלאי!$M$2:$M$500,$K147))</f>
        <v/>
      </c>
      <c r="F147" s="8">
        <f>IF($K147="","",INDEX(מלאי!$N$2:$N$500,$K147))</f>
        <v/>
      </c>
      <c r="G147" s="8">
        <f>IF($K147="","",INDEX(מלאי!$O$2:$O$500,$K147))</f>
        <v/>
      </c>
      <c r="H147" s="8">
        <f>IF($K147="","",INDEX(מלאי!$U$2:$U$500,$K147))</f>
        <v/>
      </c>
      <c r="I147" s="8">
        <f>IF($K147="","",INDEX(מלאי!$X$2:$X$500,$K147))</f>
        <v/>
      </c>
      <c r="J147" s="8">
        <f>IF($K147="","",INDEX(מלאי!$AC$2:$AC$500,$K147))</f>
        <v/>
      </c>
      <c r="K14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טכנולוגיים'!$A$2:$A$500,0))&lt;=$G$6),0))),ROW(מלאי!$A$2:$A$500)-ROW(מלאי!$A$2)+1,""),125),"")</f>
        <v/>
      </c>
      <c r="L147" s="8">
        <f>IF($K147="","",IFERROR(INDEX('ערכים טכנולוגיים'!$M$2:$M$500,MATCH(A147,'ערכים טכנולוגיים'!$A$2:$A$500,0)),""))</f>
        <v/>
      </c>
      <c r="M147" s="8">
        <f>IF($K147="","",IFERROR(INDEX('ערכים טכנולוגיים'!$F$2:$F$500,MATCH(A147,'ערכים טכנולוגיים'!$A$2:$A$500,0)),""))</f>
        <v/>
      </c>
      <c r="N147" s="8">
        <f>IF($K147="","",IFERROR(INDEX('ערכים טכנולוגיים'!$J$2:$J$500,MATCH(A147,'ערכים טכנולוגיים'!$A$2:$A$500,0)),""))</f>
        <v/>
      </c>
      <c r="O147" s="8">
        <f>IF($K147="","",IFERROR(INDEX('ערכים טכנולוגיים'!$G$2:$G$500,MATCH(A147,'ערכים טכנולוגיים'!$A$2:$A$500,0)),""))</f>
        <v/>
      </c>
      <c r="P147" s="8">
        <f>IF($K147="","",IFERROR(INDEX('ערכים טכנולוגיים'!$K$2:$K$500,MATCH(A147,'ערכים טכנולוגיים'!$A$2:$A$500,0)),""))</f>
        <v/>
      </c>
      <c r="Q147" s="8">
        <f>IF($K147="","",IFERROR(INDEX('ערכים טכנולוגיים'!$P$2:$P$500,MATCH(A147,'ערכים טכנולוגיים'!$A$2:$A$500,0)),""))</f>
        <v/>
      </c>
    </row>
    <row r="148">
      <c r="A148" s="9">
        <f>IF($K148="","",INDEX(מלאי!$D$2:$D$500,$K148))</f>
        <v/>
      </c>
      <c r="B148" s="9">
        <f>IF($K148="","",INDEX(מלאי!$B$2:$B$500,$K148))</f>
        <v/>
      </c>
      <c r="C148" s="9">
        <f>IF($K148="","",INDEX(מלאי!$C$2:$C$500,$K148))</f>
        <v/>
      </c>
      <c r="D148" s="9">
        <f>IF($K148="","",INDEX(מלאי!$G$2:$G$500,$K148))</f>
        <v/>
      </c>
      <c r="E148" s="9">
        <f>IF($K148="","",INDEX(מלאי!$M$2:$M$500,$K148))</f>
        <v/>
      </c>
      <c r="F148" s="9">
        <f>IF($K148="","",INDEX(מלאי!$N$2:$N$500,$K148))</f>
        <v/>
      </c>
      <c r="G148" s="9">
        <f>IF($K148="","",INDEX(מלאי!$O$2:$O$500,$K148))</f>
        <v/>
      </c>
      <c r="H148" s="9">
        <f>IF($K148="","",INDEX(מלאי!$U$2:$U$500,$K148))</f>
        <v/>
      </c>
      <c r="I148" s="9">
        <f>IF($K148="","",INDEX(מלאי!$X$2:$X$500,$K148))</f>
        <v/>
      </c>
      <c r="J148" s="9">
        <f>IF($K148="","",INDEX(מלאי!$AC$2:$AC$500,$K148))</f>
        <v/>
      </c>
      <c r="K14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טכנולוגיים'!$A$2:$A$500,0))&lt;=$G$6),0))),ROW(מלאי!$A$2:$A$500)-ROW(מלאי!$A$2)+1,""),126),"")</f>
        <v/>
      </c>
      <c r="L148" s="9">
        <f>IF($K148="","",IFERROR(INDEX('ערכים טכנולוגיים'!$M$2:$M$500,MATCH(A148,'ערכים טכנולוגיים'!$A$2:$A$500,0)),""))</f>
        <v/>
      </c>
      <c r="M148" s="9">
        <f>IF($K148="","",IFERROR(INDEX('ערכים טכנולוגיים'!$F$2:$F$500,MATCH(A148,'ערכים טכנולוגיים'!$A$2:$A$500,0)),""))</f>
        <v/>
      </c>
      <c r="N148" s="9">
        <f>IF($K148="","",IFERROR(INDEX('ערכים טכנולוגיים'!$J$2:$J$500,MATCH(A148,'ערכים טכנולוגיים'!$A$2:$A$500,0)),""))</f>
        <v/>
      </c>
      <c r="O148" s="9">
        <f>IF($K148="","",IFERROR(INDEX('ערכים טכנולוגיים'!$G$2:$G$500,MATCH(A148,'ערכים טכנולוגיים'!$A$2:$A$500,0)),""))</f>
        <v/>
      </c>
      <c r="P148" s="9">
        <f>IF($K148="","",IFERROR(INDEX('ערכים טכנולוגיים'!$K$2:$K$500,MATCH(A148,'ערכים טכנולוגיים'!$A$2:$A$500,0)),""))</f>
        <v/>
      </c>
      <c r="Q148" s="9">
        <f>IF($K148="","",IFERROR(INDEX('ערכים טכנולוגיים'!$P$2:$P$500,MATCH(A148,'ערכים טכנולוגיים'!$A$2:$A$500,0)),""))</f>
        <v/>
      </c>
    </row>
    <row r="149">
      <c r="A149" s="8">
        <f>IF($K149="","",INDEX(מלאי!$D$2:$D$500,$K149))</f>
        <v/>
      </c>
      <c r="B149" s="8">
        <f>IF($K149="","",INDEX(מלאי!$B$2:$B$500,$K149))</f>
        <v/>
      </c>
      <c r="C149" s="8">
        <f>IF($K149="","",INDEX(מלאי!$C$2:$C$500,$K149))</f>
        <v/>
      </c>
      <c r="D149" s="8">
        <f>IF($K149="","",INDEX(מלאי!$G$2:$G$500,$K149))</f>
        <v/>
      </c>
      <c r="E149" s="8">
        <f>IF($K149="","",INDEX(מלאי!$M$2:$M$500,$K149))</f>
        <v/>
      </c>
      <c r="F149" s="8">
        <f>IF($K149="","",INDEX(מלאי!$N$2:$N$500,$K149))</f>
        <v/>
      </c>
      <c r="G149" s="8">
        <f>IF($K149="","",INDEX(מלאי!$O$2:$O$500,$K149))</f>
        <v/>
      </c>
      <c r="H149" s="8">
        <f>IF($K149="","",INDEX(מלאי!$U$2:$U$500,$K149))</f>
        <v/>
      </c>
      <c r="I149" s="8">
        <f>IF($K149="","",INDEX(מלאי!$X$2:$X$500,$K149))</f>
        <v/>
      </c>
      <c r="J149" s="8">
        <f>IF($K149="","",INDEX(מלאי!$AC$2:$AC$500,$K149))</f>
        <v/>
      </c>
      <c r="K14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טכנולוגיים'!$A$2:$A$500,0))&lt;=$G$6),0))),ROW(מלאי!$A$2:$A$500)-ROW(מלאי!$A$2)+1,""),127),"")</f>
        <v/>
      </c>
      <c r="L149" s="8">
        <f>IF($K149="","",IFERROR(INDEX('ערכים טכנולוגיים'!$M$2:$M$500,MATCH(A149,'ערכים טכנולוגיים'!$A$2:$A$500,0)),""))</f>
        <v/>
      </c>
      <c r="M149" s="8">
        <f>IF($K149="","",IFERROR(INDEX('ערכים טכנולוגיים'!$F$2:$F$500,MATCH(A149,'ערכים טכנולוגיים'!$A$2:$A$500,0)),""))</f>
        <v/>
      </c>
      <c r="N149" s="8">
        <f>IF($K149="","",IFERROR(INDEX('ערכים טכנולוגיים'!$J$2:$J$500,MATCH(A149,'ערכים טכנולוגיים'!$A$2:$A$500,0)),""))</f>
        <v/>
      </c>
      <c r="O149" s="8">
        <f>IF($K149="","",IFERROR(INDEX('ערכים טכנולוגיים'!$G$2:$G$500,MATCH(A149,'ערכים טכנולוגיים'!$A$2:$A$500,0)),""))</f>
        <v/>
      </c>
      <c r="P149" s="8">
        <f>IF($K149="","",IFERROR(INDEX('ערכים טכנולוגיים'!$K$2:$K$500,MATCH(A149,'ערכים טכנולוגיים'!$A$2:$A$500,0)),""))</f>
        <v/>
      </c>
      <c r="Q149" s="8">
        <f>IF($K149="","",IFERROR(INDEX('ערכים טכנולוגיים'!$P$2:$P$500,MATCH(A149,'ערכים טכנולוגיים'!$A$2:$A$500,0)),""))</f>
        <v/>
      </c>
    </row>
    <row r="150">
      <c r="A150" s="9">
        <f>IF($K150="","",INDEX(מלאי!$D$2:$D$500,$K150))</f>
        <v/>
      </c>
      <c r="B150" s="9">
        <f>IF($K150="","",INDEX(מלאי!$B$2:$B$500,$K150))</f>
        <v/>
      </c>
      <c r="C150" s="9">
        <f>IF($K150="","",INDEX(מלאי!$C$2:$C$500,$K150))</f>
        <v/>
      </c>
      <c r="D150" s="9">
        <f>IF($K150="","",INDEX(מלאי!$G$2:$G$500,$K150))</f>
        <v/>
      </c>
      <c r="E150" s="9">
        <f>IF($K150="","",INDEX(מלאי!$M$2:$M$500,$K150))</f>
        <v/>
      </c>
      <c r="F150" s="9">
        <f>IF($K150="","",INDEX(מלאי!$N$2:$N$500,$K150))</f>
        <v/>
      </c>
      <c r="G150" s="9">
        <f>IF($K150="","",INDEX(מלאי!$O$2:$O$500,$K150))</f>
        <v/>
      </c>
      <c r="H150" s="9">
        <f>IF($K150="","",INDEX(מלאי!$U$2:$U$500,$K150))</f>
        <v/>
      </c>
      <c r="I150" s="9">
        <f>IF($K150="","",INDEX(מלאי!$X$2:$X$500,$K150))</f>
        <v/>
      </c>
      <c r="J150" s="9">
        <f>IF($K150="","",INDEX(מלאי!$AC$2:$AC$500,$K150))</f>
        <v/>
      </c>
      <c r="K15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טכנולוגיים'!$A$2:$A$500,0))&lt;=$G$6),0))),ROW(מלאי!$A$2:$A$500)-ROW(מלאי!$A$2)+1,""),128),"")</f>
        <v/>
      </c>
      <c r="L150" s="9">
        <f>IF($K150="","",IFERROR(INDEX('ערכים טכנולוגיים'!$M$2:$M$500,MATCH(A150,'ערכים טכנולוגיים'!$A$2:$A$500,0)),""))</f>
        <v/>
      </c>
      <c r="M150" s="9">
        <f>IF($K150="","",IFERROR(INDEX('ערכים טכנולוגיים'!$F$2:$F$500,MATCH(A150,'ערכים טכנולוגיים'!$A$2:$A$500,0)),""))</f>
        <v/>
      </c>
      <c r="N150" s="9">
        <f>IF($K150="","",IFERROR(INDEX('ערכים טכנולוגיים'!$J$2:$J$500,MATCH(A150,'ערכים טכנולוגיים'!$A$2:$A$500,0)),""))</f>
        <v/>
      </c>
      <c r="O150" s="9">
        <f>IF($K150="","",IFERROR(INDEX('ערכים טכנולוגיים'!$G$2:$G$500,MATCH(A150,'ערכים טכנולוגיים'!$A$2:$A$500,0)),""))</f>
        <v/>
      </c>
      <c r="P150" s="9">
        <f>IF($K150="","",IFERROR(INDEX('ערכים טכנולוגיים'!$K$2:$K$500,MATCH(A150,'ערכים טכנולוגיים'!$A$2:$A$500,0)),""))</f>
        <v/>
      </c>
      <c r="Q150" s="9">
        <f>IF($K150="","",IFERROR(INDEX('ערכים טכנולוגיים'!$P$2:$P$500,MATCH(A150,'ערכים טכנולוגיים'!$A$2:$A$500,0)),""))</f>
        <v/>
      </c>
    </row>
    <row r="151">
      <c r="A151" s="8">
        <f>IF($K151="","",INDEX(מלאי!$D$2:$D$500,$K151))</f>
        <v/>
      </c>
      <c r="B151" s="8">
        <f>IF($K151="","",INDEX(מלאי!$B$2:$B$500,$K151))</f>
        <v/>
      </c>
      <c r="C151" s="8">
        <f>IF($K151="","",INDEX(מלאי!$C$2:$C$500,$K151))</f>
        <v/>
      </c>
      <c r="D151" s="8">
        <f>IF($K151="","",INDEX(מלאי!$G$2:$G$500,$K151))</f>
        <v/>
      </c>
      <c r="E151" s="8">
        <f>IF($K151="","",INDEX(מלאי!$M$2:$M$500,$K151))</f>
        <v/>
      </c>
      <c r="F151" s="8">
        <f>IF($K151="","",INDEX(מלאי!$N$2:$N$500,$K151))</f>
        <v/>
      </c>
      <c r="G151" s="8">
        <f>IF($K151="","",INDEX(מלאי!$O$2:$O$500,$K151))</f>
        <v/>
      </c>
      <c r="H151" s="8">
        <f>IF($K151="","",INDEX(מלאי!$U$2:$U$500,$K151))</f>
        <v/>
      </c>
      <c r="I151" s="8">
        <f>IF($K151="","",INDEX(מלאי!$X$2:$X$500,$K151))</f>
        <v/>
      </c>
      <c r="J151" s="8">
        <f>IF($K151="","",INDEX(מלאי!$AC$2:$AC$500,$K151))</f>
        <v/>
      </c>
      <c r="K15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טכנולוגיים'!$A$2:$A$500,0))&lt;=$G$6),0))),ROW(מלאי!$A$2:$A$500)-ROW(מלאי!$A$2)+1,""),129),"")</f>
        <v/>
      </c>
      <c r="L151" s="8">
        <f>IF($K151="","",IFERROR(INDEX('ערכים טכנולוגיים'!$M$2:$M$500,MATCH(A151,'ערכים טכנולוגיים'!$A$2:$A$500,0)),""))</f>
        <v/>
      </c>
      <c r="M151" s="8">
        <f>IF($K151="","",IFERROR(INDEX('ערכים טכנולוגיים'!$F$2:$F$500,MATCH(A151,'ערכים טכנולוגיים'!$A$2:$A$500,0)),""))</f>
        <v/>
      </c>
      <c r="N151" s="8">
        <f>IF($K151="","",IFERROR(INDEX('ערכים טכנולוגיים'!$J$2:$J$500,MATCH(A151,'ערכים טכנולוגיים'!$A$2:$A$500,0)),""))</f>
        <v/>
      </c>
      <c r="O151" s="8">
        <f>IF($K151="","",IFERROR(INDEX('ערכים טכנולוגיים'!$G$2:$G$500,MATCH(A151,'ערכים טכנולוגיים'!$A$2:$A$500,0)),""))</f>
        <v/>
      </c>
      <c r="P151" s="8">
        <f>IF($K151="","",IFERROR(INDEX('ערכים טכנולוגיים'!$K$2:$K$500,MATCH(A151,'ערכים טכנולוגיים'!$A$2:$A$500,0)),""))</f>
        <v/>
      </c>
      <c r="Q151" s="8">
        <f>IF($K151="","",IFERROR(INDEX('ערכים טכנולוגיים'!$P$2:$P$500,MATCH(A151,'ערכים טכנולוגיים'!$A$2:$A$500,0)),""))</f>
        <v/>
      </c>
    </row>
    <row r="152">
      <c r="A152" s="9">
        <f>IF($K152="","",INDEX(מלאי!$D$2:$D$500,$K152))</f>
        <v/>
      </c>
      <c r="B152" s="9">
        <f>IF($K152="","",INDEX(מלאי!$B$2:$B$500,$K152))</f>
        <v/>
      </c>
      <c r="C152" s="9">
        <f>IF($K152="","",INDEX(מלאי!$C$2:$C$500,$K152))</f>
        <v/>
      </c>
      <c r="D152" s="9">
        <f>IF($K152="","",INDEX(מלאי!$G$2:$G$500,$K152))</f>
        <v/>
      </c>
      <c r="E152" s="9">
        <f>IF($K152="","",INDEX(מלאי!$M$2:$M$500,$K152))</f>
        <v/>
      </c>
      <c r="F152" s="9">
        <f>IF($K152="","",INDEX(מלאי!$N$2:$N$500,$K152))</f>
        <v/>
      </c>
      <c r="G152" s="9">
        <f>IF($K152="","",INDEX(מלאי!$O$2:$O$500,$K152))</f>
        <v/>
      </c>
      <c r="H152" s="9">
        <f>IF($K152="","",INDEX(מלאי!$U$2:$U$500,$K152))</f>
        <v/>
      </c>
      <c r="I152" s="9">
        <f>IF($K152="","",INDEX(מלאי!$X$2:$X$500,$K152))</f>
        <v/>
      </c>
      <c r="J152" s="9">
        <f>IF($K152="","",INDEX(מלאי!$AC$2:$AC$500,$K152))</f>
        <v/>
      </c>
      <c r="K15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טכנולוגיים'!$A$2:$A$500,0))&lt;=$G$6),0))),ROW(מלאי!$A$2:$A$500)-ROW(מלאי!$A$2)+1,""),130),"")</f>
        <v/>
      </c>
      <c r="L152" s="9">
        <f>IF($K152="","",IFERROR(INDEX('ערכים טכנולוגיים'!$M$2:$M$500,MATCH(A152,'ערכים טכנולוגיים'!$A$2:$A$500,0)),""))</f>
        <v/>
      </c>
      <c r="M152" s="9">
        <f>IF($K152="","",IFERROR(INDEX('ערכים טכנולוגיים'!$F$2:$F$500,MATCH(A152,'ערכים טכנולוגיים'!$A$2:$A$500,0)),""))</f>
        <v/>
      </c>
      <c r="N152" s="9">
        <f>IF($K152="","",IFERROR(INDEX('ערכים טכנולוגיים'!$J$2:$J$500,MATCH(A152,'ערכים טכנולוגיים'!$A$2:$A$500,0)),""))</f>
        <v/>
      </c>
      <c r="O152" s="9">
        <f>IF($K152="","",IFERROR(INDEX('ערכים טכנולוגיים'!$G$2:$G$500,MATCH(A152,'ערכים טכנולוגיים'!$A$2:$A$500,0)),""))</f>
        <v/>
      </c>
      <c r="P152" s="9">
        <f>IF($K152="","",IFERROR(INDEX('ערכים טכנולוגיים'!$K$2:$K$500,MATCH(A152,'ערכים טכנולוגיים'!$A$2:$A$500,0)),""))</f>
        <v/>
      </c>
      <c r="Q152" s="9">
        <f>IF($K152="","",IFERROR(INDEX('ערכים טכנולוגיים'!$P$2:$P$500,MATCH(A152,'ערכים טכנולוגיים'!$A$2:$A$500,0)),""))</f>
        <v/>
      </c>
    </row>
    <row r="153">
      <c r="A153" s="8">
        <f>IF($K153="","",INDEX(מלאי!$D$2:$D$500,$K153))</f>
        <v/>
      </c>
      <c r="B153" s="8">
        <f>IF($K153="","",INDEX(מלאי!$B$2:$B$500,$K153))</f>
        <v/>
      </c>
      <c r="C153" s="8">
        <f>IF($K153="","",INDEX(מלאי!$C$2:$C$500,$K153))</f>
        <v/>
      </c>
      <c r="D153" s="8">
        <f>IF($K153="","",INDEX(מלאי!$G$2:$G$500,$K153))</f>
        <v/>
      </c>
      <c r="E153" s="8">
        <f>IF($K153="","",INDEX(מלאי!$M$2:$M$500,$K153))</f>
        <v/>
      </c>
      <c r="F153" s="8">
        <f>IF($K153="","",INDEX(מלאי!$N$2:$N$500,$K153))</f>
        <v/>
      </c>
      <c r="G153" s="8">
        <f>IF($K153="","",INDEX(מלאי!$O$2:$O$500,$K153))</f>
        <v/>
      </c>
      <c r="H153" s="8">
        <f>IF($K153="","",INDEX(מלאי!$U$2:$U$500,$K153))</f>
        <v/>
      </c>
      <c r="I153" s="8">
        <f>IF($K153="","",INDEX(מלאי!$X$2:$X$500,$K153))</f>
        <v/>
      </c>
      <c r="J153" s="8">
        <f>IF($K153="","",INDEX(מלאי!$AC$2:$AC$500,$K153))</f>
        <v/>
      </c>
      <c r="K15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טכנולוגיים'!$A$2:$A$500,0))&lt;=$G$6),0))),ROW(מלאי!$A$2:$A$500)-ROW(מלאי!$A$2)+1,""),131),"")</f>
        <v/>
      </c>
      <c r="L153" s="8">
        <f>IF($K153="","",IFERROR(INDEX('ערכים טכנולוגיים'!$M$2:$M$500,MATCH(A153,'ערכים טכנולוגיים'!$A$2:$A$500,0)),""))</f>
        <v/>
      </c>
      <c r="M153" s="8">
        <f>IF($K153="","",IFERROR(INDEX('ערכים טכנולוגיים'!$F$2:$F$500,MATCH(A153,'ערכים טכנולוגיים'!$A$2:$A$500,0)),""))</f>
        <v/>
      </c>
      <c r="N153" s="8">
        <f>IF($K153="","",IFERROR(INDEX('ערכים טכנולוגיים'!$J$2:$J$500,MATCH(A153,'ערכים טכנולוגיים'!$A$2:$A$500,0)),""))</f>
        <v/>
      </c>
      <c r="O153" s="8">
        <f>IF($K153="","",IFERROR(INDEX('ערכים טכנולוגיים'!$G$2:$G$500,MATCH(A153,'ערכים טכנולוגיים'!$A$2:$A$500,0)),""))</f>
        <v/>
      </c>
      <c r="P153" s="8">
        <f>IF($K153="","",IFERROR(INDEX('ערכים טכנולוגיים'!$K$2:$K$500,MATCH(A153,'ערכים טכנולוגיים'!$A$2:$A$500,0)),""))</f>
        <v/>
      </c>
      <c r="Q153" s="8">
        <f>IF($K153="","",IFERROR(INDEX('ערכים טכנולוגיים'!$P$2:$P$500,MATCH(A153,'ערכים טכנולוגיים'!$A$2:$A$500,0)),""))</f>
        <v/>
      </c>
    </row>
    <row r="154">
      <c r="A154" s="9">
        <f>IF($K154="","",INDEX(מלאי!$D$2:$D$500,$K154))</f>
        <v/>
      </c>
      <c r="B154" s="9">
        <f>IF($K154="","",INDEX(מלאי!$B$2:$B$500,$K154))</f>
        <v/>
      </c>
      <c r="C154" s="9">
        <f>IF($K154="","",INDEX(מלאי!$C$2:$C$500,$K154))</f>
        <v/>
      </c>
      <c r="D154" s="9">
        <f>IF($K154="","",INDEX(מלאי!$G$2:$G$500,$K154))</f>
        <v/>
      </c>
      <c r="E154" s="9">
        <f>IF($K154="","",INDEX(מלאי!$M$2:$M$500,$K154))</f>
        <v/>
      </c>
      <c r="F154" s="9">
        <f>IF($K154="","",INDEX(מלאי!$N$2:$N$500,$K154))</f>
        <v/>
      </c>
      <c r="G154" s="9">
        <f>IF($K154="","",INDEX(מלאי!$O$2:$O$500,$K154))</f>
        <v/>
      </c>
      <c r="H154" s="9">
        <f>IF($K154="","",INDEX(מלאי!$U$2:$U$500,$K154))</f>
        <v/>
      </c>
      <c r="I154" s="9">
        <f>IF($K154="","",INDEX(מלאי!$X$2:$X$500,$K154))</f>
        <v/>
      </c>
      <c r="J154" s="9">
        <f>IF($K154="","",INDEX(מלאי!$AC$2:$AC$500,$K154))</f>
        <v/>
      </c>
      <c r="K15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טכנולוגיים'!$A$2:$A$500,0))&lt;=$G$6),0))),ROW(מלאי!$A$2:$A$500)-ROW(מלאי!$A$2)+1,""),132),"")</f>
        <v/>
      </c>
      <c r="L154" s="9">
        <f>IF($K154="","",IFERROR(INDEX('ערכים טכנולוגיים'!$M$2:$M$500,MATCH(A154,'ערכים טכנולוגיים'!$A$2:$A$500,0)),""))</f>
        <v/>
      </c>
      <c r="M154" s="9">
        <f>IF($K154="","",IFERROR(INDEX('ערכים טכנולוגיים'!$F$2:$F$500,MATCH(A154,'ערכים טכנולוגיים'!$A$2:$A$500,0)),""))</f>
        <v/>
      </c>
      <c r="N154" s="9">
        <f>IF($K154="","",IFERROR(INDEX('ערכים טכנולוגיים'!$J$2:$J$500,MATCH(A154,'ערכים טכנולוגיים'!$A$2:$A$500,0)),""))</f>
        <v/>
      </c>
      <c r="O154" s="9">
        <f>IF($K154="","",IFERROR(INDEX('ערכים טכנולוגיים'!$G$2:$G$500,MATCH(A154,'ערכים טכנולוגיים'!$A$2:$A$500,0)),""))</f>
        <v/>
      </c>
      <c r="P154" s="9">
        <f>IF($K154="","",IFERROR(INDEX('ערכים טכנולוגיים'!$K$2:$K$500,MATCH(A154,'ערכים טכנולוגיים'!$A$2:$A$500,0)),""))</f>
        <v/>
      </c>
      <c r="Q154" s="9">
        <f>IF($K154="","",IFERROR(INDEX('ערכים טכנולוגיים'!$P$2:$P$500,MATCH(A154,'ערכים טכנולוגיים'!$A$2:$A$500,0)),""))</f>
        <v/>
      </c>
    </row>
    <row r="155">
      <c r="A155" s="8">
        <f>IF($K155="","",INDEX(מלאי!$D$2:$D$500,$K155))</f>
        <v/>
      </c>
      <c r="B155" s="8">
        <f>IF($K155="","",INDEX(מלאי!$B$2:$B$500,$K155))</f>
        <v/>
      </c>
      <c r="C155" s="8">
        <f>IF($K155="","",INDEX(מלאי!$C$2:$C$500,$K155))</f>
        <v/>
      </c>
      <c r="D155" s="8">
        <f>IF($K155="","",INDEX(מלאי!$G$2:$G$500,$K155))</f>
        <v/>
      </c>
      <c r="E155" s="8">
        <f>IF($K155="","",INDEX(מלאי!$M$2:$M$500,$K155))</f>
        <v/>
      </c>
      <c r="F155" s="8">
        <f>IF($K155="","",INDEX(מלאי!$N$2:$N$500,$K155))</f>
        <v/>
      </c>
      <c r="G155" s="8">
        <f>IF($K155="","",INDEX(מלאי!$O$2:$O$500,$K155))</f>
        <v/>
      </c>
      <c r="H155" s="8">
        <f>IF($K155="","",INDEX(מלאי!$U$2:$U$500,$K155))</f>
        <v/>
      </c>
      <c r="I155" s="8">
        <f>IF($K155="","",INDEX(מלאי!$X$2:$X$500,$K155))</f>
        <v/>
      </c>
      <c r="J155" s="8">
        <f>IF($K155="","",INDEX(מלאי!$AC$2:$AC$500,$K155))</f>
        <v/>
      </c>
      <c r="K15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טכנולוגיים'!$A$2:$A$500,0))&lt;=$G$6),0))),ROW(מלאי!$A$2:$A$500)-ROW(מלאי!$A$2)+1,""),133),"")</f>
        <v/>
      </c>
      <c r="L155" s="8">
        <f>IF($K155="","",IFERROR(INDEX('ערכים טכנולוגיים'!$M$2:$M$500,MATCH(A155,'ערכים טכנולוגיים'!$A$2:$A$500,0)),""))</f>
        <v/>
      </c>
      <c r="M155" s="8">
        <f>IF($K155="","",IFERROR(INDEX('ערכים טכנולוגיים'!$F$2:$F$500,MATCH(A155,'ערכים טכנולוגיים'!$A$2:$A$500,0)),""))</f>
        <v/>
      </c>
      <c r="N155" s="8">
        <f>IF($K155="","",IFERROR(INDEX('ערכים טכנולוגיים'!$J$2:$J$500,MATCH(A155,'ערכים טכנולוגיים'!$A$2:$A$500,0)),""))</f>
        <v/>
      </c>
      <c r="O155" s="8">
        <f>IF($K155="","",IFERROR(INDEX('ערכים טכנולוגיים'!$G$2:$G$500,MATCH(A155,'ערכים טכנולוגיים'!$A$2:$A$500,0)),""))</f>
        <v/>
      </c>
      <c r="P155" s="8">
        <f>IF($K155="","",IFERROR(INDEX('ערכים טכנולוגיים'!$K$2:$K$500,MATCH(A155,'ערכים טכנולוגיים'!$A$2:$A$500,0)),""))</f>
        <v/>
      </c>
      <c r="Q155" s="8">
        <f>IF($K155="","",IFERROR(INDEX('ערכים טכנולוגיים'!$P$2:$P$500,MATCH(A155,'ערכים טכנולוגיים'!$A$2:$A$500,0)),""))</f>
        <v/>
      </c>
    </row>
    <row r="156">
      <c r="A156" s="9">
        <f>IF($K156="","",INDEX(מלאי!$D$2:$D$500,$K156))</f>
        <v/>
      </c>
      <c r="B156" s="9">
        <f>IF($K156="","",INDEX(מלאי!$B$2:$B$500,$K156))</f>
        <v/>
      </c>
      <c r="C156" s="9">
        <f>IF($K156="","",INDEX(מלאי!$C$2:$C$500,$K156))</f>
        <v/>
      </c>
      <c r="D156" s="9">
        <f>IF($K156="","",INDEX(מלאי!$G$2:$G$500,$K156))</f>
        <v/>
      </c>
      <c r="E156" s="9">
        <f>IF($K156="","",INDEX(מלאי!$M$2:$M$500,$K156))</f>
        <v/>
      </c>
      <c r="F156" s="9">
        <f>IF($K156="","",INDEX(מלאי!$N$2:$N$500,$K156))</f>
        <v/>
      </c>
      <c r="G156" s="9">
        <f>IF($K156="","",INDEX(מלאי!$O$2:$O$500,$K156))</f>
        <v/>
      </c>
      <c r="H156" s="9">
        <f>IF($K156="","",INDEX(מלאי!$U$2:$U$500,$K156))</f>
        <v/>
      </c>
      <c r="I156" s="9">
        <f>IF($K156="","",INDEX(מלאי!$X$2:$X$500,$K156))</f>
        <v/>
      </c>
      <c r="J156" s="9">
        <f>IF($K156="","",INDEX(מלאי!$AC$2:$AC$500,$K156))</f>
        <v/>
      </c>
      <c r="K15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טכנולוגיים'!$A$2:$A$500,0))&lt;=$G$6),0))),ROW(מלאי!$A$2:$A$500)-ROW(מלאי!$A$2)+1,""),134),"")</f>
        <v/>
      </c>
      <c r="L156" s="9">
        <f>IF($K156="","",IFERROR(INDEX('ערכים טכנולוגיים'!$M$2:$M$500,MATCH(A156,'ערכים טכנולוגיים'!$A$2:$A$500,0)),""))</f>
        <v/>
      </c>
      <c r="M156" s="9">
        <f>IF($K156="","",IFERROR(INDEX('ערכים טכנולוגיים'!$F$2:$F$500,MATCH(A156,'ערכים טכנולוגיים'!$A$2:$A$500,0)),""))</f>
        <v/>
      </c>
      <c r="N156" s="9">
        <f>IF($K156="","",IFERROR(INDEX('ערכים טכנולוגיים'!$J$2:$J$500,MATCH(A156,'ערכים טכנולוגיים'!$A$2:$A$500,0)),""))</f>
        <v/>
      </c>
      <c r="O156" s="9">
        <f>IF($K156="","",IFERROR(INDEX('ערכים טכנולוגיים'!$G$2:$G$500,MATCH(A156,'ערכים טכנולוגיים'!$A$2:$A$500,0)),""))</f>
        <v/>
      </c>
      <c r="P156" s="9">
        <f>IF($K156="","",IFERROR(INDEX('ערכים טכנולוגיים'!$K$2:$K$500,MATCH(A156,'ערכים טכנולוגיים'!$A$2:$A$500,0)),""))</f>
        <v/>
      </c>
      <c r="Q156" s="9">
        <f>IF($K156="","",IFERROR(INDEX('ערכים טכנולוגיים'!$P$2:$P$500,MATCH(A156,'ערכים טכנולוגיים'!$A$2:$A$500,0)),""))</f>
        <v/>
      </c>
    </row>
    <row r="157">
      <c r="A157" s="8">
        <f>IF($K157="","",INDEX(מלאי!$D$2:$D$500,$K157))</f>
        <v/>
      </c>
      <c r="B157" s="8">
        <f>IF($K157="","",INDEX(מלאי!$B$2:$B$500,$K157))</f>
        <v/>
      </c>
      <c r="C157" s="8">
        <f>IF($K157="","",INDEX(מלאי!$C$2:$C$500,$K157))</f>
        <v/>
      </c>
      <c r="D157" s="8">
        <f>IF($K157="","",INDEX(מלאי!$G$2:$G$500,$K157))</f>
        <v/>
      </c>
      <c r="E157" s="8">
        <f>IF($K157="","",INDEX(מלאי!$M$2:$M$500,$K157))</f>
        <v/>
      </c>
      <c r="F157" s="8">
        <f>IF($K157="","",INDEX(מלאי!$N$2:$N$500,$K157))</f>
        <v/>
      </c>
      <c r="G157" s="8">
        <f>IF($K157="","",INDEX(מלאי!$O$2:$O$500,$K157))</f>
        <v/>
      </c>
      <c r="H157" s="8">
        <f>IF($K157="","",INDEX(מלאי!$U$2:$U$500,$K157))</f>
        <v/>
      </c>
      <c r="I157" s="8">
        <f>IF($K157="","",INDEX(מלאי!$X$2:$X$500,$K157))</f>
        <v/>
      </c>
      <c r="J157" s="8">
        <f>IF($K157="","",INDEX(מלאי!$AC$2:$AC$500,$K157))</f>
        <v/>
      </c>
      <c r="K15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טכנולוגיים'!$A$2:$A$500,0))&lt;=$G$6),0))),ROW(מלאי!$A$2:$A$500)-ROW(מלאי!$A$2)+1,""),135),"")</f>
        <v/>
      </c>
      <c r="L157" s="8">
        <f>IF($K157="","",IFERROR(INDEX('ערכים טכנולוגיים'!$M$2:$M$500,MATCH(A157,'ערכים טכנולוגיים'!$A$2:$A$500,0)),""))</f>
        <v/>
      </c>
      <c r="M157" s="8">
        <f>IF($K157="","",IFERROR(INDEX('ערכים טכנולוגיים'!$F$2:$F$500,MATCH(A157,'ערכים טכנולוגיים'!$A$2:$A$500,0)),""))</f>
        <v/>
      </c>
      <c r="N157" s="8">
        <f>IF($K157="","",IFERROR(INDEX('ערכים טכנולוגיים'!$J$2:$J$500,MATCH(A157,'ערכים טכנולוגיים'!$A$2:$A$500,0)),""))</f>
        <v/>
      </c>
      <c r="O157" s="8">
        <f>IF($K157="","",IFERROR(INDEX('ערכים טכנולוגיים'!$G$2:$G$500,MATCH(A157,'ערכים טכנולוגיים'!$A$2:$A$500,0)),""))</f>
        <v/>
      </c>
      <c r="P157" s="8">
        <f>IF($K157="","",IFERROR(INDEX('ערכים טכנולוגיים'!$K$2:$K$500,MATCH(A157,'ערכים טכנולוגיים'!$A$2:$A$500,0)),""))</f>
        <v/>
      </c>
      <c r="Q157" s="8">
        <f>IF($K157="","",IFERROR(INDEX('ערכים טכנולוגיים'!$P$2:$P$500,MATCH(A157,'ערכים טכנולוגיים'!$A$2:$A$500,0)),""))</f>
        <v/>
      </c>
    </row>
    <row r="158">
      <c r="A158" s="9">
        <f>IF($K158="","",INDEX(מלאי!$D$2:$D$500,$K158))</f>
        <v/>
      </c>
      <c r="B158" s="9">
        <f>IF($K158="","",INDEX(מלאי!$B$2:$B$500,$K158))</f>
        <v/>
      </c>
      <c r="C158" s="9">
        <f>IF($K158="","",INDEX(מלאי!$C$2:$C$500,$K158))</f>
        <v/>
      </c>
      <c r="D158" s="9">
        <f>IF($K158="","",INDEX(מלאי!$G$2:$G$500,$K158))</f>
        <v/>
      </c>
      <c r="E158" s="9">
        <f>IF($K158="","",INDEX(מלאי!$M$2:$M$500,$K158))</f>
        <v/>
      </c>
      <c r="F158" s="9">
        <f>IF($K158="","",INDEX(מלאי!$N$2:$N$500,$K158))</f>
        <v/>
      </c>
      <c r="G158" s="9">
        <f>IF($K158="","",INDEX(מלאי!$O$2:$O$500,$K158))</f>
        <v/>
      </c>
      <c r="H158" s="9">
        <f>IF($K158="","",INDEX(מלאי!$U$2:$U$500,$K158))</f>
        <v/>
      </c>
      <c r="I158" s="9">
        <f>IF($K158="","",INDEX(מלאי!$X$2:$X$500,$K158))</f>
        <v/>
      </c>
      <c r="J158" s="9">
        <f>IF($K158="","",INDEX(מלאי!$AC$2:$AC$500,$K158))</f>
        <v/>
      </c>
      <c r="K15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טכנולוגיים'!$A$2:$A$500,0))&lt;=$G$6),0))),ROW(מלאי!$A$2:$A$500)-ROW(מלאי!$A$2)+1,""),136),"")</f>
        <v/>
      </c>
      <c r="L158" s="9">
        <f>IF($K158="","",IFERROR(INDEX('ערכים טכנולוגיים'!$M$2:$M$500,MATCH(A158,'ערכים טכנולוגיים'!$A$2:$A$500,0)),""))</f>
        <v/>
      </c>
      <c r="M158" s="9">
        <f>IF($K158="","",IFERROR(INDEX('ערכים טכנולוגיים'!$F$2:$F$500,MATCH(A158,'ערכים טכנולוגיים'!$A$2:$A$500,0)),""))</f>
        <v/>
      </c>
      <c r="N158" s="9">
        <f>IF($K158="","",IFERROR(INDEX('ערכים טכנולוגיים'!$J$2:$J$500,MATCH(A158,'ערכים טכנולוגיים'!$A$2:$A$500,0)),""))</f>
        <v/>
      </c>
      <c r="O158" s="9">
        <f>IF($K158="","",IFERROR(INDEX('ערכים טכנולוגיים'!$G$2:$G$500,MATCH(A158,'ערכים טכנולוגיים'!$A$2:$A$500,0)),""))</f>
        <v/>
      </c>
      <c r="P158" s="9">
        <f>IF($K158="","",IFERROR(INDEX('ערכים טכנולוגיים'!$K$2:$K$500,MATCH(A158,'ערכים טכנולוגיים'!$A$2:$A$500,0)),""))</f>
        <v/>
      </c>
      <c r="Q158" s="9">
        <f>IF($K158="","",IFERROR(INDEX('ערכים טכנולוגיים'!$P$2:$P$500,MATCH(A158,'ערכים טכנולוגיים'!$A$2:$A$500,0)),""))</f>
        <v/>
      </c>
    </row>
    <row r="159">
      <c r="A159" s="8">
        <f>IF($K159="","",INDEX(מלאי!$D$2:$D$500,$K159))</f>
        <v/>
      </c>
      <c r="B159" s="8">
        <f>IF($K159="","",INDEX(מלאי!$B$2:$B$500,$K159))</f>
        <v/>
      </c>
      <c r="C159" s="8">
        <f>IF($K159="","",INDEX(מלאי!$C$2:$C$500,$K159))</f>
        <v/>
      </c>
      <c r="D159" s="8">
        <f>IF($K159="","",INDEX(מלאי!$G$2:$G$500,$K159))</f>
        <v/>
      </c>
      <c r="E159" s="8">
        <f>IF($K159="","",INDEX(מלאי!$M$2:$M$500,$K159))</f>
        <v/>
      </c>
      <c r="F159" s="8">
        <f>IF($K159="","",INDEX(מלאי!$N$2:$N$500,$K159))</f>
        <v/>
      </c>
      <c r="G159" s="8">
        <f>IF($K159="","",INDEX(מלאי!$O$2:$O$500,$K159))</f>
        <v/>
      </c>
      <c r="H159" s="8">
        <f>IF($K159="","",INDEX(מלאי!$U$2:$U$500,$K159))</f>
        <v/>
      </c>
      <c r="I159" s="8">
        <f>IF($K159="","",INDEX(מלאי!$X$2:$X$500,$K159))</f>
        <v/>
      </c>
      <c r="J159" s="8">
        <f>IF($K159="","",INDEX(מלאי!$AC$2:$AC$500,$K159))</f>
        <v/>
      </c>
      <c r="K15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טכנולוגיים'!$A$2:$A$500,0))&lt;=$G$6),0))),ROW(מלאי!$A$2:$A$500)-ROW(מלאי!$A$2)+1,""),137),"")</f>
        <v/>
      </c>
      <c r="L159" s="8">
        <f>IF($K159="","",IFERROR(INDEX('ערכים טכנולוגיים'!$M$2:$M$500,MATCH(A159,'ערכים טכנולוגיים'!$A$2:$A$500,0)),""))</f>
        <v/>
      </c>
      <c r="M159" s="8">
        <f>IF($K159="","",IFERROR(INDEX('ערכים טכנולוגיים'!$F$2:$F$500,MATCH(A159,'ערכים טכנולוגיים'!$A$2:$A$500,0)),""))</f>
        <v/>
      </c>
      <c r="N159" s="8">
        <f>IF($K159="","",IFERROR(INDEX('ערכים טכנולוגיים'!$J$2:$J$500,MATCH(A159,'ערכים טכנולוגיים'!$A$2:$A$500,0)),""))</f>
        <v/>
      </c>
      <c r="O159" s="8">
        <f>IF($K159="","",IFERROR(INDEX('ערכים טכנולוגיים'!$G$2:$G$500,MATCH(A159,'ערכים טכנולוגיים'!$A$2:$A$500,0)),""))</f>
        <v/>
      </c>
      <c r="P159" s="8">
        <f>IF($K159="","",IFERROR(INDEX('ערכים טכנולוגיים'!$K$2:$K$500,MATCH(A159,'ערכים טכנולוגיים'!$A$2:$A$500,0)),""))</f>
        <v/>
      </c>
      <c r="Q159" s="8">
        <f>IF($K159="","",IFERROR(INDEX('ערכים טכנולוגיים'!$P$2:$P$500,MATCH(A159,'ערכים טכנולוגיים'!$A$2:$A$500,0)),""))</f>
        <v/>
      </c>
    </row>
    <row r="160">
      <c r="A160" s="9">
        <f>IF($K160="","",INDEX(מלאי!$D$2:$D$500,$K160))</f>
        <v/>
      </c>
      <c r="B160" s="9">
        <f>IF($K160="","",INDEX(מלאי!$B$2:$B$500,$K160))</f>
        <v/>
      </c>
      <c r="C160" s="9">
        <f>IF($K160="","",INDEX(מלאי!$C$2:$C$500,$K160))</f>
        <v/>
      </c>
      <c r="D160" s="9">
        <f>IF($K160="","",INDEX(מלאי!$G$2:$G$500,$K160))</f>
        <v/>
      </c>
      <c r="E160" s="9">
        <f>IF($K160="","",INDEX(מלאי!$M$2:$M$500,$K160))</f>
        <v/>
      </c>
      <c r="F160" s="9">
        <f>IF($K160="","",INDEX(מלאי!$N$2:$N$500,$K160))</f>
        <v/>
      </c>
      <c r="G160" s="9">
        <f>IF($K160="","",INDEX(מלאי!$O$2:$O$500,$K160))</f>
        <v/>
      </c>
      <c r="H160" s="9">
        <f>IF($K160="","",INDEX(מלאי!$U$2:$U$500,$K160))</f>
        <v/>
      </c>
      <c r="I160" s="9">
        <f>IF($K160="","",INDEX(מלאי!$X$2:$X$500,$K160))</f>
        <v/>
      </c>
      <c r="J160" s="9">
        <f>IF($K160="","",INDEX(מלאי!$AC$2:$AC$500,$K160))</f>
        <v/>
      </c>
      <c r="K16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טכנולוגיים'!$A$2:$A$500,0))&lt;=$G$6),0))),ROW(מלאי!$A$2:$A$500)-ROW(מלאי!$A$2)+1,""),138),"")</f>
        <v/>
      </c>
      <c r="L160" s="9">
        <f>IF($K160="","",IFERROR(INDEX('ערכים טכנולוגיים'!$M$2:$M$500,MATCH(A160,'ערכים טכנולוגיים'!$A$2:$A$500,0)),""))</f>
        <v/>
      </c>
      <c r="M160" s="9">
        <f>IF($K160="","",IFERROR(INDEX('ערכים טכנולוגיים'!$F$2:$F$500,MATCH(A160,'ערכים טכנולוגיים'!$A$2:$A$500,0)),""))</f>
        <v/>
      </c>
      <c r="N160" s="9">
        <f>IF($K160="","",IFERROR(INDEX('ערכים טכנולוגיים'!$J$2:$J$500,MATCH(A160,'ערכים טכנולוגיים'!$A$2:$A$500,0)),""))</f>
        <v/>
      </c>
      <c r="O160" s="9">
        <f>IF($K160="","",IFERROR(INDEX('ערכים טכנולוגיים'!$G$2:$G$500,MATCH(A160,'ערכים טכנולוגיים'!$A$2:$A$500,0)),""))</f>
        <v/>
      </c>
      <c r="P160" s="9">
        <f>IF($K160="","",IFERROR(INDEX('ערכים טכנולוגיים'!$K$2:$K$500,MATCH(A160,'ערכים טכנולוגיים'!$A$2:$A$500,0)),""))</f>
        <v/>
      </c>
      <c r="Q160" s="9">
        <f>IF($K160="","",IFERROR(INDEX('ערכים טכנולוגיים'!$P$2:$P$500,MATCH(A160,'ערכים טכנולוגיים'!$A$2:$A$500,0)),""))</f>
        <v/>
      </c>
    </row>
    <row r="161">
      <c r="A161" s="8">
        <f>IF($K161="","",INDEX(מלאי!$D$2:$D$500,$K161))</f>
        <v/>
      </c>
      <c r="B161" s="8">
        <f>IF($K161="","",INDEX(מלאי!$B$2:$B$500,$K161))</f>
        <v/>
      </c>
      <c r="C161" s="8">
        <f>IF($K161="","",INDEX(מלאי!$C$2:$C$500,$K161))</f>
        <v/>
      </c>
      <c r="D161" s="8">
        <f>IF($K161="","",INDEX(מלאי!$G$2:$G$500,$K161))</f>
        <v/>
      </c>
      <c r="E161" s="8">
        <f>IF($K161="","",INDEX(מלאי!$M$2:$M$500,$K161))</f>
        <v/>
      </c>
      <c r="F161" s="8">
        <f>IF($K161="","",INDEX(מלאי!$N$2:$N$500,$K161))</f>
        <v/>
      </c>
      <c r="G161" s="8">
        <f>IF($K161="","",INDEX(מלאי!$O$2:$O$500,$K161))</f>
        <v/>
      </c>
      <c r="H161" s="8">
        <f>IF($K161="","",INDEX(מלאי!$U$2:$U$500,$K161))</f>
        <v/>
      </c>
      <c r="I161" s="8">
        <f>IF($K161="","",INDEX(מלאי!$X$2:$X$500,$K161))</f>
        <v/>
      </c>
      <c r="J161" s="8">
        <f>IF($K161="","",INDEX(מלאי!$AC$2:$AC$500,$K161))</f>
        <v/>
      </c>
      <c r="K16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טכנולוגיים'!$A$2:$A$500,0))&lt;=$G$6),0))),ROW(מלאי!$A$2:$A$500)-ROW(מלאי!$A$2)+1,""),139),"")</f>
        <v/>
      </c>
      <c r="L161" s="8">
        <f>IF($K161="","",IFERROR(INDEX('ערכים טכנולוגיים'!$M$2:$M$500,MATCH(A161,'ערכים טכנולוגיים'!$A$2:$A$500,0)),""))</f>
        <v/>
      </c>
      <c r="M161" s="8">
        <f>IF($K161="","",IFERROR(INDEX('ערכים טכנולוגיים'!$F$2:$F$500,MATCH(A161,'ערכים טכנולוגיים'!$A$2:$A$500,0)),""))</f>
        <v/>
      </c>
      <c r="N161" s="8">
        <f>IF($K161="","",IFERROR(INDEX('ערכים טכנולוגיים'!$J$2:$J$500,MATCH(A161,'ערכים טכנולוגיים'!$A$2:$A$500,0)),""))</f>
        <v/>
      </c>
      <c r="O161" s="8">
        <f>IF($K161="","",IFERROR(INDEX('ערכים טכנולוגיים'!$G$2:$G$500,MATCH(A161,'ערכים טכנולוגיים'!$A$2:$A$500,0)),""))</f>
        <v/>
      </c>
      <c r="P161" s="8">
        <f>IF($K161="","",IFERROR(INDEX('ערכים טכנולוגיים'!$K$2:$K$500,MATCH(A161,'ערכים טכנולוגיים'!$A$2:$A$500,0)),""))</f>
        <v/>
      </c>
      <c r="Q161" s="8">
        <f>IF($K161="","",IFERROR(INDEX('ערכים טכנולוגיים'!$P$2:$P$500,MATCH(A161,'ערכים טכנולוגיים'!$A$2:$A$500,0)),""))</f>
        <v/>
      </c>
    </row>
    <row r="162">
      <c r="A162" s="9">
        <f>IF($K162="","",INDEX(מלאי!$D$2:$D$500,$K162))</f>
        <v/>
      </c>
      <c r="B162" s="9">
        <f>IF($K162="","",INDEX(מלאי!$B$2:$B$500,$K162))</f>
        <v/>
      </c>
      <c r="C162" s="9">
        <f>IF($K162="","",INDEX(מלאי!$C$2:$C$500,$K162))</f>
        <v/>
      </c>
      <c r="D162" s="9">
        <f>IF($K162="","",INDEX(מלאי!$G$2:$G$500,$K162))</f>
        <v/>
      </c>
      <c r="E162" s="9">
        <f>IF($K162="","",INDEX(מלאי!$M$2:$M$500,$K162))</f>
        <v/>
      </c>
      <c r="F162" s="9">
        <f>IF($K162="","",INDEX(מלאי!$N$2:$N$500,$K162))</f>
        <v/>
      </c>
      <c r="G162" s="9">
        <f>IF($K162="","",INDEX(מלאי!$O$2:$O$500,$K162))</f>
        <v/>
      </c>
      <c r="H162" s="9">
        <f>IF($K162="","",INDEX(מלאי!$U$2:$U$500,$K162))</f>
        <v/>
      </c>
      <c r="I162" s="9">
        <f>IF($K162="","",INDEX(מלאי!$X$2:$X$500,$K162))</f>
        <v/>
      </c>
      <c r="J162" s="9">
        <f>IF($K162="","",INDEX(מלאי!$AC$2:$AC$500,$K162))</f>
        <v/>
      </c>
      <c r="K16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טכנולוגיים'!$A$2:$A$500,0))&lt;=$G$6),0))),ROW(מלאי!$A$2:$A$500)-ROW(מלאי!$A$2)+1,""),140),"")</f>
        <v/>
      </c>
      <c r="L162" s="9">
        <f>IF($K162="","",IFERROR(INDEX('ערכים טכנולוגיים'!$M$2:$M$500,MATCH(A162,'ערכים טכנולוגיים'!$A$2:$A$500,0)),""))</f>
        <v/>
      </c>
      <c r="M162" s="9">
        <f>IF($K162="","",IFERROR(INDEX('ערכים טכנולוגיים'!$F$2:$F$500,MATCH(A162,'ערכים טכנולוגיים'!$A$2:$A$500,0)),""))</f>
        <v/>
      </c>
      <c r="N162" s="9">
        <f>IF($K162="","",IFERROR(INDEX('ערכים טכנולוגיים'!$J$2:$J$500,MATCH(A162,'ערכים טכנולוגיים'!$A$2:$A$500,0)),""))</f>
        <v/>
      </c>
      <c r="O162" s="9">
        <f>IF($K162="","",IFERROR(INDEX('ערכים טכנולוגיים'!$G$2:$G$500,MATCH(A162,'ערכים טכנולוגיים'!$A$2:$A$500,0)),""))</f>
        <v/>
      </c>
      <c r="P162" s="9">
        <f>IF($K162="","",IFERROR(INDEX('ערכים טכנולוגיים'!$K$2:$K$500,MATCH(A162,'ערכים טכנולוגיים'!$A$2:$A$500,0)),""))</f>
        <v/>
      </c>
      <c r="Q162" s="9">
        <f>IF($K162="","",IFERROR(INDEX('ערכים טכנולוגיים'!$P$2:$P$500,MATCH(A162,'ערכים טכנולוגיים'!$A$2:$A$500,0)),""))</f>
        <v/>
      </c>
    </row>
    <row r="163">
      <c r="A163" s="8">
        <f>IF($K163="","",INDEX(מלאי!$D$2:$D$500,$K163))</f>
        <v/>
      </c>
      <c r="B163" s="8">
        <f>IF($K163="","",INDEX(מלאי!$B$2:$B$500,$K163))</f>
        <v/>
      </c>
      <c r="C163" s="8">
        <f>IF($K163="","",INDEX(מלאי!$C$2:$C$500,$K163))</f>
        <v/>
      </c>
      <c r="D163" s="8">
        <f>IF($K163="","",INDEX(מלאי!$G$2:$G$500,$K163))</f>
        <v/>
      </c>
      <c r="E163" s="8">
        <f>IF($K163="","",INDEX(מלאי!$M$2:$M$500,$K163))</f>
        <v/>
      </c>
      <c r="F163" s="8">
        <f>IF($K163="","",INDEX(מלאי!$N$2:$N$500,$K163))</f>
        <v/>
      </c>
      <c r="G163" s="8">
        <f>IF($K163="","",INDEX(מלאי!$O$2:$O$500,$K163))</f>
        <v/>
      </c>
      <c r="H163" s="8">
        <f>IF($K163="","",INDEX(מלאי!$U$2:$U$500,$K163))</f>
        <v/>
      </c>
      <c r="I163" s="8">
        <f>IF($K163="","",INDEX(מלאי!$X$2:$X$500,$K163))</f>
        <v/>
      </c>
      <c r="J163" s="8">
        <f>IF($K163="","",INDEX(מלאי!$AC$2:$AC$500,$K163))</f>
        <v/>
      </c>
      <c r="K16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טכנולוגיים'!$A$2:$A$500,0))&lt;=$G$6),0))),ROW(מלאי!$A$2:$A$500)-ROW(מלאי!$A$2)+1,""),141),"")</f>
        <v/>
      </c>
      <c r="L163" s="8">
        <f>IF($K163="","",IFERROR(INDEX('ערכים טכנולוגיים'!$M$2:$M$500,MATCH(A163,'ערכים טכנולוגיים'!$A$2:$A$500,0)),""))</f>
        <v/>
      </c>
      <c r="M163" s="8">
        <f>IF($K163="","",IFERROR(INDEX('ערכים טכנולוגיים'!$F$2:$F$500,MATCH(A163,'ערכים טכנולוגיים'!$A$2:$A$500,0)),""))</f>
        <v/>
      </c>
      <c r="N163" s="8">
        <f>IF($K163="","",IFERROR(INDEX('ערכים טכנולוגיים'!$J$2:$J$500,MATCH(A163,'ערכים טכנולוגיים'!$A$2:$A$500,0)),""))</f>
        <v/>
      </c>
      <c r="O163" s="8">
        <f>IF($K163="","",IFERROR(INDEX('ערכים טכנולוגיים'!$G$2:$G$500,MATCH(A163,'ערכים טכנולוגיים'!$A$2:$A$500,0)),""))</f>
        <v/>
      </c>
      <c r="P163" s="8">
        <f>IF($K163="","",IFERROR(INDEX('ערכים טכנולוגיים'!$K$2:$K$500,MATCH(A163,'ערכים טכנולוגיים'!$A$2:$A$500,0)),""))</f>
        <v/>
      </c>
      <c r="Q163" s="8">
        <f>IF($K163="","",IFERROR(INDEX('ערכים טכנולוגיים'!$P$2:$P$500,MATCH(A163,'ערכים טכנולוגיים'!$A$2:$A$500,0)),""))</f>
        <v/>
      </c>
    </row>
    <row r="164">
      <c r="A164" s="9">
        <f>IF($K164="","",INDEX(מלאי!$D$2:$D$500,$K164))</f>
        <v/>
      </c>
      <c r="B164" s="9">
        <f>IF($K164="","",INDEX(מלאי!$B$2:$B$500,$K164))</f>
        <v/>
      </c>
      <c r="C164" s="9">
        <f>IF($K164="","",INDEX(מלאי!$C$2:$C$500,$K164))</f>
        <v/>
      </c>
      <c r="D164" s="9">
        <f>IF($K164="","",INDEX(מלאי!$G$2:$G$500,$K164))</f>
        <v/>
      </c>
      <c r="E164" s="9">
        <f>IF($K164="","",INDEX(מלאי!$M$2:$M$500,$K164))</f>
        <v/>
      </c>
      <c r="F164" s="9">
        <f>IF($K164="","",INDEX(מלאי!$N$2:$N$500,$K164))</f>
        <v/>
      </c>
      <c r="G164" s="9">
        <f>IF($K164="","",INDEX(מלאי!$O$2:$O$500,$K164))</f>
        <v/>
      </c>
      <c r="H164" s="9">
        <f>IF($K164="","",INDEX(מלאי!$U$2:$U$500,$K164))</f>
        <v/>
      </c>
      <c r="I164" s="9">
        <f>IF($K164="","",INDEX(מלאי!$X$2:$X$500,$K164))</f>
        <v/>
      </c>
      <c r="J164" s="9">
        <f>IF($K164="","",INDEX(מלאי!$AC$2:$AC$500,$K164))</f>
        <v/>
      </c>
      <c r="K16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טכנולוגיים'!$A$2:$A$500,0))&lt;=$G$6),0))),ROW(מלאי!$A$2:$A$500)-ROW(מלאי!$A$2)+1,""),142),"")</f>
        <v/>
      </c>
      <c r="L164" s="9">
        <f>IF($K164="","",IFERROR(INDEX('ערכים טכנולוגיים'!$M$2:$M$500,MATCH(A164,'ערכים טכנולוגיים'!$A$2:$A$500,0)),""))</f>
        <v/>
      </c>
      <c r="M164" s="9">
        <f>IF($K164="","",IFERROR(INDEX('ערכים טכנולוגיים'!$F$2:$F$500,MATCH(A164,'ערכים טכנולוגיים'!$A$2:$A$500,0)),""))</f>
        <v/>
      </c>
      <c r="N164" s="9">
        <f>IF($K164="","",IFERROR(INDEX('ערכים טכנולוגיים'!$J$2:$J$500,MATCH(A164,'ערכים טכנולוגיים'!$A$2:$A$500,0)),""))</f>
        <v/>
      </c>
      <c r="O164" s="9">
        <f>IF($K164="","",IFERROR(INDEX('ערכים טכנולוגיים'!$G$2:$G$500,MATCH(A164,'ערכים טכנולוגיים'!$A$2:$A$500,0)),""))</f>
        <v/>
      </c>
      <c r="P164" s="9">
        <f>IF($K164="","",IFERROR(INDEX('ערכים טכנולוגיים'!$K$2:$K$500,MATCH(A164,'ערכים טכנולוגיים'!$A$2:$A$500,0)),""))</f>
        <v/>
      </c>
      <c r="Q164" s="9">
        <f>IF($K164="","",IFERROR(INDEX('ערכים טכנולוגיים'!$P$2:$P$500,MATCH(A164,'ערכים טכנולוגיים'!$A$2:$A$500,0)),""))</f>
        <v/>
      </c>
    </row>
    <row r="165">
      <c r="A165" s="8">
        <f>IF($K165="","",INDEX(מלאי!$D$2:$D$500,$K165))</f>
        <v/>
      </c>
      <c r="B165" s="8">
        <f>IF($K165="","",INDEX(מלאי!$B$2:$B$500,$K165))</f>
        <v/>
      </c>
      <c r="C165" s="8">
        <f>IF($K165="","",INDEX(מלאי!$C$2:$C$500,$K165))</f>
        <v/>
      </c>
      <c r="D165" s="8">
        <f>IF($K165="","",INDEX(מלאי!$G$2:$G$500,$K165))</f>
        <v/>
      </c>
      <c r="E165" s="8">
        <f>IF($K165="","",INDEX(מלאי!$M$2:$M$500,$K165))</f>
        <v/>
      </c>
      <c r="F165" s="8">
        <f>IF($K165="","",INDEX(מלאי!$N$2:$N$500,$K165))</f>
        <v/>
      </c>
      <c r="G165" s="8">
        <f>IF($K165="","",INDEX(מלאי!$O$2:$O$500,$K165))</f>
        <v/>
      </c>
      <c r="H165" s="8">
        <f>IF($K165="","",INDEX(מלאי!$U$2:$U$500,$K165))</f>
        <v/>
      </c>
      <c r="I165" s="8">
        <f>IF($K165="","",INDEX(מלאי!$X$2:$X$500,$K165))</f>
        <v/>
      </c>
      <c r="J165" s="8">
        <f>IF($K165="","",INDEX(מלאי!$AC$2:$AC$500,$K165))</f>
        <v/>
      </c>
      <c r="K16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טכנולוגיים'!$A$2:$A$500,0))&lt;=$G$6),0))),ROW(מלאי!$A$2:$A$500)-ROW(מלאי!$A$2)+1,""),143),"")</f>
        <v/>
      </c>
      <c r="L165" s="8">
        <f>IF($K165="","",IFERROR(INDEX('ערכים טכנולוגיים'!$M$2:$M$500,MATCH(A165,'ערכים טכנולוגיים'!$A$2:$A$500,0)),""))</f>
        <v/>
      </c>
      <c r="M165" s="8">
        <f>IF($K165="","",IFERROR(INDEX('ערכים טכנולוגיים'!$F$2:$F$500,MATCH(A165,'ערכים טכנולוגיים'!$A$2:$A$500,0)),""))</f>
        <v/>
      </c>
      <c r="N165" s="8">
        <f>IF($K165="","",IFERROR(INDEX('ערכים טכנולוגיים'!$J$2:$J$500,MATCH(A165,'ערכים טכנולוגיים'!$A$2:$A$500,0)),""))</f>
        <v/>
      </c>
      <c r="O165" s="8">
        <f>IF($K165="","",IFERROR(INDEX('ערכים טכנולוגיים'!$G$2:$G$500,MATCH(A165,'ערכים טכנולוגיים'!$A$2:$A$500,0)),""))</f>
        <v/>
      </c>
      <c r="P165" s="8">
        <f>IF($K165="","",IFERROR(INDEX('ערכים טכנולוגיים'!$K$2:$K$500,MATCH(A165,'ערכים טכנולוגיים'!$A$2:$A$500,0)),""))</f>
        <v/>
      </c>
      <c r="Q165" s="8">
        <f>IF($K165="","",IFERROR(INDEX('ערכים טכנולוגיים'!$P$2:$P$500,MATCH(A165,'ערכים טכנולוגיים'!$A$2:$A$500,0)),""))</f>
        <v/>
      </c>
    </row>
    <row r="166">
      <c r="A166" s="9">
        <f>IF($K166="","",INDEX(מלאי!$D$2:$D$500,$K166))</f>
        <v/>
      </c>
      <c r="B166" s="9">
        <f>IF($K166="","",INDEX(מלאי!$B$2:$B$500,$K166))</f>
        <v/>
      </c>
      <c r="C166" s="9">
        <f>IF($K166="","",INDEX(מלאי!$C$2:$C$500,$K166))</f>
        <v/>
      </c>
      <c r="D166" s="9">
        <f>IF($K166="","",INDEX(מלאי!$G$2:$G$500,$K166))</f>
        <v/>
      </c>
      <c r="E166" s="9">
        <f>IF($K166="","",INDEX(מלאי!$M$2:$M$500,$K166))</f>
        <v/>
      </c>
      <c r="F166" s="9">
        <f>IF($K166="","",INDEX(מלאי!$N$2:$N$500,$K166))</f>
        <v/>
      </c>
      <c r="G166" s="9">
        <f>IF($K166="","",INDEX(מלאי!$O$2:$O$500,$K166))</f>
        <v/>
      </c>
      <c r="H166" s="9">
        <f>IF($K166="","",INDEX(מלאי!$U$2:$U$500,$K166))</f>
        <v/>
      </c>
      <c r="I166" s="9">
        <f>IF($K166="","",INDEX(מלאי!$X$2:$X$500,$K166))</f>
        <v/>
      </c>
      <c r="J166" s="9">
        <f>IF($K166="","",INDEX(מלאי!$AC$2:$AC$500,$K166))</f>
        <v/>
      </c>
      <c r="K16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טכנולוגיים'!$A$2:$A$500,0))&lt;=$G$6),0))),ROW(מלאי!$A$2:$A$500)-ROW(מלאי!$A$2)+1,""),144),"")</f>
        <v/>
      </c>
      <c r="L166" s="9">
        <f>IF($K166="","",IFERROR(INDEX('ערכים טכנולוגיים'!$M$2:$M$500,MATCH(A166,'ערכים טכנולוגיים'!$A$2:$A$500,0)),""))</f>
        <v/>
      </c>
      <c r="M166" s="9">
        <f>IF($K166="","",IFERROR(INDEX('ערכים טכנולוגיים'!$F$2:$F$500,MATCH(A166,'ערכים טכנולוגיים'!$A$2:$A$500,0)),""))</f>
        <v/>
      </c>
      <c r="N166" s="9">
        <f>IF($K166="","",IFERROR(INDEX('ערכים טכנולוגיים'!$J$2:$J$500,MATCH(A166,'ערכים טכנולוגיים'!$A$2:$A$500,0)),""))</f>
        <v/>
      </c>
      <c r="O166" s="9">
        <f>IF($K166="","",IFERROR(INDEX('ערכים טכנולוגיים'!$G$2:$G$500,MATCH(A166,'ערכים טכנולוגיים'!$A$2:$A$500,0)),""))</f>
        <v/>
      </c>
      <c r="P166" s="9">
        <f>IF($K166="","",IFERROR(INDEX('ערכים טכנולוגיים'!$K$2:$K$500,MATCH(A166,'ערכים טכנולוגיים'!$A$2:$A$500,0)),""))</f>
        <v/>
      </c>
      <c r="Q166" s="9">
        <f>IF($K166="","",IFERROR(INDEX('ערכים טכנולוגיים'!$P$2:$P$500,MATCH(A166,'ערכים טכנולוגיים'!$A$2:$A$500,0)),""))</f>
        <v/>
      </c>
    </row>
    <row r="167">
      <c r="A167" s="8">
        <f>IF($K167="","",INDEX(מלאי!$D$2:$D$500,$K167))</f>
        <v/>
      </c>
      <c r="B167" s="8">
        <f>IF($K167="","",INDEX(מלאי!$B$2:$B$500,$K167))</f>
        <v/>
      </c>
      <c r="C167" s="8">
        <f>IF($K167="","",INDEX(מלאי!$C$2:$C$500,$K167))</f>
        <v/>
      </c>
      <c r="D167" s="8">
        <f>IF($K167="","",INDEX(מלאי!$G$2:$G$500,$K167))</f>
        <v/>
      </c>
      <c r="E167" s="8">
        <f>IF($K167="","",INDEX(מלאי!$M$2:$M$500,$K167))</f>
        <v/>
      </c>
      <c r="F167" s="8">
        <f>IF($K167="","",INDEX(מלאי!$N$2:$N$500,$K167))</f>
        <v/>
      </c>
      <c r="G167" s="8">
        <f>IF($K167="","",INDEX(מלאי!$O$2:$O$500,$K167))</f>
        <v/>
      </c>
      <c r="H167" s="8">
        <f>IF($K167="","",INDEX(מלאי!$U$2:$U$500,$K167))</f>
        <v/>
      </c>
      <c r="I167" s="8">
        <f>IF($K167="","",INDEX(מלאי!$X$2:$X$500,$K167))</f>
        <v/>
      </c>
      <c r="J167" s="8">
        <f>IF($K167="","",INDEX(מלאי!$AC$2:$AC$500,$K167))</f>
        <v/>
      </c>
      <c r="K16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טכנולוגיים'!$A$2:$A$500,0))&lt;=$G$6),0))),ROW(מלאי!$A$2:$A$500)-ROW(מלאי!$A$2)+1,""),145),"")</f>
        <v/>
      </c>
      <c r="L167" s="8">
        <f>IF($K167="","",IFERROR(INDEX('ערכים טכנולוגיים'!$M$2:$M$500,MATCH(A167,'ערכים טכנולוגיים'!$A$2:$A$500,0)),""))</f>
        <v/>
      </c>
      <c r="M167" s="8">
        <f>IF($K167="","",IFERROR(INDEX('ערכים טכנולוגיים'!$F$2:$F$500,MATCH(A167,'ערכים טכנולוגיים'!$A$2:$A$500,0)),""))</f>
        <v/>
      </c>
      <c r="N167" s="8">
        <f>IF($K167="","",IFERROR(INDEX('ערכים טכנולוגיים'!$J$2:$J$500,MATCH(A167,'ערכים טכנולוגיים'!$A$2:$A$500,0)),""))</f>
        <v/>
      </c>
      <c r="O167" s="8">
        <f>IF($K167="","",IFERROR(INDEX('ערכים טכנולוגיים'!$G$2:$G$500,MATCH(A167,'ערכים טכנולוגיים'!$A$2:$A$500,0)),""))</f>
        <v/>
      </c>
      <c r="P167" s="8">
        <f>IF($K167="","",IFERROR(INDEX('ערכים טכנולוגיים'!$K$2:$K$500,MATCH(A167,'ערכים טכנולוגיים'!$A$2:$A$500,0)),""))</f>
        <v/>
      </c>
      <c r="Q167" s="8">
        <f>IF($K167="","",IFERROR(INDEX('ערכים טכנולוגיים'!$P$2:$P$500,MATCH(A167,'ערכים טכנולוגיים'!$A$2:$A$500,0)),""))</f>
        <v/>
      </c>
    </row>
    <row r="168">
      <c r="A168" s="9">
        <f>IF($K168="","",INDEX(מלאי!$D$2:$D$500,$K168))</f>
        <v/>
      </c>
      <c r="B168" s="9">
        <f>IF($K168="","",INDEX(מלאי!$B$2:$B$500,$K168))</f>
        <v/>
      </c>
      <c r="C168" s="9">
        <f>IF($K168="","",INDEX(מלאי!$C$2:$C$500,$K168))</f>
        <v/>
      </c>
      <c r="D168" s="9">
        <f>IF($K168="","",INDEX(מלאי!$G$2:$G$500,$K168))</f>
        <v/>
      </c>
      <c r="E168" s="9">
        <f>IF($K168="","",INDEX(מלאי!$M$2:$M$500,$K168))</f>
        <v/>
      </c>
      <c r="F168" s="9">
        <f>IF($K168="","",INDEX(מלאי!$N$2:$N$500,$K168))</f>
        <v/>
      </c>
      <c r="G168" s="9">
        <f>IF($K168="","",INDEX(מלאי!$O$2:$O$500,$K168))</f>
        <v/>
      </c>
      <c r="H168" s="9">
        <f>IF($K168="","",INDEX(מלאי!$U$2:$U$500,$K168))</f>
        <v/>
      </c>
      <c r="I168" s="9">
        <f>IF($K168="","",INDEX(מלאי!$X$2:$X$500,$K168))</f>
        <v/>
      </c>
      <c r="J168" s="9">
        <f>IF($K168="","",INDEX(מלאי!$AC$2:$AC$500,$K168))</f>
        <v/>
      </c>
      <c r="K16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טכנולוגיים'!$A$2:$A$500,0))&lt;=$G$6),0))),ROW(מלאי!$A$2:$A$500)-ROW(מלאי!$A$2)+1,""),146),"")</f>
        <v/>
      </c>
      <c r="L168" s="9">
        <f>IF($K168="","",IFERROR(INDEX('ערכים טכנולוגיים'!$M$2:$M$500,MATCH(A168,'ערכים טכנולוגיים'!$A$2:$A$500,0)),""))</f>
        <v/>
      </c>
      <c r="M168" s="9">
        <f>IF($K168="","",IFERROR(INDEX('ערכים טכנולוגיים'!$F$2:$F$500,MATCH(A168,'ערכים טכנולוגיים'!$A$2:$A$500,0)),""))</f>
        <v/>
      </c>
      <c r="N168" s="9">
        <f>IF($K168="","",IFERROR(INDEX('ערכים טכנולוגיים'!$J$2:$J$500,MATCH(A168,'ערכים טכנולוגיים'!$A$2:$A$500,0)),""))</f>
        <v/>
      </c>
      <c r="O168" s="9">
        <f>IF($K168="","",IFERROR(INDEX('ערכים טכנולוגיים'!$G$2:$G$500,MATCH(A168,'ערכים טכנולוגיים'!$A$2:$A$500,0)),""))</f>
        <v/>
      </c>
      <c r="P168" s="9">
        <f>IF($K168="","",IFERROR(INDEX('ערכים טכנולוגיים'!$K$2:$K$500,MATCH(A168,'ערכים טכנולוגיים'!$A$2:$A$500,0)),""))</f>
        <v/>
      </c>
      <c r="Q168" s="9">
        <f>IF($K168="","",IFERROR(INDEX('ערכים טכנולוגיים'!$P$2:$P$500,MATCH(A168,'ערכים טכנולוגיים'!$A$2:$A$500,0)),""))</f>
        <v/>
      </c>
    </row>
    <row r="169">
      <c r="A169" s="8">
        <f>IF($K169="","",INDEX(מלאי!$D$2:$D$500,$K169))</f>
        <v/>
      </c>
      <c r="B169" s="8">
        <f>IF($K169="","",INDEX(מלאי!$B$2:$B$500,$K169))</f>
        <v/>
      </c>
      <c r="C169" s="8">
        <f>IF($K169="","",INDEX(מלאי!$C$2:$C$500,$K169))</f>
        <v/>
      </c>
      <c r="D169" s="8">
        <f>IF($K169="","",INDEX(מלאי!$G$2:$G$500,$K169))</f>
        <v/>
      </c>
      <c r="E169" s="8">
        <f>IF($K169="","",INDEX(מלאי!$M$2:$M$500,$K169))</f>
        <v/>
      </c>
      <c r="F169" s="8">
        <f>IF($K169="","",INDEX(מלאי!$N$2:$N$500,$K169))</f>
        <v/>
      </c>
      <c r="G169" s="8">
        <f>IF($K169="","",INDEX(מלאי!$O$2:$O$500,$K169))</f>
        <v/>
      </c>
      <c r="H169" s="8">
        <f>IF($K169="","",INDEX(מלאי!$U$2:$U$500,$K169))</f>
        <v/>
      </c>
      <c r="I169" s="8">
        <f>IF($K169="","",INDEX(מלאי!$X$2:$X$500,$K169))</f>
        <v/>
      </c>
      <c r="J169" s="8">
        <f>IF($K169="","",INDEX(מלאי!$AC$2:$AC$500,$K169))</f>
        <v/>
      </c>
      <c r="K16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טכנולוגיים'!$A$2:$A$500,0))&lt;=$G$6),0))),ROW(מלאי!$A$2:$A$500)-ROW(מלאי!$A$2)+1,""),147),"")</f>
        <v/>
      </c>
      <c r="L169" s="8">
        <f>IF($K169="","",IFERROR(INDEX('ערכים טכנולוגיים'!$M$2:$M$500,MATCH(A169,'ערכים טכנולוגיים'!$A$2:$A$500,0)),""))</f>
        <v/>
      </c>
      <c r="M169" s="8">
        <f>IF($K169="","",IFERROR(INDEX('ערכים טכנולוגיים'!$F$2:$F$500,MATCH(A169,'ערכים טכנולוגיים'!$A$2:$A$500,0)),""))</f>
        <v/>
      </c>
      <c r="N169" s="8">
        <f>IF($K169="","",IFERROR(INDEX('ערכים טכנולוגיים'!$J$2:$J$500,MATCH(A169,'ערכים טכנולוגיים'!$A$2:$A$500,0)),""))</f>
        <v/>
      </c>
      <c r="O169" s="8">
        <f>IF($K169="","",IFERROR(INDEX('ערכים טכנולוגיים'!$G$2:$G$500,MATCH(A169,'ערכים טכנולוגיים'!$A$2:$A$500,0)),""))</f>
        <v/>
      </c>
      <c r="P169" s="8">
        <f>IF($K169="","",IFERROR(INDEX('ערכים טכנולוגיים'!$K$2:$K$500,MATCH(A169,'ערכים טכנולוגיים'!$A$2:$A$500,0)),""))</f>
        <v/>
      </c>
      <c r="Q169" s="8">
        <f>IF($K169="","",IFERROR(INDEX('ערכים טכנולוגיים'!$P$2:$P$500,MATCH(A169,'ערכים טכנולוגיים'!$A$2:$A$500,0)),""))</f>
        <v/>
      </c>
    </row>
    <row r="170">
      <c r="A170" s="9">
        <f>IF($K170="","",INDEX(מלאי!$D$2:$D$500,$K170))</f>
        <v/>
      </c>
      <c r="B170" s="9">
        <f>IF($K170="","",INDEX(מלאי!$B$2:$B$500,$K170))</f>
        <v/>
      </c>
      <c r="C170" s="9">
        <f>IF($K170="","",INDEX(מלאי!$C$2:$C$500,$K170))</f>
        <v/>
      </c>
      <c r="D170" s="9">
        <f>IF($K170="","",INDEX(מלאי!$G$2:$G$500,$K170))</f>
        <v/>
      </c>
      <c r="E170" s="9">
        <f>IF($K170="","",INDEX(מלאי!$M$2:$M$500,$K170))</f>
        <v/>
      </c>
      <c r="F170" s="9">
        <f>IF($K170="","",INDEX(מלאי!$N$2:$N$500,$K170))</f>
        <v/>
      </c>
      <c r="G170" s="9">
        <f>IF($K170="","",INDEX(מלאי!$O$2:$O$500,$K170))</f>
        <v/>
      </c>
      <c r="H170" s="9">
        <f>IF($K170="","",INDEX(מלאי!$U$2:$U$500,$K170))</f>
        <v/>
      </c>
      <c r="I170" s="9">
        <f>IF($K170="","",INDEX(מלאי!$X$2:$X$500,$K170))</f>
        <v/>
      </c>
      <c r="J170" s="9">
        <f>IF($K170="","",INDEX(מלאי!$AC$2:$AC$500,$K170))</f>
        <v/>
      </c>
      <c r="K17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טכנולוגיים'!$A$2:$A$500,0))&lt;=$G$6),0))),ROW(מלאי!$A$2:$A$500)-ROW(מלאי!$A$2)+1,""),148),"")</f>
        <v/>
      </c>
      <c r="L170" s="9">
        <f>IF($K170="","",IFERROR(INDEX('ערכים טכנולוגיים'!$M$2:$M$500,MATCH(A170,'ערכים טכנולוגיים'!$A$2:$A$500,0)),""))</f>
        <v/>
      </c>
      <c r="M170" s="9">
        <f>IF($K170="","",IFERROR(INDEX('ערכים טכנולוגיים'!$F$2:$F$500,MATCH(A170,'ערכים טכנולוגיים'!$A$2:$A$500,0)),""))</f>
        <v/>
      </c>
      <c r="N170" s="9">
        <f>IF($K170="","",IFERROR(INDEX('ערכים טכנולוגיים'!$J$2:$J$500,MATCH(A170,'ערכים טכנולוגיים'!$A$2:$A$500,0)),""))</f>
        <v/>
      </c>
      <c r="O170" s="9">
        <f>IF($K170="","",IFERROR(INDEX('ערכים טכנולוגיים'!$G$2:$G$500,MATCH(A170,'ערכים טכנולוגיים'!$A$2:$A$500,0)),""))</f>
        <v/>
      </c>
      <c r="P170" s="9">
        <f>IF($K170="","",IFERROR(INDEX('ערכים טכנולוגיים'!$K$2:$K$500,MATCH(A170,'ערכים טכנולוגיים'!$A$2:$A$500,0)),""))</f>
        <v/>
      </c>
      <c r="Q170" s="9">
        <f>IF($K170="","",IFERROR(INDEX('ערכים טכנולוגיים'!$P$2:$P$500,MATCH(A170,'ערכים טכנולוגיים'!$A$2:$A$500,0)),""))</f>
        <v/>
      </c>
    </row>
    <row r="171">
      <c r="A171" s="8">
        <f>IF($K171="","",INDEX(מלאי!$D$2:$D$500,$K171))</f>
        <v/>
      </c>
      <c r="B171" s="8">
        <f>IF($K171="","",INDEX(מלאי!$B$2:$B$500,$K171))</f>
        <v/>
      </c>
      <c r="C171" s="8">
        <f>IF($K171="","",INDEX(מלאי!$C$2:$C$500,$K171))</f>
        <v/>
      </c>
      <c r="D171" s="8">
        <f>IF($K171="","",INDEX(מלאי!$G$2:$G$500,$K171))</f>
        <v/>
      </c>
      <c r="E171" s="8">
        <f>IF($K171="","",INDEX(מלאי!$M$2:$M$500,$K171))</f>
        <v/>
      </c>
      <c r="F171" s="8">
        <f>IF($K171="","",INDEX(מלאי!$N$2:$N$500,$K171))</f>
        <v/>
      </c>
      <c r="G171" s="8">
        <f>IF($K171="","",INDEX(מלאי!$O$2:$O$500,$K171))</f>
        <v/>
      </c>
      <c r="H171" s="8">
        <f>IF($K171="","",INDEX(מלאי!$U$2:$U$500,$K171))</f>
        <v/>
      </c>
      <c r="I171" s="8">
        <f>IF($K171="","",INDEX(מלאי!$X$2:$X$500,$K171))</f>
        <v/>
      </c>
      <c r="J171" s="8">
        <f>IF($K171="","",INDEX(מלאי!$AC$2:$AC$500,$K171))</f>
        <v/>
      </c>
      <c r="K17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טכנולוגיים'!$A$2:$A$500,0))&lt;=$G$6),0))),ROW(מלאי!$A$2:$A$500)-ROW(מלאי!$A$2)+1,""),149),"")</f>
        <v/>
      </c>
      <c r="L171" s="8">
        <f>IF($K171="","",IFERROR(INDEX('ערכים טכנולוגיים'!$M$2:$M$500,MATCH(A171,'ערכים טכנולוגיים'!$A$2:$A$500,0)),""))</f>
        <v/>
      </c>
      <c r="M171" s="8">
        <f>IF($K171="","",IFERROR(INDEX('ערכים טכנולוגיים'!$F$2:$F$500,MATCH(A171,'ערכים טכנולוגיים'!$A$2:$A$500,0)),""))</f>
        <v/>
      </c>
      <c r="N171" s="8">
        <f>IF($K171="","",IFERROR(INDEX('ערכים טכנולוגיים'!$J$2:$J$500,MATCH(A171,'ערכים טכנולוגיים'!$A$2:$A$500,0)),""))</f>
        <v/>
      </c>
      <c r="O171" s="8">
        <f>IF($K171="","",IFERROR(INDEX('ערכים טכנולוגיים'!$G$2:$G$500,MATCH(A171,'ערכים טכנולוגיים'!$A$2:$A$500,0)),""))</f>
        <v/>
      </c>
      <c r="P171" s="8">
        <f>IF($K171="","",IFERROR(INDEX('ערכים טכנולוגיים'!$K$2:$K$500,MATCH(A171,'ערכים טכנולוגיים'!$A$2:$A$500,0)),""))</f>
        <v/>
      </c>
      <c r="Q171" s="8">
        <f>IF($K171="","",IFERROR(INDEX('ערכים טכנולוגיים'!$P$2:$P$500,MATCH(A171,'ערכים טכנולוגיים'!$A$2:$A$500,0)),""))</f>
        <v/>
      </c>
    </row>
    <row r="172">
      <c r="A172" s="9">
        <f>IF($K172="","",INDEX(מלאי!$D$2:$D$500,$K172))</f>
        <v/>
      </c>
      <c r="B172" s="9">
        <f>IF($K172="","",INDEX(מלאי!$B$2:$B$500,$K172))</f>
        <v/>
      </c>
      <c r="C172" s="9">
        <f>IF($K172="","",INDEX(מלאי!$C$2:$C$500,$K172))</f>
        <v/>
      </c>
      <c r="D172" s="9">
        <f>IF($K172="","",INDEX(מלאי!$G$2:$G$500,$K172))</f>
        <v/>
      </c>
      <c r="E172" s="9">
        <f>IF($K172="","",INDEX(מלאי!$M$2:$M$500,$K172))</f>
        <v/>
      </c>
      <c r="F172" s="9">
        <f>IF($K172="","",INDEX(מלאי!$N$2:$N$500,$K172))</f>
        <v/>
      </c>
      <c r="G172" s="9">
        <f>IF($K172="","",INDEX(מלאי!$O$2:$O$500,$K172))</f>
        <v/>
      </c>
      <c r="H172" s="9">
        <f>IF($K172="","",INDEX(מלאי!$U$2:$U$500,$K172))</f>
        <v/>
      </c>
      <c r="I172" s="9">
        <f>IF($K172="","",INDEX(מלאי!$X$2:$X$500,$K172))</f>
        <v/>
      </c>
      <c r="J172" s="9">
        <f>IF($K172="","",INDEX(מלאי!$AC$2:$AC$500,$K172))</f>
        <v/>
      </c>
      <c r="K17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טכנולוגיים'!$A$2:$A$500,0))&lt;=$G$6),0))),ROW(מלאי!$A$2:$A$500)-ROW(מלאי!$A$2)+1,""),150),"")</f>
        <v/>
      </c>
      <c r="L172" s="9">
        <f>IF($K172="","",IFERROR(INDEX('ערכים טכנולוגיים'!$M$2:$M$500,MATCH(A172,'ערכים טכנולוגיים'!$A$2:$A$500,0)),""))</f>
        <v/>
      </c>
      <c r="M172" s="9">
        <f>IF($K172="","",IFERROR(INDEX('ערכים טכנולוגיים'!$F$2:$F$500,MATCH(A172,'ערכים טכנולוגיים'!$A$2:$A$500,0)),""))</f>
        <v/>
      </c>
      <c r="N172" s="9">
        <f>IF($K172="","",IFERROR(INDEX('ערכים טכנולוגיים'!$J$2:$J$500,MATCH(A172,'ערכים טכנולוגיים'!$A$2:$A$500,0)),""))</f>
        <v/>
      </c>
      <c r="O172" s="9">
        <f>IF($K172="","",IFERROR(INDEX('ערכים טכנולוגיים'!$G$2:$G$500,MATCH(A172,'ערכים טכנולוגיים'!$A$2:$A$500,0)),""))</f>
        <v/>
      </c>
      <c r="P172" s="9">
        <f>IF($K172="","",IFERROR(INDEX('ערכים טכנולוגיים'!$K$2:$K$500,MATCH(A172,'ערכים טכנולוגיים'!$A$2:$A$500,0)),""))</f>
        <v/>
      </c>
      <c r="Q172" s="9">
        <f>IF($K172="","",IFERROR(INDEX('ערכים טכנולוגיים'!$P$2:$P$500,MATCH(A172,'ערכים טכנולוגיים'!$A$2:$A$500,0)),""))</f>
        <v/>
      </c>
    </row>
    <row r="173">
      <c r="A173" s="8">
        <f>IF($K173="","",INDEX(מלאי!$D$2:$D$500,$K173))</f>
        <v/>
      </c>
      <c r="B173" s="8">
        <f>IF($K173="","",INDEX(מלאי!$B$2:$B$500,$K173))</f>
        <v/>
      </c>
      <c r="C173" s="8">
        <f>IF($K173="","",INDEX(מלאי!$C$2:$C$500,$K173))</f>
        <v/>
      </c>
      <c r="D173" s="8">
        <f>IF($K173="","",INDEX(מלאי!$G$2:$G$500,$K173))</f>
        <v/>
      </c>
      <c r="E173" s="8">
        <f>IF($K173="","",INDEX(מלאי!$M$2:$M$500,$K173))</f>
        <v/>
      </c>
      <c r="F173" s="8">
        <f>IF($K173="","",INDEX(מלאי!$N$2:$N$500,$K173))</f>
        <v/>
      </c>
      <c r="G173" s="8">
        <f>IF($K173="","",INDEX(מלאי!$O$2:$O$500,$K173))</f>
        <v/>
      </c>
      <c r="H173" s="8">
        <f>IF($K173="","",INDEX(מלאי!$U$2:$U$500,$K173))</f>
        <v/>
      </c>
      <c r="I173" s="8">
        <f>IF($K173="","",INDEX(מלאי!$X$2:$X$500,$K173))</f>
        <v/>
      </c>
      <c r="J173" s="8">
        <f>IF($K173="","",INDEX(מלאי!$AC$2:$AC$500,$K173))</f>
        <v/>
      </c>
      <c r="K17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טכנולוגיים'!$A$2:$A$500,0))&lt;=$G$6),0))),ROW(מלאי!$A$2:$A$500)-ROW(מלאי!$A$2)+1,""),151),"")</f>
        <v/>
      </c>
      <c r="L173" s="8">
        <f>IF($K173="","",IFERROR(INDEX('ערכים טכנולוגיים'!$M$2:$M$500,MATCH(A173,'ערכים טכנולוגיים'!$A$2:$A$500,0)),""))</f>
        <v/>
      </c>
      <c r="M173" s="8">
        <f>IF($K173="","",IFERROR(INDEX('ערכים טכנולוגיים'!$F$2:$F$500,MATCH(A173,'ערכים טכנולוגיים'!$A$2:$A$500,0)),""))</f>
        <v/>
      </c>
      <c r="N173" s="8">
        <f>IF($K173="","",IFERROR(INDEX('ערכים טכנולוגיים'!$J$2:$J$500,MATCH(A173,'ערכים טכנולוגיים'!$A$2:$A$500,0)),""))</f>
        <v/>
      </c>
      <c r="O173" s="8">
        <f>IF($K173="","",IFERROR(INDEX('ערכים טכנולוגיים'!$G$2:$G$500,MATCH(A173,'ערכים טכנולוגיים'!$A$2:$A$500,0)),""))</f>
        <v/>
      </c>
      <c r="P173" s="8">
        <f>IF($K173="","",IFERROR(INDEX('ערכים טכנולוגיים'!$K$2:$K$500,MATCH(A173,'ערכים טכנולוגיים'!$A$2:$A$500,0)),""))</f>
        <v/>
      </c>
      <c r="Q173" s="8">
        <f>IF($K173="","",IFERROR(INDEX('ערכים טכנולוגיים'!$P$2:$P$500,MATCH(A173,'ערכים טכנולוגיים'!$A$2:$A$500,0)),""))</f>
        <v/>
      </c>
    </row>
    <row r="174">
      <c r="A174" s="9">
        <f>IF($K174="","",INDEX(מלאי!$D$2:$D$500,$K174))</f>
        <v/>
      </c>
      <c r="B174" s="9">
        <f>IF($K174="","",INDEX(מלאי!$B$2:$B$500,$K174))</f>
        <v/>
      </c>
      <c r="C174" s="9">
        <f>IF($K174="","",INDEX(מלאי!$C$2:$C$500,$K174))</f>
        <v/>
      </c>
      <c r="D174" s="9">
        <f>IF($K174="","",INDEX(מלאי!$G$2:$G$500,$K174))</f>
        <v/>
      </c>
      <c r="E174" s="9">
        <f>IF($K174="","",INDEX(מלאי!$M$2:$M$500,$K174))</f>
        <v/>
      </c>
      <c r="F174" s="9">
        <f>IF($K174="","",INDEX(מלאי!$N$2:$N$500,$K174))</f>
        <v/>
      </c>
      <c r="G174" s="9">
        <f>IF($K174="","",INDEX(מלאי!$O$2:$O$500,$K174))</f>
        <v/>
      </c>
      <c r="H174" s="9">
        <f>IF($K174="","",INDEX(מלאי!$U$2:$U$500,$K174))</f>
        <v/>
      </c>
      <c r="I174" s="9">
        <f>IF($K174="","",INDEX(מלאי!$X$2:$X$500,$K174))</f>
        <v/>
      </c>
      <c r="J174" s="9">
        <f>IF($K174="","",INDEX(מלאי!$AC$2:$AC$500,$K174))</f>
        <v/>
      </c>
      <c r="K17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טכנולוגיים'!$A$2:$A$500,0))&lt;=$G$6),0))),ROW(מלאי!$A$2:$A$500)-ROW(מלאי!$A$2)+1,""),152),"")</f>
        <v/>
      </c>
      <c r="L174" s="9">
        <f>IF($K174="","",IFERROR(INDEX('ערכים טכנולוגיים'!$M$2:$M$500,MATCH(A174,'ערכים טכנולוגיים'!$A$2:$A$500,0)),""))</f>
        <v/>
      </c>
      <c r="M174" s="9">
        <f>IF($K174="","",IFERROR(INDEX('ערכים טכנולוגיים'!$F$2:$F$500,MATCH(A174,'ערכים טכנולוגיים'!$A$2:$A$500,0)),""))</f>
        <v/>
      </c>
      <c r="N174" s="9">
        <f>IF($K174="","",IFERROR(INDEX('ערכים טכנולוגיים'!$J$2:$J$500,MATCH(A174,'ערכים טכנולוגיים'!$A$2:$A$500,0)),""))</f>
        <v/>
      </c>
      <c r="O174" s="9">
        <f>IF($K174="","",IFERROR(INDEX('ערכים טכנולוגיים'!$G$2:$G$500,MATCH(A174,'ערכים טכנולוגיים'!$A$2:$A$500,0)),""))</f>
        <v/>
      </c>
      <c r="P174" s="9">
        <f>IF($K174="","",IFERROR(INDEX('ערכים טכנולוגיים'!$K$2:$K$500,MATCH(A174,'ערכים טכנולוגיים'!$A$2:$A$500,0)),""))</f>
        <v/>
      </c>
      <c r="Q174" s="9">
        <f>IF($K174="","",IFERROR(INDEX('ערכים טכנולוגיים'!$P$2:$P$500,MATCH(A174,'ערכים טכנולוגיים'!$A$2:$A$500,0)),""))</f>
        <v/>
      </c>
    </row>
    <row r="175">
      <c r="A175" s="8">
        <f>IF($K175="","",INDEX(מלאי!$D$2:$D$500,$K175))</f>
        <v/>
      </c>
      <c r="B175" s="8">
        <f>IF($K175="","",INDEX(מלאי!$B$2:$B$500,$K175))</f>
        <v/>
      </c>
      <c r="C175" s="8">
        <f>IF($K175="","",INDEX(מלאי!$C$2:$C$500,$K175))</f>
        <v/>
      </c>
      <c r="D175" s="8">
        <f>IF($K175="","",INDEX(מלאי!$G$2:$G$500,$K175))</f>
        <v/>
      </c>
      <c r="E175" s="8">
        <f>IF($K175="","",INDEX(מלאי!$M$2:$M$500,$K175))</f>
        <v/>
      </c>
      <c r="F175" s="8">
        <f>IF($K175="","",INDEX(מלאי!$N$2:$N$500,$K175))</f>
        <v/>
      </c>
      <c r="G175" s="8">
        <f>IF($K175="","",INDEX(מלאי!$O$2:$O$500,$K175))</f>
        <v/>
      </c>
      <c r="H175" s="8">
        <f>IF($K175="","",INDEX(מלאי!$U$2:$U$500,$K175))</f>
        <v/>
      </c>
      <c r="I175" s="8">
        <f>IF($K175="","",INDEX(מלאי!$X$2:$X$500,$K175))</f>
        <v/>
      </c>
      <c r="J175" s="8">
        <f>IF($K175="","",INDEX(מלאי!$AC$2:$AC$500,$K175))</f>
        <v/>
      </c>
      <c r="K17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טכנולוגיים'!$A$2:$A$500,0))&lt;=$G$6),0))),ROW(מלאי!$A$2:$A$500)-ROW(מלאי!$A$2)+1,""),153),"")</f>
        <v/>
      </c>
      <c r="L175" s="8">
        <f>IF($K175="","",IFERROR(INDEX('ערכים טכנולוגיים'!$M$2:$M$500,MATCH(A175,'ערכים טכנולוגיים'!$A$2:$A$500,0)),""))</f>
        <v/>
      </c>
      <c r="M175" s="8">
        <f>IF($K175="","",IFERROR(INDEX('ערכים טכנולוגיים'!$F$2:$F$500,MATCH(A175,'ערכים טכנולוגיים'!$A$2:$A$500,0)),""))</f>
        <v/>
      </c>
      <c r="N175" s="8">
        <f>IF($K175="","",IFERROR(INDEX('ערכים טכנולוגיים'!$J$2:$J$500,MATCH(A175,'ערכים טכנולוגיים'!$A$2:$A$500,0)),""))</f>
        <v/>
      </c>
      <c r="O175" s="8">
        <f>IF($K175="","",IFERROR(INDEX('ערכים טכנולוגיים'!$G$2:$G$500,MATCH(A175,'ערכים טכנולוגיים'!$A$2:$A$500,0)),""))</f>
        <v/>
      </c>
      <c r="P175" s="8">
        <f>IF($K175="","",IFERROR(INDEX('ערכים טכנולוגיים'!$K$2:$K$500,MATCH(A175,'ערכים טכנולוגיים'!$A$2:$A$500,0)),""))</f>
        <v/>
      </c>
      <c r="Q175" s="8">
        <f>IF($K175="","",IFERROR(INDEX('ערכים טכנולוגיים'!$P$2:$P$500,MATCH(A175,'ערכים טכנולוגיים'!$A$2:$A$500,0)),""))</f>
        <v/>
      </c>
    </row>
    <row r="176">
      <c r="A176" s="9">
        <f>IF($K176="","",INDEX(מלאי!$D$2:$D$500,$K176))</f>
        <v/>
      </c>
      <c r="B176" s="9">
        <f>IF($K176="","",INDEX(מלאי!$B$2:$B$500,$K176))</f>
        <v/>
      </c>
      <c r="C176" s="9">
        <f>IF($K176="","",INDEX(מלאי!$C$2:$C$500,$K176))</f>
        <v/>
      </c>
      <c r="D176" s="9">
        <f>IF($K176="","",INDEX(מלאי!$G$2:$G$500,$K176))</f>
        <v/>
      </c>
      <c r="E176" s="9">
        <f>IF($K176="","",INDEX(מלאי!$M$2:$M$500,$K176))</f>
        <v/>
      </c>
      <c r="F176" s="9">
        <f>IF($K176="","",INDEX(מלאי!$N$2:$N$500,$K176))</f>
        <v/>
      </c>
      <c r="G176" s="9">
        <f>IF($K176="","",INDEX(מלאי!$O$2:$O$500,$K176))</f>
        <v/>
      </c>
      <c r="H176" s="9">
        <f>IF($K176="","",INDEX(מלאי!$U$2:$U$500,$K176))</f>
        <v/>
      </c>
      <c r="I176" s="9">
        <f>IF($K176="","",INDEX(מלאי!$X$2:$X$500,$K176))</f>
        <v/>
      </c>
      <c r="J176" s="9">
        <f>IF($K176="","",INDEX(מלאי!$AC$2:$AC$500,$K176))</f>
        <v/>
      </c>
      <c r="K17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טכנולוגיים'!$A$2:$A$500,0))&lt;=$G$6),0))),ROW(מלאי!$A$2:$A$500)-ROW(מלאי!$A$2)+1,""),154),"")</f>
        <v/>
      </c>
      <c r="L176" s="9">
        <f>IF($K176="","",IFERROR(INDEX('ערכים טכנולוגיים'!$M$2:$M$500,MATCH(A176,'ערכים טכנולוגיים'!$A$2:$A$500,0)),""))</f>
        <v/>
      </c>
      <c r="M176" s="9">
        <f>IF($K176="","",IFERROR(INDEX('ערכים טכנולוגיים'!$F$2:$F$500,MATCH(A176,'ערכים טכנולוגיים'!$A$2:$A$500,0)),""))</f>
        <v/>
      </c>
      <c r="N176" s="9">
        <f>IF($K176="","",IFERROR(INDEX('ערכים טכנולוגיים'!$J$2:$J$500,MATCH(A176,'ערכים טכנולוגיים'!$A$2:$A$500,0)),""))</f>
        <v/>
      </c>
      <c r="O176" s="9">
        <f>IF($K176="","",IFERROR(INDEX('ערכים טכנולוגיים'!$G$2:$G$500,MATCH(A176,'ערכים טכנולוגיים'!$A$2:$A$500,0)),""))</f>
        <v/>
      </c>
      <c r="P176" s="9">
        <f>IF($K176="","",IFERROR(INDEX('ערכים טכנולוגיים'!$K$2:$K$500,MATCH(A176,'ערכים טכנולוגיים'!$A$2:$A$500,0)),""))</f>
        <v/>
      </c>
      <c r="Q176" s="9">
        <f>IF($K176="","",IFERROR(INDEX('ערכים טכנולוגיים'!$P$2:$P$500,MATCH(A176,'ערכים טכנולוגיים'!$A$2:$A$500,0)),""))</f>
        <v/>
      </c>
    </row>
    <row r="177">
      <c r="A177" s="8">
        <f>IF($K177="","",INDEX(מלאי!$D$2:$D$500,$K177))</f>
        <v/>
      </c>
      <c r="B177" s="8">
        <f>IF($K177="","",INDEX(מלאי!$B$2:$B$500,$K177))</f>
        <v/>
      </c>
      <c r="C177" s="8">
        <f>IF($K177="","",INDEX(מלאי!$C$2:$C$500,$K177))</f>
        <v/>
      </c>
      <c r="D177" s="8">
        <f>IF($K177="","",INDEX(מלאי!$G$2:$G$500,$K177))</f>
        <v/>
      </c>
      <c r="E177" s="8">
        <f>IF($K177="","",INDEX(מלאי!$M$2:$M$500,$K177))</f>
        <v/>
      </c>
      <c r="F177" s="8">
        <f>IF($K177="","",INDEX(מלאי!$N$2:$N$500,$K177))</f>
        <v/>
      </c>
      <c r="G177" s="8">
        <f>IF($K177="","",INDEX(מלאי!$O$2:$O$500,$K177))</f>
        <v/>
      </c>
      <c r="H177" s="8">
        <f>IF($K177="","",INDEX(מלאי!$U$2:$U$500,$K177))</f>
        <v/>
      </c>
      <c r="I177" s="8">
        <f>IF($K177="","",INDEX(מלאי!$X$2:$X$500,$K177))</f>
        <v/>
      </c>
      <c r="J177" s="8">
        <f>IF($K177="","",INDEX(מלאי!$AC$2:$AC$500,$K177))</f>
        <v/>
      </c>
      <c r="K17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טכנולוגיים'!$A$2:$A$500,0))&lt;=$G$6),0))),ROW(מלאי!$A$2:$A$500)-ROW(מלאי!$A$2)+1,""),155),"")</f>
        <v/>
      </c>
      <c r="L177" s="8">
        <f>IF($K177="","",IFERROR(INDEX('ערכים טכנולוגיים'!$M$2:$M$500,MATCH(A177,'ערכים טכנולוגיים'!$A$2:$A$500,0)),""))</f>
        <v/>
      </c>
      <c r="M177" s="8">
        <f>IF($K177="","",IFERROR(INDEX('ערכים טכנולוגיים'!$F$2:$F$500,MATCH(A177,'ערכים טכנולוגיים'!$A$2:$A$500,0)),""))</f>
        <v/>
      </c>
      <c r="N177" s="8">
        <f>IF($K177="","",IFERROR(INDEX('ערכים טכנולוגיים'!$J$2:$J$500,MATCH(A177,'ערכים טכנולוגיים'!$A$2:$A$500,0)),""))</f>
        <v/>
      </c>
      <c r="O177" s="8">
        <f>IF($K177="","",IFERROR(INDEX('ערכים טכנולוגיים'!$G$2:$G$500,MATCH(A177,'ערכים טכנולוגיים'!$A$2:$A$500,0)),""))</f>
        <v/>
      </c>
      <c r="P177" s="8">
        <f>IF($K177="","",IFERROR(INDEX('ערכים טכנולוגיים'!$K$2:$K$500,MATCH(A177,'ערכים טכנולוגיים'!$A$2:$A$500,0)),""))</f>
        <v/>
      </c>
      <c r="Q177" s="8">
        <f>IF($K177="","",IFERROR(INDEX('ערכים טכנולוגיים'!$P$2:$P$500,MATCH(A177,'ערכים טכנולוגיים'!$A$2:$A$500,0)),""))</f>
        <v/>
      </c>
    </row>
    <row r="178">
      <c r="A178" s="9">
        <f>IF($K178="","",INDEX(מלאי!$D$2:$D$500,$K178))</f>
        <v/>
      </c>
      <c r="B178" s="9">
        <f>IF($K178="","",INDEX(מלאי!$B$2:$B$500,$K178))</f>
        <v/>
      </c>
      <c r="C178" s="9">
        <f>IF($K178="","",INDEX(מלאי!$C$2:$C$500,$K178))</f>
        <v/>
      </c>
      <c r="D178" s="9">
        <f>IF($K178="","",INDEX(מלאי!$G$2:$G$500,$K178))</f>
        <v/>
      </c>
      <c r="E178" s="9">
        <f>IF($K178="","",INDEX(מלאי!$M$2:$M$500,$K178))</f>
        <v/>
      </c>
      <c r="F178" s="9">
        <f>IF($K178="","",INDEX(מלאי!$N$2:$N$500,$K178))</f>
        <v/>
      </c>
      <c r="G178" s="9">
        <f>IF($K178="","",INDEX(מלאי!$O$2:$O$500,$K178))</f>
        <v/>
      </c>
      <c r="H178" s="9">
        <f>IF($K178="","",INDEX(מלאי!$U$2:$U$500,$K178))</f>
        <v/>
      </c>
      <c r="I178" s="9">
        <f>IF($K178="","",INDEX(מלאי!$X$2:$X$500,$K178))</f>
        <v/>
      </c>
      <c r="J178" s="9">
        <f>IF($K178="","",INDEX(מלאי!$AC$2:$AC$500,$K178))</f>
        <v/>
      </c>
      <c r="K17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טכנולוגיים'!$A$2:$A$500,0))&lt;=$G$6),0))),ROW(מלאי!$A$2:$A$500)-ROW(מלאי!$A$2)+1,""),156),"")</f>
        <v/>
      </c>
      <c r="L178" s="9">
        <f>IF($K178="","",IFERROR(INDEX('ערכים טכנולוגיים'!$M$2:$M$500,MATCH(A178,'ערכים טכנולוגיים'!$A$2:$A$500,0)),""))</f>
        <v/>
      </c>
      <c r="M178" s="9">
        <f>IF($K178="","",IFERROR(INDEX('ערכים טכנולוגיים'!$F$2:$F$500,MATCH(A178,'ערכים טכנולוגיים'!$A$2:$A$500,0)),""))</f>
        <v/>
      </c>
      <c r="N178" s="9">
        <f>IF($K178="","",IFERROR(INDEX('ערכים טכנולוגיים'!$J$2:$J$500,MATCH(A178,'ערכים טכנולוגיים'!$A$2:$A$500,0)),""))</f>
        <v/>
      </c>
      <c r="O178" s="9">
        <f>IF($K178="","",IFERROR(INDEX('ערכים טכנולוגיים'!$G$2:$G$500,MATCH(A178,'ערכים טכנולוגיים'!$A$2:$A$500,0)),""))</f>
        <v/>
      </c>
      <c r="P178" s="9">
        <f>IF($K178="","",IFERROR(INDEX('ערכים טכנולוגיים'!$K$2:$K$500,MATCH(A178,'ערכים טכנולוגיים'!$A$2:$A$500,0)),""))</f>
        <v/>
      </c>
      <c r="Q178" s="9">
        <f>IF($K178="","",IFERROR(INDEX('ערכים טכנולוגיים'!$P$2:$P$500,MATCH(A178,'ערכים טכנולוגיים'!$A$2:$A$500,0)),""))</f>
        <v/>
      </c>
    </row>
    <row r="179">
      <c r="A179" s="8">
        <f>IF($K179="","",INDEX(מלאי!$D$2:$D$500,$K179))</f>
        <v/>
      </c>
      <c r="B179" s="8">
        <f>IF($K179="","",INDEX(מלאי!$B$2:$B$500,$K179))</f>
        <v/>
      </c>
      <c r="C179" s="8">
        <f>IF($K179="","",INDEX(מלאי!$C$2:$C$500,$K179))</f>
        <v/>
      </c>
      <c r="D179" s="8">
        <f>IF($K179="","",INDEX(מלאי!$G$2:$G$500,$K179))</f>
        <v/>
      </c>
      <c r="E179" s="8">
        <f>IF($K179="","",INDEX(מלאי!$M$2:$M$500,$K179))</f>
        <v/>
      </c>
      <c r="F179" s="8">
        <f>IF($K179="","",INDEX(מלאי!$N$2:$N$500,$K179))</f>
        <v/>
      </c>
      <c r="G179" s="8">
        <f>IF($K179="","",INDEX(מלאי!$O$2:$O$500,$K179))</f>
        <v/>
      </c>
      <c r="H179" s="8">
        <f>IF($K179="","",INDEX(מלאי!$U$2:$U$500,$K179))</f>
        <v/>
      </c>
      <c r="I179" s="8">
        <f>IF($K179="","",INDEX(מלאי!$X$2:$X$500,$K179))</f>
        <v/>
      </c>
      <c r="J179" s="8">
        <f>IF($K179="","",INDEX(מלאי!$AC$2:$AC$500,$K179))</f>
        <v/>
      </c>
      <c r="K17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טכנולוגיים'!$A$2:$A$500,0))&lt;=$G$6),0))),ROW(מלאי!$A$2:$A$500)-ROW(מלאי!$A$2)+1,""),157),"")</f>
        <v/>
      </c>
      <c r="L179" s="8">
        <f>IF($K179="","",IFERROR(INDEX('ערכים טכנולוגיים'!$M$2:$M$500,MATCH(A179,'ערכים טכנולוגיים'!$A$2:$A$500,0)),""))</f>
        <v/>
      </c>
      <c r="M179" s="8">
        <f>IF($K179="","",IFERROR(INDEX('ערכים טכנולוגיים'!$F$2:$F$500,MATCH(A179,'ערכים טכנולוגיים'!$A$2:$A$500,0)),""))</f>
        <v/>
      </c>
      <c r="N179" s="8">
        <f>IF($K179="","",IFERROR(INDEX('ערכים טכנולוגיים'!$J$2:$J$500,MATCH(A179,'ערכים טכנולוגיים'!$A$2:$A$500,0)),""))</f>
        <v/>
      </c>
      <c r="O179" s="8">
        <f>IF($K179="","",IFERROR(INDEX('ערכים טכנולוגיים'!$G$2:$G$500,MATCH(A179,'ערכים טכנולוגיים'!$A$2:$A$500,0)),""))</f>
        <v/>
      </c>
      <c r="P179" s="8">
        <f>IF($K179="","",IFERROR(INDEX('ערכים טכנולוגיים'!$K$2:$K$500,MATCH(A179,'ערכים טכנולוגיים'!$A$2:$A$500,0)),""))</f>
        <v/>
      </c>
      <c r="Q179" s="8">
        <f>IF($K179="","",IFERROR(INDEX('ערכים טכנולוגיים'!$P$2:$P$500,MATCH(A179,'ערכים טכנולוגיים'!$A$2:$A$500,0)),""))</f>
        <v/>
      </c>
    </row>
    <row r="180">
      <c r="A180" s="9">
        <f>IF($K180="","",INDEX(מלאי!$D$2:$D$500,$K180))</f>
        <v/>
      </c>
      <c r="B180" s="9">
        <f>IF($K180="","",INDEX(מלאי!$B$2:$B$500,$K180))</f>
        <v/>
      </c>
      <c r="C180" s="9">
        <f>IF($K180="","",INDEX(מלאי!$C$2:$C$500,$K180))</f>
        <v/>
      </c>
      <c r="D180" s="9">
        <f>IF($K180="","",INDEX(מלאי!$G$2:$G$500,$K180))</f>
        <v/>
      </c>
      <c r="E180" s="9">
        <f>IF($K180="","",INDEX(מלאי!$M$2:$M$500,$K180))</f>
        <v/>
      </c>
      <c r="F180" s="9">
        <f>IF($K180="","",INDEX(מלאי!$N$2:$N$500,$K180))</f>
        <v/>
      </c>
      <c r="G180" s="9">
        <f>IF($K180="","",INDEX(מלאי!$O$2:$O$500,$K180))</f>
        <v/>
      </c>
      <c r="H180" s="9">
        <f>IF($K180="","",INDEX(מלאי!$U$2:$U$500,$K180))</f>
        <v/>
      </c>
      <c r="I180" s="9">
        <f>IF($K180="","",INDEX(מלאי!$X$2:$X$500,$K180))</f>
        <v/>
      </c>
      <c r="J180" s="9">
        <f>IF($K180="","",INDEX(מלאי!$AC$2:$AC$500,$K180))</f>
        <v/>
      </c>
      <c r="K18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טכנולוגיים'!$A$2:$A$500,0))&lt;=$G$6),0))),ROW(מלאי!$A$2:$A$500)-ROW(מלאי!$A$2)+1,""),158),"")</f>
        <v/>
      </c>
      <c r="L180" s="9">
        <f>IF($K180="","",IFERROR(INDEX('ערכים טכנולוגיים'!$M$2:$M$500,MATCH(A180,'ערכים טכנולוגיים'!$A$2:$A$500,0)),""))</f>
        <v/>
      </c>
      <c r="M180" s="9">
        <f>IF($K180="","",IFERROR(INDEX('ערכים טכנולוגיים'!$F$2:$F$500,MATCH(A180,'ערכים טכנולוגיים'!$A$2:$A$500,0)),""))</f>
        <v/>
      </c>
      <c r="N180" s="9">
        <f>IF($K180="","",IFERROR(INDEX('ערכים טכנולוגיים'!$J$2:$J$500,MATCH(A180,'ערכים טכנולוגיים'!$A$2:$A$500,0)),""))</f>
        <v/>
      </c>
      <c r="O180" s="9">
        <f>IF($K180="","",IFERROR(INDEX('ערכים טכנולוגיים'!$G$2:$G$500,MATCH(A180,'ערכים טכנולוגיים'!$A$2:$A$500,0)),""))</f>
        <v/>
      </c>
      <c r="P180" s="9">
        <f>IF($K180="","",IFERROR(INDEX('ערכים טכנולוגיים'!$K$2:$K$500,MATCH(A180,'ערכים טכנולוגיים'!$A$2:$A$500,0)),""))</f>
        <v/>
      </c>
      <c r="Q180" s="9">
        <f>IF($K180="","",IFERROR(INDEX('ערכים טכנולוגיים'!$P$2:$P$500,MATCH(A180,'ערכים טכנולוגיים'!$A$2:$A$500,0)),""))</f>
        <v/>
      </c>
    </row>
    <row r="181">
      <c r="A181" s="8">
        <f>IF($K181="","",INDEX(מלאי!$D$2:$D$500,$K181))</f>
        <v/>
      </c>
      <c r="B181" s="8">
        <f>IF($K181="","",INDEX(מלאי!$B$2:$B$500,$K181))</f>
        <v/>
      </c>
      <c r="C181" s="8">
        <f>IF($K181="","",INDEX(מלאי!$C$2:$C$500,$K181))</f>
        <v/>
      </c>
      <c r="D181" s="8">
        <f>IF($K181="","",INDEX(מלאי!$G$2:$G$500,$K181))</f>
        <v/>
      </c>
      <c r="E181" s="8">
        <f>IF($K181="","",INDEX(מלאי!$M$2:$M$500,$K181))</f>
        <v/>
      </c>
      <c r="F181" s="8">
        <f>IF($K181="","",INDEX(מלאי!$N$2:$N$500,$K181))</f>
        <v/>
      </c>
      <c r="G181" s="8">
        <f>IF($K181="","",INDEX(מלאי!$O$2:$O$500,$K181))</f>
        <v/>
      </c>
      <c r="H181" s="8">
        <f>IF($K181="","",INDEX(מלאי!$U$2:$U$500,$K181))</f>
        <v/>
      </c>
      <c r="I181" s="8">
        <f>IF($K181="","",INDEX(מלאי!$X$2:$X$500,$K181))</f>
        <v/>
      </c>
      <c r="J181" s="8">
        <f>IF($K181="","",INDEX(מלאי!$AC$2:$AC$500,$K181))</f>
        <v/>
      </c>
      <c r="K18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טכנולוגיים'!$A$2:$A$500,0))&lt;=$G$6),0))),ROW(מלאי!$A$2:$A$500)-ROW(מלאי!$A$2)+1,""),159),"")</f>
        <v/>
      </c>
      <c r="L181" s="8">
        <f>IF($K181="","",IFERROR(INDEX('ערכים טכנולוגיים'!$M$2:$M$500,MATCH(A181,'ערכים טכנולוגיים'!$A$2:$A$500,0)),""))</f>
        <v/>
      </c>
      <c r="M181" s="8">
        <f>IF($K181="","",IFERROR(INDEX('ערכים טכנולוגיים'!$F$2:$F$500,MATCH(A181,'ערכים טכנולוגיים'!$A$2:$A$500,0)),""))</f>
        <v/>
      </c>
      <c r="N181" s="8">
        <f>IF($K181="","",IFERROR(INDEX('ערכים טכנולוגיים'!$J$2:$J$500,MATCH(A181,'ערכים טכנולוגיים'!$A$2:$A$500,0)),""))</f>
        <v/>
      </c>
      <c r="O181" s="8">
        <f>IF($K181="","",IFERROR(INDEX('ערכים טכנולוגיים'!$G$2:$G$500,MATCH(A181,'ערכים טכנולוגיים'!$A$2:$A$500,0)),""))</f>
        <v/>
      </c>
      <c r="P181" s="8">
        <f>IF($K181="","",IFERROR(INDEX('ערכים טכנולוגיים'!$K$2:$K$500,MATCH(A181,'ערכים טכנולוגיים'!$A$2:$A$500,0)),""))</f>
        <v/>
      </c>
      <c r="Q181" s="8">
        <f>IF($K181="","",IFERROR(INDEX('ערכים טכנולוגיים'!$P$2:$P$500,MATCH(A181,'ערכים טכנולוגיים'!$A$2:$A$500,0)),""))</f>
        <v/>
      </c>
    </row>
    <row r="182">
      <c r="A182" s="9">
        <f>IF($K182="","",INDEX(מלאי!$D$2:$D$500,$K182))</f>
        <v/>
      </c>
      <c r="B182" s="9">
        <f>IF($K182="","",INDEX(מלאי!$B$2:$B$500,$K182))</f>
        <v/>
      </c>
      <c r="C182" s="9">
        <f>IF($K182="","",INDEX(מלאי!$C$2:$C$500,$K182))</f>
        <v/>
      </c>
      <c r="D182" s="9">
        <f>IF($K182="","",INDEX(מלאי!$G$2:$G$500,$K182))</f>
        <v/>
      </c>
      <c r="E182" s="9">
        <f>IF($K182="","",INDEX(מלאי!$M$2:$M$500,$K182))</f>
        <v/>
      </c>
      <c r="F182" s="9">
        <f>IF($K182="","",INDEX(מלאי!$N$2:$N$500,$K182))</f>
        <v/>
      </c>
      <c r="G182" s="9">
        <f>IF($K182="","",INDEX(מלאי!$O$2:$O$500,$K182))</f>
        <v/>
      </c>
      <c r="H182" s="9">
        <f>IF($K182="","",INDEX(מלאי!$U$2:$U$500,$K182))</f>
        <v/>
      </c>
      <c r="I182" s="9">
        <f>IF($K182="","",INDEX(מלאי!$X$2:$X$500,$K182))</f>
        <v/>
      </c>
      <c r="J182" s="9">
        <f>IF($K182="","",INDEX(מלאי!$AC$2:$AC$500,$K182))</f>
        <v/>
      </c>
      <c r="K18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טכנולוגיים'!$A$2:$A$500,0))&lt;=$G$6),0))),ROW(מלאי!$A$2:$A$500)-ROW(מלאי!$A$2)+1,""),160),"")</f>
        <v/>
      </c>
      <c r="L182" s="9">
        <f>IF($K182="","",IFERROR(INDEX('ערכים טכנולוגיים'!$M$2:$M$500,MATCH(A182,'ערכים טכנולוגיים'!$A$2:$A$500,0)),""))</f>
        <v/>
      </c>
      <c r="M182" s="9">
        <f>IF($K182="","",IFERROR(INDEX('ערכים טכנולוגיים'!$F$2:$F$500,MATCH(A182,'ערכים טכנולוגיים'!$A$2:$A$500,0)),""))</f>
        <v/>
      </c>
      <c r="N182" s="9">
        <f>IF($K182="","",IFERROR(INDEX('ערכים טכנולוגיים'!$J$2:$J$500,MATCH(A182,'ערכים טכנולוגיים'!$A$2:$A$500,0)),""))</f>
        <v/>
      </c>
      <c r="O182" s="9">
        <f>IF($K182="","",IFERROR(INDEX('ערכים טכנולוגיים'!$G$2:$G$500,MATCH(A182,'ערכים טכנולוגיים'!$A$2:$A$500,0)),""))</f>
        <v/>
      </c>
      <c r="P182" s="9">
        <f>IF($K182="","",IFERROR(INDEX('ערכים טכנולוגיים'!$K$2:$K$500,MATCH(A182,'ערכים טכנולוגיים'!$A$2:$A$500,0)),""))</f>
        <v/>
      </c>
      <c r="Q182" s="9">
        <f>IF($K182="","",IFERROR(INDEX('ערכים טכנולוגיים'!$P$2:$P$500,MATCH(A182,'ערכים טכנולוגיים'!$A$2:$A$500,0)),""))</f>
        <v/>
      </c>
    </row>
    <row r="183">
      <c r="A183" s="8">
        <f>IF($K183="","",INDEX(מלאי!$D$2:$D$500,$K183))</f>
        <v/>
      </c>
      <c r="B183" s="8">
        <f>IF($K183="","",INDEX(מלאי!$B$2:$B$500,$K183))</f>
        <v/>
      </c>
      <c r="C183" s="8">
        <f>IF($K183="","",INDEX(מלאי!$C$2:$C$500,$K183))</f>
        <v/>
      </c>
      <c r="D183" s="8">
        <f>IF($K183="","",INDEX(מלאי!$G$2:$G$500,$K183))</f>
        <v/>
      </c>
      <c r="E183" s="8">
        <f>IF($K183="","",INDEX(מלאי!$M$2:$M$500,$K183))</f>
        <v/>
      </c>
      <c r="F183" s="8">
        <f>IF($K183="","",INDEX(מלאי!$N$2:$N$500,$K183))</f>
        <v/>
      </c>
      <c r="G183" s="8">
        <f>IF($K183="","",INDEX(מלאי!$O$2:$O$500,$K183))</f>
        <v/>
      </c>
      <c r="H183" s="8">
        <f>IF($K183="","",INDEX(מלאי!$U$2:$U$500,$K183))</f>
        <v/>
      </c>
      <c r="I183" s="8">
        <f>IF($K183="","",INDEX(מלאי!$X$2:$X$500,$K183))</f>
        <v/>
      </c>
      <c r="J183" s="8">
        <f>IF($K183="","",INDEX(מלאי!$AC$2:$AC$500,$K183))</f>
        <v/>
      </c>
      <c r="K18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טכנולוגיים'!$A$2:$A$500,0))&lt;=$G$6),0))),ROW(מלאי!$A$2:$A$500)-ROW(מלאי!$A$2)+1,""),161),"")</f>
        <v/>
      </c>
      <c r="L183" s="8">
        <f>IF($K183="","",IFERROR(INDEX('ערכים טכנולוגיים'!$M$2:$M$500,MATCH(A183,'ערכים טכנולוגיים'!$A$2:$A$500,0)),""))</f>
        <v/>
      </c>
      <c r="M183" s="8">
        <f>IF($K183="","",IFERROR(INDEX('ערכים טכנולוגיים'!$F$2:$F$500,MATCH(A183,'ערכים טכנולוגיים'!$A$2:$A$500,0)),""))</f>
        <v/>
      </c>
      <c r="N183" s="8">
        <f>IF($K183="","",IFERROR(INDEX('ערכים טכנולוגיים'!$J$2:$J$500,MATCH(A183,'ערכים טכנולוגיים'!$A$2:$A$500,0)),""))</f>
        <v/>
      </c>
      <c r="O183" s="8">
        <f>IF($K183="","",IFERROR(INDEX('ערכים טכנולוגיים'!$G$2:$G$500,MATCH(A183,'ערכים טכנולוגיים'!$A$2:$A$500,0)),""))</f>
        <v/>
      </c>
      <c r="P183" s="8">
        <f>IF($K183="","",IFERROR(INDEX('ערכים טכנולוגיים'!$K$2:$K$500,MATCH(A183,'ערכים טכנולוגיים'!$A$2:$A$500,0)),""))</f>
        <v/>
      </c>
      <c r="Q183" s="8">
        <f>IF($K183="","",IFERROR(INDEX('ערכים טכנולוגיים'!$P$2:$P$500,MATCH(A183,'ערכים טכנולוגיים'!$A$2:$A$500,0)),""))</f>
        <v/>
      </c>
    </row>
    <row r="184">
      <c r="A184" s="9">
        <f>IF($K184="","",INDEX(מלאי!$D$2:$D$500,$K184))</f>
        <v/>
      </c>
      <c r="B184" s="9">
        <f>IF($K184="","",INDEX(מלאי!$B$2:$B$500,$K184))</f>
        <v/>
      </c>
      <c r="C184" s="9">
        <f>IF($K184="","",INDEX(מלאי!$C$2:$C$500,$K184))</f>
        <v/>
      </c>
      <c r="D184" s="9">
        <f>IF($K184="","",INDEX(מלאי!$G$2:$G$500,$K184))</f>
        <v/>
      </c>
      <c r="E184" s="9">
        <f>IF($K184="","",INDEX(מלאי!$M$2:$M$500,$K184))</f>
        <v/>
      </c>
      <c r="F184" s="9">
        <f>IF($K184="","",INDEX(מלאי!$N$2:$N$500,$K184))</f>
        <v/>
      </c>
      <c r="G184" s="9">
        <f>IF($K184="","",INDEX(מלאי!$O$2:$O$500,$K184))</f>
        <v/>
      </c>
      <c r="H184" s="9">
        <f>IF($K184="","",INDEX(מלאי!$U$2:$U$500,$K184))</f>
        <v/>
      </c>
      <c r="I184" s="9">
        <f>IF($K184="","",INDEX(מלאי!$X$2:$X$500,$K184))</f>
        <v/>
      </c>
      <c r="J184" s="9">
        <f>IF($K184="","",INDEX(מלאי!$AC$2:$AC$500,$K184))</f>
        <v/>
      </c>
      <c r="K18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טכנולוגיים'!$A$2:$A$500,0))&lt;=$G$6),0))),ROW(מלאי!$A$2:$A$500)-ROW(מלאי!$A$2)+1,""),162),"")</f>
        <v/>
      </c>
      <c r="L184" s="9">
        <f>IF($K184="","",IFERROR(INDEX('ערכים טכנולוגיים'!$M$2:$M$500,MATCH(A184,'ערכים טכנולוגיים'!$A$2:$A$500,0)),""))</f>
        <v/>
      </c>
      <c r="M184" s="9">
        <f>IF($K184="","",IFERROR(INDEX('ערכים טכנולוגיים'!$F$2:$F$500,MATCH(A184,'ערכים טכנולוגיים'!$A$2:$A$500,0)),""))</f>
        <v/>
      </c>
      <c r="N184" s="9">
        <f>IF($K184="","",IFERROR(INDEX('ערכים טכנולוגיים'!$J$2:$J$500,MATCH(A184,'ערכים טכנולוגיים'!$A$2:$A$500,0)),""))</f>
        <v/>
      </c>
      <c r="O184" s="9">
        <f>IF($K184="","",IFERROR(INDEX('ערכים טכנולוגיים'!$G$2:$G$500,MATCH(A184,'ערכים טכנולוגיים'!$A$2:$A$500,0)),""))</f>
        <v/>
      </c>
      <c r="P184" s="9">
        <f>IF($K184="","",IFERROR(INDEX('ערכים טכנולוגיים'!$K$2:$K$500,MATCH(A184,'ערכים טכנולוגיים'!$A$2:$A$500,0)),""))</f>
        <v/>
      </c>
      <c r="Q184" s="9">
        <f>IF($K184="","",IFERROR(INDEX('ערכים טכנולוגיים'!$P$2:$P$500,MATCH(A184,'ערכים טכנולוגיים'!$A$2:$A$500,0)),""))</f>
        <v/>
      </c>
    </row>
    <row r="185">
      <c r="A185" s="8">
        <f>IF($K185="","",INDEX(מלאי!$D$2:$D$500,$K185))</f>
        <v/>
      </c>
      <c r="B185" s="8">
        <f>IF($K185="","",INDEX(מלאי!$B$2:$B$500,$K185))</f>
        <v/>
      </c>
      <c r="C185" s="8">
        <f>IF($K185="","",INDEX(מלאי!$C$2:$C$500,$K185))</f>
        <v/>
      </c>
      <c r="D185" s="8">
        <f>IF($K185="","",INDEX(מלאי!$G$2:$G$500,$K185))</f>
        <v/>
      </c>
      <c r="E185" s="8">
        <f>IF($K185="","",INDEX(מלאי!$M$2:$M$500,$K185))</f>
        <v/>
      </c>
      <c r="F185" s="8">
        <f>IF($K185="","",INDEX(מלאי!$N$2:$N$500,$K185))</f>
        <v/>
      </c>
      <c r="G185" s="8">
        <f>IF($K185="","",INDEX(מלאי!$O$2:$O$500,$K185))</f>
        <v/>
      </c>
      <c r="H185" s="8">
        <f>IF($K185="","",INDEX(מלאי!$U$2:$U$500,$K185))</f>
        <v/>
      </c>
      <c r="I185" s="8">
        <f>IF($K185="","",INDEX(מלאי!$X$2:$X$500,$K185))</f>
        <v/>
      </c>
      <c r="J185" s="8">
        <f>IF($K185="","",INDEX(מלאי!$AC$2:$AC$500,$K185))</f>
        <v/>
      </c>
      <c r="K18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טכנולוגיים'!$A$2:$A$500,0))&lt;=$G$6),0))),ROW(מלאי!$A$2:$A$500)-ROW(מלאי!$A$2)+1,""),163),"")</f>
        <v/>
      </c>
      <c r="L185" s="8">
        <f>IF($K185="","",IFERROR(INDEX('ערכים טכנולוגיים'!$M$2:$M$500,MATCH(A185,'ערכים טכנולוגיים'!$A$2:$A$500,0)),""))</f>
        <v/>
      </c>
      <c r="M185" s="8">
        <f>IF($K185="","",IFERROR(INDEX('ערכים טכנולוגיים'!$F$2:$F$500,MATCH(A185,'ערכים טכנולוגיים'!$A$2:$A$500,0)),""))</f>
        <v/>
      </c>
      <c r="N185" s="8">
        <f>IF($K185="","",IFERROR(INDEX('ערכים טכנולוגיים'!$J$2:$J$500,MATCH(A185,'ערכים טכנולוגיים'!$A$2:$A$500,0)),""))</f>
        <v/>
      </c>
      <c r="O185" s="8">
        <f>IF($K185="","",IFERROR(INDEX('ערכים טכנולוגיים'!$G$2:$G$500,MATCH(A185,'ערכים טכנולוגיים'!$A$2:$A$500,0)),""))</f>
        <v/>
      </c>
      <c r="P185" s="8">
        <f>IF($K185="","",IFERROR(INDEX('ערכים טכנולוגיים'!$K$2:$K$500,MATCH(A185,'ערכים טכנולוגיים'!$A$2:$A$500,0)),""))</f>
        <v/>
      </c>
      <c r="Q185" s="8">
        <f>IF($K185="","",IFERROR(INDEX('ערכים טכנולוגיים'!$P$2:$P$500,MATCH(A185,'ערכים טכנולוגיים'!$A$2:$A$500,0)),""))</f>
        <v/>
      </c>
    </row>
    <row r="186">
      <c r="A186" s="9">
        <f>IF($K186="","",INDEX(מלאי!$D$2:$D$500,$K186))</f>
        <v/>
      </c>
      <c r="B186" s="9">
        <f>IF($K186="","",INDEX(מלאי!$B$2:$B$500,$K186))</f>
        <v/>
      </c>
      <c r="C186" s="9">
        <f>IF($K186="","",INDEX(מלאי!$C$2:$C$500,$K186))</f>
        <v/>
      </c>
      <c r="D186" s="9">
        <f>IF($K186="","",INDEX(מלאי!$G$2:$G$500,$K186))</f>
        <v/>
      </c>
      <c r="E186" s="9">
        <f>IF($K186="","",INDEX(מלאי!$M$2:$M$500,$K186))</f>
        <v/>
      </c>
      <c r="F186" s="9">
        <f>IF($K186="","",INDEX(מלאי!$N$2:$N$500,$K186))</f>
        <v/>
      </c>
      <c r="G186" s="9">
        <f>IF($K186="","",INDEX(מלאי!$O$2:$O$500,$K186))</f>
        <v/>
      </c>
      <c r="H186" s="9">
        <f>IF($K186="","",INDEX(מלאי!$U$2:$U$500,$K186))</f>
        <v/>
      </c>
      <c r="I186" s="9">
        <f>IF($K186="","",INDEX(מלאי!$X$2:$X$500,$K186))</f>
        <v/>
      </c>
      <c r="J186" s="9">
        <f>IF($K186="","",INDEX(מלאי!$AC$2:$AC$500,$K186))</f>
        <v/>
      </c>
      <c r="K18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טכנולוגיים'!$A$2:$A$500,0))&lt;=$G$6),0))),ROW(מלאי!$A$2:$A$500)-ROW(מלאי!$A$2)+1,""),164),"")</f>
        <v/>
      </c>
      <c r="L186" s="9">
        <f>IF($K186="","",IFERROR(INDEX('ערכים טכנולוגיים'!$M$2:$M$500,MATCH(A186,'ערכים טכנולוגיים'!$A$2:$A$500,0)),""))</f>
        <v/>
      </c>
      <c r="M186" s="9">
        <f>IF($K186="","",IFERROR(INDEX('ערכים טכנולוגיים'!$F$2:$F$500,MATCH(A186,'ערכים טכנולוגיים'!$A$2:$A$500,0)),""))</f>
        <v/>
      </c>
      <c r="N186" s="9">
        <f>IF($K186="","",IFERROR(INDEX('ערכים טכנולוגיים'!$J$2:$J$500,MATCH(A186,'ערכים טכנולוגיים'!$A$2:$A$500,0)),""))</f>
        <v/>
      </c>
      <c r="O186" s="9">
        <f>IF($K186="","",IFERROR(INDEX('ערכים טכנולוגיים'!$G$2:$G$500,MATCH(A186,'ערכים טכנולוגיים'!$A$2:$A$500,0)),""))</f>
        <v/>
      </c>
      <c r="P186" s="9">
        <f>IF($K186="","",IFERROR(INDEX('ערכים טכנולוגיים'!$K$2:$K$500,MATCH(A186,'ערכים טכנולוגיים'!$A$2:$A$500,0)),""))</f>
        <v/>
      </c>
      <c r="Q186" s="9">
        <f>IF($K186="","",IFERROR(INDEX('ערכים טכנולוגיים'!$P$2:$P$500,MATCH(A186,'ערכים טכנולוגיים'!$A$2:$A$500,0)),""))</f>
        <v/>
      </c>
    </row>
    <row r="187">
      <c r="A187" s="8">
        <f>IF($K187="","",INDEX(מלאי!$D$2:$D$500,$K187))</f>
        <v/>
      </c>
      <c r="B187" s="8">
        <f>IF($K187="","",INDEX(מלאי!$B$2:$B$500,$K187))</f>
        <v/>
      </c>
      <c r="C187" s="8">
        <f>IF($K187="","",INDEX(מלאי!$C$2:$C$500,$K187))</f>
        <v/>
      </c>
      <c r="D187" s="8">
        <f>IF($K187="","",INDEX(מלאי!$G$2:$G$500,$K187))</f>
        <v/>
      </c>
      <c r="E187" s="8">
        <f>IF($K187="","",INDEX(מלאי!$M$2:$M$500,$K187))</f>
        <v/>
      </c>
      <c r="F187" s="8">
        <f>IF($K187="","",INDEX(מלאי!$N$2:$N$500,$K187))</f>
        <v/>
      </c>
      <c r="G187" s="8">
        <f>IF($K187="","",INDEX(מלאי!$O$2:$O$500,$K187))</f>
        <v/>
      </c>
      <c r="H187" s="8">
        <f>IF($K187="","",INDEX(מלאי!$U$2:$U$500,$K187))</f>
        <v/>
      </c>
      <c r="I187" s="8">
        <f>IF($K187="","",INDEX(מלאי!$X$2:$X$500,$K187))</f>
        <v/>
      </c>
      <c r="J187" s="8">
        <f>IF($K187="","",INDEX(מלאי!$AC$2:$AC$500,$K187))</f>
        <v/>
      </c>
      <c r="K18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טכנולוגיים'!$A$2:$A$500,0))&lt;=$G$6),0))),ROW(מלאי!$A$2:$A$500)-ROW(מלאי!$A$2)+1,""),165),"")</f>
        <v/>
      </c>
      <c r="L187" s="8">
        <f>IF($K187="","",IFERROR(INDEX('ערכים טכנולוגיים'!$M$2:$M$500,MATCH(A187,'ערכים טכנולוגיים'!$A$2:$A$500,0)),""))</f>
        <v/>
      </c>
      <c r="M187" s="8">
        <f>IF($K187="","",IFERROR(INDEX('ערכים טכנולוגיים'!$F$2:$F$500,MATCH(A187,'ערכים טכנולוגיים'!$A$2:$A$500,0)),""))</f>
        <v/>
      </c>
      <c r="N187" s="8">
        <f>IF($K187="","",IFERROR(INDEX('ערכים טכנולוגיים'!$J$2:$J$500,MATCH(A187,'ערכים טכנולוגיים'!$A$2:$A$500,0)),""))</f>
        <v/>
      </c>
      <c r="O187" s="8">
        <f>IF($K187="","",IFERROR(INDEX('ערכים טכנולוגיים'!$G$2:$G$500,MATCH(A187,'ערכים טכנולוגיים'!$A$2:$A$500,0)),""))</f>
        <v/>
      </c>
      <c r="P187" s="8">
        <f>IF($K187="","",IFERROR(INDEX('ערכים טכנולוגיים'!$K$2:$K$500,MATCH(A187,'ערכים טכנולוגיים'!$A$2:$A$500,0)),""))</f>
        <v/>
      </c>
      <c r="Q187" s="8">
        <f>IF($K187="","",IFERROR(INDEX('ערכים טכנולוגיים'!$P$2:$P$500,MATCH(A187,'ערכים טכנולוגיים'!$A$2:$A$500,0)),""))</f>
        <v/>
      </c>
    </row>
    <row r="188">
      <c r="A188" s="9">
        <f>IF($K188="","",INDEX(מלאי!$D$2:$D$500,$K188))</f>
        <v/>
      </c>
      <c r="B188" s="9">
        <f>IF($K188="","",INDEX(מלאי!$B$2:$B$500,$K188))</f>
        <v/>
      </c>
      <c r="C188" s="9">
        <f>IF($K188="","",INDEX(מלאי!$C$2:$C$500,$K188))</f>
        <v/>
      </c>
      <c r="D188" s="9">
        <f>IF($K188="","",INDEX(מלאי!$G$2:$G$500,$K188))</f>
        <v/>
      </c>
      <c r="E188" s="9">
        <f>IF($K188="","",INDEX(מלאי!$M$2:$M$500,$K188))</f>
        <v/>
      </c>
      <c r="F188" s="9">
        <f>IF($K188="","",INDEX(מלאי!$N$2:$N$500,$K188))</f>
        <v/>
      </c>
      <c r="G188" s="9">
        <f>IF($K188="","",INDEX(מלאי!$O$2:$O$500,$K188))</f>
        <v/>
      </c>
      <c r="H188" s="9">
        <f>IF($K188="","",INDEX(מלאי!$U$2:$U$500,$K188))</f>
        <v/>
      </c>
      <c r="I188" s="9">
        <f>IF($K188="","",INDEX(מלאי!$X$2:$X$500,$K188))</f>
        <v/>
      </c>
      <c r="J188" s="9">
        <f>IF($K188="","",INDEX(מלאי!$AC$2:$AC$500,$K188))</f>
        <v/>
      </c>
      <c r="K18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טכנולוגיים'!$A$2:$A$500,0))&lt;=$G$6),0))),ROW(מלאי!$A$2:$A$500)-ROW(מלאי!$A$2)+1,""),166),"")</f>
        <v/>
      </c>
      <c r="L188" s="9">
        <f>IF($K188="","",IFERROR(INDEX('ערכים טכנולוגיים'!$M$2:$M$500,MATCH(A188,'ערכים טכנולוגיים'!$A$2:$A$500,0)),""))</f>
        <v/>
      </c>
      <c r="M188" s="9">
        <f>IF($K188="","",IFERROR(INDEX('ערכים טכנולוגיים'!$F$2:$F$500,MATCH(A188,'ערכים טכנולוגיים'!$A$2:$A$500,0)),""))</f>
        <v/>
      </c>
      <c r="N188" s="9">
        <f>IF($K188="","",IFERROR(INDEX('ערכים טכנולוגיים'!$J$2:$J$500,MATCH(A188,'ערכים טכנולוגיים'!$A$2:$A$500,0)),""))</f>
        <v/>
      </c>
      <c r="O188" s="9">
        <f>IF($K188="","",IFERROR(INDEX('ערכים טכנולוגיים'!$G$2:$G$500,MATCH(A188,'ערכים טכנולוגיים'!$A$2:$A$500,0)),""))</f>
        <v/>
      </c>
      <c r="P188" s="9">
        <f>IF($K188="","",IFERROR(INDEX('ערכים טכנולוגיים'!$K$2:$K$500,MATCH(A188,'ערכים טכנולוגיים'!$A$2:$A$500,0)),""))</f>
        <v/>
      </c>
      <c r="Q188" s="9">
        <f>IF($K188="","",IFERROR(INDEX('ערכים טכנולוגיים'!$P$2:$P$500,MATCH(A188,'ערכים טכנולוגיים'!$A$2:$A$500,0)),""))</f>
        <v/>
      </c>
    </row>
    <row r="189">
      <c r="A189" s="8">
        <f>IF($K189="","",INDEX(מלאי!$D$2:$D$500,$K189))</f>
        <v/>
      </c>
      <c r="B189" s="8">
        <f>IF($K189="","",INDEX(מלאי!$B$2:$B$500,$K189))</f>
        <v/>
      </c>
      <c r="C189" s="8">
        <f>IF($K189="","",INDEX(מלאי!$C$2:$C$500,$K189))</f>
        <v/>
      </c>
      <c r="D189" s="8">
        <f>IF($K189="","",INDEX(מלאי!$G$2:$G$500,$K189))</f>
        <v/>
      </c>
      <c r="E189" s="8">
        <f>IF($K189="","",INDEX(מלאי!$M$2:$M$500,$K189))</f>
        <v/>
      </c>
      <c r="F189" s="8">
        <f>IF($K189="","",INDEX(מלאי!$N$2:$N$500,$K189))</f>
        <v/>
      </c>
      <c r="G189" s="8">
        <f>IF($K189="","",INDEX(מלאי!$O$2:$O$500,$K189))</f>
        <v/>
      </c>
      <c r="H189" s="8">
        <f>IF($K189="","",INDEX(מלאי!$U$2:$U$500,$K189))</f>
        <v/>
      </c>
      <c r="I189" s="8">
        <f>IF($K189="","",INDEX(מלאי!$X$2:$X$500,$K189))</f>
        <v/>
      </c>
      <c r="J189" s="8">
        <f>IF($K189="","",INDEX(מלאי!$AC$2:$AC$500,$K189))</f>
        <v/>
      </c>
      <c r="K18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טכנולוגיים'!$A$2:$A$500,0))&lt;=$G$6),0))),ROW(מלאי!$A$2:$A$500)-ROW(מלאי!$A$2)+1,""),167),"")</f>
        <v/>
      </c>
      <c r="L189" s="8">
        <f>IF($K189="","",IFERROR(INDEX('ערכים טכנולוגיים'!$M$2:$M$500,MATCH(A189,'ערכים טכנולוגיים'!$A$2:$A$500,0)),""))</f>
        <v/>
      </c>
      <c r="M189" s="8">
        <f>IF($K189="","",IFERROR(INDEX('ערכים טכנולוגיים'!$F$2:$F$500,MATCH(A189,'ערכים טכנולוגיים'!$A$2:$A$500,0)),""))</f>
        <v/>
      </c>
      <c r="N189" s="8">
        <f>IF($K189="","",IFERROR(INDEX('ערכים טכנולוגיים'!$J$2:$J$500,MATCH(A189,'ערכים טכנולוגיים'!$A$2:$A$500,0)),""))</f>
        <v/>
      </c>
      <c r="O189" s="8">
        <f>IF($K189="","",IFERROR(INDEX('ערכים טכנולוגיים'!$G$2:$G$500,MATCH(A189,'ערכים טכנולוגיים'!$A$2:$A$500,0)),""))</f>
        <v/>
      </c>
      <c r="P189" s="8">
        <f>IF($K189="","",IFERROR(INDEX('ערכים טכנולוגיים'!$K$2:$K$500,MATCH(A189,'ערכים טכנולוגיים'!$A$2:$A$500,0)),""))</f>
        <v/>
      </c>
      <c r="Q189" s="8">
        <f>IF($K189="","",IFERROR(INDEX('ערכים טכנולוגיים'!$P$2:$P$500,MATCH(A189,'ערכים טכנולוגיים'!$A$2:$A$500,0)),""))</f>
        <v/>
      </c>
    </row>
    <row r="190">
      <c r="A190" s="9">
        <f>IF($K190="","",INDEX(מלאי!$D$2:$D$500,$K190))</f>
        <v/>
      </c>
      <c r="B190" s="9">
        <f>IF($K190="","",INDEX(מלאי!$B$2:$B$500,$K190))</f>
        <v/>
      </c>
      <c r="C190" s="9">
        <f>IF($K190="","",INDEX(מלאי!$C$2:$C$500,$K190))</f>
        <v/>
      </c>
      <c r="D190" s="9">
        <f>IF($K190="","",INDEX(מלאי!$G$2:$G$500,$K190))</f>
        <v/>
      </c>
      <c r="E190" s="9">
        <f>IF($K190="","",INDEX(מלאי!$M$2:$M$500,$K190))</f>
        <v/>
      </c>
      <c r="F190" s="9">
        <f>IF($K190="","",INDEX(מלאי!$N$2:$N$500,$K190))</f>
        <v/>
      </c>
      <c r="G190" s="9">
        <f>IF($K190="","",INDEX(מלאי!$O$2:$O$500,$K190))</f>
        <v/>
      </c>
      <c r="H190" s="9">
        <f>IF($K190="","",INDEX(מלאי!$U$2:$U$500,$K190))</f>
        <v/>
      </c>
      <c r="I190" s="9">
        <f>IF($K190="","",INDEX(מלאי!$X$2:$X$500,$K190))</f>
        <v/>
      </c>
      <c r="J190" s="9">
        <f>IF($K190="","",INDEX(מלאי!$AC$2:$AC$500,$K190))</f>
        <v/>
      </c>
      <c r="K19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טכנולוגיים'!$A$2:$A$500,0))&lt;=$G$6),0))),ROW(מלאי!$A$2:$A$500)-ROW(מלאי!$A$2)+1,""),168),"")</f>
        <v/>
      </c>
      <c r="L190" s="9">
        <f>IF($K190="","",IFERROR(INDEX('ערכים טכנולוגיים'!$M$2:$M$500,MATCH(A190,'ערכים טכנולוגיים'!$A$2:$A$500,0)),""))</f>
        <v/>
      </c>
      <c r="M190" s="9">
        <f>IF($K190="","",IFERROR(INDEX('ערכים טכנולוגיים'!$F$2:$F$500,MATCH(A190,'ערכים טכנולוגיים'!$A$2:$A$500,0)),""))</f>
        <v/>
      </c>
      <c r="N190" s="9">
        <f>IF($K190="","",IFERROR(INDEX('ערכים טכנולוגיים'!$J$2:$J$500,MATCH(A190,'ערכים טכנולוגיים'!$A$2:$A$500,0)),""))</f>
        <v/>
      </c>
      <c r="O190" s="9">
        <f>IF($K190="","",IFERROR(INDEX('ערכים טכנולוגיים'!$G$2:$G$500,MATCH(A190,'ערכים טכנולוגיים'!$A$2:$A$500,0)),""))</f>
        <v/>
      </c>
      <c r="P190" s="9">
        <f>IF($K190="","",IFERROR(INDEX('ערכים טכנולוגיים'!$K$2:$K$500,MATCH(A190,'ערכים טכנולוגיים'!$A$2:$A$500,0)),""))</f>
        <v/>
      </c>
      <c r="Q190" s="9">
        <f>IF($K190="","",IFERROR(INDEX('ערכים טכנולוגיים'!$P$2:$P$500,MATCH(A190,'ערכים טכנולוגיים'!$A$2:$A$500,0)),""))</f>
        <v/>
      </c>
    </row>
    <row r="191">
      <c r="A191" s="8">
        <f>IF($K191="","",INDEX(מלאי!$D$2:$D$500,$K191))</f>
        <v/>
      </c>
      <c r="B191" s="8">
        <f>IF($K191="","",INDEX(מלאי!$B$2:$B$500,$K191))</f>
        <v/>
      </c>
      <c r="C191" s="8">
        <f>IF($K191="","",INDEX(מלאי!$C$2:$C$500,$K191))</f>
        <v/>
      </c>
      <c r="D191" s="8">
        <f>IF($K191="","",INDEX(מלאי!$G$2:$G$500,$K191))</f>
        <v/>
      </c>
      <c r="E191" s="8">
        <f>IF($K191="","",INDEX(מלאי!$M$2:$M$500,$K191))</f>
        <v/>
      </c>
      <c r="F191" s="8">
        <f>IF($K191="","",INDEX(מלאי!$N$2:$N$500,$K191))</f>
        <v/>
      </c>
      <c r="G191" s="8">
        <f>IF($K191="","",INDEX(מלאי!$O$2:$O$500,$K191))</f>
        <v/>
      </c>
      <c r="H191" s="8">
        <f>IF($K191="","",INDEX(מלאי!$U$2:$U$500,$K191))</f>
        <v/>
      </c>
      <c r="I191" s="8">
        <f>IF($K191="","",INDEX(מלאי!$X$2:$X$500,$K191))</f>
        <v/>
      </c>
      <c r="J191" s="8">
        <f>IF($K191="","",INDEX(מלאי!$AC$2:$AC$500,$K191))</f>
        <v/>
      </c>
      <c r="K19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טכנולוגיים'!$A$2:$A$500,0))&lt;=$G$6),0))),ROW(מלאי!$A$2:$A$500)-ROW(מלאי!$A$2)+1,""),169),"")</f>
        <v/>
      </c>
      <c r="L191" s="8">
        <f>IF($K191="","",IFERROR(INDEX('ערכים טכנולוגיים'!$M$2:$M$500,MATCH(A191,'ערכים טכנולוגיים'!$A$2:$A$500,0)),""))</f>
        <v/>
      </c>
      <c r="M191" s="8">
        <f>IF($K191="","",IFERROR(INDEX('ערכים טכנולוגיים'!$F$2:$F$500,MATCH(A191,'ערכים טכנולוגיים'!$A$2:$A$500,0)),""))</f>
        <v/>
      </c>
      <c r="N191" s="8">
        <f>IF($K191="","",IFERROR(INDEX('ערכים טכנולוגיים'!$J$2:$J$500,MATCH(A191,'ערכים טכנולוגיים'!$A$2:$A$500,0)),""))</f>
        <v/>
      </c>
      <c r="O191" s="8">
        <f>IF($K191="","",IFERROR(INDEX('ערכים טכנולוגיים'!$G$2:$G$500,MATCH(A191,'ערכים טכנולוגיים'!$A$2:$A$500,0)),""))</f>
        <v/>
      </c>
      <c r="P191" s="8">
        <f>IF($K191="","",IFERROR(INDEX('ערכים טכנולוגיים'!$K$2:$K$500,MATCH(A191,'ערכים טכנולוגיים'!$A$2:$A$500,0)),""))</f>
        <v/>
      </c>
      <c r="Q191" s="8">
        <f>IF($K191="","",IFERROR(INDEX('ערכים טכנולוגיים'!$P$2:$P$500,MATCH(A191,'ערכים טכנולוגיים'!$A$2:$A$500,0)),""))</f>
        <v/>
      </c>
    </row>
    <row r="192">
      <c r="A192" s="9">
        <f>IF($K192="","",INDEX(מלאי!$D$2:$D$500,$K192))</f>
        <v/>
      </c>
      <c r="B192" s="9">
        <f>IF($K192="","",INDEX(מלאי!$B$2:$B$500,$K192))</f>
        <v/>
      </c>
      <c r="C192" s="9">
        <f>IF($K192="","",INDEX(מלאי!$C$2:$C$500,$K192))</f>
        <v/>
      </c>
      <c r="D192" s="9">
        <f>IF($K192="","",INDEX(מלאי!$G$2:$G$500,$K192))</f>
        <v/>
      </c>
      <c r="E192" s="9">
        <f>IF($K192="","",INDEX(מלאי!$M$2:$M$500,$K192))</f>
        <v/>
      </c>
      <c r="F192" s="9">
        <f>IF($K192="","",INDEX(מלאי!$N$2:$N$500,$K192))</f>
        <v/>
      </c>
      <c r="G192" s="9">
        <f>IF($K192="","",INDEX(מלאי!$O$2:$O$500,$K192))</f>
        <v/>
      </c>
      <c r="H192" s="9">
        <f>IF($K192="","",INDEX(מלאי!$U$2:$U$500,$K192))</f>
        <v/>
      </c>
      <c r="I192" s="9">
        <f>IF($K192="","",INDEX(מלאי!$X$2:$X$500,$K192))</f>
        <v/>
      </c>
      <c r="J192" s="9">
        <f>IF($K192="","",INDEX(מלאי!$AC$2:$AC$500,$K192))</f>
        <v/>
      </c>
      <c r="K19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טכנולוגיים'!$A$2:$A$500,0))&lt;=$G$6),0))),ROW(מלאי!$A$2:$A$500)-ROW(מלאי!$A$2)+1,""),170),"")</f>
        <v/>
      </c>
      <c r="L192" s="9">
        <f>IF($K192="","",IFERROR(INDEX('ערכים טכנולוגיים'!$M$2:$M$500,MATCH(A192,'ערכים טכנולוגיים'!$A$2:$A$500,0)),""))</f>
        <v/>
      </c>
      <c r="M192" s="9">
        <f>IF($K192="","",IFERROR(INDEX('ערכים טכנולוגיים'!$F$2:$F$500,MATCH(A192,'ערכים טכנולוגיים'!$A$2:$A$500,0)),""))</f>
        <v/>
      </c>
      <c r="N192" s="9">
        <f>IF($K192="","",IFERROR(INDEX('ערכים טכנולוגיים'!$J$2:$J$500,MATCH(A192,'ערכים טכנולוגיים'!$A$2:$A$500,0)),""))</f>
        <v/>
      </c>
      <c r="O192" s="9">
        <f>IF($K192="","",IFERROR(INDEX('ערכים טכנולוגיים'!$G$2:$G$500,MATCH(A192,'ערכים טכנולוגיים'!$A$2:$A$500,0)),""))</f>
        <v/>
      </c>
      <c r="P192" s="9">
        <f>IF($K192="","",IFERROR(INDEX('ערכים טכנולוגיים'!$K$2:$K$500,MATCH(A192,'ערכים טכנולוגיים'!$A$2:$A$500,0)),""))</f>
        <v/>
      </c>
      <c r="Q192" s="9">
        <f>IF($K192="","",IFERROR(INDEX('ערכים טכנולוגיים'!$P$2:$P$500,MATCH(A192,'ערכים טכנולוגיים'!$A$2:$A$500,0)),""))</f>
        <v/>
      </c>
    </row>
    <row r="193">
      <c r="A193" s="8">
        <f>IF($K193="","",INDEX(מלאי!$D$2:$D$500,$K193))</f>
        <v/>
      </c>
      <c r="B193" s="8">
        <f>IF($K193="","",INDEX(מלאי!$B$2:$B$500,$K193))</f>
        <v/>
      </c>
      <c r="C193" s="8">
        <f>IF($K193="","",INDEX(מלאי!$C$2:$C$500,$K193))</f>
        <v/>
      </c>
      <c r="D193" s="8">
        <f>IF($K193="","",INDEX(מלאי!$G$2:$G$500,$K193))</f>
        <v/>
      </c>
      <c r="E193" s="8">
        <f>IF($K193="","",INDEX(מלאי!$M$2:$M$500,$K193))</f>
        <v/>
      </c>
      <c r="F193" s="8">
        <f>IF($K193="","",INDEX(מלאי!$N$2:$N$500,$K193))</f>
        <v/>
      </c>
      <c r="G193" s="8">
        <f>IF($K193="","",INDEX(מלאי!$O$2:$O$500,$K193))</f>
        <v/>
      </c>
      <c r="H193" s="8">
        <f>IF($K193="","",INDEX(מלאי!$U$2:$U$500,$K193))</f>
        <v/>
      </c>
      <c r="I193" s="8">
        <f>IF($K193="","",INDEX(מלאי!$X$2:$X$500,$K193))</f>
        <v/>
      </c>
      <c r="J193" s="8">
        <f>IF($K193="","",INDEX(מלאי!$AC$2:$AC$500,$K193))</f>
        <v/>
      </c>
      <c r="K19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טכנולוגיים'!$A$2:$A$500,0))&lt;=$G$6),0))),ROW(מלאי!$A$2:$A$500)-ROW(מלאי!$A$2)+1,""),171),"")</f>
        <v/>
      </c>
      <c r="L193" s="8">
        <f>IF($K193="","",IFERROR(INDEX('ערכים טכנולוגיים'!$M$2:$M$500,MATCH(A193,'ערכים טכנולוגיים'!$A$2:$A$500,0)),""))</f>
        <v/>
      </c>
      <c r="M193" s="8">
        <f>IF($K193="","",IFERROR(INDEX('ערכים טכנולוגיים'!$F$2:$F$500,MATCH(A193,'ערכים טכנולוגיים'!$A$2:$A$500,0)),""))</f>
        <v/>
      </c>
      <c r="N193" s="8">
        <f>IF($K193="","",IFERROR(INDEX('ערכים טכנולוגיים'!$J$2:$J$500,MATCH(A193,'ערכים טכנולוגיים'!$A$2:$A$500,0)),""))</f>
        <v/>
      </c>
      <c r="O193" s="8">
        <f>IF($K193="","",IFERROR(INDEX('ערכים טכנולוגיים'!$G$2:$G$500,MATCH(A193,'ערכים טכנולוגיים'!$A$2:$A$500,0)),""))</f>
        <v/>
      </c>
      <c r="P193" s="8">
        <f>IF($K193="","",IFERROR(INDEX('ערכים טכנולוגיים'!$K$2:$K$500,MATCH(A193,'ערכים טכנולוגיים'!$A$2:$A$500,0)),""))</f>
        <v/>
      </c>
      <c r="Q193" s="8">
        <f>IF($K193="","",IFERROR(INDEX('ערכים טכנולוגיים'!$P$2:$P$500,MATCH(A193,'ערכים טכנולוגיים'!$A$2:$A$500,0)),""))</f>
        <v/>
      </c>
    </row>
    <row r="194">
      <c r="A194" s="9">
        <f>IF($K194="","",INDEX(מלאי!$D$2:$D$500,$K194))</f>
        <v/>
      </c>
      <c r="B194" s="9">
        <f>IF($K194="","",INDEX(מלאי!$B$2:$B$500,$K194))</f>
        <v/>
      </c>
      <c r="C194" s="9">
        <f>IF($K194="","",INDEX(מלאי!$C$2:$C$500,$K194))</f>
        <v/>
      </c>
      <c r="D194" s="9">
        <f>IF($K194="","",INDEX(מלאי!$G$2:$G$500,$K194))</f>
        <v/>
      </c>
      <c r="E194" s="9">
        <f>IF($K194="","",INDEX(מלאי!$M$2:$M$500,$K194))</f>
        <v/>
      </c>
      <c r="F194" s="9">
        <f>IF($K194="","",INDEX(מלאי!$N$2:$N$500,$K194))</f>
        <v/>
      </c>
      <c r="G194" s="9">
        <f>IF($K194="","",INDEX(מלאי!$O$2:$O$500,$K194))</f>
        <v/>
      </c>
      <c r="H194" s="9">
        <f>IF($K194="","",INDEX(מלאי!$U$2:$U$500,$K194))</f>
        <v/>
      </c>
      <c r="I194" s="9">
        <f>IF($K194="","",INDEX(מלאי!$X$2:$X$500,$K194))</f>
        <v/>
      </c>
      <c r="J194" s="9">
        <f>IF($K194="","",INDEX(מלאי!$AC$2:$AC$500,$K194))</f>
        <v/>
      </c>
      <c r="K19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טכנולוגיים'!$A$2:$A$500,0))&lt;=$G$6),0))),ROW(מלאי!$A$2:$A$500)-ROW(מלאי!$A$2)+1,""),172),"")</f>
        <v/>
      </c>
      <c r="L194" s="9">
        <f>IF($K194="","",IFERROR(INDEX('ערכים טכנולוגיים'!$M$2:$M$500,MATCH(A194,'ערכים טכנולוגיים'!$A$2:$A$500,0)),""))</f>
        <v/>
      </c>
      <c r="M194" s="9">
        <f>IF($K194="","",IFERROR(INDEX('ערכים טכנולוגיים'!$F$2:$F$500,MATCH(A194,'ערכים טכנולוגיים'!$A$2:$A$500,0)),""))</f>
        <v/>
      </c>
      <c r="N194" s="9">
        <f>IF($K194="","",IFERROR(INDEX('ערכים טכנולוגיים'!$J$2:$J$500,MATCH(A194,'ערכים טכנולוגיים'!$A$2:$A$500,0)),""))</f>
        <v/>
      </c>
      <c r="O194" s="9">
        <f>IF($K194="","",IFERROR(INDEX('ערכים טכנולוגיים'!$G$2:$G$500,MATCH(A194,'ערכים טכנולוגיים'!$A$2:$A$500,0)),""))</f>
        <v/>
      </c>
      <c r="P194" s="9">
        <f>IF($K194="","",IFERROR(INDEX('ערכים טכנולוגיים'!$K$2:$K$500,MATCH(A194,'ערכים טכנולוגיים'!$A$2:$A$500,0)),""))</f>
        <v/>
      </c>
      <c r="Q194" s="9">
        <f>IF($K194="","",IFERROR(INDEX('ערכים טכנולוגיים'!$P$2:$P$500,MATCH(A194,'ערכים טכנולוגיים'!$A$2:$A$500,0)),""))</f>
        <v/>
      </c>
    </row>
    <row r="195">
      <c r="A195" s="8">
        <f>IF($K195="","",INDEX(מלאי!$D$2:$D$500,$K195))</f>
        <v/>
      </c>
      <c r="B195" s="8">
        <f>IF($K195="","",INDEX(מלאי!$B$2:$B$500,$K195))</f>
        <v/>
      </c>
      <c r="C195" s="8">
        <f>IF($K195="","",INDEX(מלאי!$C$2:$C$500,$K195))</f>
        <v/>
      </c>
      <c r="D195" s="8">
        <f>IF($K195="","",INDEX(מלאי!$G$2:$G$500,$K195))</f>
        <v/>
      </c>
      <c r="E195" s="8">
        <f>IF($K195="","",INDEX(מלאי!$M$2:$M$500,$K195))</f>
        <v/>
      </c>
      <c r="F195" s="8">
        <f>IF($K195="","",INDEX(מלאי!$N$2:$N$500,$K195))</f>
        <v/>
      </c>
      <c r="G195" s="8">
        <f>IF($K195="","",INDEX(מלאי!$O$2:$O$500,$K195))</f>
        <v/>
      </c>
      <c r="H195" s="8">
        <f>IF($K195="","",INDEX(מלאי!$U$2:$U$500,$K195))</f>
        <v/>
      </c>
      <c r="I195" s="8">
        <f>IF($K195="","",INDEX(מלאי!$X$2:$X$500,$K195))</f>
        <v/>
      </c>
      <c r="J195" s="8">
        <f>IF($K195="","",INDEX(מלאי!$AC$2:$AC$500,$K195))</f>
        <v/>
      </c>
      <c r="K19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טכנולוגיים'!$A$2:$A$500,0))&lt;=$G$6),0))),ROW(מלאי!$A$2:$A$500)-ROW(מלאי!$A$2)+1,""),173),"")</f>
        <v/>
      </c>
      <c r="L195" s="8">
        <f>IF($K195="","",IFERROR(INDEX('ערכים טכנולוגיים'!$M$2:$M$500,MATCH(A195,'ערכים טכנולוגיים'!$A$2:$A$500,0)),""))</f>
        <v/>
      </c>
      <c r="M195" s="8">
        <f>IF($K195="","",IFERROR(INDEX('ערכים טכנולוגיים'!$F$2:$F$500,MATCH(A195,'ערכים טכנולוגיים'!$A$2:$A$500,0)),""))</f>
        <v/>
      </c>
      <c r="N195" s="8">
        <f>IF($K195="","",IFERROR(INDEX('ערכים טכנולוגיים'!$J$2:$J$500,MATCH(A195,'ערכים טכנולוגיים'!$A$2:$A$500,0)),""))</f>
        <v/>
      </c>
      <c r="O195" s="8">
        <f>IF($K195="","",IFERROR(INDEX('ערכים טכנולוגיים'!$G$2:$G$500,MATCH(A195,'ערכים טכנולוגיים'!$A$2:$A$500,0)),""))</f>
        <v/>
      </c>
      <c r="P195" s="8">
        <f>IF($K195="","",IFERROR(INDEX('ערכים טכנולוגיים'!$K$2:$K$500,MATCH(A195,'ערכים טכנולוגיים'!$A$2:$A$500,0)),""))</f>
        <v/>
      </c>
      <c r="Q195" s="8">
        <f>IF($K195="","",IFERROR(INDEX('ערכים טכנולוגיים'!$P$2:$P$500,MATCH(A195,'ערכים טכנולוגיים'!$A$2:$A$500,0)),""))</f>
        <v/>
      </c>
    </row>
    <row r="196">
      <c r="A196" s="9">
        <f>IF($K196="","",INDEX(מלאי!$D$2:$D$500,$K196))</f>
        <v/>
      </c>
      <c r="B196" s="9">
        <f>IF($K196="","",INDEX(מלאי!$B$2:$B$500,$K196))</f>
        <v/>
      </c>
      <c r="C196" s="9">
        <f>IF($K196="","",INDEX(מלאי!$C$2:$C$500,$K196))</f>
        <v/>
      </c>
      <c r="D196" s="9">
        <f>IF($K196="","",INDEX(מלאי!$G$2:$G$500,$K196))</f>
        <v/>
      </c>
      <c r="E196" s="9">
        <f>IF($K196="","",INDEX(מלאי!$M$2:$M$500,$K196))</f>
        <v/>
      </c>
      <c r="F196" s="9">
        <f>IF($K196="","",INDEX(מלאי!$N$2:$N$500,$K196))</f>
        <v/>
      </c>
      <c r="G196" s="9">
        <f>IF($K196="","",INDEX(מלאי!$O$2:$O$500,$K196))</f>
        <v/>
      </c>
      <c r="H196" s="9">
        <f>IF($K196="","",INDEX(מלאי!$U$2:$U$500,$K196))</f>
        <v/>
      </c>
      <c r="I196" s="9">
        <f>IF($K196="","",INDEX(מלאי!$X$2:$X$500,$K196))</f>
        <v/>
      </c>
      <c r="J196" s="9">
        <f>IF($K196="","",INDEX(מלאי!$AC$2:$AC$500,$K196))</f>
        <v/>
      </c>
      <c r="K19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טכנולוגיים'!$A$2:$A$500,0))&lt;=$G$6),0))),ROW(מלאי!$A$2:$A$500)-ROW(מלאי!$A$2)+1,""),174),"")</f>
        <v/>
      </c>
      <c r="L196" s="9">
        <f>IF($K196="","",IFERROR(INDEX('ערכים טכנולוגיים'!$M$2:$M$500,MATCH(A196,'ערכים טכנולוגיים'!$A$2:$A$500,0)),""))</f>
        <v/>
      </c>
      <c r="M196" s="9">
        <f>IF($K196="","",IFERROR(INDEX('ערכים טכנולוגיים'!$F$2:$F$500,MATCH(A196,'ערכים טכנולוגיים'!$A$2:$A$500,0)),""))</f>
        <v/>
      </c>
      <c r="N196" s="9">
        <f>IF($K196="","",IFERROR(INDEX('ערכים טכנולוגיים'!$J$2:$J$500,MATCH(A196,'ערכים טכנולוגיים'!$A$2:$A$500,0)),""))</f>
        <v/>
      </c>
      <c r="O196" s="9">
        <f>IF($K196="","",IFERROR(INDEX('ערכים טכנולוגיים'!$G$2:$G$500,MATCH(A196,'ערכים טכנולוגיים'!$A$2:$A$500,0)),""))</f>
        <v/>
      </c>
      <c r="P196" s="9">
        <f>IF($K196="","",IFERROR(INDEX('ערכים טכנולוגיים'!$K$2:$K$500,MATCH(A196,'ערכים טכנולוגיים'!$A$2:$A$500,0)),""))</f>
        <v/>
      </c>
      <c r="Q196" s="9">
        <f>IF($K196="","",IFERROR(INDEX('ערכים טכנולוגיים'!$P$2:$P$500,MATCH(A196,'ערכים טכנולוגיים'!$A$2:$A$500,0)),""))</f>
        <v/>
      </c>
    </row>
    <row r="197">
      <c r="A197" s="8">
        <f>IF($K197="","",INDEX(מלאי!$D$2:$D$500,$K197))</f>
        <v/>
      </c>
      <c r="B197" s="8">
        <f>IF($K197="","",INDEX(מלאי!$B$2:$B$500,$K197))</f>
        <v/>
      </c>
      <c r="C197" s="8">
        <f>IF($K197="","",INDEX(מלאי!$C$2:$C$500,$K197))</f>
        <v/>
      </c>
      <c r="D197" s="8">
        <f>IF($K197="","",INDEX(מלאי!$G$2:$G$500,$K197))</f>
        <v/>
      </c>
      <c r="E197" s="8">
        <f>IF($K197="","",INDEX(מלאי!$M$2:$M$500,$K197))</f>
        <v/>
      </c>
      <c r="F197" s="8">
        <f>IF($K197="","",INDEX(מלאי!$N$2:$N$500,$K197))</f>
        <v/>
      </c>
      <c r="G197" s="8">
        <f>IF($K197="","",INDEX(מלאי!$O$2:$O$500,$K197))</f>
        <v/>
      </c>
      <c r="H197" s="8">
        <f>IF($K197="","",INDEX(מלאי!$U$2:$U$500,$K197))</f>
        <v/>
      </c>
      <c r="I197" s="8">
        <f>IF($K197="","",INDEX(מלאי!$X$2:$X$500,$K197))</f>
        <v/>
      </c>
      <c r="J197" s="8">
        <f>IF($K197="","",INDEX(מלאי!$AC$2:$AC$500,$K197))</f>
        <v/>
      </c>
      <c r="K19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טכנולוגיים'!$A$2:$A$500,0))&lt;=$G$6),0))),ROW(מלאי!$A$2:$A$500)-ROW(מלאי!$A$2)+1,""),175),"")</f>
        <v/>
      </c>
      <c r="L197" s="8">
        <f>IF($K197="","",IFERROR(INDEX('ערכים טכנולוגיים'!$M$2:$M$500,MATCH(A197,'ערכים טכנולוגיים'!$A$2:$A$500,0)),""))</f>
        <v/>
      </c>
      <c r="M197" s="8">
        <f>IF($K197="","",IFERROR(INDEX('ערכים טכנולוגיים'!$F$2:$F$500,MATCH(A197,'ערכים טכנולוגיים'!$A$2:$A$500,0)),""))</f>
        <v/>
      </c>
      <c r="N197" s="8">
        <f>IF($K197="","",IFERROR(INDEX('ערכים טכנולוגיים'!$J$2:$J$500,MATCH(A197,'ערכים טכנולוגיים'!$A$2:$A$500,0)),""))</f>
        <v/>
      </c>
      <c r="O197" s="8">
        <f>IF($K197="","",IFERROR(INDEX('ערכים טכנולוגיים'!$G$2:$G$500,MATCH(A197,'ערכים טכנולוגיים'!$A$2:$A$500,0)),""))</f>
        <v/>
      </c>
      <c r="P197" s="8">
        <f>IF($K197="","",IFERROR(INDEX('ערכים טכנולוגיים'!$K$2:$K$500,MATCH(A197,'ערכים טכנולוגיים'!$A$2:$A$500,0)),""))</f>
        <v/>
      </c>
      <c r="Q197" s="8">
        <f>IF($K197="","",IFERROR(INDEX('ערכים טכנולוגיים'!$P$2:$P$500,MATCH(A197,'ערכים טכנולוגיים'!$A$2:$A$500,0)),""))</f>
        <v/>
      </c>
    </row>
    <row r="198">
      <c r="A198" s="9">
        <f>IF($K198="","",INDEX(מלאי!$D$2:$D$500,$K198))</f>
        <v/>
      </c>
      <c r="B198" s="9">
        <f>IF($K198="","",INDEX(מלאי!$B$2:$B$500,$K198))</f>
        <v/>
      </c>
      <c r="C198" s="9">
        <f>IF($K198="","",INDEX(מלאי!$C$2:$C$500,$K198))</f>
        <v/>
      </c>
      <c r="D198" s="9">
        <f>IF($K198="","",INDEX(מלאי!$G$2:$G$500,$K198))</f>
        <v/>
      </c>
      <c r="E198" s="9">
        <f>IF($K198="","",INDEX(מלאי!$M$2:$M$500,$K198))</f>
        <v/>
      </c>
      <c r="F198" s="9">
        <f>IF($K198="","",INDEX(מלאי!$N$2:$N$500,$K198))</f>
        <v/>
      </c>
      <c r="G198" s="9">
        <f>IF($K198="","",INDEX(מלאי!$O$2:$O$500,$K198))</f>
        <v/>
      </c>
      <c r="H198" s="9">
        <f>IF($K198="","",INDEX(מלאי!$U$2:$U$500,$K198))</f>
        <v/>
      </c>
      <c r="I198" s="9">
        <f>IF($K198="","",INDEX(מלאי!$X$2:$X$500,$K198))</f>
        <v/>
      </c>
      <c r="J198" s="9">
        <f>IF($K198="","",INDEX(מלאי!$AC$2:$AC$500,$K198))</f>
        <v/>
      </c>
      <c r="K19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טכנולוגיים'!$A$2:$A$500,0))&lt;=$G$6),0))),ROW(מלאי!$A$2:$A$500)-ROW(מלאי!$A$2)+1,""),176),"")</f>
        <v/>
      </c>
      <c r="L198" s="9">
        <f>IF($K198="","",IFERROR(INDEX('ערכים טכנולוגיים'!$M$2:$M$500,MATCH(A198,'ערכים טכנולוגיים'!$A$2:$A$500,0)),""))</f>
        <v/>
      </c>
      <c r="M198" s="9">
        <f>IF($K198="","",IFERROR(INDEX('ערכים טכנולוגיים'!$F$2:$F$500,MATCH(A198,'ערכים טכנולוגיים'!$A$2:$A$500,0)),""))</f>
        <v/>
      </c>
      <c r="N198" s="9">
        <f>IF($K198="","",IFERROR(INDEX('ערכים טכנולוגיים'!$J$2:$J$500,MATCH(A198,'ערכים טכנולוגיים'!$A$2:$A$500,0)),""))</f>
        <v/>
      </c>
      <c r="O198" s="9">
        <f>IF($K198="","",IFERROR(INDEX('ערכים טכנולוגיים'!$G$2:$G$500,MATCH(A198,'ערכים טכנולוגיים'!$A$2:$A$500,0)),""))</f>
        <v/>
      </c>
      <c r="P198" s="9">
        <f>IF($K198="","",IFERROR(INDEX('ערכים טכנולוגיים'!$K$2:$K$500,MATCH(A198,'ערכים טכנולוגיים'!$A$2:$A$500,0)),""))</f>
        <v/>
      </c>
      <c r="Q198" s="9">
        <f>IF($K198="","",IFERROR(INDEX('ערכים טכנולוגיים'!$P$2:$P$500,MATCH(A198,'ערכים טכנולוגיים'!$A$2:$A$500,0)),""))</f>
        <v/>
      </c>
    </row>
    <row r="199">
      <c r="A199" s="8">
        <f>IF($K199="","",INDEX(מלאי!$D$2:$D$500,$K199))</f>
        <v/>
      </c>
      <c r="B199" s="8">
        <f>IF($K199="","",INDEX(מלאי!$B$2:$B$500,$K199))</f>
        <v/>
      </c>
      <c r="C199" s="8">
        <f>IF($K199="","",INDEX(מלאי!$C$2:$C$500,$K199))</f>
        <v/>
      </c>
      <c r="D199" s="8">
        <f>IF($K199="","",INDEX(מלאי!$G$2:$G$500,$K199))</f>
        <v/>
      </c>
      <c r="E199" s="8">
        <f>IF($K199="","",INDEX(מלאי!$M$2:$M$500,$K199))</f>
        <v/>
      </c>
      <c r="F199" s="8">
        <f>IF($K199="","",INDEX(מלאי!$N$2:$N$500,$K199))</f>
        <v/>
      </c>
      <c r="G199" s="8">
        <f>IF($K199="","",INDEX(מלאי!$O$2:$O$500,$K199))</f>
        <v/>
      </c>
      <c r="H199" s="8">
        <f>IF($K199="","",INDEX(מלאי!$U$2:$U$500,$K199))</f>
        <v/>
      </c>
      <c r="I199" s="8">
        <f>IF($K199="","",INDEX(מלאי!$X$2:$X$500,$K199))</f>
        <v/>
      </c>
      <c r="J199" s="8">
        <f>IF($K199="","",INDEX(מלאי!$AC$2:$AC$500,$K199))</f>
        <v/>
      </c>
      <c r="K19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טכנולוגיים'!$A$2:$A$500,0))&lt;=$G$6),0))),ROW(מלאי!$A$2:$A$500)-ROW(מלאי!$A$2)+1,""),177),"")</f>
        <v/>
      </c>
      <c r="L199" s="8">
        <f>IF($K199="","",IFERROR(INDEX('ערכים טכנולוגיים'!$M$2:$M$500,MATCH(A199,'ערכים טכנולוגיים'!$A$2:$A$500,0)),""))</f>
        <v/>
      </c>
      <c r="M199" s="8">
        <f>IF($K199="","",IFERROR(INDEX('ערכים טכנולוגיים'!$F$2:$F$500,MATCH(A199,'ערכים טכנולוגיים'!$A$2:$A$500,0)),""))</f>
        <v/>
      </c>
      <c r="N199" s="8">
        <f>IF($K199="","",IFERROR(INDEX('ערכים טכנולוגיים'!$J$2:$J$500,MATCH(A199,'ערכים טכנולוגיים'!$A$2:$A$500,0)),""))</f>
        <v/>
      </c>
      <c r="O199" s="8">
        <f>IF($K199="","",IFERROR(INDEX('ערכים טכנולוגיים'!$G$2:$G$500,MATCH(A199,'ערכים טכנולוגיים'!$A$2:$A$500,0)),""))</f>
        <v/>
      </c>
      <c r="P199" s="8">
        <f>IF($K199="","",IFERROR(INDEX('ערכים טכנולוגיים'!$K$2:$K$500,MATCH(A199,'ערכים טכנולוגיים'!$A$2:$A$500,0)),""))</f>
        <v/>
      </c>
      <c r="Q199" s="8">
        <f>IF($K199="","",IFERROR(INDEX('ערכים טכנולוגיים'!$P$2:$P$500,MATCH(A199,'ערכים טכנולוגיים'!$A$2:$A$500,0)),""))</f>
        <v/>
      </c>
    </row>
    <row r="200">
      <c r="A200" s="9">
        <f>IF($K200="","",INDEX(מלאי!$D$2:$D$500,$K200))</f>
        <v/>
      </c>
      <c r="B200" s="9">
        <f>IF($K200="","",INDEX(מלאי!$B$2:$B$500,$K200))</f>
        <v/>
      </c>
      <c r="C200" s="9">
        <f>IF($K200="","",INDEX(מלאי!$C$2:$C$500,$K200))</f>
        <v/>
      </c>
      <c r="D200" s="9">
        <f>IF($K200="","",INDEX(מלאי!$G$2:$G$500,$K200))</f>
        <v/>
      </c>
      <c r="E200" s="9">
        <f>IF($K200="","",INDEX(מלאי!$M$2:$M$500,$K200))</f>
        <v/>
      </c>
      <c r="F200" s="9">
        <f>IF($K200="","",INDEX(מלאי!$N$2:$N$500,$K200))</f>
        <v/>
      </c>
      <c r="G200" s="9">
        <f>IF($K200="","",INDEX(מלאי!$O$2:$O$500,$K200))</f>
        <v/>
      </c>
      <c r="H200" s="9">
        <f>IF($K200="","",INDEX(מלאי!$U$2:$U$500,$K200))</f>
        <v/>
      </c>
      <c r="I200" s="9">
        <f>IF($K200="","",INDEX(מלאי!$X$2:$X$500,$K200))</f>
        <v/>
      </c>
      <c r="J200" s="9">
        <f>IF($K200="","",INDEX(מלאי!$AC$2:$AC$500,$K200))</f>
        <v/>
      </c>
      <c r="K20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טכנולוגיים'!$A$2:$A$500,0))&lt;=$G$6),0))),ROW(מלאי!$A$2:$A$500)-ROW(מלאי!$A$2)+1,""),178),"")</f>
        <v/>
      </c>
      <c r="L200" s="9">
        <f>IF($K200="","",IFERROR(INDEX('ערכים טכנולוגיים'!$M$2:$M$500,MATCH(A200,'ערכים טכנולוגיים'!$A$2:$A$500,0)),""))</f>
        <v/>
      </c>
      <c r="M200" s="9">
        <f>IF($K200="","",IFERROR(INDEX('ערכים טכנולוגיים'!$F$2:$F$500,MATCH(A200,'ערכים טכנולוגיים'!$A$2:$A$500,0)),""))</f>
        <v/>
      </c>
      <c r="N200" s="9">
        <f>IF($K200="","",IFERROR(INDEX('ערכים טכנולוגיים'!$J$2:$J$500,MATCH(A200,'ערכים טכנולוגיים'!$A$2:$A$500,0)),""))</f>
        <v/>
      </c>
      <c r="O200" s="9">
        <f>IF($K200="","",IFERROR(INDEX('ערכים טכנולוגיים'!$G$2:$G$500,MATCH(A200,'ערכים טכנולוגיים'!$A$2:$A$500,0)),""))</f>
        <v/>
      </c>
      <c r="P200" s="9">
        <f>IF($K200="","",IFERROR(INDEX('ערכים טכנולוגיים'!$K$2:$K$500,MATCH(A200,'ערכים טכנולוגיים'!$A$2:$A$500,0)),""))</f>
        <v/>
      </c>
      <c r="Q200" s="9">
        <f>IF($K200="","",IFERROR(INDEX('ערכים טכנולוגיים'!$P$2:$P$500,MATCH(A200,'ערכים טכנולוגיים'!$A$2:$A$500,0)),""))</f>
        <v/>
      </c>
    </row>
    <row r="201">
      <c r="A201" s="8">
        <f>IF($K201="","",INDEX(מלאי!$D$2:$D$500,$K201))</f>
        <v/>
      </c>
      <c r="B201" s="8">
        <f>IF($K201="","",INDEX(מלאי!$B$2:$B$500,$K201))</f>
        <v/>
      </c>
      <c r="C201" s="8">
        <f>IF($K201="","",INDEX(מלאי!$C$2:$C$500,$K201))</f>
        <v/>
      </c>
      <c r="D201" s="8">
        <f>IF($K201="","",INDEX(מלאי!$G$2:$G$500,$K201))</f>
        <v/>
      </c>
      <c r="E201" s="8">
        <f>IF($K201="","",INDEX(מלאי!$M$2:$M$500,$K201))</f>
        <v/>
      </c>
      <c r="F201" s="8">
        <f>IF($K201="","",INDEX(מלאי!$N$2:$N$500,$K201))</f>
        <v/>
      </c>
      <c r="G201" s="8">
        <f>IF($K201="","",INDEX(מלאי!$O$2:$O$500,$K201))</f>
        <v/>
      </c>
      <c r="H201" s="8">
        <f>IF($K201="","",INDEX(מלאי!$U$2:$U$500,$K201))</f>
        <v/>
      </c>
      <c r="I201" s="8">
        <f>IF($K201="","",INDEX(מלאי!$X$2:$X$500,$K201))</f>
        <v/>
      </c>
      <c r="J201" s="8">
        <f>IF($K201="","",INDEX(מלאי!$AC$2:$AC$500,$K201))</f>
        <v/>
      </c>
      <c r="K20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טכנולוגיים'!$A$2:$A$500,0))&lt;=$G$6),0))),ROW(מלאי!$A$2:$A$500)-ROW(מלאי!$A$2)+1,""),179),"")</f>
        <v/>
      </c>
      <c r="L201" s="8">
        <f>IF($K201="","",IFERROR(INDEX('ערכים טכנולוגיים'!$M$2:$M$500,MATCH(A201,'ערכים טכנולוגיים'!$A$2:$A$500,0)),""))</f>
        <v/>
      </c>
      <c r="M201" s="8">
        <f>IF($K201="","",IFERROR(INDEX('ערכים טכנולוגיים'!$F$2:$F$500,MATCH(A201,'ערכים טכנולוגיים'!$A$2:$A$500,0)),""))</f>
        <v/>
      </c>
      <c r="N201" s="8">
        <f>IF($K201="","",IFERROR(INDEX('ערכים טכנולוגיים'!$J$2:$J$500,MATCH(A201,'ערכים טכנולוגיים'!$A$2:$A$500,0)),""))</f>
        <v/>
      </c>
      <c r="O201" s="8">
        <f>IF($K201="","",IFERROR(INDEX('ערכים טכנולוגיים'!$G$2:$G$500,MATCH(A201,'ערכים טכנולוגיים'!$A$2:$A$500,0)),""))</f>
        <v/>
      </c>
      <c r="P201" s="8">
        <f>IF($K201="","",IFERROR(INDEX('ערכים טכנולוגיים'!$K$2:$K$500,MATCH(A201,'ערכים טכנולוגיים'!$A$2:$A$500,0)),""))</f>
        <v/>
      </c>
      <c r="Q201" s="8">
        <f>IF($K201="","",IFERROR(INDEX('ערכים טכנולוגיים'!$P$2:$P$500,MATCH(A201,'ערכים טכנולוגיים'!$A$2:$A$500,0)),""))</f>
        <v/>
      </c>
    </row>
    <row r="202">
      <c r="A202" s="9">
        <f>IF($K202="","",INDEX(מלאי!$D$2:$D$500,$K202))</f>
        <v/>
      </c>
      <c r="B202" s="9">
        <f>IF($K202="","",INDEX(מלאי!$B$2:$B$500,$K202))</f>
        <v/>
      </c>
      <c r="C202" s="9">
        <f>IF($K202="","",INDEX(מלאי!$C$2:$C$500,$K202))</f>
        <v/>
      </c>
      <c r="D202" s="9">
        <f>IF($K202="","",INDEX(מלאי!$G$2:$G$500,$K202))</f>
        <v/>
      </c>
      <c r="E202" s="9">
        <f>IF($K202="","",INDEX(מלאי!$M$2:$M$500,$K202))</f>
        <v/>
      </c>
      <c r="F202" s="9">
        <f>IF($K202="","",INDEX(מלאי!$N$2:$N$500,$K202))</f>
        <v/>
      </c>
      <c r="G202" s="9">
        <f>IF($K202="","",INDEX(מלאי!$O$2:$O$500,$K202))</f>
        <v/>
      </c>
      <c r="H202" s="9">
        <f>IF($K202="","",INDEX(מלאי!$U$2:$U$500,$K202))</f>
        <v/>
      </c>
      <c r="I202" s="9">
        <f>IF($K202="","",INDEX(מלאי!$X$2:$X$500,$K202))</f>
        <v/>
      </c>
      <c r="J202" s="9">
        <f>IF($K202="","",INDEX(מלאי!$AC$2:$AC$500,$K202))</f>
        <v/>
      </c>
      <c r="K20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טכנולוגיים'!$A$2:$A$500,0))&lt;=$G$6),0))),ROW(מלאי!$A$2:$A$500)-ROW(מלאי!$A$2)+1,""),180),"")</f>
        <v/>
      </c>
      <c r="L202" s="9">
        <f>IF($K202="","",IFERROR(INDEX('ערכים טכנולוגיים'!$M$2:$M$500,MATCH(A202,'ערכים טכנולוגיים'!$A$2:$A$500,0)),""))</f>
        <v/>
      </c>
      <c r="M202" s="9">
        <f>IF($K202="","",IFERROR(INDEX('ערכים טכנולוגיים'!$F$2:$F$500,MATCH(A202,'ערכים טכנולוגיים'!$A$2:$A$500,0)),""))</f>
        <v/>
      </c>
      <c r="N202" s="9">
        <f>IF($K202="","",IFERROR(INDEX('ערכים טכנולוגיים'!$J$2:$J$500,MATCH(A202,'ערכים טכנולוגיים'!$A$2:$A$500,0)),""))</f>
        <v/>
      </c>
      <c r="O202" s="9">
        <f>IF($K202="","",IFERROR(INDEX('ערכים טכנולוגיים'!$G$2:$G$500,MATCH(A202,'ערכים טכנולוגיים'!$A$2:$A$500,0)),""))</f>
        <v/>
      </c>
      <c r="P202" s="9">
        <f>IF($K202="","",IFERROR(INDEX('ערכים טכנולוגיים'!$K$2:$K$500,MATCH(A202,'ערכים טכנולוגיים'!$A$2:$A$500,0)),""))</f>
        <v/>
      </c>
      <c r="Q202" s="9">
        <f>IF($K202="","",IFERROR(INDEX('ערכים טכנולוגיים'!$P$2:$P$500,MATCH(A202,'ערכים טכנולוגיים'!$A$2:$A$500,0)),""))</f>
        <v/>
      </c>
    </row>
    <row r="203">
      <c r="A203" s="8">
        <f>IF($K203="","",INDEX(מלאי!$D$2:$D$500,$K203))</f>
        <v/>
      </c>
      <c r="B203" s="8">
        <f>IF($K203="","",INDEX(מלאי!$B$2:$B$500,$K203))</f>
        <v/>
      </c>
      <c r="C203" s="8">
        <f>IF($K203="","",INDEX(מלאי!$C$2:$C$500,$K203))</f>
        <v/>
      </c>
      <c r="D203" s="8">
        <f>IF($K203="","",INDEX(מלאי!$G$2:$G$500,$K203))</f>
        <v/>
      </c>
      <c r="E203" s="8">
        <f>IF($K203="","",INDEX(מלאי!$M$2:$M$500,$K203))</f>
        <v/>
      </c>
      <c r="F203" s="8">
        <f>IF($K203="","",INDEX(מלאי!$N$2:$N$500,$K203))</f>
        <v/>
      </c>
      <c r="G203" s="8">
        <f>IF($K203="","",INDEX(מלאי!$O$2:$O$500,$K203))</f>
        <v/>
      </c>
      <c r="H203" s="8">
        <f>IF($K203="","",INDEX(מלאי!$U$2:$U$500,$K203))</f>
        <v/>
      </c>
      <c r="I203" s="8">
        <f>IF($K203="","",INDEX(מלאי!$X$2:$X$500,$K203))</f>
        <v/>
      </c>
      <c r="J203" s="8">
        <f>IF($K203="","",INDEX(מלאי!$AC$2:$AC$500,$K203))</f>
        <v/>
      </c>
      <c r="K20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טכנולוגיים'!$A$2:$A$500,0))&lt;=$G$6),0))),ROW(מלאי!$A$2:$A$500)-ROW(מלאי!$A$2)+1,""),181),"")</f>
        <v/>
      </c>
      <c r="L203" s="8">
        <f>IF($K203="","",IFERROR(INDEX('ערכים טכנולוגיים'!$M$2:$M$500,MATCH(A203,'ערכים טכנולוגיים'!$A$2:$A$500,0)),""))</f>
        <v/>
      </c>
      <c r="M203" s="8">
        <f>IF($K203="","",IFERROR(INDEX('ערכים טכנולוגיים'!$F$2:$F$500,MATCH(A203,'ערכים טכנולוגיים'!$A$2:$A$500,0)),""))</f>
        <v/>
      </c>
      <c r="N203" s="8">
        <f>IF($K203="","",IFERROR(INDEX('ערכים טכנולוגיים'!$J$2:$J$500,MATCH(A203,'ערכים טכנולוגיים'!$A$2:$A$500,0)),""))</f>
        <v/>
      </c>
      <c r="O203" s="8">
        <f>IF($K203="","",IFERROR(INDEX('ערכים טכנולוגיים'!$G$2:$G$500,MATCH(A203,'ערכים טכנולוגיים'!$A$2:$A$500,0)),""))</f>
        <v/>
      </c>
      <c r="P203" s="8">
        <f>IF($K203="","",IFERROR(INDEX('ערכים טכנולוגיים'!$K$2:$K$500,MATCH(A203,'ערכים טכנולוגיים'!$A$2:$A$500,0)),""))</f>
        <v/>
      </c>
      <c r="Q203" s="8">
        <f>IF($K203="","",IFERROR(INDEX('ערכים טכנולוגיים'!$P$2:$P$500,MATCH(A203,'ערכים טכנולוגיים'!$A$2:$A$500,0)),""))</f>
        <v/>
      </c>
    </row>
    <row r="204">
      <c r="A204" s="9">
        <f>IF($K204="","",INDEX(מלאי!$D$2:$D$500,$K204))</f>
        <v/>
      </c>
      <c r="B204" s="9">
        <f>IF($K204="","",INDEX(מלאי!$B$2:$B$500,$K204))</f>
        <v/>
      </c>
      <c r="C204" s="9">
        <f>IF($K204="","",INDEX(מלאי!$C$2:$C$500,$K204))</f>
        <v/>
      </c>
      <c r="D204" s="9">
        <f>IF($K204="","",INDEX(מלאי!$G$2:$G$500,$K204))</f>
        <v/>
      </c>
      <c r="E204" s="9">
        <f>IF($K204="","",INDEX(מלאי!$M$2:$M$500,$K204))</f>
        <v/>
      </c>
      <c r="F204" s="9">
        <f>IF($K204="","",INDEX(מלאי!$N$2:$N$500,$K204))</f>
        <v/>
      </c>
      <c r="G204" s="9">
        <f>IF($K204="","",INDEX(מלאי!$O$2:$O$500,$K204))</f>
        <v/>
      </c>
      <c r="H204" s="9">
        <f>IF($K204="","",INDEX(מלאי!$U$2:$U$500,$K204))</f>
        <v/>
      </c>
      <c r="I204" s="9">
        <f>IF($K204="","",INDEX(מלאי!$X$2:$X$500,$K204))</f>
        <v/>
      </c>
      <c r="J204" s="9">
        <f>IF($K204="","",INDEX(מלאי!$AC$2:$AC$500,$K204))</f>
        <v/>
      </c>
      <c r="K20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טכנולוגיים'!$A$2:$A$500,0))&lt;=$G$6),0))),ROW(מלאי!$A$2:$A$500)-ROW(מלאי!$A$2)+1,""),182),"")</f>
        <v/>
      </c>
      <c r="L204" s="9">
        <f>IF($K204="","",IFERROR(INDEX('ערכים טכנולוגיים'!$M$2:$M$500,MATCH(A204,'ערכים טכנולוגיים'!$A$2:$A$500,0)),""))</f>
        <v/>
      </c>
      <c r="M204" s="9">
        <f>IF($K204="","",IFERROR(INDEX('ערכים טכנולוגיים'!$F$2:$F$500,MATCH(A204,'ערכים טכנולוגיים'!$A$2:$A$500,0)),""))</f>
        <v/>
      </c>
      <c r="N204" s="9">
        <f>IF($K204="","",IFERROR(INDEX('ערכים טכנולוגיים'!$J$2:$J$500,MATCH(A204,'ערכים טכנולוגיים'!$A$2:$A$500,0)),""))</f>
        <v/>
      </c>
      <c r="O204" s="9">
        <f>IF($K204="","",IFERROR(INDEX('ערכים טכנולוגיים'!$G$2:$G$500,MATCH(A204,'ערכים טכנולוגיים'!$A$2:$A$500,0)),""))</f>
        <v/>
      </c>
      <c r="P204" s="9">
        <f>IF($K204="","",IFERROR(INDEX('ערכים טכנולוגיים'!$K$2:$K$500,MATCH(A204,'ערכים טכנולוגיים'!$A$2:$A$500,0)),""))</f>
        <v/>
      </c>
      <c r="Q204" s="9">
        <f>IF($K204="","",IFERROR(INDEX('ערכים טכנולוגיים'!$P$2:$P$500,MATCH(A204,'ערכים טכנולוגיים'!$A$2:$A$500,0)),""))</f>
        <v/>
      </c>
    </row>
    <row r="205">
      <c r="A205" s="8">
        <f>IF($K205="","",INDEX(מלאי!$D$2:$D$500,$K205))</f>
        <v/>
      </c>
      <c r="B205" s="8">
        <f>IF($K205="","",INDEX(מלאי!$B$2:$B$500,$K205))</f>
        <v/>
      </c>
      <c r="C205" s="8">
        <f>IF($K205="","",INDEX(מלאי!$C$2:$C$500,$K205))</f>
        <v/>
      </c>
      <c r="D205" s="8">
        <f>IF($K205="","",INDEX(מלאי!$G$2:$G$500,$K205))</f>
        <v/>
      </c>
      <c r="E205" s="8">
        <f>IF($K205="","",INDEX(מלאי!$M$2:$M$500,$K205))</f>
        <v/>
      </c>
      <c r="F205" s="8">
        <f>IF($K205="","",INDEX(מלאי!$N$2:$N$500,$K205))</f>
        <v/>
      </c>
      <c r="G205" s="8">
        <f>IF($K205="","",INDEX(מלאי!$O$2:$O$500,$K205))</f>
        <v/>
      </c>
      <c r="H205" s="8">
        <f>IF($K205="","",INDEX(מלאי!$U$2:$U$500,$K205))</f>
        <v/>
      </c>
      <c r="I205" s="8">
        <f>IF($K205="","",INDEX(מלאי!$X$2:$X$500,$K205))</f>
        <v/>
      </c>
      <c r="J205" s="8">
        <f>IF($K205="","",INDEX(מלאי!$AC$2:$AC$500,$K205))</f>
        <v/>
      </c>
      <c r="K20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טכנולוגיים'!$A$2:$A$500,0))&lt;=$G$6),0))),ROW(מלאי!$A$2:$A$500)-ROW(מלאי!$A$2)+1,""),183),"")</f>
        <v/>
      </c>
      <c r="L205" s="8">
        <f>IF($K205="","",IFERROR(INDEX('ערכים טכנולוגיים'!$M$2:$M$500,MATCH(A205,'ערכים טכנולוגיים'!$A$2:$A$500,0)),""))</f>
        <v/>
      </c>
      <c r="M205" s="8">
        <f>IF($K205="","",IFERROR(INDEX('ערכים טכנולוגיים'!$F$2:$F$500,MATCH(A205,'ערכים טכנולוגיים'!$A$2:$A$500,0)),""))</f>
        <v/>
      </c>
      <c r="N205" s="8">
        <f>IF($K205="","",IFERROR(INDEX('ערכים טכנולוגיים'!$J$2:$J$500,MATCH(A205,'ערכים טכנולוגיים'!$A$2:$A$500,0)),""))</f>
        <v/>
      </c>
      <c r="O205" s="8">
        <f>IF($K205="","",IFERROR(INDEX('ערכים טכנולוגיים'!$G$2:$G$500,MATCH(A205,'ערכים טכנולוגיים'!$A$2:$A$500,0)),""))</f>
        <v/>
      </c>
      <c r="P205" s="8">
        <f>IF($K205="","",IFERROR(INDEX('ערכים טכנולוגיים'!$K$2:$K$500,MATCH(A205,'ערכים טכנולוגיים'!$A$2:$A$500,0)),""))</f>
        <v/>
      </c>
      <c r="Q205" s="8">
        <f>IF($K205="","",IFERROR(INDEX('ערכים טכנולוגיים'!$P$2:$P$500,MATCH(A205,'ערכים טכנולוגיים'!$A$2:$A$500,0)),""))</f>
        <v/>
      </c>
    </row>
    <row r="206">
      <c r="A206" s="9">
        <f>IF($K206="","",INDEX(מלאי!$D$2:$D$500,$K206))</f>
        <v/>
      </c>
      <c r="B206" s="9">
        <f>IF($K206="","",INDEX(מלאי!$B$2:$B$500,$K206))</f>
        <v/>
      </c>
      <c r="C206" s="9">
        <f>IF($K206="","",INDEX(מלאי!$C$2:$C$500,$K206))</f>
        <v/>
      </c>
      <c r="D206" s="9">
        <f>IF($K206="","",INDEX(מלאי!$G$2:$G$500,$K206))</f>
        <v/>
      </c>
      <c r="E206" s="9">
        <f>IF($K206="","",INDEX(מלאי!$M$2:$M$500,$K206))</f>
        <v/>
      </c>
      <c r="F206" s="9">
        <f>IF($K206="","",INDEX(מלאי!$N$2:$N$500,$K206))</f>
        <v/>
      </c>
      <c r="G206" s="9">
        <f>IF($K206="","",INDEX(מלאי!$O$2:$O$500,$K206))</f>
        <v/>
      </c>
      <c r="H206" s="9">
        <f>IF($K206="","",INDEX(מלאי!$U$2:$U$500,$K206))</f>
        <v/>
      </c>
      <c r="I206" s="9">
        <f>IF($K206="","",INDEX(מלאי!$X$2:$X$500,$K206))</f>
        <v/>
      </c>
      <c r="J206" s="9">
        <f>IF($K206="","",INDEX(מלאי!$AC$2:$AC$500,$K206))</f>
        <v/>
      </c>
      <c r="K20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טכנולוגיים'!$A$2:$A$500,0))&lt;=$G$6),0))),ROW(מלאי!$A$2:$A$500)-ROW(מלאי!$A$2)+1,""),184),"")</f>
        <v/>
      </c>
      <c r="L206" s="9">
        <f>IF($K206="","",IFERROR(INDEX('ערכים טכנולוגיים'!$M$2:$M$500,MATCH(A206,'ערכים טכנולוגיים'!$A$2:$A$500,0)),""))</f>
        <v/>
      </c>
      <c r="M206" s="9">
        <f>IF($K206="","",IFERROR(INDEX('ערכים טכנולוגיים'!$F$2:$F$500,MATCH(A206,'ערכים טכנולוגיים'!$A$2:$A$500,0)),""))</f>
        <v/>
      </c>
      <c r="N206" s="9">
        <f>IF($K206="","",IFERROR(INDEX('ערכים טכנולוגיים'!$J$2:$J$500,MATCH(A206,'ערכים טכנולוגיים'!$A$2:$A$500,0)),""))</f>
        <v/>
      </c>
      <c r="O206" s="9">
        <f>IF($K206="","",IFERROR(INDEX('ערכים טכנולוגיים'!$G$2:$G$500,MATCH(A206,'ערכים טכנולוגיים'!$A$2:$A$500,0)),""))</f>
        <v/>
      </c>
      <c r="P206" s="9">
        <f>IF($K206="","",IFERROR(INDEX('ערכים טכנולוגיים'!$K$2:$K$500,MATCH(A206,'ערכים טכנולוגיים'!$A$2:$A$500,0)),""))</f>
        <v/>
      </c>
      <c r="Q206" s="9">
        <f>IF($K206="","",IFERROR(INDEX('ערכים טכנולוגיים'!$P$2:$P$500,MATCH(A206,'ערכים טכנולוגיים'!$A$2:$A$500,0)),""))</f>
        <v/>
      </c>
    </row>
    <row r="207">
      <c r="A207" s="8">
        <f>IF($K207="","",INDEX(מלאי!$D$2:$D$500,$K207))</f>
        <v/>
      </c>
      <c r="B207" s="8">
        <f>IF($K207="","",INDEX(מלאי!$B$2:$B$500,$K207))</f>
        <v/>
      </c>
      <c r="C207" s="8">
        <f>IF($K207="","",INDEX(מלאי!$C$2:$C$500,$K207))</f>
        <v/>
      </c>
      <c r="D207" s="8">
        <f>IF($K207="","",INDEX(מלאי!$G$2:$G$500,$K207))</f>
        <v/>
      </c>
      <c r="E207" s="8">
        <f>IF($K207="","",INDEX(מלאי!$M$2:$M$500,$K207))</f>
        <v/>
      </c>
      <c r="F207" s="8">
        <f>IF($K207="","",INDEX(מלאי!$N$2:$N$500,$K207))</f>
        <v/>
      </c>
      <c r="G207" s="8">
        <f>IF($K207="","",INDEX(מלאי!$O$2:$O$500,$K207))</f>
        <v/>
      </c>
      <c r="H207" s="8">
        <f>IF($K207="","",INDEX(מלאי!$U$2:$U$500,$K207))</f>
        <v/>
      </c>
      <c r="I207" s="8">
        <f>IF($K207="","",INDEX(מלאי!$X$2:$X$500,$K207))</f>
        <v/>
      </c>
      <c r="J207" s="8">
        <f>IF($K207="","",INDEX(מלאי!$AC$2:$AC$500,$K207))</f>
        <v/>
      </c>
      <c r="K20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טכנולוגיים'!$A$2:$A$500,0))&lt;=$G$6),0))),ROW(מלאי!$A$2:$A$500)-ROW(מלאי!$A$2)+1,""),185),"")</f>
        <v/>
      </c>
      <c r="L207" s="8">
        <f>IF($K207="","",IFERROR(INDEX('ערכים טכנולוגיים'!$M$2:$M$500,MATCH(A207,'ערכים טכנולוגיים'!$A$2:$A$500,0)),""))</f>
        <v/>
      </c>
      <c r="M207" s="8">
        <f>IF($K207="","",IFERROR(INDEX('ערכים טכנולוגיים'!$F$2:$F$500,MATCH(A207,'ערכים טכנולוגיים'!$A$2:$A$500,0)),""))</f>
        <v/>
      </c>
      <c r="N207" s="8">
        <f>IF($K207="","",IFERROR(INDEX('ערכים טכנולוגיים'!$J$2:$J$500,MATCH(A207,'ערכים טכנולוגיים'!$A$2:$A$500,0)),""))</f>
        <v/>
      </c>
      <c r="O207" s="8">
        <f>IF($K207="","",IFERROR(INDEX('ערכים טכנולוגיים'!$G$2:$G$500,MATCH(A207,'ערכים טכנולוגיים'!$A$2:$A$500,0)),""))</f>
        <v/>
      </c>
      <c r="P207" s="8">
        <f>IF($K207="","",IFERROR(INDEX('ערכים טכנולוגיים'!$K$2:$K$500,MATCH(A207,'ערכים טכנולוגיים'!$A$2:$A$500,0)),""))</f>
        <v/>
      </c>
      <c r="Q207" s="8">
        <f>IF($K207="","",IFERROR(INDEX('ערכים טכנולוגיים'!$P$2:$P$500,MATCH(A207,'ערכים טכנולוגיים'!$A$2:$A$500,0)),""))</f>
        <v/>
      </c>
    </row>
    <row r="208">
      <c r="A208" s="9">
        <f>IF($K208="","",INDEX(מלאי!$D$2:$D$500,$K208))</f>
        <v/>
      </c>
      <c r="B208" s="9">
        <f>IF($K208="","",INDEX(מלאי!$B$2:$B$500,$K208))</f>
        <v/>
      </c>
      <c r="C208" s="9">
        <f>IF($K208="","",INDEX(מלאי!$C$2:$C$500,$K208))</f>
        <v/>
      </c>
      <c r="D208" s="9">
        <f>IF($K208="","",INDEX(מלאי!$G$2:$G$500,$K208))</f>
        <v/>
      </c>
      <c r="E208" s="9">
        <f>IF($K208="","",INDEX(מלאי!$M$2:$M$500,$K208))</f>
        <v/>
      </c>
      <c r="F208" s="9">
        <f>IF($K208="","",INDEX(מלאי!$N$2:$N$500,$K208))</f>
        <v/>
      </c>
      <c r="G208" s="9">
        <f>IF($K208="","",INDEX(מלאי!$O$2:$O$500,$K208))</f>
        <v/>
      </c>
      <c r="H208" s="9">
        <f>IF($K208="","",INDEX(מלאי!$U$2:$U$500,$K208))</f>
        <v/>
      </c>
      <c r="I208" s="9">
        <f>IF($K208="","",INDEX(מלאי!$X$2:$X$500,$K208))</f>
        <v/>
      </c>
      <c r="J208" s="9">
        <f>IF($K208="","",INDEX(מלאי!$AC$2:$AC$500,$K208))</f>
        <v/>
      </c>
      <c r="K20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טכנולוגיים'!$A$2:$A$500,0))&lt;=$G$6),0))),ROW(מלאי!$A$2:$A$500)-ROW(מלאי!$A$2)+1,""),186),"")</f>
        <v/>
      </c>
      <c r="L208" s="9">
        <f>IF($K208="","",IFERROR(INDEX('ערכים טכנולוגיים'!$M$2:$M$500,MATCH(A208,'ערכים טכנולוגיים'!$A$2:$A$500,0)),""))</f>
        <v/>
      </c>
      <c r="M208" s="9">
        <f>IF($K208="","",IFERROR(INDEX('ערכים טכנולוגיים'!$F$2:$F$500,MATCH(A208,'ערכים טכנולוגיים'!$A$2:$A$500,0)),""))</f>
        <v/>
      </c>
      <c r="N208" s="9">
        <f>IF($K208="","",IFERROR(INDEX('ערכים טכנולוגיים'!$J$2:$J$500,MATCH(A208,'ערכים טכנולוגיים'!$A$2:$A$500,0)),""))</f>
        <v/>
      </c>
      <c r="O208" s="9">
        <f>IF($K208="","",IFERROR(INDEX('ערכים טכנולוגיים'!$G$2:$G$500,MATCH(A208,'ערכים טכנולוגיים'!$A$2:$A$500,0)),""))</f>
        <v/>
      </c>
      <c r="P208" s="9">
        <f>IF($K208="","",IFERROR(INDEX('ערכים טכנולוגיים'!$K$2:$K$500,MATCH(A208,'ערכים טכנולוגיים'!$A$2:$A$500,0)),""))</f>
        <v/>
      </c>
      <c r="Q208" s="9">
        <f>IF($K208="","",IFERROR(INDEX('ערכים טכנולוגיים'!$P$2:$P$500,MATCH(A208,'ערכים טכנולוגיים'!$A$2:$A$500,0)),""))</f>
        <v/>
      </c>
    </row>
    <row r="209">
      <c r="A209" s="8">
        <f>IF($K209="","",INDEX(מלאי!$D$2:$D$500,$K209))</f>
        <v/>
      </c>
      <c r="B209" s="8">
        <f>IF($K209="","",INDEX(מלאי!$B$2:$B$500,$K209))</f>
        <v/>
      </c>
      <c r="C209" s="8">
        <f>IF($K209="","",INDEX(מלאי!$C$2:$C$500,$K209))</f>
        <v/>
      </c>
      <c r="D209" s="8">
        <f>IF($K209="","",INDEX(מלאי!$G$2:$G$500,$K209))</f>
        <v/>
      </c>
      <c r="E209" s="8">
        <f>IF($K209="","",INDEX(מלאי!$M$2:$M$500,$K209))</f>
        <v/>
      </c>
      <c r="F209" s="8">
        <f>IF($K209="","",INDEX(מלאי!$N$2:$N$500,$K209))</f>
        <v/>
      </c>
      <c r="G209" s="8">
        <f>IF($K209="","",INDEX(מלאי!$O$2:$O$500,$K209))</f>
        <v/>
      </c>
      <c r="H209" s="8">
        <f>IF($K209="","",INDEX(מלאי!$U$2:$U$500,$K209))</f>
        <v/>
      </c>
      <c r="I209" s="8">
        <f>IF($K209="","",INDEX(מלאי!$X$2:$X$500,$K209))</f>
        <v/>
      </c>
      <c r="J209" s="8">
        <f>IF($K209="","",INDEX(מלאי!$AC$2:$AC$500,$K209))</f>
        <v/>
      </c>
      <c r="K20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טכנולוגיים'!$A$2:$A$500,0))&lt;=$G$6),0))),ROW(מלאי!$A$2:$A$500)-ROW(מלאי!$A$2)+1,""),187),"")</f>
        <v/>
      </c>
      <c r="L209" s="8">
        <f>IF($K209="","",IFERROR(INDEX('ערכים טכנולוגיים'!$M$2:$M$500,MATCH(A209,'ערכים טכנולוגיים'!$A$2:$A$500,0)),""))</f>
        <v/>
      </c>
      <c r="M209" s="8">
        <f>IF($K209="","",IFERROR(INDEX('ערכים טכנולוגיים'!$F$2:$F$500,MATCH(A209,'ערכים טכנולוגיים'!$A$2:$A$500,0)),""))</f>
        <v/>
      </c>
      <c r="N209" s="8">
        <f>IF($K209="","",IFERROR(INDEX('ערכים טכנולוגיים'!$J$2:$J$500,MATCH(A209,'ערכים טכנולוגיים'!$A$2:$A$500,0)),""))</f>
        <v/>
      </c>
      <c r="O209" s="8">
        <f>IF($K209="","",IFERROR(INDEX('ערכים טכנולוגיים'!$G$2:$G$500,MATCH(A209,'ערכים טכנולוגיים'!$A$2:$A$500,0)),""))</f>
        <v/>
      </c>
      <c r="P209" s="8">
        <f>IF($K209="","",IFERROR(INDEX('ערכים טכנולוגיים'!$K$2:$K$500,MATCH(A209,'ערכים טכנולוגיים'!$A$2:$A$500,0)),""))</f>
        <v/>
      </c>
      <c r="Q209" s="8">
        <f>IF($K209="","",IFERROR(INDEX('ערכים טכנולוגיים'!$P$2:$P$500,MATCH(A209,'ערכים טכנולוגיים'!$A$2:$A$500,0)),""))</f>
        <v/>
      </c>
    </row>
    <row r="210">
      <c r="A210" s="9">
        <f>IF($K210="","",INDEX(מלאי!$D$2:$D$500,$K210))</f>
        <v/>
      </c>
      <c r="B210" s="9">
        <f>IF($K210="","",INDEX(מלאי!$B$2:$B$500,$K210))</f>
        <v/>
      </c>
      <c r="C210" s="9">
        <f>IF($K210="","",INDEX(מלאי!$C$2:$C$500,$K210))</f>
        <v/>
      </c>
      <c r="D210" s="9">
        <f>IF($K210="","",INDEX(מלאי!$G$2:$G$500,$K210))</f>
        <v/>
      </c>
      <c r="E210" s="9">
        <f>IF($K210="","",INDEX(מלאי!$M$2:$M$500,$K210))</f>
        <v/>
      </c>
      <c r="F210" s="9">
        <f>IF($K210="","",INDEX(מלאי!$N$2:$N$500,$K210))</f>
        <v/>
      </c>
      <c r="G210" s="9">
        <f>IF($K210="","",INDEX(מלאי!$O$2:$O$500,$K210))</f>
        <v/>
      </c>
      <c r="H210" s="9">
        <f>IF($K210="","",INDEX(מלאי!$U$2:$U$500,$K210))</f>
        <v/>
      </c>
      <c r="I210" s="9">
        <f>IF($K210="","",INDEX(מלאי!$X$2:$X$500,$K210))</f>
        <v/>
      </c>
      <c r="J210" s="9">
        <f>IF($K210="","",INDEX(מלאי!$AC$2:$AC$500,$K210))</f>
        <v/>
      </c>
      <c r="K21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טכנולוגיים'!$A$2:$A$500,0))&lt;=$G$6),0))),ROW(מלאי!$A$2:$A$500)-ROW(מלאי!$A$2)+1,""),188),"")</f>
        <v/>
      </c>
      <c r="L210" s="9">
        <f>IF($K210="","",IFERROR(INDEX('ערכים טכנולוגיים'!$M$2:$M$500,MATCH(A210,'ערכים טכנולוגיים'!$A$2:$A$500,0)),""))</f>
        <v/>
      </c>
      <c r="M210" s="9">
        <f>IF($K210="","",IFERROR(INDEX('ערכים טכנולוגיים'!$F$2:$F$500,MATCH(A210,'ערכים טכנולוגיים'!$A$2:$A$500,0)),""))</f>
        <v/>
      </c>
      <c r="N210" s="9">
        <f>IF($K210="","",IFERROR(INDEX('ערכים טכנולוגיים'!$J$2:$J$500,MATCH(A210,'ערכים טכנולוגיים'!$A$2:$A$500,0)),""))</f>
        <v/>
      </c>
      <c r="O210" s="9">
        <f>IF($K210="","",IFERROR(INDEX('ערכים טכנולוגיים'!$G$2:$G$500,MATCH(A210,'ערכים טכנולוגיים'!$A$2:$A$500,0)),""))</f>
        <v/>
      </c>
      <c r="P210" s="9">
        <f>IF($K210="","",IFERROR(INDEX('ערכים טכנולוגיים'!$K$2:$K$500,MATCH(A210,'ערכים טכנולוגיים'!$A$2:$A$500,0)),""))</f>
        <v/>
      </c>
      <c r="Q210" s="9">
        <f>IF($K210="","",IFERROR(INDEX('ערכים טכנולוגיים'!$P$2:$P$500,MATCH(A210,'ערכים טכנולוגיים'!$A$2:$A$500,0)),""))</f>
        <v/>
      </c>
    </row>
    <row r="211">
      <c r="A211" s="8">
        <f>IF($K211="","",INDEX(מלאי!$D$2:$D$500,$K211))</f>
        <v/>
      </c>
      <c r="B211" s="8">
        <f>IF($K211="","",INDEX(מלאי!$B$2:$B$500,$K211))</f>
        <v/>
      </c>
      <c r="C211" s="8">
        <f>IF($K211="","",INDEX(מלאי!$C$2:$C$500,$K211))</f>
        <v/>
      </c>
      <c r="D211" s="8">
        <f>IF($K211="","",INDEX(מלאי!$G$2:$G$500,$K211))</f>
        <v/>
      </c>
      <c r="E211" s="8">
        <f>IF($K211="","",INDEX(מלאי!$M$2:$M$500,$K211))</f>
        <v/>
      </c>
      <c r="F211" s="8">
        <f>IF($K211="","",INDEX(מלאי!$N$2:$N$500,$K211))</f>
        <v/>
      </c>
      <c r="G211" s="8">
        <f>IF($K211="","",INDEX(מלאי!$O$2:$O$500,$K211))</f>
        <v/>
      </c>
      <c r="H211" s="8">
        <f>IF($K211="","",INDEX(מלאי!$U$2:$U$500,$K211))</f>
        <v/>
      </c>
      <c r="I211" s="8">
        <f>IF($K211="","",INDEX(מלאי!$X$2:$X$500,$K211))</f>
        <v/>
      </c>
      <c r="J211" s="8">
        <f>IF($K211="","",INDEX(מלאי!$AC$2:$AC$500,$K211))</f>
        <v/>
      </c>
      <c r="K21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טכנולוגיים'!$A$2:$A$500,0))&lt;=$G$6),0))),ROW(מלאי!$A$2:$A$500)-ROW(מלאי!$A$2)+1,""),189),"")</f>
        <v/>
      </c>
      <c r="L211" s="8">
        <f>IF($K211="","",IFERROR(INDEX('ערכים טכנולוגיים'!$M$2:$M$500,MATCH(A211,'ערכים טכנולוגיים'!$A$2:$A$500,0)),""))</f>
        <v/>
      </c>
      <c r="M211" s="8">
        <f>IF($K211="","",IFERROR(INDEX('ערכים טכנולוגיים'!$F$2:$F$500,MATCH(A211,'ערכים טכנולוגיים'!$A$2:$A$500,0)),""))</f>
        <v/>
      </c>
      <c r="N211" s="8">
        <f>IF($K211="","",IFERROR(INDEX('ערכים טכנולוגיים'!$J$2:$J$500,MATCH(A211,'ערכים טכנולוגיים'!$A$2:$A$500,0)),""))</f>
        <v/>
      </c>
      <c r="O211" s="8">
        <f>IF($K211="","",IFERROR(INDEX('ערכים טכנולוגיים'!$G$2:$G$500,MATCH(A211,'ערכים טכנולוגיים'!$A$2:$A$500,0)),""))</f>
        <v/>
      </c>
      <c r="P211" s="8">
        <f>IF($K211="","",IFERROR(INDEX('ערכים טכנולוגיים'!$K$2:$K$500,MATCH(A211,'ערכים טכנולוגיים'!$A$2:$A$500,0)),""))</f>
        <v/>
      </c>
      <c r="Q211" s="8">
        <f>IF($K211="","",IFERROR(INDEX('ערכים טכנולוגיים'!$P$2:$P$500,MATCH(A211,'ערכים טכנולוגיים'!$A$2:$A$500,0)),""))</f>
        <v/>
      </c>
    </row>
    <row r="212">
      <c r="A212" s="9">
        <f>IF($K212="","",INDEX(מלאי!$D$2:$D$500,$K212))</f>
        <v/>
      </c>
      <c r="B212" s="9">
        <f>IF($K212="","",INDEX(מלאי!$B$2:$B$500,$K212))</f>
        <v/>
      </c>
      <c r="C212" s="9">
        <f>IF($K212="","",INDEX(מלאי!$C$2:$C$500,$K212))</f>
        <v/>
      </c>
      <c r="D212" s="9">
        <f>IF($K212="","",INDEX(מלאי!$G$2:$G$500,$K212))</f>
        <v/>
      </c>
      <c r="E212" s="9">
        <f>IF($K212="","",INDEX(מלאי!$M$2:$M$500,$K212))</f>
        <v/>
      </c>
      <c r="F212" s="9">
        <f>IF($K212="","",INDEX(מלאי!$N$2:$N$500,$K212))</f>
        <v/>
      </c>
      <c r="G212" s="9">
        <f>IF($K212="","",INDEX(מלאי!$O$2:$O$500,$K212))</f>
        <v/>
      </c>
      <c r="H212" s="9">
        <f>IF($K212="","",INDEX(מלאי!$U$2:$U$500,$K212))</f>
        <v/>
      </c>
      <c r="I212" s="9">
        <f>IF($K212="","",INDEX(מלאי!$X$2:$X$500,$K212))</f>
        <v/>
      </c>
      <c r="J212" s="9">
        <f>IF($K212="","",INDEX(מלאי!$AC$2:$AC$500,$K212))</f>
        <v/>
      </c>
      <c r="K21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טכנולוגיים'!$A$2:$A$500,0))&lt;=$G$6),0))),ROW(מלאי!$A$2:$A$500)-ROW(מלאי!$A$2)+1,""),190),"")</f>
        <v/>
      </c>
      <c r="L212" s="9">
        <f>IF($K212="","",IFERROR(INDEX('ערכים טכנולוגיים'!$M$2:$M$500,MATCH(A212,'ערכים טכנולוגיים'!$A$2:$A$500,0)),""))</f>
        <v/>
      </c>
      <c r="M212" s="9">
        <f>IF($K212="","",IFERROR(INDEX('ערכים טכנולוגיים'!$F$2:$F$500,MATCH(A212,'ערכים טכנולוגיים'!$A$2:$A$500,0)),""))</f>
        <v/>
      </c>
      <c r="N212" s="9">
        <f>IF($K212="","",IFERROR(INDEX('ערכים טכנולוגיים'!$J$2:$J$500,MATCH(A212,'ערכים טכנולוגיים'!$A$2:$A$500,0)),""))</f>
        <v/>
      </c>
      <c r="O212" s="9">
        <f>IF($K212="","",IFERROR(INDEX('ערכים טכנולוגיים'!$G$2:$G$500,MATCH(A212,'ערכים טכנולוגיים'!$A$2:$A$500,0)),""))</f>
        <v/>
      </c>
      <c r="P212" s="9">
        <f>IF($K212="","",IFERROR(INDEX('ערכים טכנולוגיים'!$K$2:$K$500,MATCH(A212,'ערכים טכנולוגיים'!$A$2:$A$500,0)),""))</f>
        <v/>
      </c>
      <c r="Q212" s="9">
        <f>IF($K212="","",IFERROR(INDEX('ערכים טכנולוגיים'!$P$2:$P$500,MATCH(A212,'ערכים טכנולוגיים'!$A$2:$A$500,0)),""))</f>
        <v/>
      </c>
    </row>
    <row r="213">
      <c r="A213" s="8">
        <f>IF($K213="","",INDEX(מלאי!$D$2:$D$500,$K213))</f>
        <v/>
      </c>
      <c r="B213" s="8">
        <f>IF($K213="","",INDEX(מלאי!$B$2:$B$500,$K213))</f>
        <v/>
      </c>
      <c r="C213" s="8">
        <f>IF($K213="","",INDEX(מלאי!$C$2:$C$500,$K213))</f>
        <v/>
      </c>
      <c r="D213" s="8">
        <f>IF($K213="","",INDEX(מלאי!$G$2:$G$500,$K213))</f>
        <v/>
      </c>
      <c r="E213" s="8">
        <f>IF($K213="","",INDEX(מלאי!$M$2:$M$500,$K213))</f>
        <v/>
      </c>
      <c r="F213" s="8">
        <f>IF($K213="","",INDEX(מלאי!$N$2:$N$500,$K213))</f>
        <v/>
      </c>
      <c r="G213" s="8">
        <f>IF($K213="","",INDEX(מלאי!$O$2:$O$500,$K213))</f>
        <v/>
      </c>
      <c r="H213" s="8">
        <f>IF($K213="","",INDEX(מלאי!$U$2:$U$500,$K213))</f>
        <v/>
      </c>
      <c r="I213" s="8">
        <f>IF($K213="","",INDEX(מלאי!$X$2:$X$500,$K213))</f>
        <v/>
      </c>
      <c r="J213" s="8">
        <f>IF($K213="","",INDEX(מלאי!$AC$2:$AC$500,$K213))</f>
        <v/>
      </c>
      <c r="K21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טכנולוגיים'!$A$2:$A$500,0))&lt;=$G$6),0))),ROW(מלאי!$A$2:$A$500)-ROW(מלאי!$A$2)+1,""),191),"")</f>
        <v/>
      </c>
      <c r="L213" s="8">
        <f>IF($K213="","",IFERROR(INDEX('ערכים טכנולוגיים'!$M$2:$M$500,MATCH(A213,'ערכים טכנולוגיים'!$A$2:$A$500,0)),""))</f>
        <v/>
      </c>
      <c r="M213" s="8">
        <f>IF($K213="","",IFERROR(INDEX('ערכים טכנולוגיים'!$F$2:$F$500,MATCH(A213,'ערכים טכנולוגיים'!$A$2:$A$500,0)),""))</f>
        <v/>
      </c>
      <c r="N213" s="8">
        <f>IF($K213="","",IFERROR(INDEX('ערכים טכנולוגיים'!$J$2:$J$500,MATCH(A213,'ערכים טכנולוגיים'!$A$2:$A$500,0)),""))</f>
        <v/>
      </c>
      <c r="O213" s="8">
        <f>IF($K213="","",IFERROR(INDEX('ערכים טכנולוגיים'!$G$2:$G$500,MATCH(A213,'ערכים טכנולוגיים'!$A$2:$A$500,0)),""))</f>
        <v/>
      </c>
      <c r="P213" s="8">
        <f>IF($K213="","",IFERROR(INDEX('ערכים טכנולוגיים'!$K$2:$K$500,MATCH(A213,'ערכים טכנולוגיים'!$A$2:$A$500,0)),""))</f>
        <v/>
      </c>
      <c r="Q213" s="8">
        <f>IF($K213="","",IFERROR(INDEX('ערכים טכנולוגיים'!$P$2:$P$500,MATCH(A213,'ערכים טכנולוגיים'!$A$2:$A$500,0)),""))</f>
        <v/>
      </c>
    </row>
    <row r="214">
      <c r="A214" s="9">
        <f>IF($K214="","",INDEX(מלאי!$D$2:$D$500,$K214))</f>
        <v/>
      </c>
      <c r="B214" s="9">
        <f>IF($K214="","",INDEX(מלאי!$B$2:$B$500,$K214))</f>
        <v/>
      </c>
      <c r="C214" s="9">
        <f>IF($K214="","",INDEX(מלאי!$C$2:$C$500,$K214))</f>
        <v/>
      </c>
      <c r="D214" s="9">
        <f>IF($K214="","",INDEX(מלאי!$G$2:$G$500,$K214))</f>
        <v/>
      </c>
      <c r="E214" s="9">
        <f>IF($K214="","",INDEX(מלאי!$M$2:$M$500,$K214))</f>
        <v/>
      </c>
      <c r="F214" s="9">
        <f>IF($K214="","",INDEX(מלאי!$N$2:$N$500,$K214))</f>
        <v/>
      </c>
      <c r="G214" s="9">
        <f>IF($K214="","",INDEX(מלאי!$O$2:$O$500,$K214))</f>
        <v/>
      </c>
      <c r="H214" s="9">
        <f>IF($K214="","",INDEX(מלאי!$U$2:$U$500,$K214))</f>
        <v/>
      </c>
      <c r="I214" s="9">
        <f>IF($K214="","",INDEX(מלאי!$X$2:$X$500,$K214))</f>
        <v/>
      </c>
      <c r="J214" s="9">
        <f>IF($K214="","",INDEX(מלאי!$AC$2:$AC$500,$K214))</f>
        <v/>
      </c>
      <c r="K21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טכנולוגיים'!$A$2:$A$500,0))&lt;=$G$6),0))),ROW(מלאי!$A$2:$A$500)-ROW(מלאי!$A$2)+1,""),192),"")</f>
        <v/>
      </c>
      <c r="L214" s="9">
        <f>IF($K214="","",IFERROR(INDEX('ערכים טכנולוגיים'!$M$2:$M$500,MATCH(A214,'ערכים טכנולוגיים'!$A$2:$A$500,0)),""))</f>
        <v/>
      </c>
      <c r="M214" s="9">
        <f>IF($K214="","",IFERROR(INDEX('ערכים טכנולוגיים'!$F$2:$F$500,MATCH(A214,'ערכים טכנולוגיים'!$A$2:$A$500,0)),""))</f>
        <v/>
      </c>
      <c r="N214" s="9">
        <f>IF($K214="","",IFERROR(INDEX('ערכים טכנולוגיים'!$J$2:$J$500,MATCH(A214,'ערכים טכנולוגיים'!$A$2:$A$500,0)),""))</f>
        <v/>
      </c>
      <c r="O214" s="9">
        <f>IF($K214="","",IFERROR(INDEX('ערכים טכנולוגיים'!$G$2:$G$500,MATCH(A214,'ערכים טכנולוגיים'!$A$2:$A$500,0)),""))</f>
        <v/>
      </c>
      <c r="P214" s="9">
        <f>IF($K214="","",IFERROR(INDEX('ערכים טכנולוגיים'!$K$2:$K$500,MATCH(A214,'ערכים טכנולוגיים'!$A$2:$A$500,0)),""))</f>
        <v/>
      </c>
      <c r="Q214" s="9">
        <f>IF($K214="","",IFERROR(INDEX('ערכים טכנולוגיים'!$P$2:$P$500,MATCH(A214,'ערכים טכנולוגיים'!$A$2:$A$500,0)),""))</f>
        <v/>
      </c>
    </row>
    <row r="215">
      <c r="A215" s="8">
        <f>IF($K215="","",INDEX(מלאי!$D$2:$D$500,$K215))</f>
        <v/>
      </c>
      <c r="B215" s="8">
        <f>IF($K215="","",INDEX(מלאי!$B$2:$B$500,$K215))</f>
        <v/>
      </c>
      <c r="C215" s="8">
        <f>IF($K215="","",INDEX(מלאי!$C$2:$C$500,$K215))</f>
        <v/>
      </c>
      <c r="D215" s="8">
        <f>IF($K215="","",INDEX(מלאי!$G$2:$G$500,$K215))</f>
        <v/>
      </c>
      <c r="E215" s="8">
        <f>IF($K215="","",INDEX(מלאי!$M$2:$M$500,$K215))</f>
        <v/>
      </c>
      <c r="F215" s="8">
        <f>IF($K215="","",INDEX(מלאי!$N$2:$N$500,$K215))</f>
        <v/>
      </c>
      <c r="G215" s="8">
        <f>IF($K215="","",INDEX(מלאי!$O$2:$O$500,$K215))</f>
        <v/>
      </c>
      <c r="H215" s="8">
        <f>IF($K215="","",INDEX(מלאי!$U$2:$U$500,$K215))</f>
        <v/>
      </c>
      <c r="I215" s="8">
        <f>IF($K215="","",INDEX(מלאי!$X$2:$X$500,$K215))</f>
        <v/>
      </c>
      <c r="J215" s="8">
        <f>IF($K215="","",INDEX(מלאי!$AC$2:$AC$500,$K215))</f>
        <v/>
      </c>
      <c r="K21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טכנולוגיים'!$A$2:$A$500,0))&lt;=$G$6),0))),ROW(מלאי!$A$2:$A$500)-ROW(מלאי!$A$2)+1,""),193),"")</f>
        <v/>
      </c>
      <c r="L215" s="8">
        <f>IF($K215="","",IFERROR(INDEX('ערכים טכנולוגיים'!$M$2:$M$500,MATCH(A215,'ערכים טכנולוגיים'!$A$2:$A$500,0)),""))</f>
        <v/>
      </c>
      <c r="M215" s="8">
        <f>IF($K215="","",IFERROR(INDEX('ערכים טכנולוגיים'!$F$2:$F$500,MATCH(A215,'ערכים טכנולוגיים'!$A$2:$A$500,0)),""))</f>
        <v/>
      </c>
      <c r="N215" s="8">
        <f>IF($K215="","",IFERROR(INDEX('ערכים טכנולוגיים'!$J$2:$J$500,MATCH(A215,'ערכים טכנולוגיים'!$A$2:$A$500,0)),""))</f>
        <v/>
      </c>
      <c r="O215" s="8">
        <f>IF($K215="","",IFERROR(INDEX('ערכים טכנולוגיים'!$G$2:$G$500,MATCH(A215,'ערכים טכנולוגיים'!$A$2:$A$500,0)),""))</f>
        <v/>
      </c>
      <c r="P215" s="8">
        <f>IF($K215="","",IFERROR(INDEX('ערכים טכנולוגיים'!$K$2:$K$500,MATCH(A215,'ערכים טכנולוגיים'!$A$2:$A$500,0)),""))</f>
        <v/>
      </c>
      <c r="Q215" s="8">
        <f>IF($K215="","",IFERROR(INDEX('ערכים טכנולוגיים'!$P$2:$P$500,MATCH(A215,'ערכים טכנולוגיים'!$A$2:$A$500,0)),""))</f>
        <v/>
      </c>
    </row>
    <row r="216">
      <c r="A216" s="9">
        <f>IF($K216="","",INDEX(מלאי!$D$2:$D$500,$K216))</f>
        <v/>
      </c>
      <c r="B216" s="9">
        <f>IF($K216="","",INDEX(מלאי!$B$2:$B$500,$K216))</f>
        <v/>
      </c>
      <c r="C216" s="9">
        <f>IF($K216="","",INDEX(מלאי!$C$2:$C$500,$K216))</f>
        <v/>
      </c>
      <c r="D216" s="9">
        <f>IF($K216="","",INDEX(מלאי!$G$2:$G$500,$K216))</f>
        <v/>
      </c>
      <c r="E216" s="9">
        <f>IF($K216="","",INDEX(מלאי!$M$2:$M$500,$K216))</f>
        <v/>
      </c>
      <c r="F216" s="9">
        <f>IF($K216="","",INDEX(מלאי!$N$2:$N$500,$K216))</f>
        <v/>
      </c>
      <c r="G216" s="9">
        <f>IF($K216="","",INDEX(מלאי!$O$2:$O$500,$K216))</f>
        <v/>
      </c>
      <c r="H216" s="9">
        <f>IF($K216="","",INDEX(מלאי!$U$2:$U$500,$K216))</f>
        <v/>
      </c>
      <c r="I216" s="9">
        <f>IF($K216="","",INDEX(מלאי!$X$2:$X$500,$K216))</f>
        <v/>
      </c>
      <c r="J216" s="9">
        <f>IF($K216="","",INDEX(מלאי!$AC$2:$AC$500,$K216))</f>
        <v/>
      </c>
      <c r="K21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טכנולוגיים'!$A$2:$A$500,0))&lt;=$G$6),0))),ROW(מלאי!$A$2:$A$500)-ROW(מלאי!$A$2)+1,""),194),"")</f>
        <v/>
      </c>
      <c r="L216" s="9">
        <f>IF($K216="","",IFERROR(INDEX('ערכים טכנולוגיים'!$M$2:$M$500,MATCH(A216,'ערכים טכנולוגיים'!$A$2:$A$500,0)),""))</f>
        <v/>
      </c>
      <c r="M216" s="9">
        <f>IF($K216="","",IFERROR(INDEX('ערכים טכנולוגיים'!$F$2:$F$500,MATCH(A216,'ערכים טכנולוגיים'!$A$2:$A$500,0)),""))</f>
        <v/>
      </c>
      <c r="N216" s="9">
        <f>IF($K216="","",IFERROR(INDEX('ערכים טכנולוגיים'!$J$2:$J$500,MATCH(A216,'ערכים טכנולוגיים'!$A$2:$A$500,0)),""))</f>
        <v/>
      </c>
      <c r="O216" s="9">
        <f>IF($K216="","",IFERROR(INDEX('ערכים טכנולוגיים'!$G$2:$G$500,MATCH(A216,'ערכים טכנולוגיים'!$A$2:$A$500,0)),""))</f>
        <v/>
      </c>
      <c r="P216" s="9">
        <f>IF($K216="","",IFERROR(INDEX('ערכים טכנולוגיים'!$K$2:$K$500,MATCH(A216,'ערכים טכנולוגיים'!$A$2:$A$500,0)),""))</f>
        <v/>
      </c>
      <c r="Q216" s="9">
        <f>IF($K216="","",IFERROR(INDEX('ערכים טכנולוגיים'!$P$2:$P$500,MATCH(A216,'ערכים טכנולוגיים'!$A$2:$A$500,0)),""))</f>
        <v/>
      </c>
    </row>
    <row r="217">
      <c r="A217" s="8">
        <f>IF($K217="","",INDEX(מלאי!$D$2:$D$500,$K217))</f>
        <v/>
      </c>
      <c r="B217" s="8">
        <f>IF($K217="","",INDEX(מלאי!$B$2:$B$500,$K217))</f>
        <v/>
      </c>
      <c r="C217" s="8">
        <f>IF($K217="","",INDEX(מלאי!$C$2:$C$500,$K217))</f>
        <v/>
      </c>
      <c r="D217" s="8">
        <f>IF($K217="","",INDEX(מלאי!$G$2:$G$500,$K217))</f>
        <v/>
      </c>
      <c r="E217" s="8">
        <f>IF($K217="","",INDEX(מלאי!$M$2:$M$500,$K217))</f>
        <v/>
      </c>
      <c r="F217" s="8">
        <f>IF($K217="","",INDEX(מלאי!$N$2:$N$500,$K217))</f>
        <v/>
      </c>
      <c r="G217" s="8">
        <f>IF($K217="","",INDEX(מלאי!$O$2:$O$500,$K217))</f>
        <v/>
      </c>
      <c r="H217" s="8">
        <f>IF($K217="","",INDEX(מלאי!$U$2:$U$500,$K217))</f>
        <v/>
      </c>
      <c r="I217" s="8">
        <f>IF($K217="","",INDEX(מלאי!$X$2:$X$500,$K217))</f>
        <v/>
      </c>
      <c r="J217" s="8">
        <f>IF($K217="","",INDEX(מלאי!$AC$2:$AC$500,$K217))</f>
        <v/>
      </c>
      <c r="K21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טכנולוגיים'!$A$2:$A$500,0))&lt;=$G$6),0))),ROW(מלאי!$A$2:$A$500)-ROW(מלאי!$A$2)+1,""),195),"")</f>
        <v/>
      </c>
      <c r="L217" s="8">
        <f>IF($K217="","",IFERROR(INDEX('ערכים טכנולוגיים'!$M$2:$M$500,MATCH(A217,'ערכים טכנולוגיים'!$A$2:$A$500,0)),""))</f>
        <v/>
      </c>
      <c r="M217" s="8">
        <f>IF($K217="","",IFERROR(INDEX('ערכים טכנולוגיים'!$F$2:$F$500,MATCH(A217,'ערכים טכנולוגיים'!$A$2:$A$500,0)),""))</f>
        <v/>
      </c>
      <c r="N217" s="8">
        <f>IF($K217="","",IFERROR(INDEX('ערכים טכנולוגיים'!$J$2:$J$500,MATCH(A217,'ערכים טכנולוגיים'!$A$2:$A$500,0)),""))</f>
        <v/>
      </c>
      <c r="O217" s="8">
        <f>IF($K217="","",IFERROR(INDEX('ערכים טכנולוגיים'!$G$2:$G$500,MATCH(A217,'ערכים טכנולוגיים'!$A$2:$A$500,0)),""))</f>
        <v/>
      </c>
      <c r="P217" s="8">
        <f>IF($K217="","",IFERROR(INDEX('ערכים טכנולוגיים'!$K$2:$K$500,MATCH(A217,'ערכים טכנולוגיים'!$A$2:$A$500,0)),""))</f>
        <v/>
      </c>
      <c r="Q217" s="8">
        <f>IF($K217="","",IFERROR(INDEX('ערכים טכנולוגיים'!$P$2:$P$500,MATCH(A217,'ערכים טכנולוגיים'!$A$2:$A$500,0)),""))</f>
        <v/>
      </c>
    </row>
    <row r="218">
      <c r="A218" s="9">
        <f>IF($K218="","",INDEX(מלאי!$D$2:$D$500,$K218))</f>
        <v/>
      </c>
      <c r="B218" s="9">
        <f>IF($K218="","",INDEX(מלאי!$B$2:$B$500,$K218))</f>
        <v/>
      </c>
      <c r="C218" s="9">
        <f>IF($K218="","",INDEX(מלאי!$C$2:$C$500,$K218))</f>
        <v/>
      </c>
      <c r="D218" s="9">
        <f>IF($K218="","",INDEX(מלאי!$G$2:$G$500,$K218))</f>
        <v/>
      </c>
      <c r="E218" s="9">
        <f>IF($K218="","",INDEX(מלאי!$M$2:$M$500,$K218))</f>
        <v/>
      </c>
      <c r="F218" s="9">
        <f>IF($K218="","",INDEX(מלאי!$N$2:$N$500,$K218))</f>
        <v/>
      </c>
      <c r="G218" s="9">
        <f>IF($K218="","",INDEX(מלאי!$O$2:$O$500,$K218))</f>
        <v/>
      </c>
      <c r="H218" s="9">
        <f>IF($K218="","",INDEX(מלאי!$U$2:$U$500,$K218))</f>
        <v/>
      </c>
      <c r="I218" s="9">
        <f>IF($K218="","",INDEX(מלאי!$X$2:$X$500,$K218))</f>
        <v/>
      </c>
      <c r="J218" s="9">
        <f>IF($K218="","",INDEX(מלאי!$AC$2:$AC$500,$K218))</f>
        <v/>
      </c>
      <c r="K21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טכנולוגיים'!$A$2:$A$500,0))&lt;=$G$6),0))),ROW(מלאי!$A$2:$A$500)-ROW(מלאי!$A$2)+1,""),196),"")</f>
        <v/>
      </c>
      <c r="L218" s="9">
        <f>IF($K218="","",IFERROR(INDEX('ערכים טכנולוגיים'!$M$2:$M$500,MATCH(A218,'ערכים טכנולוגיים'!$A$2:$A$500,0)),""))</f>
        <v/>
      </c>
      <c r="M218" s="9">
        <f>IF($K218="","",IFERROR(INDEX('ערכים טכנולוגיים'!$F$2:$F$500,MATCH(A218,'ערכים טכנולוגיים'!$A$2:$A$500,0)),""))</f>
        <v/>
      </c>
      <c r="N218" s="9">
        <f>IF($K218="","",IFERROR(INDEX('ערכים טכנולוגיים'!$J$2:$J$500,MATCH(A218,'ערכים טכנולוגיים'!$A$2:$A$500,0)),""))</f>
        <v/>
      </c>
      <c r="O218" s="9">
        <f>IF($K218="","",IFERROR(INDEX('ערכים טכנולוגיים'!$G$2:$G$500,MATCH(A218,'ערכים טכנולוגיים'!$A$2:$A$500,0)),""))</f>
        <v/>
      </c>
      <c r="P218" s="9">
        <f>IF($K218="","",IFERROR(INDEX('ערכים טכנולוגיים'!$K$2:$K$500,MATCH(A218,'ערכים טכנולוגיים'!$A$2:$A$500,0)),""))</f>
        <v/>
      </c>
      <c r="Q218" s="9">
        <f>IF($K218="","",IFERROR(INDEX('ערכים טכנולוגיים'!$P$2:$P$500,MATCH(A218,'ערכים טכנולוגיים'!$A$2:$A$500,0)),""))</f>
        <v/>
      </c>
    </row>
    <row r="219">
      <c r="A219" s="8">
        <f>IF($K219="","",INDEX(מלאי!$D$2:$D$500,$K219))</f>
        <v/>
      </c>
      <c r="B219" s="8">
        <f>IF($K219="","",INDEX(מלאי!$B$2:$B$500,$K219))</f>
        <v/>
      </c>
      <c r="C219" s="8">
        <f>IF($K219="","",INDEX(מלאי!$C$2:$C$500,$K219))</f>
        <v/>
      </c>
      <c r="D219" s="8">
        <f>IF($K219="","",INDEX(מלאי!$G$2:$G$500,$K219))</f>
        <v/>
      </c>
      <c r="E219" s="8">
        <f>IF($K219="","",INDEX(מלאי!$M$2:$M$500,$K219))</f>
        <v/>
      </c>
      <c r="F219" s="8">
        <f>IF($K219="","",INDEX(מלאי!$N$2:$N$500,$K219))</f>
        <v/>
      </c>
      <c r="G219" s="8">
        <f>IF($K219="","",INDEX(מלאי!$O$2:$O$500,$K219))</f>
        <v/>
      </c>
      <c r="H219" s="8">
        <f>IF($K219="","",INDEX(מלאי!$U$2:$U$500,$K219))</f>
        <v/>
      </c>
      <c r="I219" s="8">
        <f>IF($K219="","",INDEX(מלאי!$X$2:$X$500,$K219))</f>
        <v/>
      </c>
      <c r="J219" s="8">
        <f>IF($K219="","",INDEX(מלאי!$AC$2:$AC$500,$K219))</f>
        <v/>
      </c>
      <c r="K21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טכנולוגיים'!$A$2:$A$500,0))&lt;=$G$6),0))),ROW(מלאי!$A$2:$A$500)-ROW(מלאי!$A$2)+1,""),197),"")</f>
        <v/>
      </c>
      <c r="L219" s="8">
        <f>IF($K219="","",IFERROR(INDEX('ערכים טכנולוגיים'!$M$2:$M$500,MATCH(A219,'ערכים טכנולוגיים'!$A$2:$A$500,0)),""))</f>
        <v/>
      </c>
      <c r="M219" s="8">
        <f>IF($K219="","",IFERROR(INDEX('ערכים טכנולוגיים'!$F$2:$F$500,MATCH(A219,'ערכים טכנולוגיים'!$A$2:$A$500,0)),""))</f>
        <v/>
      </c>
      <c r="N219" s="8">
        <f>IF($K219="","",IFERROR(INDEX('ערכים טכנולוגיים'!$J$2:$J$500,MATCH(A219,'ערכים טכנולוגיים'!$A$2:$A$500,0)),""))</f>
        <v/>
      </c>
      <c r="O219" s="8">
        <f>IF($K219="","",IFERROR(INDEX('ערכים טכנולוגיים'!$G$2:$G$500,MATCH(A219,'ערכים טכנולוגיים'!$A$2:$A$500,0)),""))</f>
        <v/>
      </c>
      <c r="P219" s="8">
        <f>IF($K219="","",IFERROR(INDEX('ערכים טכנולוגיים'!$K$2:$K$500,MATCH(A219,'ערכים טכנולוגיים'!$A$2:$A$500,0)),""))</f>
        <v/>
      </c>
      <c r="Q219" s="8">
        <f>IF($K219="","",IFERROR(INDEX('ערכים טכנולוגיים'!$P$2:$P$500,MATCH(A219,'ערכים טכנולוגיים'!$A$2:$A$500,0)),""))</f>
        <v/>
      </c>
    </row>
    <row r="220">
      <c r="A220" s="9">
        <f>IF($K220="","",INDEX(מלאי!$D$2:$D$500,$K220))</f>
        <v/>
      </c>
      <c r="B220" s="9">
        <f>IF($K220="","",INDEX(מלאי!$B$2:$B$500,$K220))</f>
        <v/>
      </c>
      <c r="C220" s="9">
        <f>IF($K220="","",INDEX(מלאי!$C$2:$C$500,$K220))</f>
        <v/>
      </c>
      <c r="D220" s="9">
        <f>IF($K220="","",INDEX(מלאי!$G$2:$G$500,$K220))</f>
        <v/>
      </c>
      <c r="E220" s="9">
        <f>IF($K220="","",INDEX(מלאי!$M$2:$M$500,$K220))</f>
        <v/>
      </c>
      <c r="F220" s="9">
        <f>IF($K220="","",INDEX(מלאי!$N$2:$N$500,$K220))</f>
        <v/>
      </c>
      <c r="G220" s="9">
        <f>IF($K220="","",INDEX(מלאי!$O$2:$O$500,$K220))</f>
        <v/>
      </c>
      <c r="H220" s="9">
        <f>IF($K220="","",INDEX(מלאי!$U$2:$U$500,$K220))</f>
        <v/>
      </c>
      <c r="I220" s="9">
        <f>IF($K220="","",INDEX(מלאי!$X$2:$X$500,$K220))</f>
        <v/>
      </c>
      <c r="J220" s="9">
        <f>IF($K220="","",INDEX(מלאי!$AC$2:$AC$500,$K220))</f>
        <v/>
      </c>
      <c r="K22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טכנולוגיים'!$A$2:$A$500,0))&lt;=$G$6),0))),ROW(מלאי!$A$2:$A$500)-ROW(מלאי!$A$2)+1,""),198),"")</f>
        <v/>
      </c>
      <c r="L220" s="9">
        <f>IF($K220="","",IFERROR(INDEX('ערכים טכנולוגיים'!$M$2:$M$500,MATCH(A220,'ערכים טכנולוגיים'!$A$2:$A$500,0)),""))</f>
        <v/>
      </c>
      <c r="M220" s="9">
        <f>IF($K220="","",IFERROR(INDEX('ערכים טכנולוגיים'!$F$2:$F$500,MATCH(A220,'ערכים טכנולוגיים'!$A$2:$A$500,0)),""))</f>
        <v/>
      </c>
      <c r="N220" s="9">
        <f>IF($K220="","",IFERROR(INDEX('ערכים טכנולוגיים'!$J$2:$J$500,MATCH(A220,'ערכים טכנולוגיים'!$A$2:$A$500,0)),""))</f>
        <v/>
      </c>
      <c r="O220" s="9">
        <f>IF($K220="","",IFERROR(INDEX('ערכים טכנולוגיים'!$G$2:$G$500,MATCH(A220,'ערכים טכנולוגיים'!$A$2:$A$500,0)),""))</f>
        <v/>
      </c>
      <c r="P220" s="9">
        <f>IF($K220="","",IFERROR(INDEX('ערכים טכנולוגיים'!$K$2:$K$500,MATCH(A220,'ערכים טכנולוגיים'!$A$2:$A$500,0)),""))</f>
        <v/>
      </c>
      <c r="Q220" s="9">
        <f>IF($K220="","",IFERROR(INDEX('ערכים טכנולוגיים'!$P$2:$P$500,MATCH(A220,'ערכים טכנולוגיים'!$A$2:$A$500,0)),""))</f>
        <v/>
      </c>
    </row>
    <row r="221">
      <c r="A221" s="8">
        <f>IF($K221="","",INDEX(מלאי!$D$2:$D$500,$K221))</f>
        <v/>
      </c>
      <c r="B221" s="8">
        <f>IF($K221="","",INDEX(מלאי!$B$2:$B$500,$K221))</f>
        <v/>
      </c>
      <c r="C221" s="8">
        <f>IF($K221="","",INDEX(מלאי!$C$2:$C$500,$K221))</f>
        <v/>
      </c>
      <c r="D221" s="8">
        <f>IF($K221="","",INDEX(מלאי!$G$2:$G$500,$K221))</f>
        <v/>
      </c>
      <c r="E221" s="8">
        <f>IF($K221="","",INDEX(מלאי!$M$2:$M$500,$K221))</f>
        <v/>
      </c>
      <c r="F221" s="8">
        <f>IF($K221="","",INDEX(מלאי!$N$2:$N$500,$K221))</f>
        <v/>
      </c>
      <c r="G221" s="8">
        <f>IF($K221="","",INDEX(מלאי!$O$2:$O$500,$K221))</f>
        <v/>
      </c>
      <c r="H221" s="8">
        <f>IF($K221="","",INDEX(מלאי!$U$2:$U$500,$K221))</f>
        <v/>
      </c>
      <c r="I221" s="8">
        <f>IF($K221="","",INDEX(מלאי!$X$2:$X$500,$K221))</f>
        <v/>
      </c>
      <c r="J221" s="8">
        <f>IF($K221="","",INDEX(מלאי!$AC$2:$AC$500,$K221))</f>
        <v/>
      </c>
      <c r="K22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טכנולוגיים'!$A$2:$A$500,0))&lt;=$G$6),0))),ROW(מלאי!$A$2:$A$500)-ROW(מלאי!$A$2)+1,""),199),"")</f>
        <v/>
      </c>
      <c r="L221" s="8">
        <f>IF($K221="","",IFERROR(INDEX('ערכים טכנולוגיים'!$M$2:$M$500,MATCH(A221,'ערכים טכנולוגיים'!$A$2:$A$500,0)),""))</f>
        <v/>
      </c>
      <c r="M221" s="8">
        <f>IF($K221="","",IFERROR(INDEX('ערכים טכנולוגיים'!$F$2:$F$500,MATCH(A221,'ערכים טכנולוגיים'!$A$2:$A$500,0)),""))</f>
        <v/>
      </c>
      <c r="N221" s="8">
        <f>IF($K221="","",IFERROR(INDEX('ערכים טכנולוגיים'!$J$2:$J$500,MATCH(A221,'ערכים טכנולוגיים'!$A$2:$A$500,0)),""))</f>
        <v/>
      </c>
      <c r="O221" s="8">
        <f>IF($K221="","",IFERROR(INDEX('ערכים טכנולוגיים'!$G$2:$G$500,MATCH(A221,'ערכים טכנולוגיים'!$A$2:$A$500,0)),""))</f>
        <v/>
      </c>
      <c r="P221" s="8">
        <f>IF($K221="","",IFERROR(INDEX('ערכים טכנולוגיים'!$K$2:$K$500,MATCH(A221,'ערכים טכנולוגיים'!$A$2:$A$500,0)),""))</f>
        <v/>
      </c>
      <c r="Q221" s="8">
        <f>IF($K221="","",IFERROR(INDEX('ערכים טכנולוגיים'!$P$2:$P$500,MATCH(A221,'ערכים טכנולוגיים'!$A$2:$A$500,0)),""))</f>
        <v/>
      </c>
    </row>
    <row r="222">
      <c r="A222" s="9">
        <f>IF($K222="","",INDEX(מלאי!$D$2:$D$500,$K222))</f>
        <v/>
      </c>
      <c r="B222" s="9">
        <f>IF($K222="","",INDEX(מלאי!$B$2:$B$500,$K222))</f>
        <v/>
      </c>
      <c r="C222" s="9">
        <f>IF($K222="","",INDEX(מלאי!$C$2:$C$500,$K222))</f>
        <v/>
      </c>
      <c r="D222" s="9">
        <f>IF($K222="","",INDEX(מלאי!$G$2:$G$500,$K222))</f>
        <v/>
      </c>
      <c r="E222" s="9">
        <f>IF($K222="","",INDEX(מלאי!$M$2:$M$500,$K222))</f>
        <v/>
      </c>
      <c r="F222" s="9">
        <f>IF($K222="","",INDEX(מלאי!$N$2:$N$500,$K222))</f>
        <v/>
      </c>
      <c r="G222" s="9">
        <f>IF($K222="","",INDEX(מלאי!$O$2:$O$500,$K222))</f>
        <v/>
      </c>
      <c r="H222" s="9">
        <f>IF($K222="","",INDEX(מלאי!$U$2:$U$500,$K222))</f>
        <v/>
      </c>
      <c r="I222" s="9">
        <f>IF($K222="","",INDEX(מלאי!$X$2:$X$500,$K222))</f>
        <v/>
      </c>
      <c r="J222" s="9">
        <f>IF($K222="","",INDEX(מלאי!$AC$2:$AC$500,$K222))</f>
        <v/>
      </c>
      <c r="K22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טכנולוגיים'!$A$2:$A$500,0))&lt;=$G$6),0))),ROW(מלאי!$A$2:$A$500)-ROW(מלאי!$A$2)+1,""),200),"")</f>
        <v/>
      </c>
      <c r="L222" s="9">
        <f>IF($K222="","",IFERROR(INDEX('ערכים טכנולוגיים'!$M$2:$M$500,MATCH(A222,'ערכים טכנולוגיים'!$A$2:$A$500,0)),""))</f>
        <v/>
      </c>
      <c r="M222" s="9">
        <f>IF($K222="","",IFERROR(INDEX('ערכים טכנולוגיים'!$F$2:$F$500,MATCH(A222,'ערכים טכנולוגיים'!$A$2:$A$500,0)),""))</f>
        <v/>
      </c>
      <c r="N222" s="9">
        <f>IF($K222="","",IFERROR(INDEX('ערכים טכנולוגיים'!$J$2:$J$500,MATCH(A222,'ערכים טכנולוגיים'!$A$2:$A$500,0)),""))</f>
        <v/>
      </c>
      <c r="O222" s="9">
        <f>IF($K222="","",IFERROR(INDEX('ערכים טכנולוגיים'!$G$2:$G$500,MATCH(A222,'ערכים טכנולוגיים'!$A$2:$A$500,0)),""))</f>
        <v/>
      </c>
      <c r="P222" s="9">
        <f>IF($K222="","",IFERROR(INDEX('ערכים טכנולוגיים'!$K$2:$K$500,MATCH(A222,'ערכים טכנולוגיים'!$A$2:$A$500,0)),""))</f>
        <v/>
      </c>
      <c r="Q222" s="9">
        <f>IF($K222="","",IFERROR(INDEX('ערכים טכנולוגיים'!$P$2:$P$500,MATCH(A222,'ערכים טכנולוגיים'!$A$2:$A$500,0)),""))</f>
        <v/>
      </c>
    </row>
    <row r="223">
      <c r="A223" s="8">
        <f>IF($K223="","",INDEX(מלאי!$D$2:$D$500,$K223))</f>
        <v/>
      </c>
      <c r="B223" s="8">
        <f>IF($K223="","",INDEX(מלאי!$B$2:$B$500,$K223))</f>
        <v/>
      </c>
      <c r="C223" s="8">
        <f>IF($K223="","",INDEX(מלאי!$C$2:$C$500,$K223))</f>
        <v/>
      </c>
      <c r="D223" s="8">
        <f>IF($K223="","",INDEX(מלאי!$G$2:$G$500,$K223))</f>
        <v/>
      </c>
      <c r="E223" s="8">
        <f>IF($K223="","",INDEX(מלאי!$M$2:$M$500,$K223))</f>
        <v/>
      </c>
      <c r="F223" s="8">
        <f>IF($K223="","",INDEX(מלאי!$N$2:$N$500,$K223))</f>
        <v/>
      </c>
      <c r="G223" s="8">
        <f>IF($K223="","",INDEX(מלאי!$O$2:$O$500,$K223))</f>
        <v/>
      </c>
      <c r="H223" s="8">
        <f>IF($K223="","",INDEX(מלאי!$U$2:$U$500,$K223))</f>
        <v/>
      </c>
      <c r="I223" s="8">
        <f>IF($K223="","",INDEX(מלאי!$X$2:$X$500,$K223))</f>
        <v/>
      </c>
      <c r="J223" s="8">
        <f>IF($K223="","",INDEX(מלאי!$AC$2:$AC$500,$K223))</f>
        <v/>
      </c>
      <c r="K22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טכנולוגיים'!$A$2:$A$500,0))&lt;=$G$6),0))),ROW(מלאי!$A$2:$A$500)-ROW(מלאי!$A$2)+1,""),201),"")</f>
        <v/>
      </c>
      <c r="L223" s="8">
        <f>IF($K223="","",IFERROR(INDEX('ערכים טכנולוגיים'!$M$2:$M$500,MATCH(A223,'ערכים טכנולוגיים'!$A$2:$A$500,0)),""))</f>
        <v/>
      </c>
      <c r="M223" s="8">
        <f>IF($K223="","",IFERROR(INDEX('ערכים טכנולוגיים'!$F$2:$F$500,MATCH(A223,'ערכים טכנולוגיים'!$A$2:$A$500,0)),""))</f>
        <v/>
      </c>
      <c r="N223" s="8">
        <f>IF($K223="","",IFERROR(INDEX('ערכים טכנולוגיים'!$J$2:$J$500,MATCH(A223,'ערכים טכנולוגיים'!$A$2:$A$500,0)),""))</f>
        <v/>
      </c>
      <c r="O223" s="8">
        <f>IF($K223="","",IFERROR(INDEX('ערכים טכנולוגיים'!$G$2:$G$500,MATCH(A223,'ערכים טכנולוגיים'!$A$2:$A$500,0)),""))</f>
        <v/>
      </c>
      <c r="P223" s="8">
        <f>IF($K223="","",IFERROR(INDEX('ערכים טכנולוגיים'!$K$2:$K$500,MATCH(A223,'ערכים טכנולוגיים'!$A$2:$A$500,0)),""))</f>
        <v/>
      </c>
      <c r="Q223" s="8">
        <f>IF($K223="","",IFERROR(INDEX('ערכים טכנולוגיים'!$P$2:$P$500,MATCH(A223,'ערכים טכנולוגיים'!$A$2:$A$500,0)),""))</f>
        <v/>
      </c>
    </row>
    <row r="224">
      <c r="A224" s="9">
        <f>IF($K224="","",INDEX(מלאי!$D$2:$D$500,$K224))</f>
        <v/>
      </c>
      <c r="B224" s="9">
        <f>IF($K224="","",INDEX(מלאי!$B$2:$B$500,$K224))</f>
        <v/>
      </c>
      <c r="C224" s="9">
        <f>IF($K224="","",INDEX(מלאי!$C$2:$C$500,$K224))</f>
        <v/>
      </c>
      <c r="D224" s="9">
        <f>IF($K224="","",INDEX(מלאי!$G$2:$G$500,$K224))</f>
        <v/>
      </c>
      <c r="E224" s="9">
        <f>IF($K224="","",INDEX(מלאי!$M$2:$M$500,$K224))</f>
        <v/>
      </c>
      <c r="F224" s="9">
        <f>IF($K224="","",INDEX(מלאי!$N$2:$N$500,$K224))</f>
        <v/>
      </c>
      <c r="G224" s="9">
        <f>IF($K224="","",INDEX(מלאי!$O$2:$O$500,$K224))</f>
        <v/>
      </c>
      <c r="H224" s="9">
        <f>IF($K224="","",INDEX(מלאי!$U$2:$U$500,$K224))</f>
        <v/>
      </c>
      <c r="I224" s="9">
        <f>IF($K224="","",INDEX(מלאי!$X$2:$X$500,$K224))</f>
        <v/>
      </c>
      <c r="J224" s="9">
        <f>IF($K224="","",INDEX(מלאי!$AC$2:$AC$500,$K224))</f>
        <v/>
      </c>
      <c r="K22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טכנולוגיים'!$A$2:$A$500,0))&lt;=$G$6),0))),ROW(מלאי!$A$2:$A$500)-ROW(מלאי!$A$2)+1,""),202),"")</f>
        <v/>
      </c>
      <c r="L224" s="9">
        <f>IF($K224="","",IFERROR(INDEX('ערכים טכנולוגיים'!$M$2:$M$500,MATCH(A224,'ערכים טכנולוגיים'!$A$2:$A$500,0)),""))</f>
        <v/>
      </c>
      <c r="M224" s="9">
        <f>IF($K224="","",IFERROR(INDEX('ערכים טכנולוגיים'!$F$2:$F$500,MATCH(A224,'ערכים טכנולוגיים'!$A$2:$A$500,0)),""))</f>
        <v/>
      </c>
      <c r="N224" s="9">
        <f>IF($K224="","",IFERROR(INDEX('ערכים טכנולוגיים'!$J$2:$J$500,MATCH(A224,'ערכים טכנולוגיים'!$A$2:$A$500,0)),""))</f>
        <v/>
      </c>
      <c r="O224" s="9">
        <f>IF($K224="","",IFERROR(INDEX('ערכים טכנולוגיים'!$G$2:$G$500,MATCH(A224,'ערכים טכנולוגיים'!$A$2:$A$500,0)),""))</f>
        <v/>
      </c>
      <c r="P224" s="9">
        <f>IF($K224="","",IFERROR(INDEX('ערכים טכנולוגיים'!$K$2:$K$500,MATCH(A224,'ערכים טכנולוגיים'!$A$2:$A$500,0)),""))</f>
        <v/>
      </c>
      <c r="Q224" s="9">
        <f>IF($K224="","",IFERROR(INDEX('ערכים טכנולוגיים'!$P$2:$P$500,MATCH(A224,'ערכים טכנולוגיים'!$A$2:$A$500,0)),""))</f>
        <v/>
      </c>
    </row>
    <row r="225">
      <c r="A225" s="8">
        <f>IF($K225="","",INDEX(מלאי!$D$2:$D$500,$K225))</f>
        <v/>
      </c>
      <c r="B225" s="8">
        <f>IF($K225="","",INDEX(מלאי!$B$2:$B$500,$K225))</f>
        <v/>
      </c>
      <c r="C225" s="8">
        <f>IF($K225="","",INDEX(מלאי!$C$2:$C$500,$K225))</f>
        <v/>
      </c>
      <c r="D225" s="8">
        <f>IF($K225="","",INDEX(מלאי!$G$2:$G$500,$K225))</f>
        <v/>
      </c>
      <c r="E225" s="8">
        <f>IF($K225="","",INDEX(מלאי!$M$2:$M$500,$K225))</f>
        <v/>
      </c>
      <c r="F225" s="8">
        <f>IF($K225="","",INDEX(מלאי!$N$2:$N$500,$K225))</f>
        <v/>
      </c>
      <c r="G225" s="8">
        <f>IF($K225="","",INDEX(מלאי!$O$2:$O$500,$K225))</f>
        <v/>
      </c>
      <c r="H225" s="8">
        <f>IF($K225="","",INDEX(מלאי!$U$2:$U$500,$K225))</f>
        <v/>
      </c>
      <c r="I225" s="8">
        <f>IF($K225="","",INDEX(מלאי!$X$2:$X$500,$K225))</f>
        <v/>
      </c>
      <c r="J225" s="8">
        <f>IF($K225="","",INDEX(מלאי!$AC$2:$AC$500,$K225))</f>
        <v/>
      </c>
      <c r="K22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טכנולוגיים'!$A$2:$A$500,0))&lt;=$G$6),0))),ROW(מלאי!$A$2:$A$500)-ROW(מלאי!$A$2)+1,""),203),"")</f>
        <v/>
      </c>
      <c r="L225" s="8">
        <f>IF($K225="","",IFERROR(INDEX('ערכים טכנולוגיים'!$M$2:$M$500,MATCH(A225,'ערכים טכנולוגיים'!$A$2:$A$500,0)),""))</f>
        <v/>
      </c>
      <c r="M225" s="8">
        <f>IF($K225="","",IFERROR(INDEX('ערכים טכנולוגיים'!$F$2:$F$500,MATCH(A225,'ערכים טכנולוגיים'!$A$2:$A$500,0)),""))</f>
        <v/>
      </c>
      <c r="N225" s="8">
        <f>IF($K225="","",IFERROR(INDEX('ערכים טכנולוגיים'!$J$2:$J$500,MATCH(A225,'ערכים טכנולוגיים'!$A$2:$A$500,0)),""))</f>
        <v/>
      </c>
      <c r="O225" s="8">
        <f>IF($K225="","",IFERROR(INDEX('ערכים טכנולוגיים'!$G$2:$G$500,MATCH(A225,'ערכים טכנולוגיים'!$A$2:$A$500,0)),""))</f>
        <v/>
      </c>
      <c r="P225" s="8">
        <f>IF($K225="","",IFERROR(INDEX('ערכים טכנולוגיים'!$K$2:$K$500,MATCH(A225,'ערכים טכנולוגיים'!$A$2:$A$500,0)),""))</f>
        <v/>
      </c>
      <c r="Q225" s="8">
        <f>IF($K225="","",IFERROR(INDEX('ערכים טכנולוגיים'!$P$2:$P$500,MATCH(A225,'ערכים טכנולוגיים'!$A$2:$A$500,0)),""))</f>
        <v/>
      </c>
    </row>
    <row r="226">
      <c r="A226" s="9">
        <f>IF($K226="","",INDEX(מלאי!$D$2:$D$500,$K226))</f>
        <v/>
      </c>
      <c r="B226" s="9">
        <f>IF($K226="","",INDEX(מלאי!$B$2:$B$500,$K226))</f>
        <v/>
      </c>
      <c r="C226" s="9">
        <f>IF($K226="","",INDEX(מלאי!$C$2:$C$500,$K226))</f>
        <v/>
      </c>
      <c r="D226" s="9">
        <f>IF($K226="","",INDEX(מלאי!$G$2:$G$500,$K226))</f>
        <v/>
      </c>
      <c r="E226" s="9">
        <f>IF($K226="","",INDEX(מלאי!$M$2:$M$500,$K226))</f>
        <v/>
      </c>
      <c r="F226" s="9">
        <f>IF($K226="","",INDEX(מלאי!$N$2:$N$500,$K226))</f>
        <v/>
      </c>
      <c r="G226" s="9">
        <f>IF($K226="","",INDEX(מלאי!$O$2:$O$500,$K226))</f>
        <v/>
      </c>
      <c r="H226" s="9">
        <f>IF($K226="","",INDEX(מלאי!$U$2:$U$500,$K226))</f>
        <v/>
      </c>
      <c r="I226" s="9">
        <f>IF($K226="","",INDEX(מלאי!$X$2:$X$500,$K226))</f>
        <v/>
      </c>
      <c r="J226" s="9">
        <f>IF($K226="","",INDEX(מלאי!$AC$2:$AC$500,$K226))</f>
        <v/>
      </c>
      <c r="K22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טכנולוגיים'!$A$2:$A$500,0))&lt;=$G$6),0))),ROW(מלאי!$A$2:$A$500)-ROW(מלאי!$A$2)+1,""),204),"")</f>
        <v/>
      </c>
      <c r="L226" s="9">
        <f>IF($K226="","",IFERROR(INDEX('ערכים טכנולוגיים'!$M$2:$M$500,MATCH(A226,'ערכים טכנולוגיים'!$A$2:$A$500,0)),""))</f>
        <v/>
      </c>
      <c r="M226" s="9">
        <f>IF($K226="","",IFERROR(INDEX('ערכים טכנולוגיים'!$F$2:$F$500,MATCH(A226,'ערכים טכנולוגיים'!$A$2:$A$500,0)),""))</f>
        <v/>
      </c>
      <c r="N226" s="9">
        <f>IF($K226="","",IFERROR(INDEX('ערכים טכנולוגיים'!$J$2:$J$500,MATCH(A226,'ערכים טכנולוגיים'!$A$2:$A$500,0)),""))</f>
        <v/>
      </c>
      <c r="O226" s="9">
        <f>IF($K226="","",IFERROR(INDEX('ערכים טכנולוגיים'!$G$2:$G$500,MATCH(A226,'ערכים טכנולוגיים'!$A$2:$A$500,0)),""))</f>
        <v/>
      </c>
      <c r="P226" s="9">
        <f>IF($K226="","",IFERROR(INDEX('ערכים טכנולוגיים'!$K$2:$K$500,MATCH(A226,'ערכים טכנולוגיים'!$A$2:$A$500,0)),""))</f>
        <v/>
      </c>
      <c r="Q226" s="9">
        <f>IF($K226="","",IFERROR(INDEX('ערכים טכנולוגיים'!$P$2:$P$500,MATCH(A226,'ערכים טכנולוגיים'!$A$2:$A$500,0)),""))</f>
        <v/>
      </c>
    </row>
    <row r="227">
      <c r="A227" s="8">
        <f>IF($K227="","",INDEX(מלאי!$D$2:$D$500,$K227))</f>
        <v/>
      </c>
      <c r="B227" s="8">
        <f>IF($K227="","",INDEX(מלאי!$B$2:$B$500,$K227))</f>
        <v/>
      </c>
      <c r="C227" s="8">
        <f>IF($K227="","",INDEX(מלאי!$C$2:$C$500,$K227))</f>
        <v/>
      </c>
      <c r="D227" s="8">
        <f>IF($K227="","",INDEX(מלאי!$G$2:$G$500,$K227))</f>
        <v/>
      </c>
      <c r="E227" s="8">
        <f>IF($K227="","",INDEX(מלאי!$M$2:$M$500,$K227))</f>
        <v/>
      </c>
      <c r="F227" s="8">
        <f>IF($K227="","",INDEX(מלאי!$N$2:$N$500,$K227))</f>
        <v/>
      </c>
      <c r="G227" s="8">
        <f>IF($K227="","",INDEX(מלאי!$O$2:$O$500,$K227))</f>
        <v/>
      </c>
      <c r="H227" s="8">
        <f>IF($K227="","",INDEX(מלאי!$U$2:$U$500,$K227))</f>
        <v/>
      </c>
      <c r="I227" s="8">
        <f>IF($K227="","",INDEX(מלאי!$X$2:$X$500,$K227))</f>
        <v/>
      </c>
      <c r="J227" s="8">
        <f>IF($K227="","",INDEX(מלאי!$AC$2:$AC$500,$K227))</f>
        <v/>
      </c>
      <c r="K22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טכנולוגיים'!$A$2:$A$500,0))&lt;=$G$6),0))),ROW(מלאי!$A$2:$A$500)-ROW(מלאי!$A$2)+1,""),205),"")</f>
        <v/>
      </c>
      <c r="L227" s="8">
        <f>IF($K227="","",IFERROR(INDEX('ערכים טכנולוגיים'!$M$2:$M$500,MATCH(A227,'ערכים טכנולוגיים'!$A$2:$A$500,0)),""))</f>
        <v/>
      </c>
      <c r="M227" s="8">
        <f>IF($K227="","",IFERROR(INDEX('ערכים טכנולוגיים'!$F$2:$F$500,MATCH(A227,'ערכים טכנולוגיים'!$A$2:$A$500,0)),""))</f>
        <v/>
      </c>
      <c r="N227" s="8">
        <f>IF($K227="","",IFERROR(INDEX('ערכים טכנולוגיים'!$J$2:$J$500,MATCH(A227,'ערכים טכנולוגיים'!$A$2:$A$500,0)),""))</f>
        <v/>
      </c>
      <c r="O227" s="8">
        <f>IF($K227="","",IFERROR(INDEX('ערכים טכנולוגיים'!$G$2:$G$500,MATCH(A227,'ערכים טכנולוגיים'!$A$2:$A$500,0)),""))</f>
        <v/>
      </c>
      <c r="P227" s="8">
        <f>IF($K227="","",IFERROR(INDEX('ערכים טכנולוגיים'!$K$2:$K$500,MATCH(A227,'ערכים טכנולוגיים'!$A$2:$A$500,0)),""))</f>
        <v/>
      </c>
      <c r="Q227" s="8">
        <f>IF($K227="","",IFERROR(INDEX('ערכים טכנולוגיים'!$P$2:$P$500,MATCH(A227,'ערכים טכנולוגיים'!$A$2:$A$500,0)),""))</f>
        <v/>
      </c>
    </row>
    <row r="228">
      <c r="A228" s="9">
        <f>IF($K228="","",INDEX(מלאי!$D$2:$D$500,$K228))</f>
        <v/>
      </c>
      <c r="B228" s="9">
        <f>IF($K228="","",INDEX(מלאי!$B$2:$B$500,$K228))</f>
        <v/>
      </c>
      <c r="C228" s="9">
        <f>IF($K228="","",INDEX(מלאי!$C$2:$C$500,$K228))</f>
        <v/>
      </c>
      <c r="D228" s="9">
        <f>IF($K228="","",INDEX(מלאי!$G$2:$G$500,$K228))</f>
        <v/>
      </c>
      <c r="E228" s="9">
        <f>IF($K228="","",INDEX(מלאי!$M$2:$M$500,$K228))</f>
        <v/>
      </c>
      <c r="F228" s="9">
        <f>IF($K228="","",INDEX(מלאי!$N$2:$N$500,$K228))</f>
        <v/>
      </c>
      <c r="G228" s="9">
        <f>IF($K228="","",INDEX(מלאי!$O$2:$O$500,$K228))</f>
        <v/>
      </c>
      <c r="H228" s="9">
        <f>IF($K228="","",INDEX(מלאי!$U$2:$U$500,$K228))</f>
        <v/>
      </c>
      <c r="I228" s="9">
        <f>IF($K228="","",INDEX(מלאי!$X$2:$X$500,$K228))</f>
        <v/>
      </c>
      <c r="J228" s="9">
        <f>IF($K228="","",INDEX(מלאי!$AC$2:$AC$500,$K228))</f>
        <v/>
      </c>
      <c r="K22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טכנולוגיים'!$A$2:$A$500,0))&lt;=$G$6),0))),ROW(מלאי!$A$2:$A$500)-ROW(מלאי!$A$2)+1,""),206),"")</f>
        <v/>
      </c>
      <c r="L228" s="9">
        <f>IF($K228="","",IFERROR(INDEX('ערכים טכנולוגיים'!$M$2:$M$500,MATCH(A228,'ערכים טכנולוגיים'!$A$2:$A$500,0)),""))</f>
        <v/>
      </c>
      <c r="M228" s="9">
        <f>IF($K228="","",IFERROR(INDEX('ערכים טכנולוגיים'!$F$2:$F$500,MATCH(A228,'ערכים טכנולוגיים'!$A$2:$A$500,0)),""))</f>
        <v/>
      </c>
      <c r="N228" s="9">
        <f>IF($K228="","",IFERROR(INDEX('ערכים טכנולוגיים'!$J$2:$J$500,MATCH(A228,'ערכים טכנולוגיים'!$A$2:$A$500,0)),""))</f>
        <v/>
      </c>
      <c r="O228" s="9">
        <f>IF($K228="","",IFERROR(INDEX('ערכים טכנולוגיים'!$G$2:$G$500,MATCH(A228,'ערכים טכנולוגיים'!$A$2:$A$500,0)),""))</f>
        <v/>
      </c>
      <c r="P228" s="9">
        <f>IF($K228="","",IFERROR(INDEX('ערכים טכנולוגיים'!$K$2:$K$500,MATCH(A228,'ערכים טכנולוגיים'!$A$2:$A$500,0)),""))</f>
        <v/>
      </c>
      <c r="Q228" s="9">
        <f>IF($K228="","",IFERROR(INDEX('ערכים טכנולוגיים'!$P$2:$P$500,MATCH(A228,'ערכים טכנולוגיים'!$A$2:$A$500,0)),""))</f>
        <v/>
      </c>
    </row>
    <row r="229">
      <c r="A229" s="8">
        <f>IF($K229="","",INDEX(מלאי!$D$2:$D$500,$K229))</f>
        <v/>
      </c>
      <c r="B229" s="8">
        <f>IF($K229="","",INDEX(מלאי!$B$2:$B$500,$K229))</f>
        <v/>
      </c>
      <c r="C229" s="8">
        <f>IF($K229="","",INDEX(מלאי!$C$2:$C$500,$K229))</f>
        <v/>
      </c>
      <c r="D229" s="8">
        <f>IF($K229="","",INDEX(מלאי!$G$2:$G$500,$K229))</f>
        <v/>
      </c>
      <c r="E229" s="8">
        <f>IF($K229="","",INDEX(מלאי!$M$2:$M$500,$K229))</f>
        <v/>
      </c>
      <c r="F229" s="8">
        <f>IF($K229="","",INDEX(מלאי!$N$2:$N$500,$K229))</f>
        <v/>
      </c>
      <c r="G229" s="8">
        <f>IF($K229="","",INDEX(מלאי!$O$2:$O$500,$K229))</f>
        <v/>
      </c>
      <c r="H229" s="8">
        <f>IF($K229="","",INDEX(מלאי!$U$2:$U$500,$K229))</f>
        <v/>
      </c>
      <c r="I229" s="8">
        <f>IF($K229="","",INDEX(מלאי!$X$2:$X$500,$K229))</f>
        <v/>
      </c>
      <c r="J229" s="8">
        <f>IF($K229="","",INDEX(מלאי!$AC$2:$AC$500,$K229))</f>
        <v/>
      </c>
      <c r="K22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טכנולוגיים'!$A$2:$A$500,0))&lt;=$G$6),0))),ROW(מלאי!$A$2:$A$500)-ROW(מלאי!$A$2)+1,""),207),"")</f>
        <v/>
      </c>
      <c r="L229" s="8">
        <f>IF($K229="","",IFERROR(INDEX('ערכים טכנולוגיים'!$M$2:$M$500,MATCH(A229,'ערכים טכנולוגיים'!$A$2:$A$500,0)),""))</f>
        <v/>
      </c>
      <c r="M229" s="8">
        <f>IF($K229="","",IFERROR(INDEX('ערכים טכנולוגיים'!$F$2:$F$500,MATCH(A229,'ערכים טכנולוגיים'!$A$2:$A$500,0)),""))</f>
        <v/>
      </c>
      <c r="N229" s="8">
        <f>IF($K229="","",IFERROR(INDEX('ערכים טכנולוגיים'!$J$2:$J$500,MATCH(A229,'ערכים טכנולוגיים'!$A$2:$A$500,0)),""))</f>
        <v/>
      </c>
      <c r="O229" s="8">
        <f>IF($K229="","",IFERROR(INDEX('ערכים טכנולוגיים'!$G$2:$G$500,MATCH(A229,'ערכים טכנולוגיים'!$A$2:$A$500,0)),""))</f>
        <v/>
      </c>
      <c r="P229" s="8">
        <f>IF($K229="","",IFERROR(INDEX('ערכים טכנולוגיים'!$K$2:$K$500,MATCH(A229,'ערכים טכנולוגיים'!$A$2:$A$500,0)),""))</f>
        <v/>
      </c>
      <c r="Q229" s="8">
        <f>IF($K229="","",IFERROR(INDEX('ערכים טכנולוגיים'!$P$2:$P$500,MATCH(A229,'ערכים טכנולוגיים'!$A$2:$A$500,0)),""))</f>
        <v/>
      </c>
    </row>
    <row r="230">
      <c r="A230" s="9">
        <f>IF($K230="","",INDEX(מלאי!$D$2:$D$500,$K230))</f>
        <v/>
      </c>
      <c r="B230" s="9">
        <f>IF($K230="","",INDEX(מלאי!$B$2:$B$500,$K230))</f>
        <v/>
      </c>
      <c r="C230" s="9">
        <f>IF($K230="","",INDEX(מלאי!$C$2:$C$500,$K230))</f>
        <v/>
      </c>
      <c r="D230" s="9">
        <f>IF($K230="","",INDEX(מלאי!$G$2:$G$500,$K230))</f>
        <v/>
      </c>
      <c r="E230" s="9">
        <f>IF($K230="","",INDEX(מלאי!$M$2:$M$500,$K230))</f>
        <v/>
      </c>
      <c r="F230" s="9">
        <f>IF($K230="","",INDEX(מלאי!$N$2:$N$500,$K230))</f>
        <v/>
      </c>
      <c r="G230" s="9">
        <f>IF($K230="","",INDEX(מלאי!$O$2:$O$500,$K230))</f>
        <v/>
      </c>
      <c r="H230" s="9">
        <f>IF($K230="","",INDEX(מלאי!$U$2:$U$500,$K230))</f>
        <v/>
      </c>
      <c r="I230" s="9">
        <f>IF($K230="","",INDEX(מלאי!$X$2:$X$500,$K230))</f>
        <v/>
      </c>
      <c r="J230" s="9">
        <f>IF($K230="","",INDEX(מלאי!$AC$2:$AC$500,$K230))</f>
        <v/>
      </c>
      <c r="K23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טכנולוגיים'!$A$2:$A$500,0))&lt;=$G$6),0))),ROW(מלאי!$A$2:$A$500)-ROW(מלאי!$A$2)+1,""),208),"")</f>
        <v/>
      </c>
      <c r="L230" s="9">
        <f>IF($K230="","",IFERROR(INDEX('ערכים טכנולוגיים'!$M$2:$M$500,MATCH(A230,'ערכים טכנולוגיים'!$A$2:$A$500,0)),""))</f>
        <v/>
      </c>
      <c r="M230" s="9">
        <f>IF($K230="","",IFERROR(INDEX('ערכים טכנולוגיים'!$F$2:$F$500,MATCH(A230,'ערכים טכנולוגיים'!$A$2:$A$500,0)),""))</f>
        <v/>
      </c>
      <c r="N230" s="9">
        <f>IF($K230="","",IFERROR(INDEX('ערכים טכנולוגיים'!$J$2:$J$500,MATCH(A230,'ערכים טכנולוגיים'!$A$2:$A$500,0)),""))</f>
        <v/>
      </c>
      <c r="O230" s="9">
        <f>IF($K230="","",IFERROR(INDEX('ערכים טכנולוגיים'!$G$2:$G$500,MATCH(A230,'ערכים טכנולוגיים'!$A$2:$A$500,0)),""))</f>
        <v/>
      </c>
      <c r="P230" s="9">
        <f>IF($K230="","",IFERROR(INDEX('ערכים טכנולוגיים'!$K$2:$K$500,MATCH(A230,'ערכים טכנולוגיים'!$A$2:$A$500,0)),""))</f>
        <v/>
      </c>
      <c r="Q230" s="9">
        <f>IF($K230="","",IFERROR(INDEX('ערכים טכנולוגיים'!$P$2:$P$500,MATCH(A230,'ערכים טכנולוגיים'!$A$2:$A$500,0)),""))</f>
        <v/>
      </c>
    </row>
    <row r="231">
      <c r="A231" s="8">
        <f>IF($K231="","",INDEX(מלאי!$D$2:$D$500,$K231))</f>
        <v/>
      </c>
      <c r="B231" s="8">
        <f>IF($K231="","",INDEX(מלאי!$B$2:$B$500,$K231))</f>
        <v/>
      </c>
      <c r="C231" s="8">
        <f>IF($K231="","",INDEX(מלאי!$C$2:$C$500,$K231))</f>
        <v/>
      </c>
      <c r="D231" s="8">
        <f>IF($K231="","",INDEX(מלאי!$G$2:$G$500,$K231))</f>
        <v/>
      </c>
      <c r="E231" s="8">
        <f>IF($K231="","",INDEX(מלאי!$M$2:$M$500,$K231))</f>
        <v/>
      </c>
      <c r="F231" s="8">
        <f>IF($K231="","",INDEX(מלאי!$N$2:$N$500,$K231))</f>
        <v/>
      </c>
      <c r="G231" s="8">
        <f>IF($K231="","",INDEX(מלאי!$O$2:$O$500,$K231))</f>
        <v/>
      </c>
      <c r="H231" s="8">
        <f>IF($K231="","",INDEX(מלאי!$U$2:$U$500,$K231))</f>
        <v/>
      </c>
      <c r="I231" s="8">
        <f>IF($K231="","",INDEX(מלאי!$X$2:$X$500,$K231))</f>
        <v/>
      </c>
      <c r="J231" s="8">
        <f>IF($K231="","",INDEX(מלאי!$AC$2:$AC$500,$K231))</f>
        <v/>
      </c>
      <c r="K23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טכנולוגיים'!$A$2:$A$500,0))&lt;=$G$6),0))),ROW(מלאי!$A$2:$A$500)-ROW(מלאי!$A$2)+1,""),209),"")</f>
        <v/>
      </c>
      <c r="L231" s="8">
        <f>IF($K231="","",IFERROR(INDEX('ערכים טכנולוגיים'!$M$2:$M$500,MATCH(A231,'ערכים טכנולוגיים'!$A$2:$A$500,0)),""))</f>
        <v/>
      </c>
      <c r="M231" s="8">
        <f>IF($K231="","",IFERROR(INDEX('ערכים טכנולוגיים'!$F$2:$F$500,MATCH(A231,'ערכים טכנולוגיים'!$A$2:$A$500,0)),""))</f>
        <v/>
      </c>
      <c r="N231" s="8">
        <f>IF($K231="","",IFERROR(INDEX('ערכים טכנולוגיים'!$J$2:$J$500,MATCH(A231,'ערכים טכנולוגיים'!$A$2:$A$500,0)),""))</f>
        <v/>
      </c>
      <c r="O231" s="8">
        <f>IF($K231="","",IFERROR(INDEX('ערכים טכנולוגיים'!$G$2:$G$500,MATCH(A231,'ערכים טכנולוגיים'!$A$2:$A$500,0)),""))</f>
        <v/>
      </c>
      <c r="P231" s="8">
        <f>IF($K231="","",IFERROR(INDEX('ערכים טכנולוגיים'!$K$2:$K$500,MATCH(A231,'ערכים טכנולוגיים'!$A$2:$A$500,0)),""))</f>
        <v/>
      </c>
      <c r="Q231" s="8">
        <f>IF($K231="","",IFERROR(INDEX('ערכים טכנולוגיים'!$P$2:$P$500,MATCH(A231,'ערכים טכנולוגיים'!$A$2:$A$500,0)),""))</f>
        <v/>
      </c>
    </row>
    <row r="232">
      <c r="A232" s="9">
        <f>IF($K232="","",INDEX(מלאי!$D$2:$D$500,$K232))</f>
        <v/>
      </c>
      <c r="B232" s="9">
        <f>IF($K232="","",INDEX(מלאי!$B$2:$B$500,$K232))</f>
        <v/>
      </c>
      <c r="C232" s="9">
        <f>IF($K232="","",INDEX(מלאי!$C$2:$C$500,$K232))</f>
        <v/>
      </c>
      <c r="D232" s="9">
        <f>IF($K232="","",INDEX(מלאי!$G$2:$G$500,$K232))</f>
        <v/>
      </c>
      <c r="E232" s="9">
        <f>IF($K232="","",INDEX(מלאי!$M$2:$M$500,$K232))</f>
        <v/>
      </c>
      <c r="F232" s="9">
        <f>IF($K232="","",INDEX(מלאי!$N$2:$N$500,$K232))</f>
        <v/>
      </c>
      <c r="G232" s="9">
        <f>IF($K232="","",INDEX(מלאי!$O$2:$O$500,$K232))</f>
        <v/>
      </c>
      <c r="H232" s="9">
        <f>IF($K232="","",INDEX(מלאי!$U$2:$U$500,$K232))</f>
        <v/>
      </c>
      <c r="I232" s="9">
        <f>IF($K232="","",INDEX(מלאי!$X$2:$X$500,$K232))</f>
        <v/>
      </c>
      <c r="J232" s="9">
        <f>IF($K232="","",INDEX(מלאי!$AC$2:$AC$500,$K232))</f>
        <v/>
      </c>
      <c r="K23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טכנולוגיים'!$A$2:$A$500,0))&lt;=$G$6),0))),ROW(מלאי!$A$2:$A$500)-ROW(מלאי!$A$2)+1,""),210),"")</f>
        <v/>
      </c>
      <c r="L232" s="9">
        <f>IF($K232="","",IFERROR(INDEX('ערכים טכנולוגיים'!$M$2:$M$500,MATCH(A232,'ערכים טכנולוגיים'!$A$2:$A$500,0)),""))</f>
        <v/>
      </c>
      <c r="M232" s="9">
        <f>IF($K232="","",IFERROR(INDEX('ערכים טכנולוגיים'!$F$2:$F$500,MATCH(A232,'ערכים טכנולוגיים'!$A$2:$A$500,0)),""))</f>
        <v/>
      </c>
      <c r="N232" s="9">
        <f>IF($K232="","",IFERROR(INDEX('ערכים טכנולוגיים'!$J$2:$J$500,MATCH(A232,'ערכים טכנולוגיים'!$A$2:$A$500,0)),""))</f>
        <v/>
      </c>
      <c r="O232" s="9">
        <f>IF($K232="","",IFERROR(INDEX('ערכים טכנולוגיים'!$G$2:$G$500,MATCH(A232,'ערכים טכנולוגיים'!$A$2:$A$500,0)),""))</f>
        <v/>
      </c>
      <c r="P232" s="9">
        <f>IF($K232="","",IFERROR(INDEX('ערכים טכנולוגיים'!$K$2:$K$500,MATCH(A232,'ערכים טכנולוגיים'!$A$2:$A$500,0)),""))</f>
        <v/>
      </c>
      <c r="Q232" s="9">
        <f>IF($K232="","",IFERROR(INDEX('ערכים טכנולוגיים'!$P$2:$P$500,MATCH(A232,'ערכים טכנולוגיים'!$A$2:$A$500,0)),""))</f>
        <v/>
      </c>
    </row>
    <row r="233">
      <c r="A233" s="8">
        <f>IF($K233="","",INDEX(מלאי!$D$2:$D$500,$K233))</f>
        <v/>
      </c>
      <c r="B233" s="8">
        <f>IF($K233="","",INDEX(מלאי!$B$2:$B$500,$K233))</f>
        <v/>
      </c>
      <c r="C233" s="8">
        <f>IF($K233="","",INDEX(מלאי!$C$2:$C$500,$K233))</f>
        <v/>
      </c>
      <c r="D233" s="8">
        <f>IF($K233="","",INDEX(מלאי!$G$2:$G$500,$K233))</f>
        <v/>
      </c>
      <c r="E233" s="8">
        <f>IF($K233="","",INDEX(מלאי!$M$2:$M$500,$K233))</f>
        <v/>
      </c>
      <c r="F233" s="8">
        <f>IF($K233="","",INDEX(מלאי!$N$2:$N$500,$K233))</f>
        <v/>
      </c>
      <c r="G233" s="8">
        <f>IF($K233="","",INDEX(מלאי!$O$2:$O$500,$K233))</f>
        <v/>
      </c>
      <c r="H233" s="8">
        <f>IF($K233="","",INDEX(מלאי!$U$2:$U$500,$K233))</f>
        <v/>
      </c>
      <c r="I233" s="8">
        <f>IF($K233="","",INDEX(מלאי!$X$2:$X$500,$K233))</f>
        <v/>
      </c>
      <c r="J233" s="8">
        <f>IF($K233="","",INDEX(מלאי!$AC$2:$AC$500,$K233))</f>
        <v/>
      </c>
      <c r="K23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טכנולוגיים'!$A$2:$A$500,0))&lt;=$G$6),0))),ROW(מלאי!$A$2:$A$500)-ROW(מלאי!$A$2)+1,""),211),"")</f>
        <v/>
      </c>
      <c r="L233" s="8">
        <f>IF($K233="","",IFERROR(INDEX('ערכים טכנולוגיים'!$M$2:$M$500,MATCH(A233,'ערכים טכנולוגיים'!$A$2:$A$500,0)),""))</f>
        <v/>
      </c>
      <c r="M233" s="8">
        <f>IF($K233="","",IFERROR(INDEX('ערכים טכנולוגיים'!$F$2:$F$500,MATCH(A233,'ערכים טכנולוגיים'!$A$2:$A$500,0)),""))</f>
        <v/>
      </c>
      <c r="N233" s="8">
        <f>IF($K233="","",IFERROR(INDEX('ערכים טכנולוגיים'!$J$2:$J$500,MATCH(A233,'ערכים טכנולוגיים'!$A$2:$A$500,0)),""))</f>
        <v/>
      </c>
      <c r="O233" s="8">
        <f>IF($K233="","",IFERROR(INDEX('ערכים טכנולוגיים'!$G$2:$G$500,MATCH(A233,'ערכים טכנולוגיים'!$A$2:$A$500,0)),""))</f>
        <v/>
      </c>
      <c r="P233" s="8">
        <f>IF($K233="","",IFERROR(INDEX('ערכים טכנולוגיים'!$K$2:$K$500,MATCH(A233,'ערכים טכנולוגיים'!$A$2:$A$500,0)),""))</f>
        <v/>
      </c>
      <c r="Q233" s="8">
        <f>IF($K233="","",IFERROR(INDEX('ערכים טכנולוגיים'!$P$2:$P$500,MATCH(A233,'ערכים טכנולוגיים'!$A$2:$A$500,0)),""))</f>
        <v/>
      </c>
    </row>
    <row r="234">
      <c r="A234" s="9">
        <f>IF($K234="","",INDEX(מלאי!$D$2:$D$500,$K234))</f>
        <v/>
      </c>
      <c r="B234" s="9">
        <f>IF($K234="","",INDEX(מלאי!$B$2:$B$500,$K234))</f>
        <v/>
      </c>
      <c r="C234" s="9">
        <f>IF($K234="","",INDEX(מלאי!$C$2:$C$500,$K234))</f>
        <v/>
      </c>
      <c r="D234" s="9">
        <f>IF($K234="","",INDEX(מלאי!$G$2:$G$500,$K234))</f>
        <v/>
      </c>
      <c r="E234" s="9">
        <f>IF($K234="","",INDEX(מלאי!$M$2:$M$500,$K234))</f>
        <v/>
      </c>
      <c r="F234" s="9">
        <f>IF($K234="","",INDEX(מלאי!$N$2:$N$500,$K234))</f>
        <v/>
      </c>
      <c r="G234" s="9">
        <f>IF($K234="","",INDEX(מלאי!$O$2:$O$500,$K234))</f>
        <v/>
      </c>
      <c r="H234" s="9">
        <f>IF($K234="","",INDEX(מלאי!$U$2:$U$500,$K234))</f>
        <v/>
      </c>
      <c r="I234" s="9">
        <f>IF($K234="","",INDEX(מלאי!$X$2:$X$500,$K234))</f>
        <v/>
      </c>
      <c r="J234" s="9">
        <f>IF($K234="","",INDEX(מלאי!$AC$2:$AC$500,$K234))</f>
        <v/>
      </c>
      <c r="K23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טכנולוגיים'!$A$2:$A$500,0))&lt;=$G$6),0))),ROW(מלאי!$A$2:$A$500)-ROW(מלאי!$A$2)+1,""),212),"")</f>
        <v/>
      </c>
      <c r="L234" s="9">
        <f>IF($K234="","",IFERROR(INDEX('ערכים טכנולוגיים'!$M$2:$M$500,MATCH(A234,'ערכים טכנולוגיים'!$A$2:$A$500,0)),""))</f>
        <v/>
      </c>
      <c r="M234" s="9">
        <f>IF($K234="","",IFERROR(INDEX('ערכים טכנולוגיים'!$F$2:$F$500,MATCH(A234,'ערכים טכנולוגיים'!$A$2:$A$500,0)),""))</f>
        <v/>
      </c>
      <c r="N234" s="9">
        <f>IF($K234="","",IFERROR(INDEX('ערכים טכנולוגיים'!$J$2:$J$500,MATCH(A234,'ערכים טכנולוגיים'!$A$2:$A$500,0)),""))</f>
        <v/>
      </c>
      <c r="O234" s="9">
        <f>IF($K234="","",IFERROR(INDEX('ערכים טכנולוגיים'!$G$2:$G$500,MATCH(A234,'ערכים טכנולוגיים'!$A$2:$A$500,0)),""))</f>
        <v/>
      </c>
      <c r="P234" s="9">
        <f>IF($K234="","",IFERROR(INDEX('ערכים טכנולוגיים'!$K$2:$K$500,MATCH(A234,'ערכים טכנולוגיים'!$A$2:$A$500,0)),""))</f>
        <v/>
      </c>
      <c r="Q234" s="9">
        <f>IF($K234="","",IFERROR(INDEX('ערכים טכנולוגיים'!$P$2:$P$500,MATCH(A234,'ערכים טכנולוגיים'!$A$2:$A$500,0)),""))</f>
        <v/>
      </c>
    </row>
    <row r="235">
      <c r="A235" s="8">
        <f>IF($K235="","",INDEX(מלאי!$D$2:$D$500,$K235))</f>
        <v/>
      </c>
      <c r="B235" s="8">
        <f>IF($K235="","",INDEX(מלאי!$B$2:$B$500,$K235))</f>
        <v/>
      </c>
      <c r="C235" s="8">
        <f>IF($K235="","",INDEX(מלאי!$C$2:$C$500,$K235))</f>
        <v/>
      </c>
      <c r="D235" s="8">
        <f>IF($K235="","",INDEX(מלאי!$G$2:$G$500,$K235))</f>
        <v/>
      </c>
      <c r="E235" s="8">
        <f>IF($K235="","",INDEX(מלאי!$M$2:$M$500,$K235))</f>
        <v/>
      </c>
      <c r="F235" s="8">
        <f>IF($K235="","",INDEX(מלאי!$N$2:$N$500,$K235))</f>
        <v/>
      </c>
      <c r="G235" s="8">
        <f>IF($K235="","",INDEX(מלאי!$O$2:$O$500,$K235))</f>
        <v/>
      </c>
      <c r="H235" s="8">
        <f>IF($K235="","",INDEX(מלאי!$U$2:$U$500,$K235))</f>
        <v/>
      </c>
      <c r="I235" s="8">
        <f>IF($K235="","",INDEX(מלאי!$X$2:$X$500,$K235))</f>
        <v/>
      </c>
      <c r="J235" s="8">
        <f>IF($K235="","",INDEX(מלאי!$AC$2:$AC$500,$K235))</f>
        <v/>
      </c>
      <c r="K23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טכנולוגיים'!$A$2:$A$500,0))&lt;=$G$6),0))),ROW(מלאי!$A$2:$A$500)-ROW(מלאי!$A$2)+1,""),213),"")</f>
        <v/>
      </c>
      <c r="L235" s="8">
        <f>IF($K235="","",IFERROR(INDEX('ערכים טכנולוגיים'!$M$2:$M$500,MATCH(A235,'ערכים טכנולוגיים'!$A$2:$A$500,0)),""))</f>
        <v/>
      </c>
      <c r="M235" s="8">
        <f>IF($K235="","",IFERROR(INDEX('ערכים טכנולוגיים'!$F$2:$F$500,MATCH(A235,'ערכים טכנולוגיים'!$A$2:$A$500,0)),""))</f>
        <v/>
      </c>
      <c r="N235" s="8">
        <f>IF($K235="","",IFERROR(INDEX('ערכים טכנולוגיים'!$J$2:$J$500,MATCH(A235,'ערכים טכנולוגיים'!$A$2:$A$500,0)),""))</f>
        <v/>
      </c>
      <c r="O235" s="8">
        <f>IF($K235="","",IFERROR(INDEX('ערכים טכנולוגיים'!$G$2:$G$500,MATCH(A235,'ערכים טכנולוגיים'!$A$2:$A$500,0)),""))</f>
        <v/>
      </c>
      <c r="P235" s="8">
        <f>IF($K235="","",IFERROR(INDEX('ערכים טכנולוגיים'!$K$2:$K$500,MATCH(A235,'ערכים טכנולוגיים'!$A$2:$A$500,0)),""))</f>
        <v/>
      </c>
      <c r="Q235" s="8">
        <f>IF($K235="","",IFERROR(INDEX('ערכים טכנולוגיים'!$P$2:$P$500,MATCH(A235,'ערכים טכנולוגיים'!$A$2:$A$500,0)),""))</f>
        <v/>
      </c>
    </row>
    <row r="236">
      <c r="A236" s="9">
        <f>IF($K236="","",INDEX(מלאי!$D$2:$D$500,$K236))</f>
        <v/>
      </c>
      <c r="B236" s="9">
        <f>IF($K236="","",INDEX(מלאי!$B$2:$B$500,$K236))</f>
        <v/>
      </c>
      <c r="C236" s="9">
        <f>IF($K236="","",INDEX(מלאי!$C$2:$C$500,$K236))</f>
        <v/>
      </c>
      <c r="D236" s="9">
        <f>IF($K236="","",INDEX(מלאי!$G$2:$G$500,$K236))</f>
        <v/>
      </c>
      <c r="E236" s="9">
        <f>IF($K236="","",INDEX(מלאי!$M$2:$M$500,$K236))</f>
        <v/>
      </c>
      <c r="F236" s="9">
        <f>IF($K236="","",INDEX(מלאי!$N$2:$N$500,$K236))</f>
        <v/>
      </c>
      <c r="G236" s="9">
        <f>IF($K236="","",INDEX(מלאי!$O$2:$O$500,$K236))</f>
        <v/>
      </c>
      <c r="H236" s="9">
        <f>IF($K236="","",INDEX(מלאי!$U$2:$U$500,$K236))</f>
        <v/>
      </c>
      <c r="I236" s="9">
        <f>IF($K236="","",INDEX(מלאי!$X$2:$X$500,$K236))</f>
        <v/>
      </c>
      <c r="J236" s="9">
        <f>IF($K236="","",INDEX(מלאי!$AC$2:$AC$500,$K236))</f>
        <v/>
      </c>
      <c r="K23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טכנולוגיים'!$A$2:$A$500,0))&lt;=$G$6),0))),ROW(מלאי!$A$2:$A$500)-ROW(מלאי!$A$2)+1,""),214),"")</f>
        <v/>
      </c>
      <c r="L236" s="9">
        <f>IF($K236="","",IFERROR(INDEX('ערכים טכנולוגיים'!$M$2:$M$500,MATCH(A236,'ערכים טכנולוגיים'!$A$2:$A$500,0)),""))</f>
        <v/>
      </c>
      <c r="M236" s="9">
        <f>IF($K236="","",IFERROR(INDEX('ערכים טכנולוגיים'!$F$2:$F$500,MATCH(A236,'ערכים טכנולוגיים'!$A$2:$A$500,0)),""))</f>
        <v/>
      </c>
      <c r="N236" s="9">
        <f>IF($K236="","",IFERROR(INDEX('ערכים טכנולוגיים'!$J$2:$J$500,MATCH(A236,'ערכים טכנולוגיים'!$A$2:$A$500,0)),""))</f>
        <v/>
      </c>
      <c r="O236" s="9">
        <f>IF($K236="","",IFERROR(INDEX('ערכים טכנולוגיים'!$G$2:$G$500,MATCH(A236,'ערכים טכנולוגיים'!$A$2:$A$500,0)),""))</f>
        <v/>
      </c>
      <c r="P236" s="9">
        <f>IF($K236="","",IFERROR(INDEX('ערכים טכנולוגיים'!$K$2:$K$500,MATCH(A236,'ערכים טכנולוגיים'!$A$2:$A$500,0)),""))</f>
        <v/>
      </c>
      <c r="Q236" s="9">
        <f>IF($K236="","",IFERROR(INDEX('ערכים טכנולוגיים'!$P$2:$P$500,MATCH(A236,'ערכים טכנולוגיים'!$A$2:$A$500,0)),""))</f>
        <v/>
      </c>
    </row>
    <row r="237">
      <c r="A237" s="8">
        <f>IF($K237="","",INDEX(מלאי!$D$2:$D$500,$K237))</f>
        <v/>
      </c>
      <c r="B237" s="8">
        <f>IF($K237="","",INDEX(מלאי!$B$2:$B$500,$K237))</f>
        <v/>
      </c>
      <c r="C237" s="8">
        <f>IF($K237="","",INDEX(מלאי!$C$2:$C$500,$K237))</f>
        <v/>
      </c>
      <c r="D237" s="8">
        <f>IF($K237="","",INDEX(מלאי!$G$2:$G$500,$K237))</f>
        <v/>
      </c>
      <c r="E237" s="8">
        <f>IF($K237="","",INDEX(מלאי!$M$2:$M$500,$K237))</f>
        <v/>
      </c>
      <c r="F237" s="8">
        <f>IF($K237="","",INDEX(מלאי!$N$2:$N$500,$K237))</f>
        <v/>
      </c>
      <c r="G237" s="8">
        <f>IF($K237="","",INDEX(מלאי!$O$2:$O$500,$K237))</f>
        <v/>
      </c>
      <c r="H237" s="8">
        <f>IF($K237="","",INDEX(מלאי!$U$2:$U$500,$K237))</f>
        <v/>
      </c>
      <c r="I237" s="8">
        <f>IF($K237="","",INDEX(מלאי!$X$2:$X$500,$K237))</f>
        <v/>
      </c>
      <c r="J237" s="8">
        <f>IF($K237="","",INDEX(מלאי!$AC$2:$AC$500,$K237))</f>
        <v/>
      </c>
      <c r="K23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טכנולוגיים'!$A$2:$A$500,0))&lt;=$G$6),0))),ROW(מלאי!$A$2:$A$500)-ROW(מלאי!$A$2)+1,""),215),"")</f>
        <v/>
      </c>
      <c r="L237" s="8">
        <f>IF($K237="","",IFERROR(INDEX('ערכים טכנולוגיים'!$M$2:$M$500,MATCH(A237,'ערכים טכנולוגיים'!$A$2:$A$500,0)),""))</f>
        <v/>
      </c>
      <c r="M237" s="8">
        <f>IF($K237="","",IFERROR(INDEX('ערכים טכנולוגיים'!$F$2:$F$500,MATCH(A237,'ערכים טכנולוגיים'!$A$2:$A$500,0)),""))</f>
        <v/>
      </c>
      <c r="N237" s="8">
        <f>IF($K237="","",IFERROR(INDEX('ערכים טכנולוגיים'!$J$2:$J$500,MATCH(A237,'ערכים טכנולוגיים'!$A$2:$A$500,0)),""))</f>
        <v/>
      </c>
      <c r="O237" s="8">
        <f>IF($K237="","",IFERROR(INDEX('ערכים טכנולוגיים'!$G$2:$G$500,MATCH(A237,'ערכים טכנולוגיים'!$A$2:$A$500,0)),""))</f>
        <v/>
      </c>
      <c r="P237" s="8">
        <f>IF($K237="","",IFERROR(INDEX('ערכים טכנולוגיים'!$K$2:$K$500,MATCH(A237,'ערכים טכנולוגיים'!$A$2:$A$500,0)),""))</f>
        <v/>
      </c>
      <c r="Q237" s="8">
        <f>IF($K237="","",IFERROR(INDEX('ערכים טכנולוגיים'!$P$2:$P$500,MATCH(A237,'ערכים טכנולוגיים'!$A$2:$A$500,0)),""))</f>
        <v/>
      </c>
    </row>
    <row r="238">
      <c r="A238" s="9">
        <f>IF($K238="","",INDEX(מלאי!$D$2:$D$500,$K238))</f>
        <v/>
      </c>
      <c r="B238" s="9">
        <f>IF($K238="","",INDEX(מלאי!$B$2:$B$500,$K238))</f>
        <v/>
      </c>
      <c r="C238" s="9">
        <f>IF($K238="","",INDEX(מלאי!$C$2:$C$500,$K238))</f>
        <v/>
      </c>
      <c r="D238" s="9">
        <f>IF($K238="","",INDEX(מלאי!$G$2:$G$500,$K238))</f>
        <v/>
      </c>
      <c r="E238" s="9">
        <f>IF($K238="","",INDEX(מלאי!$M$2:$M$500,$K238))</f>
        <v/>
      </c>
      <c r="F238" s="9">
        <f>IF($K238="","",INDEX(מלאי!$N$2:$N$500,$K238))</f>
        <v/>
      </c>
      <c r="G238" s="9">
        <f>IF($K238="","",INDEX(מלאי!$O$2:$O$500,$K238))</f>
        <v/>
      </c>
      <c r="H238" s="9">
        <f>IF($K238="","",INDEX(מלאי!$U$2:$U$500,$K238))</f>
        <v/>
      </c>
      <c r="I238" s="9">
        <f>IF($K238="","",INDEX(מלאי!$X$2:$X$500,$K238))</f>
        <v/>
      </c>
      <c r="J238" s="9">
        <f>IF($K238="","",INDEX(מלאי!$AC$2:$AC$500,$K238))</f>
        <v/>
      </c>
      <c r="K23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טכנולוגיים'!$A$2:$A$500,0))&lt;=$G$6),0))),ROW(מלאי!$A$2:$A$500)-ROW(מלאי!$A$2)+1,""),216),"")</f>
        <v/>
      </c>
      <c r="L238" s="9">
        <f>IF($K238="","",IFERROR(INDEX('ערכים טכנולוגיים'!$M$2:$M$500,MATCH(A238,'ערכים טכנולוגיים'!$A$2:$A$500,0)),""))</f>
        <v/>
      </c>
      <c r="M238" s="9">
        <f>IF($K238="","",IFERROR(INDEX('ערכים טכנולוגיים'!$F$2:$F$500,MATCH(A238,'ערכים טכנולוגיים'!$A$2:$A$500,0)),""))</f>
        <v/>
      </c>
      <c r="N238" s="9">
        <f>IF($K238="","",IFERROR(INDEX('ערכים טכנולוגיים'!$J$2:$J$500,MATCH(A238,'ערכים טכנולוגיים'!$A$2:$A$500,0)),""))</f>
        <v/>
      </c>
      <c r="O238" s="9">
        <f>IF($K238="","",IFERROR(INDEX('ערכים טכנולוגיים'!$G$2:$G$500,MATCH(A238,'ערכים טכנולוגיים'!$A$2:$A$500,0)),""))</f>
        <v/>
      </c>
      <c r="P238" s="9">
        <f>IF($K238="","",IFERROR(INDEX('ערכים טכנולוגיים'!$K$2:$K$500,MATCH(A238,'ערכים טכנולוגיים'!$A$2:$A$500,0)),""))</f>
        <v/>
      </c>
      <c r="Q238" s="9">
        <f>IF($K238="","",IFERROR(INDEX('ערכים טכנולוגיים'!$P$2:$P$500,MATCH(A238,'ערכים טכנולוגיים'!$A$2:$A$500,0)),""))</f>
        <v/>
      </c>
    </row>
    <row r="239">
      <c r="A239" s="8">
        <f>IF($K239="","",INDEX(מלאי!$D$2:$D$500,$K239))</f>
        <v/>
      </c>
      <c r="B239" s="8">
        <f>IF($K239="","",INDEX(מלאי!$B$2:$B$500,$K239))</f>
        <v/>
      </c>
      <c r="C239" s="8">
        <f>IF($K239="","",INDEX(מלאי!$C$2:$C$500,$K239))</f>
        <v/>
      </c>
      <c r="D239" s="8">
        <f>IF($K239="","",INDEX(מלאי!$G$2:$G$500,$K239))</f>
        <v/>
      </c>
      <c r="E239" s="8">
        <f>IF($K239="","",INDEX(מלאי!$M$2:$M$500,$K239))</f>
        <v/>
      </c>
      <c r="F239" s="8">
        <f>IF($K239="","",INDEX(מלאי!$N$2:$N$500,$K239))</f>
        <v/>
      </c>
      <c r="G239" s="8">
        <f>IF($K239="","",INDEX(מלאי!$O$2:$O$500,$K239))</f>
        <v/>
      </c>
      <c r="H239" s="8">
        <f>IF($K239="","",INDEX(מלאי!$U$2:$U$500,$K239))</f>
        <v/>
      </c>
      <c r="I239" s="8">
        <f>IF($K239="","",INDEX(מלאי!$X$2:$X$500,$K239))</f>
        <v/>
      </c>
      <c r="J239" s="8">
        <f>IF($K239="","",INDEX(מלאי!$AC$2:$AC$500,$K239))</f>
        <v/>
      </c>
      <c r="K23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טכנולוגיים'!$A$2:$A$500,0))&lt;=$G$6),0))),ROW(מלאי!$A$2:$A$500)-ROW(מלאי!$A$2)+1,""),217),"")</f>
        <v/>
      </c>
      <c r="L239" s="8">
        <f>IF($K239="","",IFERROR(INDEX('ערכים טכנולוגיים'!$M$2:$M$500,MATCH(A239,'ערכים טכנולוגיים'!$A$2:$A$500,0)),""))</f>
        <v/>
      </c>
      <c r="M239" s="8">
        <f>IF($K239="","",IFERROR(INDEX('ערכים טכנולוגיים'!$F$2:$F$500,MATCH(A239,'ערכים טכנולוגיים'!$A$2:$A$500,0)),""))</f>
        <v/>
      </c>
      <c r="N239" s="8">
        <f>IF($K239="","",IFERROR(INDEX('ערכים טכנולוגיים'!$J$2:$J$500,MATCH(A239,'ערכים טכנולוגיים'!$A$2:$A$500,0)),""))</f>
        <v/>
      </c>
      <c r="O239" s="8">
        <f>IF($K239="","",IFERROR(INDEX('ערכים טכנולוגיים'!$G$2:$G$500,MATCH(A239,'ערכים טכנולוגיים'!$A$2:$A$500,0)),""))</f>
        <v/>
      </c>
      <c r="P239" s="8">
        <f>IF($K239="","",IFERROR(INDEX('ערכים טכנולוגיים'!$K$2:$K$500,MATCH(A239,'ערכים טכנולוגיים'!$A$2:$A$500,0)),""))</f>
        <v/>
      </c>
      <c r="Q239" s="8">
        <f>IF($K239="","",IFERROR(INDEX('ערכים טכנולוגיים'!$P$2:$P$500,MATCH(A239,'ערכים טכנולוגיים'!$A$2:$A$500,0)),""))</f>
        <v/>
      </c>
    </row>
    <row r="240">
      <c r="A240" s="9">
        <f>IF($K240="","",INDEX(מלאי!$D$2:$D$500,$K240))</f>
        <v/>
      </c>
      <c r="B240" s="9">
        <f>IF($K240="","",INDEX(מלאי!$B$2:$B$500,$K240))</f>
        <v/>
      </c>
      <c r="C240" s="9">
        <f>IF($K240="","",INDEX(מלאי!$C$2:$C$500,$K240))</f>
        <v/>
      </c>
      <c r="D240" s="9">
        <f>IF($K240="","",INDEX(מלאי!$G$2:$G$500,$K240))</f>
        <v/>
      </c>
      <c r="E240" s="9">
        <f>IF($K240="","",INDEX(מלאי!$M$2:$M$500,$K240))</f>
        <v/>
      </c>
      <c r="F240" s="9">
        <f>IF($K240="","",INDEX(מלאי!$N$2:$N$500,$K240))</f>
        <v/>
      </c>
      <c r="G240" s="9">
        <f>IF($K240="","",INDEX(מלאי!$O$2:$O$500,$K240))</f>
        <v/>
      </c>
      <c r="H240" s="9">
        <f>IF($K240="","",INDEX(מלאי!$U$2:$U$500,$K240))</f>
        <v/>
      </c>
      <c r="I240" s="9">
        <f>IF($K240="","",INDEX(מלאי!$X$2:$X$500,$K240))</f>
        <v/>
      </c>
      <c r="J240" s="9">
        <f>IF($K240="","",INDEX(מלאי!$AC$2:$AC$500,$K240))</f>
        <v/>
      </c>
      <c r="K24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טכנולוגיים'!$A$2:$A$500,0))&lt;=$G$6),0))),ROW(מלאי!$A$2:$A$500)-ROW(מלאי!$A$2)+1,""),218),"")</f>
        <v/>
      </c>
      <c r="L240" s="9">
        <f>IF($K240="","",IFERROR(INDEX('ערכים טכנולוגיים'!$M$2:$M$500,MATCH(A240,'ערכים טכנולוגיים'!$A$2:$A$500,0)),""))</f>
        <v/>
      </c>
      <c r="M240" s="9">
        <f>IF($K240="","",IFERROR(INDEX('ערכים טכנולוגיים'!$F$2:$F$500,MATCH(A240,'ערכים טכנולוגיים'!$A$2:$A$500,0)),""))</f>
        <v/>
      </c>
      <c r="N240" s="9">
        <f>IF($K240="","",IFERROR(INDEX('ערכים טכנולוגיים'!$J$2:$J$500,MATCH(A240,'ערכים טכנולוגיים'!$A$2:$A$500,0)),""))</f>
        <v/>
      </c>
      <c r="O240" s="9">
        <f>IF($K240="","",IFERROR(INDEX('ערכים טכנולוגיים'!$G$2:$G$500,MATCH(A240,'ערכים טכנולוגיים'!$A$2:$A$500,0)),""))</f>
        <v/>
      </c>
      <c r="P240" s="9">
        <f>IF($K240="","",IFERROR(INDEX('ערכים טכנולוגיים'!$K$2:$K$500,MATCH(A240,'ערכים טכנולוגיים'!$A$2:$A$500,0)),""))</f>
        <v/>
      </c>
      <c r="Q240" s="9">
        <f>IF($K240="","",IFERROR(INDEX('ערכים טכנולוגיים'!$P$2:$P$500,MATCH(A240,'ערכים טכנולוגיים'!$A$2:$A$500,0)),""))</f>
        <v/>
      </c>
    </row>
    <row r="241">
      <c r="A241" s="8">
        <f>IF($K241="","",INDEX(מלאי!$D$2:$D$500,$K241))</f>
        <v/>
      </c>
      <c r="B241" s="8">
        <f>IF($K241="","",INDEX(מלאי!$B$2:$B$500,$K241))</f>
        <v/>
      </c>
      <c r="C241" s="8">
        <f>IF($K241="","",INDEX(מלאי!$C$2:$C$500,$K241))</f>
        <v/>
      </c>
      <c r="D241" s="8">
        <f>IF($K241="","",INDEX(מלאי!$G$2:$G$500,$K241))</f>
        <v/>
      </c>
      <c r="E241" s="8">
        <f>IF($K241="","",INDEX(מלאי!$M$2:$M$500,$K241))</f>
        <v/>
      </c>
      <c r="F241" s="8">
        <f>IF($K241="","",INDEX(מלאי!$N$2:$N$500,$K241))</f>
        <v/>
      </c>
      <c r="G241" s="8">
        <f>IF($K241="","",INDEX(מלאי!$O$2:$O$500,$K241))</f>
        <v/>
      </c>
      <c r="H241" s="8">
        <f>IF($K241="","",INDEX(מלאי!$U$2:$U$500,$K241))</f>
        <v/>
      </c>
      <c r="I241" s="8">
        <f>IF($K241="","",INDEX(מלאי!$X$2:$X$500,$K241))</f>
        <v/>
      </c>
      <c r="J241" s="8">
        <f>IF($K241="","",INDEX(מלאי!$AC$2:$AC$500,$K241))</f>
        <v/>
      </c>
      <c r="K24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טכנולוגיים'!$A$2:$A$500,0))&lt;=$G$6),0))),ROW(מלאי!$A$2:$A$500)-ROW(מלאי!$A$2)+1,""),219),"")</f>
        <v/>
      </c>
      <c r="L241" s="8">
        <f>IF($K241="","",IFERROR(INDEX('ערכים טכנולוגיים'!$M$2:$M$500,MATCH(A241,'ערכים טכנולוגיים'!$A$2:$A$500,0)),""))</f>
        <v/>
      </c>
      <c r="M241" s="8">
        <f>IF($K241="","",IFERROR(INDEX('ערכים טכנולוגיים'!$F$2:$F$500,MATCH(A241,'ערכים טכנולוגיים'!$A$2:$A$500,0)),""))</f>
        <v/>
      </c>
      <c r="N241" s="8">
        <f>IF($K241="","",IFERROR(INDEX('ערכים טכנולוגיים'!$J$2:$J$500,MATCH(A241,'ערכים טכנולוגיים'!$A$2:$A$500,0)),""))</f>
        <v/>
      </c>
      <c r="O241" s="8">
        <f>IF($K241="","",IFERROR(INDEX('ערכים טכנולוגיים'!$G$2:$G$500,MATCH(A241,'ערכים טכנולוגיים'!$A$2:$A$500,0)),""))</f>
        <v/>
      </c>
      <c r="P241" s="8">
        <f>IF($K241="","",IFERROR(INDEX('ערכים טכנולוגיים'!$K$2:$K$500,MATCH(A241,'ערכים טכנולוגיים'!$A$2:$A$500,0)),""))</f>
        <v/>
      </c>
      <c r="Q241" s="8">
        <f>IF($K241="","",IFERROR(INDEX('ערכים טכנולוגיים'!$P$2:$P$500,MATCH(A241,'ערכים טכנולוגיים'!$A$2:$A$500,0)),""))</f>
        <v/>
      </c>
    </row>
    <row r="242">
      <c r="A242" s="9">
        <f>IF($K242="","",INDEX(מלאי!$D$2:$D$500,$K242))</f>
        <v/>
      </c>
      <c r="B242" s="9">
        <f>IF($K242="","",INDEX(מלאי!$B$2:$B$500,$K242))</f>
        <v/>
      </c>
      <c r="C242" s="9">
        <f>IF($K242="","",INDEX(מלאי!$C$2:$C$500,$K242))</f>
        <v/>
      </c>
      <c r="D242" s="9">
        <f>IF($K242="","",INDEX(מלאי!$G$2:$G$500,$K242))</f>
        <v/>
      </c>
      <c r="E242" s="9">
        <f>IF($K242="","",INDEX(מלאי!$M$2:$M$500,$K242))</f>
        <v/>
      </c>
      <c r="F242" s="9">
        <f>IF($K242="","",INDEX(מלאי!$N$2:$N$500,$K242))</f>
        <v/>
      </c>
      <c r="G242" s="9">
        <f>IF($K242="","",INDEX(מלאי!$O$2:$O$500,$K242))</f>
        <v/>
      </c>
      <c r="H242" s="9">
        <f>IF($K242="","",INDEX(מלאי!$U$2:$U$500,$K242))</f>
        <v/>
      </c>
      <c r="I242" s="9">
        <f>IF($K242="","",INDEX(מלאי!$X$2:$X$500,$K242))</f>
        <v/>
      </c>
      <c r="J242" s="9">
        <f>IF($K242="","",INDEX(מלאי!$AC$2:$AC$500,$K242))</f>
        <v/>
      </c>
      <c r="K24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טכנולוגיים'!$A$2:$A$500,0))&lt;=$G$6),0))),ROW(מלאי!$A$2:$A$500)-ROW(מלאי!$A$2)+1,""),220),"")</f>
        <v/>
      </c>
      <c r="L242" s="9">
        <f>IF($K242="","",IFERROR(INDEX('ערכים טכנולוגיים'!$M$2:$M$500,MATCH(A242,'ערכים טכנולוגיים'!$A$2:$A$500,0)),""))</f>
        <v/>
      </c>
      <c r="M242" s="9">
        <f>IF($K242="","",IFERROR(INDEX('ערכים טכנולוגיים'!$F$2:$F$500,MATCH(A242,'ערכים טכנולוגיים'!$A$2:$A$500,0)),""))</f>
        <v/>
      </c>
      <c r="N242" s="9">
        <f>IF($K242="","",IFERROR(INDEX('ערכים טכנולוגיים'!$J$2:$J$500,MATCH(A242,'ערכים טכנולוגיים'!$A$2:$A$500,0)),""))</f>
        <v/>
      </c>
      <c r="O242" s="9">
        <f>IF($K242="","",IFERROR(INDEX('ערכים טכנולוגיים'!$G$2:$G$500,MATCH(A242,'ערכים טכנולוגיים'!$A$2:$A$500,0)),""))</f>
        <v/>
      </c>
      <c r="P242" s="9">
        <f>IF($K242="","",IFERROR(INDEX('ערכים טכנולוגיים'!$K$2:$K$500,MATCH(A242,'ערכים טכנולוגיים'!$A$2:$A$500,0)),""))</f>
        <v/>
      </c>
      <c r="Q242" s="9">
        <f>IF($K242="","",IFERROR(INDEX('ערכים טכנולוגיים'!$P$2:$P$500,MATCH(A242,'ערכים טכנולוגיים'!$A$2:$A$500,0)),""))</f>
        <v/>
      </c>
    </row>
    <row r="243">
      <c r="A243" s="8">
        <f>IF($K243="","",INDEX(מלאי!$D$2:$D$500,$K243))</f>
        <v/>
      </c>
      <c r="B243" s="8">
        <f>IF($K243="","",INDEX(מלאי!$B$2:$B$500,$K243))</f>
        <v/>
      </c>
      <c r="C243" s="8">
        <f>IF($K243="","",INDEX(מלאי!$C$2:$C$500,$K243))</f>
        <v/>
      </c>
      <c r="D243" s="8">
        <f>IF($K243="","",INDEX(מלאי!$G$2:$G$500,$K243))</f>
        <v/>
      </c>
      <c r="E243" s="8">
        <f>IF($K243="","",INDEX(מלאי!$M$2:$M$500,$K243))</f>
        <v/>
      </c>
      <c r="F243" s="8">
        <f>IF($K243="","",INDEX(מלאי!$N$2:$N$500,$K243))</f>
        <v/>
      </c>
      <c r="G243" s="8">
        <f>IF($K243="","",INDEX(מלאי!$O$2:$O$500,$K243))</f>
        <v/>
      </c>
      <c r="H243" s="8">
        <f>IF($K243="","",INDEX(מלאי!$U$2:$U$500,$K243))</f>
        <v/>
      </c>
      <c r="I243" s="8">
        <f>IF($K243="","",INDEX(מלאי!$X$2:$X$500,$K243))</f>
        <v/>
      </c>
      <c r="J243" s="8">
        <f>IF($K243="","",INDEX(מלאי!$AC$2:$AC$500,$K243))</f>
        <v/>
      </c>
      <c r="K24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טכנולוגיים'!$A$2:$A$500,0))&lt;=$G$6),0))),ROW(מלאי!$A$2:$A$500)-ROW(מלאי!$A$2)+1,""),221),"")</f>
        <v/>
      </c>
      <c r="L243" s="8">
        <f>IF($K243="","",IFERROR(INDEX('ערכים טכנולוגיים'!$M$2:$M$500,MATCH(A243,'ערכים טכנולוגיים'!$A$2:$A$500,0)),""))</f>
        <v/>
      </c>
      <c r="M243" s="8">
        <f>IF($K243="","",IFERROR(INDEX('ערכים טכנולוגיים'!$F$2:$F$500,MATCH(A243,'ערכים טכנולוגיים'!$A$2:$A$500,0)),""))</f>
        <v/>
      </c>
      <c r="N243" s="8">
        <f>IF($K243="","",IFERROR(INDEX('ערכים טכנולוגיים'!$J$2:$J$500,MATCH(A243,'ערכים טכנולוגיים'!$A$2:$A$500,0)),""))</f>
        <v/>
      </c>
      <c r="O243" s="8">
        <f>IF($K243="","",IFERROR(INDEX('ערכים טכנולוגיים'!$G$2:$G$500,MATCH(A243,'ערכים טכנולוגיים'!$A$2:$A$500,0)),""))</f>
        <v/>
      </c>
      <c r="P243" s="8">
        <f>IF($K243="","",IFERROR(INDEX('ערכים טכנולוגיים'!$K$2:$K$500,MATCH(A243,'ערכים טכנולוגיים'!$A$2:$A$500,0)),""))</f>
        <v/>
      </c>
      <c r="Q243" s="8">
        <f>IF($K243="","",IFERROR(INDEX('ערכים טכנולוגיים'!$P$2:$P$500,MATCH(A243,'ערכים טכנולוגיים'!$A$2:$A$500,0)),""))</f>
        <v/>
      </c>
    </row>
    <row r="244">
      <c r="A244" s="9">
        <f>IF($K244="","",INDEX(מלאי!$D$2:$D$500,$K244))</f>
        <v/>
      </c>
      <c r="B244" s="9">
        <f>IF($K244="","",INDEX(מלאי!$B$2:$B$500,$K244))</f>
        <v/>
      </c>
      <c r="C244" s="9">
        <f>IF($K244="","",INDEX(מלאי!$C$2:$C$500,$K244))</f>
        <v/>
      </c>
      <c r="D244" s="9">
        <f>IF($K244="","",INDEX(מלאי!$G$2:$G$500,$K244))</f>
        <v/>
      </c>
      <c r="E244" s="9">
        <f>IF($K244="","",INDEX(מלאי!$M$2:$M$500,$K244))</f>
        <v/>
      </c>
      <c r="F244" s="9">
        <f>IF($K244="","",INDEX(מלאי!$N$2:$N$500,$K244))</f>
        <v/>
      </c>
      <c r="G244" s="9">
        <f>IF($K244="","",INDEX(מלאי!$O$2:$O$500,$K244))</f>
        <v/>
      </c>
      <c r="H244" s="9">
        <f>IF($K244="","",INDEX(מלאי!$U$2:$U$500,$K244))</f>
        <v/>
      </c>
      <c r="I244" s="9">
        <f>IF($K244="","",INDEX(מלאי!$X$2:$X$500,$K244))</f>
        <v/>
      </c>
      <c r="J244" s="9">
        <f>IF($K244="","",INDEX(מלאי!$AC$2:$AC$500,$K244))</f>
        <v/>
      </c>
      <c r="K24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טכנולוגיים'!$A$2:$A$500,0))&lt;=$G$6),0))),ROW(מלאי!$A$2:$A$500)-ROW(מלאי!$A$2)+1,""),222),"")</f>
        <v/>
      </c>
      <c r="L244" s="9">
        <f>IF($K244="","",IFERROR(INDEX('ערכים טכנולוגיים'!$M$2:$M$500,MATCH(A244,'ערכים טכנולוגיים'!$A$2:$A$500,0)),""))</f>
        <v/>
      </c>
      <c r="M244" s="9">
        <f>IF($K244="","",IFERROR(INDEX('ערכים טכנולוגיים'!$F$2:$F$500,MATCH(A244,'ערכים טכנולוגיים'!$A$2:$A$500,0)),""))</f>
        <v/>
      </c>
      <c r="N244" s="9">
        <f>IF($K244="","",IFERROR(INDEX('ערכים טכנולוגיים'!$J$2:$J$500,MATCH(A244,'ערכים טכנולוגיים'!$A$2:$A$500,0)),""))</f>
        <v/>
      </c>
      <c r="O244" s="9">
        <f>IF($K244="","",IFERROR(INDEX('ערכים טכנולוגיים'!$G$2:$G$500,MATCH(A244,'ערכים טכנולוגיים'!$A$2:$A$500,0)),""))</f>
        <v/>
      </c>
      <c r="P244" s="9">
        <f>IF($K244="","",IFERROR(INDEX('ערכים טכנולוגיים'!$K$2:$K$500,MATCH(A244,'ערכים טכנולוגיים'!$A$2:$A$500,0)),""))</f>
        <v/>
      </c>
      <c r="Q244" s="9">
        <f>IF($K244="","",IFERROR(INDEX('ערכים טכנולוגיים'!$P$2:$P$500,MATCH(A244,'ערכים טכנולוגיים'!$A$2:$A$500,0)),""))</f>
        <v/>
      </c>
    </row>
    <row r="245">
      <c r="A245" s="8">
        <f>IF($K245="","",INDEX(מלאי!$D$2:$D$500,$K245))</f>
        <v/>
      </c>
      <c r="B245" s="8">
        <f>IF($K245="","",INDEX(מלאי!$B$2:$B$500,$K245))</f>
        <v/>
      </c>
      <c r="C245" s="8">
        <f>IF($K245="","",INDEX(מלאי!$C$2:$C$500,$K245))</f>
        <v/>
      </c>
      <c r="D245" s="8">
        <f>IF($K245="","",INDEX(מלאי!$G$2:$G$500,$K245))</f>
        <v/>
      </c>
      <c r="E245" s="8">
        <f>IF($K245="","",INDEX(מלאי!$M$2:$M$500,$K245))</f>
        <v/>
      </c>
      <c r="F245" s="8">
        <f>IF($K245="","",INDEX(מלאי!$N$2:$N$500,$K245))</f>
        <v/>
      </c>
      <c r="G245" s="8">
        <f>IF($K245="","",INDEX(מלאי!$O$2:$O$500,$K245))</f>
        <v/>
      </c>
      <c r="H245" s="8">
        <f>IF($K245="","",INDEX(מלאי!$U$2:$U$500,$K245))</f>
        <v/>
      </c>
      <c r="I245" s="8">
        <f>IF($K245="","",INDEX(מלאי!$X$2:$X$500,$K245))</f>
        <v/>
      </c>
      <c r="J245" s="8">
        <f>IF($K245="","",INDEX(מלאי!$AC$2:$AC$500,$K245))</f>
        <v/>
      </c>
      <c r="K24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טכנולוגיים'!$A$2:$A$500,0))&lt;=$G$6),0))),ROW(מלאי!$A$2:$A$500)-ROW(מלאי!$A$2)+1,""),223),"")</f>
        <v/>
      </c>
      <c r="L245" s="8">
        <f>IF($K245="","",IFERROR(INDEX('ערכים טכנולוגיים'!$M$2:$M$500,MATCH(A245,'ערכים טכנולוגיים'!$A$2:$A$500,0)),""))</f>
        <v/>
      </c>
      <c r="M245" s="8">
        <f>IF($K245="","",IFERROR(INDEX('ערכים טכנולוגיים'!$F$2:$F$500,MATCH(A245,'ערכים טכנולוגיים'!$A$2:$A$500,0)),""))</f>
        <v/>
      </c>
      <c r="N245" s="8">
        <f>IF($K245="","",IFERROR(INDEX('ערכים טכנולוגיים'!$J$2:$J$500,MATCH(A245,'ערכים טכנולוגיים'!$A$2:$A$500,0)),""))</f>
        <v/>
      </c>
      <c r="O245" s="8">
        <f>IF($K245="","",IFERROR(INDEX('ערכים טכנולוגיים'!$G$2:$G$500,MATCH(A245,'ערכים טכנולוגיים'!$A$2:$A$500,0)),""))</f>
        <v/>
      </c>
      <c r="P245" s="8">
        <f>IF($K245="","",IFERROR(INDEX('ערכים טכנולוגיים'!$K$2:$K$500,MATCH(A245,'ערכים טכנולוגיים'!$A$2:$A$500,0)),""))</f>
        <v/>
      </c>
      <c r="Q245" s="8">
        <f>IF($K245="","",IFERROR(INDEX('ערכים טכנולוגיים'!$P$2:$P$500,MATCH(A245,'ערכים טכנולוגיים'!$A$2:$A$500,0)),""))</f>
        <v/>
      </c>
    </row>
    <row r="246">
      <c r="A246" s="9">
        <f>IF($K246="","",INDEX(מלאי!$D$2:$D$500,$K246))</f>
        <v/>
      </c>
      <c r="B246" s="9">
        <f>IF($K246="","",INDEX(מלאי!$B$2:$B$500,$K246))</f>
        <v/>
      </c>
      <c r="C246" s="9">
        <f>IF($K246="","",INDEX(מלאי!$C$2:$C$500,$K246))</f>
        <v/>
      </c>
      <c r="D246" s="9">
        <f>IF($K246="","",INDEX(מלאי!$G$2:$G$500,$K246))</f>
        <v/>
      </c>
      <c r="E246" s="9">
        <f>IF($K246="","",INDEX(מלאי!$M$2:$M$500,$K246))</f>
        <v/>
      </c>
      <c r="F246" s="9">
        <f>IF($K246="","",INDEX(מלאי!$N$2:$N$500,$K246))</f>
        <v/>
      </c>
      <c r="G246" s="9">
        <f>IF($K246="","",INDEX(מלאי!$O$2:$O$500,$K246))</f>
        <v/>
      </c>
      <c r="H246" s="9">
        <f>IF($K246="","",INDEX(מלאי!$U$2:$U$500,$K246))</f>
        <v/>
      </c>
      <c r="I246" s="9">
        <f>IF($K246="","",INDEX(מלאי!$X$2:$X$500,$K246))</f>
        <v/>
      </c>
      <c r="J246" s="9">
        <f>IF($K246="","",INDEX(מלאי!$AC$2:$AC$500,$K246))</f>
        <v/>
      </c>
      <c r="K24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טכנולוגיים'!$A$2:$A$500,0))&lt;=$G$6),0))),ROW(מלאי!$A$2:$A$500)-ROW(מלאי!$A$2)+1,""),224),"")</f>
        <v/>
      </c>
      <c r="L246" s="9">
        <f>IF($K246="","",IFERROR(INDEX('ערכים טכנולוגיים'!$M$2:$M$500,MATCH(A246,'ערכים טכנולוגיים'!$A$2:$A$500,0)),""))</f>
        <v/>
      </c>
      <c r="M246" s="9">
        <f>IF($K246="","",IFERROR(INDEX('ערכים טכנולוגיים'!$F$2:$F$500,MATCH(A246,'ערכים טכנולוגיים'!$A$2:$A$500,0)),""))</f>
        <v/>
      </c>
      <c r="N246" s="9">
        <f>IF($K246="","",IFERROR(INDEX('ערכים טכנולוגיים'!$J$2:$J$500,MATCH(A246,'ערכים טכנולוגיים'!$A$2:$A$500,0)),""))</f>
        <v/>
      </c>
      <c r="O246" s="9">
        <f>IF($K246="","",IFERROR(INDEX('ערכים טכנולוגיים'!$G$2:$G$500,MATCH(A246,'ערכים טכנולוגיים'!$A$2:$A$500,0)),""))</f>
        <v/>
      </c>
      <c r="P246" s="9">
        <f>IF($K246="","",IFERROR(INDEX('ערכים טכנולוגיים'!$K$2:$K$500,MATCH(A246,'ערכים טכנולוגיים'!$A$2:$A$500,0)),""))</f>
        <v/>
      </c>
      <c r="Q246" s="9">
        <f>IF($K246="","",IFERROR(INDEX('ערכים טכנולוגיים'!$P$2:$P$500,MATCH(A246,'ערכים טכנולוגיים'!$A$2:$A$500,0)),""))</f>
        <v/>
      </c>
    </row>
    <row r="247">
      <c r="A247" s="8">
        <f>IF($K247="","",INDEX(מלאי!$D$2:$D$500,$K247))</f>
        <v/>
      </c>
      <c r="B247" s="8">
        <f>IF($K247="","",INDEX(מלאי!$B$2:$B$500,$K247))</f>
        <v/>
      </c>
      <c r="C247" s="8">
        <f>IF($K247="","",INDEX(מלאי!$C$2:$C$500,$K247))</f>
        <v/>
      </c>
      <c r="D247" s="8">
        <f>IF($K247="","",INDEX(מלאי!$G$2:$G$500,$K247))</f>
        <v/>
      </c>
      <c r="E247" s="8">
        <f>IF($K247="","",INDEX(מלאי!$M$2:$M$500,$K247))</f>
        <v/>
      </c>
      <c r="F247" s="8">
        <f>IF($K247="","",INDEX(מלאי!$N$2:$N$500,$K247))</f>
        <v/>
      </c>
      <c r="G247" s="8">
        <f>IF($K247="","",INDEX(מלאי!$O$2:$O$500,$K247))</f>
        <v/>
      </c>
      <c r="H247" s="8">
        <f>IF($K247="","",INDEX(מלאי!$U$2:$U$500,$K247))</f>
        <v/>
      </c>
      <c r="I247" s="8">
        <f>IF($K247="","",INDEX(מלאי!$X$2:$X$500,$K247))</f>
        <v/>
      </c>
      <c r="J247" s="8">
        <f>IF($K247="","",INDEX(מלאי!$AC$2:$AC$500,$K247))</f>
        <v/>
      </c>
      <c r="K24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טכנולוגיים'!$A$2:$A$500,0))&lt;=$G$6),0))),ROW(מלאי!$A$2:$A$500)-ROW(מלאי!$A$2)+1,""),225),"")</f>
        <v/>
      </c>
      <c r="L247" s="8">
        <f>IF($K247="","",IFERROR(INDEX('ערכים טכנולוגיים'!$M$2:$M$500,MATCH(A247,'ערכים טכנולוגיים'!$A$2:$A$500,0)),""))</f>
        <v/>
      </c>
      <c r="M247" s="8">
        <f>IF($K247="","",IFERROR(INDEX('ערכים טכנולוגיים'!$F$2:$F$500,MATCH(A247,'ערכים טכנולוגיים'!$A$2:$A$500,0)),""))</f>
        <v/>
      </c>
      <c r="N247" s="8">
        <f>IF($K247="","",IFERROR(INDEX('ערכים טכנולוגיים'!$J$2:$J$500,MATCH(A247,'ערכים טכנולוגיים'!$A$2:$A$500,0)),""))</f>
        <v/>
      </c>
      <c r="O247" s="8">
        <f>IF($K247="","",IFERROR(INDEX('ערכים טכנולוגיים'!$G$2:$G$500,MATCH(A247,'ערכים טכנולוגיים'!$A$2:$A$500,0)),""))</f>
        <v/>
      </c>
      <c r="P247" s="8">
        <f>IF($K247="","",IFERROR(INDEX('ערכים טכנולוגיים'!$K$2:$K$500,MATCH(A247,'ערכים טכנולוגיים'!$A$2:$A$500,0)),""))</f>
        <v/>
      </c>
      <c r="Q247" s="8">
        <f>IF($K247="","",IFERROR(INDEX('ערכים טכנולוגיים'!$P$2:$P$500,MATCH(A247,'ערכים טכנולוגיים'!$A$2:$A$500,0)),""))</f>
        <v/>
      </c>
    </row>
    <row r="248">
      <c r="A248" s="9">
        <f>IF($K248="","",INDEX(מלאי!$D$2:$D$500,$K248))</f>
        <v/>
      </c>
      <c r="B248" s="9">
        <f>IF($K248="","",INDEX(מלאי!$B$2:$B$500,$K248))</f>
        <v/>
      </c>
      <c r="C248" s="9">
        <f>IF($K248="","",INDEX(מלאי!$C$2:$C$500,$K248))</f>
        <v/>
      </c>
      <c r="D248" s="9">
        <f>IF($K248="","",INDEX(מלאי!$G$2:$G$500,$K248))</f>
        <v/>
      </c>
      <c r="E248" s="9">
        <f>IF($K248="","",INDEX(מלאי!$M$2:$M$500,$K248))</f>
        <v/>
      </c>
      <c r="F248" s="9">
        <f>IF($K248="","",INDEX(מלאי!$N$2:$N$500,$K248))</f>
        <v/>
      </c>
      <c r="G248" s="9">
        <f>IF($K248="","",INDEX(מלאי!$O$2:$O$500,$K248))</f>
        <v/>
      </c>
      <c r="H248" s="9">
        <f>IF($K248="","",INDEX(מלאי!$U$2:$U$500,$K248))</f>
        <v/>
      </c>
      <c r="I248" s="9">
        <f>IF($K248="","",INDEX(מלאי!$X$2:$X$500,$K248))</f>
        <v/>
      </c>
      <c r="J248" s="9">
        <f>IF($K248="","",INDEX(מלאי!$AC$2:$AC$500,$K248))</f>
        <v/>
      </c>
      <c r="K24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טכנולוגיים'!$A$2:$A$500,0))&lt;=$G$6),0))),ROW(מלאי!$A$2:$A$500)-ROW(מלאי!$A$2)+1,""),226),"")</f>
        <v/>
      </c>
      <c r="L248" s="9">
        <f>IF($K248="","",IFERROR(INDEX('ערכים טכנולוגיים'!$M$2:$M$500,MATCH(A248,'ערכים טכנולוגיים'!$A$2:$A$500,0)),""))</f>
        <v/>
      </c>
      <c r="M248" s="9">
        <f>IF($K248="","",IFERROR(INDEX('ערכים טכנולוגיים'!$F$2:$F$500,MATCH(A248,'ערכים טכנולוגיים'!$A$2:$A$500,0)),""))</f>
        <v/>
      </c>
      <c r="N248" s="9">
        <f>IF($K248="","",IFERROR(INDEX('ערכים טכנולוגיים'!$J$2:$J$500,MATCH(A248,'ערכים טכנולוגיים'!$A$2:$A$500,0)),""))</f>
        <v/>
      </c>
      <c r="O248" s="9">
        <f>IF($K248="","",IFERROR(INDEX('ערכים טכנולוגיים'!$G$2:$G$500,MATCH(A248,'ערכים טכנולוגיים'!$A$2:$A$500,0)),""))</f>
        <v/>
      </c>
      <c r="P248" s="9">
        <f>IF($K248="","",IFERROR(INDEX('ערכים טכנולוגיים'!$K$2:$K$500,MATCH(A248,'ערכים טכנולוגיים'!$A$2:$A$500,0)),""))</f>
        <v/>
      </c>
      <c r="Q248" s="9">
        <f>IF($K248="","",IFERROR(INDEX('ערכים טכנולוגיים'!$P$2:$P$500,MATCH(A248,'ערכים טכנולוגיים'!$A$2:$A$500,0)),""))</f>
        <v/>
      </c>
    </row>
    <row r="249">
      <c r="A249" s="8">
        <f>IF($K249="","",INDEX(מלאי!$D$2:$D$500,$K249))</f>
        <v/>
      </c>
      <c r="B249" s="8">
        <f>IF($K249="","",INDEX(מלאי!$B$2:$B$500,$K249))</f>
        <v/>
      </c>
      <c r="C249" s="8">
        <f>IF($K249="","",INDEX(מלאי!$C$2:$C$500,$K249))</f>
        <v/>
      </c>
      <c r="D249" s="8">
        <f>IF($K249="","",INDEX(מלאי!$G$2:$G$500,$K249))</f>
        <v/>
      </c>
      <c r="E249" s="8">
        <f>IF($K249="","",INDEX(מלאי!$M$2:$M$500,$K249))</f>
        <v/>
      </c>
      <c r="F249" s="8">
        <f>IF($K249="","",INDEX(מלאי!$N$2:$N$500,$K249))</f>
        <v/>
      </c>
      <c r="G249" s="8">
        <f>IF($K249="","",INDEX(מלאי!$O$2:$O$500,$K249))</f>
        <v/>
      </c>
      <c r="H249" s="8">
        <f>IF($K249="","",INDEX(מלאי!$U$2:$U$500,$K249))</f>
        <v/>
      </c>
      <c r="I249" s="8">
        <f>IF($K249="","",INDEX(מלאי!$X$2:$X$500,$K249))</f>
        <v/>
      </c>
      <c r="J249" s="8">
        <f>IF($K249="","",INDEX(מלאי!$AC$2:$AC$500,$K249))</f>
        <v/>
      </c>
      <c r="K24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טכנולוגיים'!$A$2:$A$500,0))&lt;=$G$6),0))),ROW(מלאי!$A$2:$A$500)-ROW(מלאי!$A$2)+1,""),227),"")</f>
        <v/>
      </c>
      <c r="L249" s="8">
        <f>IF($K249="","",IFERROR(INDEX('ערכים טכנולוגיים'!$M$2:$M$500,MATCH(A249,'ערכים טכנולוגיים'!$A$2:$A$500,0)),""))</f>
        <v/>
      </c>
      <c r="M249" s="8">
        <f>IF($K249="","",IFERROR(INDEX('ערכים טכנולוגיים'!$F$2:$F$500,MATCH(A249,'ערכים טכנולוגיים'!$A$2:$A$500,0)),""))</f>
        <v/>
      </c>
      <c r="N249" s="8">
        <f>IF($K249="","",IFERROR(INDEX('ערכים טכנולוגיים'!$J$2:$J$500,MATCH(A249,'ערכים טכנולוגיים'!$A$2:$A$500,0)),""))</f>
        <v/>
      </c>
      <c r="O249" s="8">
        <f>IF($K249="","",IFERROR(INDEX('ערכים טכנולוגיים'!$G$2:$G$500,MATCH(A249,'ערכים טכנולוגיים'!$A$2:$A$500,0)),""))</f>
        <v/>
      </c>
      <c r="P249" s="8">
        <f>IF($K249="","",IFERROR(INDEX('ערכים טכנולוגיים'!$K$2:$K$500,MATCH(A249,'ערכים טכנולוגיים'!$A$2:$A$500,0)),""))</f>
        <v/>
      </c>
      <c r="Q249" s="8">
        <f>IF($K249="","",IFERROR(INDEX('ערכים טכנולוגיים'!$P$2:$P$500,MATCH(A249,'ערכים טכנולוגיים'!$A$2:$A$500,0)),""))</f>
        <v/>
      </c>
    </row>
    <row r="250">
      <c r="A250" s="9">
        <f>IF($K250="","",INDEX(מלאי!$D$2:$D$500,$K250))</f>
        <v/>
      </c>
      <c r="B250" s="9">
        <f>IF($K250="","",INDEX(מלאי!$B$2:$B$500,$K250))</f>
        <v/>
      </c>
      <c r="C250" s="9">
        <f>IF($K250="","",INDEX(מלאי!$C$2:$C$500,$K250))</f>
        <v/>
      </c>
      <c r="D250" s="9">
        <f>IF($K250="","",INDEX(מלאי!$G$2:$G$500,$K250))</f>
        <v/>
      </c>
      <c r="E250" s="9">
        <f>IF($K250="","",INDEX(מלאי!$M$2:$M$500,$K250))</f>
        <v/>
      </c>
      <c r="F250" s="9">
        <f>IF($K250="","",INDEX(מלאי!$N$2:$N$500,$K250))</f>
        <v/>
      </c>
      <c r="G250" s="9">
        <f>IF($K250="","",INDEX(מלאי!$O$2:$O$500,$K250))</f>
        <v/>
      </c>
      <c r="H250" s="9">
        <f>IF($K250="","",INDEX(מלאי!$U$2:$U$500,$K250))</f>
        <v/>
      </c>
      <c r="I250" s="9">
        <f>IF($K250="","",INDEX(מלאי!$X$2:$X$500,$K250))</f>
        <v/>
      </c>
      <c r="J250" s="9">
        <f>IF($K250="","",INDEX(מלאי!$AC$2:$AC$500,$K250))</f>
        <v/>
      </c>
      <c r="K25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טכנולוגיים'!$A$2:$A$500,0))&lt;=$G$6),0))),ROW(מלאי!$A$2:$A$500)-ROW(מלאי!$A$2)+1,""),228),"")</f>
        <v/>
      </c>
      <c r="L250" s="9">
        <f>IF($K250="","",IFERROR(INDEX('ערכים טכנולוגיים'!$M$2:$M$500,MATCH(A250,'ערכים טכנולוגיים'!$A$2:$A$500,0)),""))</f>
        <v/>
      </c>
      <c r="M250" s="9">
        <f>IF($K250="","",IFERROR(INDEX('ערכים טכנולוגיים'!$F$2:$F$500,MATCH(A250,'ערכים טכנולוגיים'!$A$2:$A$500,0)),""))</f>
        <v/>
      </c>
      <c r="N250" s="9">
        <f>IF($K250="","",IFERROR(INDEX('ערכים טכנולוגיים'!$J$2:$J$500,MATCH(A250,'ערכים טכנולוגיים'!$A$2:$A$500,0)),""))</f>
        <v/>
      </c>
      <c r="O250" s="9">
        <f>IF($K250="","",IFERROR(INDEX('ערכים טכנולוגיים'!$G$2:$G$500,MATCH(A250,'ערכים טכנולוגיים'!$A$2:$A$500,0)),""))</f>
        <v/>
      </c>
      <c r="P250" s="9">
        <f>IF($K250="","",IFERROR(INDEX('ערכים טכנולוגיים'!$K$2:$K$500,MATCH(A250,'ערכים טכנולוגיים'!$A$2:$A$500,0)),""))</f>
        <v/>
      </c>
      <c r="Q250" s="9">
        <f>IF($K250="","",IFERROR(INDEX('ערכים טכנולוגיים'!$P$2:$P$500,MATCH(A250,'ערכים טכנולוגיים'!$A$2:$A$500,0)),""))</f>
        <v/>
      </c>
    </row>
    <row r="251">
      <c r="A251" s="8">
        <f>IF($K251="","",INDEX(מלאי!$D$2:$D$500,$K251))</f>
        <v/>
      </c>
      <c r="B251" s="8">
        <f>IF($K251="","",INDEX(מלאי!$B$2:$B$500,$K251))</f>
        <v/>
      </c>
      <c r="C251" s="8">
        <f>IF($K251="","",INDEX(מלאי!$C$2:$C$500,$K251))</f>
        <v/>
      </c>
      <c r="D251" s="8">
        <f>IF($K251="","",INDEX(מלאי!$G$2:$G$500,$K251))</f>
        <v/>
      </c>
      <c r="E251" s="8">
        <f>IF($K251="","",INDEX(מלאי!$M$2:$M$500,$K251))</f>
        <v/>
      </c>
      <c r="F251" s="8">
        <f>IF($K251="","",INDEX(מלאי!$N$2:$N$500,$K251))</f>
        <v/>
      </c>
      <c r="G251" s="8">
        <f>IF($K251="","",INDEX(מלאי!$O$2:$O$500,$K251))</f>
        <v/>
      </c>
      <c r="H251" s="8">
        <f>IF($K251="","",INDEX(מלאי!$U$2:$U$500,$K251))</f>
        <v/>
      </c>
      <c r="I251" s="8">
        <f>IF($K251="","",INDEX(מלאי!$X$2:$X$500,$K251))</f>
        <v/>
      </c>
      <c r="J251" s="8">
        <f>IF($K251="","",INDEX(מלאי!$AC$2:$AC$500,$K251))</f>
        <v/>
      </c>
      <c r="K25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טכנולוגיים'!$A$2:$A$500,0))&lt;=$G$6),0))),ROW(מלאי!$A$2:$A$500)-ROW(מלאי!$A$2)+1,""),229),"")</f>
        <v/>
      </c>
      <c r="L251" s="8">
        <f>IF($K251="","",IFERROR(INDEX('ערכים טכנולוגיים'!$M$2:$M$500,MATCH(A251,'ערכים טכנולוגיים'!$A$2:$A$500,0)),""))</f>
        <v/>
      </c>
      <c r="M251" s="8">
        <f>IF($K251="","",IFERROR(INDEX('ערכים טכנולוגיים'!$F$2:$F$500,MATCH(A251,'ערכים טכנולוגיים'!$A$2:$A$500,0)),""))</f>
        <v/>
      </c>
      <c r="N251" s="8">
        <f>IF($K251="","",IFERROR(INDEX('ערכים טכנולוגיים'!$J$2:$J$500,MATCH(A251,'ערכים טכנולוגיים'!$A$2:$A$500,0)),""))</f>
        <v/>
      </c>
      <c r="O251" s="8">
        <f>IF($K251="","",IFERROR(INDEX('ערכים טכנולוגיים'!$G$2:$G$500,MATCH(A251,'ערכים טכנולוגיים'!$A$2:$A$500,0)),""))</f>
        <v/>
      </c>
      <c r="P251" s="8">
        <f>IF($K251="","",IFERROR(INDEX('ערכים טכנולוגיים'!$K$2:$K$500,MATCH(A251,'ערכים טכנולוגיים'!$A$2:$A$500,0)),""))</f>
        <v/>
      </c>
      <c r="Q251" s="8">
        <f>IF($K251="","",IFERROR(INDEX('ערכים טכנולוגיים'!$P$2:$P$500,MATCH(A251,'ערכים טכנולוגיים'!$A$2:$A$500,0)),""))</f>
        <v/>
      </c>
    </row>
    <row r="252">
      <c r="A252" s="9">
        <f>IF($K252="","",INDEX(מלאי!$D$2:$D$500,$K252))</f>
        <v/>
      </c>
      <c r="B252" s="9">
        <f>IF($K252="","",INDEX(מלאי!$B$2:$B$500,$K252))</f>
        <v/>
      </c>
      <c r="C252" s="9">
        <f>IF($K252="","",INDEX(מלאי!$C$2:$C$500,$K252))</f>
        <v/>
      </c>
      <c r="D252" s="9">
        <f>IF($K252="","",INDEX(מלאי!$G$2:$G$500,$K252))</f>
        <v/>
      </c>
      <c r="E252" s="9">
        <f>IF($K252="","",INDEX(מלאי!$M$2:$M$500,$K252))</f>
        <v/>
      </c>
      <c r="F252" s="9">
        <f>IF($K252="","",INDEX(מלאי!$N$2:$N$500,$K252))</f>
        <v/>
      </c>
      <c r="G252" s="9">
        <f>IF($K252="","",INDEX(מלאי!$O$2:$O$500,$K252))</f>
        <v/>
      </c>
      <c r="H252" s="9">
        <f>IF($K252="","",INDEX(מלאי!$U$2:$U$500,$K252))</f>
        <v/>
      </c>
      <c r="I252" s="9">
        <f>IF($K252="","",INDEX(מלאי!$X$2:$X$500,$K252))</f>
        <v/>
      </c>
      <c r="J252" s="9">
        <f>IF($K252="","",INDEX(מלאי!$AC$2:$AC$500,$K252))</f>
        <v/>
      </c>
      <c r="K25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טכנולוגיים'!$A$2:$A$500,0))&lt;=$G$6),0))),ROW(מלאי!$A$2:$A$500)-ROW(מלאי!$A$2)+1,""),230),"")</f>
        <v/>
      </c>
      <c r="L252" s="9">
        <f>IF($K252="","",IFERROR(INDEX('ערכים טכנולוגיים'!$M$2:$M$500,MATCH(A252,'ערכים טכנולוגיים'!$A$2:$A$500,0)),""))</f>
        <v/>
      </c>
      <c r="M252" s="9">
        <f>IF($K252="","",IFERROR(INDEX('ערכים טכנולוגיים'!$F$2:$F$500,MATCH(A252,'ערכים טכנולוגיים'!$A$2:$A$500,0)),""))</f>
        <v/>
      </c>
      <c r="N252" s="9">
        <f>IF($K252="","",IFERROR(INDEX('ערכים טכנולוגיים'!$J$2:$J$500,MATCH(A252,'ערכים טכנולוגיים'!$A$2:$A$500,0)),""))</f>
        <v/>
      </c>
      <c r="O252" s="9">
        <f>IF($K252="","",IFERROR(INDEX('ערכים טכנולוגיים'!$G$2:$G$500,MATCH(A252,'ערכים טכנולוגיים'!$A$2:$A$500,0)),""))</f>
        <v/>
      </c>
      <c r="P252" s="9">
        <f>IF($K252="","",IFERROR(INDEX('ערכים טכנולוגיים'!$K$2:$K$500,MATCH(A252,'ערכים טכנולוגיים'!$A$2:$A$500,0)),""))</f>
        <v/>
      </c>
      <c r="Q252" s="9">
        <f>IF($K252="","",IFERROR(INDEX('ערכים טכנולוגיים'!$P$2:$P$500,MATCH(A252,'ערכים טכנולוגיים'!$A$2:$A$500,0)),""))</f>
        <v/>
      </c>
    </row>
    <row r="253">
      <c r="A253" s="8">
        <f>IF($K253="","",INDEX(מלאי!$D$2:$D$500,$K253))</f>
        <v/>
      </c>
      <c r="B253" s="8">
        <f>IF($K253="","",INDEX(מלאי!$B$2:$B$500,$K253))</f>
        <v/>
      </c>
      <c r="C253" s="8">
        <f>IF($K253="","",INDEX(מלאי!$C$2:$C$500,$K253))</f>
        <v/>
      </c>
      <c r="D253" s="8">
        <f>IF($K253="","",INDEX(מלאי!$G$2:$G$500,$K253))</f>
        <v/>
      </c>
      <c r="E253" s="8">
        <f>IF($K253="","",INDEX(מלאי!$M$2:$M$500,$K253))</f>
        <v/>
      </c>
      <c r="F253" s="8">
        <f>IF($K253="","",INDEX(מלאי!$N$2:$N$500,$K253))</f>
        <v/>
      </c>
      <c r="G253" s="8">
        <f>IF($K253="","",INDEX(מלאי!$O$2:$O$500,$K253))</f>
        <v/>
      </c>
      <c r="H253" s="8">
        <f>IF($K253="","",INDEX(מלאי!$U$2:$U$500,$K253))</f>
        <v/>
      </c>
      <c r="I253" s="8">
        <f>IF($K253="","",INDEX(מלאי!$X$2:$X$500,$K253))</f>
        <v/>
      </c>
      <c r="J253" s="8">
        <f>IF($K253="","",INDEX(מלאי!$AC$2:$AC$500,$K253))</f>
        <v/>
      </c>
      <c r="K25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טכנולוגיים'!$A$2:$A$500,0))&lt;=$G$6),0))),ROW(מלאי!$A$2:$A$500)-ROW(מלאי!$A$2)+1,""),231),"")</f>
        <v/>
      </c>
      <c r="L253" s="8">
        <f>IF($K253="","",IFERROR(INDEX('ערכים טכנולוגיים'!$M$2:$M$500,MATCH(A253,'ערכים טכנולוגיים'!$A$2:$A$500,0)),""))</f>
        <v/>
      </c>
      <c r="M253" s="8">
        <f>IF($K253="","",IFERROR(INDEX('ערכים טכנולוגיים'!$F$2:$F$500,MATCH(A253,'ערכים טכנולוגיים'!$A$2:$A$500,0)),""))</f>
        <v/>
      </c>
      <c r="N253" s="8">
        <f>IF($K253="","",IFERROR(INDEX('ערכים טכנולוגיים'!$J$2:$J$500,MATCH(A253,'ערכים טכנולוגיים'!$A$2:$A$500,0)),""))</f>
        <v/>
      </c>
      <c r="O253" s="8">
        <f>IF($K253="","",IFERROR(INDEX('ערכים טכנולוגיים'!$G$2:$G$500,MATCH(A253,'ערכים טכנולוגיים'!$A$2:$A$500,0)),""))</f>
        <v/>
      </c>
      <c r="P253" s="8">
        <f>IF($K253="","",IFERROR(INDEX('ערכים טכנולוגיים'!$K$2:$K$500,MATCH(A253,'ערכים טכנולוגיים'!$A$2:$A$500,0)),""))</f>
        <v/>
      </c>
      <c r="Q253" s="8">
        <f>IF($K253="","",IFERROR(INDEX('ערכים טכנולוגיים'!$P$2:$P$500,MATCH(A253,'ערכים טכנולוגיים'!$A$2:$A$500,0)),""))</f>
        <v/>
      </c>
    </row>
    <row r="254">
      <c r="A254" s="9">
        <f>IF($K254="","",INDEX(מלאי!$D$2:$D$500,$K254))</f>
        <v/>
      </c>
      <c r="B254" s="9">
        <f>IF($K254="","",INDEX(מלאי!$B$2:$B$500,$K254))</f>
        <v/>
      </c>
      <c r="C254" s="9">
        <f>IF($K254="","",INDEX(מלאי!$C$2:$C$500,$K254))</f>
        <v/>
      </c>
      <c r="D254" s="9">
        <f>IF($K254="","",INDEX(מלאי!$G$2:$G$500,$K254))</f>
        <v/>
      </c>
      <c r="E254" s="9">
        <f>IF($K254="","",INDEX(מלאי!$M$2:$M$500,$K254))</f>
        <v/>
      </c>
      <c r="F254" s="9">
        <f>IF($K254="","",INDEX(מלאי!$N$2:$N$500,$K254))</f>
        <v/>
      </c>
      <c r="G254" s="9">
        <f>IF($K254="","",INDEX(מלאי!$O$2:$O$500,$K254))</f>
        <v/>
      </c>
      <c r="H254" s="9">
        <f>IF($K254="","",INDEX(מלאי!$U$2:$U$500,$K254))</f>
        <v/>
      </c>
      <c r="I254" s="9">
        <f>IF($K254="","",INDEX(מלאי!$X$2:$X$500,$K254))</f>
        <v/>
      </c>
      <c r="J254" s="9">
        <f>IF($K254="","",INDEX(מלאי!$AC$2:$AC$500,$K254))</f>
        <v/>
      </c>
      <c r="K25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טכנולוגיים'!$A$2:$A$500,0))&lt;=$G$6),0))),ROW(מלאי!$A$2:$A$500)-ROW(מלאי!$A$2)+1,""),232),"")</f>
        <v/>
      </c>
      <c r="L254" s="9">
        <f>IF($K254="","",IFERROR(INDEX('ערכים טכנולוגיים'!$M$2:$M$500,MATCH(A254,'ערכים טכנולוגיים'!$A$2:$A$500,0)),""))</f>
        <v/>
      </c>
      <c r="M254" s="9">
        <f>IF($K254="","",IFERROR(INDEX('ערכים טכנולוגיים'!$F$2:$F$500,MATCH(A254,'ערכים טכנולוגיים'!$A$2:$A$500,0)),""))</f>
        <v/>
      </c>
      <c r="N254" s="9">
        <f>IF($K254="","",IFERROR(INDEX('ערכים טכנולוגיים'!$J$2:$J$500,MATCH(A254,'ערכים טכנולוגיים'!$A$2:$A$500,0)),""))</f>
        <v/>
      </c>
      <c r="O254" s="9">
        <f>IF($K254="","",IFERROR(INDEX('ערכים טכנולוגיים'!$G$2:$G$500,MATCH(A254,'ערכים טכנולוגיים'!$A$2:$A$500,0)),""))</f>
        <v/>
      </c>
      <c r="P254" s="9">
        <f>IF($K254="","",IFERROR(INDEX('ערכים טכנולוגיים'!$K$2:$K$500,MATCH(A254,'ערכים טכנולוגיים'!$A$2:$A$500,0)),""))</f>
        <v/>
      </c>
      <c r="Q254" s="9">
        <f>IF($K254="","",IFERROR(INDEX('ערכים טכנולוגיים'!$P$2:$P$500,MATCH(A254,'ערכים טכנולוגיים'!$A$2:$A$500,0)),""))</f>
        <v/>
      </c>
    </row>
    <row r="255">
      <c r="A255" s="8">
        <f>IF($K255="","",INDEX(מלאי!$D$2:$D$500,$K255))</f>
        <v/>
      </c>
      <c r="B255" s="8">
        <f>IF($K255="","",INDEX(מלאי!$B$2:$B$500,$K255))</f>
        <v/>
      </c>
      <c r="C255" s="8">
        <f>IF($K255="","",INDEX(מלאי!$C$2:$C$500,$K255))</f>
        <v/>
      </c>
      <c r="D255" s="8">
        <f>IF($K255="","",INDEX(מלאי!$G$2:$G$500,$K255))</f>
        <v/>
      </c>
      <c r="E255" s="8">
        <f>IF($K255="","",INDEX(מלאי!$M$2:$M$500,$K255))</f>
        <v/>
      </c>
      <c r="F255" s="8">
        <f>IF($K255="","",INDEX(מלאי!$N$2:$N$500,$K255))</f>
        <v/>
      </c>
      <c r="G255" s="8">
        <f>IF($K255="","",INDEX(מלאי!$O$2:$O$500,$K255))</f>
        <v/>
      </c>
      <c r="H255" s="8">
        <f>IF($K255="","",INDEX(מלאי!$U$2:$U$500,$K255))</f>
        <v/>
      </c>
      <c r="I255" s="8">
        <f>IF($K255="","",INDEX(מלאי!$X$2:$X$500,$K255))</f>
        <v/>
      </c>
      <c r="J255" s="8">
        <f>IF($K255="","",INDEX(מלאי!$AC$2:$AC$500,$K255))</f>
        <v/>
      </c>
      <c r="K25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טכנולוגיים'!$A$2:$A$500,0))&lt;=$G$6),0))),ROW(מלאי!$A$2:$A$500)-ROW(מלאי!$A$2)+1,""),233),"")</f>
        <v/>
      </c>
      <c r="L255" s="8">
        <f>IF($K255="","",IFERROR(INDEX('ערכים טכנולוגיים'!$M$2:$M$500,MATCH(A255,'ערכים טכנולוגיים'!$A$2:$A$500,0)),""))</f>
        <v/>
      </c>
      <c r="M255" s="8">
        <f>IF($K255="","",IFERROR(INDEX('ערכים טכנולוגיים'!$F$2:$F$500,MATCH(A255,'ערכים טכנולוגיים'!$A$2:$A$500,0)),""))</f>
        <v/>
      </c>
      <c r="N255" s="8">
        <f>IF($K255="","",IFERROR(INDEX('ערכים טכנולוגיים'!$J$2:$J$500,MATCH(A255,'ערכים טכנולוגיים'!$A$2:$A$500,0)),""))</f>
        <v/>
      </c>
      <c r="O255" s="8">
        <f>IF($K255="","",IFERROR(INDEX('ערכים טכנולוגיים'!$G$2:$G$500,MATCH(A255,'ערכים טכנולוגיים'!$A$2:$A$500,0)),""))</f>
        <v/>
      </c>
      <c r="P255" s="8">
        <f>IF($K255="","",IFERROR(INDEX('ערכים טכנולוגיים'!$K$2:$K$500,MATCH(A255,'ערכים טכנולוגיים'!$A$2:$A$500,0)),""))</f>
        <v/>
      </c>
      <c r="Q255" s="8">
        <f>IF($K255="","",IFERROR(INDEX('ערכים טכנולוגיים'!$P$2:$P$500,MATCH(A255,'ערכים טכנולוגיים'!$A$2:$A$500,0)),""))</f>
        <v/>
      </c>
    </row>
    <row r="256">
      <c r="A256" s="9">
        <f>IF($K256="","",INDEX(מלאי!$D$2:$D$500,$K256))</f>
        <v/>
      </c>
      <c r="B256" s="9">
        <f>IF($K256="","",INDEX(מלאי!$B$2:$B$500,$K256))</f>
        <v/>
      </c>
      <c r="C256" s="9">
        <f>IF($K256="","",INDEX(מלאי!$C$2:$C$500,$K256))</f>
        <v/>
      </c>
      <c r="D256" s="9">
        <f>IF($K256="","",INDEX(מלאי!$G$2:$G$500,$K256))</f>
        <v/>
      </c>
      <c r="E256" s="9">
        <f>IF($K256="","",INDEX(מלאי!$M$2:$M$500,$K256))</f>
        <v/>
      </c>
      <c r="F256" s="9">
        <f>IF($K256="","",INDEX(מלאי!$N$2:$N$500,$K256))</f>
        <v/>
      </c>
      <c r="G256" s="9">
        <f>IF($K256="","",INDEX(מלאי!$O$2:$O$500,$K256))</f>
        <v/>
      </c>
      <c r="H256" s="9">
        <f>IF($K256="","",INDEX(מלאי!$U$2:$U$500,$K256))</f>
        <v/>
      </c>
      <c r="I256" s="9">
        <f>IF($K256="","",INDEX(מלאי!$X$2:$X$500,$K256))</f>
        <v/>
      </c>
      <c r="J256" s="9">
        <f>IF($K256="","",INDEX(מלאי!$AC$2:$AC$500,$K256))</f>
        <v/>
      </c>
      <c r="K25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טכנולוגיים'!$A$2:$A$500,0))&lt;=$G$6),0))),ROW(מלאי!$A$2:$A$500)-ROW(מלאי!$A$2)+1,""),234),"")</f>
        <v/>
      </c>
      <c r="L256" s="9">
        <f>IF($K256="","",IFERROR(INDEX('ערכים טכנולוגיים'!$M$2:$M$500,MATCH(A256,'ערכים טכנולוגיים'!$A$2:$A$500,0)),""))</f>
        <v/>
      </c>
      <c r="M256" s="9">
        <f>IF($K256="","",IFERROR(INDEX('ערכים טכנולוגיים'!$F$2:$F$500,MATCH(A256,'ערכים טכנולוגיים'!$A$2:$A$500,0)),""))</f>
        <v/>
      </c>
      <c r="N256" s="9">
        <f>IF($K256="","",IFERROR(INDEX('ערכים טכנולוגיים'!$J$2:$J$500,MATCH(A256,'ערכים טכנולוגיים'!$A$2:$A$500,0)),""))</f>
        <v/>
      </c>
      <c r="O256" s="9">
        <f>IF($K256="","",IFERROR(INDEX('ערכים טכנולוגיים'!$G$2:$G$500,MATCH(A256,'ערכים טכנולוגיים'!$A$2:$A$500,0)),""))</f>
        <v/>
      </c>
      <c r="P256" s="9">
        <f>IF($K256="","",IFERROR(INDEX('ערכים טכנולוגיים'!$K$2:$K$500,MATCH(A256,'ערכים טכנולוגיים'!$A$2:$A$500,0)),""))</f>
        <v/>
      </c>
      <c r="Q256" s="9">
        <f>IF($K256="","",IFERROR(INDEX('ערכים טכנולוגיים'!$P$2:$P$500,MATCH(A256,'ערכים טכנולוגיים'!$A$2:$A$500,0)),""))</f>
        <v/>
      </c>
    </row>
    <row r="257">
      <c r="A257" s="8">
        <f>IF($K257="","",INDEX(מלאי!$D$2:$D$500,$K257))</f>
        <v/>
      </c>
      <c r="B257" s="8">
        <f>IF($K257="","",INDEX(מלאי!$B$2:$B$500,$K257))</f>
        <v/>
      </c>
      <c r="C257" s="8">
        <f>IF($K257="","",INDEX(מלאי!$C$2:$C$500,$K257))</f>
        <v/>
      </c>
      <c r="D257" s="8">
        <f>IF($K257="","",INDEX(מלאי!$G$2:$G$500,$K257))</f>
        <v/>
      </c>
      <c r="E257" s="8">
        <f>IF($K257="","",INDEX(מלאי!$M$2:$M$500,$K257))</f>
        <v/>
      </c>
      <c r="F257" s="8">
        <f>IF($K257="","",INDEX(מלאי!$N$2:$N$500,$K257))</f>
        <v/>
      </c>
      <c r="G257" s="8">
        <f>IF($K257="","",INDEX(מלאי!$O$2:$O$500,$K257))</f>
        <v/>
      </c>
      <c r="H257" s="8">
        <f>IF($K257="","",INDEX(מלאי!$U$2:$U$500,$K257))</f>
        <v/>
      </c>
      <c r="I257" s="8">
        <f>IF($K257="","",INDEX(מלאי!$X$2:$X$500,$K257))</f>
        <v/>
      </c>
      <c r="J257" s="8">
        <f>IF($K257="","",INDEX(מלאי!$AC$2:$AC$500,$K257))</f>
        <v/>
      </c>
      <c r="K25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טכנולוגיים'!$A$2:$A$500,0))&lt;=$G$6),0))),ROW(מלאי!$A$2:$A$500)-ROW(מלאי!$A$2)+1,""),235),"")</f>
        <v/>
      </c>
      <c r="L257" s="8">
        <f>IF($K257="","",IFERROR(INDEX('ערכים טכנולוגיים'!$M$2:$M$500,MATCH(A257,'ערכים טכנולוגיים'!$A$2:$A$500,0)),""))</f>
        <v/>
      </c>
      <c r="M257" s="8">
        <f>IF($K257="","",IFERROR(INDEX('ערכים טכנולוגיים'!$F$2:$F$500,MATCH(A257,'ערכים טכנולוגיים'!$A$2:$A$500,0)),""))</f>
        <v/>
      </c>
      <c r="N257" s="8">
        <f>IF($K257="","",IFERROR(INDEX('ערכים טכנולוגיים'!$J$2:$J$500,MATCH(A257,'ערכים טכנולוגיים'!$A$2:$A$500,0)),""))</f>
        <v/>
      </c>
      <c r="O257" s="8">
        <f>IF($K257="","",IFERROR(INDEX('ערכים טכנולוגיים'!$G$2:$G$500,MATCH(A257,'ערכים טכנולוגיים'!$A$2:$A$500,0)),""))</f>
        <v/>
      </c>
      <c r="P257" s="8">
        <f>IF($K257="","",IFERROR(INDEX('ערכים טכנולוגיים'!$K$2:$K$500,MATCH(A257,'ערכים טכנולוגיים'!$A$2:$A$500,0)),""))</f>
        <v/>
      </c>
      <c r="Q257" s="8">
        <f>IF($K257="","",IFERROR(INDEX('ערכים טכנולוגיים'!$P$2:$P$500,MATCH(A257,'ערכים טכנולוגיים'!$A$2:$A$500,0)),""))</f>
        <v/>
      </c>
    </row>
    <row r="258">
      <c r="A258" s="9">
        <f>IF($K258="","",INDEX(מלאי!$D$2:$D$500,$K258))</f>
        <v/>
      </c>
      <c r="B258" s="9">
        <f>IF($K258="","",INDEX(מלאי!$B$2:$B$500,$K258))</f>
        <v/>
      </c>
      <c r="C258" s="9">
        <f>IF($K258="","",INDEX(מלאי!$C$2:$C$500,$K258))</f>
        <v/>
      </c>
      <c r="D258" s="9">
        <f>IF($K258="","",INDEX(מלאי!$G$2:$G$500,$K258))</f>
        <v/>
      </c>
      <c r="E258" s="9">
        <f>IF($K258="","",INDEX(מלאי!$M$2:$M$500,$K258))</f>
        <v/>
      </c>
      <c r="F258" s="9">
        <f>IF($K258="","",INDEX(מלאי!$N$2:$N$500,$K258))</f>
        <v/>
      </c>
      <c r="G258" s="9">
        <f>IF($K258="","",INDEX(מלאי!$O$2:$O$500,$K258))</f>
        <v/>
      </c>
      <c r="H258" s="9">
        <f>IF($K258="","",INDEX(מלאי!$U$2:$U$500,$K258))</f>
        <v/>
      </c>
      <c r="I258" s="9">
        <f>IF($K258="","",INDEX(מלאי!$X$2:$X$500,$K258))</f>
        <v/>
      </c>
      <c r="J258" s="9">
        <f>IF($K258="","",INDEX(מלאי!$AC$2:$AC$500,$K258))</f>
        <v/>
      </c>
      <c r="K25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טכנולוגיים'!$A$2:$A$500,0))&lt;=$G$6),0))),ROW(מלאי!$A$2:$A$500)-ROW(מלאי!$A$2)+1,""),236),"")</f>
        <v/>
      </c>
      <c r="L258" s="9">
        <f>IF($K258="","",IFERROR(INDEX('ערכים טכנולוגיים'!$M$2:$M$500,MATCH(A258,'ערכים טכנולוגיים'!$A$2:$A$500,0)),""))</f>
        <v/>
      </c>
      <c r="M258" s="9">
        <f>IF($K258="","",IFERROR(INDEX('ערכים טכנולוגיים'!$F$2:$F$500,MATCH(A258,'ערכים טכנולוגיים'!$A$2:$A$500,0)),""))</f>
        <v/>
      </c>
      <c r="N258" s="9">
        <f>IF($K258="","",IFERROR(INDEX('ערכים טכנולוגיים'!$J$2:$J$500,MATCH(A258,'ערכים טכנולוגיים'!$A$2:$A$500,0)),""))</f>
        <v/>
      </c>
      <c r="O258" s="9">
        <f>IF($K258="","",IFERROR(INDEX('ערכים טכנולוגיים'!$G$2:$G$500,MATCH(A258,'ערכים טכנולוגיים'!$A$2:$A$500,0)),""))</f>
        <v/>
      </c>
      <c r="P258" s="9">
        <f>IF($K258="","",IFERROR(INDEX('ערכים טכנולוגיים'!$K$2:$K$500,MATCH(A258,'ערכים טכנולוגיים'!$A$2:$A$500,0)),""))</f>
        <v/>
      </c>
      <c r="Q258" s="9">
        <f>IF($K258="","",IFERROR(INDEX('ערכים טכנולוגיים'!$P$2:$P$500,MATCH(A258,'ערכים טכנולוגיים'!$A$2:$A$500,0)),""))</f>
        <v/>
      </c>
    </row>
    <row r="259">
      <c r="A259" s="8">
        <f>IF($K259="","",INDEX(מלאי!$D$2:$D$500,$K259))</f>
        <v/>
      </c>
      <c r="B259" s="8">
        <f>IF($K259="","",INDEX(מלאי!$B$2:$B$500,$K259))</f>
        <v/>
      </c>
      <c r="C259" s="8">
        <f>IF($K259="","",INDEX(מלאי!$C$2:$C$500,$K259))</f>
        <v/>
      </c>
      <c r="D259" s="8">
        <f>IF($K259="","",INDEX(מלאי!$G$2:$G$500,$K259))</f>
        <v/>
      </c>
      <c r="E259" s="8">
        <f>IF($K259="","",INDEX(מלאי!$M$2:$M$500,$K259))</f>
        <v/>
      </c>
      <c r="F259" s="8">
        <f>IF($K259="","",INDEX(מלאי!$N$2:$N$500,$K259))</f>
        <v/>
      </c>
      <c r="G259" s="8">
        <f>IF($K259="","",INDEX(מלאי!$O$2:$O$500,$K259))</f>
        <v/>
      </c>
      <c r="H259" s="8">
        <f>IF($K259="","",INDEX(מלאי!$U$2:$U$500,$K259))</f>
        <v/>
      </c>
      <c r="I259" s="8">
        <f>IF($K259="","",INDEX(מלאי!$X$2:$X$500,$K259))</f>
        <v/>
      </c>
      <c r="J259" s="8">
        <f>IF($K259="","",INDEX(מלאי!$AC$2:$AC$500,$K259))</f>
        <v/>
      </c>
      <c r="K25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טכנולוגיים'!$A$2:$A$500,0))&lt;=$G$6),0))),ROW(מלאי!$A$2:$A$500)-ROW(מלאי!$A$2)+1,""),237),"")</f>
        <v/>
      </c>
      <c r="L259" s="8">
        <f>IF($K259="","",IFERROR(INDEX('ערכים טכנולוגיים'!$M$2:$M$500,MATCH(A259,'ערכים טכנולוגיים'!$A$2:$A$500,0)),""))</f>
        <v/>
      </c>
      <c r="M259" s="8">
        <f>IF($K259="","",IFERROR(INDEX('ערכים טכנולוגיים'!$F$2:$F$500,MATCH(A259,'ערכים טכנולוגיים'!$A$2:$A$500,0)),""))</f>
        <v/>
      </c>
      <c r="N259" s="8">
        <f>IF($K259="","",IFERROR(INDEX('ערכים טכנולוגיים'!$J$2:$J$500,MATCH(A259,'ערכים טכנולוגיים'!$A$2:$A$500,0)),""))</f>
        <v/>
      </c>
      <c r="O259" s="8">
        <f>IF($K259="","",IFERROR(INDEX('ערכים טכנולוגיים'!$G$2:$G$500,MATCH(A259,'ערכים טכנולוגיים'!$A$2:$A$500,0)),""))</f>
        <v/>
      </c>
      <c r="P259" s="8">
        <f>IF($K259="","",IFERROR(INDEX('ערכים טכנולוגיים'!$K$2:$K$500,MATCH(A259,'ערכים טכנולוגיים'!$A$2:$A$500,0)),""))</f>
        <v/>
      </c>
      <c r="Q259" s="8">
        <f>IF($K259="","",IFERROR(INDEX('ערכים טכנולוגיים'!$P$2:$P$500,MATCH(A259,'ערכים טכנולוגיים'!$A$2:$A$500,0)),""))</f>
        <v/>
      </c>
    </row>
    <row r="260">
      <c r="A260" s="9">
        <f>IF($K260="","",INDEX(מלאי!$D$2:$D$500,$K260))</f>
        <v/>
      </c>
      <c r="B260" s="9">
        <f>IF($K260="","",INDEX(מלאי!$B$2:$B$500,$K260))</f>
        <v/>
      </c>
      <c r="C260" s="9">
        <f>IF($K260="","",INDEX(מלאי!$C$2:$C$500,$K260))</f>
        <v/>
      </c>
      <c r="D260" s="9">
        <f>IF($K260="","",INDEX(מלאי!$G$2:$G$500,$K260))</f>
        <v/>
      </c>
      <c r="E260" s="9">
        <f>IF($K260="","",INDEX(מלאי!$M$2:$M$500,$K260))</f>
        <v/>
      </c>
      <c r="F260" s="9">
        <f>IF($K260="","",INDEX(מלאי!$N$2:$N$500,$K260))</f>
        <v/>
      </c>
      <c r="G260" s="9">
        <f>IF($K260="","",INDEX(מלאי!$O$2:$O$500,$K260))</f>
        <v/>
      </c>
      <c r="H260" s="9">
        <f>IF($K260="","",INDEX(מלאי!$U$2:$U$500,$K260))</f>
        <v/>
      </c>
      <c r="I260" s="9">
        <f>IF($K260="","",INDEX(מלאי!$X$2:$X$500,$K260))</f>
        <v/>
      </c>
      <c r="J260" s="9">
        <f>IF($K260="","",INDEX(מלאי!$AC$2:$AC$500,$K260))</f>
        <v/>
      </c>
      <c r="K26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טכנולוגיים'!$A$2:$A$500,0))&lt;=$G$6),0))),ROW(מלאי!$A$2:$A$500)-ROW(מלאי!$A$2)+1,""),238),"")</f>
        <v/>
      </c>
      <c r="L260" s="9">
        <f>IF($K260="","",IFERROR(INDEX('ערכים טכנולוגיים'!$M$2:$M$500,MATCH(A260,'ערכים טכנולוגיים'!$A$2:$A$500,0)),""))</f>
        <v/>
      </c>
      <c r="M260" s="9">
        <f>IF($K260="","",IFERROR(INDEX('ערכים טכנולוגיים'!$F$2:$F$500,MATCH(A260,'ערכים טכנולוגיים'!$A$2:$A$500,0)),""))</f>
        <v/>
      </c>
      <c r="N260" s="9">
        <f>IF($K260="","",IFERROR(INDEX('ערכים טכנולוגיים'!$J$2:$J$500,MATCH(A260,'ערכים טכנולוגיים'!$A$2:$A$500,0)),""))</f>
        <v/>
      </c>
      <c r="O260" s="9">
        <f>IF($K260="","",IFERROR(INDEX('ערכים טכנולוגיים'!$G$2:$G$500,MATCH(A260,'ערכים טכנולוגיים'!$A$2:$A$500,0)),""))</f>
        <v/>
      </c>
      <c r="P260" s="9">
        <f>IF($K260="","",IFERROR(INDEX('ערכים טכנולוגיים'!$K$2:$K$500,MATCH(A260,'ערכים טכנולוגיים'!$A$2:$A$500,0)),""))</f>
        <v/>
      </c>
      <c r="Q260" s="9">
        <f>IF($K260="","",IFERROR(INDEX('ערכים טכנולוגיים'!$P$2:$P$500,MATCH(A260,'ערכים טכנולוגיים'!$A$2:$A$500,0)),""))</f>
        <v/>
      </c>
    </row>
    <row r="261">
      <c r="A261" s="8">
        <f>IF($K261="","",INDEX(מלאי!$D$2:$D$500,$K261))</f>
        <v/>
      </c>
      <c r="B261" s="8">
        <f>IF($K261="","",INDEX(מלאי!$B$2:$B$500,$K261))</f>
        <v/>
      </c>
      <c r="C261" s="8">
        <f>IF($K261="","",INDEX(מלאי!$C$2:$C$500,$K261))</f>
        <v/>
      </c>
      <c r="D261" s="8">
        <f>IF($K261="","",INDEX(מלאי!$G$2:$G$500,$K261))</f>
        <v/>
      </c>
      <c r="E261" s="8">
        <f>IF($K261="","",INDEX(מלאי!$M$2:$M$500,$K261))</f>
        <v/>
      </c>
      <c r="F261" s="8">
        <f>IF($K261="","",INDEX(מלאי!$N$2:$N$500,$K261))</f>
        <v/>
      </c>
      <c r="G261" s="8">
        <f>IF($K261="","",INDEX(מלאי!$O$2:$O$500,$K261))</f>
        <v/>
      </c>
      <c r="H261" s="8">
        <f>IF($K261="","",INDEX(מלאי!$U$2:$U$500,$K261))</f>
        <v/>
      </c>
      <c r="I261" s="8">
        <f>IF($K261="","",INDEX(מלאי!$X$2:$X$500,$K261))</f>
        <v/>
      </c>
      <c r="J261" s="8">
        <f>IF($K261="","",INDEX(מלאי!$AC$2:$AC$500,$K261))</f>
        <v/>
      </c>
      <c r="K26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טכנולוגיים'!$A$2:$A$500,0))&lt;=$G$6),0))),ROW(מלאי!$A$2:$A$500)-ROW(מלאי!$A$2)+1,""),239),"")</f>
        <v/>
      </c>
      <c r="L261" s="8">
        <f>IF($K261="","",IFERROR(INDEX('ערכים טכנולוגיים'!$M$2:$M$500,MATCH(A261,'ערכים טכנולוגיים'!$A$2:$A$500,0)),""))</f>
        <v/>
      </c>
      <c r="M261" s="8">
        <f>IF($K261="","",IFERROR(INDEX('ערכים טכנולוגיים'!$F$2:$F$500,MATCH(A261,'ערכים טכנולוגיים'!$A$2:$A$500,0)),""))</f>
        <v/>
      </c>
      <c r="N261" s="8">
        <f>IF($K261="","",IFERROR(INDEX('ערכים טכנולוגיים'!$J$2:$J$500,MATCH(A261,'ערכים טכנולוגיים'!$A$2:$A$500,0)),""))</f>
        <v/>
      </c>
      <c r="O261" s="8">
        <f>IF($K261="","",IFERROR(INDEX('ערכים טכנולוגיים'!$G$2:$G$500,MATCH(A261,'ערכים טכנולוגיים'!$A$2:$A$500,0)),""))</f>
        <v/>
      </c>
      <c r="P261" s="8">
        <f>IF($K261="","",IFERROR(INDEX('ערכים טכנולוגיים'!$K$2:$K$500,MATCH(A261,'ערכים טכנולוגיים'!$A$2:$A$500,0)),""))</f>
        <v/>
      </c>
      <c r="Q261" s="8">
        <f>IF($K261="","",IFERROR(INDEX('ערכים טכנולוגיים'!$P$2:$P$500,MATCH(A261,'ערכים טכנולוגיים'!$A$2:$A$500,0)),""))</f>
        <v/>
      </c>
    </row>
    <row r="262">
      <c r="A262" s="9">
        <f>IF($K262="","",INDEX(מלאי!$D$2:$D$500,$K262))</f>
        <v/>
      </c>
      <c r="B262" s="9">
        <f>IF($K262="","",INDEX(מלאי!$B$2:$B$500,$K262))</f>
        <v/>
      </c>
      <c r="C262" s="9">
        <f>IF($K262="","",INDEX(מלאי!$C$2:$C$500,$K262))</f>
        <v/>
      </c>
      <c r="D262" s="9">
        <f>IF($K262="","",INDEX(מלאי!$G$2:$G$500,$K262))</f>
        <v/>
      </c>
      <c r="E262" s="9">
        <f>IF($K262="","",INDEX(מלאי!$M$2:$M$500,$K262))</f>
        <v/>
      </c>
      <c r="F262" s="9">
        <f>IF($K262="","",INDEX(מלאי!$N$2:$N$500,$K262))</f>
        <v/>
      </c>
      <c r="G262" s="9">
        <f>IF($K262="","",INDEX(מלאי!$O$2:$O$500,$K262))</f>
        <v/>
      </c>
      <c r="H262" s="9">
        <f>IF($K262="","",INDEX(מלאי!$U$2:$U$500,$K262))</f>
        <v/>
      </c>
      <c r="I262" s="9">
        <f>IF($K262="","",INDEX(מלאי!$X$2:$X$500,$K262))</f>
        <v/>
      </c>
      <c r="J262" s="9">
        <f>IF($K262="","",INDEX(מלאי!$AC$2:$AC$500,$K262))</f>
        <v/>
      </c>
      <c r="K26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טכנולוגיים'!$A$2:$A$500,0))&lt;=$G$6),0))),ROW(מלאי!$A$2:$A$500)-ROW(מלאי!$A$2)+1,""),240),"")</f>
        <v/>
      </c>
      <c r="L262" s="9">
        <f>IF($K262="","",IFERROR(INDEX('ערכים טכנולוגיים'!$M$2:$M$500,MATCH(A262,'ערכים טכנולוגיים'!$A$2:$A$500,0)),""))</f>
        <v/>
      </c>
      <c r="M262" s="9">
        <f>IF($K262="","",IFERROR(INDEX('ערכים טכנולוגיים'!$F$2:$F$500,MATCH(A262,'ערכים טכנולוגיים'!$A$2:$A$500,0)),""))</f>
        <v/>
      </c>
      <c r="N262" s="9">
        <f>IF($K262="","",IFERROR(INDEX('ערכים טכנולוגיים'!$J$2:$J$500,MATCH(A262,'ערכים טכנולוגיים'!$A$2:$A$500,0)),""))</f>
        <v/>
      </c>
      <c r="O262" s="9">
        <f>IF($K262="","",IFERROR(INDEX('ערכים טכנולוגיים'!$G$2:$G$500,MATCH(A262,'ערכים טכנולוגיים'!$A$2:$A$500,0)),""))</f>
        <v/>
      </c>
      <c r="P262" s="9">
        <f>IF($K262="","",IFERROR(INDEX('ערכים טכנולוגיים'!$K$2:$K$500,MATCH(A262,'ערכים טכנולוגיים'!$A$2:$A$500,0)),""))</f>
        <v/>
      </c>
      <c r="Q262" s="9">
        <f>IF($K262="","",IFERROR(INDEX('ערכים טכנולוגיים'!$P$2:$P$500,MATCH(A262,'ערכים טכנולוגיים'!$A$2:$A$500,0)),""))</f>
        <v/>
      </c>
    </row>
    <row r="263">
      <c r="A263" s="8">
        <f>IF($K263="","",INDEX(מלאי!$D$2:$D$500,$K263))</f>
        <v/>
      </c>
      <c r="B263" s="8">
        <f>IF($K263="","",INDEX(מלאי!$B$2:$B$500,$K263))</f>
        <v/>
      </c>
      <c r="C263" s="8">
        <f>IF($K263="","",INDEX(מלאי!$C$2:$C$500,$K263))</f>
        <v/>
      </c>
      <c r="D263" s="8">
        <f>IF($K263="","",INDEX(מלאי!$G$2:$G$500,$K263))</f>
        <v/>
      </c>
      <c r="E263" s="8">
        <f>IF($K263="","",INDEX(מלאי!$M$2:$M$500,$K263))</f>
        <v/>
      </c>
      <c r="F263" s="8">
        <f>IF($K263="","",INDEX(מלאי!$N$2:$N$500,$K263))</f>
        <v/>
      </c>
      <c r="G263" s="8">
        <f>IF($K263="","",INDEX(מלאי!$O$2:$O$500,$K263))</f>
        <v/>
      </c>
      <c r="H263" s="8">
        <f>IF($K263="","",INDEX(מלאי!$U$2:$U$500,$K263))</f>
        <v/>
      </c>
      <c r="I263" s="8">
        <f>IF($K263="","",INDEX(מלאי!$X$2:$X$500,$K263))</f>
        <v/>
      </c>
      <c r="J263" s="8">
        <f>IF($K263="","",INDEX(מלאי!$AC$2:$AC$500,$K263))</f>
        <v/>
      </c>
      <c r="K26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טכנולוגיים'!$A$2:$A$500,0))&lt;=$G$6),0))),ROW(מלאי!$A$2:$A$500)-ROW(מלאי!$A$2)+1,""),241),"")</f>
        <v/>
      </c>
      <c r="L263" s="8">
        <f>IF($K263="","",IFERROR(INDEX('ערכים טכנולוגיים'!$M$2:$M$500,MATCH(A263,'ערכים טכנולוגיים'!$A$2:$A$500,0)),""))</f>
        <v/>
      </c>
      <c r="M263" s="8">
        <f>IF($K263="","",IFERROR(INDEX('ערכים טכנולוגיים'!$F$2:$F$500,MATCH(A263,'ערכים טכנולוגיים'!$A$2:$A$500,0)),""))</f>
        <v/>
      </c>
      <c r="N263" s="8">
        <f>IF($K263="","",IFERROR(INDEX('ערכים טכנולוגיים'!$J$2:$J$500,MATCH(A263,'ערכים טכנולוגיים'!$A$2:$A$500,0)),""))</f>
        <v/>
      </c>
      <c r="O263" s="8">
        <f>IF($K263="","",IFERROR(INDEX('ערכים טכנולוגיים'!$G$2:$G$500,MATCH(A263,'ערכים טכנולוגיים'!$A$2:$A$500,0)),""))</f>
        <v/>
      </c>
      <c r="P263" s="8">
        <f>IF($K263="","",IFERROR(INDEX('ערכים טכנולוגיים'!$K$2:$K$500,MATCH(A263,'ערכים טכנולוגיים'!$A$2:$A$500,0)),""))</f>
        <v/>
      </c>
      <c r="Q263" s="8">
        <f>IF($K263="","",IFERROR(INDEX('ערכים טכנולוגיים'!$P$2:$P$500,MATCH(A263,'ערכים טכנולוגיים'!$A$2:$A$500,0)),""))</f>
        <v/>
      </c>
    </row>
    <row r="264">
      <c r="A264" s="9">
        <f>IF($K264="","",INDEX(מלאי!$D$2:$D$500,$K264))</f>
        <v/>
      </c>
      <c r="B264" s="9">
        <f>IF($K264="","",INDEX(מלאי!$B$2:$B$500,$K264))</f>
        <v/>
      </c>
      <c r="C264" s="9">
        <f>IF($K264="","",INDEX(מלאי!$C$2:$C$500,$K264))</f>
        <v/>
      </c>
      <c r="D264" s="9">
        <f>IF($K264="","",INDEX(מלאי!$G$2:$G$500,$K264))</f>
        <v/>
      </c>
      <c r="E264" s="9">
        <f>IF($K264="","",INDEX(מלאי!$M$2:$M$500,$K264))</f>
        <v/>
      </c>
      <c r="F264" s="9">
        <f>IF($K264="","",INDEX(מלאי!$N$2:$N$500,$K264))</f>
        <v/>
      </c>
      <c r="G264" s="9">
        <f>IF($K264="","",INDEX(מלאי!$O$2:$O$500,$K264))</f>
        <v/>
      </c>
      <c r="H264" s="9">
        <f>IF($K264="","",INDEX(מלאי!$U$2:$U$500,$K264))</f>
        <v/>
      </c>
      <c r="I264" s="9">
        <f>IF($K264="","",INDEX(מלאי!$X$2:$X$500,$K264))</f>
        <v/>
      </c>
      <c r="J264" s="9">
        <f>IF($K264="","",INDEX(מלאי!$AC$2:$AC$500,$K264))</f>
        <v/>
      </c>
      <c r="K26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טכנולוגיים'!$A$2:$A$500,0))&lt;=$G$6),0))),ROW(מלאי!$A$2:$A$500)-ROW(מלאי!$A$2)+1,""),242),"")</f>
        <v/>
      </c>
      <c r="L264" s="9">
        <f>IF($K264="","",IFERROR(INDEX('ערכים טכנולוגיים'!$M$2:$M$500,MATCH(A264,'ערכים טכנולוגיים'!$A$2:$A$500,0)),""))</f>
        <v/>
      </c>
      <c r="M264" s="9">
        <f>IF($K264="","",IFERROR(INDEX('ערכים טכנולוגיים'!$F$2:$F$500,MATCH(A264,'ערכים טכנולוגיים'!$A$2:$A$500,0)),""))</f>
        <v/>
      </c>
      <c r="N264" s="9">
        <f>IF($K264="","",IFERROR(INDEX('ערכים טכנולוגיים'!$J$2:$J$500,MATCH(A264,'ערכים טכנולוגיים'!$A$2:$A$500,0)),""))</f>
        <v/>
      </c>
      <c r="O264" s="9">
        <f>IF($K264="","",IFERROR(INDEX('ערכים טכנולוגיים'!$G$2:$G$500,MATCH(A264,'ערכים טכנולוגיים'!$A$2:$A$500,0)),""))</f>
        <v/>
      </c>
      <c r="P264" s="9">
        <f>IF($K264="","",IFERROR(INDEX('ערכים טכנולוגיים'!$K$2:$K$500,MATCH(A264,'ערכים טכנולוגיים'!$A$2:$A$500,0)),""))</f>
        <v/>
      </c>
      <c r="Q264" s="9">
        <f>IF($K264="","",IFERROR(INDEX('ערכים טכנולוגיים'!$P$2:$P$500,MATCH(A264,'ערכים טכנולוגיים'!$A$2:$A$500,0)),""))</f>
        <v/>
      </c>
    </row>
    <row r="265">
      <c r="A265" s="8">
        <f>IF($K265="","",INDEX(מלאי!$D$2:$D$500,$K265))</f>
        <v/>
      </c>
      <c r="B265" s="8">
        <f>IF($K265="","",INDEX(מלאי!$B$2:$B$500,$K265))</f>
        <v/>
      </c>
      <c r="C265" s="8">
        <f>IF($K265="","",INDEX(מלאי!$C$2:$C$500,$K265))</f>
        <v/>
      </c>
      <c r="D265" s="8">
        <f>IF($K265="","",INDEX(מלאי!$G$2:$G$500,$K265))</f>
        <v/>
      </c>
      <c r="E265" s="8">
        <f>IF($K265="","",INDEX(מלאי!$M$2:$M$500,$K265))</f>
        <v/>
      </c>
      <c r="F265" s="8">
        <f>IF($K265="","",INDEX(מלאי!$N$2:$N$500,$K265))</f>
        <v/>
      </c>
      <c r="G265" s="8">
        <f>IF($K265="","",INDEX(מלאי!$O$2:$O$500,$K265))</f>
        <v/>
      </c>
      <c r="H265" s="8">
        <f>IF($K265="","",INDEX(מלאי!$U$2:$U$500,$K265))</f>
        <v/>
      </c>
      <c r="I265" s="8">
        <f>IF($K265="","",INDEX(מלאי!$X$2:$X$500,$K265))</f>
        <v/>
      </c>
      <c r="J265" s="8">
        <f>IF($K265="","",INDEX(מלאי!$AC$2:$AC$500,$K265))</f>
        <v/>
      </c>
      <c r="K26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טכנולוגיים'!$A$2:$A$500,0))&lt;=$G$6),0))),ROW(מלאי!$A$2:$A$500)-ROW(מלאי!$A$2)+1,""),243),"")</f>
        <v/>
      </c>
      <c r="L265" s="8">
        <f>IF($K265="","",IFERROR(INDEX('ערכים טכנולוגיים'!$M$2:$M$500,MATCH(A265,'ערכים טכנולוגיים'!$A$2:$A$500,0)),""))</f>
        <v/>
      </c>
      <c r="M265" s="8">
        <f>IF($K265="","",IFERROR(INDEX('ערכים טכנולוגיים'!$F$2:$F$500,MATCH(A265,'ערכים טכנולוגיים'!$A$2:$A$500,0)),""))</f>
        <v/>
      </c>
      <c r="N265" s="8">
        <f>IF($K265="","",IFERROR(INDEX('ערכים טכנולוגיים'!$J$2:$J$500,MATCH(A265,'ערכים טכנולוגיים'!$A$2:$A$500,0)),""))</f>
        <v/>
      </c>
      <c r="O265" s="8">
        <f>IF($K265="","",IFERROR(INDEX('ערכים טכנולוגיים'!$G$2:$G$500,MATCH(A265,'ערכים טכנולוגיים'!$A$2:$A$500,0)),""))</f>
        <v/>
      </c>
      <c r="P265" s="8">
        <f>IF($K265="","",IFERROR(INDEX('ערכים טכנולוגיים'!$K$2:$K$500,MATCH(A265,'ערכים טכנולוגיים'!$A$2:$A$500,0)),""))</f>
        <v/>
      </c>
      <c r="Q265" s="8">
        <f>IF($K265="","",IFERROR(INDEX('ערכים טכנולוגיים'!$P$2:$P$500,MATCH(A265,'ערכים טכנולוגיים'!$A$2:$A$500,0)),""))</f>
        <v/>
      </c>
    </row>
    <row r="266">
      <c r="A266" s="9">
        <f>IF($K266="","",INDEX(מלאי!$D$2:$D$500,$K266))</f>
        <v/>
      </c>
      <c r="B266" s="9">
        <f>IF($K266="","",INDEX(מלאי!$B$2:$B$500,$K266))</f>
        <v/>
      </c>
      <c r="C266" s="9">
        <f>IF($K266="","",INDEX(מלאי!$C$2:$C$500,$K266))</f>
        <v/>
      </c>
      <c r="D266" s="9">
        <f>IF($K266="","",INDEX(מלאי!$G$2:$G$500,$K266))</f>
        <v/>
      </c>
      <c r="E266" s="9">
        <f>IF($K266="","",INDEX(מלאי!$M$2:$M$500,$K266))</f>
        <v/>
      </c>
      <c r="F266" s="9">
        <f>IF($K266="","",INDEX(מלאי!$N$2:$N$500,$K266))</f>
        <v/>
      </c>
      <c r="G266" s="9">
        <f>IF($K266="","",INDEX(מלאי!$O$2:$O$500,$K266))</f>
        <v/>
      </c>
      <c r="H266" s="9">
        <f>IF($K266="","",INDEX(מלאי!$U$2:$U$500,$K266))</f>
        <v/>
      </c>
      <c r="I266" s="9">
        <f>IF($K266="","",INDEX(מלאי!$X$2:$X$500,$K266))</f>
        <v/>
      </c>
      <c r="J266" s="9">
        <f>IF($K266="","",INDEX(מלאי!$AC$2:$AC$500,$K266))</f>
        <v/>
      </c>
      <c r="K26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טכנולוגיים'!$A$2:$A$500,0))&lt;=$G$6),0))),ROW(מלאי!$A$2:$A$500)-ROW(מלאי!$A$2)+1,""),244),"")</f>
        <v/>
      </c>
      <c r="L266" s="9">
        <f>IF($K266="","",IFERROR(INDEX('ערכים טכנולוגיים'!$M$2:$M$500,MATCH(A266,'ערכים טכנולוגיים'!$A$2:$A$500,0)),""))</f>
        <v/>
      </c>
      <c r="M266" s="9">
        <f>IF($K266="","",IFERROR(INDEX('ערכים טכנולוגיים'!$F$2:$F$500,MATCH(A266,'ערכים טכנולוגיים'!$A$2:$A$500,0)),""))</f>
        <v/>
      </c>
      <c r="N266" s="9">
        <f>IF($K266="","",IFERROR(INDEX('ערכים טכנולוגיים'!$J$2:$J$500,MATCH(A266,'ערכים טכנולוגיים'!$A$2:$A$500,0)),""))</f>
        <v/>
      </c>
      <c r="O266" s="9">
        <f>IF($K266="","",IFERROR(INDEX('ערכים טכנולוגיים'!$G$2:$G$500,MATCH(A266,'ערכים טכנולוגיים'!$A$2:$A$500,0)),""))</f>
        <v/>
      </c>
      <c r="P266" s="9">
        <f>IF($K266="","",IFERROR(INDEX('ערכים טכנולוגיים'!$K$2:$K$500,MATCH(A266,'ערכים טכנולוגיים'!$A$2:$A$500,0)),""))</f>
        <v/>
      </c>
      <c r="Q266" s="9">
        <f>IF($K266="","",IFERROR(INDEX('ערכים טכנולוגיים'!$P$2:$P$500,MATCH(A266,'ערכים טכנולוגיים'!$A$2:$A$500,0)),""))</f>
        <v/>
      </c>
    </row>
    <row r="267">
      <c r="A267" s="8">
        <f>IF($K267="","",INDEX(מלאי!$D$2:$D$500,$K267))</f>
        <v/>
      </c>
      <c r="B267" s="8">
        <f>IF($K267="","",INDEX(מלאי!$B$2:$B$500,$K267))</f>
        <v/>
      </c>
      <c r="C267" s="8">
        <f>IF($K267="","",INDEX(מלאי!$C$2:$C$500,$K267))</f>
        <v/>
      </c>
      <c r="D267" s="8">
        <f>IF($K267="","",INDEX(מלאי!$G$2:$G$500,$K267))</f>
        <v/>
      </c>
      <c r="E267" s="8">
        <f>IF($K267="","",INDEX(מלאי!$M$2:$M$500,$K267))</f>
        <v/>
      </c>
      <c r="F267" s="8">
        <f>IF($K267="","",INDEX(מלאי!$N$2:$N$500,$K267))</f>
        <v/>
      </c>
      <c r="G267" s="8">
        <f>IF($K267="","",INDEX(מלאי!$O$2:$O$500,$K267))</f>
        <v/>
      </c>
      <c r="H267" s="8">
        <f>IF($K267="","",INDEX(מלאי!$U$2:$U$500,$K267))</f>
        <v/>
      </c>
      <c r="I267" s="8">
        <f>IF($K267="","",INDEX(מלאי!$X$2:$X$500,$K267))</f>
        <v/>
      </c>
      <c r="J267" s="8">
        <f>IF($K267="","",INDEX(מלאי!$AC$2:$AC$500,$K267))</f>
        <v/>
      </c>
      <c r="K26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טכנולוגיים'!$A$2:$A$500,0))&lt;=$G$6),0))),ROW(מלאי!$A$2:$A$500)-ROW(מלאי!$A$2)+1,""),245),"")</f>
        <v/>
      </c>
      <c r="L267" s="8">
        <f>IF($K267="","",IFERROR(INDEX('ערכים טכנולוגיים'!$M$2:$M$500,MATCH(A267,'ערכים טכנולוגיים'!$A$2:$A$500,0)),""))</f>
        <v/>
      </c>
      <c r="M267" s="8">
        <f>IF($K267="","",IFERROR(INDEX('ערכים טכנולוגיים'!$F$2:$F$500,MATCH(A267,'ערכים טכנולוגיים'!$A$2:$A$500,0)),""))</f>
        <v/>
      </c>
      <c r="N267" s="8">
        <f>IF($K267="","",IFERROR(INDEX('ערכים טכנולוגיים'!$J$2:$J$500,MATCH(A267,'ערכים טכנולוגיים'!$A$2:$A$500,0)),""))</f>
        <v/>
      </c>
      <c r="O267" s="8">
        <f>IF($K267="","",IFERROR(INDEX('ערכים טכנולוגיים'!$G$2:$G$500,MATCH(A267,'ערכים טכנולוגיים'!$A$2:$A$500,0)),""))</f>
        <v/>
      </c>
      <c r="P267" s="8">
        <f>IF($K267="","",IFERROR(INDEX('ערכים טכנולוגיים'!$K$2:$K$500,MATCH(A267,'ערכים טכנולוגיים'!$A$2:$A$500,0)),""))</f>
        <v/>
      </c>
      <c r="Q267" s="8">
        <f>IF($K267="","",IFERROR(INDEX('ערכים טכנולוגיים'!$P$2:$P$500,MATCH(A267,'ערכים טכנולוגיים'!$A$2:$A$500,0)),""))</f>
        <v/>
      </c>
    </row>
    <row r="268">
      <c r="A268" s="9">
        <f>IF($K268="","",INDEX(מלאי!$D$2:$D$500,$K268))</f>
        <v/>
      </c>
      <c r="B268" s="9">
        <f>IF($K268="","",INDEX(מלאי!$B$2:$B$500,$K268))</f>
        <v/>
      </c>
      <c r="C268" s="9">
        <f>IF($K268="","",INDEX(מלאי!$C$2:$C$500,$K268))</f>
        <v/>
      </c>
      <c r="D268" s="9">
        <f>IF($K268="","",INDEX(מלאי!$G$2:$G$500,$K268))</f>
        <v/>
      </c>
      <c r="E268" s="9">
        <f>IF($K268="","",INDEX(מלאי!$M$2:$M$500,$K268))</f>
        <v/>
      </c>
      <c r="F268" s="9">
        <f>IF($K268="","",INDEX(מלאי!$N$2:$N$500,$K268))</f>
        <v/>
      </c>
      <c r="G268" s="9">
        <f>IF($K268="","",INDEX(מלאי!$O$2:$O$500,$K268))</f>
        <v/>
      </c>
      <c r="H268" s="9">
        <f>IF($K268="","",INDEX(מלאי!$U$2:$U$500,$K268))</f>
        <v/>
      </c>
      <c r="I268" s="9">
        <f>IF($K268="","",INDEX(מלאי!$X$2:$X$500,$K268))</f>
        <v/>
      </c>
      <c r="J268" s="9">
        <f>IF($K268="","",INDEX(מלאי!$AC$2:$AC$500,$K268))</f>
        <v/>
      </c>
      <c r="K26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טכנולוגיים'!$A$2:$A$500,0))&lt;=$G$6),0))),ROW(מלאי!$A$2:$A$500)-ROW(מלאי!$A$2)+1,""),246),"")</f>
        <v/>
      </c>
      <c r="L268" s="9">
        <f>IF($K268="","",IFERROR(INDEX('ערכים טכנולוגיים'!$M$2:$M$500,MATCH(A268,'ערכים טכנולוגיים'!$A$2:$A$500,0)),""))</f>
        <v/>
      </c>
      <c r="M268" s="9">
        <f>IF($K268="","",IFERROR(INDEX('ערכים טכנולוגיים'!$F$2:$F$500,MATCH(A268,'ערכים טכנולוגיים'!$A$2:$A$500,0)),""))</f>
        <v/>
      </c>
      <c r="N268" s="9">
        <f>IF($K268="","",IFERROR(INDEX('ערכים טכנולוגיים'!$J$2:$J$500,MATCH(A268,'ערכים טכנולוגיים'!$A$2:$A$500,0)),""))</f>
        <v/>
      </c>
      <c r="O268" s="9">
        <f>IF($K268="","",IFERROR(INDEX('ערכים טכנולוגיים'!$G$2:$G$500,MATCH(A268,'ערכים טכנולוגיים'!$A$2:$A$500,0)),""))</f>
        <v/>
      </c>
      <c r="P268" s="9">
        <f>IF($K268="","",IFERROR(INDEX('ערכים טכנולוגיים'!$K$2:$K$500,MATCH(A268,'ערכים טכנולוגיים'!$A$2:$A$500,0)),""))</f>
        <v/>
      </c>
      <c r="Q268" s="9">
        <f>IF($K268="","",IFERROR(INDEX('ערכים טכנולוגיים'!$P$2:$P$500,MATCH(A268,'ערכים טכנולוגיים'!$A$2:$A$500,0)),""))</f>
        <v/>
      </c>
    </row>
    <row r="269">
      <c r="A269" s="8">
        <f>IF($K269="","",INDEX(מלאי!$D$2:$D$500,$K269))</f>
        <v/>
      </c>
      <c r="B269" s="8">
        <f>IF($K269="","",INDEX(מלאי!$B$2:$B$500,$K269))</f>
        <v/>
      </c>
      <c r="C269" s="8">
        <f>IF($K269="","",INDEX(מלאי!$C$2:$C$500,$K269))</f>
        <v/>
      </c>
      <c r="D269" s="8">
        <f>IF($K269="","",INDEX(מלאי!$G$2:$G$500,$K269))</f>
        <v/>
      </c>
      <c r="E269" s="8">
        <f>IF($K269="","",INDEX(מלאי!$M$2:$M$500,$K269))</f>
        <v/>
      </c>
      <c r="F269" s="8">
        <f>IF($K269="","",INDEX(מלאי!$N$2:$N$500,$K269))</f>
        <v/>
      </c>
      <c r="G269" s="8">
        <f>IF($K269="","",INDEX(מלאי!$O$2:$O$500,$K269))</f>
        <v/>
      </c>
      <c r="H269" s="8">
        <f>IF($K269="","",INDEX(מלאי!$U$2:$U$500,$K269))</f>
        <v/>
      </c>
      <c r="I269" s="8">
        <f>IF($K269="","",INDEX(מלאי!$X$2:$X$500,$K269))</f>
        <v/>
      </c>
      <c r="J269" s="8">
        <f>IF($K269="","",INDEX(מלאי!$AC$2:$AC$500,$K269))</f>
        <v/>
      </c>
      <c r="K26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טכנולוגיים'!$A$2:$A$500,0))&lt;=$G$6),0))),ROW(מלאי!$A$2:$A$500)-ROW(מלאי!$A$2)+1,""),247),"")</f>
        <v/>
      </c>
      <c r="L269" s="8">
        <f>IF($K269="","",IFERROR(INDEX('ערכים טכנולוגיים'!$M$2:$M$500,MATCH(A269,'ערכים טכנולוגיים'!$A$2:$A$500,0)),""))</f>
        <v/>
      </c>
      <c r="M269" s="8">
        <f>IF($K269="","",IFERROR(INDEX('ערכים טכנולוגיים'!$F$2:$F$500,MATCH(A269,'ערכים טכנולוגיים'!$A$2:$A$500,0)),""))</f>
        <v/>
      </c>
      <c r="N269" s="8">
        <f>IF($K269="","",IFERROR(INDEX('ערכים טכנולוגיים'!$J$2:$J$500,MATCH(A269,'ערכים טכנולוגיים'!$A$2:$A$500,0)),""))</f>
        <v/>
      </c>
      <c r="O269" s="8">
        <f>IF($K269="","",IFERROR(INDEX('ערכים טכנולוגיים'!$G$2:$G$500,MATCH(A269,'ערכים טכנולוגיים'!$A$2:$A$500,0)),""))</f>
        <v/>
      </c>
      <c r="P269" s="8">
        <f>IF($K269="","",IFERROR(INDEX('ערכים טכנולוגיים'!$K$2:$K$500,MATCH(A269,'ערכים טכנולוגיים'!$A$2:$A$500,0)),""))</f>
        <v/>
      </c>
      <c r="Q269" s="8">
        <f>IF($K269="","",IFERROR(INDEX('ערכים טכנולוגיים'!$P$2:$P$500,MATCH(A269,'ערכים טכנולוגיים'!$A$2:$A$500,0)),""))</f>
        <v/>
      </c>
    </row>
    <row r="270">
      <c r="A270" s="9">
        <f>IF($K270="","",INDEX(מלאי!$D$2:$D$500,$K270))</f>
        <v/>
      </c>
      <c r="B270" s="9">
        <f>IF($K270="","",INDEX(מלאי!$B$2:$B$500,$K270))</f>
        <v/>
      </c>
      <c r="C270" s="9">
        <f>IF($K270="","",INDEX(מלאי!$C$2:$C$500,$K270))</f>
        <v/>
      </c>
      <c r="D270" s="9">
        <f>IF($K270="","",INDEX(מלאי!$G$2:$G$500,$K270))</f>
        <v/>
      </c>
      <c r="E270" s="9">
        <f>IF($K270="","",INDEX(מלאי!$M$2:$M$500,$K270))</f>
        <v/>
      </c>
      <c r="F270" s="9">
        <f>IF($K270="","",INDEX(מלאי!$N$2:$N$500,$K270))</f>
        <v/>
      </c>
      <c r="G270" s="9">
        <f>IF($K270="","",INDEX(מלאי!$O$2:$O$500,$K270))</f>
        <v/>
      </c>
      <c r="H270" s="9">
        <f>IF($K270="","",INDEX(מלאי!$U$2:$U$500,$K270))</f>
        <v/>
      </c>
      <c r="I270" s="9">
        <f>IF($K270="","",INDEX(מלאי!$X$2:$X$500,$K270))</f>
        <v/>
      </c>
      <c r="J270" s="9">
        <f>IF($K270="","",INDEX(מלאי!$AC$2:$AC$500,$K270))</f>
        <v/>
      </c>
      <c r="K27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טכנולוגיים'!$A$2:$A$500,0))&lt;=$G$6),0))),ROW(מלאי!$A$2:$A$500)-ROW(מלאי!$A$2)+1,""),248),"")</f>
        <v/>
      </c>
      <c r="L270" s="9">
        <f>IF($K270="","",IFERROR(INDEX('ערכים טכנולוגיים'!$M$2:$M$500,MATCH(A270,'ערכים טכנולוגיים'!$A$2:$A$500,0)),""))</f>
        <v/>
      </c>
      <c r="M270" s="9">
        <f>IF($K270="","",IFERROR(INDEX('ערכים טכנולוגיים'!$F$2:$F$500,MATCH(A270,'ערכים טכנולוגיים'!$A$2:$A$500,0)),""))</f>
        <v/>
      </c>
      <c r="N270" s="9">
        <f>IF($K270="","",IFERROR(INDEX('ערכים טכנולוגיים'!$J$2:$J$500,MATCH(A270,'ערכים טכנולוגיים'!$A$2:$A$500,0)),""))</f>
        <v/>
      </c>
      <c r="O270" s="9">
        <f>IF($K270="","",IFERROR(INDEX('ערכים טכנולוגיים'!$G$2:$G$500,MATCH(A270,'ערכים טכנולוגיים'!$A$2:$A$500,0)),""))</f>
        <v/>
      </c>
      <c r="P270" s="9">
        <f>IF($K270="","",IFERROR(INDEX('ערכים טכנולוגיים'!$K$2:$K$500,MATCH(A270,'ערכים טכנולוגיים'!$A$2:$A$500,0)),""))</f>
        <v/>
      </c>
      <c r="Q270" s="9">
        <f>IF($K270="","",IFERROR(INDEX('ערכים טכנולוגיים'!$P$2:$P$500,MATCH(A270,'ערכים טכנולוגיים'!$A$2:$A$500,0)),""))</f>
        <v/>
      </c>
    </row>
    <row r="271">
      <c r="A271" s="8">
        <f>IF($K271="","",INDEX(מלאי!$D$2:$D$500,$K271))</f>
        <v/>
      </c>
      <c r="B271" s="8">
        <f>IF($K271="","",INDEX(מלאי!$B$2:$B$500,$K271))</f>
        <v/>
      </c>
      <c r="C271" s="8">
        <f>IF($K271="","",INDEX(מלאי!$C$2:$C$500,$K271))</f>
        <v/>
      </c>
      <c r="D271" s="8">
        <f>IF($K271="","",INDEX(מלאי!$G$2:$G$500,$K271))</f>
        <v/>
      </c>
      <c r="E271" s="8">
        <f>IF($K271="","",INDEX(מלאי!$M$2:$M$500,$K271))</f>
        <v/>
      </c>
      <c r="F271" s="8">
        <f>IF($K271="","",INDEX(מלאי!$N$2:$N$500,$K271))</f>
        <v/>
      </c>
      <c r="G271" s="8">
        <f>IF($K271="","",INDEX(מלאי!$O$2:$O$500,$K271))</f>
        <v/>
      </c>
      <c r="H271" s="8">
        <f>IF($K271="","",INDEX(מלאי!$U$2:$U$500,$K271))</f>
        <v/>
      </c>
      <c r="I271" s="8">
        <f>IF($K271="","",INDEX(מלאי!$X$2:$X$500,$K271))</f>
        <v/>
      </c>
      <c r="J271" s="8">
        <f>IF($K271="","",INDEX(מלאי!$AC$2:$AC$500,$K271))</f>
        <v/>
      </c>
      <c r="K27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טכנולוגיים'!$A$2:$A$500,0))&lt;=$G$6),0))),ROW(מלאי!$A$2:$A$500)-ROW(מלאי!$A$2)+1,""),249),"")</f>
        <v/>
      </c>
      <c r="L271" s="8">
        <f>IF($K271="","",IFERROR(INDEX('ערכים טכנולוגיים'!$M$2:$M$500,MATCH(A271,'ערכים טכנולוגיים'!$A$2:$A$500,0)),""))</f>
        <v/>
      </c>
      <c r="M271" s="8">
        <f>IF($K271="","",IFERROR(INDEX('ערכים טכנולוגיים'!$F$2:$F$500,MATCH(A271,'ערכים טכנולוגיים'!$A$2:$A$500,0)),""))</f>
        <v/>
      </c>
      <c r="N271" s="8">
        <f>IF($K271="","",IFERROR(INDEX('ערכים טכנולוגיים'!$J$2:$J$500,MATCH(A271,'ערכים טכנולוגיים'!$A$2:$A$500,0)),""))</f>
        <v/>
      </c>
      <c r="O271" s="8">
        <f>IF($K271="","",IFERROR(INDEX('ערכים טכנולוגיים'!$G$2:$G$500,MATCH(A271,'ערכים טכנולוגיים'!$A$2:$A$500,0)),""))</f>
        <v/>
      </c>
      <c r="P271" s="8">
        <f>IF($K271="","",IFERROR(INDEX('ערכים טכנולוגיים'!$K$2:$K$500,MATCH(A271,'ערכים טכנולוגיים'!$A$2:$A$500,0)),""))</f>
        <v/>
      </c>
      <c r="Q271" s="8">
        <f>IF($K271="","",IFERROR(INDEX('ערכים טכנולוגיים'!$P$2:$P$500,MATCH(A271,'ערכים טכנולוגיים'!$A$2:$A$500,0)),""))</f>
        <v/>
      </c>
    </row>
    <row r="272">
      <c r="A272" s="9">
        <f>IF($K272="","",INDEX(מלאי!$D$2:$D$500,$K272))</f>
        <v/>
      </c>
      <c r="B272" s="9">
        <f>IF($K272="","",INDEX(מלאי!$B$2:$B$500,$K272))</f>
        <v/>
      </c>
      <c r="C272" s="9">
        <f>IF($K272="","",INDEX(מלאי!$C$2:$C$500,$K272))</f>
        <v/>
      </c>
      <c r="D272" s="9">
        <f>IF($K272="","",INDEX(מלאי!$G$2:$G$500,$K272))</f>
        <v/>
      </c>
      <c r="E272" s="9">
        <f>IF($K272="","",INDEX(מלאי!$M$2:$M$500,$K272))</f>
        <v/>
      </c>
      <c r="F272" s="9">
        <f>IF($K272="","",INDEX(מלאי!$N$2:$N$500,$K272))</f>
        <v/>
      </c>
      <c r="G272" s="9">
        <f>IF($K272="","",INDEX(מלאי!$O$2:$O$500,$K272))</f>
        <v/>
      </c>
      <c r="H272" s="9">
        <f>IF($K272="","",INDEX(מלאי!$U$2:$U$500,$K272))</f>
        <v/>
      </c>
      <c r="I272" s="9">
        <f>IF($K272="","",INDEX(מלאי!$X$2:$X$500,$K272))</f>
        <v/>
      </c>
      <c r="J272" s="9">
        <f>IF($K272="","",INDEX(מלאי!$AC$2:$AC$500,$K272))</f>
        <v/>
      </c>
      <c r="K27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טכנולוגיים'!$A$2:$A$500,0))&lt;=$G$6),0))),ROW(מלאי!$A$2:$A$500)-ROW(מלאי!$A$2)+1,""),250),"")</f>
        <v/>
      </c>
      <c r="L272" s="9">
        <f>IF($K272="","",IFERROR(INDEX('ערכים טכנולוגיים'!$M$2:$M$500,MATCH(A272,'ערכים טכנולוגיים'!$A$2:$A$500,0)),""))</f>
        <v/>
      </c>
      <c r="M272" s="9">
        <f>IF($K272="","",IFERROR(INDEX('ערכים טכנולוגיים'!$F$2:$F$500,MATCH(A272,'ערכים טכנולוגיים'!$A$2:$A$500,0)),""))</f>
        <v/>
      </c>
      <c r="N272" s="9">
        <f>IF($K272="","",IFERROR(INDEX('ערכים טכנולוגיים'!$J$2:$J$500,MATCH(A272,'ערכים טכנולוגיים'!$A$2:$A$500,0)),""))</f>
        <v/>
      </c>
      <c r="O272" s="9">
        <f>IF($K272="","",IFERROR(INDEX('ערכים טכנולוגיים'!$G$2:$G$500,MATCH(A272,'ערכים טכנולוגיים'!$A$2:$A$500,0)),""))</f>
        <v/>
      </c>
      <c r="P272" s="9">
        <f>IF($K272="","",IFERROR(INDEX('ערכים טכנולוגיים'!$K$2:$K$500,MATCH(A272,'ערכים טכנולוגיים'!$A$2:$A$500,0)),""))</f>
        <v/>
      </c>
      <c r="Q272" s="9">
        <f>IF($K272="","",IFERROR(INDEX('ערכים טכנולוגיים'!$P$2:$P$500,MATCH(A272,'ערכים טכנולוגיים'!$A$2:$A$500,0)),""))</f>
        <v/>
      </c>
    </row>
    <row r="273">
      <c r="A273" s="8">
        <f>IF($K273="","",INDEX(מלאי!$D$2:$D$500,$K273))</f>
        <v/>
      </c>
      <c r="B273" s="8">
        <f>IF($K273="","",INDEX(מלאי!$B$2:$B$500,$K273))</f>
        <v/>
      </c>
      <c r="C273" s="8">
        <f>IF($K273="","",INDEX(מלאי!$C$2:$C$500,$K273))</f>
        <v/>
      </c>
      <c r="D273" s="8">
        <f>IF($K273="","",INDEX(מלאי!$G$2:$G$500,$K273))</f>
        <v/>
      </c>
      <c r="E273" s="8">
        <f>IF($K273="","",INDEX(מלאי!$M$2:$M$500,$K273))</f>
        <v/>
      </c>
      <c r="F273" s="8">
        <f>IF($K273="","",INDEX(מלאי!$N$2:$N$500,$K273))</f>
        <v/>
      </c>
      <c r="G273" s="8">
        <f>IF($K273="","",INDEX(מלאי!$O$2:$O$500,$K273))</f>
        <v/>
      </c>
      <c r="H273" s="8">
        <f>IF($K273="","",INDEX(מלאי!$U$2:$U$500,$K273))</f>
        <v/>
      </c>
      <c r="I273" s="8">
        <f>IF($K273="","",INDEX(מלאי!$X$2:$X$500,$K273))</f>
        <v/>
      </c>
      <c r="J273" s="8">
        <f>IF($K273="","",INDEX(מלאי!$AC$2:$AC$500,$K273))</f>
        <v/>
      </c>
      <c r="K27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טכנולוגיים'!$A$2:$A$500,0))&lt;=$G$6),0))),ROW(מלאי!$A$2:$A$500)-ROW(מלאי!$A$2)+1,""),251),"")</f>
        <v/>
      </c>
      <c r="L273" s="8">
        <f>IF($K273="","",IFERROR(INDEX('ערכים טכנולוגיים'!$M$2:$M$500,MATCH(A273,'ערכים טכנולוגיים'!$A$2:$A$500,0)),""))</f>
        <v/>
      </c>
      <c r="M273" s="8">
        <f>IF($K273="","",IFERROR(INDEX('ערכים טכנולוגיים'!$F$2:$F$500,MATCH(A273,'ערכים טכנולוגיים'!$A$2:$A$500,0)),""))</f>
        <v/>
      </c>
      <c r="N273" s="8">
        <f>IF($K273="","",IFERROR(INDEX('ערכים טכנולוגיים'!$J$2:$J$500,MATCH(A273,'ערכים טכנולוגיים'!$A$2:$A$500,0)),""))</f>
        <v/>
      </c>
      <c r="O273" s="8">
        <f>IF($K273="","",IFERROR(INDEX('ערכים טכנולוגיים'!$G$2:$G$500,MATCH(A273,'ערכים טכנולוגיים'!$A$2:$A$500,0)),""))</f>
        <v/>
      </c>
      <c r="P273" s="8">
        <f>IF($K273="","",IFERROR(INDEX('ערכים טכנולוגיים'!$K$2:$K$500,MATCH(A273,'ערכים טכנולוגיים'!$A$2:$A$500,0)),""))</f>
        <v/>
      </c>
      <c r="Q273" s="8">
        <f>IF($K273="","",IFERROR(INDEX('ערכים טכנולוגיים'!$P$2:$P$500,MATCH(A273,'ערכים טכנולוגיים'!$A$2:$A$500,0)),""))</f>
        <v/>
      </c>
    </row>
    <row r="274">
      <c r="A274" s="9">
        <f>IF($K274="","",INDEX(מלאי!$D$2:$D$500,$K274))</f>
        <v/>
      </c>
      <c r="B274" s="9">
        <f>IF($K274="","",INDEX(מלאי!$B$2:$B$500,$K274))</f>
        <v/>
      </c>
      <c r="C274" s="9">
        <f>IF($K274="","",INDEX(מלאי!$C$2:$C$500,$K274))</f>
        <v/>
      </c>
      <c r="D274" s="9">
        <f>IF($K274="","",INDEX(מלאי!$G$2:$G$500,$K274))</f>
        <v/>
      </c>
      <c r="E274" s="9">
        <f>IF($K274="","",INDEX(מלאי!$M$2:$M$500,$K274))</f>
        <v/>
      </c>
      <c r="F274" s="9">
        <f>IF($K274="","",INDEX(מלאי!$N$2:$N$500,$K274))</f>
        <v/>
      </c>
      <c r="G274" s="9">
        <f>IF($K274="","",INDEX(מלאי!$O$2:$O$500,$K274))</f>
        <v/>
      </c>
      <c r="H274" s="9">
        <f>IF($K274="","",INDEX(מלאי!$U$2:$U$500,$K274))</f>
        <v/>
      </c>
      <c r="I274" s="9">
        <f>IF($K274="","",INDEX(מלאי!$X$2:$X$500,$K274))</f>
        <v/>
      </c>
      <c r="J274" s="9">
        <f>IF($K274="","",INDEX(מלאי!$AC$2:$AC$500,$K274))</f>
        <v/>
      </c>
      <c r="K27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טכנולוגיים'!$A$2:$A$500,0))&lt;=$G$6),0))),ROW(מלאי!$A$2:$A$500)-ROW(מלאי!$A$2)+1,""),252),"")</f>
        <v/>
      </c>
      <c r="L274" s="9">
        <f>IF($K274="","",IFERROR(INDEX('ערכים טכנולוגיים'!$M$2:$M$500,MATCH(A274,'ערכים טכנולוגיים'!$A$2:$A$500,0)),""))</f>
        <v/>
      </c>
      <c r="M274" s="9">
        <f>IF($K274="","",IFERROR(INDEX('ערכים טכנולוגיים'!$F$2:$F$500,MATCH(A274,'ערכים טכנולוגיים'!$A$2:$A$500,0)),""))</f>
        <v/>
      </c>
      <c r="N274" s="9">
        <f>IF($K274="","",IFERROR(INDEX('ערכים טכנולוגיים'!$J$2:$J$500,MATCH(A274,'ערכים טכנולוגיים'!$A$2:$A$500,0)),""))</f>
        <v/>
      </c>
      <c r="O274" s="9">
        <f>IF($K274="","",IFERROR(INDEX('ערכים טכנולוגיים'!$G$2:$G$500,MATCH(A274,'ערכים טכנולוגיים'!$A$2:$A$500,0)),""))</f>
        <v/>
      </c>
      <c r="P274" s="9">
        <f>IF($K274="","",IFERROR(INDEX('ערכים טכנולוגיים'!$K$2:$K$500,MATCH(A274,'ערכים טכנולוגיים'!$A$2:$A$500,0)),""))</f>
        <v/>
      </c>
      <c r="Q274" s="9">
        <f>IF($K274="","",IFERROR(INDEX('ערכים טכנולוגיים'!$P$2:$P$500,MATCH(A274,'ערכים טכנולוגיים'!$A$2:$A$500,0)),""))</f>
        <v/>
      </c>
    </row>
    <row r="275">
      <c r="A275" s="8">
        <f>IF($K275="","",INDEX(מלאי!$D$2:$D$500,$K275))</f>
        <v/>
      </c>
      <c r="B275" s="8">
        <f>IF($K275="","",INDEX(מלאי!$B$2:$B$500,$K275))</f>
        <v/>
      </c>
      <c r="C275" s="8">
        <f>IF($K275="","",INDEX(מלאי!$C$2:$C$500,$K275))</f>
        <v/>
      </c>
      <c r="D275" s="8">
        <f>IF($K275="","",INDEX(מלאי!$G$2:$G$500,$K275))</f>
        <v/>
      </c>
      <c r="E275" s="8">
        <f>IF($K275="","",INDEX(מלאי!$M$2:$M$500,$K275))</f>
        <v/>
      </c>
      <c r="F275" s="8">
        <f>IF($K275="","",INDEX(מלאי!$N$2:$N$500,$K275))</f>
        <v/>
      </c>
      <c r="G275" s="8">
        <f>IF($K275="","",INDEX(מלאי!$O$2:$O$500,$K275))</f>
        <v/>
      </c>
      <c r="H275" s="8">
        <f>IF($K275="","",INDEX(מלאי!$U$2:$U$500,$K275))</f>
        <v/>
      </c>
      <c r="I275" s="8">
        <f>IF($K275="","",INDEX(מלאי!$X$2:$X$500,$K275))</f>
        <v/>
      </c>
      <c r="J275" s="8">
        <f>IF($K275="","",INDEX(מלאי!$AC$2:$AC$500,$K275))</f>
        <v/>
      </c>
      <c r="K27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טכנולוגיים'!$A$2:$A$500,0))&lt;=$G$6),0))),ROW(מלאי!$A$2:$A$500)-ROW(מלאי!$A$2)+1,""),253),"")</f>
        <v/>
      </c>
      <c r="L275" s="8">
        <f>IF($K275="","",IFERROR(INDEX('ערכים טכנולוגיים'!$M$2:$M$500,MATCH(A275,'ערכים טכנולוגיים'!$A$2:$A$500,0)),""))</f>
        <v/>
      </c>
      <c r="M275" s="8">
        <f>IF($K275="","",IFERROR(INDEX('ערכים טכנולוגיים'!$F$2:$F$500,MATCH(A275,'ערכים טכנולוגיים'!$A$2:$A$500,0)),""))</f>
        <v/>
      </c>
      <c r="N275" s="8">
        <f>IF($K275="","",IFERROR(INDEX('ערכים טכנולוגיים'!$J$2:$J$500,MATCH(A275,'ערכים טכנולוגיים'!$A$2:$A$500,0)),""))</f>
        <v/>
      </c>
      <c r="O275" s="8">
        <f>IF($K275="","",IFERROR(INDEX('ערכים טכנולוגיים'!$G$2:$G$500,MATCH(A275,'ערכים טכנולוגיים'!$A$2:$A$500,0)),""))</f>
        <v/>
      </c>
      <c r="P275" s="8">
        <f>IF($K275="","",IFERROR(INDEX('ערכים טכנולוגיים'!$K$2:$K$500,MATCH(A275,'ערכים טכנולוגיים'!$A$2:$A$500,0)),""))</f>
        <v/>
      </c>
      <c r="Q275" s="8">
        <f>IF($K275="","",IFERROR(INDEX('ערכים טכנולוגיים'!$P$2:$P$500,MATCH(A275,'ערכים טכנולוגיים'!$A$2:$A$500,0)),""))</f>
        <v/>
      </c>
    </row>
    <row r="276">
      <c r="A276" s="9">
        <f>IF($K276="","",INDEX(מלאי!$D$2:$D$500,$K276))</f>
        <v/>
      </c>
      <c r="B276" s="9">
        <f>IF($K276="","",INDEX(מלאי!$B$2:$B$500,$K276))</f>
        <v/>
      </c>
      <c r="C276" s="9">
        <f>IF($K276="","",INDEX(מלאי!$C$2:$C$500,$K276))</f>
        <v/>
      </c>
      <c r="D276" s="9">
        <f>IF($K276="","",INDEX(מלאי!$G$2:$G$500,$K276))</f>
        <v/>
      </c>
      <c r="E276" s="9">
        <f>IF($K276="","",INDEX(מלאי!$M$2:$M$500,$K276))</f>
        <v/>
      </c>
      <c r="F276" s="9">
        <f>IF($K276="","",INDEX(מלאי!$N$2:$N$500,$K276))</f>
        <v/>
      </c>
      <c r="G276" s="9">
        <f>IF($K276="","",INDEX(מלאי!$O$2:$O$500,$K276))</f>
        <v/>
      </c>
      <c r="H276" s="9">
        <f>IF($K276="","",INDEX(מלאי!$U$2:$U$500,$K276))</f>
        <v/>
      </c>
      <c r="I276" s="9">
        <f>IF($K276="","",INDEX(מלאי!$X$2:$X$500,$K276))</f>
        <v/>
      </c>
      <c r="J276" s="9">
        <f>IF($K276="","",INDEX(מלאי!$AC$2:$AC$500,$K276))</f>
        <v/>
      </c>
      <c r="K27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טכנולוגיים'!$A$2:$A$500,0))&lt;=$G$6),0))),ROW(מלאי!$A$2:$A$500)-ROW(מלאי!$A$2)+1,""),254),"")</f>
        <v/>
      </c>
      <c r="L276" s="9">
        <f>IF($K276="","",IFERROR(INDEX('ערכים טכנולוגיים'!$M$2:$M$500,MATCH(A276,'ערכים טכנולוגיים'!$A$2:$A$500,0)),""))</f>
        <v/>
      </c>
      <c r="M276" s="9">
        <f>IF($K276="","",IFERROR(INDEX('ערכים טכנולוגיים'!$F$2:$F$500,MATCH(A276,'ערכים טכנולוגיים'!$A$2:$A$500,0)),""))</f>
        <v/>
      </c>
      <c r="N276" s="9">
        <f>IF($K276="","",IFERROR(INDEX('ערכים טכנולוגיים'!$J$2:$J$500,MATCH(A276,'ערכים טכנולוגיים'!$A$2:$A$500,0)),""))</f>
        <v/>
      </c>
      <c r="O276" s="9">
        <f>IF($K276="","",IFERROR(INDEX('ערכים טכנולוגיים'!$G$2:$G$500,MATCH(A276,'ערכים טכנולוגיים'!$A$2:$A$500,0)),""))</f>
        <v/>
      </c>
      <c r="P276" s="9">
        <f>IF($K276="","",IFERROR(INDEX('ערכים טכנולוגיים'!$K$2:$K$500,MATCH(A276,'ערכים טכנולוגיים'!$A$2:$A$500,0)),""))</f>
        <v/>
      </c>
      <c r="Q276" s="9">
        <f>IF($K276="","",IFERROR(INDEX('ערכים טכנולוגיים'!$P$2:$P$500,MATCH(A276,'ערכים טכנולוגיים'!$A$2:$A$500,0)),""))</f>
        <v/>
      </c>
    </row>
    <row r="277">
      <c r="A277" s="8">
        <f>IF($K277="","",INDEX(מלאי!$D$2:$D$500,$K277))</f>
        <v/>
      </c>
      <c r="B277" s="8">
        <f>IF($K277="","",INDEX(מלאי!$B$2:$B$500,$K277))</f>
        <v/>
      </c>
      <c r="C277" s="8">
        <f>IF($K277="","",INDEX(מלאי!$C$2:$C$500,$K277))</f>
        <v/>
      </c>
      <c r="D277" s="8">
        <f>IF($K277="","",INDEX(מלאי!$G$2:$G$500,$K277))</f>
        <v/>
      </c>
      <c r="E277" s="8">
        <f>IF($K277="","",INDEX(מלאי!$M$2:$M$500,$K277))</f>
        <v/>
      </c>
      <c r="F277" s="8">
        <f>IF($K277="","",INDEX(מלאי!$N$2:$N$500,$K277))</f>
        <v/>
      </c>
      <c r="G277" s="8">
        <f>IF($K277="","",INDEX(מלאי!$O$2:$O$500,$K277))</f>
        <v/>
      </c>
      <c r="H277" s="8">
        <f>IF($K277="","",INDEX(מלאי!$U$2:$U$500,$K277))</f>
        <v/>
      </c>
      <c r="I277" s="8">
        <f>IF($K277="","",INDEX(מלאי!$X$2:$X$500,$K277))</f>
        <v/>
      </c>
      <c r="J277" s="8">
        <f>IF($K277="","",INDEX(מלאי!$AC$2:$AC$500,$K277))</f>
        <v/>
      </c>
      <c r="K27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טכנולוגיים'!$A$2:$A$500,0))&lt;=$G$6),0))),ROW(מלאי!$A$2:$A$500)-ROW(מלאי!$A$2)+1,""),255),"")</f>
        <v/>
      </c>
      <c r="L277" s="8">
        <f>IF($K277="","",IFERROR(INDEX('ערכים טכנולוגיים'!$M$2:$M$500,MATCH(A277,'ערכים טכנולוגיים'!$A$2:$A$500,0)),""))</f>
        <v/>
      </c>
      <c r="M277" s="8">
        <f>IF($K277="","",IFERROR(INDEX('ערכים טכנולוגיים'!$F$2:$F$500,MATCH(A277,'ערכים טכנולוגיים'!$A$2:$A$500,0)),""))</f>
        <v/>
      </c>
      <c r="N277" s="8">
        <f>IF($K277="","",IFERROR(INDEX('ערכים טכנולוגיים'!$J$2:$J$500,MATCH(A277,'ערכים טכנולוגיים'!$A$2:$A$500,0)),""))</f>
        <v/>
      </c>
      <c r="O277" s="8">
        <f>IF($K277="","",IFERROR(INDEX('ערכים טכנולוגיים'!$G$2:$G$500,MATCH(A277,'ערכים טכנולוגיים'!$A$2:$A$500,0)),""))</f>
        <v/>
      </c>
      <c r="P277" s="8">
        <f>IF($K277="","",IFERROR(INDEX('ערכים טכנולוגיים'!$K$2:$K$500,MATCH(A277,'ערכים טכנולוגיים'!$A$2:$A$500,0)),""))</f>
        <v/>
      </c>
      <c r="Q277" s="8">
        <f>IF($K277="","",IFERROR(INDEX('ערכים טכנולוגיים'!$P$2:$P$500,MATCH(A277,'ערכים טכנולוגיים'!$A$2:$A$500,0)),""))</f>
        <v/>
      </c>
    </row>
    <row r="278">
      <c r="A278" s="9">
        <f>IF($K278="","",INDEX(מלאי!$D$2:$D$500,$K278))</f>
        <v/>
      </c>
      <c r="B278" s="9">
        <f>IF($K278="","",INDEX(מלאי!$B$2:$B$500,$K278))</f>
        <v/>
      </c>
      <c r="C278" s="9">
        <f>IF($K278="","",INDEX(מלאי!$C$2:$C$500,$K278))</f>
        <v/>
      </c>
      <c r="D278" s="9">
        <f>IF($K278="","",INDEX(מלאי!$G$2:$G$500,$K278))</f>
        <v/>
      </c>
      <c r="E278" s="9">
        <f>IF($K278="","",INDEX(מלאי!$M$2:$M$500,$K278))</f>
        <v/>
      </c>
      <c r="F278" s="9">
        <f>IF($K278="","",INDEX(מלאי!$N$2:$N$500,$K278))</f>
        <v/>
      </c>
      <c r="G278" s="9">
        <f>IF($K278="","",INDEX(מלאי!$O$2:$O$500,$K278))</f>
        <v/>
      </c>
      <c r="H278" s="9">
        <f>IF($K278="","",INDEX(מלאי!$U$2:$U$500,$K278))</f>
        <v/>
      </c>
      <c r="I278" s="9">
        <f>IF($K278="","",INDEX(מלאי!$X$2:$X$500,$K278))</f>
        <v/>
      </c>
      <c r="J278" s="9">
        <f>IF($K278="","",INDEX(מלאי!$AC$2:$AC$500,$K278))</f>
        <v/>
      </c>
      <c r="K27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טכנולוגיים'!$A$2:$A$500,0))&lt;=$G$6),0))),ROW(מלאי!$A$2:$A$500)-ROW(מלאי!$A$2)+1,""),256),"")</f>
        <v/>
      </c>
      <c r="L278" s="9">
        <f>IF($K278="","",IFERROR(INDEX('ערכים טכנולוגיים'!$M$2:$M$500,MATCH(A278,'ערכים טכנולוגיים'!$A$2:$A$500,0)),""))</f>
        <v/>
      </c>
      <c r="M278" s="9">
        <f>IF($K278="","",IFERROR(INDEX('ערכים טכנולוגיים'!$F$2:$F$500,MATCH(A278,'ערכים טכנולוגיים'!$A$2:$A$500,0)),""))</f>
        <v/>
      </c>
      <c r="N278" s="9">
        <f>IF($K278="","",IFERROR(INDEX('ערכים טכנולוגיים'!$J$2:$J$500,MATCH(A278,'ערכים טכנולוגיים'!$A$2:$A$500,0)),""))</f>
        <v/>
      </c>
      <c r="O278" s="9">
        <f>IF($K278="","",IFERROR(INDEX('ערכים טכנולוגיים'!$G$2:$G$500,MATCH(A278,'ערכים טכנולוגיים'!$A$2:$A$500,0)),""))</f>
        <v/>
      </c>
      <c r="P278" s="9">
        <f>IF($K278="","",IFERROR(INDEX('ערכים טכנולוגיים'!$K$2:$K$500,MATCH(A278,'ערכים טכנולוגיים'!$A$2:$A$500,0)),""))</f>
        <v/>
      </c>
      <c r="Q278" s="9">
        <f>IF($K278="","",IFERROR(INDEX('ערכים טכנולוגיים'!$P$2:$P$500,MATCH(A278,'ערכים טכנולוגיים'!$A$2:$A$500,0)),""))</f>
        <v/>
      </c>
    </row>
    <row r="279">
      <c r="A279" s="8">
        <f>IF($K279="","",INDEX(מלאי!$D$2:$D$500,$K279))</f>
        <v/>
      </c>
      <c r="B279" s="8">
        <f>IF($K279="","",INDEX(מלאי!$B$2:$B$500,$K279))</f>
        <v/>
      </c>
      <c r="C279" s="8">
        <f>IF($K279="","",INDEX(מלאי!$C$2:$C$500,$K279))</f>
        <v/>
      </c>
      <c r="D279" s="8">
        <f>IF($K279="","",INDEX(מלאי!$G$2:$G$500,$K279))</f>
        <v/>
      </c>
      <c r="E279" s="8">
        <f>IF($K279="","",INDEX(מלאי!$M$2:$M$500,$K279))</f>
        <v/>
      </c>
      <c r="F279" s="8">
        <f>IF($K279="","",INDEX(מלאי!$N$2:$N$500,$K279))</f>
        <v/>
      </c>
      <c r="G279" s="8">
        <f>IF($K279="","",INDEX(מלאי!$O$2:$O$500,$K279))</f>
        <v/>
      </c>
      <c r="H279" s="8">
        <f>IF($K279="","",INDEX(מלאי!$U$2:$U$500,$K279))</f>
        <v/>
      </c>
      <c r="I279" s="8">
        <f>IF($K279="","",INDEX(מלאי!$X$2:$X$500,$K279))</f>
        <v/>
      </c>
      <c r="J279" s="8">
        <f>IF($K279="","",INDEX(מלאי!$AC$2:$AC$500,$K279))</f>
        <v/>
      </c>
      <c r="K27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טכנולוגיים'!$A$2:$A$500,0))&lt;=$G$6),0))),ROW(מלאי!$A$2:$A$500)-ROW(מלאי!$A$2)+1,""),257),"")</f>
        <v/>
      </c>
      <c r="L279" s="8">
        <f>IF($K279="","",IFERROR(INDEX('ערכים טכנולוגיים'!$M$2:$M$500,MATCH(A279,'ערכים טכנולוגיים'!$A$2:$A$500,0)),""))</f>
        <v/>
      </c>
      <c r="M279" s="8">
        <f>IF($K279="","",IFERROR(INDEX('ערכים טכנולוגיים'!$F$2:$F$500,MATCH(A279,'ערכים טכנולוגיים'!$A$2:$A$500,0)),""))</f>
        <v/>
      </c>
      <c r="N279" s="8">
        <f>IF($K279="","",IFERROR(INDEX('ערכים טכנולוגיים'!$J$2:$J$500,MATCH(A279,'ערכים טכנולוגיים'!$A$2:$A$500,0)),""))</f>
        <v/>
      </c>
      <c r="O279" s="8">
        <f>IF($K279="","",IFERROR(INDEX('ערכים טכנולוגיים'!$G$2:$G$500,MATCH(A279,'ערכים טכנולוגיים'!$A$2:$A$500,0)),""))</f>
        <v/>
      </c>
      <c r="P279" s="8">
        <f>IF($K279="","",IFERROR(INDEX('ערכים טכנולוגיים'!$K$2:$K$500,MATCH(A279,'ערכים טכנולוגיים'!$A$2:$A$500,0)),""))</f>
        <v/>
      </c>
      <c r="Q279" s="8">
        <f>IF($K279="","",IFERROR(INDEX('ערכים טכנולוגיים'!$P$2:$P$500,MATCH(A279,'ערכים טכנולוגיים'!$A$2:$A$500,0)),""))</f>
        <v/>
      </c>
    </row>
    <row r="280">
      <c r="A280" s="9">
        <f>IF($K280="","",INDEX(מלאי!$D$2:$D$500,$K280))</f>
        <v/>
      </c>
      <c r="B280" s="9">
        <f>IF($K280="","",INDEX(מלאי!$B$2:$B$500,$K280))</f>
        <v/>
      </c>
      <c r="C280" s="9">
        <f>IF($K280="","",INDEX(מלאי!$C$2:$C$500,$K280))</f>
        <v/>
      </c>
      <c r="D280" s="9">
        <f>IF($K280="","",INDEX(מלאי!$G$2:$G$500,$K280))</f>
        <v/>
      </c>
      <c r="E280" s="9">
        <f>IF($K280="","",INDEX(מלאי!$M$2:$M$500,$K280))</f>
        <v/>
      </c>
      <c r="F280" s="9">
        <f>IF($K280="","",INDEX(מלאי!$N$2:$N$500,$K280))</f>
        <v/>
      </c>
      <c r="G280" s="9">
        <f>IF($K280="","",INDEX(מלאי!$O$2:$O$500,$K280))</f>
        <v/>
      </c>
      <c r="H280" s="9">
        <f>IF($K280="","",INDEX(מלאי!$U$2:$U$500,$K280))</f>
        <v/>
      </c>
      <c r="I280" s="9">
        <f>IF($K280="","",INDEX(מלאי!$X$2:$X$500,$K280))</f>
        <v/>
      </c>
      <c r="J280" s="9">
        <f>IF($K280="","",INDEX(מלאי!$AC$2:$AC$500,$K280))</f>
        <v/>
      </c>
      <c r="K28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טכנולוגיים'!$A$2:$A$500,0))&lt;=$G$6),0))),ROW(מלאי!$A$2:$A$500)-ROW(מלאי!$A$2)+1,""),258),"")</f>
        <v/>
      </c>
      <c r="L280" s="9">
        <f>IF($K280="","",IFERROR(INDEX('ערכים טכנולוגיים'!$M$2:$M$500,MATCH(A280,'ערכים טכנולוגיים'!$A$2:$A$500,0)),""))</f>
        <v/>
      </c>
      <c r="M280" s="9">
        <f>IF($K280="","",IFERROR(INDEX('ערכים טכנולוגיים'!$F$2:$F$500,MATCH(A280,'ערכים טכנולוגיים'!$A$2:$A$500,0)),""))</f>
        <v/>
      </c>
      <c r="N280" s="9">
        <f>IF($K280="","",IFERROR(INDEX('ערכים טכנולוגיים'!$J$2:$J$500,MATCH(A280,'ערכים טכנולוגיים'!$A$2:$A$500,0)),""))</f>
        <v/>
      </c>
      <c r="O280" s="9">
        <f>IF($K280="","",IFERROR(INDEX('ערכים טכנולוגיים'!$G$2:$G$500,MATCH(A280,'ערכים טכנולוגיים'!$A$2:$A$500,0)),""))</f>
        <v/>
      </c>
      <c r="P280" s="9">
        <f>IF($K280="","",IFERROR(INDEX('ערכים טכנולוגיים'!$K$2:$K$500,MATCH(A280,'ערכים טכנולוגיים'!$A$2:$A$500,0)),""))</f>
        <v/>
      </c>
      <c r="Q280" s="9">
        <f>IF($K280="","",IFERROR(INDEX('ערכים טכנולוגיים'!$P$2:$P$500,MATCH(A280,'ערכים טכנולוגיים'!$A$2:$A$500,0)),""))</f>
        <v/>
      </c>
    </row>
    <row r="281">
      <c r="A281" s="8">
        <f>IF($K281="","",INDEX(מלאי!$D$2:$D$500,$K281))</f>
        <v/>
      </c>
      <c r="B281" s="8">
        <f>IF($K281="","",INDEX(מלאי!$B$2:$B$500,$K281))</f>
        <v/>
      </c>
      <c r="C281" s="8">
        <f>IF($K281="","",INDEX(מלאי!$C$2:$C$500,$K281))</f>
        <v/>
      </c>
      <c r="D281" s="8">
        <f>IF($K281="","",INDEX(מלאי!$G$2:$G$500,$K281))</f>
        <v/>
      </c>
      <c r="E281" s="8">
        <f>IF($K281="","",INDEX(מלאי!$M$2:$M$500,$K281))</f>
        <v/>
      </c>
      <c r="F281" s="8">
        <f>IF($K281="","",INDEX(מלאי!$N$2:$N$500,$K281))</f>
        <v/>
      </c>
      <c r="G281" s="8">
        <f>IF($K281="","",INDEX(מלאי!$O$2:$O$500,$K281))</f>
        <v/>
      </c>
      <c r="H281" s="8">
        <f>IF($K281="","",INDEX(מלאי!$U$2:$U$500,$K281))</f>
        <v/>
      </c>
      <c r="I281" s="8">
        <f>IF($K281="","",INDEX(מלאי!$X$2:$X$500,$K281))</f>
        <v/>
      </c>
      <c r="J281" s="8">
        <f>IF($K281="","",INDEX(מלאי!$AC$2:$AC$500,$K281))</f>
        <v/>
      </c>
      <c r="K28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טכנולוגיים'!$A$2:$A$500,0))&lt;=$G$6),0))),ROW(מלאי!$A$2:$A$500)-ROW(מלאי!$A$2)+1,""),259),"")</f>
        <v/>
      </c>
      <c r="L281" s="8">
        <f>IF($K281="","",IFERROR(INDEX('ערכים טכנולוגיים'!$M$2:$M$500,MATCH(A281,'ערכים טכנולוגיים'!$A$2:$A$500,0)),""))</f>
        <v/>
      </c>
      <c r="M281" s="8">
        <f>IF($K281="","",IFERROR(INDEX('ערכים טכנולוגיים'!$F$2:$F$500,MATCH(A281,'ערכים טכנולוגיים'!$A$2:$A$500,0)),""))</f>
        <v/>
      </c>
      <c r="N281" s="8">
        <f>IF($K281="","",IFERROR(INDEX('ערכים טכנולוגיים'!$J$2:$J$500,MATCH(A281,'ערכים טכנולוגיים'!$A$2:$A$500,0)),""))</f>
        <v/>
      </c>
      <c r="O281" s="8">
        <f>IF($K281="","",IFERROR(INDEX('ערכים טכנולוגיים'!$G$2:$G$500,MATCH(A281,'ערכים טכנולוגיים'!$A$2:$A$500,0)),""))</f>
        <v/>
      </c>
      <c r="P281" s="8">
        <f>IF($K281="","",IFERROR(INDEX('ערכים טכנולוגיים'!$K$2:$K$500,MATCH(A281,'ערכים טכנולוגיים'!$A$2:$A$500,0)),""))</f>
        <v/>
      </c>
      <c r="Q281" s="8">
        <f>IF($K281="","",IFERROR(INDEX('ערכים טכנולוגיים'!$P$2:$P$500,MATCH(A281,'ערכים טכנולוגיים'!$A$2:$A$500,0)),""))</f>
        <v/>
      </c>
    </row>
    <row r="282">
      <c r="A282" s="9">
        <f>IF($K282="","",INDEX(מלאי!$D$2:$D$500,$K282))</f>
        <v/>
      </c>
      <c r="B282" s="9">
        <f>IF($K282="","",INDEX(מלאי!$B$2:$B$500,$K282))</f>
        <v/>
      </c>
      <c r="C282" s="9">
        <f>IF($K282="","",INDEX(מלאי!$C$2:$C$500,$K282))</f>
        <v/>
      </c>
      <c r="D282" s="9">
        <f>IF($K282="","",INDEX(מלאי!$G$2:$G$500,$K282))</f>
        <v/>
      </c>
      <c r="E282" s="9">
        <f>IF($K282="","",INDEX(מלאי!$M$2:$M$500,$K282))</f>
        <v/>
      </c>
      <c r="F282" s="9">
        <f>IF($K282="","",INDEX(מלאי!$N$2:$N$500,$K282))</f>
        <v/>
      </c>
      <c r="G282" s="9">
        <f>IF($K282="","",INDEX(מלאי!$O$2:$O$500,$K282))</f>
        <v/>
      </c>
      <c r="H282" s="9">
        <f>IF($K282="","",INDEX(מלאי!$U$2:$U$500,$K282))</f>
        <v/>
      </c>
      <c r="I282" s="9">
        <f>IF($K282="","",INDEX(מלאי!$X$2:$X$500,$K282))</f>
        <v/>
      </c>
      <c r="J282" s="9">
        <f>IF($K282="","",INDEX(מלאי!$AC$2:$AC$500,$K282))</f>
        <v/>
      </c>
      <c r="K28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טכנולוגיים'!$A$2:$A$500,0))&lt;=$G$6),0))),ROW(מלאי!$A$2:$A$500)-ROW(מלאי!$A$2)+1,""),260),"")</f>
        <v/>
      </c>
      <c r="L282" s="9">
        <f>IF($K282="","",IFERROR(INDEX('ערכים טכנולוגיים'!$M$2:$M$500,MATCH(A282,'ערכים טכנולוגיים'!$A$2:$A$500,0)),""))</f>
        <v/>
      </c>
      <c r="M282" s="9">
        <f>IF($K282="","",IFERROR(INDEX('ערכים טכנולוגיים'!$F$2:$F$500,MATCH(A282,'ערכים טכנולוגיים'!$A$2:$A$500,0)),""))</f>
        <v/>
      </c>
      <c r="N282" s="9">
        <f>IF($K282="","",IFERROR(INDEX('ערכים טכנולוגיים'!$J$2:$J$500,MATCH(A282,'ערכים טכנולוגיים'!$A$2:$A$500,0)),""))</f>
        <v/>
      </c>
      <c r="O282" s="9">
        <f>IF($K282="","",IFERROR(INDEX('ערכים טכנולוגיים'!$G$2:$G$500,MATCH(A282,'ערכים טכנולוגיים'!$A$2:$A$500,0)),""))</f>
        <v/>
      </c>
      <c r="P282" s="9">
        <f>IF($K282="","",IFERROR(INDEX('ערכים טכנולוגיים'!$K$2:$K$500,MATCH(A282,'ערכים טכנולוגיים'!$A$2:$A$500,0)),""))</f>
        <v/>
      </c>
      <c r="Q282" s="9">
        <f>IF($K282="","",IFERROR(INDEX('ערכים טכנולוגיים'!$P$2:$P$500,MATCH(A282,'ערכים טכנולוגיים'!$A$2:$A$500,0)),""))</f>
        <v/>
      </c>
    </row>
    <row r="283">
      <c r="A283" s="8">
        <f>IF($K283="","",INDEX(מלאי!$D$2:$D$500,$K283))</f>
        <v/>
      </c>
      <c r="B283" s="8">
        <f>IF($K283="","",INDEX(מלאי!$B$2:$B$500,$K283))</f>
        <v/>
      </c>
      <c r="C283" s="8">
        <f>IF($K283="","",INDEX(מלאי!$C$2:$C$500,$K283))</f>
        <v/>
      </c>
      <c r="D283" s="8">
        <f>IF($K283="","",INDEX(מלאי!$G$2:$G$500,$K283))</f>
        <v/>
      </c>
      <c r="E283" s="8">
        <f>IF($K283="","",INDEX(מלאי!$M$2:$M$500,$K283))</f>
        <v/>
      </c>
      <c r="F283" s="8">
        <f>IF($K283="","",INDEX(מלאי!$N$2:$N$500,$K283))</f>
        <v/>
      </c>
      <c r="G283" s="8">
        <f>IF($K283="","",INDEX(מלאי!$O$2:$O$500,$K283))</f>
        <v/>
      </c>
      <c r="H283" s="8">
        <f>IF($K283="","",INDEX(מלאי!$U$2:$U$500,$K283))</f>
        <v/>
      </c>
      <c r="I283" s="8">
        <f>IF($K283="","",INDEX(מלאי!$X$2:$X$500,$K283))</f>
        <v/>
      </c>
      <c r="J283" s="8">
        <f>IF($K283="","",INDEX(מלאי!$AC$2:$AC$500,$K283))</f>
        <v/>
      </c>
      <c r="K28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טכנולוגיים'!$A$2:$A$500,0))&lt;=$G$6),0))),ROW(מלאי!$A$2:$A$500)-ROW(מלאי!$A$2)+1,""),261),"")</f>
        <v/>
      </c>
      <c r="L283" s="8">
        <f>IF($K283="","",IFERROR(INDEX('ערכים טכנולוגיים'!$M$2:$M$500,MATCH(A283,'ערכים טכנולוגיים'!$A$2:$A$500,0)),""))</f>
        <v/>
      </c>
      <c r="M283" s="8">
        <f>IF($K283="","",IFERROR(INDEX('ערכים טכנולוגיים'!$F$2:$F$500,MATCH(A283,'ערכים טכנולוגיים'!$A$2:$A$500,0)),""))</f>
        <v/>
      </c>
      <c r="N283" s="8">
        <f>IF($K283="","",IFERROR(INDEX('ערכים טכנולוגיים'!$J$2:$J$500,MATCH(A283,'ערכים טכנולוגיים'!$A$2:$A$500,0)),""))</f>
        <v/>
      </c>
      <c r="O283" s="8">
        <f>IF($K283="","",IFERROR(INDEX('ערכים טכנולוגיים'!$G$2:$G$500,MATCH(A283,'ערכים טכנולוגיים'!$A$2:$A$500,0)),""))</f>
        <v/>
      </c>
      <c r="P283" s="8">
        <f>IF($K283="","",IFERROR(INDEX('ערכים טכנולוגיים'!$K$2:$K$500,MATCH(A283,'ערכים טכנולוגיים'!$A$2:$A$500,0)),""))</f>
        <v/>
      </c>
      <c r="Q283" s="8">
        <f>IF($K283="","",IFERROR(INDEX('ערכים טכנולוגיים'!$P$2:$P$500,MATCH(A283,'ערכים טכנולוגיים'!$A$2:$A$500,0)),""))</f>
        <v/>
      </c>
    </row>
    <row r="284">
      <c r="A284" s="9">
        <f>IF($K284="","",INDEX(מלאי!$D$2:$D$500,$K284))</f>
        <v/>
      </c>
      <c r="B284" s="9">
        <f>IF($K284="","",INDEX(מלאי!$B$2:$B$500,$K284))</f>
        <v/>
      </c>
      <c r="C284" s="9">
        <f>IF($K284="","",INDEX(מלאי!$C$2:$C$500,$K284))</f>
        <v/>
      </c>
      <c r="D284" s="9">
        <f>IF($K284="","",INDEX(מלאי!$G$2:$G$500,$K284))</f>
        <v/>
      </c>
      <c r="E284" s="9">
        <f>IF($K284="","",INDEX(מלאי!$M$2:$M$500,$K284))</f>
        <v/>
      </c>
      <c r="F284" s="9">
        <f>IF($K284="","",INDEX(מלאי!$N$2:$N$500,$K284))</f>
        <v/>
      </c>
      <c r="G284" s="9">
        <f>IF($K284="","",INDEX(מלאי!$O$2:$O$500,$K284))</f>
        <v/>
      </c>
      <c r="H284" s="9">
        <f>IF($K284="","",INDEX(מלאי!$U$2:$U$500,$K284))</f>
        <v/>
      </c>
      <c r="I284" s="9">
        <f>IF($K284="","",INDEX(מלאי!$X$2:$X$500,$K284))</f>
        <v/>
      </c>
      <c r="J284" s="9">
        <f>IF($K284="","",INDEX(מלאי!$AC$2:$AC$500,$K284))</f>
        <v/>
      </c>
      <c r="K28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טכנולוגיים'!$A$2:$A$500,0))&lt;=$G$6),0))),ROW(מלאי!$A$2:$A$500)-ROW(מלאי!$A$2)+1,""),262),"")</f>
        <v/>
      </c>
      <c r="L284" s="9">
        <f>IF($K284="","",IFERROR(INDEX('ערכים טכנולוגיים'!$M$2:$M$500,MATCH(A284,'ערכים טכנולוגיים'!$A$2:$A$500,0)),""))</f>
        <v/>
      </c>
      <c r="M284" s="9">
        <f>IF($K284="","",IFERROR(INDEX('ערכים טכנולוגיים'!$F$2:$F$500,MATCH(A284,'ערכים טכנולוגיים'!$A$2:$A$500,0)),""))</f>
        <v/>
      </c>
      <c r="N284" s="9">
        <f>IF($K284="","",IFERROR(INDEX('ערכים טכנולוגיים'!$J$2:$J$500,MATCH(A284,'ערכים טכנולוגיים'!$A$2:$A$500,0)),""))</f>
        <v/>
      </c>
      <c r="O284" s="9">
        <f>IF($K284="","",IFERROR(INDEX('ערכים טכנולוגיים'!$G$2:$G$500,MATCH(A284,'ערכים טכנולוגיים'!$A$2:$A$500,0)),""))</f>
        <v/>
      </c>
      <c r="P284" s="9">
        <f>IF($K284="","",IFERROR(INDEX('ערכים טכנולוגיים'!$K$2:$K$500,MATCH(A284,'ערכים טכנולוגיים'!$A$2:$A$500,0)),""))</f>
        <v/>
      </c>
      <c r="Q284" s="9">
        <f>IF($K284="","",IFERROR(INDEX('ערכים טכנולוגיים'!$P$2:$P$500,MATCH(A284,'ערכים טכנולוגיים'!$A$2:$A$500,0)),""))</f>
        <v/>
      </c>
    </row>
    <row r="285">
      <c r="A285" s="8">
        <f>IF($K285="","",INDEX(מלאי!$D$2:$D$500,$K285))</f>
        <v/>
      </c>
      <c r="B285" s="8">
        <f>IF($K285="","",INDEX(מלאי!$B$2:$B$500,$K285))</f>
        <v/>
      </c>
      <c r="C285" s="8">
        <f>IF($K285="","",INDEX(מלאי!$C$2:$C$500,$K285))</f>
        <v/>
      </c>
      <c r="D285" s="8">
        <f>IF($K285="","",INDEX(מלאי!$G$2:$G$500,$K285))</f>
        <v/>
      </c>
      <c r="E285" s="8">
        <f>IF($K285="","",INDEX(מלאי!$M$2:$M$500,$K285))</f>
        <v/>
      </c>
      <c r="F285" s="8">
        <f>IF($K285="","",INDEX(מלאי!$N$2:$N$500,$K285))</f>
        <v/>
      </c>
      <c r="G285" s="8">
        <f>IF($K285="","",INDEX(מלאי!$O$2:$O$500,$K285))</f>
        <v/>
      </c>
      <c r="H285" s="8">
        <f>IF($K285="","",INDEX(מלאי!$U$2:$U$500,$K285))</f>
        <v/>
      </c>
      <c r="I285" s="8">
        <f>IF($K285="","",INDEX(מלאי!$X$2:$X$500,$K285))</f>
        <v/>
      </c>
      <c r="J285" s="8">
        <f>IF($K285="","",INDEX(מלאי!$AC$2:$AC$500,$K285))</f>
        <v/>
      </c>
      <c r="K28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טכנולוגיים'!$A$2:$A$500,0))&lt;=$G$6),0))),ROW(מלאי!$A$2:$A$500)-ROW(מלאי!$A$2)+1,""),263),"")</f>
        <v/>
      </c>
      <c r="L285" s="8">
        <f>IF($K285="","",IFERROR(INDEX('ערכים טכנולוגיים'!$M$2:$M$500,MATCH(A285,'ערכים טכנולוגיים'!$A$2:$A$500,0)),""))</f>
        <v/>
      </c>
      <c r="M285" s="8">
        <f>IF($K285="","",IFERROR(INDEX('ערכים טכנולוגיים'!$F$2:$F$500,MATCH(A285,'ערכים טכנולוגיים'!$A$2:$A$500,0)),""))</f>
        <v/>
      </c>
      <c r="N285" s="8">
        <f>IF($K285="","",IFERROR(INDEX('ערכים טכנולוגיים'!$J$2:$J$500,MATCH(A285,'ערכים טכנולוגיים'!$A$2:$A$500,0)),""))</f>
        <v/>
      </c>
      <c r="O285" s="8">
        <f>IF($K285="","",IFERROR(INDEX('ערכים טכנולוגיים'!$G$2:$G$500,MATCH(A285,'ערכים טכנולוגיים'!$A$2:$A$500,0)),""))</f>
        <v/>
      </c>
      <c r="P285" s="8">
        <f>IF($K285="","",IFERROR(INDEX('ערכים טכנולוגיים'!$K$2:$K$500,MATCH(A285,'ערכים טכנולוגיים'!$A$2:$A$500,0)),""))</f>
        <v/>
      </c>
      <c r="Q285" s="8">
        <f>IF($K285="","",IFERROR(INDEX('ערכים טכנולוגיים'!$P$2:$P$500,MATCH(A285,'ערכים טכנולוגיים'!$A$2:$A$500,0)),""))</f>
        <v/>
      </c>
    </row>
    <row r="286">
      <c r="A286" s="9">
        <f>IF($K286="","",INDEX(מלאי!$D$2:$D$500,$K286))</f>
        <v/>
      </c>
      <c r="B286" s="9">
        <f>IF($K286="","",INDEX(מלאי!$B$2:$B$500,$K286))</f>
        <v/>
      </c>
      <c r="C286" s="9">
        <f>IF($K286="","",INDEX(מלאי!$C$2:$C$500,$K286))</f>
        <v/>
      </c>
      <c r="D286" s="9">
        <f>IF($K286="","",INDEX(מלאי!$G$2:$G$500,$K286))</f>
        <v/>
      </c>
      <c r="E286" s="9">
        <f>IF($K286="","",INDEX(מלאי!$M$2:$M$500,$K286))</f>
        <v/>
      </c>
      <c r="F286" s="9">
        <f>IF($K286="","",INDEX(מלאי!$N$2:$N$500,$K286))</f>
        <v/>
      </c>
      <c r="G286" s="9">
        <f>IF($K286="","",INDEX(מלאי!$O$2:$O$500,$K286))</f>
        <v/>
      </c>
      <c r="H286" s="9">
        <f>IF($K286="","",INDEX(מלאי!$U$2:$U$500,$K286))</f>
        <v/>
      </c>
      <c r="I286" s="9">
        <f>IF($K286="","",INDEX(מלאי!$X$2:$X$500,$K286))</f>
        <v/>
      </c>
      <c r="J286" s="9">
        <f>IF($K286="","",INDEX(מלאי!$AC$2:$AC$500,$K286))</f>
        <v/>
      </c>
      <c r="K28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טכנולוגיים'!$A$2:$A$500,0))&lt;=$G$6),0))),ROW(מלאי!$A$2:$A$500)-ROW(מלאי!$A$2)+1,""),264),"")</f>
        <v/>
      </c>
      <c r="L286" s="9">
        <f>IF($K286="","",IFERROR(INDEX('ערכים טכנולוגיים'!$M$2:$M$500,MATCH(A286,'ערכים טכנולוגיים'!$A$2:$A$500,0)),""))</f>
        <v/>
      </c>
      <c r="M286" s="9">
        <f>IF($K286="","",IFERROR(INDEX('ערכים טכנולוגיים'!$F$2:$F$500,MATCH(A286,'ערכים טכנולוגיים'!$A$2:$A$500,0)),""))</f>
        <v/>
      </c>
      <c r="N286" s="9">
        <f>IF($K286="","",IFERROR(INDEX('ערכים טכנולוגיים'!$J$2:$J$500,MATCH(A286,'ערכים טכנולוגיים'!$A$2:$A$500,0)),""))</f>
        <v/>
      </c>
      <c r="O286" s="9">
        <f>IF($K286="","",IFERROR(INDEX('ערכים טכנולוגיים'!$G$2:$G$500,MATCH(A286,'ערכים טכנולוגיים'!$A$2:$A$500,0)),""))</f>
        <v/>
      </c>
      <c r="P286" s="9">
        <f>IF($K286="","",IFERROR(INDEX('ערכים טכנולוגיים'!$K$2:$K$500,MATCH(A286,'ערכים טכנולוגיים'!$A$2:$A$500,0)),""))</f>
        <v/>
      </c>
      <c r="Q286" s="9">
        <f>IF($K286="","",IFERROR(INDEX('ערכים טכנולוגיים'!$P$2:$P$500,MATCH(A286,'ערכים טכנולוגיים'!$A$2:$A$500,0)),""))</f>
        <v/>
      </c>
    </row>
    <row r="287">
      <c r="A287" s="8">
        <f>IF($K287="","",INDEX(מלאי!$D$2:$D$500,$K287))</f>
        <v/>
      </c>
      <c r="B287" s="8">
        <f>IF($K287="","",INDEX(מלאי!$B$2:$B$500,$K287))</f>
        <v/>
      </c>
      <c r="C287" s="8">
        <f>IF($K287="","",INDEX(מלאי!$C$2:$C$500,$K287))</f>
        <v/>
      </c>
      <c r="D287" s="8">
        <f>IF($K287="","",INDEX(מלאי!$G$2:$G$500,$K287))</f>
        <v/>
      </c>
      <c r="E287" s="8">
        <f>IF($K287="","",INDEX(מלאי!$M$2:$M$500,$K287))</f>
        <v/>
      </c>
      <c r="F287" s="8">
        <f>IF($K287="","",INDEX(מלאי!$N$2:$N$500,$K287))</f>
        <v/>
      </c>
      <c r="G287" s="8">
        <f>IF($K287="","",INDEX(מלאי!$O$2:$O$500,$K287))</f>
        <v/>
      </c>
      <c r="H287" s="8">
        <f>IF($K287="","",INDEX(מלאי!$U$2:$U$500,$K287))</f>
        <v/>
      </c>
      <c r="I287" s="8">
        <f>IF($K287="","",INDEX(מלאי!$X$2:$X$500,$K287))</f>
        <v/>
      </c>
      <c r="J287" s="8">
        <f>IF($K287="","",INDEX(מלאי!$AC$2:$AC$500,$K287))</f>
        <v/>
      </c>
      <c r="K28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טכנולוגיים'!$A$2:$A$500,0))&lt;=$G$6),0))),ROW(מלאי!$A$2:$A$500)-ROW(מלאי!$A$2)+1,""),265),"")</f>
        <v/>
      </c>
      <c r="L287" s="8">
        <f>IF($K287="","",IFERROR(INDEX('ערכים טכנולוגיים'!$M$2:$M$500,MATCH(A287,'ערכים טכנולוגיים'!$A$2:$A$500,0)),""))</f>
        <v/>
      </c>
      <c r="M287" s="8">
        <f>IF($K287="","",IFERROR(INDEX('ערכים טכנולוגיים'!$F$2:$F$500,MATCH(A287,'ערכים טכנולוגיים'!$A$2:$A$500,0)),""))</f>
        <v/>
      </c>
      <c r="N287" s="8">
        <f>IF($K287="","",IFERROR(INDEX('ערכים טכנולוגיים'!$J$2:$J$500,MATCH(A287,'ערכים טכנולוגיים'!$A$2:$A$500,0)),""))</f>
        <v/>
      </c>
      <c r="O287" s="8">
        <f>IF($K287="","",IFERROR(INDEX('ערכים טכנולוגיים'!$G$2:$G$500,MATCH(A287,'ערכים טכנולוגיים'!$A$2:$A$500,0)),""))</f>
        <v/>
      </c>
      <c r="P287" s="8">
        <f>IF($K287="","",IFERROR(INDEX('ערכים טכנולוגיים'!$K$2:$K$500,MATCH(A287,'ערכים טכנולוגיים'!$A$2:$A$500,0)),""))</f>
        <v/>
      </c>
      <c r="Q287" s="8">
        <f>IF($K287="","",IFERROR(INDEX('ערכים טכנולוגיים'!$P$2:$P$500,MATCH(A287,'ערכים טכנולוגיים'!$A$2:$A$500,0)),""))</f>
        <v/>
      </c>
    </row>
    <row r="288">
      <c r="A288" s="9">
        <f>IF($K288="","",INDEX(מלאי!$D$2:$D$500,$K288))</f>
        <v/>
      </c>
      <c r="B288" s="9">
        <f>IF($K288="","",INDEX(מלאי!$B$2:$B$500,$K288))</f>
        <v/>
      </c>
      <c r="C288" s="9">
        <f>IF($K288="","",INDEX(מלאי!$C$2:$C$500,$K288))</f>
        <v/>
      </c>
      <c r="D288" s="9">
        <f>IF($K288="","",INDEX(מלאי!$G$2:$G$500,$K288))</f>
        <v/>
      </c>
      <c r="E288" s="9">
        <f>IF($K288="","",INDEX(מלאי!$M$2:$M$500,$K288))</f>
        <v/>
      </c>
      <c r="F288" s="9">
        <f>IF($K288="","",INDEX(מלאי!$N$2:$N$500,$K288))</f>
        <v/>
      </c>
      <c r="G288" s="9">
        <f>IF($K288="","",INDEX(מלאי!$O$2:$O$500,$K288))</f>
        <v/>
      </c>
      <c r="H288" s="9">
        <f>IF($K288="","",INDEX(מלאי!$U$2:$U$500,$K288))</f>
        <v/>
      </c>
      <c r="I288" s="9">
        <f>IF($K288="","",INDEX(מלאי!$X$2:$X$500,$K288))</f>
        <v/>
      </c>
      <c r="J288" s="9">
        <f>IF($K288="","",INDEX(מלאי!$AC$2:$AC$500,$K288))</f>
        <v/>
      </c>
      <c r="K28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טכנולוגיים'!$A$2:$A$500,0))&lt;=$G$6),0))),ROW(מלאי!$A$2:$A$500)-ROW(מלאי!$A$2)+1,""),266),"")</f>
        <v/>
      </c>
      <c r="L288" s="9">
        <f>IF($K288="","",IFERROR(INDEX('ערכים טכנולוגיים'!$M$2:$M$500,MATCH(A288,'ערכים טכנולוגיים'!$A$2:$A$500,0)),""))</f>
        <v/>
      </c>
      <c r="M288" s="9">
        <f>IF($K288="","",IFERROR(INDEX('ערכים טכנולוגיים'!$F$2:$F$500,MATCH(A288,'ערכים טכנולוגיים'!$A$2:$A$500,0)),""))</f>
        <v/>
      </c>
      <c r="N288" s="9">
        <f>IF($K288="","",IFERROR(INDEX('ערכים טכנולוגיים'!$J$2:$J$500,MATCH(A288,'ערכים טכנולוגיים'!$A$2:$A$500,0)),""))</f>
        <v/>
      </c>
      <c r="O288" s="9">
        <f>IF($K288="","",IFERROR(INDEX('ערכים טכנולוגיים'!$G$2:$G$500,MATCH(A288,'ערכים טכנולוגיים'!$A$2:$A$500,0)),""))</f>
        <v/>
      </c>
      <c r="P288" s="9">
        <f>IF($K288="","",IFERROR(INDEX('ערכים טכנולוגיים'!$K$2:$K$500,MATCH(A288,'ערכים טכנולוגיים'!$A$2:$A$500,0)),""))</f>
        <v/>
      </c>
      <c r="Q288" s="9">
        <f>IF($K288="","",IFERROR(INDEX('ערכים טכנולוגיים'!$P$2:$P$500,MATCH(A288,'ערכים טכנולוגיים'!$A$2:$A$500,0)),""))</f>
        <v/>
      </c>
    </row>
    <row r="289">
      <c r="A289" s="8">
        <f>IF($K289="","",INDEX(מלאי!$D$2:$D$500,$K289))</f>
        <v/>
      </c>
      <c r="B289" s="8">
        <f>IF($K289="","",INDEX(מלאי!$B$2:$B$500,$K289))</f>
        <v/>
      </c>
      <c r="C289" s="8">
        <f>IF($K289="","",INDEX(מלאי!$C$2:$C$500,$K289))</f>
        <v/>
      </c>
      <c r="D289" s="8">
        <f>IF($K289="","",INDEX(מלאי!$G$2:$G$500,$K289))</f>
        <v/>
      </c>
      <c r="E289" s="8">
        <f>IF($K289="","",INDEX(מלאי!$M$2:$M$500,$K289))</f>
        <v/>
      </c>
      <c r="F289" s="8">
        <f>IF($K289="","",INDEX(מלאי!$N$2:$N$500,$K289))</f>
        <v/>
      </c>
      <c r="G289" s="8">
        <f>IF($K289="","",INDEX(מלאי!$O$2:$O$500,$K289))</f>
        <v/>
      </c>
      <c r="H289" s="8">
        <f>IF($K289="","",INDEX(מלאי!$U$2:$U$500,$K289))</f>
        <v/>
      </c>
      <c r="I289" s="8">
        <f>IF($K289="","",INDEX(מלאי!$X$2:$X$500,$K289))</f>
        <v/>
      </c>
      <c r="J289" s="8">
        <f>IF($K289="","",INDEX(מלאי!$AC$2:$AC$500,$K289))</f>
        <v/>
      </c>
      <c r="K28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טכנולוגיים'!$A$2:$A$500,0))&lt;=$G$6),0))),ROW(מלאי!$A$2:$A$500)-ROW(מלאי!$A$2)+1,""),267),"")</f>
        <v/>
      </c>
      <c r="L289" s="8">
        <f>IF($K289="","",IFERROR(INDEX('ערכים טכנולוגיים'!$M$2:$M$500,MATCH(A289,'ערכים טכנולוגיים'!$A$2:$A$500,0)),""))</f>
        <v/>
      </c>
      <c r="M289" s="8">
        <f>IF($K289="","",IFERROR(INDEX('ערכים טכנולוגיים'!$F$2:$F$500,MATCH(A289,'ערכים טכנולוגיים'!$A$2:$A$500,0)),""))</f>
        <v/>
      </c>
      <c r="N289" s="8">
        <f>IF($K289="","",IFERROR(INDEX('ערכים טכנולוגיים'!$J$2:$J$500,MATCH(A289,'ערכים טכנולוגיים'!$A$2:$A$500,0)),""))</f>
        <v/>
      </c>
      <c r="O289" s="8">
        <f>IF($K289="","",IFERROR(INDEX('ערכים טכנולוגיים'!$G$2:$G$500,MATCH(A289,'ערכים טכנולוגיים'!$A$2:$A$500,0)),""))</f>
        <v/>
      </c>
      <c r="P289" s="8">
        <f>IF($K289="","",IFERROR(INDEX('ערכים טכנולוגיים'!$K$2:$K$500,MATCH(A289,'ערכים טכנולוגיים'!$A$2:$A$500,0)),""))</f>
        <v/>
      </c>
      <c r="Q289" s="8">
        <f>IF($K289="","",IFERROR(INDEX('ערכים טכנולוגיים'!$P$2:$P$500,MATCH(A289,'ערכים טכנולוגיים'!$A$2:$A$500,0)),""))</f>
        <v/>
      </c>
    </row>
    <row r="290">
      <c r="A290" s="9">
        <f>IF($K290="","",INDEX(מלאי!$D$2:$D$500,$K290))</f>
        <v/>
      </c>
      <c r="B290" s="9">
        <f>IF($K290="","",INDEX(מלאי!$B$2:$B$500,$K290))</f>
        <v/>
      </c>
      <c r="C290" s="9">
        <f>IF($K290="","",INDEX(מלאי!$C$2:$C$500,$K290))</f>
        <v/>
      </c>
      <c r="D290" s="9">
        <f>IF($K290="","",INDEX(מלאי!$G$2:$G$500,$K290))</f>
        <v/>
      </c>
      <c r="E290" s="9">
        <f>IF($K290="","",INDEX(מלאי!$M$2:$M$500,$K290))</f>
        <v/>
      </c>
      <c r="F290" s="9">
        <f>IF($K290="","",INDEX(מלאי!$N$2:$N$500,$K290))</f>
        <v/>
      </c>
      <c r="G290" s="9">
        <f>IF($K290="","",INDEX(מלאי!$O$2:$O$500,$K290))</f>
        <v/>
      </c>
      <c r="H290" s="9">
        <f>IF($K290="","",INDEX(מלאי!$U$2:$U$500,$K290))</f>
        <v/>
      </c>
      <c r="I290" s="9">
        <f>IF($K290="","",INDEX(מלאי!$X$2:$X$500,$K290))</f>
        <v/>
      </c>
      <c r="J290" s="9">
        <f>IF($K290="","",INDEX(מלאי!$AC$2:$AC$500,$K290))</f>
        <v/>
      </c>
      <c r="K29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טכנולוגיים'!$A$2:$A$500,0))&lt;=$G$6),0))),ROW(מלאי!$A$2:$A$500)-ROW(מלאי!$A$2)+1,""),268),"")</f>
        <v/>
      </c>
      <c r="L290" s="9">
        <f>IF($K290="","",IFERROR(INDEX('ערכים טכנולוגיים'!$M$2:$M$500,MATCH(A290,'ערכים טכנולוגיים'!$A$2:$A$500,0)),""))</f>
        <v/>
      </c>
      <c r="M290" s="9">
        <f>IF($K290="","",IFERROR(INDEX('ערכים טכנולוגיים'!$F$2:$F$500,MATCH(A290,'ערכים טכנולוגיים'!$A$2:$A$500,0)),""))</f>
        <v/>
      </c>
      <c r="N290" s="9">
        <f>IF($K290="","",IFERROR(INDEX('ערכים טכנולוגיים'!$J$2:$J$500,MATCH(A290,'ערכים טכנולוגיים'!$A$2:$A$500,0)),""))</f>
        <v/>
      </c>
      <c r="O290" s="9">
        <f>IF($K290="","",IFERROR(INDEX('ערכים טכנולוגיים'!$G$2:$G$500,MATCH(A290,'ערכים טכנולוגיים'!$A$2:$A$500,0)),""))</f>
        <v/>
      </c>
      <c r="P290" s="9">
        <f>IF($K290="","",IFERROR(INDEX('ערכים טכנולוגיים'!$K$2:$K$500,MATCH(A290,'ערכים טכנולוגיים'!$A$2:$A$500,0)),""))</f>
        <v/>
      </c>
      <c r="Q290" s="9">
        <f>IF($K290="","",IFERROR(INDEX('ערכים טכנולוגיים'!$P$2:$P$500,MATCH(A290,'ערכים טכנולוגיים'!$A$2:$A$500,0)),""))</f>
        <v/>
      </c>
    </row>
    <row r="291">
      <c r="A291" s="8">
        <f>IF($K291="","",INDEX(מלאי!$D$2:$D$500,$K291))</f>
        <v/>
      </c>
      <c r="B291" s="8">
        <f>IF($K291="","",INDEX(מלאי!$B$2:$B$500,$K291))</f>
        <v/>
      </c>
      <c r="C291" s="8">
        <f>IF($K291="","",INDEX(מלאי!$C$2:$C$500,$K291))</f>
        <v/>
      </c>
      <c r="D291" s="8">
        <f>IF($K291="","",INDEX(מלאי!$G$2:$G$500,$K291))</f>
        <v/>
      </c>
      <c r="E291" s="8">
        <f>IF($K291="","",INDEX(מלאי!$M$2:$M$500,$K291))</f>
        <v/>
      </c>
      <c r="F291" s="8">
        <f>IF($K291="","",INDEX(מלאי!$N$2:$N$500,$K291))</f>
        <v/>
      </c>
      <c r="G291" s="8">
        <f>IF($K291="","",INDEX(מלאי!$O$2:$O$500,$K291))</f>
        <v/>
      </c>
      <c r="H291" s="8">
        <f>IF($K291="","",INDEX(מלאי!$U$2:$U$500,$K291))</f>
        <v/>
      </c>
      <c r="I291" s="8">
        <f>IF($K291="","",INDEX(מלאי!$X$2:$X$500,$K291))</f>
        <v/>
      </c>
      <c r="J291" s="8">
        <f>IF($K291="","",INDEX(מלאי!$AC$2:$AC$500,$K291))</f>
        <v/>
      </c>
      <c r="K29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טכנולוגיים'!$A$2:$A$500,0))&lt;=$G$6),0))),ROW(מלאי!$A$2:$A$500)-ROW(מלאי!$A$2)+1,""),269),"")</f>
        <v/>
      </c>
      <c r="L291" s="8">
        <f>IF($K291="","",IFERROR(INDEX('ערכים טכנולוגיים'!$M$2:$M$500,MATCH(A291,'ערכים טכנולוגיים'!$A$2:$A$500,0)),""))</f>
        <v/>
      </c>
      <c r="M291" s="8">
        <f>IF($K291="","",IFERROR(INDEX('ערכים טכנולוגיים'!$F$2:$F$500,MATCH(A291,'ערכים טכנולוגיים'!$A$2:$A$500,0)),""))</f>
        <v/>
      </c>
      <c r="N291" s="8">
        <f>IF($K291="","",IFERROR(INDEX('ערכים טכנולוגיים'!$J$2:$J$500,MATCH(A291,'ערכים טכנולוגיים'!$A$2:$A$500,0)),""))</f>
        <v/>
      </c>
      <c r="O291" s="8">
        <f>IF($K291="","",IFERROR(INDEX('ערכים טכנולוגיים'!$G$2:$G$500,MATCH(A291,'ערכים טכנולוגיים'!$A$2:$A$500,0)),""))</f>
        <v/>
      </c>
      <c r="P291" s="8">
        <f>IF($K291="","",IFERROR(INDEX('ערכים טכנולוגיים'!$K$2:$K$500,MATCH(A291,'ערכים טכנולוגיים'!$A$2:$A$500,0)),""))</f>
        <v/>
      </c>
      <c r="Q291" s="8">
        <f>IF($K291="","",IFERROR(INDEX('ערכים טכנולוגיים'!$P$2:$P$500,MATCH(A291,'ערכים טכנולוגיים'!$A$2:$A$500,0)),""))</f>
        <v/>
      </c>
    </row>
    <row r="292">
      <c r="A292" s="9">
        <f>IF($K292="","",INDEX(מלאי!$D$2:$D$500,$K292))</f>
        <v/>
      </c>
      <c r="B292" s="9">
        <f>IF($K292="","",INDEX(מלאי!$B$2:$B$500,$K292))</f>
        <v/>
      </c>
      <c r="C292" s="9">
        <f>IF($K292="","",INDEX(מלאי!$C$2:$C$500,$K292))</f>
        <v/>
      </c>
      <c r="D292" s="9">
        <f>IF($K292="","",INDEX(מלאי!$G$2:$G$500,$K292))</f>
        <v/>
      </c>
      <c r="E292" s="9">
        <f>IF($K292="","",INDEX(מלאי!$M$2:$M$500,$K292))</f>
        <v/>
      </c>
      <c r="F292" s="9">
        <f>IF($K292="","",INDEX(מלאי!$N$2:$N$500,$K292))</f>
        <v/>
      </c>
      <c r="G292" s="9">
        <f>IF($K292="","",INDEX(מלאי!$O$2:$O$500,$K292))</f>
        <v/>
      </c>
      <c r="H292" s="9">
        <f>IF($K292="","",INDEX(מלאי!$U$2:$U$500,$K292))</f>
        <v/>
      </c>
      <c r="I292" s="9">
        <f>IF($K292="","",INDEX(מלאי!$X$2:$X$500,$K292))</f>
        <v/>
      </c>
      <c r="J292" s="9">
        <f>IF($K292="","",INDEX(מלאי!$AC$2:$AC$500,$K292))</f>
        <v/>
      </c>
      <c r="K29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טכנולוגיים'!$A$2:$A$500,0))&lt;=$G$6),0))),ROW(מלאי!$A$2:$A$500)-ROW(מלאי!$A$2)+1,""),270),"")</f>
        <v/>
      </c>
      <c r="L292" s="9">
        <f>IF($K292="","",IFERROR(INDEX('ערכים טכנולוגיים'!$M$2:$M$500,MATCH(A292,'ערכים טכנולוגיים'!$A$2:$A$500,0)),""))</f>
        <v/>
      </c>
      <c r="M292" s="9">
        <f>IF($K292="","",IFERROR(INDEX('ערכים טכנולוגיים'!$F$2:$F$500,MATCH(A292,'ערכים טכנולוגיים'!$A$2:$A$500,0)),""))</f>
        <v/>
      </c>
      <c r="N292" s="9">
        <f>IF($K292="","",IFERROR(INDEX('ערכים טכנולוגיים'!$J$2:$J$500,MATCH(A292,'ערכים טכנולוגיים'!$A$2:$A$500,0)),""))</f>
        <v/>
      </c>
      <c r="O292" s="9">
        <f>IF($K292="","",IFERROR(INDEX('ערכים טכנולוגיים'!$G$2:$G$500,MATCH(A292,'ערכים טכנולוגיים'!$A$2:$A$500,0)),""))</f>
        <v/>
      </c>
      <c r="P292" s="9">
        <f>IF($K292="","",IFERROR(INDEX('ערכים טכנולוגיים'!$K$2:$K$500,MATCH(A292,'ערכים טכנולוגיים'!$A$2:$A$500,0)),""))</f>
        <v/>
      </c>
      <c r="Q292" s="9">
        <f>IF($K292="","",IFERROR(INDEX('ערכים טכנולוגיים'!$P$2:$P$500,MATCH(A292,'ערכים טכנולוגיים'!$A$2:$A$500,0)),""))</f>
        <v/>
      </c>
    </row>
    <row r="293">
      <c r="A293" s="8">
        <f>IF($K293="","",INDEX(מלאי!$D$2:$D$500,$K293))</f>
        <v/>
      </c>
      <c r="B293" s="8">
        <f>IF($K293="","",INDEX(מלאי!$B$2:$B$500,$K293))</f>
        <v/>
      </c>
      <c r="C293" s="8">
        <f>IF($K293="","",INDEX(מלאי!$C$2:$C$500,$K293))</f>
        <v/>
      </c>
      <c r="D293" s="8">
        <f>IF($K293="","",INDEX(מלאי!$G$2:$G$500,$K293))</f>
        <v/>
      </c>
      <c r="E293" s="8">
        <f>IF($K293="","",INDEX(מלאי!$M$2:$M$500,$K293))</f>
        <v/>
      </c>
      <c r="F293" s="8">
        <f>IF($K293="","",INDEX(מלאי!$N$2:$N$500,$K293))</f>
        <v/>
      </c>
      <c r="G293" s="8">
        <f>IF($K293="","",INDEX(מלאי!$O$2:$O$500,$K293))</f>
        <v/>
      </c>
      <c r="H293" s="8">
        <f>IF($K293="","",INDEX(מלאי!$U$2:$U$500,$K293))</f>
        <v/>
      </c>
      <c r="I293" s="8">
        <f>IF($K293="","",INDEX(מלאי!$X$2:$X$500,$K293))</f>
        <v/>
      </c>
      <c r="J293" s="8">
        <f>IF($K293="","",INDEX(מלאי!$AC$2:$AC$500,$K293))</f>
        <v/>
      </c>
      <c r="K29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טכנולוגיים'!$A$2:$A$500,0))&lt;=$G$6),0))),ROW(מלאי!$A$2:$A$500)-ROW(מלאי!$A$2)+1,""),271),"")</f>
        <v/>
      </c>
      <c r="L293" s="8">
        <f>IF($K293="","",IFERROR(INDEX('ערכים טכנולוגיים'!$M$2:$M$500,MATCH(A293,'ערכים טכנולוגיים'!$A$2:$A$500,0)),""))</f>
        <v/>
      </c>
      <c r="M293" s="8">
        <f>IF($K293="","",IFERROR(INDEX('ערכים טכנולוגיים'!$F$2:$F$500,MATCH(A293,'ערכים טכנולוגיים'!$A$2:$A$500,0)),""))</f>
        <v/>
      </c>
      <c r="N293" s="8">
        <f>IF($K293="","",IFERROR(INDEX('ערכים טכנולוגיים'!$J$2:$J$500,MATCH(A293,'ערכים טכנולוגיים'!$A$2:$A$500,0)),""))</f>
        <v/>
      </c>
      <c r="O293" s="8">
        <f>IF($K293="","",IFERROR(INDEX('ערכים טכנולוגיים'!$G$2:$G$500,MATCH(A293,'ערכים טכנולוגיים'!$A$2:$A$500,0)),""))</f>
        <v/>
      </c>
      <c r="P293" s="8">
        <f>IF($K293="","",IFERROR(INDEX('ערכים טכנולוגיים'!$K$2:$K$500,MATCH(A293,'ערכים טכנולוגיים'!$A$2:$A$500,0)),""))</f>
        <v/>
      </c>
      <c r="Q293" s="8">
        <f>IF($K293="","",IFERROR(INDEX('ערכים טכנולוגיים'!$P$2:$P$500,MATCH(A293,'ערכים טכנולוגיים'!$A$2:$A$500,0)),""))</f>
        <v/>
      </c>
    </row>
    <row r="294">
      <c r="A294" s="9">
        <f>IF($K294="","",INDEX(מלאי!$D$2:$D$500,$K294))</f>
        <v/>
      </c>
      <c r="B294" s="9">
        <f>IF($K294="","",INDEX(מלאי!$B$2:$B$500,$K294))</f>
        <v/>
      </c>
      <c r="C294" s="9">
        <f>IF($K294="","",INDEX(מלאי!$C$2:$C$500,$K294))</f>
        <v/>
      </c>
      <c r="D294" s="9">
        <f>IF($K294="","",INDEX(מלאי!$G$2:$G$500,$K294))</f>
        <v/>
      </c>
      <c r="E294" s="9">
        <f>IF($K294="","",INDEX(מלאי!$M$2:$M$500,$K294))</f>
        <v/>
      </c>
      <c r="F294" s="9">
        <f>IF($K294="","",INDEX(מלאי!$N$2:$N$500,$K294))</f>
        <v/>
      </c>
      <c r="G294" s="9">
        <f>IF($K294="","",INDEX(מלאי!$O$2:$O$500,$K294))</f>
        <v/>
      </c>
      <c r="H294" s="9">
        <f>IF($K294="","",INDEX(מלאי!$U$2:$U$500,$K294))</f>
        <v/>
      </c>
      <c r="I294" s="9">
        <f>IF($K294="","",INDEX(מלאי!$X$2:$X$500,$K294))</f>
        <v/>
      </c>
      <c r="J294" s="9">
        <f>IF($K294="","",INDEX(מלאי!$AC$2:$AC$500,$K294))</f>
        <v/>
      </c>
      <c r="K29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טכנולוגיים'!$A$2:$A$500,0))&lt;=$G$6),0))),ROW(מלאי!$A$2:$A$500)-ROW(מלאי!$A$2)+1,""),272),"")</f>
        <v/>
      </c>
      <c r="L294" s="9">
        <f>IF($K294="","",IFERROR(INDEX('ערכים טכנולוגיים'!$M$2:$M$500,MATCH(A294,'ערכים טכנולוגיים'!$A$2:$A$500,0)),""))</f>
        <v/>
      </c>
      <c r="M294" s="9">
        <f>IF($K294="","",IFERROR(INDEX('ערכים טכנולוגיים'!$F$2:$F$500,MATCH(A294,'ערכים טכנולוגיים'!$A$2:$A$500,0)),""))</f>
        <v/>
      </c>
      <c r="N294" s="9">
        <f>IF($K294="","",IFERROR(INDEX('ערכים טכנולוגיים'!$J$2:$J$500,MATCH(A294,'ערכים טכנולוגיים'!$A$2:$A$500,0)),""))</f>
        <v/>
      </c>
      <c r="O294" s="9">
        <f>IF($K294="","",IFERROR(INDEX('ערכים טכנולוגיים'!$G$2:$G$500,MATCH(A294,'ערכים טכנולוגיים'!$A$2:$A$500,0)),""))</f>
        <v/>
      </c>
      <c r="P294" s="9">
        <f>IF($K294="","",IFERROR(INDEX('ערכים טכנולוגיים'!$K$2:$K$500,MATCH(A294,'ערכים טכנולוגיים'!$A$2:$A$500,0)),""))</f>
        <v/>
      </c>
      <c r="Q294" s="9">
        <f>IF($K294="","",IFERROR(INDEX('ערכים טכנולוגיים'!$P$2:$P$500,MATCH(A294,'ערכים טכנולוגיים'!$A$2:$A$500,0)),""))</f>
        <v/>
      </c>
    </row>
    <row r="295">
      <c r="A295" s="8">
        <f>IF($K295="","",INDEX(מלאי!$D$2:$D$500,$K295))</f>
        <v/>
      </c>
      <c r="B295" s="8">
        <f>IF($K295="","",INDEX(מלאי!$B$2:$B$500,$K295))</f>
        <v/>
      </c>
      <c r="C295" s="8">
        <f>IF($K295="","",INDEX(מלאי!$C$2:$C$500,$K295))</f>
        <v/>
      </c>
      <c r="D295" s="8">
        <f>IF($K295="","",INDEX(מלאי!$G$2:$G$500,$K295))</f>
        <v/>
      </c>
      <c r="E295" s="8">
        <f>IF($K295="","",INDEX(מלאי!$M$2:$M$500,$K295))</f>
        <v/>
      </c>
      <c r="F295" s="8">
        <f>IF($K295="","",INDEX(מלאי!$N$2:$N$500,$K295))</f>
        <v/>
      </c>
      <c r="G295" s="8">
        <f>IF($K295="","",INDEX(מלאי!$O$2:$O$500,$K295))</f>
        <v/>
      </c>
      <c r="H295" s="8">
        <f>IF($K295="","",INDEX(מלאי!$U$2:$U$500,$K295))</f>
        <v/>
      </c>
      <c r="I295" s="8">
        <f>IF($K295="","",INDEX(מלאי!$X$2:$X$500,$K295))</f>
        <v/>
      </c>
      <c r="J295" s="8">
        <f>IF($K295="","",INDEX(מלאי!$AC$2:$AC$500,$K295))</f>
        <v/>
      </c>
      <c r="K29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טכנולוגיים'!$A$2:$A$500,0))&lt;=$G$6),0))),ROW(מלאי!$A$2:$A$500)-ROW(מלאי!$A$2)+1,""),273),"")</f>
        <v/>
      </c>
      <c r="L295" s="8">
        <f>IF($K295="","",IFERROR(INDEX('ערכים טכנולוגיים'!$M$2:$M$500,MATCH(A295,'ערכים טכנולוגיים'!$A$2:$A$500,0)),""))</f>
        <v/>
      </c>
      <c r="M295" s="8">
        <f>IF($K295="","",IFERROR(INDEX('ערכים טכנולוגיים'!$F$2:$F$500,MATCH(A295,'ערכים טכנולוגיים'!$A$2:$A$500,0)),""))</f>
        <v/>
      </c>
      <c r="N295" s="8">
        <f>IF($K295="","",IFERROR(INDEX('ערכים טכנולוגיים'!$J$2:$J$500,MATCH(A295,'ערכים טכנולוגיים'!$A$2:$A$500,0)),""))</f>
        <v/>
      </c>
      <c r="O295" s="8">
        <f>IF($K295="","",IFERROR(INDEX('ערכים טכנולוגיים'!$G$2:$G$500,MATCH(A295,'ערכים טכנולוגיים'!$A$2:$A$500,0)),""))</f>
        <v/>
      </c>
      <c r="P295" s="8">
        <f>IF($K295="","",IFERROR(INDEX('ערכים טכנולוגיים'!$K$2:$K$500,MATCH(A295,'ערכים טכנולוגיים'!$A$2:$A$500,0)),""))</f>
        <v/>
      </c>
      <c r="Q295" s="8">
        <f>IF($K295="","",IFERROR(INDEX('ערכים טכנולוגיים'!$P$2:$P$500,MATCH(A295,'ערכים טכנולוגיים'!$A$2:$A$500,0)),""))</f>
        <v/>
      </c>
    </row>
    <row r="296">
      <c r="A296" s="9">
        <f>IF($K296="","",INDEX(מלאי!$D$2:$D$500,$K296))</f>
        <v/>
      </c>
      <c r="B296" s="9">
        <f>IF($K296="","",INDEX(מלאי!$B$2:$B$500,$K296))</f>
        <v/>
      </c>
      <c r="C296" s="9">
        <f>IF($K296="","",INDEX(מלאי!$C$2:$C$500,$K296))</f>
        <v/>
      </c>
      <c r="D296" s="9">
        <f>IF($K296="","",INDEX(מלאי!$G$2:$G$500,$K296))</f>
        <v/>
      </c>
      <c r="E296" s="9">
        <f>IF($K296="","",INDEX(מלאי!$M$2:$M$500,$K296))</f>
        <v/>
      </c>
      <c r="F296" s="9">
        <f>IF($K296="","",INDEX(מלאי!$N$2:$N$500,$K296))</f>
        <v/>
      </c>
      <c r="G296" s="9">
        <f>IF($K296="","",INDEX(מלאי!$O$2:$O$500,$K296))</f>
        <v/>
      </c>
      <c r="H296" s="9">
        <f>IF($K296="","",INDEX(מלאי!$U$2:$U$500,$K296))</f>
        <v/>
      </c>
      <c r="I296" s="9">
        <f>IF($K296="","",INDEX(מלאי!$X$2:$X$500,$K296))</f>
        <v/>
      </c>
      <c r="J296" s="9">
        <f>IF($K296="","",INDEX(מלאי!$AC$2:$AC$500,$K296))</f>
        <v/>
      </c>
      <c r="K29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טכנולוגיים'!$A$2:$A$500,0))&lt;=$G$6),0))),ROW(מלאי!$A$2:$A$500)-ROW(מלאי!$A$2)+1,""),274),"")</f>
        <v/>
      </c>
      <c r="L296" s="9">
        <f>IF($K296="","",IFERROR(INDEX('ערכים טכנולוגיים'!$M$2:$M$500,MATCH(A296,'ערכים טכנולוגיים'!$A$2:$A$500,0)),""))</f>
        <v/>
      </c>
      <c r="M296" s="9">
        <f>IF($K296="","",IFERROR(INDEX('ערכים טכנולוגיים'!$F$2:$F$500,MATCH(A296,'ערכים טכנולוגיים'!$A$2:$A$500,0)),""))</f>
        <v/>
      </c>
      <c r="N296" s="9">
        <f>IF($K296="","",IFERROR(INDEX('ערכים טכנולוגיים'!$J$2:$J$500,MATCH(A296,'ערכים טכנולוגיים'!$A$2:$A$500,0)),""))</f>
        <v/>
      </c>
      <c r="O296" s="9">
        <f>IF($K296="","",IFERROR(INDEX('ערכים טכנולוגיים'!$G$2:$G$500,MATCH(A296,'ערכים טכנולוגיים'!$A$2:$A$500,0)),""))</f>
        <v/>
      </c>
      <c r="P296" s="9">
        <f>IF($K296="","",IFERROR(INDEX('ערכים טכנולוגיים'!$K$2:$K$500,MATCH(A296,'ערכים טכנולוגיים'!$A$2:$A$500,0)),""))</f>
        <v/>
      </c>
      <c r="Q296" s="9">
        <f>IF($K296="","",IFERROR(INDEX('ערכים טכנולוגיים'!$P$2:$P$500,MATCH(A296,'ערכים טכנולוגיים'!$A$2:$A$500,0)),""))</f>
        <v/>
      </c>
    </row>
    <row r="297">
      <c r="A297" s="8">
        <f>IF($K297="","",INDEX(מלאי!$D$2:$D$500,$K297))</f>
        <v/>
      </c>
      <c r="B297" s="8">
        <f>IF($K297="","",INDEX(מלאי!$B$2:$B$500,$K297))</f>
        <v/>
      </c>
      <c r="C297" s="8">
        <f>IF($K297="","",INDEX(מלאי!$C$2:$C$500,$K297))</f>
        <v/>
      </c>
      <c r="D297" s="8">
        <f>IF($K297="","",INDEX(מלאי!$G$2:$G$500,$K297))</f>
        <v/>
      </c>
      <c r="E297" s="8">
        <f>IF($K297="","",INDEX(מלאי!$M$2:$M$500,$K297))</f>
        <v/>
      </c>
      <c r="F297" s="8">
        <f>IF($K297="","",INDEX(מלאי!$N$2:$N$500,$K297))</f>
        <v/>
      </c>
      <c r="G297" s="8">
        <f>IF($K297="","",INDEX(מלאי!$O$2:$O$500,$K297))</f>
        <v/>
      </c>
      <c r="H297" s="8">
        <f>IF($K297="","",INDEX(מלאי!$U$2:$U$500,$K297))</f>
        <v/>
      </c>
      <c r="I297" s="8">
        <f>IF($K297="","",INDEX(מלאי!$X$2:$X$500,$K297))</f>
        <v/>
      </c>
      <c r="J297" s="8">
        <f>IF($K297="","",INDEX(מלאי!$AC$2:$AC$500,$K297))</f>
        <v/>
      </c>
      <c r="K29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טכנולוגיים'!$A$2:$A$500,0))&lt;=$G$6),0))),ROW(מלאי!$A$2:$A$500)-ROW(מלאי!$A$2)+1,""),275),"")</f>
        <v/>
      </c>
      <c r="L297" s="8">
        <f>IF($K297="","",IFERROR(INDEX('ערכים טכנולוגיים'!$M$2:$M$500,MATCH(A297,'ערכים טכנולוגיים'!$A$2:$A$500,0)),""))</f>
        <v/>
      </c>
      <c r="M297" s="8">
        <f>IF($K297="","",IFERROR(INDEX('ערכים טכנולוגיים'!$F$2:$F$500,MATCH(A297,'ערכים טכנולוגיים'!$A$2:$A$500,0)),""))</f>
        <v/>
      </c>
      <c r="N297" s="8">
        <f>IF($K297="","",IFERROR(INDEX('ערכים טכנולוגיים'!$J$2:$J$500,MATCH(A297,'ערכים טכנולוגיים'!$A$2:$A$500,0)),""))</f>
        <v/>
      </c>
      <c r="O297" s="8">
        <f>IF($K297="","",IFERROR(INDEX('ערכים טכנולוגיים'!$G$2:$G$500,MATCH(A297,'ערכים טכנולוגיים'!$A$2:$A$500,0)),""))</f>
        <v/>
      </c>
      <c r="P297" s="8">
        <f>IF($K297="","",IFERROR(INDEX('ערכים טכנולוגיים'!$K$2:$K$500,MATCH(A297,'ערכים טכנולוגיים'!$A$2:$A$500,0)),""))</f>
        <v/>
      </c>
      <c r="Q297" s="8">
        <f>IF($K297="","",IFERROR(INDEX('ערכים טכנולוגיים'!$P$2:$P$500,MATCH(A297,'ערכים טכנולוגיים'!$A$2:$A$500,0)),""))</f>
        <v/>
      </c>
    </row>
    <row r="298">
      <c r="A298" s="9">
        <f>IF($K298="","",INDEX(מלאי!$D$2:$D$500,$K298))</f>
        <v/>
      </c>
      <c r="B298" s="9">
        <f>IF($K298="","",INDEX(מלאי!$B$2:$B$500,$K298))</f>
        <v/>
      </c>
      <c r="C298" s="9">
        <f>IF($K298="","",INDEX(מלאי!$C$2:$C$500,$K298))</f>
        <v/>
      </c>
      <c r="D298" s="9">
        <f>IF($K298="","",INDEX(מלאי!$G$2:$G$500,$K298))</f>
        <v/>
      </c>
      <c r="E298" s="9">
        <f>IF($K298="","",INDEX(מלאי!$M$2:$M$500,$K298))</f>
        <v/>
      </c>
      <c r="F298" s="9">
        <f>IF($K298="","",INDEX(מלאי!$N$2:$N$500,$K298))</f>
        <v/>
      </c>
      <c r="G298" s="9">
        <f>IF($K298="","",INDEX(מלאי!$O$2:$O$500,$K298))</f>
        <v/>
      </c>
      <c r="H298" s="9">
        <f>IF($K298="","",INDEX(מלאי!$U$2:$U$500,$K298))</f>
        <v/>
      </c>
      <c r="I298" s="9">
        <f>IF($K298="","",INDEX(מלאי!$X$2:$X$500,$K298))</f>
        <v/>
      </c>
      <c r="J298" s="9">
        <f>IF($K298="","",INDEX(מלאי!$AC$2:$AC$500,$K298))</f>
        <v/>
      </c>
      <c r="K29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טכנולוגיים'!$A$2:$A$500,0))&lt;=$G$6),0))),ROW(מלאי!$A$2:$A$500)-ROW(מלאי!$A$2)+1,""),276),"")</f>
        <v/>
      </c>
      <c r="L298" s="9">
        <f>IF($K298="","",IFERROR(INDEX('ערכים טכנולוגיים'!$M$2:$M$500,MATCH(A298,'ערכים טכנולוגיים'!$A$2:$A$500,0)),""))</f>
        <v/>
      </c>
      <c r="M298" s="9">
        <f>IF($K298="","",IFERROR(INDEX('ערכים טכנולוגיים'!$F$2:$F$500,MATCH(A298,'ערכים טכנולוגיים'!$A$2:$A$500,0)),""))</f>
        <v/>
      </c>
      <c r="N298" s="9">
        <f>IF($K298="","",IFERROR(INDEX('ערכים טכנולוגיים'!$J$2:$J$500,MATCH(A298,'ערכים טכנולוגיים'!$A$2:$A$500,0)),""))</f>
        <v/>
      </c>
      <c r="O298" s="9">
        <f>IF($K298="","",IFERROR(INDEX('ערכים טכנולוגיים'!$G$2:$G$500,MATCH(A298,'ערכים טכנולוגיים'!$A$2:$A$500,0)),""))</f>
        <v/>
      </c>
      <c r="P298" s="9">
        <f>IF($K298="","",IFERROR(INDEX('ערכים טכנולוגיים'!$K$2:$K$500,MATCH(A298,'ערכים טכנולוגיים'!$A$2:$A$500,0)),""))</f>
        <v/>
      </c>
      <c r="Q298" s="9">
        <f>IF($K298="","",IFERROR(INDEX('ערכים טכנולוגיים'!$P$2:$P$500,MATCH(A298,'ערכים טכנולוגיים'!$A$2:$A$500,0)),""))</f>
        <v/>
      </c>
    </row>
    <row r="299">
      <c r="A299" s="8">
        <f>IF($K299="","",INDEX(מלאי!$D$2:$D$500,$K299))</f>
        <v/>
      </c>
      <c r="B299" s="8">
        <f>IF($K299="","",INDEX(מלאי!$B$2:$B$500,$K299))</f>
        <v/>
      </c>
      <c r="C299" s="8">
        <f>IF($K299="","",INDEX(מלאי!$C$2:$C$500,$K299))</f>
        <v/>
      </c>
      <c r="D299" s="8">
        <f>IF($K299="","",INDEX(מלאי!$G$2:$G$500,$K299))</f>
        <v/>
      </c>
      <c r="E299" s="8">
        <f>IF($K299="","",INDEX(מלאי!$M$2:$M$500,$K299))</f>
        <v/>
      </c>
      <c r="F299" s="8">
        <f>IF($K299="","",INDEX(מלאי!$N$2:$N$500,$K299))</f>
        <v/>
      </c>
      <c r="G299" s="8">
        <f>IF($K299="","",INDEX(מלאי!$O$2:$O$500,$K299))</f>
        <v/>
      </c>
      <c r="H299" s="8">
        <f>IF($K299="","",INDEX(מלאי!$U$2:$U$500,$K299))</f>
        <v/>
      </c>
      <c r="I299" s="8">
        <f>IF($K299="","",INDEX(מלאי!$X$2:$X$500,$K299))</f>
        <v/>
      </c>
      <c r="J299" s="8">
        <f>IF($K299="","",INDEX(מלאי!$AC$2:$AC$500,$K299))</f>
        <v/>
      </c>
      <c r="K29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טכנולוגיים'!$A$2:$A$500,0))&lt;=$G$6),0))),ROW(מלאי!$A$2:$A$500)-ROW(מלאי!$A$2)+1,""),277),"")</f>
        <v/>
      </c>
      <c r="L299" s="8">
        <f>IF($K299="","",IFERROR(INDEX('ערכים טכנולוגיים'!$M$2:$M$500,MATCH(A299,'ערכים טכנולוגיים'!$A$2:$A$500,0)),""))</f>
        <v/>
      </c>
      <c r="M299" s="8">
        <f>IF($K299="","",IFERROR(INDEX('ערכים טכנולוגיים'!$F$2:$F$500,MATCH(A299,'ערכים טכנולוגיים'!$A$2:$A$500,0)),""))</f>
        <v/>
      </c>
      <c r="N299" s="8">
        <f>IF($K299="","",IFERROR(INDEX('ערכים טכנולוגיים'!$J$2:$J$500,MATCH(A299,'ערכים טכנולוגיים'!$A$2:$A$500,0)),""))</f>
        <v/>
      </c>
      <c r="O299" s="8">
        <f>IF($K299="","",IFERROR(INDEX('ערכים טכנולוגיים'!$G$2:$G$500,MATCH(A299,'ערכים טכנולוגיים'!$A$2:$A$500,0)),""))</f>
        <v/>
      </c>
      <c r="P299" s="8">
        <f>IF($K299="","",IFERROR(INDEX('ערכים טכנולוגיים'!$K$2:$K$500,MATCH(A299,'ערכים טכנולוגיים'!$A$2:$A$500,0)),""))</f>
        <v/>
      </c>
      <c r="Q299" s="8">
        <f>IF($K299="","",IFERROR(INDEX('ערכים טכנולוגיים'!$P$2:$P$500,MATCH(A299,'ערכים טכנולוגיים'!$A$2:$A$500,0)),""))</f>
        <v/>
      </c>
    </row>
    <row r="300">
      <c r="A300" s="9">
        <f>IF($K300="","",INDEX(מלאי!$D$2:$D$500,$K300))</f>
        <v/>
      </c>
      <c r="B300" s="9">
        <f>IF($K300="","",INDEX(מלאי!$B$2:$B$500,$K300))</f>
        <v/>
      </c>
      <c r="C300" s="9">
        <f>IF($K300="","",INDEX(מלאי!$C$2:$C$500,$K300))</f>
        <v/>
      </c>
      <c r="D300" s="9">
        <f>IF($K300="","",INDEX(מלאי!$G$2:$G$500,$K300))</f>
        <v/>
      </c>
      <c r="E300" s="9">
        <f>IF($K300="","",INDEX(מלאי!$M$2:$M$500,$K300))</f>
        <v/>
      </c>
      <c r="F300" s="9">
        <f>IF($K300="","",INDEX(מלאי!$N$2:$N$500,$K300))</f>
        <v/>
      </c>
      <c r="G300" s="9">
        <f>IF($K300="","",INDEX(מלאי!$O$2:$O$500,$K300))</f>
        <v/>
      </c>
      <c r="H300" s="9">
        <f>IF($K300="","",INDEX(מלאי!$U$2:$U$500,$K300))</f>
        <v/>
      </c>
      <c r="I300" s="9">
        <f>IF($K300="","",INDEX(מלאי!$X$2:$X$500,$K300))</f>
        <v/>
      </c>
      <c r="J300" s="9">
        <f>IF($K300="","",INDEX(מלאי!$AC$2:$AC$500,$K300))</f>
        <v/>
      </c>
      <c r="K30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טכנולוגיים'!$A$2:$A$500,0))&lt;=$G$6),0))),ROW(מלאי!$A$2:$A$500)-ROW(מלאי!$A$2)+1,""),278),"")</f>
        <v/>
      </c>
      <c r="L300" s="9">
        <f>IF($K300="","",IFERROR(INDEX('ערכים טכנולוגיים'!$M$2:$M$500,MATCH(A300,'ערכים טכנולוגיים'!$A$2:$A$500,0)),""))</f>
        <v/>
      </c>
      <c r="M300" s="9">
        <f>IF($K300="","",IFERROR(INDEX('ערכים טכנולוגיים'!$F$2:$F$500,MATCH(A300,'ערכים טכנולוגיים'!$A$2:$A$500,0)),""))</f>
        <v/>
      </c>
      <c r="N300" s="9">
        <f>IF($K300="","",IFERROR(INDEX('ערכים טכנולוגיים'!$J$2:$J$500,MATCH(A300,'ערכים טכנולוגיים'!$A$2:$A$500,0)),""))</f>
        <v/>
      </c>
      <c r="O300" s="9">
        <f>IF($K300="","",IFERROR(INDEX('ערכים טכנולוגיים'!$G$2:$G$500,MATCH(A300,'ערכים טכנולוגיים'!$A$2:$A$500,0)),""))</f>
        <v/>
      </c>
      <c r="P300" s="9">
        <f>IF($K300="","",IFERROR(INDEX('ערכים טכנולוגיים'!$K$2:$K$500,MATCH(A300,'ערכים טכנולוגיים'!$A$2:$A$500,0)),""))</f>
        <v/>
      </c>
      <c r="Q300" s="9">
        <f>IF($K300="","",IFERROR(INDEX('ערכים טכנולוגיים'!$P$2:$P$500,MATCH(A300,'ערכים טכנולוגיים'!$A$2:$A$500,0)),""))</f>
        <v/>
      </c>
    </row>
    <row r="301">
      <c r="A301" s="8">
        <f>IF($K301="","",INDEX(מלאי!$D$2:$D$500,$K301))</f>
        <v/>
      </c>
      <c r="B301" s="8">
        <f>IF($K301="","",INDEX(מלאי!$B$2:$B$500,$K301))</f>
        <v/>
      </c>
      <c r="C301" s="8">
        <f>IF($K301="","",INDEX(מלאי!$C$2:$C$500,$K301))</f>
        <v/>
      </c>
      <c r="D301" s="8">
        <f>IF($K301="","",INDEX(מלאי!$G$2:$G$500,$K301))</f>
        <v/>
      </c>
      <c r="E301" s="8">
        <f>IF($K301="","",INDEX(מלאי!$M$2:$M$500,$K301))</f>
        <v/>
      </c>
      <c r="F301" s="8">
        <f>IF($K301="","",INDEX(מלאי!$N$2:$N$500,$K301))</f>
        <v/>
      </c>
      <c r="G301" s="8">
        <f>IF($K301="","",INDEX(מלאי!$O$2:$O$500,$K301))</f>
        <v/>
      </c>
      <c r="H301" s="8">
        <f>IF($K301="","",INDEX(מלאי!$U$2:$U$500,$K301))</f>
        <v/>
      </c>
      <c r="I301" s="8">
        <f>IF($K301="","",INDEX(מלאי!$X$2:$X$500,$K301))</f>
        <v/>
      </c>
      <c r="J301" s="8">
        <f>IF($K301="","",INDEX(מלאי!$AC$2:$AC$500,$K301))</f>
        <v/>
      </c>
      <c r="K30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טכנולוגיים'!$A$2:$A$500,0))&lt;=$G$6),0))),ROW(מלאי!$A$2:$A$500)-ROW(מלאי!$A$2)+1,""),279),"")</f>
        <v/>
      </c>
      <c r="L301" s="8">
        <f>IF($K301="","",IFERROR(INDEX('ערכים טכנולוגיים'!$M$2:$M$500,MATCH(A301,'ערכים טכנולוגיים'!$A$2:$A$500,0)),""))</f>
        <v/>
      </c>
      <c r="M301" s="8">
        <f>IF($K301="","",IFERROR(INDEX('ערכים טכנולוגיים'!$F$2:$F$500,MATCH(A301,'ערכים טכנולוגיים'!$A$2:$A$500,0)),""))</f>
        <v/>
      </c>
      <c r="N301" s="8">
        <f>IF($K301="","",IFERROR(INDEX('ערכים טכנולוגיים'!$J$2:$J$500,MATCH(A301,'ערכים טכנולוגיים'!$A$2:$A$500,0)),""))</f>
        <v/>
      </c>
      <c r="O301" s="8">
        <f>IF($K301="","",IFERROR(INDEX('ערכים טכנולוגיים'!$G$2:$G$500,MATCH(A301,'ערכים טכנולוגיים'!$A$2:$A$500,0)),""))</f>
        <v/>
      </c>
      <c r="P301" s="8">
        <f>IF($K301="","",IFERROR(INDEX('ערכים טכנולוגיים'!$K$2:$K$500,MATCH(A301,'ערכים טכנולוגיים'!$A$2:$A$500,0)),""))</f>
        <v/>
      </c>
      <c r="Q301" s="8">
        <f>IF($K301="","",IFERROR(INDEX('ערכים טכנולוגיים'!$P$2:$P$500,MATCH(A301,'ערכים טכנולוגיים'!$A$2:$A$500,0)),""))</f>
        <v/>
      </c>
    </row>
    <row r="302">
      <c r="A302" s="9">
        <f>IF($K302="","",INDEX(מלאי!$D$2:$D$500,$K302))</f>
        <v/>
      </c>
      <c r="B302" s="9">
        <f>IF($K302="","",INDEX(מלאי!$B$2:$B$500,$K302))</f>
        <v/>
      </c>
      <c r="C302" s="9">
        <f>IF($K302="","",INDEX(מלאי!$C$2:$C$500,$K302))</f>
        <v/>
      </c>
      <c r="D302" s="9">
        <f>IF($K302="","",INDEX(מלאי!$G$2:$G$500,$K302))</f>
        <v/>
      </c>
      <c r="E302" s="9">
        <f>IF($K302="","",INDEX(מלאי!$M$2:$M$500,$K302))</f>
        <v/>
      </c>
      <c r="F302" s="9">
        <f>IF($K302="","",INDEX(מלאי!$N$2:$N$500,$K302))</f>
        <v/>
      </c>
      <c r="G302" s="9">
        <f>IF($K302="","",INDEX(מלאי!$O$2:$O$500,$K302))</f>
        <v/>
      </c>
      <c r="H302" s="9">
        <f>IF($K302="","",INDEX(מלאי!$U$2:$U$500,$K302))</f>
        <v/>
      </c>
      <c r="I302" s="9">
        <f>IF($K302="","",INDEX(מלאי!$X$2:$X$500,$K302))</f>
        <v/>
      </c>
      <c r="J302" s="9">
        <f>IF($K302="","",INDEX(מלאי!$AC$2:$AC$500,$K302))</f>
        <v/>
      </c>
      <c r="K30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טכנולוגיים'!$A$2:$A$500,0))&lt;=$G$6),0))),ROW(מלאי!$A$2:$A$500)-ROW(מלאי!$A$2)+1,""),280),"")</f>
        <v/>
      </c>
      <c r="L302" s="9">
        <f>IF($K302="","",IFERROR(INDEX('ערכים טכנולוגיים'!$M$2:$M$500,MATCH(A302,'ערכים טכנולוגיים'!$A$2:$A$500,0)),""))</f>
        <v/>
      </c>
      <c r="M302" s="9">
        <f>IF($K302="","",IFERROR(INDEX('ערכים טכנולוגיים'!$F$2:$F$500,MATCH(A302,'ערכים טכנולוגיים'!$A$2:$A$500,0)),""))</f>
        <v/>
      </c>
      <c r="N302" s="9">
        <f>IF($K302="","",IFERROR(INDEX('ערכים טכנולוגיים'!$J$2:$J$500,MATCH(A302,'ערכים טכנולוגיים'!$A$2:$A$500,0)),""))</f>
        <v/>
      </c>
      <c r="O302" s="9">
        <f>IF($K302="","",IFERROR(INDEX('ערכים טכנולוגיים'!$G$2:$G$500,MATCH(A302,'ערכים טכנולוגיים'!$A$2:$A$500,0)),""))</f>
        <v/>
      </c>
      <c r="P302" s="9">
        <f>IF($K302="","",IFERROR(INDEX('ערכים טכנולוגיים'!$K$2:$K$500,MATCH(A302,'ערכים טכנולוגיים'!$A$2:$A$500,0)),""))</f>
        <v/>
      </c>
      <c r="Q302" s="9">
        <f>IF($K302="","",IFERROR(INDEX('ערכים טכנולוגיים'!$P$2:$P$500,MATCH(A302,'ערכים טכנולוגיים'!$A$2:$A$500,0)),""))</f>
        <v/>
      </c>
    </row>
    <row r="303">
      <c r="A303" s="8">
        <f>IF($K303="","",INDEX(מלאי!$D$2:$D$500,$K303))</f>
        <v/>
      </c>
      <c r="B303" s="8">
        <f>IF($K303="","",INDEX(מלאי!$B$2:$B$500,$K303))</f>
        <v/>
      </c>
      <c r="C303" s="8">
        <f>IF($K303="","",INDEX(מלאי!$C$2:$C$500,$K303))</f>
        <v/>
      </c>
      <c r="D303" s="8">
        <f>IF($K303="","",INDEX(מלאי!$G$2:$G$500,$K303))</f>
        <v/>
      </c>
      <c r="E303" s="8">
        <f>IF($K303="","",INDEX(מלאי!$M$2:$M$500,$K303))</f>
        <v/>
      </c>
      <c r="F303" s="8">
        <f>IF($K303="","",INDEX(מלאי!$N$2:$N$500,$K303))</f>
        <v/>
      </c>
      <c r="G303" s="8">
        <f>IF($K303="","",INDEX(מלאי!$O$2:$O$500,$K303))</f>
        <v/>
      </c>
      <c r="H303" s="8">
        <f>IF($K303="","",INDEX(מלאי!$U$2:$U$500,$K303))</f>
        <v/>
      </c>
      <c r="I303" s="8">
        <f>IF($K303="","",INDEX(מלאי!$X$2:$X$500,$K303))</f>
        <v/>
      </c>
      <c r="J303" s="8">
        <f>IF($K303="","",INDEX(מלאי!$AC$2:$AC$500,$K303))</f>
        <v/>
      </c>
      <c r="K30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טכנולוגיים'!$A$2:$A$500,0))&lt;=$G$6),0))),ROW(מלאי!$A$2:$A$500)-ROW(מלאי!$A$2)+1,""),281),"")</f>
        <v/>
      </c>
      <c r="L303" s="8">
        <f>IF($K303="","",IFERROR(INDEX('ערכים טכנולוגיים'!$M$2:$M$500,MATCH(A303,'ערכים טכנולוגיים'!$A$2:$A$500,0)),""))</f>
        <v/>
      </c>
      <c r="M303" s="8">
        <f>IF($K303="","",IFERROR(INDEX('ערכים טכנולוגיים'!$F$2:$F$500,MATCH(A303,'ערכים טכנולוגיים'!$A$2:$A$500,0)),""))</f>
        <v/>
      </c>
      <c r="N303" s="8">
        <f>IF($K303="","",IFERROR(INDEX('ערכים טכנולוגיים'!$J$2:$J$500,MATCH(A303,'ערכים טכנולוגיים'!$A$2:$A$500,0)),""))</f>
        <v/>
      </c>
      <c r="O303" s="8">
        <f>IF($K303="","",IFERROR(INDEX('ערכים טכנולוגיים'!$G$2:$G$500,MATCH(A303,'ערכים טכנולוגיים'!$A$2:$A$500,0)),""))</f>
        <v/>
      </c>
      <c r="P303" s="8">
        <f>IF($K303="","",IFERROR(INDEX('ערכים טכנולוגיים'!$K$2:$K$500,MATCH(A303,'ערכים טכנולוגיים'!$A$2:$A$500,0)),""))</f>
        <v/>
      </c>
      <c r="Q303" s="8">
        <f>IF($K303="","",IFERROR(INDEX('ערכים טכנולוגיים'!$P$2:$P$500,MATCH(A303,'ערכים טכנולוגיים'!$A$2:$A$500,0)),""))</f>
        <v/>
      </c>
    </row>
    <row r="304">
      <c r="A304" s="9">
        <f>IF($K304="","",INDEX(מלאי!$D$2:$D$500,$K304))</f>
        <v/>
      </c>
      <c r="B304" s="9">
        <f>IF($K304="","",INDEX(מלאי!$B$2:$B$500,$K304))</f>
        <v/>
      </c>
      <c r="C304" s="9">
        <f>IF($K304="","",INDEX(מלאי!$C$2:$C$500,$K304))</f>
        <v/>
      </c>
      <c r="D304" s="9">
        <f>IF($K304="","",INDEX(מלאי!$G$2:$G$500,$K304))</f>
        <v/>
      </c>
      <c r="E304" s="9">
        <f>IF($K304="","",INDEX(מלאי!$M$2:$M$500,$K304))</f>
        <v/>
      </c>
      <c r="F304" s="9">
        <f>IF($K304="","",INDEX(מלאי!$N$2:$N$500,$K304))</f>
        <v/>
      </c>
      <c r="G304" s="9">
        <f>IF($K304="","",INDEX(מלאי!$O$2:$O$500,$K304))</f>
        <v/>
      </c>
      <c r="H304" s="9">
        <f>IF($K304="","",INDEX(מלאי!$U$2:$U$500,$K304))</f>
        <v/>
      </c>
      <c r="I304" s="9">
        <f>IF($K304="","",INDEX(מלאי!$X$2:$X$500,$K304))</f>
        <v/>
      </c>
      <c r="J304" s="9">
        <f>IF($K304="","",INDEX(מלאי!$AC$2:$AC$500,$K304))</f>
        <v/>
      </c>
      <c r="K30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טכנולוגיים'!$A$2:$A$500,0))&lt;=$G$6),0))),ROW(מלאי!$A$2:$A$500)-ROW(מלאי!$A$2)+1,""),282),"")</f>
        <v/>
      </c>
      <c r="L304" s="9">
        <f>IF($K304="","",IFERROR(INDEX('ערכים טכנולוגיים'!$M$2:$M$500,MATCH(A304,'ערכים טכנולוגיים'!$A$2:$A$500,0)),""))</f>
        <v/>
      </c>
      <c r="M304" s="9">
        <f>IF($K304="","",IFERROR(INDEX('ערכים טכנולוגיים'!$F$2:$F$500,MATCH(A304,'ערכים טכנולוגיים'!$A$2:$A$500,0)),""))</f>
        <v/>
      </c>
      <c r="N304" s="9">
        <f>IF($K304="","",IFERROR(INDEX('ערכים טכנולוגיים'!$J$2:$J$500,MATCH(A304,'ערכים טכנולוגיים'!$A$2:$A$500,0)),""))</f>
        <v/>
      </c>
      <c r="O304" s="9">
        <f>IF($K304="","",IFERROR(INDEX('ערכים טכנולוגיים'!$G$2:$G$500,MATCH(A304,'ערכים טכנולוגיים'!$A$2:$A$500,0)),""))</f>
        <v/>
      </c>
      <c r="P304" s="9">
        <f>IF($K304="","",IFERROR(INDEX('ערכים טכנולוגיים'!$K$2:$K$500,MATCH(A304,'ערכים טכנולוגיים'!$A$2:$A$500,0)),""))</f>
        <v/>
      </c>
      <c r="Q304" s="9">
        <f>IF($K304="","",IFERROR(INDEX('ערכים טכנולוגיים'!$P$2:$P$500,MATCH(A304,'ערכים טכנולוגיים'!$A$2:$A$500,0)),""))</f>
        <v/>
      </c>
    </row>
    <row r="305">
      <c r="A305" s="8">
        <f>IF($K305="","",INDEX(מלאי!$D$2:$D$500,$K305))</f>
        <v/>
      </c>
      <c r="B305" s="8">
        <f>IF($K305="","",INDEX(מלאי!$B$2:$B$500,$K305))</f>
        <v/>
      </c>
      <c r="C305" s="8">
        <f>IF($K305="","",INDEX(מלאי!$C$2:$C$500,$K305))</f>
        <v/>
      </c>
      <c r="D305" s="8">
        <f>IF($K305="","",INDEX(מלאי!$G$2:$G$500,$K305))</f>
        <v/>
      </c>
      <c r="E305" s="8">
        <f>IF($K305="","",INDEX(מלאי!$M$2:$M$500,$K305))</f>
        <v/>
      </c>
      <c r="F305" s="8">
        <f>IF($K305="","",INDEX(מלאי!$N$2:$N$500,$K305))</f>
        <v/>
      </c>
      <c r="G305" s="8">
        <f>IF($K305="","",INDEX(מלאי!$O$2:$O$500,$K305))</f>
        <v/>
      </c>
      <c r="H305" s="8">
        <f>IF($K305="","",INDEX(מלאי!$U$2:$U$500,$K305))</f>
        <v/>
      </c>
      <c r="I305" s="8">
        <f>IF($K305="","",INDEX(מלאי!$X$2:$X$500,$K305))</f>
        <v/>
      </c>
      <c r="J305" s="8">
        <f>IF($K305="","",INDEX(מלאי!$AC$2:$AC$500,$K305))</f>
        <v/>
      </c>
      <c r="K30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טכנולוגיים'!$A$2:$A$500,0))&lt;=$G$6),0))),ROW(מלאי!$A$2:$A$500)-ROW(מלאי!$A$2)+1,""),283),"")</f>
        <v/>
      </c>
      <c r="L305" s="8">
        <f>IF($K305="","",IFERROR(INDEX('ערכים טכנולוגיים'!$M$2:$M$500,MATCH(A305,'ערכים טכנולוגיים'!$A$2:$A$500,0)),""))</f>
        <v/>
      </c>
      <c r="M305" s="8">
        <f>IF($K305="","",IFERROR(INDEX('ערכים טכנולוגיים'!$F$2:$F$500,MATCH(A305,'ערכים טכנולוגיים'!$A$2:$A$500,0)),""))</f>
        <v/>
      </c>
      <c r="N305" s="8">
        <f>IF($K305="","",IFERROR(INDEX('ערכים טכנולוגיים'!$J$2:$J$500,MATCH(A305,'ערכים טכנולוגיים'!$A$2:$A$500,0)),""))</f>
        <v/>
      </c>
      <c r="O305" s="8">
        <f>IF($K305="","",IFERROR(INDEX('ערכים טכנולוגיים'!$G$2:$G$500,MATCH(A305,'ערכים טכנולוגיים'!$A$2:$A$500,0)),""))</f>
        <v/>
      </c>
      <c r="P305" s="8">
        <f>IF($K305="","",IFERROR(INDEX('ערכים טכנולוגיים'!$K$2:$K$500,MATCH(A305,'ערכים טכנולוגיים'!$A$2:$A$500,0)),""))</f>
        <v/>
      </c>
      <c r="Q305" s="8">
        <f>IF($K305="","",IFERROR(INDEX('ערכים טכנולוגיים'!$P$2:$P$500,MATCH(A305,'ערכים טכנולוגיים'!$A$2:$A$500,0)),""))</f>
        <v/>
      </c>
    </row>
    <row r="306">
      <c r="A306" s="9">
        <f>IF($K306="","",INDEX(מלאי!$D$2:$D$500,$K306))</f>
        <v/>
      </c>
      <c r="B306" s="9">
        <f>IF($K306="","",INDEX(מלאי!$B$2:$B$500,$K306))</f>
        <v/>
      </c>
      <c r="C306" s="9">
        <f>IF($K306="","",INDEX(מלאי!$C$2:$C$500,$K306))</f>
        <v/>
      </c>
      <c r="D306" s="9">
        <f>IF($K306="","",INDEX(מלאי!$G$2:$G$500,$K306))</f>
        <v/>
      </c>
      <c r="E306" s="9">
        <f>IF($K306="","",INDEX(מלאי!$M$2:$M$500,$K306))</f>
        <v/>
      </c>
      <c r="F306" s="9">
        <f>IF($K306="","",INDEX(מלאי!$N$2:$N$500,$K306))</f>
        <v/>
      </c>
      <c r="G306" s="9">
        <f>IF($K306="","",INDEX(מלאי!$O$2:$O$500,$K306))</f>
        <v/>
      </c>
      <c r="H306" s="9">
        <f>IF($K306="","",INDEX(מלאי!$U$2:$U$500,$K306))</f>
        <v/>
      </c>
      <c r="I306" s="9">
        <f>IF($K306="","",INDEX(מלאי!$X$2:$X$500,$K306))</f>
        <v/>
      </c>
      <c r="J306" s="9">
        <f>IF($K306="","",INDEX(מלאי!$AC$2:$AC$500,$K306))</f>
        <v/>
      </c>
      <c r="K30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טכנולוגיים'!$A$2:$A$500,0))&lt;=$G$6),0))),ROW(מלאי!$A$2:$A$500)-ROW(מלאי!$A$2)+1,""),284),"")</f>
        <v/>
      </c>
      <c r="L306" s="9">
        <f>IF($K306="","",IFERROR(INDEX('ערכים טכנולוגיים'!$M$2:$M$500,MATCH(A306,'ערכים טכנולוגיים'!$A$2:$A$500,0)),""))</f>
        <v/>
      </c>
      <c r="M306" s="9">
        <f>IF($K306="","",IFERROR(INDEX('ערכים טכנולוגיים'!$F$2:$F$500,MATCH(A306,'ערכים טכנולוגיים'!$A$2:$A$500,0)),""))</f>
        <v/>
      </c>
      <c r="N306" s="9">
        <f>IF($K306="","",IFERROR(INDEX('ערכים טכנולוגיים'!$J$2:$J$500,MATCH(A306,'ערכים טכנולוגיים'!$A$2:$A$500,0)),""))</f>
        <v/>
      </c>
      <c r="O306" s="9">
        <f>IF($K306="","",IFERROR(INDEX('ערכים טכנולוגיים'!$G$2:$G$500,MATCH(A306,'ערכים טכנולוגיים'!$A$2:$A$500,0)),""))</f>
        <v/>
      </c>
      <c r="P306" s="9">
        <f>IF($K306="","",IFERROR(INDEX('ערכים טכנולוגיים'!$K$2:$K$500,MATCH(A306,'ערכים טכנולוגיים'!$A$2:$A$500,0)),""))</f>
        <v/>
      </c>
      <c r="Q306" s="9">
        <f>IF($K306="","",IFERROR(INDEX('ערכים טכנולוגיים'!$P$2:$P$500,MATCH(A306,'ערכים טכנולוגיים'!$A$2:$A$500,0)),""))</f>
        <v/>
      </c>
    </row>
    <row r="307">
      <c r="A307" s="8">
        <f>IF($K307="","",INDEX(מלאי!$D$2:$D$500,$K307))</f>
        <v/>
      </c>
      <c r="B307" s="8">
        <f>IF($K307="","",INDEX(מלאי!$B$2:$B$500,$K307))</f>
        <v/>
      </c>
      <c r="C307" s="8">
        <f>IF($K307="","",INDEX(מלאי!$C$2:$C$500,$K307))</f>
        <v/>
      </c>
      <c r="D307" s="8">
        <f>IF($K307="","",INDEX(מלאי!$G$2:$G$500,$K307))</f>
        <v/>
      </c>
      <c r="E307" s="8">
        <f>IF($K307="","",INDEX(מלאי!$M$2:$M$500,$K307))</f>
        <v/>
      </c>
      <c r="F307" s="8">
        <f>IF($K307="","",INDEX(מלאי!$N$2:$N$500,$K307))</f>
        <v/>
      </c>
      <c r="G307" s="8">
        <f>IF($K307="","",INDEX(מלאי!$O$2:$O$500,$K307))</f>
        <v/>
      </c>
      <c r="H307" s="8">
        <f>IF($K307="","",INDEX(מלאי!$U$2:$U$500,$K307))</f>
        <v/>
      </c>
      <c r="I307" s="8">
        <f>IF($K307="","",INDEX(מלאי!$X$2:$X$500,$K307))</f>
        <v/>
      </c>
      <c r="J307" s="8">
        <f>IF($K307="","",INDEX(מלאי!$AC$2:$AC$500,$K307))</f>
        <v/>
      </c>
      <c r="K30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טכנולוגיים'!$A$2:$A$500,0))&lt;=$G$6),0))),ROW(מלאי!$A$2:$A$500)-ROW(מלאי!$A$2)+1,""),285),"")</f>
        <v/>
      </c>
      <c r="L307" s="8">
        <f>IF($K307="","",IFERROR(INDEX('ערכים טכנולוגיים'!$M$2:$M$500,MATCH(A307,'ערכים טכנולוגיים'!$A$2:$A$500,0)),""))</f>
        <v/>
      </c>
      <c r="M307" s="8">
        <f>IF($K307="","",IFERROR(INDEX('ערכים טכנולוגיים'!$F$2:$F$500,MATCH(A307,'ערכים טכנולוגיים'!$A$2:$A$500,0)),""))</f>
        <v/>
      </c>
      <c r="N307" s="8">
        <f>IF($K307="","",IFERROR(INDEX('ערכים טכנולוגיים'!$J$2:$J$500,MATCH(A307,'ערכים טכנולוגיים'!$A$2:$A$500,0)),""))</f>
        <v/>
      </c>
      <c r="O307" s="8">
        <f>IF($K307="","",IFERROR(INDEX('ערכים טכנולוגיים'!$G$2:$G$500,MATCH(A307,'ערכים טכנולוגיים'!$A$2:$A$500,0)),""))</f>
        <v/>
      </c>
      <c r="P307" s="8">
        <f>IF($K307="","",IFERROR(INDEX('ערכים טכנולוגיים'!$K$2:$K$500,MATCH(A307,'ערכים טכנולוגיים'!$A$2:$A$500,0)),""))</f>
        <v/>
      </c>
      <c r="Q307" s="8">
        <f>IF($K307="","",IFERROR(INDEX('ערכים טכנולוגיים'!$P$2:$P$500,MATCH(A307,'ערכים טכנולוגיים'!$A$2:$A$500,0)),""))</f>
        <v/>
      </c>
    </row>
    <row r="308">
      <c r="A308" s="9">
        <f>IF($K308="","",INDEX(מלאי!$D$2:$D$500,$K308))</f>
        <v/>
      </c>
      <c r="B308" s="9">
        <f>IF($K308="","",INDEX(מלאי!$B$2:$B$500,$K308))</f>
        <v/>
      </c>
      <c r="C308" s="9">
        <f>IF($K308="","",INDEX(מלאי!$C$2:$C$500,$K308))</f>
        <v/>
      </c>
      <c r="D308" s="9">
        <f>IF($K308="","",INDEX(מלאי!$G$2:$G$500,$K308))</f>
        <v/>
      </c>
      <c r="E308" s="9">
        <f>IF($K308="","",INDEX(מלאי!$M$2:$M$500,$K308))</f>
        <v/>
      </c>
      <c r="F308" s="9">
        <f>IF($K308="","",INDEX(מלאי!$N$2:$N$500,$K308))</f>
        <v/>
      </c>
      <c r="G308" s="9">
        <f>IF($K308="","",INDEX(מלאי!$O$2:$O$500,$K308))</f>
        <v/>
      </c>
      <c r="H308" s="9">
        <f>IF($K308="","",INDEX(מלאי!$U$2:$U$500,$K308))</f>
        <v/>
      </c>
      <c r="I308" s="9">
        <f>IF($K308="","",INDEX(מלאי!$X$2:$X$500,$K308))</f>
        <v/>
      </c>
      <c r="J308" s="9">
        <f>IF($K308="","",INDEX(מלאי!$AC$2:$AC$500,$K308))</f>
        <v/>
      </c>
      <c r="K30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טכנולוגיים'!$A$2:$A$500,0))&lt;=$G$6),0))),ROW(מלאי!$A$2:$A$500)-ROW(מלאי!$A$2)+1,""),286),"")</f>
        <v/>
      </c>
      <c r="L308" s="9">
        <f>IF($K308="","",IFERROR(INDEX('ערכים טכנולוגיים'!$M$2:$M$500,MATCH(A308,'ערכים טכנולוגיים'!$A$2:$A$500,0)),""))</f>
        <v/>
      </c>
      <c r="M308" s="9">
        <f>IF($K308="","",IFERROR(INDEX('ערכים טכנולוגיים'!$F$2:$F$500,MATCH(A308,'ערכים טכנולוגיים'!$A$2:$A$500,0)),""))</f>
        <v/>
      </c>
      <c r="N308" s="9">
        <f>IF($K308="","",IFERROR(INDEX('ערכים טכנולוגיים'!$J$2:$J$500,MATCH(A308,'ערכים טכנולוגיים'!$A$2:$A$500,0)),""))</f>
        <v/>
      </c>
      <c r="O308" s="9">
        <f>IF($K308="","",IFERROR(INDEX('ערכים טכנולוגיים'!$G$2:$G$500,MATCH(A308,'ערכים טכנולוגיים'!$A$2:$A$500,0)),""))</f>
        <v/>
      </c>
      <c r="P308" s="9">
        <f>IF($K308="","",IFERROR(INDEX('ערכים טכנולוגיים'!$K$2:$K$500,MATCH(A308,'ערכים טכנולוגיים'!$A$2:$A$500,0)),""))</f>
        <v/>
      </c>
      <c r="Q308" s="9">
        <f>IF($K308="","",IFERROR(INDEX('ערכים טכנולוגיים'!$P$2:$P$500,MATCH(A308,'ערכים טכנולוגיים'!$A$2:$A$500,0)),""))</f>
        <v/>
      </c>
    </row>
    <row r="309">
      <c r="A309" s="8">
        <f>IF($K309="","",INDEX(מלאי!$D$2:$D$500,$K309))</f>
        <v/>
      </c>
      <c r="B309" s="8">
        <f>IF($K309="","",INDEX(מלאי!$B$2:$B$500,$K309))</f>
        <v/>
      </c>
      <c r="C309" s="8">
        <f>IF($K309="","",INDEX(מלאי!$C$2:$C$500,$K309))</f>
        <v/>
      </c>
      <c r="D309" s="8">
        <f>IF($K309="","",INDEX(מלאי!$G$2:$G$500,$K309))</f>
        <v/>
      </c>
      <c r="E309" s="8">
        <f>IF($K309="","",INDEX(מלאי!$M$2:$M$500,$K309))</f>
        <v/>
      </c>
      <c r="F309" s="8">
        <f>IF($K309="","",INDEX(מלאי!$N$2:$N$500,$K309))</f>
        <v/>
      </c>
      <c r="G309" s="8">
        <f>IF($K309="","",INDEX(מלאי!$O$2:$O$500,$K309))</f>
        <v/>
      </c>
      <c r="H309" s="8">
        <f>IF($K309="","",INDEX(מלאי!$U$2:$U$500,$K309))</f>
        <v/>
      </c>
      <c r="I309" s="8">
        <f>IF($K309="","",INDEX(מלאי!$X$2:$X$500,$K309))</f>
        <v/>
      </c>
      <c r="J309" s="8">
        <f>IF($K309="","",INDEX(מלאי!$AC$2:$AC$500,$K309))</f>
        <v/>
      </c>
      <c r="K30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טכנולוגיים'!$A$2:$A$500,0))&lt;=$G$6),0))),ROW(מלאי!$A$2:$A$500)-ROW(מלאי!$A$2)+1,""),287),"")</f>
        <v/>
      </c>
      <c r="L309" s="8">
        <f>IF($K309="","",IFERROR(INDEX('ערכים טכנולוגיים'!$M$2:$M$500,MATCH(A309,'ערכים טכנולוגיים'!$A$2:$A$500,0)),""))</f>
        <v/>
      </c>
      <c r="M309" s="8">
        <f>IF($K309="","",IFERROR(INDEX('ערכים טכנולוגיים'!$F$2:$F$500,MATCH(A309,'ערכים טכנולוגיים'!$A$2:$A$500,0)),""))</f>
        <v/>
      </c>
      <c r="N309" s="8">
        <f>IF($K309="","",IFERROR(INDEX('ערכים טכנולוגיים'!$J$2:$J$500,MATCH(A309,'ערכים טכנולוגיים'!$A$2:$A$500,0)),""))</f>
        <v/>
      </c>
      <c r="O309" s="8">
        <f>IF($K309="","",IFERROR(INDEX('ערכים טכנולוגיים'!$G$2:$G$500,MATCH(A309,'ערכים טכנולוגיים'!$A$2:$A$500,0)),""))</f>
        <v/>
      </c>
      <c r="P309" s="8">
        <f>IF($K309="","",IFERROR(INDEX('ערכים טכנולוגיים'!$K$2:$K$500,MATCH(A309,'ערכים טכנולוגיים'!$A$2:$A$500,0)),""))</f>
        <v/>
      </c>
      <c r="Q309" s="8">
        <f>IF($K309="","",IFERROR(INDEX('ערכים טכנולוגיים'!$P$2:$P$500,MATCH(A309,'ערכים טכנולוגיים'!$A$2:$A$500,0)),""))</f>
        <v/>
      </c>
    </row>
    <row r="310">
      <c r="A310" s="9">
        <f>IF($K310="","",INDEX(מלאי!$D$2:$D$500,$K310))</f>
        <v/>
      </c>
      <c r="B310" s="9">
        <f>IF($K310="","",INDEX(מלאי!$B$2:$B$500,$K310))</f>
        <v/>
      </c>
      <c r="C310" s="9">
        <f>IF($K310="","",INDEX(מלאי!$C$2:$C$500,$K310))</f>
        <v/>
      </c>
      <c r="D310" s="9">
        <f>IF($K310="","",INDEX(מלאי!$G$2:$G$500,$K310))</f>
        <v/>
      </c>
      <c r="E310" s="9">
        <f>IF($K310="","",INDEX(מלאי!$M$2:$M$500,$K310))</f>
        <v/>
      </c>
      <c r="F310" s="9">
        <f>IF($K310="","",INDEX(מלאי!$N$2:$N$500,$K310))</f>
        <v/>
      </c>
      <c r="G310" s="9">
        <f>IF($K310="","",INDEX(מלאי!$O$2:$O$500,$K310))</f>
        <v/>
      </c>
      <c r="H310" s="9">
        <f>IF($K310="","",INDEX(מלאי!$U$2:$U$500,$K310))</f>
        <v/>
      </c>
      <c r="I310" s="9">
        <f>IF($K310="","",INDEX(מלאי!$X$2:$X$500,$K310))</f>
        <v/>
      </c>
      <c r="J310" s="9">
        <f>IF($K310="","",INDEX(מלאי!$AC$2:$AC$500,$K310))</f>
        <v/>
      </c>
      <c r="K31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טכנולוגיים'!$A$2:$A$500,0))&lt;=$G$6),0))),ROW(מלאי!$A$2:$A$500)-ROW(מלאי!$A$2)+1,""),288),"")</f>
        <v/>
      </c>
      <c r="L310" s="9">
        <f>IF($K310="","",IFERROR(INDEX('ערכים טכנולוגיים'!$M$2:$M$500,MATCH(A310,'ערכים טכנולוגיים'!$A$2:$A$500,0)),""))</f>
        <v/>
      </c>
      <c r="M310" s="9">
        <f>IF($K310="","",IFERROR(INDEX('ערכים טכנולוגיים'!$F$2:$F$500,MATCH(A310,'ערכים טכנולוגיים'!$A$2:$A$500,0)),""))</f>
        <v/>
      </c>
      <c r="N310" s="9">
        <f>IF($K310="","",IFERROR(INDEX('ערכים טכנולוגיים'!$J$2:$J$500,MATCH(A310,'ערכים טכנולוגיים'!$A$2:$A$500,0)),""))</f>
        <v/>
      </c>
      <c r="O310" s="9">
        <f>IF($K310="","",IFERROR(INDEX('ערכים טכנולוגיים'!$G$2:$G$500,MATCH(A310,'ערכים טכנולוגיים'!$A$2:$A$500,0)),""))</f>
        <v/>
      </c>
      <c r="P310" s="9">
        <f>IF($K310="","",IFERROR(INDEX('ערכים טכנולוגיים'!$K$2:$K$500,MATCH(A310,'ערכים טכנולוגיים'!$A$2:$A$500,0)),""))</f>
        <v/>
      </c>
      <c r="Q310" s="9">
        <f>IF($K310="","",IFERROR(INDEX('ערכים טכנולוגיים'!$P$2:$P$500,MATCH(A310,'ערכים טכנולוגיים'!$A$2:$A$500,0)),""))</f>
        <v/>
      </c>
    </row>
    <row r="311">
      <c r="A311" s="8">
        <f>IF($K311="","",INDEX(מלאי!$D$2:$D$500,$K311))</f>
        <v/>
      </c>
      <c r="B311" s="8">
        <f>IF($K311="","",INDEX(מלאי!$B$2:$B$500,$K311))</f>
        <v/>
      </c>
      <c r="C311" s="8">
        <f>IF($K311="","",INDEX(מלאי!$C$2:$C$500,$K311))</f>
        <v/>
      </c>
      <c r="D311" s="8">
        <f>IF($K311="","",INDEX(מלאי!$G$2:$G$500,$K311))</f>
        <v/>
      </c>
      <c r="E311" s="8">
        <f>IF($K311="","",INDEX(מלאי!$M$2:$M$500,$K311))</f>
        <v/>
      </c>
      <c r="F311" s="8">
        <f>IF($K311="","",INDEX(מלאי!$N$2:$N$500,$K311))</f>
        <v/>
      </c>
      <c r="G311" s="8">
        <f>IF($K311="","",INDEX(מלאי!$O$2:$O$500,$K311))</f>
        <v/>
      </c>
      <c r="H311" s="8">
        <f>IF($K311="","",INDEX(מלאי!$U$2:$U$500,$K311))</f>
        <v/>
      </c>
      <c r="I311" s="8">
        <f>IF($K311="","",INDEX(מלאי!$X$2:$X$500,$K311))</f>
        <v/>
      </c>
      <c r="J311" s="8">
        <f>IF($K311="","",INDEX(מלאי!$AC$2:$AC$500,$K311))</f>
        <v/>
      </c>
      <c r="K31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טכנולוגיים'!$A$2:$A$500,0))&lt;=$G$6),0))),ROW(מלאי!$A$2:$A$500)-ROW(מלאי!$A$2)+1,""),289),"")</f>
        <v/>
      </c>
      <c r="L311" s="8">
        <f>IF($K311="","",IFERROR(INDEX('ערכים טכנולוגיים'!$M$2:$M$500,MATCH(A311,'ערכים טכנולוגיים'!$A$2:$A$500,0)),""))</f>
        <v/>
      </c>
      <c r="M311" s="8">
        <f>IF($K311="","",IFERROR(INDEX('ערכים טכנולוגיים'!$F$2:$F$500,MATCH(A311,'ערכים טכנולוגיים'!$A$2:$A$500,0)),""))</f>
        <v/>
      </c>
      <c r="N311" s="8">
        <f>IF($K311="","",IFERROR(INDEX('ערכים טכנולוגיים'!$J$2:$J$500,MATCH(A311,'ערכים טכנולוגיים'!$A$2:$A$500,0)),""))</f>
        <v/>
      </c>
      <c r="O311" s="8">
        <f>IF($K311="","",IFERROR(INDEX('ערכים טכנולוגיים'!$G$2:$G$500,MATCH(A311,'ערכים טכנולוגיים'!$A$2:$A$500,0)),""))</f>
        <v/>
      </c>
      <c r="P311" s="8">
        <f>IF($K311="","",IFERROR(INDEX('ערכים טכנולוגיים'!$K$2:$K$500,MATCH(A311,'ערכים טכנולוגיים'!$A$2:$A$500,0)),""))</f>
        <v/>
      </c>
      <c r="Q311" s="8">
        <f>IF($K311="","",IFERROR(INDEX('ערכים טכנולוגיים'!$P$2:$P$500,MATCH(A311,'ערכים טכנולוגיים'!$A$2:$A$500,0)),""))</f>
        <v/>
      </c>
    </row>
    <row r="312">
      <c r="A312" s="9">
        <f>IF($K312="","",INDEX(מלאי!$D$2:$D$500,$K312))</f>
        <v/>
      </c>
      <c r="B312" s="9">
        <f>IF($K312="","",INDEX(מלאי!$B$2:$B$500,$K312))</f>
        <v/>
      </c>
      <c r="C312" s="9">
        <f>IF($K312="","",INDEX(מלאי!$C$2:$C$500,$K312))</f>
        <v/>
      </c>
      <c r="D312" s="9">
        <f>IF($K312="","",INDEX(מלאי!$G$2:$G$500,$K312))</f>
        <v/>
      </c>
      <c r="E312" s="9">
        <f>IF($K312="","",INDEX(מלאי!$M$2:$M$500,$K312))</f>
        <v/>
      </c>
      <c r="F312" s="9">
        <f>IF($K312="","",INDEX(מלאי!$N$2:$N$500,$K312))</f>
        <v/>
      </c>
      <c r="G312" s="9">
        <f>IF($K312="","",INDEX(מלאי!$O$2:$O$500,$K312))</f>
        <v/>
      </c>
      <c r="H312" s="9">
        <f>IF($K312="","",INDEX(מלאי!$U$2:$U$500,$K312))</f>
        <v/>
      </c>
      <c r="I312" s="9">
        <f>IF($K312="","",INDEX(מלאי!$X$2:$X$500,$K312))</f>
        <v/>
      </c>
      <c r="J312" s="9">
        <f>IF($K312="","",INDEX(מלאי!$AC$2:$AC$500,$K312))</f>
        <v/>
      </c>
      <c r="K31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טכנולוגיים'!$A$2:$A$500,0))&lt;=$G$6),0))),ROW(מלאי!$A$2:$A$500)-ROW(מלאי!$A$2)+1,""),290),"")</f>
        <v/>
      </c>
      <c r="L312" s="9">
        <f>IF($K312="","",IFERROR(INDEX('ערכים טכנולוגיים'!$M$2:$M$500,MATCH(A312,'ערכים טכנולוגיים'!$A$2:$A$500,0)),""))</f>
        <v/>
      </c>
      <c r="M312" s="9">
        <f>IF($K312="","",IFERROR(INDEX('ערכים טכנולוגיים'!$F$2:$F$500,MATCH(A312,'ערכים טכנולוגיים'!$A$2:$A$500,0)),""))</f>
        <v/>
      </c>
      <c r="N312" s="9">
        <f>IF($K312="","",IFERROR(INDEX('ערכים טכנולוגיים'!$J$2:$J$500,MATCH(A312,'ערכים טכנולוגיים'!$A$2:$A$500,0)),""))</f>
        <v/>
      </c>
      <c r="O312" s="9">
        <f>IF($K312="","",IFERROR(INDEX('ערכים טכנולוגיים'!$G$2:$G$500,MATCH(A312,'ערכים טכנולוגיים'!$A$2:$A$500,0)),""))</f>
        <v/>
      </c>
      <c r="P312" s="9">
        <f>IF($K312="","",IFERROR(INDEX('ערכים טכנולוגיים'!$K$2:$K$500,MATCH(A312,'ערכים טכנולוגיים'!$A$2:$A$500,0)),""))</f>
        <v/>
      </c>
      <c r="Q312" s="9">
        <f>IF($K312="","",IFERROR(INDEX('ערכים טכנולוגיים'!$P$2:$P$500,MATCH(A312,'ערכים טכנולוגיים'!$A$2:$A$500,0)),""))</f>
        <v/>
      </c>
    </row>
    <row r="313">
      <c r="A313" s="8">
        <f>IF($K313="","",INDEX(מלאי!$D$2:$D$500,$K313))</f>
        <v/>
      </c>
      <c r="B313" s="8">
        <f>IF($K313="","",INDEX(מלאי!$B$2:$B$500,$K313))</f>
        <v/>
      </c>
      <c r="C313" s="8">
        <f>IF($K313="","",INDEX(מלאי!$C$2:$C$500,$K313))</f>
        <v/>
      </c>
      <c r="D313" s="8">
        <f>IF($K313="","",INDEX(מלאי!$G$2:$G$500,$K313))</f>
        <v/>
      </c>
      <c r="E313" s="8">
        <f>IF($K313="","",INDEX(מלאי!$M$2:$M$500,$K313))</f>
        <v/>
      </c>
      <c r="F313" s="8">
        <f>IF($K313="","",INDEX(מלאי!$N$2:$N$500,$K313))</f>
        <v/>
      </c>
      <c r="G313" s="8">
        <f>IF($K313="","",INDEX(מלאי!$O$2:$O$500,$K313))</f>
        <v/>
      </c>
      <c r="H313" s="8">
        <f>IF($K313="","",INDEX(מלאי!$U$2:$U$500,$K313))</f>
        <v/>
      </c>
      <c r="I313" s="8">
        <f>IF($K313="","",INDEX(מלאי!$X$2:$X$500,$K313))</f>
        <v/>
      </c>
      <c r="J313" s="8">
        <f>IF($K313="","",INDEX(מלאי!$AC$2:$AC$500,$K313))</f>
        <v/>
      </c>
      <c r="K313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טכנולוגיים'!$A$2:$A$500,0))&lt;=$G$6),0))),ROW(מלאי!$A$2:$A$500)-ROW(מלאי!$A$2)+1,""),291),"")</f>
        <v/>
      </c>
      <c r="L313" s="8">
        <f>IF($K313="","",IFERROR(INDEX('ערכים טכנולוגיים'!$M$2:$M$500,MATCH(A313,'ערכים טכנולוגיים'!$A$2:$A$500,0)),""))</f>
        <v/>
      </c>
      <c r="M313" s="8">
        <f>IF($K313="","",IFERROR(INDEX('ערכים טכנולוגיים'!$F$2:$F$500,MATCH(A313,'ערכים טכנולוגיים'!$A$2:$A$500,0)),""))</f>
        <v/>
      </c>
      <c r="N313" s="8">
        <f>IF($K313="","",IFERROR(INDEX('ערכים טכנולוגיים'!$J$2:$J$500,MATCH(A313,'ערכים טכנולוגיים'!$A$2:$A$500,0)),""))</f>
        <v/>
      </c>
      <c r="O313" s="8">
        <f>IF($K313="","",IFERROR(INDEX('ערכים טכנולוגיים'!$G$2:$G$500,MATCH(A313,'ערכים טכנולוגיים'!$A$2:$A$500,0)),""))</f>
        <v/>
      </c>
      <c r="P313" s="8">
        <f>IF($K313="","",IFERROR(INDEX('ערכים טכנולוגיים'!$K$2:$K$500,MATCH(A313,'ערכים טכנולוגיים'!$A$2:$A$500,0)),""))</f>
        <v/>
      </c>
      <c r="Q313" s="8">
        <f>IF($K313="","",IFERROR(INDEX('ערכים טכנולוגיים'!$P$2:$P$500,MATCH(A313,'ערכים טכנולוגיים'!$A$2:$A$500,0)),""))</f>
        <v/>
      </c>
    </row>
    <row r="314">
      <c r="A314" s="9">
        <f>IF($K314="","",INDEX(מלאי!$D$2:$D$500,$K314))</f>
        <v/>
      </c>
      <c r="B314" s="9">
        <f>IF($K314="","",INDEX(מלאי!$B$2:$B$500,$K314))</f>
        <v/>
      </c>
      <c r="C314" s="9">
        <f>IF($K314="","",INDEX(מלאי!$C$2:$C$500,$K314))</f>
        <v/>
      </c>
      <c r="D314" s="9">
        <f>IF($K314="","",INDEX(מלאי!$G$2:$G$500,$K314))</f>
        <v/>
      </c>
      <c r="E314" s="9">
        <f>IF($K314="","",INDEX(מלאי!$M$2:$M$500,$K314))</f>
        <v/>
      </c>
      <c r="F314" s="9">
        <f>IF($K314="","",INDEX(מלאי!$N$2:$N$500,$K314))</f>
        <v/>
      </c>
      <c r="G314" s="9">
        <f>IF($K314="","",INDEX(מלאי!$O$2:$O$500,$K314))</f>
        <v/>
      </c>
      <c r="H314" s="9">
        <f>IF($K314="","",INDEX(מלאי!$U$2:$U$500,$K314))</f>
        <v/>
      </c>
      <c r="I314" s="9">
        <f>IF($K314="","",INDEX(מלאי!$X$2:$X$500,$K314))</f>
        <v/>
      </c>
      <c r="J314" s="9">
        <f>IF($K314="","",INDEX(מלאי!$AC$2:$AC$500,$K314))</f>
        <v/>
      </c>
      <c r="K314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טכנולוגיים'!$A$2:$A$500,0))&lt;=$G$6),0))),ROW(מלאי!$A$2:$A$500)-ROW(מלאי!$A$2)+1,""),292),"")</f>
        <v/>
      </c>
      <c r="L314" s="9">
        <f>IF($K314="","",IFERROR(INDEX('ערכים טכנולוגיים'!$M$2:$M$500,MATCH(A314,'ערכים טכנולוגיים'!$A$2:$A$500,0)),""))</f>
        <v/>
      </c>
      <c r="M314" s="9">
        <f>IF($K314="","",IFERROR(INDEX('ערכים טכנולוגיים'!$F$2:$F$500,MATCH(A314,'ערכים טכנולוגיים'!$A$2:$A$500,0)),""))</f>
        <v/>
      </c>
      <c r="N314" s="9">
        <f>IF($K314="","",IFERROR(INDEX('ערכים טכנולוגיים'!$J$2:$J$500,MATCH(A314,'ערכים טכנולוגיים'!$A$2:$A$500,0)),""))</f>
        <v/>
      </c>
      <c r="O314" s="9">
        <f>IF($K314="","",IFERROR(INDEX('ערכים טכנולוגיים'!$G$2:$G$500,MATCH(A314,'ערכים טכנולוגיים'!$A$2:$A$500,0)),""))</f>
        <v/>
      </c>
      <c r="P314" s="9">
        <f>IF($K314="","",IFERROR(INDEX('ערכים טכנולוגיים'!$K$2:$K$500,MATCH(A314,'ערכים טכנולוגיים'!$A$2:$A$500,0)),""))</f>
        <v/>
      </c>
      <c r="Q314" s="9">
        <f>IF($K314="","",IFERROR(INDEX('ערכים טכנולוגיים'!$P$2:$P$500,MATCH(A314,'ערכים טכנולוגיים'!$A$2:$A$500,0)),""))</f>
        <v/>
      </c>
    </row>
    <row r="315">
      <c r="A315" s="8">
        <f>IF($K315="","",INDEX(מלאי!$D$2:$D$500,$K315))</f>
        <v/>
      </c>
      <c r="B315" s="8">
        <f>IF($K315="","",INDEX(מלאי!$B$2:$B$500,$K315))</f>
        <v/>
      </c>
      <c r="C315" s="8">
        <f>IF($K315="","",INDEX(מלאי!$C$2:$C$500,$K315))</f>
        <v/>
      </c>
      <c r="D315" s="8">
        <f>IF($K315="","",INDEX(מלאי!$G$2:$G$500,$K315))</f>
        <v/>
      </c>
      <c r="E315" s="8">
        <f>IF($K315="","",INDEX(מלאי!$M$2:$M$500,$K315))</f>
        <v/>
      </c>
      <c r="F315" s="8">
        <f>IF($K315="","",INDEX(מלאי!$N$2:$N$500,$K315))</f>
        <v/>
      </c>
      <c r="G315" s="8">
        <f>IF($K315="","",INDEX(מלאי!$O$2:$O$500,$K315))</f>
        <v/>
      </c>
      <c r="H315" s="8">
        <f>IF($K315="","",INDEX(מלאי!$U$2:$U$500,$K315))</f>
        <v/>
      </c>
      <c r="I315" s="8">
        <f>IF($K315="","",INDEX(מלאי!$X$2:$X$500,$K315))</f>
        <v/>
      </c>
      <c r="J315" s="8">
        <f>IF($K315="","",INDEX(מלאי!$AC$2:$AC$500,$K315))</f>
        <v/>
      </c>
      <c r="K315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טכנולוגיים'!$A$2:$A$500,0))&lt;=$G$6),0))),ROW(מלאי!$A$2:$A$500)-ROW(מלאי!$A$2)+1,""),293),"")</f>
        <v/>
      </c>
      <c r="L315" s="8">
        <f>IF($K315="","",IFERROR(INDEX('ערכים טכנולוגיים'!$M$2:$M$500,MATCH(A315,'ערכים טכנולוגיים'!$A$2:$A$500,0)),""))</f>
        <v/>
      </c>
      <c r="M315" s="8">
        <f>IF($K315="","",IFERROR(INDEX('ערכים טכנולוגיים'!$F$2:$F$500,MATCH(A315,'ערכים טכנולוגיים'!$A$2:$A$500,0)),""))</f>
        <v/>
      </c>
      <c r="N315" s="8">
        <f>IF($K315="","",IFERROR(INDEX('ערכים טכנולוגיים'!$J$2:$J$500,MATCH(A315,'ערכים טכנולוגיים'!$A$2:$A$500,0)),""))</f>
        <v/>
      </c>
      <c r="O315" s="8">
        <f>IF($K315="","",IFERROR(INDEX('ערכים טכנולוגיים'!$G$2:$G$500,MATCH(A315,'ערכים טכנולוגיים'!$A$2:$A$500,0)),""))</f>
        <v/>
      </c>
      <c r="P315" s="8">
        <f>IF($K315="","",IFERROR(INDEX('ערכים טכנולוגיים'!$K$2:$K$500,MATCH(A315,'ערכים טכנולוגיים'!$A$2:$A$500,0)),""))</f>
        <v/>
      </c>
      <c r="Q315" s="8">
        <f>IF($K315="","",IFERROR(INDEX('ערכים טכנולוגיים'!$P$2:$P$500,MATCH(A315,'ערכים טכנולוגיים'!$A$2:$A$500,0)),""))</f>
        <v/>
      </c>
    </row>
    <row r="316">
      <c r="A316" s="9">
        <f>IF($K316="","",INDEX(מלאי!$D$2:$D$500,$K316))</f>
        <v/>
      </c>
      <c r="B316" s="9">
        <f>IF($K316="","",INDEX(מלאי!$B$2:$B$500,$K316))</f>
        <v/>
      </c>
      <c r="C316" s="9">
        <f>IF($K316="","",INDEX(מלאי!$C$2:$C$500,$K316))</f>
        <v/>
      </c>
      <c r="D316" s="9">
        <f>IF($K316="","",INDEX(מלאי!$G$2:$G$500,$K316))</f>
        <v/>
      </c>
      <c r="E316" s="9">
        <f>IF($K316="","",INDEX(מלאי!$M$2:$M$500,$K316))</f>
        <v/>
      </c>
      <c r="F316" s="9">
        <f>IF($K316="","",INDEX(מלאי!$N$2:$N$500,$K316))</f>
        <v/>
      </c>
      <c r="G316" s="9">
        <f>IF($K316="","",INDEX(מלאי!$O$2:$O$500,$K316))</f>
        <v/>
      </c>
      <c r="H316" s="9">
        <f>IF($K316="","",INDEX(מלאי!$U$2:$U$500,$K316))</f>
        <v/>
      </c>
      <c r="I316" s="9">
        <f>IF($K316="","",INDEX(מלאי!$X$2:$X$500,$K316))</f>
        <v/>
      </c>
      <c r="J316" s="9">
        <f>IF($K316="","",INDEX(מלאי!$AC$2:$AC$500,$K316))</f>
        <v/>
      </c>
      <c r="K316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טכנולוגיים'!$A$2:$A$500,0))&lt;=$G$6),0))),ROW(מלאי!$A$2:$A$500)-ROW(מלאי!$A$2)+1,""),294),"")</f>
        <v/>
      </c>
      <c r="L316" s="9">
        <f>IF($K316="","",IFERROR(INDEX('ערכים טכנולוגיים'!$M$2:$M$500,MATCH(A316,'ערכים טכנולוגיים'!$A$2:$A$500,0)),""))</f>
        <v/>
      </c>
      <c r="M316" s="9">
        <f>IF($K316="","",IFERROR(INDEX('ערכים טכנולוגיים'!$F$2:$F$500,MATCH(A316,'ערכים טכנולוגיים'!$A$2:$A$500,0)),""))</f>
        <v/>
      </c>
      <c r="N316" s="9">
        <f>IF($K316="","",IFERROR(INDEX('ערכים טכנולוגיים'!$J$2:$J$500,MATCH(A316,'ערכים טכנולוגיים'!$A$2:$A$500,0)),""))</f>
        <v/>
      </c>
      <c r="O316" s="9">
        <f>IF($K316="","",IFERROR(INDEX('ערכים טכנולוגיים'!$G$2:$G$500,MATCH(A316,'ערכים טכנולוגיים'!$A$2:$A$500,0)),""))</f>
        <v/>
      </c>
      <c r="P316" s="9">
        <f>IF($K316="","",IFERROR(INDEX('ערכים טכנולוגיים'!$K$2:$K$500,MATCH(A316,'ערכים טכנולוגיים'!$A$2:$A$500,0)),""))</f>
        <v/>
      </c>
      <c r="Q316" s="9">
        <f>IF($K316="","",IFERROR(INDEX('ערכים טכנולוגיים'!$P$2:$P$500,MATCH(A316,'ערכים טכנולוגיים'!$A$2:$A$500,0)),""))</f>
        <v/>
      </c>
    </row>
    <row r="317">
      <c r="A317" s="8">
        <f>IF($K317="","",INDEX(מלאי!$D$2:$D$500,$K317))</f>
        <v/>
      </c>
      <c r="B317" s="8">
        <f>IF($K317="","",INDEX(מלאי!$B$2:$B$500,$K317))</f>
        <v/>
      </c>
      <c r="C317" s="8">
        <f>IF($K317="","",INDEX(מלאי!$C$2:$C$500,$K317))</f>
        <v/>
      </c>
      <c r="D317" s="8">
        <f>IF($K317="","",INDEX(מלאי!$G$2:$G$500,$K317))</f>
        <v/>
      </c>
      <c r="E317" s="8">
        <f>IF($K317="","",INDEX(מלאי!$M$2:$M$500,$K317))</f>
        <v/>
      </c>
      <c r="F317" s="8">
        <f>IF($K317="","",INDEX(מלאי!$N$2:$N$500,$K317))</f>
        <v/>
      </c>
      <c r="G317" s="8">
        <f>IF($K317="","",INDEX(מלאי!$O$2:$O$500,$K317))</f>
        <v/>
      </c>
      <c r="H317" s="8">
        <f>IF($K317="","",INDEX(מלאי!$U$2:$U$500,$K317))</f>
        <v/>
      </c>
      <c r="I317" s="8">
        <f>IF($K317="","",INDEX(מלאי!$X$2:$X$500,$K317))</f>
        <v/>
      </c>
      <c r="J317" s="8">
        <f>IF($K317="","",INDEX(מלאי!$AC$2:$AC$500,$K317))</f>
        <v/>
      </c>
      <c r="K317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טכנולוגיים'!$A$2:$A$500,0))&lt;=$G$6),0))),ROW(מלאי!$A$2:$A$500)-ROW(מלאי!$A$2)+1,""),295),"")</f>
        <v/>
      </c>
      <c r="L317" s="8">
        <f>IF($K317="","",IFERROR(INDEX('ערכים טכנולוגיים'!$M$2:$M$500,MATCH(A317,'ערכים טכנולוגיים'!$A$2:$A$500,0)),""))</f>
        <v/>
      </c>
      <c r="M317" s="8">
        <f>IF($K317="","",IFERROR(INDEX('ערכים טכנולוגיים'!$F$2:$F$500,MATCH(A317,'ערכים טכנולוגיים'!$A$2:$A$500,0)),""))</f>
        <v/>
      </c>
      <c r="N317" s="8">
        <f>IF($K317="","",IFERROR(INDEX('ערכים טכנולוגיים'!$J$2:$J$500,MATCH(A317,'ערכים טכנולוגיים'!$A$2:$A$500,0)),""))</f>
        <v/>
      </c>
      <c r="O317" s="8">
        <f>IF($K317="","",IFERROR(INDEX('ערכים טכנולוגיים'!$G$2:$G$500,MATCH(A317,'ערכים טכנולוגיים'!$A$2:$A$500,0)),""))</f>
        <v/>
      </c>
      <c r="P317" s="8">
        <f>IF($K317="","",IFERROR(INDEX('ערכים טכנולוגיים'!$K$2:$K$500,MATCH(A317,'ערכים טכנולוגיים'!$A$2:$A$500,0)),""))</f>
        <v/>
      </c>
      <c r="Q317" s="8">
        <f>IF($K317="","",IFERROR(INDEX('ערכים טכנולוגיים'!$P$2:$P$500,MATCH(A317,'ערכים טכנולוגיים'!$A$2:$A$500,0)),""))</f>
        <v/>
      </c>
    </row>
    <row r="318">
      <c r="A318" s="9">
        <f>IF($K318="","",INDEX(מלאי!$D$2:$D$500,$K318))</f>
        <v/>
      </c>
      <c r="B318" s="9">
        <f>IF($K318="","",INDEX(מלאי!$B$2:$B$500,$K318))</f>
        <v/>
      </c>
      <c r="C318" s="9">
        <f>IF($K318="","",INDEX(מלאי!$C$2:$C$500,$K318))</f>
        <v/>
      </c>
      <c r="D318" s="9">
        <f>IF($K318="","",INDEX(מלאי!$G$2:$G$500,$K318))</f>
        <v/>
      </c>
      <c r="E318" s="9">
        <f>IF($K318="","",INDEX(מלאי!$M$2:$M$500,$K318))</f>
        <v/>
      </c>
      <c r="F318" s="9">
        <f>IF($K318="","",INDEX(מלאי!$N$2:$N$500,$K318))</f>
        <v/>
      </c>
      <c r="G318" s="9">
        <f>IF($K318="","",INDEX(מלאי!$O$2:$O$500,$K318))</f>
        <v/>
      </c>
      <c r="H318" s="9">
        <f>IF($K318="","",INDEX(מלאי!$U$2:$U$500,$K318))</f>
        <v/>
      </c>
      <c r="I318" s="9">
        <f>IF($K318="","",INDEX(מלאי!$X$2:$X$500,$K318))</f>
        <v/>
      </c>
      <c r="J318" s="9">
        <f>IF($K318="","",INDEX(מלאי!$AC$2:$AC$500,$K318))</f>
        <v/>
      </c>
      <c r="K318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טכנולוגיים'!$A$2:$A$500,0))&lt;=$G$6),0))),ROW(מלאי!$A$2:$A$500)-ROW(מלאי!$A$2)+1,""),296),"")</f>
        <v/>
      </c>
      <c r="L318" s="9">
        <f>IF($K318="","",IFERROR(INDEX('ערכים טכנולוגיים'!$M$2:$M$500,MATCH(A318,'ערכים טכנולוגיים'!$A$2:$A$500,0)),""))</f>
        <v/>
      </c>
      <c r="M318" s="9">
        <f>IF($K318="","",IFERROR(INDEX('ערכים טכנולוגיים'!$F$2:$F$500,MATCH(A318,'ערכים טכנולוגיים'!$A$2:$A$500,0)),""))</f>
        <v/>
      </c>
      <c r="N318" s="9">
        <f>IF($K318="","",IFERROR(INDEX('ערכים טכנולוגיים'!$J$2:$J$500,MATCH(A318,'ערכים טכנולוגיים'!$A$2:$A$500,0)),""))</f>
        <v/>
      </c>
      <c r="O318" s="9">
        <f>IF($K318="","",IFERROR(INDEX('ערכים טכנולוגיים'!$G$2:$G$500,MATCH(A318,'ערכים טכנולוגיים'!$A$2:$A$500,0)),""))</f>
        <v/>
      </c>
      <c r="P318" s="9">
        <f>IF($K318="","",IFERROR(INDEX('ערכים טכנולוגיים'!$K$2:$K$500,MATCH(A318,'ערכים טכנולוגיים'!$A$2:$A$500,0)),""))</f>
        <v/>
      </c>
      <c r="Q318" s="9">
        <f>IF($K318="","",IFERROR(INDEX('ערכים טכנולוגיים'!$P$2:$P$500,MATCH(A318,'ערכים טכנולוגיים'!$A$2:$A$500,0)),""))</f>
        <v/>
      </c>
    </row>
    <row r="319">
      <c r="A319" s="8">
        <f>IF($K319="","",INDEX(מלאי!$D$2:$D$500,$K319))</f>
        <v/>
      </c>
      <c r="B319" s="8">
        <f>IF($K319="","",INDEX(מלאי!$B$2:$B$500,$K319))</f>
        <v/>
      </c>
      <c r="C319" s="8">
        <f>IF($K319="","",INDEX(מלאי!$C$2:$C$500,$K319))</f>
        <v/>
      </c>
      <c r="D319" s="8">
        <f>IF($K319="","",INDEX(מלאי!$G$2:$G$500,$K319))</f>
        <v/>
      </c>
      <c r="E319" s="8">
        <f>IF($K319="","",INDEX(מלאי!$M$2:$M$500,$K319))</f>
        <v/>
      </c>
      <c r="F319" s="8">
        <f>IF($K319="","",INDEX(מלאי!$N$2:$N$500,$K319))</f>
        <v/>
      </c>
      <c r="G319" s="8">
        <f>IF($K319="","",INDEX(מלאי!$O$2:$O$500,$K319))</f>
        <v/>
      </c>
      <c r="H319" s="8">
        <f>IF($K319="","",INDEX(מלאי!$U$2:$U$500,$K319))</f>
        <v/>
      </c>
      <c r="I319" s="8">
        <f>IF($K319="","",INDEX(מלאי!$X$2:$X$500,$K319))</f>
        <v/>
      </c>
      <c r="J319" s="8">
        <f>IF($K319="","",INDEX(מלאי!$AC$2:$AC$500,$K319))</f>
        <v/>
      </c>
      <c r="K319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טכנולוגיים'!$A$2:$A$500,0))&lt;=$G$6),0))),ROW(מלאי!$A$2:$A$500)-ROW(מלאי!$A$2)+1,""),297),"")</f>
        <v/>
      </c>
      <c r="L319" s="8">
        <f>IF($K319="","",IFERROR(INDEX('ערכים טכנולוגיים'!$M$2:$M$500,MATCH(A319,'ערכים טכנולוגיים'!$A$2:$A$500,0)),""))</f>
        <v/>
      </c>
      <c r="M319" s="8">
        <f>IF($K319="","",IFERROR(INDEX('ערכים טכנולוגיים'!$F$2:$F$500,MATCH(A319,'ערכים טכנולוגיים'!$A$2:$A$500,0)),""))</f>
        <v/>
      </c>
      <c r="N319" s="8">
        <f>IF($K319="","",IFERROR(INDEX('ערכים טכנולוגיים'!$J$2:$J$500,MATCH(A319,'ערכים טכנולוגיים'!$A$2:$A$500,0)),""))</f>
        <v/>
      </c>
      <c r="O319" s="8">
        <f>IF($K319="","",IFERROR(INDEX('ערכים טכנולוגיים'!$G$2:$G$500,MATCH(A319,'ערכים טכנולוגיים'!$A$2:$A$500,0)),""))</f>
        <v/>
      </c>
      <c r="P319" s="8">
        <f>IF($K319="","",IFERROR(INDEX('ערכים טכנולוגיים'!$K$2:$K$500,MATCH(A319,'ערכים טכנולוגיים'!$A$2:$A$500,0)),""))</f>
        <v/>
      </c>
      <c r="Q319" s="8">
        <f>IF($K319="","",IFERROR(INDEX('ערכים טכנולוגיים'!$P$2:$P$500,MATCH(A319,'ערכים טכנולוגיים'!$A$2:$A$500,0)),""))</f>
        <v/>
      </c>
    </row>
    <row r="320">
      <c r="A320" s="9">
        <f>IF($K320="","",INDEX(מלאי!$D$2:$D$500,$K320))</f>
        <v/>
      </c>
      <c r="B320" s="9">
        <f>IF($K320="","",INDEX(מלאי!$B$2:$B$500,$K320))</f>
        <v/>
      </c>
      <c r="C320" s="9">
        <f>IF($K320="","",INDEX(מלאי!$C$2:$C$500,$K320))</f>
        <v/>
      </c>
      <c r="D320" s="9">
        <f>IF($K320="","",INDEX(מלאי!$G$2:$G$500,$K320))</f>
        <v/>
      </c>
      <c r="E320" s="9">
        <f>IF($K320="","",INDEX(מלאי!$M$2:$M$500,$K320))</f>
        <v/>
      </c>
      <c r="F320" s="9">
        <f>IF($K320="","",INDEX(מלאי!$N$2:$N$500,$K320))</f>
        <v/>
      </c>
      <c r="G320" s="9">
        <f>IF($K320="","",INDEX(מלאי!$O$2:$O$500,$K320))</f>
        <v/>
      </c>
      <c r="H320" s="9">
        <f>IF($K320="","",INDEX(מלאי!$U$2:$U$500,$K320))</f>
        <v/>
      </c>
      <c r="I320" s="9">
        <f>IF($K320="","",INDEX(מלאי!$X$2:$X$500,$K320))</f>
        <v/>
      </c>
      <c r="J320" s="9">
        <f>IF($K320="","",INDEX(מלאי!$AC$2:$AC$500,$K320))</f>
        <v/>
      </c>
      <c r="K320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טכנולוגיים'!$A$2:$A$500,0))&lt;=$G$6),0))),ROW(מלאי!$A$2:$A$500)-ROW(מלאי!$A$2)+1,""),298),"")</f>
        <v/>
      </c>
      <c r="L320" s="9">
        <f>IF($K320="","",IFERROR(INDEX('ערכים טכנולוגיים'!$M$2:$M$500,MATCH(A320,'ערכים טכנולוגיים'!$A$2:$A$500,0)),""))</f>
        <v/>
      </c>
      <c r="M320" s="9">
        <f>IF($K320="","",IFERROR(INDEX('ערכים טכנולוגיים'!$F$2:$F$500,MATCH(A320,'ערכים טכנולוגיים'!$A$2:$A$500,0)),""))</f>
        <v/>
      </c>
      <c r="N320" s="9">
        <f>IF($K320="","",IFERROR(INDEX('ערכים טכנולוגיים'!$J$2:$J$500,MATCH(A320,'ערכים טכנולוגיים'!$A$2:$A$500,0)),""))</f>
        <v/>
      </c>
      <c r="O320" s="9">
        <f>IF($K320="","",IFERROR(INDEX('ערכים טכנולוגיים'!$G$2:$G$500,MATCH(A320,'ערכים טכנולוגיים'!$A$2:$A$500,0)),""))</f>
        <v/>
      </c>
      <c r="P320" s="9">
        <f>IF($K320="","",IFERROR(INDEX('ערכים טכנולוגיים'!$K$2:$K$500,MATCH(A320,'ערכים טכנולוגיים'!$A$2:$A$500,0)),""))</f>
        <v/>
      </c>
      <c r="Q320" s="9">
        <f>IF($K320="","",IFERROR(INDEX('ערכים טכנולוגיים'!$P$2:$P$500,MATCH(A320,'ערכים טכנולוגיים'!$A$2:$A$500,0)),""))</f>
        <v/>
      </c>
    </row>
    <row r="321">
      <c r="A321" s="8">
        <f>IF($K321="","",INDEX(מלאי!$D$2:$D$500,$K321))</f>
        <v/>
      </c>
      <c r="B321" s="8">
        <f>IF($K321="","",INDEX(מלאי!$B$2:$B$500,$K321))</f>
        <v/>
      </c>
      <c r="C321" s="8">
        <f>IF($K321="","",INDEX(מלאי!$C$2:$C$500,$K321))</f>
        <v/>
      </c>
      <c r="D321" s="8">
        <f>IF($K321="","",INDEX(מלאי!$G$2:$G$500,$K321))</f>
        <v/>
      </c>
      <c r="E321" s="8">
        <f>IF($K321="","",INDEX(מלאי!$M$2:$M$500,$K321))</f>
        <v/>
      </c>
      <c r="F321" s="8">
        <f>IF($K321="","",INDEX(מלאי!$N$2:$N$500,$K321))</f>
        <v/>
      </c>
      <c r="G321" s="8">
        <f>IF($K321="","",INDEX(מלאי!$O$2:$O$500,$K321))</f>
        <v/>
      </c>
      <c r="H321" s="8">
        <f>IF($K321="","",INDEX(מלאי!$U$2:$U$500,$K321))</f>
        <v/>
      </c>
      <c r="I321" s="8">
        <f>IF($K321="","",INDEX(מלאי!$X$2:$X$500,$K321))</f>
        <v/>
      </c>
      <c r="J321" s="8">
        <f>IF($K321="","",INDEX(מלאי!$AC$2:$AC$500,$K321))</f>
        <v/>
      </c>
      <c r="K321" s="8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טכנולוגיים'!$A$2:$A$500,0))&lt;=$G$6),0))),ROW(מלאי!$A$2:$A$500)-ROW(מלאי!$A$2)+1,""),299),"")</f>
        <v/>
      </c>
      <c r="L321" s="8">
        <f>IF($K321="","",IFERROR(INDEX('ערכים טכנולוגיים'!$M$2:$M$500,MATCH(A321,'ערכים טכנולוגיים'!$A$2:$A$500,0)),""))</f>
        <v/>
      </c>
      <c r="M321" s="8">
        <f>IF($K321="","",IFERROR(INDEX('ערכים טכנולוגיים'!$F$2:$F$500,MATCH(A321,'ערכים טכנולוגיים'!$A$2:$A$500,0)),""))</f>
        <v/>
      </c>
      <c r="N321" s="8">
        <f>IF($K321="","",IFERROR(INDEX('ערכים טכנולוגיים'!$J$2:$J$500,MATCH(A321,'ערכים טכנולוגיים'!$A$2:$A$500,0)),""))</f>
        <v/>
      </c>
      <c r="O321" s="8">
        <f>IF($K321="","",IFERROR(INDEX('ערכים טכנולוגיים'!$G$2:$G$500,MATCH(A321,'ערכים טכנולוגיים'!$A$2:$A$500,0)),""))</f>
        <v/>
      </c>
      <c r="P321" s="8">
        <f>IF($K321="","",IFERROR(INDEX('ערכים טכנולוגיים'!$K$2:$K$500,MATCH(A321,'ערכים טכנולוגיים'!$A$2:$A$500,0)),""))</f>
        <v/>
      </c>
      <c r="Q321" s="8">
        <f>IF($K321="","",IFERROR(INDEX('ערכים טכנולוגיים'!$P$2:$P$500,MATCH(A321,'ערכים טכנולוגיים'!$A$2:$A$500,0)),""))</f>
        <v/>
      </c>
    </row>
    <row r="322">
      <c r="A322" s="9">
        <f>IF($K322="","",INDEX(מלאי!$D$2:$D$500,$K322))</f>
        <v/>
      </c>
      <c r="B322" s="9">
        <f>IF($K322="","",INDEX(מלאי!$B$2:$B$500,$K322))</f>
        <v/>
      </c>
      <c r="C322" s="9">
        <f>IF($K322="","",INDEX(מלאי!$C$2:$C$500,$K322))</f>
        <v/>
      </c>
      <c r="D322" s="9">
        <f>IF($K322="","",INDEX(מלאי!$G$2:$G$500,$K322))</f>
        <v/>
      </c>
      <c r="E322" s="9">
        <f>IF($K322="","",INDEX(מלאי!$M$2:$M$500,$K322))</f>
        <v/>
      </c>
      <c r="F322" s="9">
        <f>IF($K322="","",INDEX(מלאי!$N$2:$N$500,$K322))</f>
        <v/>
      </c>
      <c r="G322" s="9">
        <f>IF($K322="","",INDEX(מלאי!$O$2:$O$500,$K322))</f>
        <v/>
      </c>
      <c r="H322" s="9">
        <f>IF($K322="","",INDEX(מלאי!$U$2:$U$500,$K322))</f>
        <v/>
      </c>
      <c r="I322" s="9">
        <f>IF($K322="","",INDEX(מלאי!$X$2:$X$500,$K322))</f>
        <v/>
      </c>
      <c r="J322" s="9">
        <f>IF($K322="","",INDEX(מלאי!$AC$2:$AC$500,$K322))</f>
        <v/>
      </c>
      <c r="K322" s="9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טכנולוגיים'!$A$2:$A$500,0))&lt;=$G$6),0))),ROW(מלאי!$A$2:$A$500)-ROW(מלאי!$A$2)+1,""),300),"")</f>
        <v/>
      </c>
      <c r="L322" s="9">
        <f>IF($K322="","",IFERROR(INDEX('ערכים טכנולוגיים'!$M$2:$M$500,MATCH(A322,'ערכים טכנולוגיים'!$A$2:$A$500,0)),""))</f>
        <v/>
      </c>
      <c r="M322" s="9">
        <f>IF($K322="","",IFERROR(INDEX('ערכים טכנולוגיים'!$F$2:$F$500,MATCH(A322,'ערכים טכנולוגיים'!$A$2:$A$500,0)),""))</f>
        <v/>
      </c>
      <c r="N322" s="9">
        <f>IF($K322="","",IFERROR(INDEX('ערכים טכנולוגיים'!$J$2:$J$500,MATCH(A322,'ערכים טכנולוגיים'!$A$2:$A$500,0)),""))</f>
        <v/>
      </c>
      <c r="O322" s="9">
        <f>IF($K322="","",IFERROR(INDEX('ערכים טכנולוגיים'!$G$2:$G$500,MATCH(A322,'ערכים טכנולוגיים'!$A$2:$A$500,0)),""))</f>
        <v/>
      </c>
      <c r="P322" s="9">
        <f>IF($K322="","",IFERROR(INDEX('ערכים טכנולוגיים'!$K$2:$K$500,MATCH(A322,'ערכים טכנולוגיים'!$A$2:$A$500,0)),""))</f>
        <v/>
      </c>
      <c r="Q322" s="9">
        <f>IF($K322="","",IFERROR(INDEX('ערכים טכנולוגיים'!$P$2:$P$500,MATCH(A322,'ערכים טכנולוגיים'!$A$2:$A$500,0)),""))</f>
        <v/>
      </c>
    </row>
    <row r="324">
      <c r="A324" s="3" t="inlineStr">
        <is>
          <t>השאלות פעילות</t>
        </is>
      </c>
    </row>
    <row r="325">
      <c r="A325" s="7" t="inlineStr">
        <is>
          <t>מזהה</t>
        </is>
      </c>
      <c r="B325" s="7" t="inlineStr">
        <is>
          <t>מוצר</t>
        </is>
      </c>
      <c r="C325" s="7" t="inlineStr">
        <is>
          <t>גרסה</t>
        </is>
      </c>
      <c r="D325" s="7" t="inlineStr">
        <is>
          <t>מושאל ל</t>
        </is>
      </c>
      <c r="E325" s="7" t="inlineStr">
        <is>
          <t>מדינה</t>
        </is>
      </c>
      <c r="F325" s="7" t="inlineStr">
        <is>
          <t>החזרה משוערת</t>
        </is>
      </c>
      <c r="G325" s="7" t="inlineStr">
        <is>
          <t>באיחור</t>
        </is>
      </c>
      <c r="K325" s="7" t="inlineStr">
        <is>
          <t>loan_ref</t>
        </is>
      </c>
    </row>
    <row r="326">
      <c r="A326" s="8">
        <f>IF($K326="","",INDEX(מלאי!$D$2:$D$500,$K326))</f>
        <v/>
      </c>
      <c r="B326" s="8">
        <f>IF($K326="","",INDEX(מלאי!$B$2:$B$500,$K326))</f>
        <v/>
      </c>
      <c r="C326" s="8">
        <f>IF($K326="","",INDEX(מלאי!$C$2:$C$500,$K326))</f>
        <v/>
      </c>
      <c r="D326" s="8">
        <f>IF($K326="","",INDEX(מלאי!$Y$2:$Y$500,$K326))</f>
        <v/>
      </c>
      <c r="E326" s="8">
        <f>IF($K326="","",INDEX(מלאי!$Z$2:$Z$500,$K326))</f>
        <v/>
      </c>
      <c r="F326" s="13">
        <f>IF($K326="","",INDEX(מלאי!$AB$2:$AB$500,$K326))</f>
        <v/>
      </c>
      <c r="G326" s="8">
        <f>IF($K326="","",IF(AND(INDEX(מלאי!$AB$2:$AB$500,$K326)&lt;&gt;"",INDEX(מלאי!$AB$2:$AB$500,$K326)&lt;TODAY()),"באיחור!","תקין"))</f>
        <v/>
      </c>
      <c r="H326" s="8" t="n"/>
      <c r="I326" s="8" t="n"/>
      <c r="J326" s="8" t="n"/>
      <c r="K326" s="8">
        <f>IFERROR(SMALL(IF((מלאי!$D$2:$D$500&lt;&gt;"")*(מלאי!$X$2:$X$500="מושאל"),ROW(מלאי!$A$2:$A$500)-ROW(מלאי!$A$2)+1,""),1),"")</f>
        <v/>
      </c>
      <c r="L326" s="8" t="n"/>
      <c r="M326" s="8" t="n"/>
      <c r="N326" s="8" t="n"/>
      <c r="O326" s="8" t="n"/>
      <c r="P326" s="8" t="n"/>
      <c r="Q326" s="8" t="n"/>
    </row>
    <row r="327">
      <c r="A327" s="9">
        <f>IF($K327="","",INDEX(מלאי!$D$2:$D$500,$K327))</f>
        <v/>
      </c>
      <c r="B327" s="9">
        <f>IF($K327="","",INDEX(מלאי!$B$2:$B$500,$K327))</f>
        <v/>
      </c>
      <c r="C327" s="9">
        <f>IF($K327="","",INDEX(מלאי!$C$2:$C$500,$K327))</f>
        <v/>
      </c>
      <c r="D327" s="9">
        <f>IF($K327="","",INDEX(מלאי!$Y$2:$Y$500,$K327))</f>
        <v/>
      </c>
      <c r="E327" s="9">
        <f>IF($K327="","",INDEX(מלאי!$Z$2:$Z$500,$K327))</f>
        <v/>
      </c>
      <c r="F327" s="14">
        <f>IF($K327="","",INDEX(מלאי!$AB$2:$AB$500,$K327))</f>
        <v/>
      </c>
      <c r="G327" s="9">
        <f>IF($K327="","",IF(AND(INDEX(מלאי!$AB$2:$AB$500,$K327)&lt;&gt;"",INDEX(מלאי!$AB$2:$AB$500,$K327)&lt;TODAY()),"באיחור!","תקין"))</f>
        <v/>
      </c>
      <c r="H327" s="9" t="n"/>
      <c r="I327" s="9" t="n"/>
      <c r="J327" s="9" t="n"/>
      <c r="K327" s="9">
        <f>IFERROR(SMALL(IF((מלאי!$D$2:$D$500&lt;&gt;"")*(מלאי!$X$2:$X$500="מושאל"),ROW(מלאי!$A$2:$A$500)-ROW(מלאי!$A$2)+1,""),2),"")</f>
        <v/>
      </c>
      <c r="L327" s="9" t="n"/>
      <c r="M327" s="9" t="n"/>
      <c r="N327" s="9" t="n"/>
      <c r="O327" s="9" t="n"/>
      <c r="P327" s="9" t="n"/>
      <c r="Q327" s="9" t="n"/>
    </row>
    <row r="328">
      <c r="A328" s="8">
        <f>IF($K328="","",INDEX(מלאי!$D$2:$D$500,$K328))</f>
        <v/>
      </c>
      <c r="B328" s="8">
        <f>IF($K328="","",INDEX(מלאי!$B$2:$B$500,$K328))</f>
        <v/>
      </c>
      <c r="C328" s="8">
        <f>IF($K328="","",INDEX(מלאי!$C$2:$C$500,$K328))</f>
        <v/>
      </c>
      <c r="D328" s="8">
        <f>IF($K328="","",INDEX(מלאי!$Y$2:$Y$500,$K328))</f>
        <v/>
      </c>
      <c r="E328" s="8">
        <f>IF($K328="","",INDEX(מלאי!$Z$2:$Z$500,$K328))</f>
        <v/>
      </c>
      <c r="F328" s="13">
        <f>IF($K328="","",INDEX(מלאי!$AB$2:$AB$500,$K328))</f>
        <v/>
      </c>
      <c r="G328" s="8">
        <f>IF($K328="","",IF(AND(INDEX(מלאי!$AB$2:$AB$500,$K328)&lt;&gt;"",INDEX(מלאי!$AB$2:$AB$500,$K328)&lt;TODAY()),"באיחור!","תקין"))</f>
        <v/>
      </c>
      <c r="H328" s="8" t="n"/>
      <c r="I328" s="8" t="n"/>
      <c r="J328" s="8" t="n"/>
      <c r="K328" s="8">
        <f>IFERROR(SMALL(IF((מלאי!$D$2:$D$500&lt;&gt;"")*(מלאי!$X$2:$X$500="מושאל"),ROW(מלאי!$A$2:$A$500)-ROW(מלאי!$A$2)+1,""),3),"")</f>
        <v/>
      </c>
      <c r="L328" s="8" t="n"/>
      <c r="M328" s="8" t="n"/>
      <c r="N328" s="8" t="n"/>
      <c r="O328" s="8" t="n"/>
      <c r="P328" s="8" t="n"/>
      <c r="Q328" s="8" t="n"/>
    </row>
    <row r="329">
      <c r="A329" s="9">
        <f>IF($K329="","",INDEX(מלאי!$D$2:$D$500,$K329))</f>
        <v/>
      </c>
      <c r="B329" s="9">
        <f>IF($K329="","",INDEX(מלאי!$B$2:$B$500,$K329))</f>
        <v/>
      </c>
      <c r="C329" s="9">
        <f>IF($K329="","",INDEX(מלאי!$C$2:$C$500,$K329))</f>
        <v/>
      </c>
      <c r="D329" s="9">
        <f>IF($K329="","",INDEX(מלאי!$Y$2:$Y$500,$K329))</f>
        <v/>
      </c>
      <c r="E329" s="9">
        <f>IF($K329="","",INDEX(מלאי!$Z$2:$Z$500,$K329))</f>
        <v/>
      </c>
      <c r="F329" s="14">
        <f>IF($K329="","",INDEX(מלאי!$AB$2:$AB$500,$K329))</f>
        <v/>
      </c>
      <c r="G329" s="9">
        <f>IF($K329="","",IF(AND(INDEX(מלאי!$AB$2:$AB$500,$K329)&lt;&gt;"",INDEX(מלאי!$AB$2:$AB$500,$K329)&lt;TODAY()),"באיחור!","תקין"))</f>
        <v/>
      </c>
      <c r="H329" s="9" t="n"/>
      <c r="I329" s="9" t="n"/>
      <c r="J329" s="9" t="n"/>
      <c r="K329" s="9">
        <f>IFERROR(SMALL(IF((מלאי!$D$2:$D$500&lt;&gt;"")*(מלאי!$X$2:$X$500="מושאל"),ROW(מלאי!$A$2:$A$500)-ROW(מלאי!$A$2)+1,""),4),"")</f>
        <v/>
      </c>
      <c r="L329" s="9" t="n"/>
      <c r="M329" s="9" t="n"/>
      <c r="N329" s="9" t="n"/>
      <c r="O329" s="9" t="n"/>
      <c r="P329" s="9" t="n"/>
      <c r="Q329" s="9" t="n"/>
    </row>
    <row r="330">
      <c r="A330" s="8">
        <f>IF($K330="","",INDEX(מלאי!$D$2:$D$500,$K330))</f>
        <v/>
      </c>
      <c r="B330" s="8">
        <f>IF($K330="","",INDEX(מלאי!$B$2:$B$500,$K330))</f>
        <v/>
      </c>
      <c r="C330" s="8">
        <f>IF($K330="","",INDEX(מלאי!$C$2:$C$500,$K330))</f>
        <v/>
      </c>
      <c r="D330" s="8">
        <f>IF($K330="","",INDEX(מלאי!$Y$2:$Y$500,$K330))</f>
        <v/>
      </c>
      <c r="E330" s="8">
        <f>IF($K330="","",INDEX(מלאי!$Z$2:$Z$500,$K330))</f>
        <v/>
      </c>
      <c r="F330" s="13">
        <f>IF($K330="","",INDEX(מלאי!$AB$2:$AB$500,$K330))</f>
        <v/>
      </c>
      <c r="G330" s="8">
        <f>IF($K330="","",IF(AND(INDEX(מלאי!$AB$2:$AB$500,$K330)&lt;&gt;"",INDEX(מלאי!$AB$2:$AB$500,$K330)&lt;TODAY()),"באיחור!","תקין"))</f>
        <v/>
      </c>
      <c r="H330" s="8" t="n"/>
      <c r="I330" s="8" t="n"/>
      <c r="J330" s="8" t="n"/>
      <c r="K330" s="8">
        <f>IFERROR(SMALL(IF((מלאי!$D$2:$D$500&lt;&gt;"")*(מלאי!$X$2:$X$500="מושאל"),ROW(מלאי!$A$2:$A$500)-ROW(מלאי!$A$2)+1,""),5),"")</f>
        <v/>
      </c>
      <c r="L330" s="8" t="n"/>
      <c r="M330" s="8" t="n"/>
      <c r="N330" s="8" t="n"/>
      <c r="O330" s="8" t="n"/>
      <c r="P330" s="8" t="n"/>
      <c r="Q330" s="8" t="n"/>
    </row>
    <row r="331">
      <c r="A331" s="9">
        <f>IF($K331="","",INDEX(מלאי!$D$2:$D$500,$K331))</f>
        <v/>
      </c>
      <c r="B331" s="9">
        <f>IF($K331="","",INDEX(מלאי!$B$2:$B$500,$K331))</f>
        <v/>
      </c>
      <c r="C331" s="9">
        <f>IF($K331="","",INDEX(מלאי!$C$2:$C$500,$K331))</f>
        <v/>
      </c>
      <c r="D331" s="9">
        <f>IF($K331="","",INDEX(מלאי!$Y$2:$Y$500,$K331))</f>
        <v/>
      </c>
      <c r="E331" s="9">
        <f>IF($K331="","",INDEX(מלאי!$Z$2:$Z$500,$K331))</f>
        <v/>
      </c>
      <c r="F331" s="14">
        <f>IF($K331="","",INDEX(מלאי!$AB$2:$AB$500,$K331))</f>
        <v/>
      </c>
      <c r="G331" s="9">
        <f>IF($K331="","",IF(AND(INDEX(מלאי!$AB$2:$AB$500,$K331)&lt;&gt;"",INDEX(מלאי!$AB$2:$AB$500,$K331)&lt;TODAY()),"באיחור!","תקין"))</f>
        <v/>
      </c>
      <c r="H331" s="9" t="n"/>
      <c r="I331" s="9" t="n"/>
      <c r="J331" s="9" t="n"/>
      <c r="K331" s="9">
        <f>IFERROR(SMALL(IF((מלאי!$D$2:$D$500&lt;&gt;"")*(מלאי!$X$2:$X$500="מושאל"),ROW(מלאי!$A$2:$A$500)-ROW(מלאי!$A$2)+1,""),6),"")</f>
        <v/>
      </c>
      <c r="L331" s="9" t="n"/>
      <c r="M331" s="9" t="n"/>
      <c r="N331" s="9" t="n"/>
      <c r="O331" s="9" t="n"/>
      <c r="P331" s="9" t="n"/>
      <c r="Q331" s="9" t="n"/>
    </row>
    <row r="332">
      <c r="A332" s="8">
        <f>IF($K332="","",INDEX(מלאי!$D$2:$D$500,$K332))</f>
        <v/>
      </c>
      <c r="B332" s="8">
        <f>IF($K332="","",INDEX(מלאי!$B$2:$B$500,$K332))</f>
        <v/>
      </c>
      <c r="C332" s="8">
        <f>IF($K332="","",INDEX(מלאי!$C$2:$C$500,$K332))</f>
        <v/>
      </c>
      <c r="D332" s="8">
        <f>IF($K332="","",INDEX(מלאי!$Y$2:$Y$500,$K332))</f>
        <v/>
      </c>
      <c r="E332" s="8">
        <f>IF($K332="","",INDEX(מלאי!$Z$2:$Z$500,$K332))</f>
        <v/>
      </c>
      <c r="F332" s="13">
        <f>IF($K332="","",INDEX(מלאי!$AB$2:$AB$500,$K332))</f>
        <v/>
      </c>
      <c r="G332" s="8">
        <f>IF($K332="","",IF(AND(INDEX(מלאי!$AB$2:$AB$500,$K332)&lt;&gt;"",INDEX(מלאי!$AB$2:$AB$500,$K332)&lt;TODAY()),"באיחור!","תקין"))</f>
        <v/>
      </c>
      <c r="H332" s="8" t="n"/>
      <c r="I332" s="8" t="n"/>
      <c r="J332" s="8" t="n"/>
      <c r="K332" s="8">
        <f>IFERROR(SMALL(IF((מלאי!$D$2:$D$500&lt;&gt;"")*(מלאי!$X$2:$X$500="מושאל"),ROW(מלאי!$A$2:$A$500)-ROW(מלאי!$A$2)+1,""),7),"")</f>
        <v/>
      </c>
      <c r="L332" s="8" t="n"/>
      <c r="M332" s="8" t="n"/>
      <c r="N332" s="8" t="n"/>
      <c r="O332" s="8" t="n"/>
      <c r="P332" s="8" t="n"/>
      <c r="Q332" s="8" t="n"/>
    </row>
    <row r="333">
      <c r="A333" s="9">
        <f>IF($K333="","",INDEX(מלאי!$D$2:$D$500,$K333))</f>
        <v/>
      </c>
      <c r="B333" s="9">
        <f>IF($K333="","",INDEX(מלאי!$B$2:$B$500,$K333))</f>
        <v/>
      </c>
      <c r="C333" s="9">
        <f>IF($K333="","",INDEX(מלאי!$C$2:$C$500,$K333))</f>
        <v/>
      </c>
      <c r="D333" s="9">
        <f>IF($K333="","",INDEX(מלאי!$Y$2:$Y$500,$K333))</f>
        <v/>
      </c>
      <c r="E333" s="9">
        <f>IF($K333="","",INDEX(מלאי!$Z$2:$Z$500,$K333))</f>
        <v/>
      </c>
      <c r="F333" s="14">
        <f>IF($K333="","",INDEX(מלאי!$AB$2:$AB$500,$K333))</f>
        <v/>
      </c>
      <c r="G333" s="9">
        <f>IF($K333="","",IF(AND(INDEX(מלאי!$AB$2:$AB$500,$K333)&lt;&gt;"",INDEX(מלאי!$AB$2:$AB$500,$K333)&lt;TODAY()),"באיחור!","תקין"))</f>
        <v/>
      </c>
      <c r="H333" s="9" t="n"/>
      <c r="I333" s="9" t="n"/>
      <c r="J333" s="9" t="n"/>
      <c r="K333" s="9">
        <f>IFERROR(SMALL(IF((מלאי!$D$2:$D$500&lt;&gt;"")*(מלאי!$X$2:$X$500="מושאל"),ROW(מלאי!$A$2:$A$500)-ROW(מלאי!$A$2)+1,""),8),"")</f>
        <v/>
      </c>
      <c r="L333" s="9" t="n"/>
      <c r="M333" s="9" t="n"/>
      <c r="N333" s="9" t="n"/>
      <c r="O333" s="9" t="n"/>
      <c r="P333" s="9" t="n"/>
      <c r="Q333" s="9" t="n"/>
    </row>
    <row r="334">
      <c r="A334" s="8">
        <f>IF($K334="","",INDEX(מלאי!$D$2:$D$500,$K334))</f>
        <v/>
      </c>
      <c r="B334" s="8">
        <f>IF($K334="","",INDEX(מלאי!$B$2:$B$500,$K334))</f>
        <v/>
      </c>
      <c r="C334" s="8">
        <f>IF($K334="","",INDEX(מלאי!$C$2:$C$500,$K334))</f>
        <v/>
      </c>
      <c r="D334" s="8">
        <f>IF($K334="","",INDEX(מלאי!$Y$2:$Y$500,$K334))</f>
        <v/>
      </c>
      <c r="E334" s="8">
        <f>IF($K334="","",INDEX(מלאי!$Z$2:$Z$500,$K334))</f>
        <v/>
      </c>
      <c r="F334" s="13">
        <f>IF($K334="","",INDEX(מלאי!$AB$2:$AB$500,$K334))</f>
        <v/>
      </c>
      <c r="G334" s="8">
        <f>IF($K334="","",IF(AND(INDEX(מלאי!$AB$2:$AB$500,$K334)&lt;&gt;"",INDEX(מלאי!$AB$2:$AB$500,$K334)&lt;TODAY()),"באיחור!","תקין"))</f>
        <v/>
      </c>
      <c r="H334" s="8" t="n"/>
      <c r="I334" s="8" t="n"/>
      <c r="J334" s="8" t="n"/>
      <c r="K334" s="8">
        <f>IFERROR(SMALL(IF((מלאי!$D$2:$D$500&lt;&gt;"")*(מלאי!$X$2:$X$500="מושאל"),ROW(מלאי!$A$2:$A$500)-ROW(מלאי!$A$2)+1,""),9),"")</f>
        <v/>
      </c>
      <c r="L334" s="8" t="n"/>
      <c r="M334" s="8" t="n"/>
      <c r="N334" s="8" t="n"/>
      <c r="O334" s="8" t="n"/>
      <c r="P334" s="8" t="n"/>
      <c r="Q334" s="8" t="n"/>
    </row>
    <row r="335">
      <c r="A335" s="9">
        <f>IF($K335="","",INDEX(מלאי!$D$2:$D$500,$K335))</f>
        <v/>
      </c>
      <c r="B335" s="9">
        <f>IF($K335="","",INDEX(מלאי!$B$2:$B$500,$K335))</f>
        <v/>
      </c>
      <c r="C335" s="9">
        <f>IF($K335="","",INDEX(מלאי!$C$2:$C$500,$K335))</f>
        <v/>
      </c>
      <c r="D335" s="9">
        <f>IF($K335="","",INDEX(מלאי!$Y$2:$Y$500,$K335))</f>
        <v/>
      </c>
      <c r="E335" s="9">
        <f>IF($K335="","",INDEX(מלאי!$Z$2:$Z$500,$K335))</f>
        <v/>
      </c>
      <c r="F335" s="14">
        <f>IF($K335="","",INDEX(מלאי!$AB$2:$AB$500,$K335))</f>
        <v/>
      </c>
      <c r="G335" s="9">
        <f>IF($K335="","",IF(AND(INDEX(מלאי!$AB$2:$AB$500,$K335)&lt;&gt;"",INDEX(מלאי!$AB$2:$AB$500,$K335)&lt;TODAY()),"באיחור!","תקין"))</f>
        <v/>
      </c>
      <c r="H335" s="9" t="n"/>
      <c r="I335" s="9" t="n"/>
      <c r="J335" s="9" t="n"/>
      <c r="K335" s="9">
        <f>IFERROR(SMALL(IF((מלאי!$D$2:$D$500&lt;&gt;"")*(מלאי!$X$2:$X$500="מושאל"),ROW(מלאי!$A$2:$A$500)-ROW(מלאי!$A$2)+1,""),10),"")</f>
        <v/>
      </c>
      <c r="L335" s="9" t="n"/>
      <c r="M335" s="9" t="n"/>
      <c r="N335" s="9" t="n"/>
      <c r="O335" s="9" t="n"/>
      <c r="P335" s="9" t="n"/>
      <c r="Q335" s="9" t="n"/>
    </row>
    <row r="336">
      <c r="A336" s="8">
        <f>IF($K336="","",INDEX(מלאי!$D$2:$D$500,$K336))</f>
        <v/>
      </c>
      <c r="B336" s="8">
        <f>IF($K336="","",INDEX(מלאי!$B$2:$B$500,$K336))</f>
        <v/>
      </c>
      <c r="C336" s="8">
        <f>IF($K336="","",INDEX(מלאי!$C$2:$C$500,$K336))</f>
        <v/>
      </c>
      <c r="D336" s="8">
        <f>IF($K336="","",INDEX(מלאי!$Y$2:$Y$500,$K336))</f>
        <v/>
      </c>
      <c r="E336" s="8">
        <f>IF($K336="","",INDEX(מלאי!$Z$2:$Z$500,$K336))</f>
        <v/>
      </c>
      <c r="F336" s="13">
        <f>IF($K336="","",INDEX(מלאי!$AB$2:$AB$500,$K336))</f>
        <v/>
      </c>
      <c r="G336" s="8">
        <f>IF($K336="","",IF(AND(INDEX(מלאי!$AB$2:$AB$500,$K336)&lt;&gt;"",INDEX(מלאי!$AB$2:$AB$500,$K336)&lt;TODAY()),"באיחור!","תקין"))</f>
        <v/>
      </c>
      <c r="H336" s="8" t="n"/>
      <c r="I336" s="8" t="n"/>
      <c r="J336" s="8" t="n"/>
      <c r="K336" s="8">
        <f>IFERROR(SMALL(IF((מלאי!$D$2:$D$500&lt;&gt;"")*(מלאי!$X$2:$X$500="מושאל"),ROW(מלאי!$A$2:$A$500)-ROW(מלאי!$A$2)+1,""),11),"")</f>
        <v/>
      </c>
      <c r="L336" s="8" t="n"/>
      <c r="M336" s="8" t="n"/>
      <c r="N336" s="8" t="n"/>
      <c r="O336" s="8" t="n"/>
      <c r="P336" s="8" t="n"/>
      <c r="Q336" s="8" t="n"/>
    </row>
    <row r="337">
      <c r="A337" s="9">
        <f>IF($K337="","",INDEX(מלאי!$D$2:$D$500,$K337))</f>
        <v/>
      </c>
      <c r="B337" s="9">
        <f>IF($K337="","",INDEX(מלאי!$B$2:$B$500,$K337))</f>
        <v/>
      </c>
      <c r="C337" s="9">
        <f>IF($K337="","",INDEX(מלאי!$C$2:$C$500,$K337))</f>
        <v/>
      </c>
      <c r="D337" s="9">
        <f>IF($K337="","",INDEX(מלאי!$Y$2:$Y$500,$K337))</f>
        <v/>
      </c>
      <c r="E337" s="9">
        <f>IF($K337="","",INDEX(מלאי!$Z$2:$Z$500,$K337))</f>
        <v/>
      </c>
      <c r="F337" s="14">
        <f>IF($K337="","",INDEX(מלאי!$AB$2:$AB$500,$K337))</f>
        <v/>
      </c>
      <c r="G337" s="9">
        <f>IF($K337="","",IF(AND(INDEX(מלאי!$AB$2:$AB$500,$K337)&lt;&gt;"",INDEX(מלאי!$AB$2:$AB$500,$K337)&lt;TODAY()),"באיחור!","תקין"))</f>
        <v/>
      </c>
      <c r="H337" s="9" t="n"/>
      <c r="I337" s="9" t="n"/>
      <c r="J337" s="9" t="n"/>
      <c r="K337" s="9">
        <f>IFERROR(SMALL(IF((מלאי!$D$2:$D$500&lt;&gt;"")*(מלאי!$X$2:$X$500="מושאל"),ROW(מלאי!$A$2:$A$500)-ROW(מלאי!$A$2)+1,""),12),"")</f>
        <v/>
      </c>
      <c r="L337" s="9" t="n"/>
      <c r="M337" s="9" t="n"/>
      <c r="N337" s="9" t="n"/>
      <c r="O337" s="9" t="n"/>
      <c r="P337" s="9" t="n"/>
      <c r="Q337" s="9" t="n"/>
    </row>
    <row r="338">
      <c r="A338" s="8">
        <f>IF($K338="","",INDEX(מלאי!$D$2:$D$500,$K338))</f>
        <v/>
      </c>
      <c r="B338" s="8">
        <f>IF($K338="","",INDEX(מלאי!$B$2:$B$500,$K338))</f>
        <v/>
      </c>
      <c r="C338" s="8">
        <f>IF($K338="","",INDEX(מלאי!$C$2:$C$500,$K338))</f>
        <v/>
      </c>
      <c r="D338" s="8">
        <f>IF($K338="","",INDEX(מלאי!$Y$2:$Y$500,$K338))</f>
        <v/>
      </c>
      <c r="E338" s="8">
        <f>IF($K338="","",INDEX(מלאי!$Z$2:$Z$500,$K338))</f>
        <v/>
      </c>
      <c r="F338" s="13">
        <f>IF($K338="","",INDEX(מלאי!$AB$2:$AB$500,$K338))</f>
        <v/>
      </c>
      <c r="G338" s="8">
        <f>IF($K338="","",IF(AND(INDEX(מלאי!$AB$2:$AB$500,$K338)&lt;&gt;"",INDEX(מלאי!$AB$2:$AB$500,$K338)&lt;TODAY()),"באיחור!","תקין"))</f>
        <v/>
      </c>
      <c r="H338" s="8" t="n"/>
      <c r="I338" s="8" t="n"/>
      <c r="J338" s="8" t="n"/>
      <c r="K338" s="8">
        <f>IFERROR(SMALL(IF((מלאי!$D$2:$D$500&lt;&gt;"")*(מלאי!$X$2:$X$500="מושאל"),ROW(מלאי!$A$2:$A$500)-ROW(מלאי!$A$2)+1,""),13),"")</f>
        <v/>
      </c>
      <c r="L338" s="8" t="n"/>
      <c r="M338" s="8" t="n"/>
      <c r="N338" s="8" t="n"/>
      <c r="O338" s="8" t="n"/>
      <c r="P338" s="8" t="n"/>
      <c r="Q338" s="8" t="n"/>
    </row>
    <row r="339">
      <c r="A339" s="9">
        <f>IF($K339="","",INDEX(מלאי!$D$2:$D$500,$K339))</f>
        <v/>
      </c>
      <c r="B339" s="9">
        <f>IF($K339="","",INDEX(מלאי!$B$2:$B$500,$K339))</f>
        <v/>
      </c>
      <c r="C339" s="9">
        <f>IF($K339="","",INDEX(מלאי!$C$2:$C$500,$K339))</f>
        <v/>
      </c>
      <c r="D339" s="9">
        <f>IF($K339="","",INDEX(מלאי!$Y$2:$Y$500,$K339))</f>
        <v/>
      </c>
      <c r="E339" s="9">
        <f>IF($K339="","",INDEX(מלאי!$Z$2:$Z$500,$K339))</f>
        <v/>
      </c>
      <c r="F339" s="14">
        <f>IF($K339="","",INDEX(מלאי!$AB$2:$AB$500,$K339))</f>
        <v/>
      </c>
      <c r="G339" s="9">
        <f>IF($K339="","",IF(AND(INDEX(מלאי!$AB$2:$AB$500,$K339)&lt;&gt;"",INDEX(מלאי!$AB$2:$AB$500,$K339)&lt;TODAY()),"באיחור!","תקין"))</f>
        <v/>
      </c>
      <c r="H339" s="9" t="n"/>
      <c r="I339" s="9" t="n"/>
      <c r="J339" s="9" t="n"/>
      <c r="K339" s="9">
        <f>IFERROR(SMALL(IF((מלאי!$D$2:$D$500&lt;&gt;"")*(מלאי!$X$2:$X$500="מושאל"),ROW(מלאי!$A$2:$A$500)-ROW(מלאי!$A$2)+1,""),14),"")</f>
        <v/>
      </c>
      <c r="L339" s="9" t="n"/>
      <c r="M339" s="9" t="n"/>
      <c r="N339" s="9" t="n"/>
      <c r="O339" s="9" t="n"/>
      <c r="P339" s="9" t="n"/>
      <c r="Q339" s="9" t="n"/>
    </row>
    <row r="340">
      <c r="A340" s="8">
        <f>IF($K340="","",INDEX(מלאי!$D$2:$D$500,$K340))</f>
        <v/>
      </c>
      <c r="B340" s="8">
        <f>IF($K340="","",INDEX(מלאי!$B$2:$B$500,$K340))</f>
        <v/>
      </c>
      <c r="C340" s="8">
        <f>IF($K340="","",INDEX(מלאי!$C$2:$C$500,$K340))</f>
        <v/>
      </c>
      <c r="D340" s="8">
        <f>IF($K340="","",INDEX(מלאי!$Y$2:$Y$500,$K340))</f>
        <v/>
      </c>
      <c r="E340" s="8">
        <f>IF($K340="","",INDEX(מלאי!$Z$2:$Z$500,$K340))</f>
        <v/>
      </c>
      <c r="F340" s="13">
        <f>IF($K340="","",INDEX(מלאי!$AB$2:$AB$500,$K340))</f>
        <v/>
      </c>
      <c r="G340" s="8">
        <f>IF($K340="","",IF(AND(INDEX(מלאי!$AB$2:$AB$500,$K340)&lt;&gt;"",INDEX(מלאי!$AB$2:$AB$500,$K340)&lt;TODAY()),"באיחור!","תקין"))</f>
        <v/>
      </c>
      <c r="H340" s="8" t="n"/>
      <c r="I340" s="8" t="n"/>
      <c r="J340" s="8" t="n"/>
      <c r="K340" s="8">
        <f>IFERROR(SMALL(IF((מלאי!$D$2:$D$500&lt;&gt;"")*(מלאי!$X$2:$X$500="מושאל"),ROW(מלאי!$A$2:$A$500)-ROW(מלאי!$A$2)+1,""),15),"")</f>
        <v/>
      </c>
      <c r="L340" s="8" t="n"/>
      <c r="M340" s="8" t="n"/>
      <c r="N340" s="8" t="n"/>
      <c r="O340" s="8" t="n"/>
      <c r="P340" s="8" t="n"/>
      <c r="Q340" s="8" t="n"/>
    </row>
    <row r="341">
      <c r="A341" s="9">
        <f>IF($K341="","",INDEX(מלאי!$D$2:$D$500,$K341))</f>
        <v/>
      </c>
      <c r="B341" s="9">
        <f>IF($K341="","",INDEX(מלאי!$B$2:$B$500,$K341))</f>
        <v/>
      </c>
      <c r="C341" s="9">
        <f>IF($K341="","",INDEX(מלאי!$C$2:$C$500,$K341))</f>
        <v/>
      </c>
      <c r="D341" s="9">
        <f>IF($K341="","",INDEX(מלאי!$Y$2:$Y$500,$K341))</f>
        <v/>
      </c>
      <c r="E341" s="9">
        <f>IF($K341="","",INDEX(מלאי!$Z$2:$Z$500,$K341))</f>
        <v/>
      </c>
      <c r="F341" s="14">
        <f>IF($K341="","",INDEX(מלאי!$AB$2:$AB$500,$K341))</f>
        <v/>
      </c>
      <c r="G341" s="9">
        <f>IF($K341="","",IF(AND(INDEX(מלאי!$AB$2:$AB$500,$K341)&lt;&gt;"",INDEX(מלאי!$AB$2:$AB$500,$K341)&lt;TODAY()),"באיחור!","תקין"))</f>
        <v/>
      </c>
      <c r="H341" s="9" t="n"/>
      <c r="I341" s="9" t="n"/>
      <c r="J341" s="9" t="n"/>
      <c r="K341" s="9">
        <f>IFERROR(SMALL(IF((מלאי!$D$2:$D$500&lt;&gt;"")*(מלאי!$X$2:$X$500="מושאל"),ROW(מלאי!$A$2:$A$500)-ROW(מלאי!$A$2)+1,""),16),"")</f>
        <v/>
      </c>
      <c r="L341" s="9" t="n"/>
      <c r="M341" s="9" t="n"/>
      <c r="N341" s="9" t="n"/>
      <c r="O341" s="9" t="n"/>
      <c r="P341" s="9" t="n"/>
      <c r="Q341" s="9" t="n"/>
    </row>
    <row r="342">
      <c r="A342" s="8">
        <f>IF($K342="","",INDEX(מלאי!$D$2:$D$500,$K342))</f>
        <v/>
      </c>
      <c r="B342" s="8">
        <f>IF($K342="","",INDEX(מלאי!$B$2:$B$500,$K342))</f>
        <v/>
      </c>
      <c r="C342" s="8">
        <f>IF($K342="","",INDEX(מלאי!$C$2:$C$500,$K342))</f>
        <v/>
      </c>
      <c r="D342" s="8">
        <f>IF($K342="","",INDEX(מלאי!$Y$2:$Y$500,$K342))</f>
        <v/>
      </c>
      <c r="E342" s="8">
        <f>IF($K342="","",INDEX(מלאי!$Z$2:$Z$500,$K342))</f>
        <v/>
      </c>
      <c r="F342" s="13">
        <f>IF($K342="","",INDEX(מלאי!$AB$2:$AB$500,$K342))</f>
        <v/>
      </c>
      <c r="G342" s="8">
        <f>IF($K342="","",IF(AND(INDEX(מלאי!$AB$2:$AB$500,$K342)&lt;&gt;"",INDEX(מלאי!$AB$2:$AB$500,$K342)&lt;TODAY()),"באיחור!","תקין"))</f>
        <v/>
      </c>
      <c r="H342" s="8" t="n"/>
      <c r="I342" s="8" t="n"/>
      <c r="J342" s="8" t="n"/>
      <c r="K342" s="8">
        <f>IFERROR(SMALL(IF((מלאי!$D$2:$D$500&lt;&gt;"")*(מלאי!$X$2:$X$500="מושאל"),ROW(מלאי!$A$2:$A$500)-ROW(מלאי!$A$2)+1,""),17),"")</f>
        <v/>
      </c>
      <c r="L342" s="8" t="n"/>
      <c r="M342" s="8" t="n"/>
      <c r="N342" s="8" t="n"/>
      <c r="O342" s="8" t="n"/>
      <c r="P342" s="8" t="n"/>
      <c r="Q342" s="8" t="n"/>
    </row>
    <row r="343">
      <c r="A343" s="9">
        <f>IF($K343="","",INDEX(מלאי!$D$2:$D$500,$K343))</f>
        <v/>
      </c>
      <c r="B343" s="9">
        <f>IF($K343="","",INDEX(מלאי!$B$2:$B$500,$K343))</f>
        <v/>
      </c>
      <c r="C343" s="9">
        <f>IF($K343="","",INDEX(מלאי!$C$2:$C$500,$K343))</f>
        <v/>
      </c>
      <c r="D343" s="9">
        <f>IF($K343="","",INDEX(מלאי!$Y$2:$Y$500,$K343))</f>
        <v/>
      </c>
      <c r="E343" s="9">
        <f>IF($K343="","",INDEX(מלאי!$Z$2:$Z$500,$K343))</f>
        <v/>
      </c>
      <c r="F343" s="14">
        <f>IF($K343="","",INDEX(מלאי!$AB$2:$AB$500,$K343))</f>
        <v/>
      </c>
      <c r="G343" s="9">
        <f>IF($K343="","",IF(AND(INDEX(מלאי!$AB$2:$AB$500,$K343)&lt;&gt;"",INDEX(מלאי!$AB$2:$AB$500,$K343)&lt;TODAY()),"באיחור!","תקין"))</f>
        <v/>
      </c>
      <c r="H343" s="9" t="n"/>
      <c r="I343" s="9" t="n"/>
      <c r="J343" s="9" t="n"/>
      <c r="K343" s="9">
        <f>IFERROR(SMALL(IF((מלאי!$D$2:$D$500&lt;&gt;"")*(מלאי!$X$2:$X$500="מושאל"),ROW(מלאי!$A$2:$A$500)-ROW(מלאי!$A$2)+1,""),18),"")</f>
        <v/>
      </c>
      <c r="L343" s="9" t="n"/>
      <c r="M343" s="9" t="n"/>
      <c r="N343" s="9" t="n"/>
      <c r="O343" s="9" t="n"/>
      <c r="P343" s="9" t="n"/>
      <c r="Q343" s="9" t="n"/>
    </row>
    <row r="344">
      <c r="A344" s="8">
        <f>IF($K344="","",INDEX(מלאי!$D$2:$D$500,$K344))</f>
        <v/>
      </c>
      <c r="B344" s="8">
        <f>IF($K344="","",INDEX(מלאי!$B$2:$B$500,$K344))</f>
        <v/>
      </c>
      <c r="C344" s="8">
        <f>IF($K344="","",INDEX(מלאי!$C$2:$C$500,$K344))</f>
        <v/>
      </c>
      <c r="D344" s="8">
        <f>IF($K344="","",INDEX(מלאי!$Y$2:$Y$500,$K344))</f>
        <v/>
      </c>
      <c r="E344" s="8">
        <f>IF($K344="","",INDEX(מלאי!$Z$2:$Z$500,$K344))</f>
        <v/>
      </c>
      <c r="F344" s="13">
        <f>IF($K344="","",INDEX(מלאי!$AB$2:$AB$500,$K344))</f>
        <v/>
      </c>
      <c r="G344" s="8">
        <f>IF($K344="","",IF(AND(INDEX(מלאי!$AB$2:$AB$500,$K344)&lt;&gt;"",INDEX(מלאי!$AB$2:$AB$500,$K344)&lt;TODAY()),"באיחור!","תקין"))</f>
        <v/>
      </c>
      <c r="H344" s="8" t="n"/>
      <c r="I344" s="8" t="n"/>
      <c r="J344" s="8" t="n"/>
      <c r="K344" s="8">
        <f>IFERROR(SMALL(IF((מלאי!$D$2:$D$500&lt;&gt;"")*(מלאי!$X$2:$X$500="מושאל"),ROW(מלאי!$A$2:$A$500)-ROW(מלאי!$A$2)+1,""),19),"")</f>
        <v/>
      </c>
      <c r="L344" s="8" t="n"/>
      <c r="M344" s="8" t="n"/>
      <c r="N344" s="8" t="n"/>
      <c r="O344" s="8" t="n"/>
      <c r="P344" s="8" t="n"/>
      <c r="Q344" s="8" t="n"/>
    </row>
    <row r="345">
      <c r="A345" s="9">
        <f>IF($K345="","",INDEX(מלאי!$D$2:$D$500,$K345))</f>
        <v/>
      </c>
      <c r="B345" s="9">
        <f>IF($K345="","",INDEX(מלאי!$B$2:$B$500,$K345))</f>
        <v/>
      </c>
      <c r="C345" s="9">
        <f>IF($K345="","",INDEX(מלאי!$C$2:$C$500,$K345))</f>
        <v/>
      </c>
      <c r="D345" s="9">
        <f>IF($K345="","",INDEX(מלאי!$Y$2:$Y$500,$K345))</f>
        <v/>
      </c>
      <c r="E345" s="9">
        <f>IF($K345="","",INDEX(מלאי!$Z$2:$Z$500,$K345))</f>
        <v/>
      </c>
      <c r="F345" s="14">
        <f>IF($K345="","",INDEX(מלאי!$AB$2:$AB$500,$K345))</f>
        <v/>
      </c>
      <c r="G345" s="9">
        <f>IF($K345="","",IF(AND(INDEX(מלאי!$AB$2:$AB$500,$K345)&lt;&gt;"",INDEX(מלאי!$AB$2:$AB$500,$K345)&lt;TODAY()),"באיחור!","תקין"))</f>
        <v/>
      </c>
      <c r="H345" s="9" t="n"/>
      <c r="I345" s="9" t="n"/>
      <c r="J345" s="9" t="n"/>
      <c r="K345" s="9">
        <f>IFERROR(SMALL(IF((מלאי!$D$2:$D$500&lt;&gt;"")*(מלאי!$X$2:$X$500="מושאל"),ROW(מלאי!$A$2:$A$500)-ROW(מלאי!$A$2)+1,""),20),"")</f>
        <v/>
      </c>
      <c r="L345" s="9" t="n"/>
      <c r="M345" s="9" t="n"/>
      <c r="N345" s="9" t="n"/>
      <c r="O345" s="9" t="n"/>
      <c r="P345" s="9" t="n"/>
      <c r="Q345" s="9" t="n"/>
    </row>
    <row r="346">
      <c r="A346" s="8">
        <f>IF($K346="","",INDEX(מלאי!$D$2:$D$500,$K346))</f>
        <v/>
      </c>
      <c r="B346" s="8">
        <f>IF($K346="","",INDEX(מלאי!$B$2:$B$500,$K346))</f>
        <v/>
      </c>
      <c r="C346" s="8">
        <f>IF($K346="","",INDEX(מלאי!$C$2:$C$500,$K346))</f>
        <v/>
      </c>
      <c r="D346" s="8">
        <f>IF($K346="","",INDEX(מלאי!$Y$2:$Y$500,$K346))</f>
        <v/>
      </c>
      <c r="E346" s="8">
        <f>IF($K346="","",INDEX(מלאי!$Z$2:$Z$500,$K346))</f>
        <v/>
      </c>
      <c r="F346" s="13">
        <f>IF($K346="","",INDEX(מלאי!$AB$2:$AB$500,$K346))</f>
        <v/>
      </c>
      <c r="G346" s="8">
        <f>IF($K346="","",IF(AND(INDEX(מלאי!$AB$2:$AB$500,$K346)&lt;&gt;"",INDEX(מלאי!$AB$2:$AB$500,$K346)&lt;TODAY()),"באיחור!","תקין"))</f>
        <v/>
      </c>
      <c r="H346" s="8" t="n"/>
      <c r="I346" s="8" t="n"/>
      <c r="J346" s="8" t="n"/>
      <c r="K346" s="8">
        <f>IFERROR(SMALL(IF((מלאי!$D$2:$D$500&lt;&gt;"")*(מלאי!$X$2:$X$500="מושאל"),ROW(מלאי!$A$2:$A$500)-ROW(מלאי!$A$2)+1,""),21),"")</f>
        <v/>
      </c>
      <c r="L346" s="8" t="n"/>
      <c r="M346" s="8" t="n"/>
      <c r="N346" s="8" t="n"/>
      <c r="O346" s="8" t="n"/>
      <c r="P346" s="8" t="n"/>
      <c r="Q346" s="8" t="n"/>
    </row>
    <row r="347">
      <c r="A347" s="9">
        <f>IF($K347="","",INDEX(מלאי!$D$2:$D$500,$K347))</f>
        <v/>
      </c>
      <c r="B347" s="9">
        <f>IF($K347="","",INDEX(מלאי!$B$2:$B$500,$K347))</f>
        <v/>
      </c>
      <c r="C347" s="9">
        <f>IF($K347="","",INDEX(מלאי!$C$2:$C$500,$K347))</f>
        <v/>
      </c>
      <c r="D347" s="9">
        <f>IF($K347="","",INDEX(מלאי!$Y$2:$Y$500,$K347))</f>
        <v/>
      </c>
      <c r="E347" s="9">
        <f>IF($K347="","",INDEX(מלאי!$Z$2:$Z$500,$K347))</f>
        <v/>
      </c>
      <c r="F347" s="14">
        <f>IF($K347="","",INDEX(מלאי!$AB$2:$AB$500,$K347))</f>
        <v/>
      </c>
      <c r="G347" s="9">
        <f>IF($K347="","",IF(AND(INDEX(מלאי!$AB$2:$AB$500,$K347)&lt;&gt;"",INDEX(מלאי!$AB$2:$AB$500,$K347)&lt;TODAY()),"באיחור!","תקין"))</f>
        <v/>
      </c>
      <c r="H347" s="9" t="n"/>
      <c r="I347" s="9" t="n"/>
      <c r="J347" s="9" t="n"/>
      <c r="K347" s="9">
        <f>IFERROR(SMALL(IF((מלאי!$D$2:$D$500&lt;&gt;"")*(מלאי!$X$2:$X$500="מושאל"),ROW(מלאי!$A$2:$A$500)-ROW(מלאי!$A$2)+1,""),22),"")</f>
        <v/>
      </c>
      <c r="L347" s="9" t="n"/>
      <c r="M347" s="9" t="n"/>
      <c r="N347" s="9" t="n"/>
      <c r="O347" s="9" t="n"/>
      <c r="P347" s="9" t="n"/>
      <c r="Q347" s="9" t="n"/>
    </row>
    <row r="348">
      <c r="A348" s="8">
        <f>IF($K348="","",INDEX(מלאי!$D$2:$D$500,$K348))</f>
        <v/>
      </c>
      <c r="B348" s="8">
        <f>IF($K348="","",INDEX(מלאי!$B$2:$B$500,$K348))</f>
        <v/>
      </c>
      <c r="C348" s="8">
        <f>IF($K348="","",INDEX(מלאי!$C$2:$C$500,$K348))</f>
        <v/>
      </c>
      <c r="D348" s="8">
        <f>IF($K348="","",INDEX(מלאי!$Y$2:$Y$500,$K348))</f>
        <v/>
      </c>
      <c r="E348" s="8">
        <f>IF($K348="","",INDEX(מלאי!$Z$2:$Z$500,$K348))</f>
        <v/>
      </c>
      <c r="F348" s="13">
        <f>IF($K348="","",INDEX(מלאי!$AB$2:$AB$500,$K348))</f>
        <v/>
      </c>
      <c r="G348" s="8">
        <f>IF($K348="","",IF(AND(INDEX(מלאי!$AB$2:$AB$500,$K348)&lt;&gt;"",INDEX(מלאי!$AB$2:$AB$500,$K348)&lt;TODAY()),"באיחור!","תקין"))</f>
        <v/>
      </c>
      <c r="H348" s="8" t="n"/>
      <c r="I348" s="8" t="n"/>
      <c r="J348" s="8" t="n"/>
      <c r="K348" s="8">
        <f>IFERROR(SMALL(IF((מלאי!$D$2:$D$500&lt;&gt;"")*(מלאי!$X$2:$X$500="מושאל"),ROW(מלאי!$A$2:$A$500)-ROW(מלאי!$A$2)+1,""),23),"")</f>
        <v/>
      </c>
      <c r="L348" s="8" t="n"/>
      <c r="M348" s="8" t="n"/>
      <c r="N348" s="8" t="n"/>
      <c r="O348" s="8" t="n"/>
      <c r="P348" s="8" t="n"/>
      <c r="Q348" s="8" t="n"/>
    </row>
    <row r="349">
      <c r="A349" s="9">
        <f>IF($K349="","",INDEX(מלאי!$D$2:$D$500,$K349))</f>
        <v/>
      </c>
      <c r="B349" s="9">
        <f>IF($K349="","",INDEX(מלאי!$B$2:$B$500,$K349))</f>
        <v/>
      </c>
      <c r="C349" s="9">
        <f>IF($K349="","",INDEX(מלאי!$C$2:$C$500,$K349))</f>
        <v/>
      </c>
      <c r="D349" s="9">
        <f>IF($K349="","",INDEX(מלאי!$Y$2:$Y$500,$K349))</f>
        <v/>
      </c>
      <c r="E349" s="9">
        <f>IF($K349="","",INDEX(מלאי!$Z$2:$Z$500,$K349))</f>
        <v/>
      </c>
      <c r="F349" s="14">
        <f>IF($K349="","",INDEX(מלאי!$AB$2:$AB$500,$K349))</f>
        <v/>
      </c>
      <c r="G349" s="9">
        <f>IF($K349="","",IF(AND(INDEX(מלאי!$AB$2:$AB$500,$K349)&lt;&gt;"",INDEX(מלאי!$AB$2:$AB$500,$K349)&lt;TODAY()),"באיחור!","תקין"))</f>
        <v/>
      </c>
      <c r="H349" s="9" t="n"/>
      <c r="I349" s="9" t="n"/>
      <c r="J349" s="9" t="n"/>
      <c r="K349" s="9">
        <f>IFERROR(SMALL(IF((מלאי!$D$2:$D$500&lt;&gt;"")*(מלאי!$X$2:$X$500="מושאל"),ROW(מלאי!$A$2:$A$500)-ROW(מלאי!$A$2)+1,""),24),"")</f>
        <v/>
      </c>
      <c r="L349" s="9" t="n"/>
      <c r="M349" s="9" t="n"/>
      <c r="N349" s="9" t="n"/>
      <c r="O349" s="9" t="n"/>
      <c r="P349" s="9" t="n"/>
      <c r="Q349" s="9" t="n"/>
    </row>
    <row r="350">
      <c r="A350" s="8">
        <f>IF($K350="","",INDEX(מלאי!$D$2:$D$500,$K350))</f>
        <v/>
      </c>
      <c r="B350" s="8">
        <f>IF($K350="","",INDEX(מלאי!$B$2:$B$500,$K350))</f>
        <v/>
      </c>
      <c r="C350" s="8">
        <f>IF($K350="","",INDEX(מלאי!$C$2:$C$500,$K350))</f>
        <v/>
      </c>
      <c r="D350" s="8">
        <f>IF($K350="","",INDEX(מלאי!$Y$2:$Y$500,$K350))</f>
        <v/>
      </c>
      <c r="E350" s="8">
        <f>IF($K350="","",INDEX(מלאי!$Z$2:$Z$500,$K350))</f>
        <v/>
      </c>
      <c r="F350" s="13">
        <f>IF($K350="","",INDEX(מלאי!$AB$2:$AB$500,$K350))</f>
        <v/>
      </c>
      <c r="G350" s="8">
        <f>IF($K350="","",IF(AND(INDEX(מלאי!$AB$2:$AB$500,$K350)&lt;&gt;"",INDEX(מלאי!$AB$2:$AB$500,$K350)&lt;TODAY()),"באיחור!","תקין"))</f>
        <v/>
      </c>
      <c r="H350" s="8" t="n"/>
      <c r="I350" s="8" t="n"/>
      <c r="J350" s="8" t="n"/>
      <c r="K350" s="8">
        <f>IFERROR(SMALL(IF((מלאי!$D$2:$D$500&lt;&gt;"")*(מלאי!$X$2:$X$500="מושאל"),ROW(מלאי!$A$2:$A$500)-ROW(מלאי!$A$2)+1,""),25),"")</f>
        <v/>
      </c>
      <c r="L350" s="8" t="n"/>
      <c r="M350" s="8" t="n"/>
      <c r="N350" s="8" t="n"/>
      <c r="O350" s="8" t="n"/>
      <c r="P350" s="8" t="n"/>
      <c r="Q350" s="8" t="n"/>
    </row>
    <row r="351">
      <c r="A351" s="9">
        <f>IF($K351="","",INDEX(מלאי!$D$2:$D$500,$K351))</f>
        <v/>
      </c>
      <c r="B351" s="9">
        <f>IF($K351="","",INDEX(מלאי!$B$2:$B$500,$K351))</f>
        <v/>
      </c>
      <c r="C351" s="9">
        <f>IF($K351="","",INDEX(מלאי!$C$2:$C$500,$K351))</f>
        <v/>
      </c>
      <c r="D351" s="9">
        <f>IF($K351="","",INDEX(מלאי!$Y$2:$Y$500,$K351))</f>
        <v/>
      </c>
      <c r="E351" s="9">
        <f>IF($K351="","",INDEX(מלאי!$Z$2:$Z$500,$K351))</f>
        <v/>
      </c>
      <c r="F351" s="14">
        <f>IF($K351="","",INDEX(מלאי!$AB$2:$AB$500,$K351))</f>
        <v/>
      </c>
      <c r="G351" s="9">
        <f>IF($K351="","",IF(AND(INDEX(מלאי!$AB$2:$AB$500,$K351)&lt;&gt;"",INDEX(מלאי!$AB$2:$AB$500,$K351)&lt;TODAY()),"באיחור!","תקין"))</f>
        <v/>
      </c>
      <c r="H351" s="9" t="n"/>
      <c r="I351" s="9" t="n"/>
      <c r="J351" s="9" t="n"/>
      <c r="K351" s="9">
        <f>IFERROR(SMALL(IF((מלאי!$D$2:$D$500&lt;&gt;"")*(מלאי!$X$2:$X$500="מושאל"),ROW(מלאי!$A$2:$A$500)-ROW(מלאי!$A$2)+1,""),26),"")</f>
        <v/>
      </c>
      <c r="L351" s="9" t="n"/>
      <c r="M351" s="9" t="n"/>
      <c r="N351" s="9" t="n"/>
      <c r="O351" s="9" t="n"/>
      <c r="P351" s="9" t="n"/>
      <c r="Q351" s="9" t="n"/>
    </row>
    <row r="352">
      <c r="A352" s="8">
        <f>IF($K352="","",INDEX(מלאי!$D$2:$D$500,$K352))</f>
        <v/>
      </c>
      <c r="B352" s="8">
        <f>IF($K352="","",INDEX(מלאי!$B$2:$B$500,$K352))</f>
        <v/>
      </c>
      <c r="C352" s="8">
        <f>IF($K352="","",INDEX(מלאי!$C$2:$C$500,$K352))</f>
        <v/>
      </c>
      <c r="D352" s="8">
        <f>IF($K352="","",INDEX(מלאי!$Y$2:$Y$500,$K352))</f>
        <v/>
      </c>
      <c r="E352" s="8">
        <f>IF($K352="","",INDEX(מלאי!$Z$2:$Z$500,$K352))</f>
        <v/>
      </c>
      <c r="F352" s="13">
        <f>IF($K352="","",INDEX(מלאי!$AB$2:$AB$500,$K352))</f>
        <v/>
      </c>
      <c r="G352" s="8">
        <f>IF($K352="","",IF(AND(INDEX(מלאי!$AB$2:$AB$500,$K352)&lt;&gt;"",INDEX(מלאי!$AB$2:$AB$500,$K352)&lt;TODAY()),"באיחור!","תקין"))</f>
        <v/>
      </c>
      <c r="H352" s="8" t="n"/>
      <c r="I352" s="8" t="n"/>
      <c r="J352" s="8" t="n"/>
      <c r="K352" s="8">
        <f>IFERROR(SMALL(IF((מלאי!$D$2:$D$500&lt;&gt;"")*(מלאי!$X$2:$X$500="מושאל"),ROW(מלאי!$A$2:$A$500)-ROW(מלאי!$A$2)+1,""),27),"")</f>
        <v/>
      </c>
      <c r="L352" s="8" t="n"/>
      <c r="M352" s="8" t="n"/>
      <c r="N352" s="8" t="n"/>
      <c r="O352" s="8" t="n"/>
      <c r="P352" s="8" t="n"/>
      <c r="Q352" s="8" t="n"/>
    </row>
    <row r="353">
      <c r="A353" s="9">
        <f>IF($K353="","",INDEX(מלאי!$D$2:$D$500,$K353))</f>
        <v/>
      </c>
      <c r="B353" s="9">
        <f>IF($K353="","",INDEX(מלאי!$B$2:$B$500,$K353))</f>
        <v/>
      </c>
      <c r="C353" s="9">
        <f>IF($K353="","",INDEX(מלאי!$C$2:$C$500,$K353))</f>
        <v/>
      </c>
      <c r="D353" s="9">
        <f>IF($K353="","",INDEX(מלאי!$Y$2:$Y$500,$K353))</f>
        <v/>
      </c>
      <c r="E353" s="9">
        <f>IF($K353="","",INDEX(מלאי!$Z$2:$Z$500,$K353))</f>
        <v/>
      </c>
      <c r="F353" s="14">
        <f>IF($K353="","",INDEX(מלאי!$AB$2:$AB$500,$K353))</f>
        <v/>
      </c>
      <c r="G353" s="9">
        <f>IF($K353="","",IF(AND(INDEX(מלאי!$AB$2:$AB$500,$K353)&lt;&gt;"",INDEX(מלאי!$AB$2:$AB$500,$K353)&lt;TODAY()),"באיחור!","תקין"))</f>
        <v/>
      </c>
      <c r="H353" s="9" t="n"/>
      <c r="I353" s="9" t="n"/>
      <c r="J353" s="9" t="n"/>
      <c r="K353" s="9">
        <f>IFERROR(SMALL(IF((מלאי!$D$2:$D$500&lt;&gt;"")*(מלאי!$X$2:$X$500="מושאל"),ROW(מלאי!$A$2:$A$500)-ROW(מלאי!$A$2)+1,""),28),"")</f>
        <v/>
      </c>
      <c r="L353" s="9" t="n"/>
      <c r="M353" s="9" t="n"/>
      <c r="N353" s="9" t="n"/>
      <c r="O353" s="9" t="n"/>
      <c r="P353" s="9" t="n"/>
      <c r="Q353" s="9" t="n"/>
    </row>
    <row r="354">
      <c r="A354" s="8">
        <f>IF($K354="","",INDEX(מלאי!$D$2:$D$500,$K354))</f>
        <v/>
      </c>
      <c r="B354" s="8">
        <f>IF($K354="","",INDEX(מלאי!$B$2:$B$500,$K354))</f>
        <v/>
      </c>
      <c r="C354" s="8">
        <f>IF($K354="","",INDEX(מלאי!$C$2:$C$500,$K354))</f>
        <v/>
      </c>
      <c r="D354" s="8">
        <f>IF($K354="","",INDEX(מלאי!$Y$2:$Y$500,$K354))</f>
        <v/>
      </c>
      <c r="E354" s="8">
        <f>IF($K354="","",INDEX(מלאי!$Z$2:$Z$500,$K354))</f>
        <v/>
      </c>
      <c r="F354" s="13">
        <f>IF($K354="","",INDEX(מלאי!$AB$2:$AB$500,$K354))</f>
        <v/>
      </c>
      <c r="G354" s="8">
        <f>IF($K354="","",IF(AND(INDEX(מלאי!$AB$2:$AB$500,$K354)&lt;&gt;"",INDEX(מלאי!$AB$2:$AB$500,$K354)&lt;TODAY()),"באיחור!","תקין"))</f>
        <v/>
      </c>
      <c r="H354" s="8" t="n"/>
      <c r="I354" s="8" t="n"/>
      <c r="J354" s="8" t="n"/>
      <c r="K354" s="8">
        <f>IFERROR(SMALL(IF((מלאי!$D$2:$D$500&lt;&gt;"")*(מלאי!$X$2:$X$500="מושאל"),ROW(מלאי!$A$2:$A$500)-ROW(מלאי!$A$2)+1,""),29),"")</f>
        <v/>
      </c>
      <c r="L354" s="8" t="n"/>
      <c r="M354" s="8" t="n"/>
      <c r="N354" s="8" t="n"/>
      <c r="O354" s="8" t="n"/>
      <c r="P354" s="8" t="n"/>
      <c r="Q354" s="8" t="n"/>
    </row>
    <row r="355">
      <c r="A355" s="9">
        <f>IF($K355="","",INDEX(מלאי!$D$2:$D$500,$K355))</f>
        <v/>
      </c>
      <c r="B355" s="9">
        <f>IF($K355="","",INDEX(מלאי!$B$2:$B$500,$K355))</f>
        <v/>
      </c>
      <c r="C355" s="9">
        <f>IF($K355="","",INDEX(מלאי!$C$2:$C$500,$K355))</f>
        <v/>
      </c>
      <c r="D355" s="9">
        <f>IF($K355="","",INDEX(מלאי!$Y$2:$Y$500,$K355))</f>
        <v/>
      </c>
      <c r="E355" s="9">
        <f>IF($K355="","",INDEX(מלאי!$Z$2:$Z$500,$K355))</f>
        <v/>
      </c>
      <c r="F355" s="14">
        <f>IF($K355="","",INDEX(מלאי!$AB$2:$AB$500,$K355))</f>
        <v/>
      </c>
      <c r="G355" s="9">
        <f>IF($K355="","",IF(AND(INDEX(מלאי!$AB$2:$AB$500,$K355)&lt;&gt;"",INDEX(מלאי!$AB$2:$AB$500,$K355)&lt;TODAY()),"באיחור!","תקין"))</f>
        <v/>
      </c>
      <c r="H355" s="9" t="n"/>
      <c r="I355" s="9" t="n"/>
      <c r="J355" s="9" t="n"/>
      <c r="K355" s="9">
        <f>IFERROR(SMALL(IF((מלאי!$D$2:$D$500&lt;&gt;"")*(מלאי!$X$2:$X$500="מושאל"),ROW(מלאי!$A$2:$A$500)-ROW(מלאי!$A$2)+1,""),30),"")</f>
        <v/>
      </c>
      <c r="L355" s="9" t="n"/>
      <c r="M355" s="9" t="n"/>
      <c r="N355" s="9" t="n"/>
      <c r="O355" s="9" t="n"/>
      <c r="P355" s="9" t="n"/>
      <c r="Q355" s="9" t="n"/>
    </row>
    <row r="356">
      <c r="A356" s="8">
        <f>IF($K356="","",INDEX(מלאי!$D$2:$D$500,$K356))</f>
        <v/>
      </c>
      <c r="B356" s="8">
        <f>IF($K356="","",INDEX(מלאי!$B$2:$B$500,$K356))</f>
        <v/>
      </c>
      <c r="C356" s="8">
        <f>IF($K356="","",INDEX(מלאי!$C$2:$C$500,$K356))</f>
        <v/>
      </c>
      <c r="D356" s="8">
        <f>IF($K356="","",INDEX(מלאי!$Y$2:$Y$500,$K356))</f>
        <v/>
      </c>
      <c r="E356" s="8">
        <f>IF($K356="","",INDEX(מלאי!$Z$2:$Z$500,$K356))</f>
        <v/>
      </c>
      <c r="F356" s="13">
        <f>IF($K356="","",INDEX(מלאי!$AB$2:$AB$500,$K356))</f>
        <v/>
      </c>
      <c r="G356" s="8">
        <f>IF($K356="","",IF(AND(INDEX(מלאי!$AB$2:$AB$500,$K356)&lt;&gt;"",INDEX(מלאי!$AB$2:$AB$500,$K356)&lt;TODAY()),"באיחור!","תקין"))</f>
        <v/>
      </c>
      <c r="H356" s="8" t="n"/>
      <c r="I356" s="8" t="n"/>
      <c r="J356" s="8" t="n"/>
      <c r="K356" s="8">
        <f>IFERROR(SMALL(IF((מלאי!$D$2:$D$500&lt;&gt;"")*(מלאי!$X$2:$X$500="מושאל"),ROW(מלאי!$A$2:$A$500)-ROW(מלאי!$A$2)+1,""),31),"")</f>
        <v/>
      </c>
      <c r="L356" s="8" t="n"/>
      <c r="M356" s="8" t="n"/>
      <c r="N356" s="8" t="n"/>
      <c r="O356" s="8" t="n"/>
      <c r="P356" s="8" t="n"/>
      <c r="Q356" s="8" t="n"/>
    </row>
    <row r="357">
      <c r="A357" s="9">
        <f>IF($K357="","",INDEX(מלאי!$D$2:$D$500,$K357))</f>
        <v/>
      </c>
      <c r="B357" s="9">
        <f>IF($K357="","",INDEX(מלאי!$B$2:$B$500,$K357))</f>
        <v/>
      </c>
      <c r="C357" s="9">
        <f>IF($K357="","",INDEX(מלאי!$C$2:$C$500,$K357))</f>
        <v/>
      </c>
      <c r="D357" s="9">
        <f>IF($K357="","",INDEX(מלאי!$Y$2:$Y$500,$K357))</f>
        <v/>
      </c>
      <c r="E357" s="9">
        <f>IF($K357="","",INDEX(מלאי!$Z$2:$Z$500,$K357))</f>
        <v/>
      </c>
      <c r="F357" s="14">
        <f>IF($K357="","",INDEX(מלאי!$AB$2:$AB$500,$K357))</f>
        <v/>
      </c>
      <c r="G357" s="9">
        <f>IF($K357="","",IF(AND(INDEX(מלאי!$AB$2:$AB$500,$K357)&lt;&gt;"",INDEX(מלאי!$AB$2:$AB$500,$K357)&lt;TODAY()),"באיחור!","תקין"))</f>
        <v/>
      </c>
      <c r="H357" s="9" t="n"/>
      <c r="I357" s="9" t="n"/>
      <c r="J357" s="9" t="n"/>
      <c r="K357" s="9">
        <f>IFERROR(SMALL(IF((מלאי!$D$2:$D$500&lt;&gt;"")*(מלאי!$X$2:$X$500="מושאל"),ROW(מלאי!$A$2:$A$500)-ROW(מלאי!$A$2)+1,""),32),"")</f>
        <v/>
      </c>
      <c r="L357" s="9" t="n"/>
      <c r="M357" s="9" t="n"/>
      <c r="N357" s="9" t="n"/>
      <c r="O357" s="9" t="n"/>
      <c r="P357" s="9" t="n"/>
      <c r="Q357" s="9" t="n"/>
    </row>
    <row r="358">
      <c r="A358" s="8">
        <f>IF($K358="","",INDEX(מלאי!$D$2:$D$500,$K358))</f>
        <v/>
      </c>
      <c r="B358" s="8">
        <f>IF($K358="","",INDEX(מלאי!$B$2:$B$500,$K358))</f>
        <v/>
      </c>
      <c r="C358" s="8">
        <f>IF($K358="","",INDEX(מלאי!$C$2:$C$500,$K358))</f>
        <v/>
      </c>
      <c r="D358" s="8">
        <f>IF($K358="","",INDEX(מלאי!$Y$2:$Y$500,$K358))</f>
        <v/>
      </c>
      <c r="E358" s="8">
        <f>IF($K358="","",INDEX(מלאי!$Z$2:$Z$500,$K358))</f>
        <v/>
      </c>
      <c r="F358" s="13">
        <f>IF($K358="","",INDEX(מלאי!$AB$2:$AB$500,$K358))</f>
        <v/>
      </c>
      <c r="G358" s="8">
        <f>IF($K358="","",IF(AND(INDEX(מלאי!$AB$2:$AB$500,$K358)&lt;&gt;"",INDEX(מלאי!$AB$2:$AB$500,$K358)&lt;TODAY()),"באיחור!","תקין"))</f>
        <v/>
      </c>
      <c r="H358" s="8" t="n"/>
      <c r="I358" s="8" t="n"/>
      <c r="J358" s="8" t="n"/>
      <c r="K358" s="8">
        <f>IFERROR(SMALL(IF((מלאי!$D$2:$D$500&lt;&gt;"")*(מלאי!$X$2:$X$500="מושאל"),ROW(מלאי!$A$2:$A$500)-ROW(מלאי!$A$2)+1,""),33),"")</f>
        <v/>
      </c>
      <c r="L358" s="8" t="n"/>
      <c r="M358" s="8" t="n"/>
      <c r="N358" s="8" t="n"/>
      <c r="O358" s="8" t="n"/>
      <c r="P358" s="8" t="n"/>
      <c r="Q358" s="8" t="n"/>
    </row>
    <row r="359">
      <c r="A359" s="9">
        <f>IF($K359="","",INDEX(מלאי!$D$2:$D$500,$K359))</f>
        <v/>
      </c>
      <c r="B359" s="9">
        <f>IF($K359="","",INDEX(מלאי!$B$2:$B$500,$K359))</f>
        <v/>
      </c>
      <c r="C359" s="9">
        <f>IF($K359="","",INDEX(מלאי!$C$2:$C$500,$K359))</f>
        <v/>
      </c>
      <c r="D359" s="9">
        <f>IF($K359="","",INDEX(מלאי!$Y$2:$Y$500,$K359))</f>
        <v/>
      </c>
      <c r="E359" s="9">
        <f>IF($K359="","",INDEX(מלאי!$Z$2:$Z$500,$K359))</f>
        <v/>
      </c>
      <c r="F359" s="14">
        <f>IF($K359="","",INDEX(מלאי!$AB$2:$AB$500,$K359))</f>
        <v/>
      </c>
      <c r="G359" s="9">
        <f>IF($K359="","",IF(AND(INDEX(מלאי!$AB$2:$AB$500,$K359)&lt;&gt;"",INDEX(מלאי!$AB$2:$AB$500,$K359)&lt;TODAY()),"באיחור!","תקין"))</f>
        <v/>
      </c>
      <c r="H359" s="9" t="n"/>
      <c r="I359" s="9" t="n"/>
      <c r="J359" s="9" t="n"/>
      <c r="K359" s="9">
        <f>IFERROR(SMALL(IF((מלאי!$D$2:$D$500&lt;&gt;"")*(מלאי!$X$2:$X$500="מושאל"),ROW(מלאי!$A$2:$A$500)-ROW(מלאי!$A$2)+1,""),34),"")</f>
        <v/>
      </c>
      <c r="L359" s="9" t="n"/>
      <c r="M359" s="9" t="n"/>
      <c r="N359" s="9" t="n"/>
      <c r="O359" s="9" t="n"/>
      <c r="P359" s="9" t="n"/>
      <c r="Q359" s="9" t="n"/>
    </row>
    <row r="360">
      <c r="A360" s="8">
        <f>IF($K360="","",INDEX(מלאי!$D$2:$D$500,$K360))</f>
        <v/>
      </c>
      <c r="B360" s="8">
        <f>IF($K360="","",INDEX(מלאי!$B$2:$B$500,$K360))</f>
        <v/>
      </c>
      <c r="C360" s="8">
        <f>IF($K360="","",INDEX(מלאי!$C$2:$C$500,$K360))</f>
        <v/>
      </c>
      <c r="D360" s="8">
        <f>IF($K360="","",INDEX(מלאי!$Y$2:$Y$500,$K360))</f>
        <v/>
      </c>
      <c r="E360" s="8">
        <f>IF($K360="","",INDEX(מלאי!$Z$2:$Z$500,$K360))</f>
        <v/>
      </c>
      <c r="F360" s="13">
        <f>IF($K360="","",INDEX(מלאי!$AB$2:$AB$500,$K360))</f>
        <v/>
      </c>
      <c r="G360" s="8">
        <f>IF($K360="","",IF(AND(INDEX(מלאי!$AB$2:$AB$500,$K360)&lt;&gt;"",INDEX(מלאי!$AB$2:$AB$500,$K360)&lt;TODAY()),"באיחור!","תקין"))</f>
        <v/>
      </c>
      <c r="H360" s="8" t="n"/>
      <c r="I360" s="8" t="n"/>
      <c r="J360" s="8" t="n"/>
      <c r="K360" s="8">
        <f>IFERROR(SMALL(IF((מלאי!$D$2:$D$500&lt;&gt;"")*(מלאי!$X$2:$X$500="מושאל"),ROW(מלאי!$A$2:$A$500)-ROW(מלאי!$A$2)+1,""),35),"")</f>
        <v/>
      </c>
      <c r="L360" s="8" t="n"/>
      <c r="M360" s="8" t="n"/>
      <c r="N360" s="8" t="n"/>
      <c r="O360" s="8" t="n"/>
      <c r="P360" s="8" t="n"/>
      <c r="Q360" s="8" t="n"/>
    </row>
    <row r="361">
      <c r="A361" s="9">
        <f>IF($K361="","",INDEX(מלאי!$D$2:$D$500,$K361))</f>
        <v/>
      </c>
      <c r="B361" s="9">
        <f>IF($K361="","",INDEX(מלאי!$B$2:$B$500,$K361))</f>
        <v/>
      </c>
      <c r="C361" s="9">
        <f>IF($K361="","",INDEX(מלאי!$C$2:$C$500,$K361))</f>
        <v/>
      </c>
      <c r="D361" s="9">
        <f>IF($K361="","",INDEX(מלאי!$Y$2:$Y$500,$K361))</f>
        <v/>
      </c>
      <c r="E361" s="9">
        <f>IF($K361="","",INDEX(מלאי!$Z$2:$Z$500,$K361))</f>
        <v/>
      </c>
      <c r="F361" s="14">
        <f>IF($K361="","",INDEX(מלאי!$AB$2:$AB$500,$K361))</f>
        <v/>
      </c>
      <c r="G361" s="9">
        <f>IF($K361="","",IF(AND(INDEX(מלאי!$AB$2:$AB$500,$K361)&lt;&gt;"",INDEX(מלאי!$AB$2:$AB$500,$K361)&lt;TODAY()),"באיחור!","תקין"))</f>
        <v/>
      </c>
      <c r="H361" s="9" t="n"/>
      <c r="I361" s="9" t="n"/>
      <c r="J361" s="9" t="n"/>
      <c r="K361" s="9">
        <f>IFERROR(SMALL(IF((מלאי!$D$2:$D$500&lt;&gt;"")*(מלאי!$X$2:$X$500="מושאל"),ROW(מלאי!$A$2:$A$500)-ROW(מלאי!$A$2)+1,""),36),"")</f>
        <v/>
      </c>
      <c r="L361" s="9" t="n"/>
      <c r="M361" s="9" t="n"/>
      <c r="N361" s="9" t="n"/>
      <c r="O361" s="9" t="n"/>
      <c r="P361" s="9" t="n"/>
      <c r="Q361" s="9" t="n"/>
    </row>
    <row r="362">
      <c r="A362" s="8">
        <f>IF($K362="","",INDEX(מלאי!$D$2:$D$500,$K362))</f>
        <v/>
      </c>
      <c r="B362" s="8">
        <f>IF($K362="","",INDEX(מלאי!$B$2:$B$500,$K362))</f>
        <v/>
      </c>
      <c r="C362" s="8">
        <f>IF($K362="","",INDEX(מלאי!$C$2:$C$500,$K362))</f>
        <v/>
      </c>
      <c r="D362" s="8">
        <f>IF($K362="","",INDEX(מלאי!$Y$2:$Y$500,$K362))</f>
        <v/>
      </c>
      <c r="E362" s="8">
        <f>IF($K362="","",INDEX(מלאי!$Z$2:$Z$500,$K362))</f>
        <v/>
      </c>
      <c r="F362" s="13">
        <f>IF($K362="","",INDEX(מלאי!$AB$2:$AB$500,$K362))</f>
        <v/>
      </c>
      <c r="G362" s="8">
        <f>IF($K362="","",IF(AND(INDEX(מלאי!$AB$2:$AB$500,$K362)&lt;&gt;"",INDEX(מלאי!$AB$2:$AB$500,$K362)&lt;TODAY()),"באיחור!","תקין"))</f>
        <v/>
      </c>
      <c r="H362" s="8" t="n"/>
      <c r="I362" s="8" t="n"/>
      <c r="J362" s="8" t="n"/>
      <c r="K362" s="8">
        <f>IFERROR(SMALL(IF((מלאי!$D$2:$D$500&lt;&gt;"")*(מלאי!$X$2:$X$500="מושאל"),ROW(מלאי!$A$2:$A$500)-ROW(מלאי!$A$2)+1,""),37),"")</f>
        <v/>
      </c>
      <c r="L362" s="8" t="n"/>
      <c r="M362" s="8" t="n"/>
      <c r="N362" s="8" t="n"/>
      <c r="O362" s="8" t="n"/>
      <c r="P362" s="8" t="n"/>
      <c r="Q362" s="8" t="n"/>
    </row>
    <row r="363">
      <c r="A363" s="9">
        <f>IF($K363="","",INDEX(מלאי!$D$2:$D$500,$K363))</f>
        <v/>
      </c>
      <c r="B363" s="9">
        <f>IF($K363="","",INDEX(מלאי!$B$2:$B$500,$K363))</f>
        <v/>
      </c>
      <c r="C363" s="9">
        <f>IF($K363="","",INDEX(מלאי!$C$2:$C$500,$K363))</f>
        <v/>
      </c>
      <c r="D363" s="9">
        <f>IF($K363="","",INDEX(מלאי!$Y$2:$Y$500,$K363))</f>
        <v/>
      </c>
      <c r="E363" s="9">
        <f>IF($K363="","",INDEX(מלאי!$Z$2:$Z$500,$K363))</f>
        <v/>
      </c>
      <c r="F363" s="14">
        <f>IF($K363="","",INDEX(מלאי!$AB$2:$AB$500,$K363))</f>
        <v/>
      </c>
      <c r="G363" s="9">
        <f>IF($K363="","",IF(AND(INDEX(מלאי!$AB$2:$AB$500,$K363)&lt;&gt;"",INDEX(מלאי!$AB$2:$AB$500,$K363)&lt;TODAY()),"באיחור!","תקין"))</f>
        <v/>
      </c>
      <c r="H363" s="9" t="n"/>
      <c r="I363" s="9" t="n"/>
      <c r="J363" s="9" t="n"/>
      <c r="K363" s="9">
        <f>IFERROR(SMALL(IF((מלאי!$D$2:$D$500&lt;&gt;"")*(מלאי!$X$2:$X$500="מושאל"),ROW(מלאי!$A$2:$A$500)-ROW(מלאי!$A$2)+1,""),38),"")</f>
        <v/>
      </c>
      <c r="L363" s="9" t="n"/>
      <c r="M363" s="9" t="n"/>
      <c r="N363" s="9" t="n"/>
      <c r="O363" s="9" t="n"/>
      <c r="P363" s="9" t="n"/>
      <c r="Q363" s="9" t="n"/>
    </row>
    <row r="364">
      <c r="A364" s="8">
        <f>IF($K364="","",INDEX(מלאי!$D$2:$D$500,$K364))</f>
        <v/>
      </c>
      <c r="B364" s="8">
        <f>IF($K364="","",INDEX(מלאי!$B$2:$B$500,$K364))</f>
        <v/>
      </c>
      <c r="C364" s="8">
        <f>IF($K364="","",INDEX(מלאי!$C$2:$C$500,$K364))</f>
        <v/>
      </c>
      <c r="D364" s="8">
        <f>IF($K364="","",INDEX(מלאי!$Y$2:$Y$500,$K364))</f>
        <v/>
      </c>
      <c r="E364" s="8">
        <f>IF($K364="","",INDEX(מלאי!$Z$2:$Z$500,$K364))</f>
        <v/>
      </c>
      <c r="F364" s="13">
        <f>IF($K364="","",INDEX(מלאי!$AB$2:$AB$500,$K364))</f>
        <v/>
      </c>
      <c r="G364" s="8">
        <f>IF($K364="","",IF(AND(INDEX(מלאי!$AB$2:$AB$500,$K364)&lt;&gt;"",INDEX(מלאי!$AB$2:$AB$500,$K364)&lt;TODAY()),"באיחור!","תקין"))</f>
        <v/>
      </c>
      <c r="H364" s="8" t="n"/>
      <c r="I364" s="8" t="n"/>
      <c r="J364" s="8" t="n"/>
      <c r="K364" s="8">
        <f>IFERROR(SMALL(IF((מלאי!$D$2:$D$500&lt;&gt;"")*(מלאי!$X$2:$X$500="מושאל"),ROW(מלאי!$A$2:$A$500)-ROW(מלאי!$A$2)+1,""),39),"")</f>
        <v/>
      </c>
      <c r="L364" s="8" t="n"/>
      <c r="M364" s="8" t="n"/>
      <c r="N364" s="8" t="n"/>
      <c r="O364" s="8" t="n"/>
      <c r="P364" s="8" t="n"/>
      <c r="Q364" s="8" t="n"/>
    </row>
    <row r="365">
      <c r="A365" s="9">
        <f>IF($K365="","",INDEX(מלאי!$D$2:$D$500,$K365))</f>
        <v/>
      </c>
      <c r="B365" s="9">
        <f>IF($K365="","",INDEX(מלאי!$B$2:$B$500,$K365))</f>
        <v/>
      </c>
      <c r="C365" s="9">
        <f>IF($K365="","",INDEX(מלאי!$C$2:$C$500,$K365))</f>
        <v/>
      </c>
      <c r="D365" s="9">
        <f>IF($K365="","",INDEX(מלאי!$Y$2:$Y$500,$K365))</f>
        <v/>
      </c>
      <c r="E365" s="9">
        <f>IF($K365="","",INDEX(מלאי!$Z$2:$Z$500,$K365))</f>
        <v/>
      </c>
      <c r="F365" s="14">
        <f>IF($K365="","",INDEX(מלאי!$AB$2:$AB$500,$K365))</f>
        <v/>
      </c>
      <c r="G365" s="9">
        <f>IF($K365="","",IF(AND(INDEX(מלאי!$AB$2:$AB$500,$K365)&lt;&gt;"",INDEX(מלאי!$AB$2:$AB$500,$K365)&lt;TODAY()),"באיחור!","תקין"))</f>
        <v/>
      </c>
      <c r="H365" s="9" t="n"/>
      <c r="I365" s="9" t="n"/>
      <c r="J365" s="9" t="n"/>
      <c r="K365" s="9">
        <f>IFERROR(SMALL(IF((מלאי!$D$2:$D$500&lt;&gt;"")*(מלאי!$X$2:$X$500="מושאל"),ROW(מלאי!$A$2:$A$500)-ROW(מלאי!$A$2)+1,""),40),"")</f>
        <v/>
      </c>
      <c r="L365" s="9" t="n"/>
      <c r="M365" s="9" t="n"/>
      <c r="N365" s="9" t="n"/>
      <c r="O365" s="9" t="n"/>
      <c r="P365" s="9" t="n"/>
      <c r="Q365" s="9" t="n"/>
    </row>
    <row r="366">
      <c r="A366" s="8">
        <f>IF($K366="","",INDEX(מלאי!$D$2:$D$500,$K366))</f>
        <v/>
      </c>
      <c r="B366" s="8">
        <f>IF($K366="","",INDEX(מלאי!$B$2:$B$500,$K366))</f>
        <v/>
      </c>
      <c r="C366" s="8">
        <f>IF($K366="","",INDEX(מלאי!$C$2:$C$500,$K366))</f>
        <v/>
      </c>
      <c r="D366" s="8">
        <f>IF($K366="","",INDEX(מלאי!$Y$2:$Y$500,$K366))</f>
        <v/>
      </c>
      <c r="E366" s="8">
        <f>IF($K366="","",INDEX(מלאי!$Z$2:$Z$500,$K366))</f>
        <v/>
      </c>
      <c r="F366" s="13">
        <f>IF($K366="","",INDEX(מלאי!$AB$2:$AB$500,$K366))</f>
        <v/>
      </c>
      <c r="G366" s="8">
        <f>IF($K366="","",IF(AND(INDEX(מלאי!$AB$2:$AB$500,$K366)&lt;&gt;"",INDEX(מלאי!$AB$2:$AB$500,$K366)&lt;TODAY()),"באיחור!","תקין"))</f>
        <v/>
      </c>
      <c r="H366" s="8" t="n"/>
      <c r="I366" s="8" t="n"/>
      <c r="J366" s="8" t="n"/>
      <c r="K366" s="8">
        <f>IFERROR(SMALL(IF((מלאי!$D$2:$D$500&lt;&gt;"")*(מלאי!$X$2:$X$500="מושאל"),ROW(מלאי!$A$2:$A$500)-ROW(מלאי!$A$2)+1,""),41),"")</f>
        <v/>
      </c>
      <c r="L366" s="8" t="n"/>
      <c r="M366" s="8" t="n"/>
      <c r="N366" s="8" t="n"/>
      <c r="O366" s="8" t="n"/>
      <c r="P366" s="8" t="n"/>
      <c r="Q366" s="8" t="n"/>
    </row>
    <row r="367">
      <c r="A367" s="9">
        <f>IF($K367="","",INDEX(מלאי!$D$2:$D$500,$K367))</f>
        <v/>
      </c>
      <c r="B367" s="9">
        <f>IF($K367="","",INDEX(מלאי!$B$2:$B$500,$K367))</f>
        <v/>
      </c>
      <c r="C367" s="9">
        <f>IF($K367="","",INDEX(מלאי!$C$2:$C$500,$K367))</f>
        <v/>
      </c>
      <c r="D367" s="9">
        <f>IF($K367="","",INDEX(מלאי!$Y$2:$Y$500,$K367))</f>
        <v/>
      </c>
      <c r="E367" s="9">
        <f>IF($K367="","",INDEX(מלאי!$Z$2:$Z$500,$K367))</f>
        <v/>
      </c>
      <c r="F367" s="14">
        <f>IF($K367="","",INDEX(מלאי!$AB$2:$AB$500,$K367))</f>
        <v/>
      </c>
      <c r="G367" s="9">
        <f>IF($K367="","",IF(AND(INDEX(מלאי!$AB$2:$AB$500,$K367)&lt;&gt;"",INDEX(מלאי!$AB$2:$AB$500,$K367)&lt;TODAY()),"באיחור!","תקין"))</f>
        <v/>
      </c>
      <c r="H367" s="9" t="n"/>
      <c r="I367" s="9" t="n"/>
      <c r="J367" s="9" t="n"/>
      <c r="K367" s="9">
        <f>IFERROR(SMALL(IF((מלאי!$D$2:$D$500&lt;&gt;"")*(מלאי!$X$2:$X$500="מושאל"),ROW(מלאי!$A$2:$A$500)-ROW(מלאי!$A$2)+1,""),42),"")</f>
        <v/>
      </c>
      <c r="L367" s="9" t="n"/>
      <c r="M367" s="9" t="n"/>
      <c r="N367" s="9" t="n"/>
      <c r="O367" s="9" t="n"/>
      <c r="P367" s="9" t="n"/>
      <c r="Q367" s="9" t="n"/>
    </row>
    <row r="368">
      <c r="A368" s="8">
        <f>IF($K368="","",INDEX(מלאי!$D$2:$D$500,$K368))</f>
        <v/>
      </c>
      <c r="B368" s="8">
        <f>IF($K368="","",INDEX(מלאי!$B$2:$B$500,$K368))</f>
        <v/>
      </c>
      <c r="C368" s="8">
        <f>IF($K368="","",INDEX(מלאי!$C$2:$C$500,$K368))</f>
        <v/>
      </c>
      <c r="D368" s="8">
        <f>IF($K368="","",INDEX(מלאי!$Y$2:$Y$500,$K368))</f>
        <v/>
      </c>
      <c r="E368" s="8">
        <f>IF($K368="","",INDEX(מלאי!$Z$2:$Z$500,$K368))</f>
        <v/>
      </c>
      <c r="F368" s="13">
        <f>IF($K368="","",INDEX(מלאי!$AB$2:$AB$500,$K368))</f>
        <v/>
      </c>
      <c r="G368" s="8">
        <f>IF($K368="","",IF(AND(INDEX(מלאי!$AB$2:$AB$500,$K368)&lt;&gt;"",INDEX(מלאי!$AB$2:$AB$500,$K368)&lt;TODAY()),"באיחור!","תקין"))</f>
        <v/>
      </c>
      <c r="H368" s="8" t="n"/>
      <c r="I368" s="8" t="n"/>
      <c r="J368" s="8" t="n"/>
      <c r="K368" s="8">
        <f>IFERROR(SMALL(IF((מלאי!$D$2:$D$500&lt;&gt;"")*(מלאי!$X$2:$X$500="מושאל"),ROW(מלאי!$A$2:$A$500)-ROW(מלאי!$A$2)+1,""),43),"")</f>
        <v/>
      </c>
      <c r="L368" s="8" t="n"/>
      <c r="M368" s="8" t="n"/>
      <c r="N368" s="8" t="n"/>
      <c r="O368" s="8" t="n"/>
      <c r="P368" s="8" t="n"/>
      <c r="Q368" s="8" t="n"/>
    </row>
    <row r="369">
      <c r="A369" s="9">
        <f>IF($K369="","",INDEX(מלאי!$D$2:$D$500,$K369))</f>
        <v/>
      </c>
      <c r="B369" s="9">
        <f>IF($K369="","",INDEX(מלאי!$B$2:$B$500,$K369))</f>
        <v/>
      </c>
      <c r="C369" s="9">
        <f>IF($K369="","",INDEX(מלאי!$C$2:$C$500,$K369))</f>
        <v/>
      </c>
      <c r="D369" s="9">
        <f>IF($K369="","",INDEX(מלאי!$Y$2:$Y$500,$K369))</f>
        <v/>
      </c>
      <c r="E369" s="9">
        <f>IF($K369="","",INDEX(מלאי!$Z$2:$Z$500,$K369))</f>
        <v/>
      </c>
      <c r="F369" s="14">
        <f>IF($K369="","",INDEX(מלאי!$AB$2:$AB$500,$K369))</f>
        <v/>
      </c>
      <c r="G369" s="9">
        <f>IF($K369="","",IF(AND(INDEX(מלאי!$AB$2:$AB$500,$K369)&lt;&gt;"",INDEX(מלאי!$AB$2:$AB$500,$K369)&lt;TODAY()),"באיחור!","תקין"))</f>
        <v/>
      </c>
      <c r="H369" s="9" t="n"/>
      <c r="I369" s="9" t="n"/>
      <c r="J369" s="9" t="n"/>
      <c r="K369" s="9">
        <f>IFERROR(SMALL(IF((מלאי!$D$2:$D$500&lt;&gt;"")*(מלאי!$X$2:$X$500="מושאל"),ROW(מלאי!$A$2:$A$500)-ROW(מלאי!$A$2)+1,""),44),"")</f>
        <v/>
      </c>
      <c r="L369" s="9" t="n"/>
      <c r="M369" s="9" t="n"/>
      <c r="N369" s="9" t="n"/>
      <c r="O369" s="9" t="n"/>
      <c r="P369" s="9" t="n"/>
      <c r="Q369" s="9" t="n"/>
    </row>
    <row r="370">
      <c r="A370" s="8">
        <f>IF($K370="","",INDEX(מלאי!$D$2:$D$500,$K370))</f>
        <v/>
      </c>
      <c r="B370" s="8">
        <f>IF($K370="","",INDEX(מלאי!$B$2:$B$500,$K370))</f>
        <v/>
      </c>
      <c r="C370" s="8">
        <f>IF($K370="","",INDEX(מלאי!$C$2:$C$500,$K370))</f>
        <v/>
      </c>
      <c r="D370" s="8">
        <f>IF($K370="","",INDEX(מלאי!$Y$2:$Y$500,$K370))</f>
        <v/>
      </c>
      <c r="E370" s="8">
        <f>IF($K370="","",INDEX(מלאי!$Z$2:$Z$500,$K370))</f>
        <v/>
      </c>
      <c r="F370" s="13">
        <f>IF($K370="","",INDEX(מלאי!$AB$2:$AB$500,$K370))</f>
        <v/>
      </c>
      <c r="G370" s="8">
        <f>IF($K370="","",IF(AND(INDEX(מלאי!$AB$2:$AB$500,$K370)&lt;&gt;"",INDEX(מלאי!$AB$2:$AB$500,$K370)&lt;TODAY()),"באיחור!","תקין"))</f>
        <v/>
      </c>
      <c r="H370" s="8" t="n"/>
      <c r="I370" s="8" t="n"/>
      <c r="J370" s="8" t="n"/>
      <c r="K370" s="8">
        <f>IFERROR(SMALL(IF((מלאי!$D$2:$D$500&lt;&gt;"")*(מלאי!$X$2:$X$500="מושאל"),ROW(מלאי!$A$2:$A$500)-ROW(מלאי!$A$2)+1,""),45),"")</f>
        <v/>
      </c>
      <c r="L370" s="8" t="n"/>
      <c r="M370" s="8" t="n"/>
      <c r="N370" s="8" t="n"/>
      <c r="O370" s="8" t="n"/>
      <c r="P370" s="8" t="n"/>
      <c r="Q370" s="8" t="n"/>
    </row>
    <row r="371">
      <c r="A371" s="9">
        <f>IF($K371="","",INDEX(מלאי!$D$2:$D$500,$K371))</f>
        <v/>
      </c>
      <c r="B371" s="9">
        <f>IF($K371="","",INDEX(מלאי!$B$2:$B$500,$K371))</f>
        <v/>
      </c>
      <c r="C371" s="9">
        <f>IF($K371="","",INDEX(מלאי!$C$2:$C$500,$K371))</f>
        <v/>
      </c>
      <c r="D371" s="9">
        <f>IF($K371="","",INDEX(מלאי!$Y$2:$Y$500,$K371))</f>
        <v/>
      </c>
      <c r="E371" s="9">
        <f>IF($K371="","",INDEX(מלאי!$Z$2:$Z$500,$K371))</f>
        <v/>
      </c>
      <c r="F371" s="14">
        <f>IF($K371="","",INDEX(מלאי!$AB$2:$AB$500,$K371))</f>
        <v/>
      </c>
      <c r="G371" s="9">
        <f>IF($K371="","",IF(AND(INDEX(מלאי!$AB$2:$AB$500,$K371)&lt;&gt;"",INDEX(מלאי!$AB$2:$AB$500,$K371)&lt;TODAY()),"באיחור!","תקין"))</f>
        <v/>
      </c>
      <c r="H371" s="9" t="n"/>
      <c r="I371" s="9" t="n"/>
      <c r="J371" s="9" t="n"/>
      <c r="K371" s="9">
        <f>IFERROR(SMALL(IF((מלאי!$D$2:$D$500&lt;&gt;"")*(מלאי!$X$2:$X$500="מושאל"),ROW(מלאי!$A$2:$A$500)-ROW(מלאי!$A$2)+1,""),46),"")</f>
        <v/>
      </c>
      <c r="L371" s="9" t="n"/>
      <c r="M371" s="9" t="n"/>
      <c r="N371" s="9" t="n"/>
      <c r="O371" s="9" t="n"/>
      <c r="P371" s="9" t="n"/>
      <c r="Q371" s="9" t="n"/>
    </row>
    <row r="372">
      <c r="A372" s="8">
        <f>IF($K372="","",INDEX(מלאי!$D$2:$D$500,$K372))</f>
        <v/>
      </c>
      <c r="B372" s="8">
        <f>IF($K372="","",INDEX(מלאי!$B$2:$B$500,$K372))</f>
        <v/>
      </c>
      <c r="C372" s="8">
        <f>IF($K372="","",INDEX(מלאי!$C$2:$C$500,$K372))</f>
        <v/>
      </c>
      <c r="D372" s="8">
        <f>IF($K372="","",INDEX(מלאי!$Y$2:$Y$500,$K372))</f>
        <v/>
      </c>
      <c r="E372" s="8">
        <f>IF($K372="","",INDEX(מלאי!$Z$2:$Z$500,$K372))</f>
        <v/>
      </c>
      <c r="F372" s="13">
        <f>IF($K372="","",INDEX(מלאי!$AB$2:$AB$500,$K372))</f>
        <v/>
      </c>
      <c r="G372" s="8">
        <f>IF($K372="","",IF(AND(INDEX(מלאי!$AB$2:$AB$500,$K372)&lt;&gt;"",INDEX(מלאי!$AB$2:$AB$500,$K372)&lt;TODAY()),"באיחור!","תקין"))</f>
        <v/>
      </c>
      <c r="H372" s="8" t="n"/>
      <c r="I372" s="8" t="n"/>
      <c r="J372" s="8" t="n"/>
      <c r="K372" s="8">
        <f>IFERROR(SMALL(IF((מלאי!$D$2:$D$500&lt;&gt;"")*(מלאי!$X$2:$X$500="מושאל"),ROW(מלאי!$A$2:$A$500)-ROW(מלאי!$A$2)+1,""),47),"")</f>
        <v/>
      </c>
      <c r="L372" s="8" t="n"/>
      <c r="M372" s="8" t="n"/>
      <c r="N372" s="8" t="n"/>
      <c r="O372" s="8" t="n"/>
      <c r="P372" s="8" t="n"/>
      <c r="Q372" s="8" t="n"/>
    </row>
    <row r="373">
      <c r="A373" s="9">
        <f>IF($K373="","",INDEX(מלאי!$D$2:$D$500,$K373))</f>
        <v/>
      </c>
      <c r="B373" s="9">
        <f>IF($K373="","",INDEX(מלאי!$B$2:$B$500,$K373))</f>
        <v/>
      </c>
      <c r="C373" s="9">
        <f>IF($K373="","",INDEX(מלאי!$C$2:$C$500,$K373))</f>
        <v/>
      </c>
      <c r="D373" s="9">
        <f>IF($K373="","",INDEX(מלאי!$Y$2:$Y$500,$K373))</f>
        <v/>
      </c>
      <c r="E373" s="9">
        <f>IF($K373="","",INDEX(מלאי!$Z$2:$Z$500,$K373))</f>
        <v/>
      </c>
      <c r="F373" s="14">
        <f>IF($K373="","",INDEX(מלאי!$AB$2:$AB$500,$K373))</f>
        <v/>
      </c>
      <c r="G373" s="9">
        <f>IF($K373="","",IF(AND(INDEX(מלאי!$AB$2:$AB$500,$K373)&lt;&gt;"",INDEX(מלאי!$AB$2:$AB$500,$K373)&lt;TODAY()),"באיחור!","תקין"))</f>
        <v/>
      </c>
      <c r="H373" s="9" t="n"/>
      <c r="I373" s="9" t="n"/>
      <c r="J373" s="9" t="n"/>
      <c r="K373" s="9">
        <f>IFERROR(SMALL(IF((מלאי!$D$2:$D$500&lt;&gt;"")*(מלאי!$X$2:$X$500="מושאל"),ROW(מלאי!$A$2:$A$500)-ROW(מלאי!$A$2)+1,""),48),"")</f>
        <v/>
      </c>
      <c r="L373" s="9" t="n"/>
      <c r="M373" s="9" t="n"/>
      <c r="N373" s="9" t="n"/>
      <c r="O373" s="9" t="n"/>
      <c r="P373" s="9" t="n"/>
      <c r="Q373" s="9" t="n"/>
    </row>
    <row r="374">
      <c r="A374" s="8">
        <f>IF($K374="","",INDEX(מלאי!$D$2:$D$500,$K374))</f>
        <v/>
      </c>
      <c r="B374" s="8">
        <f>IF($K374="","",INDEX(מלאי!$B$2:$B$500,$K374))</f>
        <v/>
      </c>
      <c r="C374" s="8">
        <f>IF($K374="","",INDEX(מלאי!$C$2:$C$500,$K374))</f>
        <v/>
      </c>
      <c r="D374" s="8">
        <f>IF($K374="","",INDEX(מלאי!$Y$2:$Y$500,$K374))</f>
        <v/>
      </c>
      <c r="E374" s="8">
        <f>IF($K374="","",INDEX(מלאי!$Z$2:$Z$500,$K374))</f>
        <v/>
      </c>
      <c r="F374" s="13">
        <f>IF($K374="","",INDEX(מלאי!$AB$2:$AB$500,$K374))</f>
        <v/>
      </c>
      <c r="G374" s="8">
        <f>IF($K374="","",IF(AND(INDEX(מלאי!$AB$2:$AB$500,$K374)&lt;&gt;"",INDEX(מלאי!$AB$2:$AB$500,$K374)&lt;TODAY()),"באיחור!","תקין"))</f>
        <v/>
      </c>
      <c r="H374" s="8" t="n"/>
      <c r="I374" s="8" t="n"/>
      <c r="J374" s="8" t="n"/>
      <c r="K374" s="8">
        <f>IFERROR(SMALL(IF((מלאי!$D$2:$D$500&lt;&gt;"")*(מלאי!$X$2:$X$500="מושאל"),ROW(מלאי!$A$2:$A$500)-ROW(מלאי!$A$2)+1,""),49),"")</f>
        <v/>
      </c>
      <c r="L374" s="8" t="n"/>
      <c r="M374" s="8" t="n"/>
      <c r="N374" s="8" t="n"/>
      <c r="O374" s="8" t="n"/>
      <c r="P374" s="8" t="n"/>
      <c r="Q374" s="8" t="n"/>
    </row>
    <row r="375">
      <c r="A375" s="9">
        <f>IF($K375="","",INDEX(מלאי!$D$2:$D$500,$K375))</f>
        <v/>
      </c>
      <c r="B375" s="9">
        <f>IF($K375="","",INDEX(מלאי!$B$2:$B$500,$K375))</f>
        <v/>
      </c>
      <c r="C375" s="9">
        <f>IF($K375="","",INDEX(מלאי!$C$2:$C$500,$K375))</f>
        <v/>
      </c>
      <c r="D375" s="9">
        <f>IF($K375="","",INDEX(מלאי!$Y$2:$Y$500,$K375))</f>
        <v/>
      </c>
      <c r="E375" s="9">
        <f>IF($K375="","",INDEX(מלאי!$Z$2:$Z$500,$K375))</f>
        <v/>
      </c>
      <c r="F375" s="14">
        <f>IF($K375="","",INDEX(מלאי!$AB$2:$AB$500,$K375))</f>
        <v/>
      </c>
      <c r="G375" s="9">
        <f>IF($K375="","",IF(AND(INDEX(מלאי!$AB$2:$AB$500,$K375)&lt;&gt;"",INDEX(מלאי!$AB$2:$AB$500,$K375)&lt;TODAY()),"באיחור!","תקין"))</f>
        <v/>
      </c>
      <c r="H375" s="9" t="n"/>
      <c r="I375" s="9" t="n"/>
      <c r="J375" s="9" t="n"/>
      <c r="K375" s="9">
        <f>IFERROR(SMALL(IF((מלאי!$D$2:$D$500&lt;&gt;"")*(מלאי!$X$2:$X$500="מושאל"),ROW(מלאי!$A$2:$A$500)-ROW(מלאי!$A$2)+1,""),50),"")</f>
        <v/>
      </c>
      <c r="L375" s="9" t="n"/>
      <c r="M375" s="9" t="n"/>
      <c r="N375" s="9" t="n"/>
      <c r="O375" s="9" t="n"/>
      <c r="P375" s="9" t="n"/>
      <c r="Q375" s="9" t="n"/>
    </row>
    <row r="376">
      <c r="A376" s="8">
        <f>IF($K376="","",INDEX(מלאי!$D$2:$D$500,$K376))</f>
        <v/>
      </c>
      <c r="B376" s="8">
        <f>IF($K376="","",INDEX(מלאי!$B$2:$B$500,$K376))</f>
        <v/>
      </c>
      <c r="C376" s="8">
        <f>IF($K376="","",INDEX(מלאי!$C$2:$C$500,$K376))</f>
        <v/>
      </c>
      <c r="D376" s="8">
        <f>IF($K376="","",INDEX(מלאי!$Y$2:$Y$500,$K376))</f>
        <v/>
      </c>
      <c r="E376" s="8">
        <f>IF($K376="","",INDEX(מלאי!$Z$2:$Z$500,$K376))</f>
        <v/>
      </c>
      <c r="F376" s="13">
        <f>IF($K376="","",INDEX(מלאי!$AB$2:$AB$500,$K376))</f>
        <v/>
      </c>
      <c r="G376" s="8">
        <f>IF($K376="","",IF(AND(INDEX(מלאי!$AB$2:$AB$500,$K376)&lt;&gt;"",INDEX(מלאי!$AB$2:$AB$500,$K376)&lt;TODAY()),"באיחור!","תקין"))</f>
        <v/>
      </c>
      <c r="H376" s="8" t="n"/>
      <c r="I376" s="8" t="n"/>
      <c r="J376" s="8" t="n"/>
      <c r="K376" s="8">
        <f>IFERROR(SMALL(IF((מלאי!$D$2:$D$500&lt;&gt;"")*(מלאי!$X$2:$X$500="מושאל"),ROW(מלאי!$A$2:$A$500)-ROW(מלאי!$A$2)+1,""),51),"")</f>
        <v/>
      </c>
      <c r="L376" s="8" t="n"/>
      <c r="M376" s="8" t="n"/>
      <c r="N376" s="8" t="n"/>
      <c r="O376" s="8" t="n"/>
      <c r="P376" s="8" t="n"/>
      <c r="Q376" s="8" t="n"/>
    </row>
    <row r="377">
      <c r="A377" s="9">
        <f>IF($K377="","",INDEX(מלאי!$D$2:$D$500,$K377))</f>
        <v/>
      </c>
      <c r="B377" s="9">
        <f>IF($K377="","",INDEX(מלאי!$B$2:$B$500,$K377))</f>
        <v/>
      </c>
      <c r="C377" s="9">
        <f>IF($K377="","",INDEX(מלאי!$C$2:$C$500,$K377))</f>
        <v/>
      </c>
      <c r="D377" s="9">
        <f>IF($K377="","",INDEX(מלאי!$Y$2:$Y$500,$K377))</f>
        <v/>
      </c>
      <c r="E377" s="9">
        <f>IF($K377="","",INDEX(מלאי!$Z$2:$Z$500,$K377))</f>
        <v/>
      </c>
      <c r="F377" s="14">
        <f>IF($K377="","",INDEX(מלאי!$AB$2:$AB$500,$K377))</f>
        <v/>
      </c>
      <c r="G377" s="9">
        <f>IF($K377="","",IF(AND(INDEX(מלאי!$AB$2:$AB$500,$K377)&lt;&gt;"",INDEX(מלאי!$AB$2:$AB$500,$K377)&lt;TODAY()),"באיחור!","תקין"))</f>
        <v/>
      </c>
      <c r="H377" s="9" t="n"/>
      <c r="I377" s="9" t="n"/>
      <c r="J377" s="9" t="n"/>
      <c r="K377" s="9">
        <f>IFERROR(SMALL(IF((מלאי!$D$2:$D$500&lt;&gt;"")*(מלאי!$X$2:$X$500="מושאל"),ROW(מלאי!$A$2:$A$500)-ROW(מלאי!$A$2)+1,""),52),"")</f>
        <v/>
      </c>
      <c r="L377" s="9" t="n"/>
      <c r="M377" s="9" t="n"/>
      <c r="N377" s="9" t="n"/>
      <c r="O377" s="9" t="n"/>
      <c r="P377" s="9" t="n"/>
      <c r="Q377" s="9" t="n"/>
    </row>
    <row r="378">
      <c r="A378" s="8">
        <f>IF($K378="","",INDEX(מלאי!$D$2:$D$500,$K378))</f>
        <v/>
      </c>
      <c r="B378" s="8">
        <f>IF($K378="","",INDEX(מלאי!$B$2:$B$500,$K378))</f>
        <v/>
      </c>
      <c r="C378" s="8">
        <f>IF($K378="","",INDEX(מלאי!$C$2:$C$500,$K378))</f>
        <v/>
      </c>
      <c r="D378" s="8">
        <f>IF($K378="","",INDEX(מלאי!$Y$2:$Y$500,$K378))</f>
        <v/>
      </c>
      <c r="E378" s="8">
        <f>IF($K378="","",INDEX(מלאי!$Z$2:$Z$500,$K378))</f>
        <v/>
      </c>
      <c r="F378" s="13">
        <f>IF($K378="","",INDEX(מלאי!$AB$2:$AB$500,$K378))</f>
        <v/>
      </c>
      <c r="G378" s="8">
        <f>IF($K378="","",IF(AND(INDEX(מלאי!$AB$2:$AB$500,$K378)&lt;&gt;"",INDEX(מלאי!$AB$2:$AB$500,$K378)&lt;TODAY()),"באיחור!","תקין"))</f>
        <v/>
      </c>
      <c r="H378" s="8" t="n"/>
      <c r="I378" s="8" t="n"/>
      <c r="J378" s="8" t="n"/>
      <c r="K378" s="8">
        <f>IFERROR(SMALL(IF((מלאי!$D$2:$D$500&lt;&gt;"")*(מלאי!$X$2:$X$500="מושאל"),ROW(מלאי!$A$2:$A$500)-ROW(מלאי!$A$2)+1,""),53),"")</f>
        <v/>
      </c>
      <c r="L378" s="8" t="n"/>
      <c r="M378" s="8" t="n"/>
      <c r="N378" s="8" t="n"/>
      <c r="O378" s="8" t="n"/>
      <c r="P378" s="8" t="n"/>
      <c r="Q378" s="8" t="n"/>
    </row>
    <row r="379">
      <c r="A379" s="9">
        <f>IF($K379="","",INDEX(מלאי!$D$2:$D$500,$K379))</f>
        <v/>
      </c>
      <c r="B379" s="9">
        <f>IF($K379="","",INDEX(מלאי!$B$2:$B$500,$K379))</f>
        <v/>
      </c>
      <c r="C379" s="9">
        <f>IF($K379="","",INDEX(מלאי!$C$2:$C$500,$K379))</f>
        <v/>
      </c>
      <c r="D379" s="9">
        <f>IF($K379="","",INDEX(מלאי!$Y$2:$Y$500,$K379))</f>
        <v/>
      </c>
      <c r="E379" s="9">
        <f>IF($K379="","",INDEX(מלאי!$Z$2:$Z$500,$K379))</f>
        <v/>
      </c>
      <c r="F379" s="14">
        <f>IF($K379="","",INDEX(מלאי!$AB$2:$AB$500,$K379))</f>
        <v/>
      </c>
      <c r="G379" s="9">
        <f>IF($K379="","",IF(AND(INDEX(מלאי!$AB$2:$AB$500,$K379)&lt;&gt;"",INDEX(מלאי!$AB$2:$AB$500,$K379)&lt;TODAY()),"באיחור!","תקין"))</f>
        <v/>
      </c>
      <c r="H379" s="9" t="n"/>
      <c r="I379" s="9" t="n"/>
      <c r="J379" s="9" t="n"/>
      <c r="K379" s="9">
        <f>IFERROR(SMALL(IF((מלאי!$D$2:$D$500&lt;&gt;"")*(מלאי!$X$2:$X$500="מושאל"),ROW(מלאי!$A$2:$A$500)-ROW(מלאי!$A$2)+1,""),54),"")</f>
        <v/>
      </c>
      <c r="L379" s="9" t="n"/>
      <c r="M379" s="9" t="n"/>
      <c r="N379" s="9" t="n"/>
      <c r="O379" s="9" t="n"/>
      <c r="P379" s="9" t="n"/>
      <c r="Q379" s="9" t="n"/>
    </row>
    <row r="380">
      <c r="A380" s="8">
        <f>IF($K380="","",INDEX(מלאי!$D$2:$D$500,$K380))</f>
        <v/>
      </c>
      <c r="B380" s="8">
        <f>IF($K380="","",INDEX(מלאי!$B$2:$B$500,$K380))</f>
        <v/>
      </c>
      <c r="C380" s="8">
        <f>IF($K380="","",INDEX(מלאי!$C$2:$C$500,$K380))</f>
        <v/>
      </c>
      <c r="D380" s="8">
        <f>IF($K380="","",INDEX(מלאי!$Y$2:$Y$500,$K380))</f>
        <v/>
      </c>
      <c r="E380" s="8">
        <f>IF($K380="","",INDEX(מלאי!$Z$2:$Z$500,$K380))</f>
        <v/>
      </c>
      <c r="F380" s="13">
        <f>IF($K380="","",INDEX(מלאי!$AB$2:$AB$500,$K380))</f>
        <v/>
      </c>
      <c r="G380" s="8">
        <f>IF($K380="","",IF(AND(INDEX(מלאי!$AB$2:$AB$500,$K380)&lt;&gt;"",INDEX(מלאי!$AB$2:$AB$500,$K380)&lt;TODAY()),"באיחור!","תקין"))</f>
        <v/>
      </c>
      <c r="H380" s="8" t="n"/>
      <c r="I380" s="8" t="n"/>
      <c r="J380" s="8" t="n"/>
      <c r="K380" s="8">
        <f>IFERROR(SMALL(IF((מלאי!$D$2:$D$500&lt;&gt;"")*(מלאי!$X$2:$X$500="מושאל"),ROW(מלאי!$A$2:$A$500)-ROW(מלאי!$A$2)+1,""),55),"")</f>
        <v/>
      </c>
      <c r="L380" s="8" t="n"/>
      <c r="M380" s="8" t="n"/>
      <c r="N380" s="8" t="n"/>
      <c r="O380" s="8" t="n"/>
      <c r="P380" s="8" t="n"/>
      <c r="Q380" s="8" t="n"/>
    </row>
    <row r="381">
      <c r="A381" s="9">
        <f>IF($K381="","",INDEX(מלאי!$D$2:$D$500,$K381))</f>
        <v/>
      </c>
      <c r="B381" s="9">
        <f>IF($K381="","",INDEX(מלאי!$B$2:$B$500,$K381))</f>
        <v/>
      </c>
      <c r="C381" s="9">
        <f>IF($K381="","",INDEX(מלאי!$C$2:$C$500,$K381))</f>
        <v/>
      </c>
      <c r="D381" s="9">
        <f>IF($K381="","",INDEX(מלאי!$Y$2:$Y$500,$K381))</f>
        <v/>
      </c>
      <c r="E381" s="9">
        <f>IF($K381="","",INDEX(מלאי!$Z$2:$Z$500,$K381))</f>
        <v/>
      </c>
      <c r="F381" s="14">
        <f>IF($K381="","",INDEX(מלאי!$AB$2:$AB$500,$K381))</f>
        <v/>
      </c>
      <c r="G381" s="9">
        <f>IF($K381="","",IF(AND(INDEX(מלאי!$AB$2:$AB$500,$K381)&lt;&gt;"",INDEX(מלאי!$AB$2:$AB$500,$K381)&lt;TODAY()),"באיחור!","תקין"))</f>
        <v/>
      </c>
      <c r="H381" s="9" t="n"/>
      <c r="I381" s="9" t="n"/>
      <c r="J381" s="9" t="n"/>
      <c r="K381" s="9">
        <f>IFERROR(SMALL(IF((מלאי!$D$2:$D$500&lt;&gt;"")*(מלאי!$X$2:$X$500="מושאל"),ROW(מלאי!$A$2:$A$500)-ROW(מלאי!$A$2)+1,""),56),"")</f>
        <v/>
      </c>
      <c r="L381" s="9" t="n"/>
      <c r="M381" s="9" t="n"/>
      <c r="N381" s="9" t="n"/>
      <c r="O381" s="9" t="n"/>
      <c r="P381" s="9" t="n"/>
      <c r="Q381" s="9" t="n"/>
    </row>
    <row r="382">
      <c r="A382" s="8">
        <f>IF($K382="","",INDEX(מלאי!$D$2:$D$500,$K382))</f>
        <v/>
      </c>
      <c r="B382" s="8">
        <f>IF($K382="","",INDEX(מלאי!$B$2:$B$500,$K382))</f>
        <v/>
      </c>
      <c r="C382" s="8">
        <f>IF($K382="","",INDEX(מלאי!$C$2:$C$500,$K382))</f>
        <v/>
      </c>
      <c r="D382" s="8">
        <f>IF($K382="","",INDEX(מלאי!$Y$2:$Y$500,$K382))</f>
        <v/>
      </c>
      <c r="E382" s="8">
        <f>IF($K382="","",INDEX(מלאי!$Z$2:$Z$500,$K382))</f>
        <v/>
      </c>
      <c r="F382" s="13">
        <f>IF($K382="","",INDEX(מלאי!$AB$2:$AB$500,$K382))</f>
        <v/>
      </c>
      <c r="G382" s="8">
        <f>IF($K382="","",IF(AND(INDEX(מלאי!$AB$2:$AB$500,$K382)&lt;&gt;"",INDEX(מלאי!$AB$2:$AB$500,$K382)&lt;TODAY()),"באיחור!","תקין"))</f>
        <v/>
      </c>
      <c r="H382" s="8" t="n"/>
      <c r="I382" s="8" t="n"/>
      <c r="J382" s="8" t="n"/>
      <c r="K382" s="8">
        <f>IFERROR(SMALL(IF((מלאי!$D$2:$D$500&lt;&gt;"")*(מלאי!$X$2:$X$500="מושאל"),ROW(מלאי!$A$2:$A$500)-ROW(מלאי!$A$2)+1,""),57),"")</f>
        <v/>
      </c>
      <c r="L382" s="8" t="n"/>
      <c r="M382" s="8" t="n"/>
      <c r="N382" s="8" t="n"/>
      <c r="O382" s="8" t="n"/>
      <c r="P382" s="8" t="n"/>
      <c r="Q382" s="8" t="n"/>
    </row>
    <row r="383">
      <c r="A383" s="9">
        <f>IF($K383="","",INDEX(מלאי!$D$2:$D$500,$K383))</f>
        <v/>
      </c>
      <c r="B383" s="9">
        <f>IF($K383="","",INDEX(מלאי!$B$2:$B$500,$K383))</f>
        <v/>
      </c>
      <c r="C383" s="9">
        <f>IF($K383="","",INDEX(מלאי!$C$2:$C$500,$K383))</f>
        <v/>
      </c>
      <c r="D383" s="9">
        <f>IF($K383="","",INDEX(מלאי!$Y$2:$Y$500,$K383))</f>
        <v/>
      </c>
      <c r="E383" s="9">
        <f>IF($K383="","",INDEX(מלאי!$Z$2:$Z$500,$K383))</f>
        <v/>
      </c>
      <c r="F383" s="14">
        <f>IF($K383="","",INDEX(מלאי!$AB$2:$AB$500,$K383))</f>
        <v/>
      </c>
      <c r="G383" s="9">
        <f>IF($K383="","",IF(AND(INDEX(מלאי!$AB$2:$AB$500,$K383)&lt;&gt;"",INDEX(מלאי!$AB$2:$AB$500,$K383)&lt;TODAY()),"באיחור!","תקין"))</f>
        <v/>
      </c>
      <c r="H383" s="9" t="n"/>
      <c r="I383" s="9" t="n"/>
      <c r="J383" s="9" t="n"/>
      <c r="K383" s="9">
        <f>IFERROR(SMALL(IF((מלאי!$D$2:$D$500&lt;&gt;"")*(מלאי!$X$2:$X$500="מושאל"),ROW(מלאי!$A$2:$A$500)-ROW(מלאי!$A$2)+1,""),58),"")</f>
        <v/>
      </c>
      <c r="L383" s="9" t="n"/>
      <c r="M383" s="9" t="n"/>
      <c r="N383" s="9" t="n"/>
      <c r="O383" s="9" t="n"/>
      <c r="P383" s="9" t="n"/>
      <c r="Q383" s="9" t="n"/>
    </row>
    <row r="384">
      <c r="A384" s="8">
        <f>IF($K384="","",INDEX(מלאי!$D$2:$D$500,$K384))</f>
        <v/>
      </c>
      <c r="B384" s="8">
        <f>IF($K384="","",INDEX(מלאי!$B$2:$B$500,$K384))</f>
        <v/>
      </c>
      <c r="C384" s="8">
        <f>IF($K384="","",INDEX(מלאי!$C$2:$C$500,$K384))</f>
        <v/>
      </c>
      <c r="D384" s="8">
        <f>IF($K384="","",INDEX(מלאי!$Y$2:$Y$500,$K384))</f>
        <v/>
      </c>
      <c r="E384" s="8">
        <f>IF($K384="","",INDEX(מלאי!$Z$2:$Z$500,$K384))</f>
        <v/>
      </c>
      <c r="F384" s="13">
        <f>IF($K384="","",INDEX(מלאי!$AB$2:$AB$500,$K384))</f>
        <v/>
      </c>
      <c r="G384" s="8">
        <f>IF($K384="","",IF(AND(INDEX(מלאי!$AB$2:$AB$500,$K384)&lt;&gt;"",INDEX(מלאי!$AB$2:$AB$500,$K384)&lt;TODAY()),"באיחור!","תקין"))</f>
        <v/>
      </c>
      <c r="H384" s="8" t="n"/>
      <c r="I384" s="8" t="n"/>
      <c r="J384" s="8" t="n"/>
      <c r="K384" s="8">
        <f>IFERROR(SMALL(IF((מלאי!$D$2:$D$500&lt;&gt;"")*(מלאי!$X$2:$X$500="מושאל"),ROW(מלאי!$A$2:$A$500)-ROW(מלאי!$A$2)+1,""),59),"")</f>
        <v/>
      </c>
      <c r="L384" s="8" t="n"/>
      <c r="M384" s="8" t="n"/>
      <c r="N384" s="8" t="n"/>
      <c r="O384" s="8" t="n"/>
      <c r="P384" s="8" t="n"/>
      <c r="Q384" s="8" t="n"/>
    </row>
    <row r="385">
      <c r="A385" s="9">
        <f>IF($K385="","",INDEX(מלאי!$D$2:$D$500,$K385))</f>
        <v/>
      </c>
      <c r="B385" s="9">
        <f>IF($K385="","",INDEX(מלאי!$B$2:$B$500,$K385))</f>
        <v/>
      </c>
      <c r="C385" s="9">
        <f>IF($K385="","",INDEX(מלאי!$C$2:$C$500,$K385))</f>
        <v/>
      </c>
      <c r="D385" s="9">
        <f>IF($K385="","",INDEX(מלאי!$Y$2:$Y$500,$K385))</f>
        <v/>
      </c>
      <c r="E385" s="9">
        <f>IF($K385="","",INDEX(מלאי!$Z$2:$Z$500,$K385))</f>
        <v/>
      </c>
      <c r="F385" s="14">
        <f>IF($K385="","",INDEX(מלאי!$AB$2:$AB$500,$K385))</f>
        <v/>
      </c>
      <c r="G385" s="9">
        <f>IF($K385="","",IF(AND(INDEX(מלאי!$AB$2:$AB$500,$K385)&lt;&gt;"",INDEX(מלאי!$AB$2:$AB$500,$K385)&lt;TODAY()),"באיחור!","תקין"))</f>
        <v/>
      </c>
      <c r="H385" s="9" t="n"/>
      <c r="I385" s="9" t="n"/>
      <c r="J385" s="9" t="n"/>
      <c r="K385" s="9">
        <f>IFERROR(SMALL(IF((מלאי!$D$2:$D$500&lt;&gt;"")*(מלאי!$X$2:$X$500="מושאל"),ROW(מלאי!$A$2:$A$500)-ROW(מלאי!$A$2)+1,""),60),"")</f>
        <v/>
      </c>
      <c r="L385" s="9" t="n"/>
      <c r="M385" s="9" t="n"/>
      <c r="N385" s="9" t="n"/>
      <c r="O385" s="9" t="n"/>
      <c r="P385" s="9" t="n"/>
      <c r="Q385" s="9" t="n"/>
    </row>
    <row r="386">
      <c r="A386" s="8">
        <f>IF($K386="","",INDEX(מלאי!$D$2:$D$500,$K386))</f>
        <v/>
      </c>
      <c r="B386" s="8">
        <f>IF($K386="","",INDEX(מלאי!$B$2:$B$500,$K386))</f>
        <v/>
      </c>
      <c r="C386" s="8">
        <f>IF($K386="","",INDEX(מלאי!$C$2:$C$500,$K386))</f>
        <v/>
      </c>
      <c r="D386" s="8">
        <f>IF($K386="","",INDEX(מלאי!$Y$2:$Y$500,$K386))</f>
        <v/>
      </c>
      <c r="E386" s="8">
        <f>IF($K386="","",INDEX(מלאי!$Z$2:$Z$500,$K386))</f>
        <v/>
      </c>
      <c r="F386" s="13">
        <f>IF($K386="","",INDEX(מלאי!$AB$2:$AB$500,$K386))</f>
        <v/>
      </c>
      <c r="G386" s="8">
        <f>IF($K386="","",IF(AND(INDEX(מלאי!$AB$2:$AB$500,$K386)&lt;&gt;"",INDEX(מלאי!$AB$2:$AB$500,$K386)&lt;TODAY()),"באיחור!","תקין"))</f>
        <v/>
      </c>
      <c r="H386" s="8" t="n"/>
      <c r="I386" s="8" t="n"/>
      <c r="J386" s="8" t="n"/>
      <c r="K386" s="8">
        <f>IFERROR(SMALL(IF((מלאי!$D$2:$D$500&lt;&gt;"")*(מלאי!$X$2:$X$500="מושאל"),ROW(מלאי!$A$2:$A$500)-ROW(מלאי!$A$2)+1,""),61),"")</f>
        <v/>
      </c>
      <c r="L386" s="8" t="n"/>
      <c r="M386" s="8" t="n"/>
      <c r="N386" s="8" t="n"/>
      <c r="O386" s="8" t="n"/>
      <c r="P386" s="8" t="n"/>
      <c r="Q386" s="8" t="n"/>
    </row>
    <row r="387">
      <c r="A387" s="9">
        <f>IF($K387="","",INDEX(מלאי!$D$2:$D$500,$K387))</f>
        <v/>
      </c>
      <c r="B387" s="9">
        <f>IF($K387="","",INDEX(מלאי!$B$2:$B$500,$K387))</f>
        <v/>
      </c>
      <c r="C387" s="9">
        <f>IF($K387="","",INDEX(מלאי!$C$2:$C$500,$K387))</f>
        <v/>
      </c>
      <c r="D387" s="9">
        <f>IF($K387="","",INDEX(מלאי!$Y$2:$Y$500,$K387))</f>
        <v/>
      </c>
      <c r="E387" s="9">
        <f>IF($K387="","",INDEX(מלאי!$Z$2:$Z$500,$K387))</f>
        <v/>
      </c>
      <c r="F387" s="14">
        <f>IF($K387="","",INDEX(מלאי!$AB$2:$AB$500,$K387))</f>
        <v/>
      </c>
      <c r="G387" s="9">
        <f>IF($K387="","",IF(AND(INDEX(מלאי!$AB$2:$AB$500,$K387)&lt;&gt;"",INDEX(מלאי!$AB$2:$AB$500,$K387)&lt;TODAY()),"באיחור!","תקין"))</f>
        <v/>
      </c>
      <c r="H387" s="9" t="n"/>
      <c r="I387" s="9" t="n"/>
      <c r="J387" s="9" t="n"/>
      <c r="K387" s="9">
        <f>IFERROR(SMALL(IF((מלאי!$D$2:$D$500&lt;&gt;"")*(מלאי!$X$2:$X$500="מושאל"),ROW(מלאי!$A$2:$A$500)-ROW(מלאי!$A$2)+1,""),62),"")</f>
        <v/>
      </c>
      <c r="L387" s="9" t="n"/>
      <c r="M387" s="9" t="n"/>
      <c r="N387" s="9" t="n"/>
      <c r="O387" s="9" t="n"/>
      <c r="P387" s="9" t="n"/>
      <c r="Q387" s="9" t="n"/>
    </row>
    <row r="388">
      <c r="A388" s="8">
        <f>IF($K388="","",INDEX(מלאי!$D$2:$D$500,$K388))</f>
        <v/>
      </c>
      <c r="B388" s="8">
        <f>IF($K388="","",INDEX(מלאי!$B$2:$B$500,$K388))</f>
        <v/>
      </c>
      <c r="C388" s="8">
        <f>IF($K388="","",INDEX(מלאי!$C$2:$C$500,$K388))</f>
        <v/>
      </c>
      <c r="D388" s="8">
        <f>IF($K388="","",INDEX(מלאי!$Y$2:$Y$500,$K388))</f>
        <v/>
      </c>
      <c r="E388" s="8">
        <f>IF($K388="","",INDEX(מלאי!$Z$2:$Z$500,$K388))</f>
        <v/>
      </c>
      <c r="F388" s="13">
        <f>IF($K388="","",INDEX(מלאי!$AB$2:$AB$500,$K388))</f>
        <v/>
      </c>
      <c r="G388" s="8">
        <f>IF($K388="","",IF(AND(INDEX(מלאי!$AB$2:$AB$500,$K388)&lt;&gt;"",INDEX(מלאי!$AB$2:$AB$500,$K388)&lt;TODAY()),"באיחור!","תקין"))</f>
        <v/>
      </c>
      <c r="H388" s="8" t="n"/>
      <c r="I388" s="8" t="n"/>
      <c r="J388" s="8" t="n"/>
      <c r="K388" s="8">
        <f>IFERROR(SMALL(IF((מלאי!$D$2:$D$500&lt;&gt;"")*(מלאי!$X$2:$X$500="מושאל"),ROW(מלאי!$A$2:$A$500)-ROW(מלאי!$A$2)+1,""),63),"")</f>
        <v/>
      </c>
      <c r="L388" s="8" t="n"/>
      <c r="M388" s="8" t="n"/>
      <c r="N388" s="8" t="n"/>
      <c r="O388" s="8" t="n"/>
      <c r="P388" s="8" t="n"/>
      <c r="Q388" s="8" t="n"/>
    </row>
    <row r="389">
      <c r="A389" s="9">
        <f>IF($K389="","",INDEX(מלאי!$D$2:$D$500,$K389))</f>
        <v/>
      </c>
      <c r="B389" s="9">
        <f>IF($K389="","",INDEX(מלאי!$B$2:$B$500,$K389))</f>
        <v/>
      </c>
      <c r="C389" s="9">
        <f>IF($K389="","",INDEX(מלאי!$C$2:$C$500,$K389))</f>
        <v/>
      </c>
      <c r="D389" s="9">
        <f>IF($K389="","",INDEX(מלאי!$Y$2:$Y$500,$K389))</f>
        <v/>
      </c>
      <c r="E389" s="9">
        <f>IF($K389="","",INDEX(מלאי!$Z$2:$Z$500,$K389))</f>
        <v/>
      </c>
      <c r="F389" s="14">
        <f>IF($K389="","",INDEX(מלאי!$AB$2:$AB$500,$K389))</f>
        <v/>
      </c>
      <c r="G389" s="9">
        <f>IF($K389="","",IF(AND(INDEX(מלאי!$AB$2:$AB$500,$K389)&lt;&gt;"",INDEX(מלאי!$AB$2:$AB$500,$K389)&lt;TODAY()),"באיחור!","תקין"))</f>
        <v/>
      </c>
      <c r="H389" s="9" t="n"/>
      <c r="I389" s="9" t="n"/>
      <c r="J389" s="9" t="n"/>
      <c r="K389" s="9">
        <f>IFERROR(SMALL(IF((מלאי!$D$2:$D$500&lt;&gt;"")*(מלאי!$X$2:$X$500="מושאל"),ROW(מלאי!$A$2:$A$500)-ROW(מלאי!$A$2)+1,""),64),"")</f>
        <v/>
      </c>
      <c r="L389" s="9" t="n"/>
      <c r="M389" s="9" t="n"/>
      <c r="N389" s="9" t="n"/>
      <c r="O389" s="9" t="n"/>
      <c r="P389" s="9" t="n"/>
      <c r="Q389" s="9" t="n"/>
    </row>
    <row r="390">
      <c r="A390" s="8">
        <f>IF($K390="","",INDEX(מלאי!$D$2:$D$500,$K390))</f>
        <v/>
      </c>
      <c r="B390" s="8">
        <f>IF($K390="","",INDEX(מלאי!$B$2:$B$500,$K390))</f>
        <v/>
      </c>
      <c r="C390" s="8">
        <f>IF($K390="","",INDEX(מלאי!$C$2:$C$500,$K390))</f>
        <v/>
      </c>
      <c r="D390" s="8">
        <f>IF($K390="","",INDEX(מלאי!$Y$2:$Y$500,$K390))</f>
        <v/>
      </c>
      <c r="E390" s="8">
        <f>IF($K390="","",INDEX(מלאי!$Z$2:$Z$500,$K390))</f>
        <v/>
      </c>
      <c r="F390" s="13">
        <f>IF($K390="","",INDEX(מלאי!$AB$2:$AB$500,$K390))</f>
        <v/>
      </c>
      <c r="G390" s="8">
        <f>IF($K390="","",IF(AND(INDEX(מלאי!$AB$2:$AB$500,$K390)&lt;&gt;"",INDEX(מלאי!$AB$2:$AB$500,$K390)&lt;TODAY()),"באיחור!","תקין"))</f>
        <v/>
      </c>
      <c r="H390" s="8" t="n"/>
      <c r="I390" s="8" t="n"/>
      <c r="J390" s="8" t="n"/>
      <c r="K390" s="8">
        <f>IFERROR(SMALL(IF((מלאי!$D$2:$D$500&lt;&gt;"")*(מלאי!$X$2:$X$500="מושאל"),ROW(מלאי!$A$2:$A$500)-ROW(מלאי!$A$2)+1,""),65),"")</f>
        <v/>
      </c>
      <c r="L390" s="8" t="n"/>
      <c r="M390" s="8" t="n"/>
      <c r="N390" s="8" t="n"/>
      <c r="O390" s="8" t="n"/>
      <c r="P390" s="8" t="n"/>
      <c r="Q390" s="8" t="n"/>
    </row>
    <row r="391">
      <c r="A391" s="9">
        <f>IF($K391="","",INDEX(מלאי!$D$2:$D$500,$K391))</f>
        <v/>
      </c>
      <c r="B391" s="9">
        <f>IF($K391="","",INDEX(מלאי!$B$2:$B$500,$K391))</f>
        <v/>
      </c>
      <c r="C391" s="9">
        <f>IF($K391="","",INDEX(מלאי!$C$2:$C$500,$K391))</f>
        <v/>
      </c>
      <c r="D391" s="9">
        <f>IF($K391="","",INDEX(מלאי!$Y$2:$Y$500,$K391))</f>
        <v/>
      </c>
      <c r="E391" s="9">
        <f>IF($K391="","",INDEX(מלאי!$Z$2:$Z$500,$K391))</f>
        <v/>
      </c>
      <c r="F391" s="14">
        <f>IF($K391="","",INDEX(מלאי!$AB$2:$AB$500,$K391))</f>
        <v/>
      </c>
      <c r="G391" s="9">
        <f>IF($K391="","",IF(AND(INDEX(מלאי!$AB$2:$AB$500,$K391)&lt;&gt;"",INDEX(מלאי!$AB$2:$AB$500,$K391)&lt;TODAY()),"באיחור!","תקין"))</f>
        <v/>
      </c>
      <c r="H391" s="9" t="n"/>
      <c r="I391" s="9" t="n"/>
      <c r="J391" s="9" t="n"/>
      <c r="K391" s="9">
        <f>IFERROR(SMALL(IF((מלאי!$D$2:$D$500&lt;&gt;"")*(מלאי!$X$2:$X$500="מושאל"),ROW(מלאי!$A$2:$A$500)-ROW(מלאי!$A$2)+1,""),66),"")</f>
        <v/>
      </c>
      <c r="L391" s="9" t="n"/>
      <c r="M391" s="9" t="n"/>
      <c r="N391" s="9" t="n"/>
      <c r="O391" s="9" t="n"/>
      <c r="P391" s="9" t="n"/>
      <c r="Q391" s="9" t="n"/>
    </row>
    <row r="392">
      <c r="A392" s="8">
        <f>IF($K392="","",INDEX(מלאי!$D$2:$D$500,$K392))</f>
        <v/>
      </c>
      <c r="B392" s="8">
        <f>IF($K392="","",INDEX(מלאי!$B$2:$B$500,$K392))</f>
        <v/>
      </c>
      <c r="C392" s="8">
        <f>IF($K392="","",INDEX(מלאי!$C$2:$C$500,$K392))</f>
        <v/>
      </c>
      <c r="D392" s="8">
        <f>IF($K392="","",INDEX(מלאי!$Y$2:$Y$500,$K392))</f>
        <v/>
      </c>
      <c r="E392" s="8">
        <f>IF($K392="","",INDEX(מלאי!$Z$2:$Z$500,$K392))</f>
        <v/>
      </c>
      <c r="F392" s="13">
        <f>IF($K392="","",INDEX(מלאי!$AB$2:$AB$500,$K392))</f>
        <v/>
      </c>
      <c r="G392" s="8">
        <f>IF($K392="","",IF(AND(INDEX(מלאי!$AB$2:$AB$500,$K392)&lt;&gt;"",INDEX(מלאי!$AB$2:$AB$500,$K392)&lt;TODAY()),"באיחור!","תקין"))</f>
        <v/>
      </c>
      <c r="H392" s="8" t="n"/>
      <c r="I392" s="8" t="n"/>
      <c r="J392" s="8" t="n"/>
      <c r="K392" s="8">
        <f>IFERROR(SMALL(IF((מלאי!$D$2:$D$500&lt;&gt;"")*(מלאי!$X$2:$X$500="מושאל"),ROW(מלאי!$A$2:$A$500)-ROW(מלאי!$A$2)+1,""),67),"")</f>
        <v/>
      </c>
      <c r="L392" s="8" t="n"/>
      <c r="M392" s="8" t="n"/>
      <c r="N392" s="8" t="n"/>
      <c r="O392" s="8" t="n"/>
      <c r="P392" s="8" t="n"/>
      <c r="Q392" s="8" t="n"/>
    </row>
    <row r="393">
      <c r="A393" s="9">
        <f>IF($K393="","",INDEX(מלאי!$D$2:$D$500,$K393))</f>
        <v/>
      </c>
      <c r="B393" s="9">
        <f>IF($K393="","",INDEX(מלאי!$B$2:$B$500,$K393))</f>
        <v/>
      </c>
      <c r="C393" s="9">
        <f>IF($K393="","",INDEX(מלאי!$C$2:$C$500,$K393))</f>
        <v/>
      </c>
      <c r="D393" s="9">
        <f>IF($K393="","",INDEX(מלאי!$Y$2:$Y$500,$K393))</f>
        <v/>
      </c>
      <c r="E393" s="9">
        <f>IF($K393="","",INDEX(מלאי!$Z$2:$Z$500,$K393))</f>
        <v/>
      </c>
      <c r="F393" s="14">
        <f>IF($K393="","",INDEX(מלאי!$AB$2:$AB$500,$K393))</f>
        <v/>
      </c>
      <c r="G393" s="9">
        <f>IF($K393="","",IF(AND(INDEX(מלאי!$AB$2:$AB$500,$K393)&lt;&gt;"",INDEX(מלאי!$AB$2:$AB$500,$K393)&lt;TODAY()),"באיחור!","תקין"))</f>
        <v/>
      </c>
      <c r="H393" s="9" t="n"/>
      <c r="I393" s="9" t="n"/>
      <c r="J393" s="9" t="n"/>
      <c r="K393" s="9">
        <f>IFERROR(SMALL(IF((מלאי!$D$2:$D$500&lt;&gt;"")*(מלאי!$X$2:$X$500="מושאל"),ROW(מלאי!$A$2:$A$500)-ROW(מלאי!$A$2)+1,""),68),"")</f>
        <v/>
      </c>
      <c r="L393" s="9" t="n"/>
      <c r="M393" s="9" t="n"/>
      <c r="N393" s="9" t="n"/>
      <c r="O393" s="9" t="n"/>
      <c r="P393" s="9" t="n"/>
      <c r="Q393" s="9" t="n"/>
    </row>
    <row r="394">
      <c r="A394" s="8">
        <f>IF($K394="","",INDEX(מלאי!$D$2:$D$500,$K394))</f>
        <v/>
      </c>
      <c r="B394" s="8">
        <f>IF($K394="","",INDEX(מלאי!$B$2:$B$500,$K394))</f>
        <v/>
      </c>
      <c r="C394" s="8">
        <f>IF($K394="","",INDEX(מלאי!$C$2:$C$500,$K394))</f>
        <v/>
      </c>
      <c r="D394" s="8">
        <f>IF($K394="","",INDEX(מלאי!$Y$2:$Y$500,$K394))</f>
        <v/>
      </c>
      <c r="E394" s="8">
        <f>IF($K394="","",INDEX(מלאי!$Z$2:$Z$500,$K394))</f>
        <v/>
      </c>
      <c r="F394" s="13">
        <f>IF($K394="","",INDEX(מלאי!$AB$2:$AB$500,$K394))</f>
        <v/>
      </c>
      <c r="G394" s="8">
        <f>IF($K394="","",IF(AND(INDEX(מלאי!$AB$2:$AB$500,$K394)&lt;&gt;"",INDEX(מלאי!$AB$2:$AB$500,$K394)&lt;TODAY()),"באיחור!","תקין"))</f>
        <v/>
      </c>
      <c r="H394" s="8" t="n"/>
      <c r="I394" s="8" t="n"/>
      <c r="J394" s="8" t="n"/>
      <c r="K394" s="8">
        <f>IFERROR(SMALL(IF((מלאי!$D$2:$D$500&lt;&gt;"")*(מלאי!$X$2:$X$500="מושאל"),ROW(מלאי!$A$2:$A$500)-ROW(מלאי!$A$2)+1,""),69),"")</f>
        <v/>
      </c>
      <c r="L394" s="8" t="n"/>
      <c r="M394" s="8" t="n"/>
      <c r="N394" s="8" t="n"/>
      <c r="O394" s="8" t="n"/>
      <c r="P394" s="8" t="n"/>
      <c r="Q394" s="8" t="n"/>
    </row>
    <row r="395">
      <c r="A395" s="9">
        <f>IF($K395="","",INDEX(מלאי!$D$2:$D$500,$K395))</f>
        <v/>
      </c>
      <c r="B395" s="9">
        <f>IF($K395="","",INDEX(מלאי!$B$2:$B$500,$K395))</f>
        <v/>
      </c>
      <c r="C395" s="9">
        <f>IF($K395="","",INDEX(מלאי!$C$2:$C$500,$K395))</f>
        <v/>
      </c>
      <c r="D395" s="9">
        <f>IF($K395="","",INDEX(מלאי!$Y$2:$Y$500,$K395))</f>
        <v/>
      </c>
      <c r="E395" s="9">
        <f>IF($K395="","",INDEX(מלאי!$Z$2:$Z$500,$K395))</f>
        <v/>
      </c>
      <c r="F395" s="14">
        <f>IF($K395="","",INDEX(מלאי!$AB$2:$AB$500,$K395))</f>
        <v/>
      </c>
      <c r="G395" s="9">
        <f>IF($K395="","",IF(AND(INDEX(מלאי!$AB$2:$AB$500,$K395)&lt;&gt;"",INDEX(מלאי!$AB$2:$AB$500,$K395)&lt;TODAY()),"באיחור!","תקין"))</f>
        <v/>
      </c>
      <c r="H395" s="9" t="n"/>
      <c r="I395" s="9" t="n"/>
      <c r="J395" s="9" t="n"/>
      <c r="K395" s="9">
        <f>IFERROR(SMALL(IF((מלאי!$D$2:$D$500&lt;&gt;"")*(מלאי!$X$2:$X$500="מושאל"),ROW(מלאי!$A$2:$A$500)-ROW(מלאי!$A$2)+1,""),70),"")</f>
        <v/>
      </c>
      <c r="L395" s="9" t="n"/>
      <c r="M395" s="9" t="n"/>
      <c r="N395" s="9" t="n"/>
      <c r="O395" s="9" t="n"/>
      <c r="P395" s="9" t="n"/>
      <c r="Q395" s="9" t="n"/>
    </row>
    <row r="396">
      <c r="A396" s="8">
        <f>IF($K396="","",INDEX(מלאי!$D$2:$D$500,$K396))</f>
        <v/>
      </c>
      <c r="B396" s="8">
        <f>IF($K396="","",INDEX(מלאי!$B$2:$B$500,$K396))</f>
        <v/>
      </c>
      <c r="C396" s="8">
        <f>IF($K396="","",INDEX(מלאי!$C$2:$C$500,$K396))</f>
        <v/>
      </c>
      <c r="D396" s="8">
        <f>IF($K396="","",INDEX(מלאי!$Y$2:$Y$500,$K396))</f>
        <v/>
      </c>
      <c r="E396" s="8">
        <f>IF($K396="","",INDEX(מלאי!$Z$2:$Z$500,$K396))</f>
        <v/>
      </c>
      <c r="F396" s="13">
        <f>IF($K396="","",INDEX(מלאי!$AB$2:$AB$500,$K396))</f>
        <v/>
      </c>
      <c r="G396" s="8">
        <f>IF($K396="","",IF(AND(INDEX(מלאי!$AB$2:$AB$500,$K396)&lt;&gt;"",INDEX(מלאי!$AB$2:$AB$500,$K396)&lt;TODAY()),"באיחור!","תקין"))</f>
        <v/>
      </c>
      <c r="H396" s="8" t="n"/>
      <c r="I396" s="8" t="n"/>
      <c r="J396" s="8" t="n"/>
      <c r="K396" s="8">
        <f>IFERROR(SMALL(IF((מלאי!$D$2:$D$500&lt;&gt;"")*(מלאי!$X$2:$X$500="מושאל"),ROW(מלאי!$A$2:$A$500)-ROW(מלאי!$A$2)+1,""),71),"")</f>
        <v/>
      </c>
      <c r="L396" s="8" t="n"/>
      <c r="M396" s="8" t="n"/>
      <c r="N396" s="8" t="n"/>
      <c r="O396" s="8" t="n"/>
      <c r="P396" s="8" t="n"/>
      <c r="Q396" s="8" t="n"/>
    </row>
    <row r="397">
      <c r="A397" s="9">
        <f>IF($K397="","",INDEX(מלאי!$D$2:$D$500,$K397))</f>
        <v/>
      </c>
      <c r="B397" s="9">
        <f>IF($K397="","",INDEX(מלאי!$B$2:$B$500,$K397))</f>
        <v/>
      </c>
      <c r="C397" s="9">
        <f>IF($K397="","",INDEX(מלאי!$C$2:$C$500,$K397))</f>
        <v/>
      </c>
      <c r="D397" s="9">
        <f>IF($K397="","",INDEX(מלאי!$Y$2:$Y$500,$K397))</f>
        <v/>
      </c>
      <c r="E397" s="9">
        <f>IF($K397="","",INDEX(מלאי!$Z$2:$Z$500,$K397))</f>
        <v/>
      </c>
      <c r="F397" s="14">
        <f>IF($K397="","",INDEX(מלאי!$AB$2:$AB$500,$K397))</f>
        <v/>
      </c>
      <c r="G397" s="9">
        <f>IF($K397="","",IF(AND(INDEX(מלאי!$AB$2:$AB$500,$K397)&lt;&gt;"",INDEX(מלאי!$AB$2:$AB$500,$K397)&lt;TODAY()),"באיחור!","תקין"))</f>
        <v/>
      </c>
      <c r="H397" s="9" t="n"/>
      <c r="I397" s="9" t="n"/>
      <c r="J397" s="9" t="n"/>
      <c r="K397" s="9">
        <f>IFERROR(SMALL(IF((מלאי!$D$2:$D$500&lt;&gt;"")*(מלאי!$X$2:$X$500="מושאל"),ROW(מלאי!$A$2:$A$500)-ROW(מלאי!$A$2)+1,""),72),"")</f>
        <v/>
      </c>
      <c r="L397" s="9" t="n"/>
      <c r="M397" s="9" t="n"/>
      <c r="N397" s="9" t="n"/>
      <c r="O397" s="9" t="n"/>
      <c r="P397" s="9" t="n"/>
      <c r="Q397" s="9" t="n"/>
    </row>
    <row r="398">
      <c r="A398" s="8">
        <f>IF($K398="","",INDEX(מלאי!$D$2:$D$500,$K398))</f>
        <v/>
      </c>
      <c r="B398" s="8">
        <f>IF($K398="","",INDEX(מלאי!$B$2:$B$500,$K398))</f>
        <v/>
      </c>
      <c r="C398" s="8">
        <f>IF($K398="","",INDEX(מלאי!$C$2:$C$500,$K398))</f>
        <v/>
      </c>
      <c r="D398" s="8">
        <f>IF($K398="","",INDEX(מלאי!$Y$2:$Y$500,$K398))</f>
        <v/>
      </c>
      <c r="E398" s="8">
        <f>IF($K398="","",INDEX(מלאי!$Z$2:$Z$500,$K398))</f>
        <v/>
      </c>
      <c r="F398" s="13">
        <f>IF($K398="","",INDEX(מלאי!$AB$2:$AB$500,$K398))</f>
        <v/>
      </c>
      <c r="G398" s="8">
        <f>IF($K398="","",IF(AND(INDEX(מלאי!$AB$2:$AB$500,$K398)&lt;&gt;"",INDEX(מלאי!$AB$2:$AB$500,$K398)&lt;TODAY()),"באיחור!","תקין"))</f>
        <v/>
      </c>
      <c r="H398" s="8" t="n"/>
      <c r="I398" s="8" t="n"/>
      <c r="J398" s="8" t="n"/>
      <c r="K398" s="8">
        <f>IFERROR(SMALL(IF((מלאי!$D$2:$D$500&lt;&gt;"")*(מלאי!$X$2:$X$500="מושאל"),ROW(מלאי!$A$2:$A$500)-ROW(מלאי!$A$2)+1,""),73),"")</f>
        <v/>
      </c>
      <c r="L398" s="8" t="n"/>
      <c r="M398" s="8" t="n"/>
      <c r="N398" s="8" t="n"/>
      <c r="O398" s="8" t="n"/>
      <c r="P398" s="8" t="n"/>
      <c r="Q398" s="8" t="n"/>
    </row>
    <row r="399">
      <c r="A399" s="9">
        <f>IF($K399="","",INDEX(מלאי!$D$2:$D$500,$K399))</f>
        <v/>
      </c>
      <c r="B399" s="9">
        <f>IF($K399="","",INDEX(מלאי!$B$2:$B$500,$K399))</f>
        <v/>
      </c>
      <c r="C399" s="9">
        <f>IF($K399="","",INDEX(מלאי!$C$2:$C$500,$K399))</f>
        <v/>
      </c>
      <c r="D399" s="9">
        <f>IF($K399="","",INDEX(מלאי!$Y$2:$Y$500,$K399))</f>
        <v/>
      </c>
      <c r="E399" s="9">
        <f>IF($K399="","",INDEX(מלאי!$Z$2:$Z$500,$K399))</f>
        <v/>
      </c>
      <c r="F399" s="14">
        <f>IF($K399="","",INDEX(מלאי!$AB$2:$AB$500,$K399))</f>
        <v/>
      </c>
      <c r="G399" s="9">
        <f>IF($K399="","",IF(AND(INDEX(מלאי!$AB$2:$AB$500,$K399)&lt;&gt;"",INDEX(מלאי!$AB$2:$AB$500,$K399)&lt;TODAY()),"באיחור!","תקין"))</f>
        <v/>
      </c>
      <c r="H399" s="9" t="n"/>
      <c r="I399" s="9" t="n"/>
      <c r="J399" s="9" t="n"/>
      <c r="K399" s="9">
        <f>IFERROR(SMALL(IF((מלאי!$D$2:$D$500&lt;&gt;"")*(מלאי!$X$2:$X$500="מושאל"),ROW(מלאי!$A$2:$A$500)-ROW(מלאי!$A$2)+1,""),74),"")</f>
        <v/>
      </c>
      <c r="L399" s="9" t="n"/>
      <c r="M399" s="9" t="n"/>
      <c r="N399" s="9" t="n"/>
      <c r="O399" s="9" t="n"/>
      <c r="P399" s="9" t="n"/>
      <c r="Q399" s="9" t="n"/>
    </row>
    <row r="400">
      <c r="A400" s="8">
        <f>IF($K400="","",INDEX(מלאי!$D$2:$D$500,$K400))</f>
        <v/>
      </c>
      <c r="B400" s="8">
        <f>IF($K400="","",INDEX(מלאי!$B$2:$B$500,$K400))</f>
        <v/>
      </c>
      <c r="C400" s="8">
        <f>IF($K400="","",INDEX(מלאי!$C$2:$C$500,$K400))</f>
        <v/>
      </c>
      <c r="D400" s="8">
        <f>IF($K400="","",INDEX(מלאי!$Y$2:$Y$500,$K400))</f>
        <v/>
      </c>
      <c r="E400" s="8">
        <f>IF($K400="","",INDEX(מלאי!$Z$2:$Z$500,$K400))</f>
        <v/>
      </c>
      <c r="F400" s="13">
        <f>IF($K400="","",INDEX(מלאי!$AB$2:$AB$500,$K400))</f>
        <v/>
      </c>
      <c r="G400" s="8">
        <f>IF($K400="","",IF(AND(INDEX(מלאי!$AB$2:$AB$500,$K400)&lt;&gt;"",INDEX(מלאי!$AB$2:$AB$500,$K400)&lt;TODAY()),"באיחור!","תקין"))</f>
        <v/>
      </c>
      <c r="H400" s="8" t="n"/>
      <c r="I400" s="8" t="n"/>
      <c r="J400" s="8" t="n"/>
      <c r="K400" s="8">
        <f>IFERROR(SMALL(IF((מלאי!$D$2:$D$500&lt;&gt;"")*(מלאי!$X$2:$X$500="מושאל"),ROW(מלאי!$A$2:$A$500)-ROW(מלאי!$A$2)+1,""),75),"")</f>
        <v/>
      </c>
      <c r="L400" s="8" t="n"/>
      <c r="M400" s="8" t="n"/>
      <c r="N400" s="8" t="n"/>
      <c r="O400" s="8" t="n"/>
      <c r="P400" s="8" t="n"/>
      <c r="Q400" s="8" t="n"/>
    </row>
    <row r="401">
      <c r="A401" s="9">
        <f>IF($K401="","",INDEX(מלאי!$D$2:$D$500,$K401))</f>
        <v/>
      </c>
      <c r="B401" s="9">
        <f>IF($K401="","",INDEX(מלאי!$B$2:$B$500,$K401))</f>
        <v/>
      </c>
      <c r="C401" s="9">
        <f>IF($K401="","",INDEX(מלאי!$C$2:$C$500,$K401))</f>
        <v/>
      </c>
      <c r="D401" s="9">
        <f>IF($K401="","",INDEX(מלאי!$Y$2:$Y$500,$K401))</f>
        <v/>
      </c>
      <c r="E401" s="9">
        <f>IF($K401="","",INDEX(מלאי!$Z$2:$Z$500,$K401))</f>
        <v/>
      </c>
      <c r="F401" s="14">
        <f>IF($K401="","",INDEX(מלאי!$AB$2:$AB$500,$K401))</f>
        <v/>
      </c>
      <c r="G401" s="9">
        <f>IF($K401="","",IF(AND(INDEX(מלאי!$AB$2:$AB$500,$K401)&lt;&gt;"",INDEX(מלאי!$AB$2:$AB$500,$K401)&lt;TODAY()),"באיחור!","תקין"))</f>
        <v/>
      </c>
      <c r="H401" s="9" t="n"/>
      <c r="I401" s="9" t="n"/>
      <c r="J401" s="9" t="n"/>
      <c r="K401" s="9">
        <f>IFERROR(SMALL(IF((מלאי!$D$2:$D$500&lt;&gt;"")*(מלאי!$X$2:$X$500="מושאל"),ROW(מלאי!$A$2:$A$500)-ROW(מלאי!$A$2)+1,""),76),"")</f>
        <v/>
      </c>
      <c r="L401" s="9" t="n"/>
      <c r="M401" s="9" t="n"/>
      <c r="N401" s="9" t="n"/>
      <c r="O401" s="9" t="n"/>
      <c r="P401" s="9" t="n"/>
      <c r="Q401" s="9" t="n"/>
    </row>
    <row r="402">
      <c r="A402" s="8">
        <f>IF($K402="","",INDEX(מלאי!$D$2:$D$500,$K402))</f>
        <v/>
      </c>
      <c r="B402" s="8">
        <f>IF($K402="","",INDEX(מלאי!$B$2:$B$500,$K402))</f>
        <v/>
      </c>
      <c r="C402" s="8">
        <f>IF($K402="","",INDEX(מלאי!$C$2:$C$500,$K402))</f>
        <v/>
      </c>
      <c r="D402" s="8">
        <f>IF($K402="","",INDEX(מלאי!$Y$2:$Y$500,$K402))</f>
        <v/>
      </c>
      <c r="E402" s="8">
        <f>IF($K402="","",INDEX(מלאי!$Z$2:$Z$500,$K402))</f>
        <v/>
      </c>
      <c r="F402" s="13">
        <f>IF($K402="","",INDEX(מלאי!$AB$2:$AB$500,$K402))</f>
        <v/>
      </c>
      <c r="G402" s="8">
        <f>IF($K402="","",IF(AND(INDEX(מלאי!$AB$2:$AB$500,$K402)&lt;&gt;"",INDEX(מלאי!$AB$2:$AB$500,$K402)&lt;TODAY()),"באיחור!","תקין"))</f>
        <v/>
      </c>
      <c r="H402" s="8" t="n"/>
      <c r="I402" s="8" t="n"/>
      <c r="J402" s="8" t="n"/>
      <c r="K402" s="8">
        <f>IFERROR(SMALL(IF((מלאי!$D$2:$D$500&lt;&gt;"")*(מלאי!$X$2:$X$500="מושאל"),ROW(מלאי!$A$2:$A$500)-ROW(מלאי!$A$2)+1,""),77),"")</f>
        <v/>
      </c>
      <c r="L402" s="8" t="n"/>
      <c r="M402" s="8" t="n"/>
      <c r="N402" s="8" t="n"/>
      <c r="O402" s="8" t="n"/>
      <c r="P402" s="8" t="n"/>
      <c r="Q402" s="8" t="n"/>
    </row>
    <row r="403">
      <c r="A403" s="9">
        <f>IF($K403="","",INDEX(מלאי!$D$2:$D$500,$K403))</f>
        <v/>
      </c>
      <c r="B403" s="9">
        <f>IF($K403="","",INDEX(מלאי!$B$2:$B$500,$K403))</f>
        <v/>
      </c>
      <c r="C403" s="9">
        <f>IF($K403="","",INDEX(מלאי!$C$2:$C$500,$K403))</f>
        <v/>
      </c>
      <c r="D403" s="9">
        <f>IF($K403="","",INDEX(מלאי!$Y$2:$Y$500,$K403))</f>
        <v/>
      </c>
      <c r="E403" s="9">
        <f>IF($K403="","",INDEX(מלאי!$Z$2:$Z$500,$K403))</f>
        <v/>
      </c>
      <c r="F403" s="14">
        <f>IF($K403="","",INDEX(מלאי!$AB$2:$AB$500,$K403))</f>
        <v/>
      </c>
      <c r="G403" s="9">
        <f>IF($K403="","",IF(AND(INDEX(מלאי!$AB$2:$AB$500,$K403)&lt;&gt;"",INDEX(מלאי!$AB$2:$AB$500,$K403)&lt;TODAY()),"באיחור!","תקין"))</f>
        <v/>
      </c>
      <c r="H403" s="9" t="n"/>
      <c r="I403" s="9" t="n"/>
      <c r="J403" s="9" t="n"/>
      <c r="K403" s="9">
        <f>IFERROR(SMALL(IF((מלאי!$D$2:$D$500&lt;&gt;"")*(מלאי!$X$2:$X$500="מושאל"),ROW(מלאי!$A$2:$A$500)-ROW(מלאי!$A$2)+1,""),78),"")</f>
        <v/>
      </c>
      <c r="L403" s="9" t="n"/>
      <c r="M403" s="9" t="n"/>
      <c r="N403" s="9" t="n"/>
      <c r="O403" s="9" t="n"/>
      <c r="P403" s="9" t="n"/>
      <c r="Q403" s="9" t="n"/>
    </row>
    <row r="404">
      <c r="A404" s="8">
        <f>IF($K404="","",INDEX(מלאי!$D$2:$D$500,$K404))</f>
        <v/>
      </c>
      <c r="B404" s="8">
        <f>IF($K404="","",INDEX(מלאי!$B$2:$B$500,$K404))</f>
        <v/>
      </c>
      <c r="C404" s="8">
        <f>IF($K404="","",INDEX(מלאי!$C$2:$C$500,$K404))</f>
        <v/>
      </c>
      <c r="D404" s="8">
        <f>IF($K404="","",INDEX(מלאי!$Y$2:$Y$500,$K404))</f>
        <v/>
      </c>
      <c r="E404" s="8">
        <f>IF($K404="","",INDEX(מלאי!$Z$2:$Z$500,$K404))</f>
        <v/>
      </c>
      <c r="F404" s="13">
        <f>IF($K404="","",INDEX(מלאי!$AB$2:$AB$500,$K404))</f>
        <v/>
      </c>
      <c r="G404" s="8">
        <f>IF($K404="","",IF(AND(INDEX(מלאי!$AB$2:$AB$500,$K404)&lt;&gt;"",INDEX(מלאי!$AB$2:$AB$500,$K404)&lt;TODAY()),"באיחור!","תקין"))</f>
        <v/>
      </c>
      <c r="H404" s="8" t="n"/>
      <c r="I404" s="8" t="n"/>
      <c r="J404" s="8" t="n"/>
      <c r="K404" s="8">
        <f>IFERROR(SMALL(IF((מלאי!$D$2:$D$500&lt;&gt;"")*(מלאי!$X$2:$X$500="מושאל"),ROW(מלאי!$A$2:$A$500)-ROW(מלאי!$A$2)+1,""),79),"")</f>
        <v/>
      </c>
      <c r="L404" s="8" t="n"/>
      <c r="M404" s="8" t="n"/>
      <c r="N404" s="8" t="n"/>
      <c r="O404" s="8" t="n"/>
      <c r="P404" s="8" t="n"/>
      <c r="Q404" s="8" t="n"/>
    </row>
    <row r="405">
      <c r="A405" s="9">
        <f>IF($K405="","",INDEX(מלאי!$D$2:$D$500,$K405))</f>
        <v/>
      </c>
      <c r="B405" s="9">
        <f>IF($K405="","",INDEX(מלאי!$B$2:$B$500,$K405))</f>
        <v/>
      </c>
      <c r="C405" s="9">
        <f>IF($K405="","",INDEX(מלאי!$C$2:$C$500,$K405))</f>
        <v/>
      </c>
      <c r="D405" s="9">
        <f>IF($K405="","",INDEX(מלאי!$Y$2:$Y$500,$K405))</f>
        <v/>
      </c>
      <c r="E405" s="9">
        <f>IF($K405="","",INDEX(מלאי!$Z$2:$Z$500,$K405))</f>
        <v/>
      </c>
      <c r="F405" s="14">
        <f>IF($K405="","",INDEX(מלאי!$AB$2:$AB$500,$K405))</f>
        <v/>
      </c>
      <c r="G405" s="9">
        <f>IF($K405="","",IF(AND(INDEX(מלאי!$AB$2:$AB$500,$K405)&lt;&gt;"",INDEX(מלאי!$AB$2:$AB$500,$K405)&lt;TODAY()),"באיחור!","תקין"))</f>
        <v/>
      </c>
      <c r="H405" s="9" t="n"/>
      <c r="I405" s="9" t="n"/>
      <c r="J405" s="9" t="n"/>
      <c r="K405" s="9">
        <f>IFERROR(SMALL(IF((מלאי!$D$2:$D$500&lt;&gt;"")*(מלאי!$X$2:$X$500="מושאל"),ROW(מלאי!$A$2:$A$500)-ROW(מלאי!$A$2)+1,""),80),"")</f>
        <v/>
      </c>
      <c r="L405" s="9" t="n"/>
      <c r="M405" s="9" t="n"/>
      <c r="N405" s="9" t="n"/>
      <c r="O405" s="9" t="n"/>
      <c r="P405" s="9" t="n"/>
      <c r="Q405" s="9" t="n"/>
    </row>
    <row r="406">
      <c r="A406" s="8">
        <f>IF($K406="","",INDEX(מלאי!$D$2:$D$500,$K406))</f>
        <v/>
      </c>
      <c r="B406" s="8">
        <f>IF($K406="","",INDEX(מלאי!$B$2:$B$500,$K406))</f>
        <v/>
      </c>
      <c r="C406" s="8">
        <f>IF($K406="","",INDEX(מלאי!$C$2:$C$500,$K406))</f>
        <v/>
      </c>
      <c r="D406" s="8">
        <f>IF($K406="","",INDEX(מלאי!$Y$2:$Y$500,$K406))</f>
        <v/>
      </c>
      <c r="E406" s="8">
        <f>IF($K406="","",INDEX(מלאי!$Z$2:$Z$500,$K406))</f>
        <v/>
      </c>
      <c r="F406" s="13">
        <f>IF($K406="","",INDEX(מלאי!$AB$2:$AB$500,$K406))</f>
        <v/>
      </c>
      <c r="G406" s="8">
        <f>IF($K406="","",IF(AND(INDEX(מלאי!$AB$2:$AB$500,$K406)&lt;&gt;"",INDEX(מלאי!$AB$2:$AB$500,$K406)&lt;TODAY()),"באיחור!","תקין"))</f>
        <v/>
      </c>
      <c r="H406" s="8" t="n"/>
      <c r="I406" s="8" t="n"/>
      <c r="J406" s="8" t="n"/>
      <c r="K406" s="8">
        <f>IFERROR(SMALL(IF((מלאי!$D$2:$D$500&lt;&gt;"")*(מלאי!$X$2:$X$500="מושאל"),ROW(מלאי!$A$2:$A$500)-ROW(מלאי!$A$2)+1,""),81),"")</f>
        <v/>
      </c>
      <c r="L406" s="8" t="n"/>
      <c r="M406" s="8" t="n"/>
      <c r="N406" s="8" t="n"/>
      <c r="O406" s="8" t="n"/>
      <c r="P406" s="8" t="n"/>
      <c r="Q406" s="8" t="n"/>
    </row>
    <row r="407">
      <c r="A407" s="9">
        <f>IF($K407="","",INDEX(מלאי!$D$2:$D$500,$K407))</f>
        <v/>
      </c>
      <c r="B407" s="9">
        <f>IF($K407="","",INDEX(מלאי!$B$2:$B$500,$K407))</f>
        <v/>
      </c>
      <c r="C407" s="9">
        <f>IF($K407="","",INDEX(מלאי!$C$2:$C$500,$K407))</f>
        <v/>
      </c>
      <c r="D407" s="9">
        <f>IF($K407="","",INDEX(מלאי!$Y$2:$Y$500,$K407))</f>
        <v/>
      </c>
      <c r="E407" s="9">
        <f>IF($K407="","",INDEX(מלאי!$Z$2:$Z$500,$K407))</f>
        <v/>
      </c>
      <c r="F407" s="14">
        <f>IF($K407="","",INDEX(מלאי!$AB$2:$AB$500,$K407))</f>
        <v/>
      </c>
      <c r="G407" s="9">
        <f>IF($K407="","",IF(AND(INDEX(מלאי!$AB$2:$AB$500,$K407)&lt;&gt;"",INDEX(מלאי!$AB$2:$AB$500,$K407)&lt;TODAY()),"באיחור!","תקין"))</f>
        <v/>
      </c>
      <c r="H407" s="9" t="n"/>
      <c r="I407" s="9" t="n"/>
      <c r="J407" s="9" t="n"/>
      <c r="K407" s="9">
        <f>IFERROR(SMALL(IF((מלאי!$D$2:$D$500&lt;&gt;"")*(מלאי!$X$2:$X$500="מושאל"),ROW(מלאי!$A$2:$A$500)-ROW(מלאי!$A$2)+1,""),82),"")</f>
        <v/>
      </c>
      <c r="L407" s="9" t="n"/>
      <c r="M407" s="9" t="n"/>
      <c r="N407" s="9" t="n"/>
      <c r="O407" s="9" t="n"/>
      <c r="P407" s="9" t="n"/>
      <c r="Q407" s="9" t="n"/>
    </row>
    <row r="408">
      <c r="A408" s="8">
        <f>IF($K408="","",INDEX(מלאי!$D$2:$D$500,$K408))</f>
        <v/>
      </c>
      <c r="B408" s="8">
        <f>IF($K408="","",INDEX(מלאי!$B$2:$B$500,$K408))</f>
        <v/>
      </c>
      <c r="C408" s="8">
        <f>IF($K408="","",INDEX(מלאי!$C$2:$C$500,$K408))</f>
        <v/>
      </c>
      <c r="D408" s="8">
        <f>IF($K408="","",INDEX(מלאי!$Y$2:$Y$500,$K408))</f>
        <v/>
      </c>
      <c r="E408" s="8">
        <f>IF($K408="","",INDEX(מלאי!$Z$2:$Z$500,$K408))</f>
        <v/>
      </c>
      <c r="F408" s="13">
        <f>IF($K408="","",INDEX(מלאי!$AB$2:$AB$500,$K408))</f>
        <v/>
      </c>
      <c r="G408" s="8">
        <f>IF($K408="","",IF(AND(INDEX(מלאי!$AB$2:$AB$500,$K408)&lt;&gt;"",INDEX(מלאי!$AB$2:$AB$500,$K408)&lt;TODAY()),"באיחור!","תקין"))</f>
        <v/>
      </c>
      <c r="H408" s="8" t="n"/>
      <c r="I408" s="8" t="n"/>
      <c r="J408" s="8" t="n"/>
      <c r="K408" s="8">
        <f>IFERROR(SMALL(IF((מלאי!$D$2:$D$500&lt;&gt;"")*(מלאי!$X$2:$X$500="מושאל"),ROW(מלאי!$A$2:$A$500)-ROW(מלאי!$A$2)+1,""),83),"")</f>
        <v/>
      </c>
      <c r="L408" s="8" t="n"/>
      <c r="M408" s="8" t="n"/>
      <c r="N408" s="8" t="n"/>
      <c r="O408" s="8" t="n"/>
      <c r="P408" s="8" t="n"/>
      <c r="Q408" s="8" t="n"/>
    </row>
    <row r="409">
      <c r="A409" s="9">
        <f>IF($K409="","",INDEX(מלאי!$D$2:$D$500,$K409))</f>
        <v/>
      </c>
      <c r="B409" s="9">
        <f>IF($K409="","",INDEX(מלאי!$B$2:$B$500,$K409))</f>
        <v/>
      </c>
      <c r="C409" s="9">
        <f>IF($K409="","",INDEX(מלאי!$C$2:$C$500,$K409))</f>
        <v/>
      </c>
      <c r="D409" s="9">
        <f>IF($K409="","",INDEX(מלאי!$Y$2:$Y$500,$K409))</f>
        <v/>
      </c>
      <c r="E409" s="9">
        <f>IF($K409="","",INDEX(מלאי!$Z$2:$Z$500,$K409))</f>
        <v/>
      </c>
      <c r="F409" s="14">
        <f>IF($K409="","",INDEX(מלאי!$AB$2:$AB$500,$K409))</f>
        <v/>
      </c>
      <c r="G409" s="9">
        <f>IF($K409="","",IF(AND(INDEX(מלאי!$AB$2:$AB$500,$K409)&lt;&gt;"",INDEX(מלאי!$AB$2:$AB$500,$K409)&lt;TODAY()),"באיחור!","תקין"))</f>
        <v/>
      </c>
      <c r="H409" s="9" t="n"/>
      <c r="I409" s="9" t="n"/>
      <c r="J409" s="9" t="n"/>
      <c r="K409" s="9">
        <f>IFERROR(SMALL(IF((מלאי!$D$2:$D$500&lt;&gt;"")*(מלאי!$X$2:$X$500="מושאל"),ROW(מלאי!$A$2:$A$500)-ROW(מלאי!$A$2)+1,""),84),"")</f>
        <v/>
      </c>
      <c r="L409" s="9" t="n"/>
      <c r="M409" s="9" t="n"/>
      <c r="N409" s="9" t="n"/>
      <c r="O409" s="9" t="n"/>
      <c r="P409" s="9" t="n"/>
      <c r="Q409" s="9" t="n"/>
    </row>
    <row r="410">
      <c r="A410" s="8">
        <f>IF($K410="","",INDEX(מלאי!$D$2:$D$500,$K410))</f>
        <v/>
      </c>
      <c r="B410" s="8">
        <f>IF($K410="","",INDEX(מלאי!$B$2:$B$500,$K410))</f>
        <v/>
      </c>
      <c r="C410" s="8">
        <f>IF($K410="","",INDEX(מלאי!$C$2:$C$500,$K410))</f>
        <v/>
      </c>
      <c r="D410" s="8">
        <f>IF($K410="","",INDEX(מלאי!$Y$2:$Y$500,$K410))</f>
        <v/>
      </c>
      <c r="E410" s="8">
        <f>IF($K410="","",INDEX(מלאי!$Z$2:$Z$500,$K410))</f>
        <v/>
      </c>
      <c r="F410" s="13">
        <f>IF($K410="","",INDEX(מלאי!$AB$2:$AB$500,$K410))</f>
        <v/>
      </c>
      <c r="G410" s="8">
        <f>IF($K410="","",IF(AND(INDEX(מלאי!$AB$2:$AB$500,$K410)&lt;&gt;"",INDEX(מלאי!$AB$2:$AB$500,$K410)&lt;TODAY()),"באיחור!","תקין"))</f>
        <v/>
      </c>
      <c r="H410" s="8" t="n"/>
      <c r="I410" s="8" t="n"/>
      <c r="J410" s="8" t="n"/>
      <c r="K410" s="8">
        <f>IFERROR(SMALL(IF((מלאי!$D$2:$D$500&lt;&gt;"")*(מלאי!$X$2:$X$500="מושאל"),ROW(מלאי!$A$2:$A$500)-ROW(מלאי!$A$2)+1,""),85),"")</f>
        <v/>
      </c>
      <c r="L410" s="8" t="n"/>
      <c r="M410" s="8" t="n"/>
      <c r="N410" s="8" t="n"/>
      <c r="O410" s="8" t="n"/>
      <c r="P410" s="8" t="n"/>
      <c r="Q410" s="8" t="n"/>
    </row>
    <row r="411">
      <c r="A411" s="9">
        <f>IF($K411="","",INDEX(מלאי!$D$2:$D$500,$K411))</f>
        <v/>
      </c>
      <c r="B411" s="9">
        <f>IF($K411="","",INDEX(מלאי!$B$2:$B$500,$K411))</f>
        <v/>
      </c>
      <c r="C411" s="9">
        <f>IF($K411="","",INDEX(מלאי!$C$2:$C$500,$K411))</f>
        <v/>
      </c>
      <c r="D411" s="9">
        <f>IF($K411="","",INDEX(מלאי!$Y$2:$Y$500,$K411))</f>
        <v/>
      </c>
      <c r="E411" s="9">
        <f>IF($K411="","",INDEX(מלאי!$Z$2:$Z$500,$K411))</f>
        <v/>
      </c>
      <c r="F411" s="14">
        <f>IF($K411="","",INDEX(מלאי!$AB$2:$AB$500,$K411))</f>
        <v/>
      </c>
      <c r="G411" s="9">
        <f>IF($K411="","",IF(AND(INDEX(מלאי!$AB$2:$AB$500,$K411)&lt;&gt;"",INDEX(מלאי!$AB$2:$AB$500,$K411)&lt;TODAY()),"באיחור!","תקין"))</f>
        <v/>
      </c>
      <c r="H411" s="9" t="n"/>
      <c r="I411" s="9" t="n"/>
      <c r="J411" s="9" t="n"/>
      <c r="K411" s="9">
        <f>IFERROR(SMALL(IF((מלאי!$D$2:$D$500&lt;&gt;"")*(מלאי!$X$2:$X$500="מושאל"),ROW(מלאי!$A$2:$A$500)-ROW(מלאי!$A$2)+1,""),86),"")</f>
        <v/>
      </c>
      <c r="L411" s="9" t="n"/>
      <c r="M411" s="9" t="n"/>
      <c r="N411" s="9" t="n"/>
      <c r="O411" s="9" t="n"/>
      <c r="P411" s="9" t="n"/>
      <c r="Q411" s="9" t="n"/>
    </row>
    <row r="412">
      <c r="A412" s="8">
        <f>IF($K412="","",INDEX(מלאי!$D$2:$D$500,$K412))</f>
        <v/>
      </c>
      <c r="B412" s="8">
        <f>IF($K412="","",INDEX(מלאי!$B$2:$B$500,$K412))</f>
        <v/>
      </c>
      <c r="C412" s="8">
        <f>IF($K412="","",INDEX(מלאי!$C$2:$C$500,$K412))</f>
        <v/>
      </c>
      <c r="D412" s="8">
        <f>IF($K412="","",INDEX(מלאי!$Y$2:$Y$500,$K412))</f>
        <v/>
      </c>
      <c r="E412" s="8">
        <f>IF($K412="","",INDEX(מלאי!$Z$2:$Z$500,$K412))</f>
        <v/>
      </c>
      <c r="F412" s="13">
        <f>IF($K412="","",INDEX(מלאי!$AB$2:$AB$500,$K412))</f>
        <v/>
      </c>
      <c r="G412" s="8">
        <f>IF($K412="","",IF(AND(INDEX(מלאי!$AB$2:$AB$500,$K412)&lt;&gt;"",INDEX(מלאי!$AB$2:$AB$500,$K412)&lt;TODAY()),"באיחור!","תקין"))</f>
        <v/>
      </c>
      <c r="H412" s="8" t="n"/>
      <c r="I412" s="8" t="n"/>
      <c r="J412" s="8" t="n"/>
      <c r="K412" s="8">
        <f>IFERROR(SMALL(IF((מלאי!$D$2:$D$500&lt;&gt;"")*(מלאי!$X$2:$X$500="מושאל"),ROW(מלאי!$A$2:$A$500)-ROW(מלאי!$A$2)+1,""),87),"")</f>
        <v/>
      </c>
      <c r="L412" s="8" t="n"/>
      <c r="M412" s="8" t="n"/>
      <c r="N412" s="8" t="n"/>
      <c r="O412" s="8" t="n"/>
      <c r="P412" s="8" t="n"/>
      <c r="Q412" s="8" t="n"/>
    </row>
    <row r="413">
      <c r="A413" s="9">
        <f>IF($K413="","",INDEX(מלאי!$D$2:$D$500,$K413))</f>
        <v/>
      </c>
      <c r="B413" s="9">
        <f>IF($K413="","",INDEX(מלאי!$B$2:$B$500,$K413))</f>
        <v/>
      </c>
      <c r="C413" s="9">
        <f>IF($K413="","",INDEX(מלאי!$C$2:$C$500,$K413))</f>
        <v/>
      </c>
      <c r="D413" s="9">
        <f>IF($K413="","",INDEX(מלאי!$Y$2:$Y$500,$K413))</f>
        <v/>
      </c>
      <c r="E413" s="9">
        <f>IF($K413="","",INDEX(מלאי!$Z$2:$Z$500,$K413))</f>
        <v/>
      </c>
      <c r="F413" s="14">
        <f>IF($K413="","",INDEX(מלאי!$AB$2:$AB$500,$K413))</f>
        <v/>
      </c>
      <c r="G413" s="9">
        <f>IF($K413="","",IF(AND(INDEX(מלאי!$AB$2:$AB$500,$K413)&lt;&gt;"",INDEX(מלאי!$AB$2:$AB$500,$K413)&lt;TODAY()),"באיחור!","תקין"))</f>
        <v/>
      </c>
      <c r="H413" s="9" t="n"/>
      <c r="I413" s="9" t="n"/>
      <c r="J413" s="9" t="n"/>
      <c r="K413" s="9">
        <f>IFERROR(SMALL(IF((מלאי!$D$2:$D$500&lt;&gt;"")*(מלאי!$X$2:$X$500="מושאל"),ROW(מלאי!$A$2:$A$500)-ROW(מלאי!$A$2)+1,""),88),"")</f>
        <v/>
      </c>
      <c r="L413" s="9" t="n"/>
      <c r="M413" s="9" t="n"/>
      <c r="N413" s="9" t="n"/>
      <c r="O413" s="9" t="n"/>
      <c r="P413" s="9" t="n"/>
      <c r="Q413" s="9" t="n"/>
    </row>
    <row r="414">
      <c r="A414" s="8">
        <f>IF($K414="","",INDEX(מלאי!$D$2:$D$500,$K414))</f>
        <v/>
      </c>
      <c r="B414" s="8">
        <f>IF($K414="","",INDEX(מלאי!$B$2:$B$500,$K414))</f>
        <v/>
      </c>
      <c r="C414" s="8">
        <f>IF($K414="","",INDEX(מלאי!$C$2:$C$500,$K414))</f>
        <v/>
      </c>
      <c r="D414" s="8">
        <f>IF($K414="","",INDEX(מלאי!$Y$2:$Y$500,$K414))</f>
        <v/>
      </c>
      <c r="E414" s="8">
        <f>IF($K414="","",INDEX(מלאי!$Z$2:$Z$500,$K414))</f>
        <v/>
      </c>
      <c r="F414" s="13">
        <f>IF($K414="","",INDEX(מלאי!$AB$2:$AB$500,$K414))</f>
        <v/>
      </c>
      <c r="G414" s="8">
        <f>IF($K414="","",IF(AND(INDEX(מלאי!$AB$2:$AB$500,$K414)&lt;&gt;"",INDEX(מלאי!$AB$2:$AB$500,$K414)&lt;TODAY()),"באיחור!","תקין"))</f>
        <v/>
      </c>
      <c r="H414" s="8" t="n"/>
      <c r="I414" s="8" t="n"/>
      <c r="J414" s="8" t="n"/>
      <c r="K414" s="8">
        <f>IFERROR(SMALL(IF((מלאי!$D$2:$D$500&lt;&gt;"")*(מלאי!$X$2:$X$500="מושאל"),ROW(מלאי!$A$2:$A$500)-ROW(מלאי!$A$2)+1,""),89),"")</f>
        <v/>
      </c>
      <c r="L414" s="8" t="n"/>
      <c r="M414" s="8" t="n"/>
      <c r="N414" s="8" t="n"/>
      <c r="O414" s="8" t="n"/>
      <c r="P414" s="8" t="n"/>
      <c r="Q414" s="8" t="n"/>
    </row>
    <row r="415">
      <c r="A415" s="9">
        <f>IF($K415="","",INDEX(מלאי!$D$2:$D$500,$K415))</f>
        <v/>
      </c>
      <c r="B415" s="9">
        <f>IF($K415="","",INDEX(מלאי!$B$2:$B$500,$K415))</f>
        <v/>
      </c>
      <c r="C415" s="9">
        <f>IF($K415="","",INDEX(מלאי!$C$2:$C$500,$K415))</f>
        <v/>
      </c>
      <c r="D415" s="9">
        <f>IF($K415="","",INDEX(מלאי!$Y$2:$Y$500,$K415))</f>
        <v/>
      </c>
      <c r="E415" s="9">
        <f>IF($K415="","",INDEX(מלאי!$Z$2:$Z$500,$K415))</f>
        <v/>
      </c>
      <c r="F415" s="14">
        <f>IF($K415="","",INDEX(מלאי!$AB$2:$AB$500,$K415))</f>
        <v/>
      </c>
      <c r="G415" s="9">
        <f>IF($K415="","",IF(AND(INDEX(מלאי!$AB$2:$AB$500,$K415)&lt;&gt;"",INDEX(מלאי!$AB$2:$AB$500,$K415)&lt;TODAY()),"באיחור!","תקין"))</f>
        <v/>
      </c>
      <c r="H415" s="9" t="n"/>
      <c r="I415" s="9" t="n"/>
      <c r="J415" s="9" t="n"/>
      <c r="K415" s="9">
        <f>IFERROR(SMALL(IF((מלאי!$D$2:$D$500&lt;&gt;"")*(מלאי!$X$2:$X$500="מושאל"),ROW(מלאי!$A$2:$A$500)-ROW(מלאי!$A$2)+1,""),90),"")</f>
        <v/>
      </c>
      <c r="L415" s="9" t="n"/>
      <c r="M415" s="9" t="n"/>
      <c r="N415" s="9" t="n"/>
      <c r="O415" s="9" t="n"/>
      <c r="P415" s="9" t="n"/>
      <c r="Q415" s="9" t="n"/>
    </row>
    <row r="416">
      <c r="A416" s="8">
        <f>IF($K416="","",INDEX(מלאי!$D$2:$D$500,$K416))</f>
        <v/>
      </c>
      <c r="B416" s="8">
        <f>IF($K416="","",INDEX(מלאי!$B$2:$B$500,$K416))</f>
        <v/>
      </c>
      <c r="C416" s="8">
        <f>IF($K416="","",INDEX(מלאי!$C$2:$C$500,$K416))</f>
        <v/>
      </c>
      <c r="D416" s="8">
        <f>IF($K416="","",INDEX(מלאי!$Y$2:$Y$500,$K416))</f>
        <v/>
      </c>
      <c r="E416" s="8">
        <f>IF($K416="","",INDEX(מלאי!$Z$2:$Z$500,$K416))</f>
        <v/>
      </c>
      <c r="F416" s="13">
        <f>IF($K416="","",INDEX(מלאי!$AB$2:$AB$500,$K416))</f>
        <v/>
      </c>
      <c r="G416" s="8">
        <f>IF($K416="","",IF(AND(INDEX(מלאי!$AB$2:$AB$500,$K416)&lt;&gt;"",INDEX(מלאי!$AB$2:$AB$500,$K416)&lt;TODAY()),"באיחור!","תקין"))</f>
        <v/>
      </c>
      <c r="H416" s="8" t="n"/>
      <c r="I416" s="8" t="n"/>
      <c r="J416" s="8" t="n"/>
      <c r="K416" s="8">
        <f>IFERROR(SMALL(IF((מלאי!$D$2:$D$500&lt;&gt;"")*(מלאי!$X$2:$X$500="מושאל"),ROW(מלאי!$A$2:$A$500)-ROW(מלאי!$A$2)+1,""),91),"")</f>
        <v/>
      </c>
      <c r="L416" s="8" t="n"/>
      <c r="M416" s="8" t="n"/>
      <c r="N416" s="8" t="n"/>
      <c r="O416" s="8" t="n"/>
      <c r="P416" s="8" t="n"/>
      <c r="Q416" s="8" t="n"/>
    </row>
    <row r="417">
      <c r="A417" s="9">
        <f>IF($K417="","",INDEX(מלאי!$D$2:$D$500,$K417))</f>
        <v/>
      </c>
      <c r="B417" s="9">
        <f>IF($K417="","",INDEX(מלאי!$B$2:$B$500,$K417))</f>
        <v/>
      </c>
      <c r="C417" s="9">
        <f>IF($K417="","",INDEX(מלאי!$C$2:$C$500,$K417))</f>
        <v/>
      </c>
      <c r="D417" s="9">
        <f>IF($K417="","",INDEX(מלאי!$Y$2:$Y$500,$K417))</f>
        <v/>
      </c>
      <c r="E417" s="9">
        <f>IF($K417="","",INDEX(מלאי!$Z$2:$Z$500,$K417))</f>
        <v/>
      </c>
      <c r="F417" s="14">
        <f>IF($K417="","",INDEX(מלאי!$AB$2:$AB$500,$K417))</f>
        <v/>
      </c>
      <c r="G417" s="9">
        <f>IF($K417="","",IF(AND(INDEX(מלאי!$AB$2:$AB$500,$K417)&lt;&gt;"",INDEX(מלאי!$AB$2:$AB$500,$K417)&lt;TODAY()),"באיחור!","תקין"))</f>
        <v/>
      </c>
      <c r="H417" s="9" t="n"/>
      <c r="I417" s="9" t="n"/>
      <c r="J417" s="9" t="n"/>
      <c r="K417" s="9">
        <f>IFERROR(SMALL(IF((מלאי!$D$2:$D$500&lt;&gt;"")*(מלאי!$X$2:$X$500="מושאל"),ROW(מלאי!$A$2:$A$500)-ROW(מלאי!$A$2)+1,""),92),"")</f>
        <v/>
      </c>
      <c r="L417" s="9" t="n"/>
      <c r="M417" s="9" t="n"/>
      <c r="N417" s="9" t="n"/>
      <c r="O417" s="9" t="n"/>
      <c r="P417" s="9" t="n"/>
      <c r="Q417" s="9" t="n"/>
    </row>
    <row r="418">
      <c r="A418" s="8">
        <f>IF($K418="","",INDEX(מלאי!$D$2:$D$500,$K418))</f>
        <v/>
      </c>
      <c r="B418" s="8">
        <f>IF($K418="","",INDEX(מלאי!$B$2:$B$500,$K418))</f>
        <v/>
      </c>
      <c r="C418" s="8">
        <f>IF($K418="","",INDEX(מלאי!$C$2:$C$500,$K418))</f>
        <v/>
      </c>
      <c r="D418" s="8">
        <f>IF($K418="","",INDEX(מלאי!$Y$2:$Y$500,$K418))</f>
        <v/>
      </c>
      <c r="E418" s="8">
        <f>IF($K418="","",INDEX(מלאי!$Z$2:$Z$500,$K418))</f>
        <v/>
      </c>
      <c r="F418" s="13">
        <f>IF($K418="","",INDEX(מלאי!$AB$2:$AB$500,$K418))</f>
        <v/>
      </c>
      <c r="G418" s="8">
        <f>IF($K418="","",IF(AND(INDEX(מלאי!$AB$2:$AB$500,$K418)&lt;&gt;"",INDEX(מלאי!$AB$2:$AB$500,$K418)&lt;TODAY()),"באיחור!","תקין"))</f>
        <v/>
      </c>
      <c r="H418" s="8" t="n"/>
      <c r="I418" s="8" t="n"/>
      <c r="J418" s="8" t="n"/>
      <c r="K418" s="8">
        <f>IFERROR(SMALL(IF((מלאי!$D$2:$D$500&lt;&gt;"")*(מלאי!$X$2:$X$500="מושאל"),ROW(מלאי!$A$2:$A$500)-ROW(מלאי!$A$2)+1,""),93),"")</f>
        <v/>
      </c>
      <c r="L418" s="8" t="n"/>
      <c r="M418" s="8" t="n"/>
      <c r="N418" s="8" t="n"/>
      <c r="O418" s="8" t="n"/>
      <c r="P418" s="8" t="n"/>
      <c r="Q418" s="8" t="n"/>
    </row>
    <row r="419">
      <c r="A419" s="9">
        <f>IF($K419="","",INDEX(מלאי!$D$2:$D$500,$K419))</f>
        <v/>
      </c>
      <c r="B419" s="9">
        <f>IF($K419="","",INDEX(מלאי!$B$2:$B$500,$K419))</f>
        <v/>
      </c>
      <c r="C419" s="9">
        <f>IF($K419="","",INDEX(מלאי!$C$2:$C$500,$K419))</f>
        <v/>
      </c>
      <c r="D419" s="9">
        <f>IF($K419="","",INDEX(מלאי!$Y$2:$Y$500,$K419))</f>
        <v/>
      </c>
      <c r="E419" s="9">
        <f>IF($K419="","",INDEX(מלאי!$Z$2:$Z$500,$K419))</f>
        <v/>
      </c>
      <c r="F419" s="14">
        <f>IF($K419="","",INDEX(מלאי!$AB$2:$AB$500,$K419))</f>
        <v/>
      </c>
      <c r="G419" s="9">
        <f>IF($K419="","",IF(AND(INDEX(מלאי!$AB$2:$AB$500,$K419)&lt;&gt;"",INDEX(מלאי!$AB$2:$AB$500,$K419)&lt;TODAY()),"באיחור!","תקין"))</f>
        <v/>
      </c>
      <c r="H419" s="9" t="n"/>
      <c r="I419" s="9" t="n"/>
      <c r="J419" s="9" t="n"/>
      <c r="K419" s="9">
        <f>IFERROR(SMALL(IF((מלאי!$D$2:$D$500&lt;&gt;"")*(מלאי!$X$2:$X$500="מושאל"),ROW(מלאי!$A$2:$A$500)-ROW(מלאי!$A$2)+1,""),94),"")</f>
        <v/>
      </c>
      <c r="L419" s="9" t="n"/>
      <c r="M419" s="9" t="n"/>
      <c r="N419" s="9" t="n"/>
      <c r="O419" s="9" t="n"/>
      <c r="P419" s="9" t="n"/>
      <c r="Q419" s="9" t="n"/>
    </row>
    <row r="420">
      <c r="A420" s="8">
        <f>IF($K420="","",INDEX(מלאי!$D$2:$D$500,$K420))</f>
        <v/>
      </c>
      <c r="B420" s="8">
        <f>IF($K420="","",INDEX(מלאי!$B$2:$B$500,$K420))</f>
        <v/>
      </c>
      <c r="C420" s="8">
        <f>IF($K420="","",INDEX(מלאי!$C$2:$C$500,$K420))</f>
        <v/>
      </c>
      <c r="D420" s="8">
        <f>IF($K420="","",INDEX(מלאי!$Y$2:$Y$500,$K420))</f>
        <v/>
      </c>
      <c r="E420" s="8">
        <f>IF($K420="","",INDEX(מלאי!$Z$2:$Z$500,$K420))</f>
        <v/>
      </c>
      <c r="F420" s="13">
        <f>IF($K420="","",INDEX(מלאי!$AB$2:$AB$500,$K420))</f>
        <v/>
      </c>
      <c r="G420" s="8">
        <f>IF($K420="","",IF(AND(INDEX(מלאי!$AB$2:$AB$500,$K420)&lt;&gt;"",INDEX(מלאי!$AB$2:$AB$500,$K420)&lt;TODAY()),"באיחור!","תקין"))</f>
        <v/>
      </c>
      <c r="H420" s="8" t="n"/>
      <c r="I420" s="8" t="n"/>
      <c r="J420" s="8" t="n"/>
      <c r="K420" s="8">
        <f>IFERROR(SMALL(IF((מלאי!$D$2:$D$500&lt;&gt;"")*(מלאי!$X$2:$X$500="מושאל"),ROW(מלאי!$A$2:$A$500)-ROW(מלאי!$A$2)+1,""),95),"")</f>
        <v/>
      </c>
      <c r="L420" s="8" t="n"/>
      <c r="M420" s="8" t="n"/>
      <c r="N420" s="8" t="n"/>
      <c r="O420" s="8" t="n"/>
      <c r="P420" s="8" t="n"/>
      <c r="Q420" s="8" t="n"/>
    </row>
    <row r="421">
      <c r="A421" s="9">
        <f>IF($K421="","",INDEX(מלאי!$D$2:$D$500,$K421))</f>
        <v/>
      </c>
      <c r="B421" s="9">
        <f>IF($K421="","",INDEX(מלאי!$B$2:$B$500,$K421))</f>
        <v/>
      </c>
      <c r="C421" s="9">
        <f>IF($K421="","",INDEX(מלאי!$C$2:$C$500,$K421))</f>
        <v/>
      </c>
      <c r="D421" s="9">
        <f>IF($K421="","",INDEX(מלאי!$Y$2:$Y$500,$K421))</f>
        <v/>
      </c>
      <c r="E421" s="9">
        <f>IF($K421="","",INDEX(מלאי!$Z$2:$Z$500,$K421))</f>
        <v/>
      </c>
      <c r="F421" s="14">
        <f>IF($K421="","",INDEX(מלאי!$AB$2:$AB$500,$K421))</f>
        <v/>
      </c>
      <c r="G421" s="9">
        <f>IF($K421="","",IF(AND(INDEX(מלאי!$AB$2:$AB$500,$K421)&lt;&gt;"",INDEX(מלאי!$AB$2:$AB$500,$K421)&lt;TODAY()),"באיחור!","תקין"))</f>
        <v/>
      </c>
      <c r="H421" s="9" t="n"/>
      <c r="I421" s="9" t="n"/>
      <c r="J421" s="9" t="n"/>
      <c r="K421" s="9">
        <f>IFERROR(SMALL(IF((מלאי!$D$2:$D$500&lt;&gt;"")*(מלאי!$X$2:$X$500="מושאל"),ROW(מלאי!$A$2:$A$500)-ROW(מלאי!$A$2)+1,""),96),"")</f>
        <v/>
      </c>
      <c r="L421" s="9" t="n"/>
      <c r="M421" s="9" t="n"/>
      <c r="N421" s="9" t="n"/>
      <c r="O421" s="9" t="n"/>
      <c r="P421" s="9" t="n"/>
      <c r="Q421" s="9" t="n"/>
    </row>
    <row r="422">
      <c r="A422" s="8">
        <f>IF($K422="","",INDEX(מלאי!$D$2:$D$500,$K422))</f>
        <v/>
      </c>
      <c r="B422" s="8">
        <f>IF($K422="","",INDEX(מלאי!$B$2:$B$500,$K422))</f>
        <v/>
      </c>
      <c r="C422" s="8">
        <f>IF($K422="","",INDEX(מלאי!$C$2:$C$500,$K422))</f>
        <v/>
      </c>
      <c r="D422" s="8">
        <f>IF($K422="","",INDEX(מלאי!$Y$2:$Y$500,$K422))</f>
        <v/>
      </c>
      <c r="E422" s="8">
        <f>IF($K422="","",INDEX(מלאי!$Z$2:$Z$500,$K422))</f>
        <v/>
      </c>
      <c r="F422" s="13">
        <f>IF($K422="","",INDEX(מלאי!$AB$2:$AB$500,$K422))</f>
        <v/>
      </c>
      <c r="G422" s="8">
        <f>IF($K422="","",IF(AND(INDEX(מלאי!$AB$2:$AB$500,$K422)&lt;&gt;"",INDEX(מלאי!$AB$2:$AB$500,$K422)&lt;TODAY()),"באיחור!","תקין"))</f>
        <v/>
      </c>
      <c r="H422" s="8" t="n"/>
      <c r="I422" s="8" t="n"/>
      <c r="J422" s="8" t="n"/>
      <c r="K422" s="8">
        <f>IFERROR(SMALL(IF((מלאי!$D$2:$D$500&lt;&gt;"")*(מלאי!$X$2:$X$500="מושאל"),ROW(מלאי!$A$2:$A$500)-ROW(מלאי!$A$2)+1,""),97),"")</f>
        <v/>
      </c>
      <c r="L422" s="8" t="n"/>
      <c r="M422" s="8" t="n"/>
      <c r="N422" s="8" t="n"/>
      <c r="O422" s="8" t="n"/>
      <c r="P422" s="8" t="n"/>
      <c r="Q422" s="8" t="n"/>
    </row>
    <row r="423">
      <c r="A423" s="9">
        <f>IF($K423="","",INDEX(מלאי!$D$2:$D$500,$K423))</f>
        <v/>
      </c>
      <c r="B423" s="9">
        <f>IF($K423="","",INDEX(מלאי!$B$2:$B$500,$K423))</f>
        <v/>
      </c>
      <c r="C423" s="9">
        <f>IF($K423="","",INDEX(מלאי!$C$2:$C$500,$K423))</f>
        <v/>
      </c>
      <c r="D423" s="9">
        <f>IF($K423="","",INDEX(מלאי!$Y$2:$Y$500,$K423))</f>
        <v/>
      </c>
      <c r="E423" s="9">
        <f>IF($K423="","",INDEX(מלאי!$Z$2:$Z$500,$K423))</f>
        <v/>
      </c>
      <c r="F423" s="14">
        <f>IF($K423="","",INDEX(מלאי!$AB$2:$AB$500,$K423))</f>
        <v/>
      </c>
      <c r="G423" s="9">
        <f>IF($K423="","",IF(AND(INDEX(מלאי!$AB$2:$AB$500,$K423)&lt;&gt;"",INDEX(מלאי!$AB$2:$AB$500,$K423)&lt;TODAY()),"באיחור!","תקין"))</f>
        <v/>
      </c>
      <c r="H423" s="9" t="n"/>
      <c r="I423" s="9" t="n"/>
      <c r="J423" s="9" t="n"/>
      <c r="K423" s="9">
        <f>IFERROR(SMALL(IF((מלאי!$D$2:$D$500&lt;&gt;"")*(מלאי!$X$2:$X$500="מושאל"),ROW(מלאי!$A$2:$A$500)-ROW(מלאי!$A$2)+1,""),98),"")</f>
        <v/>
      </c>
      <c r="L423" s="9" t="n"/>
      <c r="M423" s="9" t="n"/>
      <c r="N423" s="9" t="n"/>
      <c r="O423" s="9" t="n"/>
      <c r="P423" s="9" t="n"/>
      <c r="Q423" s="9" t="n"/>
    </row>
    <row r="424">
      <c r="A424" s="8">
        <f>IF($K424="","",INDEX(מלאי!$D$2:$D$500,$K424))</f>
        <v/>
      </c>
      <c r="B424" s="8">
        <f>IF($K424="","",INDEX(מלאי!$B$2:$B$500,$K424))</f>
        <v/>
      </c>
      <c r="C424" s="8">
        <f>IF($K424="","",INDEX(מלאי!$C$2:$C$500,$K424))</f>
        <v/>
      </c>
      <c r="D424" s="8">
        <f>IF($K424="","",INDEX(מלאי!$Y$2:$Y$500,$K424))</f>
        <v/>
      </c>
      <c r="E424" s="8">
        <f>IF($K424="","",INDEX(מלאי!$Z$2:$Z$500,$K424))</f>
        <v/>
      </c>
      <c r="F424" s="13">
        <f>IF($K424="","",INDEX(מלאי!$AB$2:$AB$500,$K424))</f>
        <v/>
      </c>
      <c r="G424" s="8">
        <f>IF($K424="","",IF(AND(INDEX(מלאי!$AB$2:$AB$500,$K424)&lt;&gt;"",INDEX(מלאי!$AB$2:$AB$500,$K424)&lt;TODAY()),"באיחור!","תקין"))</f>
        <v/>
      </c>
      <c r="H424" s="8" t="n"/>
      <c r="I424" s="8" t="n"/>
      <c r="J424" s="8" t="n"/>
      <c r="K424" s="8">
        <f>IFERROR(SMALL(IF((מלאי!$D$2:$D$500&lt;&gt;"")*(מלאי!$X$2:$X$500="מושאל"),ROW(מלאי!$A$2:$A$500)-ROW(מלאי!$A$2)+1,""),99),"")</f>
        <v/>
      </c>
      <c r="L424" s="8" t="n"/>
      <c r="M424" s="8" t="n"/>
      <c r="N424" s="8" t="n"/>
      <c r="O424" s="8" t="n"/>
      <c r="P424" s="8" t="n"/>
      <c r="Q424" s="8" t="n"/>
    </row>
    <row r="425">
      <c r="A425" s="9">
        <f>IF($K425="","",INDEX(מלאי!$D$2:$D$500,$K425))</f>
        <v/>
      </c>
      <c r="B425" s="9">
        <f>IF($K425="","",INDEX(מלאי!$B$2:$B$500,$K425))</f>
        <v/>
      </c>
      <c r="C425" s="9">
        <f>IF($K425="","",INDEX(מלאי!$C$2:$C$500,$K425))</f>
        <v/>
      </c>
      <c r="D425" s="9">
        <f>IF($K425="","",INDEX(מלאי!$Y$2:$Y$500,$K425))</f>
        <v/>
      </c>
      <c r="E425" s="9">
        <f>IF($K425="","",INDEX(מלאי!$Z$2:$Z$500,$K425))</f>
        <v/>
      </c>
      <c r="F425" s="14">
        <f>IF($K425="","",INDEX(מלאי!$AB$2:$AB$500,$K425))</f>
        <v/>
      </c>
      <c r="G425" s="9">
        <f>IF($K425="","",IF(AND(INDEX(מלאי!$AB$2:$AB$500,$K425)&lt;&gt;"",INDEX(מלאי!$AB$2:$AB$500,$K425)&lt;TODAY()),"באיחור!","תקין"))</f>
        <v/>
      </c>
      <c r="H425" s="9" t="n"/>
      <c r="I425" s="9" t="n"/>
      <c r="J425" s="9" t="n"/>
      <c r="K425" s="9">
        <f>IFERROR(SMALL(IF((מלאי!$D$2:$D$500&lt;&gt;"")*(מלאי!$X$2:$X$500="מושאל"),ROW(מלאי!$A$2:$A$500)-ROW(מלאי!$A$2)+1,""),100),"")</f>
        <v/>
      </c>
      <c r="L425" s="9" t="n"/>
      <c r="M425" s="9" t="n"/>
      <c r="N425" s="9" t="n"/>
      <c r="O425" s="9" t="n"/>
      <c r="P425" s="9" t="n"/>
      <c r="Q425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0">
      <formula>G326="באיחור!"</formula>
    </cfRule>
  </conditionalFormatting>
  <conditionalFormatting sqref="A326:G425">
    <cfRule type="expression" priority="2" dxfId="1">
      <formula>$G326="באיחור!"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7" t="inlineStr">
        <is>
          <t>מזהה פריט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קו מוצר</t>
        </is>
      </c>
      <c r="E1" s="7" t="inlineStr">
        <is>
          <t>הדפס צד A</t>
        </is>
      </c>
      <c r="F1" s="7" t="inlineStr">
        <is>
          <t>MWIR צד A</t>
        </is>
      </c>
      <c r="G1" s="7" t="inlineStr">
        <is>
          <t>LWIR צד A</t>
        </is>
      </c>
      <c r="H1" s="7" t="inlineStr">
        <is>
          <t>NIR צד A</t>
        </is>
      </c>
      <c r="I1" s="7" t="inlineStr">
        <is>
          <t>הדפס צד B</t>
        </is>
      </c>
      <c r="J1" s="7" t="inlineStr">
        <is>
          <t>MWIR צד B</t>
        </is>
      </c>
      <c r="K1" s="7" t="inlineStr">
        <is>
          <t>LWIR צד B</t>
        </is>
      </c>
      <c r="L1" s="7" t="inlineStr">
        <is>
          <t>NIR צד B</t>
        </is>
      </c>
      <c r="M1" s="7" t="inlineStr">
        <is>
          <t>נובל</t>
        </is>
      </c>
      <c r="N1" s="7" t="inlineStr">
        <is>
          <t>ממוצע MWIR</t>
        </is>
      </c>
      <c r="O1" s="7" t="inlineStr">
        <is>
          <t>ממוצע LWIR</t>
        </is>
      </c>
      <c r="P1" s="7" t="inlineStr">
        <is>
          <t>ממוצע משולב</t>
        </is>
      </c>
    </row>
    <row r="2">
      <c r="A2" s="15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1" t="n"/>
      <c r="G2" s="21" t="n"/>
      <c r="H2" s="21" t="n"/>
      <c r="I2">
        <f>IFERROR(INDEX(מלאי!$N$2:$N$500,MATCH(A2,מלאי!$D$2:$D$500,0)),"")</f>
        <v/>
      </c>
      <c r="J2" s="21" t="n"/>
      <c r="K2" s="21" t="n"/>
      <c r="L2" s="21" t="n"/>
      <c r="M2" s="15" t="n"/>
      <c r="N2" s="22">
        <f>IF(F2="","",IF(J2&lt;&gt;"",AVERAGE(F2,J2),F2))</f>
        <v/>
      </c>
      <c r="O2" s="22">
        <f>IF(G2="","",IF(K2&lt;&gt;"",AVERAGE(G2,K2),G2))</f>
        <v/>
      </c>
      <c r="P2" s="22">
        <f>IF(OR(N2="",O2=""),"",AVERAGE(N2,O2))</f>
        <v/>
      </c>
    </row>
    <row r="3">
      <c r="A3" s="15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1" t="n"/>
      <c r="G3" s="21" t="n"/>
      <c r="H3" s="21" t="n"/>
      <c r="I3">
        <f>IFERROR(INDEX(מלאי!$N$2:$N$500,MATCH(A3,מלאי!$D$2:$D$500,0)),"")</f>
        <v/>
      </c>
      <c r="J3" s="21" t="n"/>
      <c r="K3" s="21" t="n"/>
      <c r="L3" s="21" t="n"/>
      <c r="M3" s="15" t="n"/>
      <c r="N3" s="22">
        <f>IF(F3="","",IF(J3&lt;&gt;"",AVERAGE(F3,J3),F3))</f>
        <v/>
      </c>
      <c r="O3" s="22">
        <f>IF(G3="","",IF(K3&lt;&gt;"",AVERAGE(G3,K3),G3))</f>
        <v/>
      </c>
      <c r="P3" s="22">
        <f>IF(OR(N3="",O3=""),"",AVERAGE(N3,O3))</f>
        <v/>
      </c>
    </row>
    <row r="4">
      <c r="A4" s="15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1" t="n"/>
      <c r="G4" s="21" t="n"/>
      <c r="H4" s="21" t="n"/>
      <c r="I4">
        <f>IFERROR(INDEX(מלאי!$N$2:$N$500,MATCH(A4,מלאי!$D$2:$D$500,0)),"")</f>
        <v/>
      </c>
      <c r="J4" s="21" t="n"/>
      <c r="K4" s="21" t="n"/>
      <c r="L4" s="21" t="n"/>
      <c r="M4" s="15" t="n"/>
      <c r="N4" s="22">
        <f>IF(F4="","",IF(J4&lt;&gt;"",AVERAGE(F4,J4),F4))</f>
        <v/>
      </c>
      <c r="O4" s="22">
        <f>IF(G4="","",IF(K4&lt;&gt;"",AVERAGE(G4,K4),G4))</f>
        <v/>
      </c>
      <c r="P4" s="22">
        <f>IF(OR(N4="",O4=""),"",AVERAGE(N4,O4))</f>
        <v/>
      </c>
    </row>
    <row r="5">
      <c r="A5" s="15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1" t="n"/>
      <c r="G5" s="21" t="n"/>
      <c r="H5" s="21" t="n"/>
      <c r="I5">
        <f>IFERROR(INDEX(מלאי!$N$2:$N$500,MATCH(A5,מלאי!$D$2:$D$500,0)),"")</f>
        <v/>
      </c>
      <c r="J5" s="21" t="n"/>
      <c r="K5" s="21" t="n"/>
      <c r="L5" s="21" t="n"/>
      <c r="M5" s="15" t="n"/>
      <c r="N5" s="22">
        <f>IF(F5="","",IF(J5&lt;&gt;"",AVERAGE(F5,J5),F5))</f>
        <v/>
      </c>
      <c r="O5" s="22">
        <f>IF(G5="","",IF(K5&lt;&gt;"",AVERAGE(G5,K5),G5))</f>
        <v/>
      </c>
      <c r="P5" s="22">
        <f>IF(OR(N5="",O5=""),"",AVERAGE(N5,O5))</f>
        <v/>
      </c>
    </row>
    <row r="6">
      <c r="A6" s="15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1" t="n"/>
      <c r="G6" s="21" t="n"/>
      <c r="H6" s="21" t="n"/>
      <c r="I6">
        <f>IFERROR(INDEX(מלאי!$N$2:$N$500,MATCH(A6,מלאי!$D$2:$D$500,0)),"")</f>
        <v/>
      </c>
      <c r="J6" s="21" t="n"/>
      <c r="K6" s="21" t="n"/>
      <c r="L6" s="21" t="n"/>
      <c r="M6" s="15" t="n"/>
      <c r="N6" s="22">
        <f>IF(F6="","",IF(J6&lt;&gt;"",AVERAGE(F6,J6),F6))</f>
        <v/>
      </c>
      <c r="O6" s="22">
        <f>IF(G6="","",IF(K6&lt;&gt;"",AVERAGE(G6,K6),G6))</f>
        <v/>
      </c>
      <c r="P6" s="22">
        <f>IF(OR(N6="",O6=""),"",AVERAGE(N6,O6))</f>
        <v/>
      </c>
    </row>
    <row r="7">
      <c r="A7" s="15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1" t="n"/>
      <c r="G7" s="21" t="n"/>
      <c r="H7" s="21" t="n"/>
      <c r="I7">
        <f>IFERROR(INDEX(מלאי!$N$2:$N$500,MATCH(A7,מלאי!$D$2:$D$500,0)),"")</f>
        <v/>
      </c>
      <c r="J7" s="21" t="n"/>
      <c r="K7" s="21" t="n"/>
      <c r="L7" s="21" t="n"/>
      <c r="M7" s="15" t="n"/>
      <c r="N7" s="22">
        <f>IF(F7="","",IF(J7&lt;&gt;"",AVERAGE(F7,J7),F7))</f>
        <v/>
      </c>
      <c r="O7" s="22">
        <f>IF(G7="","",IF(K7&lt;&gt;"",AVERAGE(G7,K7),G7))</f>
        <v/>
      </c>
      <c r="P7" s="22">
        <f>IF(OR(N7="",O7=""),"",AVERAGE(N7,O7))</f>
        <v/>
      </c>
    </row>
    <row r="8">
      <c r="A8" s="15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1" t="n"/>
      <c r="G8" s="21" t="n"/>
      <c r="H8" s="21" t="n"/>
      <c r="I8">
        <f>IFERROR(INDEX(מלאי!$N$2:$N$500,MATCH(A8,מלאי!$D$2:$D$500,0)),"")</f>
        <v/>
      </c>
      <c r="J8" s="21" t="n"/>
      <c r="K8" s="21" t="n"/>
      <c r="L8" s="21" t="n"/>
      <c r="M8" s="15" t="n"/>
      <c r="N8" s="22">
        <f>IF(F8="","",IF(J8&lt;&gt;"",AVERAGE(F8,J8),F8))</f>
        <v/>
      </c>
      <c r="O8" s="22">
        <f>IF(G8="","",IF(K8&lt;&gt;"",AVERAGE(G8,K8),G8))</f>
        <v/>
      </c>
      <c r="P8" s="22">
        <f>IF(OR(N8="",O8=""),"",AVERAGE(N8,O8))</f>
        <v/>
      </c>
    </row>
    <row r="9">
      <c r="A9" s="15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1" t="n"/>
      <c r="G9" s="21" t="n"/>
      <c r="H9" s="21" t="n"/>
      <c r="I9">
        <f>IFERROR(INDEX(מלאי!$N$2:$N$500,MATCH(A9,מלאי!$D$2:$D$500,0)),"")</f>
        <v/>
      </c>
      <c r="J9" s="21" t="n"/>
      <c r="K9" s="21" t="n"/>
      <c r="L9" s="21" t="n"/>
      <c r="M9" s="15" t="n"/>
      <c r="N9" s="22">
        <f>IF(F9="","",IF(J9&lt;&gt;"",AVERAGE(F9,J9),F9))</f>
        <v/>
      </c>
      <c r="O9" s="22">
        <f>IF(G9="","",IF(K9&lt;&gt;"",AVERAGE(G9,K9),G9))</f>
        <v/>
      </c>
      <c r="P9" s="22">
        <f>IF(OR(N9="",O9=""),"",AVERAGE(N9,O9))</f>
        <v/>
      </c>
    </row>
    <row r="10">
      <c r="A10" s="15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1" t="n"/>
      <c r="G10" s="21" t="n"/>
      <c r="H10" s="21" t="n"/>
      <c r="I10">
        <f>IFERROR(INDEX(מלאי!$N$2:$N$500,MATCH(A10,מלאי!$D$2:$D$500,0)),"")</f>
        <v/>
      </c>
      <c r="J10" s="21" t="n"/>
      <c r="K10" s="21" t="n"/>
      <c r="L10" s="21" t="n"/>
      <c r="M10" s="15" t="n"/>
      <c r="N10" s="22">
        <f>IF(F10="","",IF(J10&lt;&gt;"",AVERAGE(F10,J10),F10))</f>
        <v/>
      </c>
      <c r="O10" s="22">
        <f>IF(G10="","",IF(K10&lt;&gt;"",AVERAGE(G10,K10),G10))</f>
        <v/>
      </c>
      <c r="P10" s="22">
        <f>IF(OR(N10="",O10=""),"",AVERAGE(N10,O10))</f>
        <v/>
      </c>
    </row>
    <row r="11">
      <c r="A11" s="15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1" t="n"/>
      <c r="G11" s="21" t="n"/>
      <c r="H11" s="21" t="n"/>
      <c r="I11">
        <f>IFERROR(INDEX(מלאי!$N$2:$N$500,MATCH(A11,מלאי!$D$2:$D$500,0)),"")</f>
        <v/>
      </c>
      <c r="J11" s="21" t="n"/>
      <c r="K11" s="21" t="n"/>
      <c r="L11" s="21" t="n"/>
      <c r="M11" s="15" t="n"/>
      <c r="N11" s="22">
        <f>IF(F11="","",IF(J11&lt;&gt;"",AVERAGE(F11,J11),F11))</f>
        <v/>
      </c>
      <c r="O11" s="22">
        <f>IF(G11="","",IF(K11&lt;&gt;"",AVERAGE(G11,K11),G11))</f>
        <v/>
      </c>
      <c r="P11" s="22">
        <f>IF(OR(N11="",O11=""),"",AVERAGE(N11,O11))</f>
        <v/>
      </c>
    </row>
    <row r="12">
      <c r="A12" s="15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1" t="n"/>
      <c r="G12" s="21" t="n"/>
      <c r="H12" s="21" t="n"/>
      <c r="I12">
        <f>IFERROR(INDEX(מלאי!$N$2:$N$500,MATCH(A12,מלאי!$D$2:$D$500,0)),"")</f>
        <v/>
      </c>
      <c r="J12" s="21" t="n"/>
      <c r="K12" s="21" t="n"/>
      <c r="L12" s="21" t="n"/>
      <c r="M12" s="15" t="n"/>
      <c r="N12" s="22">
        <f>IF(F12="","",IF(J12&lt;&gt;"",AVERAGE(F12,J12),F12))</f>
        <v/>
      </c>
      <c r="O12" s="22">
        <f>IF(G12="","",IF(K12&lt;&gt;"",AVERAGE(G12,K12),G12))</f>
        <v/>
      </c>
      <c r="P12" s="22">
        <f>IF(OR(N12="",O12=""),"",AVERAGE(N12,O12))</f>
        <v/>
      </c>
    </row>
    <row r="13">
      <c r="A13" s="15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1" t="n"/>
      <c r="G13" s="21" t="n"/>
      <c r="H13" s="21" t="n"/>
      <c r="I13">
        <f>IFERROR(INDEX(מלאי!$N$2:$N$500,MATCH(A13,מלאי!$D$2:$D$500,0)),"")</f>
        <v/>
      </c>
      <c r="J13" s="21" t="n"/>
      <c r="K13" s="21" t="n"/>
      <c r="L13" s="21" t="n"/>
      <c r="M13" s="15" t="n"/>
      <c r="N13" s="22">
        <f>IF(F13="","",IF(J13&lt;&gt;"",AVERAGE(F13,J13),F13))</f>
        <v/>
      </c>
      <c r="O13" s="22">
        <f>IF(G13="","",IF(K13&lt;&gt;"",AVERAGE(G13,K13),G13))</f>
        <v/>
      </c>
      <c r="P13" s="22">
        <f>IF(OR(N13="",O13=""),"",AVERAGE(N13,O13))</f>
        <v/>
      </c>
    </row>
    <row r="14">
      <c r="A14" s="15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1" t="n"/>
      <c r="G14" s="21" t="n"/>
      <c r="H14" s="21" t="n"/>
      <c r="I14">
        <f>IFERROR(INDEX(מלאי!$N$2:$N$500,MATCH(A14,מלאי!$D$2:$D$500,0)),"")</f>
        <v/>
      </c>
      <c r="J14" s="21" t="n"/>
      <c r="K14" s="21" t="n"/>
      <c r="L14" s="21" t="n"/>
      <c r="M14" s="15" t="n"/>
      <c r="N14" s="22">
        <f>IF(F14="","",IF(J14&lt;&gt;"",AVERAGE(F14,J14),F14))</f>
        <v/>
      </c>
      <c r="O14" s="22">
        <f>IF(G14="","",IF(K14&lt;&gt;"",AVERAGE(G14,K14),G14))</f>
        <v/>
      </c>
      <c r="P14" s="22">
        <f>IF(OR(N14="",O14=""),"",AVERAGE(N14,O14))</f>
        <v/>
      </c>
    </row>
    <row r="15">
      <c r="A15" s="15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1" t="n"/>
      <c r="G15" s="21" t="n"/>
      <c r="H15" s="21" t="n"/>
      <c r="I15">
        <f>IFERROR(INDEX(מלאי!$N$2:$N$500,MATCH(A15,מלאי!$D$2:$D$500,0)),"")</f>
        <v/>
      </c>
      <c r="J15" s="21" t="n"/>
      <c r="K15" s="21" t="n"/>
      <c r="L15" s="21" t="n"/>
      <c r="M15" s="15" t="n"/>
      <c r="N15" s="22">
        <f>IF(F15="","",IF(J15&lt;&gt;"",AVERAGE(F15,J15),F15))</f>
        <v/>
      </c>
      <c r="O15" s="22">
        <f>IF(G15="","",IF(K15&lt;&gt;"",AVERAGE(G15,K15),G15))</f>
        <v/>
      </c>
      <c r="P15" s="22">
        <f>IF(OR(N15="",O15=""),"",AVERAGE(N15,O15))</f>
        <v/>
      </c>
    </row>
    <row r="16">
      <c r="A16" s="15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1" t="n"/>
      <c r="G16" s="21" t="n"/>
      <c r="H16" s="21" t="n"/>
      <c r="I16">
        <f>IFERROR(INDEX(מלאי!$N$2:$N$500,MATCH(A16,מלאי!$D$2:$D$500,0)),"")</f>
        <v/>
      </c>
      <c r="J16" s="21" t="n"/>
      <c r="K16" s="21" t="n"/>
      <c r="L16" s="21" t="n"/>
      <c r="M16" s="15" t="n"/>
      <c r="N16" s="22">
        <f>IF(F16="","",IF(J16&lt;&gt;"",AVERAGE(F16,J16),F16))</f>
        <v/>
      </c>
      <c r="O16" s="22">
        <f>IF(G16="","",IF(K16&lt;&gt;"",AVERAGE(G16,K16),G16))</f>
        <v/>
      </c>
      <c r="P16" s="22">
        <f>IF(OR(N16="",O16=""),"",AVERAGE(N16,O16))</f>
        <v/>
      </c>
    </row>
    <row r="17">
      <c r="A17" s="15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1" t="n"/>
      <c r="G17" s="21" t="n"/>
      <c r="H17" s="21" t="n"/>
      <c r="I17">
        <f>IFERROR(INDEX(מלאי!$N$2:$N$500,MATCH(A17,מלאי!$D$2:$D$500,0)),"")</f>
        <v/>
      </c>
      <c r="J17" s="21" t="n"/>
      <c r="K17" s="21" t="n"/>
      <c r="L17" s="21" t="n"/>
      <c r="M17" s="15" t="n"/>
      <c r="N17" s="22">
        <f>IF(F17="","",IF(J17&lt;&gt;"",AVERAGE(F17,J17),F17))</f>
        <v/>
      </c>
      <c r="O17" s="22">
        <f>IF(G17="","",IF(K17&lt;&gt;"",AVERAGE(G17,K17),G17))</f>
        <v/>
      </c>
      <c r="P17" s="22">
        <f>IF(OR(N17="",O17=""),"",AVERAGE(N17,O17))</f>
        <v/>
      </c>
    </row>
    <row r="18">
      <c r="A18" s="15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1" t="n"/>
      <c r="G18" s="21" t="n"/>
      <c r="H18" s="21" t="n"/>
      <c r="I18">
        <f>IFERROR(INDEX(מלאי!$N$2:$N$500,MATCH(A18,מלאי!$D$2:$D$500,0)),"")</f>
        <v/>
      </c>
      <c r="J18" s="21" t="n"/>
      <c r="K18" s="21" t="n"/>
      <c r="L18" s="21" t="n"/>
      <c r="M18" s="15" t="n"/>
      <c r="N18" s="22">
        <f>IF(F18="","",IF(J18&lt;&gt;"",AVERAGE(F18,J18),F18))</f>
        <v/>
      </c>
      <c r="O18" s="22">
        <f>IF(G18="","",IF(K18&lt;&gt;"",AVERAGE(G18,K18),G18))</f>
        <v/>
      </c>
      <c r="P18" s="22">
        <f>IF(OR(N18="",O18=""),"",AVERAGE(N18,O18))</f>
        <v/>
      </c>
    </row>
    <row r="19">
      <c r="A19" s="15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1" t="n"/>
      <c r="G19" s="21" t="n"/>
      <c r="H19" s="21" t="n"/>
      <c r="I19">
        <f>IFERROR(INDEX(מלאי!$N$2:$N$500,MATCH(A19,מלאי!$D$2:$D$500,0)),"")</f>
        <v/>
      </c>
      <c r="J19" s="21" t="n"/>
      <c r="K19" s="21" t="n"/>
      <c r="L19" s="21" t="n"/>
      <c r="M19" s="15" t="n"/>
      <c r="N19" s="22">
        <f>IF(F19="","",IF(J19&lt;&gt;"",AVERAGE(F19,J19),F19))</f>
        <v/>
      </c>
      <c r="O19" s="22">
        <f>IF(G19="","",IF(K19&lt;&gt;"",AVERAGE(G19,K19),G19))</f>
        <v/>
      </c>
      <c r="P19" s="22">
        <f>IF(OR(N19="",O19=""),"",AVERAGE(N19,O19))</f>
        <v/>
      </c>
    </row>
    <row r="20">
      <c r="A20" s="15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1" t="n"/>
      <c r="G20" s="21" t="n"/>
      <c r="H20" s="21" t="n"/>
      <c r="I20">
        <f>IFERROR(INDEX(מלאי!$N$2:$N$500,MATCH(A20,מלאי!$D$2:$D$500,0)),"")</f>
        <v/>
      </c>
      <c r="J20" s="21" t="n"/>
      <c r="K20" s="21" t="n"/>
      <c r="L20" s="21" t="n"/>
      <c r="M20" s="15" t="n"/>
      <c r="N20" s="22">
        <f>IF(F20="","",IF(J20&lt;&gt;"",AVERAGE(F20,J20),F20))</f>
        <v/>
      </c>
      <c r="O20" s="22">
        <f>IF(G20="","",IF(K20&lt;&gt;"",AVERAGE(G20,K20),G20))</f>
        <v/>
      </c>
      <c r="P20" s="22">
        <f>IF(OR(N20="",O20=""),"",AVERAGE(N20,O20))</f>
        <v/>
      </c>
    </row>
    <row r="21">
      <c r="A21" s="15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1" t="n"/>
      <c r="G21" s="21" t="n"/>
      <c r="H21" s="21" t="n"/>
      <c r="I21">
        <f>IFERROR(INDEX(מלאי!$N$2:$N$500,MATCH(A21,מלאי!$D$2:$D$500,0)),"")</f>
        <v/>
      </c>
      <c r="J21" s="21" t="n"/>
      <c r="K21" s="21" t="n"/>
      <c r="L21" s="21" t="n"/>
      <c r="M21" s="15" t="n"/>
      <c r="N21" s="22">
        <f>IF(F21="","",IF(J21&lt;&gt;"",AVERAGE(F21,J21),F21))</f>
        <v/>
      </c>
      <c r="O21" s="22">
        <f>IF(G21="","",IF(K21&lt;&gt;"",AVERAGE(G21,K21),G21))</f>
        <v/>
      </c>
      <c r="P21" s="22">
        <f>IF(OR(N21="",O21=""),"",AVERAGE(N21,O21))</f>
        <v/>
      </c>
    </row>
    <row r="22">
      <c r="A22" s="15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1" t="n"/>
      <c r="G22" s="21" t="n"/>
      <c r="H22" s="21" t="n"/>
      <c r="I22">
        <f>IFERROR(INDEX(מלאי!$N$2:$N$500,MATCH(A22,מלאי!$D$2:$D$500,0)),"")</f>
        <v/>
      </c>
      <c r="J22" s="21" t="n"/>
      <c r="K22" s="21" t="n"/>
      <c r="L22" s="21" t="n"/>
      <c r="M22" s="15" t="n"/>
      <c r="N22" s="22">
        <f>IF(F22="","",IF(J22&lt;&gt;"",AVERAGE(F22,J22),F22))</f>
        <v/>
      </c>
      <c r="O22" s="22">
        <f>IF(G22="","",IF(K22&lt;&gt;"",AVERAGE(G22,K22),G22))</f>
        <v/>
      </c>
      <c r="P22" s="22">
        <f>IF(OR(N22="",O22=""),"",AVERAGE(N22,O22))</f>
        <v/>
      </c>
    </row>
    <row r="23">
      <c r="A23" s="15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1" t="n"/>
      <c r="G23" s="21" t="n"/>
      <c r="H23" s="21" t="n"/>
      <c r="I23">
        <f>IFERROR(INDEX(מלאי!$N$2:$N$500,MATCH(A23,מלאי!$D$2:$D$500,0)),"")</f>
        <v/>
      </c>
      <c r="J23" s="21" t="n"/>
      <c r="K23" s="21" t="n"/>
      <c r="L23" s="21" t="n"/>
      <c r="M23" s="15" t="n"/>
      <c r="N23" s="22">
        <f>IF(F23="","",IF(J23&lt;&gt;"",AVERAGE(F23,J23),F23))</f>
        <v/>
      </c>
      <c r="O23" s="22">
        <f>IF(G23="","",IF(K23&lt;&gt;"",AVERAGE(G23,K23),G23))</f>
        <v/>
      </c>
      <c r="P23" s="22">
        <f>IF(OR(N23="",O23=""),"",AVERAGE(N23,O23))</f>
        <v/>
      </c>
    </row>
    <row r="24">
      <c r="A24" s="15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1" t="n"/>
      <c r="G24" s="21" t="n"/>
      <c r="H24" s="21" t="n"/>
      <c r="I24">
        <f>IFERROR(INDEX(מלאי!$N$2:$N$500,MATCH(A24,מלאי!$D$2:$D$500,0)),"")</f>
        <v/>
      </c>
      <c r="J24" s="21" t="n"/>
      <c r="K24" s="21" t="n"/>
      <c r="L24" s="21" t="n"/>
      <c r="M24" s="15" t="n"/>
      <c r="N24" s="22">
        <f>IF(F24="","",IF(J24&lt;&gt;"",AVERAGE(F24,J24),F24))</f>
        <v/>
      </c>
      <c r="O24" s="22">
        <f>IF(G24="","",IF(K24&lt;&gt;"",AVERAGE(G24,K24),G24))</f>
        <v/>
      </c>
      <c r="P24" s="22">
        <f>IF(OR(N24="",O24=""),"",AVERAGE(N24,O24))</f>
        <v/>
      </c>
    </row>
    <row r="25">
      <c r="A25" s="15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1" t="n"/>
      <c r="G25" s="21" t="n"/>
      <c r="H25" s="21" t="n"/>
      <c r="I25">
        <f>IFERROR(INDEX(מלאי!$N$2:$N$500,MATCH(A25,מלאי!$D$2:$D$500,0)),"")</f>
        <v/>
      </c>
      <c r="J25" s="21" t="n"/>
      <c r="K25" s="21" t="n"/>
      <c r="L25" s="21" t="n"/>
      <c r="M25" s="15" t="n"/>
      <c r="N25" s="22">
        <f>IF(F25="","",IF(J25&lt;&gt;"",AVERAGE(F25,J25),F25))</f>
        <v/>
      </c>
      <c r="O25" s="22">
        <f>IF(G25="","",IF(K25&lt;&gt;"",AVERAGE(G25,K25),G25))</f>
        <v/>
      </c>
      <c r="P25" s="22">
        <f>IF(OR(N25="",O25=""),"",AVERAGE(N25,O25))</f>
        <v/>
      </c>
    </row>
    <row r="26">
      <c r="A26" s="15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1" t="n"/>
      <c r="G26" s="21" t="n"/>
      <c r="H26" s="21" t="n"/>
      <c r="I26">
        <f>IFERROR(INDEX(מלאי!$N$2:$N$500,MATCH(A26,מלאי!$D$2:$D$500,0)),"")</f>
        <v/>
      </c>
      <c r="J26" s="21" t="n"/>
      <c r="K26" s="21" t="n"/>
      <c r="L26" s="21" t="n"/>
      <c r="M26" s="15" t="n"/>
      <c r="N26" s="22">
        <f>IF(F26="","",IF(J26&lt;&gt;"",AVERAGE(F26,J26),F26))</f>
        <v/>
      </c>
      <c r="O26" s="22">
        <f>IF(G26="","",IF(K26&lt;&gt;"",AVERAGE(G26,K26),G26))</f>
        <v/>
      </c>
      <c r="P26" s="22">
        <f>IF(OR(N26="",O26=""),"",AVERAGE(N26,O26))</f>
        <v/>
      </c>
    </row>
    <row r="27">
      <c r="A27" s="15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1" t="n"/>
      <c r="G27" s="21" t="n"/>
      <c r="H27" s="21" t="n"/>
      <c r="I27">
        <f>IFERROR(INDEX(מלאי!$N$2:$N$500,MATCH(A27,מלאי!$D$2:$D$500,0)),"")</f>
        <v/>
      </c>
      <c r="J27" s="21" t="n"/>
      <c r="K27" s="21" t="n"/>
      <c r="L27" s="21" t="n"/>
      <c r="M27" s="15" t="n"/>
      <c r="N27" s="22">
        <f>IF(F27="","",IF(J27&lt;&gt;"",AVERAGE(F27,J27),F27))</f>
        <v/>
      </c>
      <c r="O27" s="22">
        <f>IF(G27="","",IF(K27&lt;&gt;"",AVERAGE(G27,K27),G27))</f>
        <v/>
      </c>
      <c r="P27" s="22">
        <f>IF(OR(N27="",O27=""),"",AVERAGE(N27,O27))</f>
        <v/>
      </c>
    </row>
    <row r="28">
      <c r="A28" s="15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1" t="n"/>
      <c r="G28" s="21" t="n"/>
      <c r="H28" s="21" t="n"/>
      <c r="I28">
        <f>IFERROR(INDEX(מלאי!$N$2:$N$500,MATCH(A28,מלאי!$D$2:$D$500,0)),"")</f>
        <v/>
      </c>
      <c r="J28" s="21" t="n"/>
      <c r="K28" s="21" t="n"/>
      <c r="L28" s="21" t="n"/>
      <c r="M28" s="15" t="n"/>
      <c r="N28" s="22">
        <f>IF(F28="","",IF(J28&lt;&gt;"",AVERAGE(F28,J28),F28))</f>
        <v/>
      </c>
      <c r="O28" s="22">
        <f>IF(G28="","",IF(K28&lt;&gt;"",AVERAGE(G28,K28),G28))</f>
        <v/>
      </c>
      <c r="P28" s="22">
        <f>IF(OR(N28="",O28=""),"",AVERAGE(N28,O28))</f>
        <v/>
      </c>
    </row>
    <row r="29">
      <c r="A29" s="15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1" t="n"/>
      <c r="G29" s="21" t="n"/>
      <c r="H29" s="21" t="n"/>
      <c r="I29">
        <f>IFERROR(INDEX(מלאי!$N$2:$N$500,MATCH(A29,מלאי!$D$2:$D$500,0)),"")</f>
        <v/>
      </c>
      <c r="J29" s="21" t="n"/>
      <c r="K29" s="21" t="n"/>
      <c r="L29" s="21" t="n"/>
      <c r="M29" s="15" t="n"/>
      <c r="N29" s="22">
        <f>IF(F29="","",IF(J29&lt;&gt;"",AVERAGE(F29,J29),F29))</f>
        <v/>
      </c>
      <c r="O29" s="22">
        <f>IF(G29="","",IF(K29&lt;&gt;"",AVERAGE(G29,K29),G29))</f>
        <v/>
      </c>
      <c r="P29" s="22">
        <f>IF(OR(N29="",O29=""),"",AVERAGE(N29,O29))</f>
        <v/>
      </c>
    </row>
    <row r="30">
      <c r="A30" s="15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1" t="n"/>
      <c r="G30" s="21" t="n"/>
      <c r="H30" s="21" t="n"/>
      <c r="I30">
        <f>IFERROR(INDEX(מלאי!$N$2:$N$500,MATCH(A30,מלאי!$D$2:$D$500,0)),"")</f>
        <v/>
      </c>
      <c r="J30" s="21" t="n"/>
      <c r="K30" s="21" t="n"/>
      <c r="L30" s="21" t="n"/>
      <c r="M30" s="15" t="n"/>
      <c r="N30" s="22">
        <f>IF(F30="","",IF(J30&lt;&gt;"",AVERAGE(F30,J30),F30))</f>
        <v/>
      </c>
      <c r="O30" s="22">
        <f>IF(G30="","",IF(K30&lt;&gt;"",AVERAGE(G30,K30),G30))</f>
        <v/>
      </c>
      <c r="P30" s="22">
        <f>IF(OR(N30="",O30=""),"",AVERAGE(N30,O30))</f>
        <v/>
      </c>
    </row>
    <row r="31">
      <c r="A31" s="15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1" t="n"/>
      <c r="G31" s="21" t="n"/>
      <c r="H31" s="21" t="n"/>
      <c r="I31">
        <f>IFERROR(INDEX(מלאי!$N$2:$N$500,MATCH(A31,מלאי!$D$2:$D$500,0)),"")</f>
        <v/>
      </c>
      <c r="J31" s="21" t="n"/>
      <c r="K31" s="21" t="n"/>
      <c r="L31" s="21" t="n"/>
      <c r="M31" s="15" t="n"/>
      <c r="N31" s="22">
        <f>IF(F31="","",IF(J31&lt;&gt;"",AVERAGE(F31,J31),F31))</f>
        <v/>
      </c>
      <c r="O31" s="22">
        <f>IF(G31="","",IF(K31&lt;&gt;"",AVERAGE(G31,K31),G31))</f>
        <v/>
      </c>
      <c r="P31" s="22">
        <f>IF(OR(N31="",O31=""),"",AVERAGE(N31,O31))</f>
        <v/>
      </c>
    </row>
    <row r="32">
      <c r="A32" s="15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1" t="n"/>
      <c r="G32" s="21" t="n"/>
      <c r="H32" s="21" t="n"/>
      <c r="I32">
        <f>IFERROR(INDEX(מלאי!$N$2:$N$500,MATCH(A32,מלאי!$D$2:$D$500,0)),"")</f>
        <v/>
      </c>
      <c r="J32" s="21" t="n"/>
      <c r="K32" s="21" t="n"/>
      <c r="L32" s="21" t="n"/>
      <c r="M32" s="15" t="n"/>
      <c r="N32" s="22">
        <f>IF(F32="","",IF(J32&lt;&gt;"",AVERAGE(F32,J32),F32))</f>
        <v/>
      </c>
      <c r="O32" s="22">
        <f>IF(G32="","",IF(K32&lt;&gt;"",AVERAGE(G32,K32),G32))</f>
        <v/>
      </c>
      <c r="P32" s="22">
        <f>IF(OR(N32="",O32=""),"",AVERAGE(N32,O32))</f>
        <v/>
      </c>
    </row>
    <row r="33">
      <c r="A33" s="15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1" t="n"/>
      <c r="G33" s="21" t="n"/>
      <c r="H33" s="21" t="n"/>
      <c r="I33">
        <f>IFERROR(INDEX(מלאי!$N$2:$N$500,MATCH(A33,מלאי!$D$2:$D$500,0)),"")</f>
        <v/>
      </c>
      <c r="J33" s="21" t="n"/>
      <c r="K33" s="21" t="n"/>
      <c r="L33" s="21" t="n"/>
      <c r="M33" s="15" t="n"/>
      <c r="N33" s="22">
        <f>IF(F33="","",IF(J33&lt;&gt;"",AVERAGE(F33,J33),F33))</f>
        <v/>
      </c>
      <c r="O33" s="22">
        <f>IF(G33="","",IF(K33&lt;&gt;"",AVERAGE(G33,K33),G33))</f>
        <v/>
      </c>
      <c r="P33" s="22">
        <f>IF(OR(N33="",O33=""),"",AVERAGE(N33,O33))</f>
        <v/>
      </c>
    </row>
    <row r="34">
      <c r="A34" s="15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1" t="n"/>
      <c r="G34" s="21" t="n"/>
      <c r="H34" s="21" t="n"/>
      <c r="I34">
        <f>IFERROR(INDEX(מלאי!$N$2:$N$500,MATCH(A34,מלאי!$D$2:$D$500,0)),"")</f>
        <v/>
      </c>
      <c r="J34" s="21" t="n"/>
      <c r="K34" s="21" t="n"/>
      <c r="L34" s="21" t="n"/>
      <c r="M34" s="15" t="n"/>
      <c r="N34" s="22">
        <f>IF(F34="","",IF(J34&lt;&gt;"",AVERAGE(F34,J34),F34))</f>
        <v/>
      </c>
      <c r="O34" s="22">
        <f>IF(G34="","",IF(K34&lt;&gt;"",AVERAGE(G34,K34),G34))</f>
        <v/>
      </c>
      <c r="P34" s="22">
        <f>IF(OR(N34="",O34=""),"",AVERAGE(N34,O34))</f>
        <v/>
      </c>
    </row>
    <row r="35">
      <c r="A35" s="15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1" t="n"/>
      <c r="G35" s="21" t="n"/>
      <c r="H35" s="21" t="n"/>
      <c r="I35">
        <f>IFERROR(INDEX(מלאי!$N$2:$N$500,MATCH(A35,מלאי!$D$2:$D$500,0)),"")</f>
        <v/>
      </c>
      <c r="J35" s="21" t="n"/>
      <c r="K35" s="21" t="n"/>
      <c r="L35" s="21" t="n"/>
      <c r="M35" s="15" t="n"/>
      <c r="N35" s="22">
        <f>IF(F35="","",IF(J35&lt;&gt;"",AVERAGE(F35,J35),F35))</f>
        <v/>
      </c>
      <c r="O35" s="22">
        <f>IF(G35="","",IF(K35&lt;&gt;"",AVERAGE(G35,K35),G35))</f>
        <v/>
      </c>
      <c r="P35" s="22">
        <f>IF(OR(N35="",O35=""),"",AVERAGE(N35,O35))</f>
        <v/>
      </c>
    </row>
    <row r="36">
      <c r="A36" s="15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1" t="n"/>
      <c r="G36" s="21" t="n"/>
      <c r="H36" s="21" t="n"/>
      <c r="I36">
        <f>IFERROR(INDEX(מלאי!$N$2:$N$500,MATCH(A36,מלאי!$D$2:$D$500,0)),"")</f>
        <v/>
      </c>
      <c r="J36" s="21" t="n"/>
      <c r="K36" s="21" t="n"/>
      <c r="L36" s="21" t="n"/>
      <c r="M36" s="15" t="n"/>
      <c r="N36" s="22">
        <f>IF(F36="","",IF(J36&lt;&gt;"",AVERAGE(F36,J36),F36))</f>
        <v/>
      </c>
      <c r="O36" s="22">
        <f>IF(G36="","",IF(K36&lt;&gt;"",AVERAGE(G36,K36),G36))</f>
        <v/>
      </c>
      <c r="P36" s="22">
        <f>IF(OR(N36="",O36=""),"",AVERAGE(N36,O36))</f>
        <v/>
      </c>
    </row>
    <row r="37">
      <c r="A37" s="15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1" t="n"/>
      <c r="G37" s="21" t="n"/>
      <c r="H37" s="21" t="n"/>
      <c r="I37">
        <f>IFERROR(INDEX(מלאי!$N$2:$N$500,MATCH(A37,מלאי!$D$2:$D$500,0)),"")</f>
        <v/>
      </c>
      <c r="J37" s="21" t="n"/>
      <c r="K37" s="21" t="n"/>
      <c r="L37" s="21" t="n"/>
      <c r="M37" s="15" t="n"/>
      <c r="N37" s="22">
        <f>IF(F37="","",IF(J37&lt;&gt;"",AVERAGE(F37,J37),F37))</f>
        <v/>
      </c>
      <c r="O37" s="22">
        <f>IF(G37="","",IF(K37&lt;&gt;"",AVERAGE(G37,K37),G37))</f>
        <v/>
      </c>
      <c r="P37" s="22">
        <f>IF(OR(N37="",O37=""),"",AVERAGE(N37,O37))</f>
        <v/>
      </c>
    </row>
    <row r="38">
      <c r="A38" s="15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1" t="n"/>
      <c r="G38" s="21" t="n"/>
      <c r="H38" s="21" t="n"/>
      <c r="I38">
        <f>IFERROR(INDEX(מלאי!$N$2:$N$500,MATCH(A38,מלאי!$D$2:$D$500,0)),"")</f>
        <v/>
      </c>
      <c r="J38" s="21" t="n"/>
      <c r="K38" s="21" t="n"/>
      <c r="L38" s="21" t="n"/>
      <c r="M38" s="15" t="n"/>
      <c r="N38" s="22">
        <f>IF(F38="","",IF(J38&lt;&gt;"",AVERAGE(F38,J38),F38))</f>
        <v/>
      </c>
      <c r="O38" s="22">
        <f>IF(G38="","",IF(K38&lt;&gt;"",AVERAGE(G38,K38),G38))</f>
        <v/>
      </c>
      <c r="P38" s="22">
        <f>IF(OR(N38="",O38=""),"",AVERAGE(N38,O38))</f>
        <v/>
      </c>
    </row>
    <row r="39">
      <c r="A39" s="15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1" t="n"/>
      <c r="G39" s="21" t="n"/>
      <c r="H39" s="21" t="n"/>
      <c r="I39">
        <f>IFERROR(INDEX(מלאי!$N$2:$N$500,MATCH(A39,מלאי!$D$2:$D$500,0)),"")</f>
        <v/>
      </c>
      <c r="J39" s="21" t="n"/>
      <c r="K39" s="21" t="n"/>
      <c r="L39" s="21" t="n"/>
      <c r="M39" s="15" t="n"/>
      <c r="N39" s="22">
        <f>IF(F39="","",IF(J39&lt;&gt;"",AVERAGE(F39,J39),F39))</f>
        <v/>
      </c>
      <c r="O39" s="22">
        <f>IF(G39="","",IF(K39&lt;&gt;"",AVERAGE(G39,K39),G39))</f>
        <v/>
      </c>
      <c r="P39" s="22">
        <f>IF(OR(N39="",O39=""),"",AVERAGE(N39,O39))</f>
        <v/>
      </c>
    </row>
    <row r="40">
      <c r="A40" s="15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1" t="n"/>
      <c r="G40" s="21" t="n"/>
      <c r="H40" s="21" t="n"/>
      <c r="I40">
        <f>IFERROR(INDEX(מלאי!$N$2:$N$500,MATCH(A40,מלאי!$D$2:$D$500,0)),"")</f>
        <v/>
      </c>
      <c r="J40" s="21" t="n"/>
      <c r="K40" s="21" t="n"/>
      <c r="L40" s="21" t="n"/>
      <c r="M40" s="15" t="n"/>
      <c r="N40" s="22">
        <f>IF(F40="","",IF(J40&lt;&gt;"",AVERAGE(F40,J40),F40))</f>
        <v/>
      </c>
      <c r="O40" s="22">
        <f>IF(G40="","",IF(K40&lt;&gt;"",AVERAGE(G40,K40),G40))</f>
        <v/>
      </c>
      <c r="P40" s="22">
        <f>IF(OR(N40="",O40=""),"",AVERAGE(N40,O40))</f>
        <v/>
      </c>
    </row>
    <row r="41">
      <c r="A41" s="15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1" t="n"/>
      <c r="G41" s="21" t="n"/>
      <c r="H41" s="21" t="n"/>
      <c r="I41">
        <f>IFERROR(INDEX(מלאי!$N$2:$N$500,MATCH(A41,מלאי!$D$2:$D$500,0)),"")</f>
        <v/>
      </c>
      <c r="J41" s="21" t="n"/>
      <c r="K41" s="21" t="n"/>
      <c r="L41" s="21" t="n"/>
      <c r="M41" s="15" t="n"/>
      <c r="N41" s="22">
        <f>IF(F41="","",IF(J41&lt;&gt;"",AVERAGE(F41,J41),F41))</f>
        <v/>
      </c>
      <c r="O41" s="22">
        <f>IF(G41="","",IF(K41&lt;&gt;"",AVERAGE(G41,K41),G41))</f>
        <v/>
      </c>
      <c r="P41" s="22">
        <f>IF(OR(N41="",O41=""),"",AVERAGE(N41,O41))</f>
        <v/>
      </c>
    </row>
    <row r="42">
      <c r="A42" s="15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1" t="n"/>
      <c r="G42" s="21" t="n"/>
      <c r="H42" s="21" t="n"/>
      <c r="I42">
        <f>IFERROR(INDEX(מלאי!$N$2:$N$500,MATCH(A42,מלאי!$D$2:$D$500,0)),"")</f>
        <v/>
      </c>
      <c r="J42" s="21" t="n"/>
      <c r="K42" s="21" t="n"/>
      <c r="L42" s="21" t="n"/>
      <c r="M42" s="15" t="n"/>
      <c r="N42" s="22">
        <f>IF(F42="","",IF(J42&lt;&gt;"",AVERAGE(F42,J42),F42))</f>
        <v/>
      </c>
      <c r="O42" s="22">
        <f>IF(G42="","",IF(K42&lt;&gt;"",AVERAGE(G42,K42),G42))</f>
        <v/>
      </c>
      <c r="P42" s="22">
        <f>IF(OR(N42="",O42=""),"",AVERAGE(N42,O42))</f>
        <v/>
      </c>
    </row>
    <row r="43">
      <c r="A43" s="15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1" t="n"/>
      <c r="G43" s="21" t="n"/>
      <c r="H43" s="21" t="n"/>
      <c r="I43">
        <f>IFERROR(INDEX(מלאי!$N$2:$N$500,MATCH(A43,מלאי!$D$2:$D$500,0)),"")</f>
        <v/>
      </c>
      <c r="J43" s="21" t="n"/>
      <c r="K43" s="21" t="n"/>
      <c r="L43" s="21" t="n"/>
      <c r="M43" s="15" t="n"/>
      <c r="N43" s="22">
        <f>IF(F43="","",IF(J43&lt;&gt;"",AVERAGE(F43,J43),F43))</f>
        <v/>
      </c>
      <c r="O43" s="22">
        <f>IF(G43="","",IF(K43&lt;&gt;"",AVERAGE(G43,K43),G43))</f>
        <v/>
      </c>
      <c r="P43" s="22">
        <f>IF(OR(N43="",O43=""),"",AVERAGE(N43,O43))</f>
        <v/>
      </c>
    </row>
    <row r="44">
      <c r="A44" s="15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1" t="n"/>
      <c r="G44" s="21" t="n"/>
      <c r="H44" s="21" t="n"/>
      <c r="I44">
        <f>IFERROR(INDEX(מלאי!$N$2:$N$500,MATCH(A44,מלאי!$D$2:$D$500,0)),"")</f>
        <v/>
      </c>
      <c r="J44" s="21" t="n"/>
      <c r="K44" s="21" t="n"/>
      <c r="L44" s="21" t="n"/>
      <c r="M44" s="15" t="n"/>
      <c r="N44" s="22">
        <f>IF(F44="","",IF(J44&lt;&gt;"",AVERAGE(F44,J44),F44))</f>
        <v/>
      </c>
      <c r="O44" s="22">
        <f>IF(G44="","",IF(K44&lt;&gt;"",AVERAGE(G44,K44),G44))</f>
        <v/>
      </c>
      <c r="P44" s="22">
        <f>IF(OR(N44="",O44=""),"",AVERAGE(N44,O44))</f>
        <v/>
      </c>
    </row>
    <row r="45">
      <c r="A45" s="15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1" t="n"/>
      <c r="G45" s="21" t="n"/>
      <c r="H45" s="21" t="n"/>
      <c r="I45">
        <f>IFERROR(INDEX(מלאי!$N$2:$N$500,MATCH(A45,מלאי!$D$2:$D$500,0)),"")</f>
        <v/>
      </c>
      <c r="J45" s="21" t="n"/>
      <c r="K45" s="21" t="n"/>
      <c r="L45" s="21" t="n"/>
      <c r="M45" s="15" t="n"/>
      <c r="N45" s="22">
        <f>IF(F45="","",IF(J45&lt;&gt;"",AVERAGE(F45,J45),F45))</f>
        <v/>
      </c>
      <c r="O45" s="22">
        <f>IF(G45="","",IF(K45&lt;&gt;"",AVERAGE(G45,K45),G45))</f>
        <v/>
      </c>
      <c r="P45" s="22">
        <f>IF(OR(N45="",O45=""),"",AVERAGE(N45,O45))</f>
        <v/>
      </c>
    </row>
    <row r="46">
      <c r="A46" s="15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1" t="n"/>
      <c r="G46" s="21" t="n"/>
      <c r="H46" s="21" t="n"/>
      <c r="I46">
        <f>IFERROR(INDEX(מלאי!$N$2:$N$500,MATCH(A46,מלאי!$D$2:$D$500,0)),"")</f>
        <v/>
      </c>
      <c r="J46" s="21" t="n"/>
      <c r="K46" s="21" t="n"/>
      <c r="L46" s="21" t="n"/>
      <c r="M46" s="15" t="n"/>
      <c r="N46" s="22">
        <f>IF(F46="","",IF(J46&lt;&gt;"",AVERAGE(F46,J46),F46))</f>
        <v/>
      </c>
      <c r="O46" s="22">
        <f>IF(G46="","",IF(K46&lt;&gt;"",AVERAGE(G46,K46),G46))</f>
        <v/>
      </c>
      <c r="P46" s="22">
        <f>IF(OR(N46="",O46=""),"",AVERAGE(N46,O46))</f>
        <v/>
      </c>
    </row>
    <row r="47">
      <c r="A47" s="15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1" t="n"/>
      <c r="G47" s="21" t="n"/>
      <c r="H47" s="21" t="n"/>
      <c r="I47">
        <f>IFERROR(INDEX(מלאי!$N$2:$N$500,MATCH(A47,מלאי!$D$2:$D$500,0)),"")</f>
        <v/>
      </c>
      <c r="J47" s="21" t="n"/>
      <c r="K47" s="21" t="n"/>
      <c r="L47" s="21" t="n"/>
      <c r="M47" s="15" t="n"/>
      <c r="N47" s="22">
        <f>IF(F47="","",IF(J47&lt;&gt;"",AVERAGE(F47,J47),F47))</f>
        <v/>
      </c>
      <c r="O47" s="22">
        <f>IF(G47="","",IF(K47&lt;&gt;"",AVERAGE(G47,K47),G47))</f>
        <v/>
      </c>
      <c r="P47" s="22">
        <f>IF(OR(N47="",O47=""),"",AVERAGE(N47,O47))</f>
        <v/>
      </c>
    </row>
    <row r="48">
      <c r="A48" s="15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1" t="n"/>
      <c r="G48" s="21" t="n"/>
      <c r="H48" s="21" t="n"/>
      <c r="I48">
        <f>IFERROR(INDEX(מלאי!$N$2:$N$500,MATCH(A48,מלאי!$D$2:$D$500,0)),"")</f>
        <v/>
      </c>
      <c r="J48" s="21" t="n"/>
      <c r="K48" s="21" t="n"/>
      <c r="L48" s="21" t="n"/>
      <c r="M48" s="15" t="n"/>
      <c r="N48" s="22">
        <f>IF(F48="","",IF(J48&lt;&gt;"",AVERAGE(F48,J48),F48))</f>
        <v/>
      </c>
      <c r="O48" s="22">
        <f>IF(G48="","",IF(K48&lt;&gt;"",AVERAGE(G48,K48),G48))</f>
        <v/>
      </c>
      <c r="P48" s="22">
        <f>IF(OR(N48="",O48=""),"",AVERAGE(N48,O48))</f>
        <v/>
      </c>
    </row>
    <row r="49">
      <c r="A49" s="15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1" t="n"/>
      <c r="G49" s="21" t="n"/>
      <c r="H49" s="21" t="n"/>
      <c r="I49">
        <f>IFERROR(INDEX(מלאי!$N$2:$N$500,MATCH(A49,מלאי!$D$2:$D$500,0)),"")</f>
        <v/>
      </c>
      <c r="J49" s="21" t="n"/>
      <c r="K49" s="21" t="n"/>
      <c r="L49" s="21" t="n"/>
      <c r="M49" s="15" t="n"/>
      <c r="N49" s="22">
        <f>IF(F49="","",IF(J49&lt;&gt;"",AVERAGE(F49,J49),F49))</f>
        <v/>
      </c>
      <c r="O49" s="22">
        <f>IF(G49="","",IF(K49&lt;&gt;"",AVERAGE(G49,K49),G49))</f>
        <v/>
      </c>
      <c r="P49" s="22">
        <f>IF(OR(N49="",O49=""),"",AVERAGE(N49,O49))</f>
        <v/>
      </c>
    </row>
    <row r="50">
      <c r="A50" s="15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1" t="n"/>
      <c r="G50" s="21" t="n"/>
      <c r="H50" s="21" t="n"/>
      <c r="I50">
        <f>IFERROR(INDEX(מלאי!$N$2:$N$500,MATCH(A50,מלאי!$D$2:$D$500,0)),"")</f>
        <v/>
      </c>
      <c r="J50" s="21" t="n"/>
      <c r="K50" s="21" t="n"/>
      <c r="L50" s="21" t="n"/>
      <c r="M50" s="15" t="n"/>
      <c r="N50" s="22">
        <f>IF(F50="","",IF(J50&lt;&gt;"",AVERAGE(F50,J50),F50))</f>
        <v/>
      </c>
      <c r="O50" s="22">
        <f>IF(G50="","",IF(K50&lt;&gt;"",AVERAGE(G50,K50),G50))</f>
        <v/>
      </c>
      <c r="P50" s="22">
        <f>IF(OR(N50="",O50=""),"",AVERAGE(N50,O50))</f>
        <v/>
      </c>
    </row>
    <row r="51">
      <c r="A51" s="15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1" t="n"/>
      <c r="G51" s="21" t="n"/>
      <c r="H51" s="21" t="n"/>
      <c r="I51">
        <f>IFERROR(INDEX(מלאי!$N$2:$N$500,MATCH(A51,מלאי!$D$2:$D$500,0)),"")</f>
        <v/>
      </c>
      <c r="J51" s="21" t="n"/>
      <c r="K51" s="21" t="n"/>
      <c r="L51" s="21" t="n"/>
      <c r="M51" s="15" t="n"/>
      <c r="N51" s="22">
        <f>IF(F51="","",IF(J51&lt;&gt;"",AVERAGE(F51,J51),F51))</f>
        <v/>
      </c>
      <c r="O51" s="22">
        <f>IF(G51="","",IF(K51&lt;&gt;"",AVERAGE(G51,K51),G51))</f>
        <v/>
      </c>
      <c r="P51" s="22">
        <f>IF(OR(N51="",O51=""),"",AVERAGE(N51,O51))</f>
        <v/>
      </c>
    </row>
    <row r="52">
      <c r="A52" s="15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1" t="n"/>
      <c r="G52" s="21" t="n"/>
      <c r="H52" s="21" t="n"/>
      <c r="I52">
        <f>IFERROR(INDEX(מלאי!$N$2:$N$500,MATCH(A52,מלאי!$D$2:$D$500,0)),"")</f>
        <v/>
      </c>
      <c r="J52" s="21" t="n"/>
      <c r="K52" s="21" t="n"/>
      <c r="L52" s="21" t="n"/>
      <c r="M52" s="15" t="n"/>
      <c r="N52" s="22">
        <f>IF(F52="","",IF(J52&lt;&gt;"",AVERAGE(F52,J52),F52))</f>
        <v/>
      </c>
      <c r="O52" s="22">
        <f>IF(G52="","",IF(K52&lt;&gt;"",AVERAGE(G52,K52),G52))</f>
        <v/>
      </c>
      <c r="P52" s="22">
        <f>IF(OR(N52="",O52=""),"",AVERAGE(N52,O52))</f>
        <v/>
      </c>
    </row>
    <row r="53">
      <c r="A53" s="15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1" t="n"/>
      <c r="G53" s="21" t="n"/>
      <c r="H53" s="21" t="n"/>
      <c r="I53">
        <f>IFERROR(INDEX(מלאי!$N$2:$N$500,MATCH(A53,מלאי!$D$2:$D$500,0)),"")</f>
        <v/>
      </c>
      <c r="J53" s="21" t="n"/>
      <c r="K53" s="21" t="n"/>
      <c r="L53" s="21" t="n"/>
      <c r="M53" s="15" t="n"/>
      <c r="N53" s="22">
        <f>IF(F53="","",IF(J53&lt;&gt;"",AVERAGE(F53,J53),F53))</f>
        <v/>
      </c>
      <c r="O53" s="22">
        <f>IF(G53="","",IF(K53&lt;&gt;"",AVERAGE(G53,K53),G53))</f>
        <v/>
      </c>
      <c r="P53" s="22">
        <f>IF(OR(N53="",O53=""),"",AVERAGE(N53,O53))</f>
        <v/>
      </c>
    </row>
    <row r="54">
      <c r="A54" s="15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1" t="n"/>
      <c r="G54" s="21" t="n"/>
      <c r="H54" s="21" t="n"/>
      <c r="I54">
        <f>IFERROR(INDEX(מלאי!$N$2:$N$500,MATCH(A54,מלאי!$D$2:$D$500,0)),"")</f>
        <v/>
      </c>
      <c r="J54" s="21" t="n"/>
      <c r="K54" s="21" t="n"/>
      <c r="L54" s="21" t="n"/>
      <c r="M54" s="15" t="n"/>
      <c r="N54" s="22">
        <f>IF(F54="","",IF(J54&lt;&gt;"",AVERAGE(F54,J54),F54))</f>
        <v/>
      </c>
      <c r="O54" s="22">
        <f>IF(G54="","",IF(K54&lt;&gt;"",AVERAGE(G54,K54),G54))</f>
        <v/>
      </c>
      <c r="P54" s="22">
        <f>IF(OR(N54="",O54=""),"",AVERAGE(N54,O54))</f>
        <v/>
      </c>
    </row>
    <row r="55">
      <c r="A55" s="15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1" t="n"/>
      <c r="G55" s="21" t="n"/>
      <c r="H55" s="21" t="n"/>
      <c r="I55">
        <f>IFERROR(INDEX(מלאי!$N$2:$N$500,MATCH(A55,מלאי!$D$2:$D$500,0)),"")</f>
        <v/>
      </c>
      <c r="J55" s="21" t="n"/>
      <c r="K55" s="21" t="n"/>
      <c r="L55" s="21" t="n"/>
      <c r="M55" s="15" t="n"/>
      <c r="N55" s="22">
        <f>IF(F55="","",IF(J55&lt;&gt;"",AVERAGE(F55,J55),F55))</f>
        <v/>
      </c>
      <c r="O55" s="22">
        <f>IF(G55="","",IF(K55&lt;&gt;"",AVERAGE(G55,K55),G55))</f>
        <v/>
      </c>
      <c r="P55" s="22">
        <f>IF(OR(N55="",O55=""),"",AVERAGE(N55,O55))</f>
        <v/>
      </c>
    </row>
    <row r="56">
      <c r="A56" s="15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1" t="n"/>
      <c r="G56" s="21" t="n"/>
      <c r="H56" s="21" t="n"/>
      <c r="I56">
        <f>IFERROR(INDEX(מלאי!$N$2:$N$500,MATCH(A56,מלאי!$D$2:$D$500,0)),"")</f>
        <v/>
      </c>
      <c r="J56" s="21" t="n"/>
      <c r="K56" s="21" t="n"/>
      <c r="L56" s="21" t="n"/>
      <c r="M56" s="15" t="n"/>
      <c r="N56" s="22">
        <f>IF(F56="","",IF(J56&lt;&gt;"",AVERAGE(F56,J56),F56))</f>
        <v/>
      </c>
      <c r="O56" s="22">
        <f>IF(G56="","",IF(K56&lt;&gt;"",AVERAGE(G56,K56),G56))</f>
        <v/>
      </c>
      <c r="P56" s="22">
        <f>IF(OR(N56="",O56=""),"",AVERAGE(N56,O56))</f>
        <v/>
      </c>
    </row>
    <row r="57">
      <c r="A57" s="15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1" t="n"/>
      <c r="G57" s="21" t="n"/>
      <c r="H57" s="21" t="n"/>
      <c r="I57">
        <f>IFERROR(INDEX(מלאי!$N$2:$N$500,MATCH(A57,מלאי!$D$2:$D$500,0)),"")</f>
        <v/>
      </c>
      <c r="J57" s="21" t="n"/>
      <c r="K57" s="21" t="n"/>
      <c r="L57" s="21" t="n"/>
      <c r="M57" s="15" t="n"/>
      <c r="N57" s="22">
        <f>IF(F57="","",IF(J57&lt;&gt;"",AVERAGE(F57,J57),F57))</f>
        <v/>
      </c>
      <c r="O57" s="22">
        <f>IF(G57="","",IF(K57&lt;&gt;"",AVERAGE(G57,K57),G57))</f>
        <v/>
      </c>
      <c r="P57" s="22">
        <f>IF(OR(N57="",O57=""),"",AVERAGE(N57,O57))</f>
        <v/>
      </c>
    </row>
    <row r="58">
      <c r="A58" s="15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1" t="n"/>
      <c r="G58" s="21" t="n"/>
      <c r="H58" s="21" t="n"/>
      <c r="I58">
        <f>IFERROR(INDEX(מלאי!$N$2:$N$500,MATCH(A58,מלאי!$D$2:$D$500,0)),"")</f>
        <v/>
      </c>
      <c r="J58" s="21" t="n"/>
      <c r="K58" s="21" t="n"/>
      <c r="L58" s="21" t="n"/>
      <c r="M58" s="15" t="n"/>
      <c r="N58" s="22">
        <f>IF(F58="","",IF(J58&lt;&gt;"",AVERAGE(F58,J58),F58))</f>
        <v/>
      </c>
      <c r="O58" s="22">
        <f>IF(G58="","",IF(K58&lt;&gt;"",AVERAGE(G58,K58),G58))</f>
        <v/>
      </c>
      <c r="P58" s="22">
        <f>IF(OR(N58="",O58=""),"",AVERAGE(N58,O58))</f>
        <v/>
      </c>
    </row>
    <row r="59">
      <c r="A59" s="15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1" t="n"/>
      <c r="G59" s="21" t="n"/>
      <c r="H59" s="21" t="n"/>
      <c r="I59">
        <f>IFERROR(INDEX(מלאי!$N$2:$N$500,MATCH(A59,מלאי!$D$2:$D$500,0)),"")</f>
        <v/>
      </c>
      <c r="J59" s="21" t="n"/>
      <c r="K59" s="21" t="n"/>
      <c r="L59" s="21" t="n"/>
      <c r="M59" s="15" t="n"/>
      <c r="N59" s="22">
        <f>IF(F59="","",IF(J59&lt;&gt;"",AVERAGE(F59,J59),F59))</f>
        <v/>
      </c>
      <c r="O59" s="22">
        <f>IF(G59="","",IF(K59&lt;&gt;"",AVERAGE(G59,K59),G59))</f>
        <v/>
      </c>
      <c r="P59" s="22">
        <f>IF(OR(N59="",O59=""),"",AVERAGE(N59,O59))</f>
        <v/>
      </c>
    </row>
    <row r="60">
      <c r="A60" s="15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1" t="n"/>
      <c r="G60" s="21" t="n"/>
      <c r="H60" s="21" t="n"/>
      <c r="I60">
        <f>IFERROR(INDEX(מלאי!$N$2:$N$500,MATCH(A60,מלאי!$D$2:$D$500,0)),"")</f>
        <v/>
      </c>
      <c r="J60" s="21" t="n"/>
      <c r="K60" s="21" t="n"/>
      <c r="L60" s="21" t="n"/>
      <c r="M60" s="15" t="n"/>
      <c r="N60" s="22">
        <f>IF(F60="","",IF(J60&lt;&gt;"",AVERAGE(F60,J60),F60))</f>
        <v/>
      </c>
      <c r="O60" s="22">
        <f>IF(G60="","",IF(K60&lt;&gt;"",AVERAGE(G60,K60),G60))</f>
        <v/>
      </c>
      <c r="P60" s="22">
        <f>IF(OR(N60="",O60=""),"",AVERAGE(N60,O60))</f>
        <v/>
      </c>
    </row>
    <row r="61">
      <c r="A61" s="15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1" t="n"/>
      <c r="G61" s="21" t="n"/>
      <c r="H61" s="21" t="n"/>
      <c r="I61">
        <f>IFERROR(INDEX(מלאי!$N$2:$N$500,MATCH(A61,מלאי!$D$2:$D$500,0)),"")</f>
        <v/>
      </c>
      <c r="J61" s="21" t="n"/>
      <c r="K61" s="21" t="n"/>
      <c r="L61" s="21" t="n"/>
      <c r="M61" s="15" t="n"/>
      <c r="N61" s="22">
        <f>IF(F61="","",IF(J61&lt;&gt;"",AVERAGE(F61,J61),F61))</f>
        <v/>
      </c>
      <c r="O61" s="22">
        <f>IF(G61="","",IF(K61&lt;&gt;"",AVERAGE(G61,K61),G61))</f>
        <v/>
      </c>
      <c r="P61" s="22">
        <f>IF(OR(N61="",O61=""),"",AVERAGE(N61,O61))</f>
        <v/>
      </c>
    </row>
    <row r="62">
      <c r="A62" s="15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1" t="n"/>
      <c r="G62" s="21" t="n"/>
      <c r="H62" s="21" t="n"/>
      <c r="I62">
        <f>IFERROR(INDEX(מלאי!$N$2:$N$500,MATCH(A62,מלאי!$D$2:$D$500,0)),"")</f>
        <v/>
      </c>
      <c r="J62" s="21" t="n"/>
      <c r="K62" s="21" t="n"/>
      <c r="L62" s="21" t="n"/>
      <c r="M62" s="15" t="n"/>
      <c r="N62" s="22">
        <f>IF(F62="","",IF(J62&lt;&gt;"",AVERAGE(F62,J62),F62))</f>
        <v/>
      </c>
      <c r="O62" s="22">
        <f>IF(G62="","",IF(K62&lt;&gt;"",AVERAGE(G62,K62),G62))</f>
        <v/>
      </c>
      <c r="P62" s="22">
        <f>IF(OR(N62="",O62=""),"",AVERAGE(N62,O62))</f>
        <v/>
      </c>
    </row>
    <row r="63">
      <c r="A63" s="15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1" t="n"/>
      <c r="G63" s="21" t="n"/>
      <c r="H63" s="21" t="n"/>
      <c r="I63">
        <f>IFERROR(INDEX(מלאי!$N$2:$N$500,MATCH(A63,מלאי!$D$2:$D$500,0)),"")</f>
        <v/>
      </c>
      <c r="J63" s="21" t="n"/>
      <c r="K63" s="21" t="n"/>
      <c r="L63" s="21" t="n"/>
      <c r="M63" s="15" t="n"/>
      <c r="N63" s="22">
        <f>IF(F63="","",IF(J63&lt;&gt;"",AVERAGE(F63,J63),F63))</f>
        <v/>
      </c>
      <c r="O63" s="22">
        <f>IF(G63="","",IF(K63&lt;&gt;"",AVERAGE(G63,K63),G63))</f>
        <v/>
      </c>
      <c r="P63" s="22">
        <f>IF(OR(N63="",O63=""),"",AVERAGE(N63,O63))</f>
        <v/>
      </c>
    </row>
    <row r="64">
      <c r="A64" s="15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1" t="n"/>
      <c r="G64" s="21" t="n"/>
      <c r="H64" s="21" t="n"/>
      <c r="I64">
        <f>IFERROR(INDEX(מלאי!$N$2:$N$500,MATCH(A64,מלאי!$D$2:$D$500,0)),"")</f>
        <v/>
      </c>
      <c r="J64" s="21" t="n"/>
      <c r="K64" s="21" t="n"/>
      <c r="L64" s="21" t="n"/>
      <c r="M64" s="15" t="n"/>
      <c r="N64" s="22">
        <f>IF(F64="","",IF(J64&lt;&gt;"",AVERAGE(F64,J64),F64))</f>
        <v/>
      </c>
      <c r="O64" s="22">
        <f>IF(G64="","",IF(K64&lt;&gt;"",AVERAGE(G64,K64),G64))</f>
        <v/>
      </c>
      <c r="P64" s="22">
        <f>IF(OR(N64="",O64=""),"",AVERAGE(N64,O64))</f>
        <v/>
      </c>
    </row>
    <row r="65">
      <c r="A65" s="15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1" t="n"/>
      <c r="G65" s="21" t="n"/>
      <c r="H65" s="21" t="n"/>
      <c r="I65">
        <f>IFERROR(INDEX(מלאי!$N$2:$N$500,MATCH(A65,מלאי!$D$2:$D$500,0)),"")</f>
        <v/>
      </c>
      <c r="J65" s="21" t="n"/>
      <c r="K65" s="21" t="n"/>
      <c r="L65" s="21" t="n"/>
      <c r="M65" s="15" t="n"/>
      <c r="N65" s="22">
        <f>IF(F65="","",IF(J65&lt;&gt;"",AVERAGE(F65,J65),F65))</f>
        <v/>
      </c>
      <c r="O65" s="22">
        <f>IF(G65="","",IF(K65&lt;&gt;"",AVERAGE(G65,K65),G65))</f>
        <v/>
      </c>
      <c r="P65" s="22">
        <f>IF(OR(N65="",O65=""),"",AVERAGE(N65,O65))</f>
        <v/>
      </c>
    </row>
    <row r="66">
      <c r="A66" s="15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1" t="n"/>
      <c r="G66" s="21" t="n"/>
      <c r="H66" s="21" t="n"/>
      <c r="I66">
        <f>IFERROR(INDEX(מלאי!$N$2:$N$500,MATCH(A66,מלאי!$D$2:$D$500,0)),"")</f>
        <v/>
      </c>
      <c r="J66" s="21" t="n"/>
      <c r="K66" s="21" t="n"/>
      <c r="L66" s="21" t="n"/>
      <c r="M66" s="15" t="n"/>
      <c r="N66" s="22">
        <f>IF(F66="","",IF(J66&lt;&gt;"",AVERAGE(F66,J66),F66))</f>
        <v/>
      </c>
      <c r="O66" s="22">
        <f>IF(G66="","",IF(K66&lt;&gt;"",AVERAGE(G66,K66),G66))</f>
        <v/>
      </c>
      <c r="P66" s="22">
        <f>IF(OR(N66="",O66=""),"",AVERAGE(N66,O66))</f>
        <v/>
      </c>
    </row>
    <row r="67">
      <c r="A67" s="15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1" t="n"/>
      <c r="G67" s="21" t="n"/>
      <c r="H67" s="21" t="n"/>
      <c r="I67">
        <f>IFERROR(INDEX(מלאי!$N$2:$N$500,MATCH(A67,מלאי!$D$2:$D$500,0)),"")</f>
        <v/>
      </c>
      <c r="J67" s="21" t="n"/>
      <c r="K67" s="21" t="n"/>
      <c r="L67" s="21" t="n"/>
      <c r="M67" s="15" t="n"/>
      <c r="N67" s="22">
        <f>IF(F67="","",IF(J67&lt;&gt;"",AVERAGE(F67,J67),F67))</f>
        <v/>
      </c>
      <c r="O67" s="22">
        <f>IF(G67="","",IF(K67&lt;&gt;"",AVERAGE(G67,K67),G67))</f>
        <v/>
      </c>
      <c r="P67" s="22">
        <f>IF(OR(N67="",O67=""),"",AVERAGE(N67,O67))</f>
        <v/>
      </c>
    </row>
    <row r="68">
      <c r="A68" s="15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1" t="n"/>
      <c r="G68" s="21" t="n"/>
      <c r="H68" s="21" t="n"/>
      <c r="I68">
        <f>IFERROR(INDEX(מלאי!$N$2:$N$500,MATCH(A68,מלאי!$D$2:$D$500,0)),"")</f>
        <v/>
      </c>
      <c r="J68" s="21" t="n"/>
      <c r="K68" s="21" t="n"/>
      <c r="L68" s="21" t="n"/>
      <c r="M68" s="15" t="n"/>
      <c r="N68" s="22">
        <f>IF(F68="","",IF(J68&lt;&gt;"",AVERAGE(F68,J68),F68))</f>
        <v/>
      </c>
      <c r="O68" s="22">
        <f>IF(G68="","",IF(K68&lt;&gt;"",AVERAGE(G68,K68),G68))</f>
        <v/>
      </c>
      <c r="P68" s="22">
        <f>IF(OR(N68="",O68=""),"",AVERAGE(N68,O68))</f>
        <v/>
      </c>
    </row>
    <row r="69">
      <c r="A69" s="15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1" t="n"/>
      <c r="G69" s="21" t="n"/>
      <c r="H69" s="21" t="n"/>
      <c r="I69">
        <f>IFERROR(INDEX(מלאי!$N$2:$N$500,MATCH(A69,מלאי!$D$2:$D$500,0)),"")</f>
        <v/>
      </c>
      <c r="J69" s="21" t="n"/>
      <c r="K69" s="21" t="n"/>
      <c r="L69" s="21" t="n"/>
      <c r="M69" s="15" t="n"/>
      <c r="N69" s="22">
        <f>IF(F69="","",IF(J69&lt;&gt;"",AVERAGE(F69,J69),F69))</f>
        <v/>
      </c>
      <c r="O69" s="22">
        <f>IF(G69="","",IF(K69&lt;&gt;"",AVERAGE(G69,K69),G69))</f>
        <v/>
      </c>
      <c r="P69" s="22">
        <f>IF(OR(N69="",O69=""),"",AVERAGE(N69,O69))</f>
        <v/>
      </c>
    </row>
    <row r="70">
      <c r="A70" s="15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1" t="n"/>
      <c r="G70" s="21" t="n"/>
      <c r="H70" s="21" t="n"/>
      <c r="I70">
        <f>IFERROR(INDEX(מלאי!$N$2:$N$500,MATCH(A70,מלאי!$D$2:$D$500,0)),"")</f>
        <v/>
      </c>
      <c r="J70" s="21" t="n"/>
      <c r="K70" s="21" t="n"/>
      <c r="L70" s="21" t="n"/>
      <c r="M70" s="15" t="n"/>
      <c r="N70" s="22">
        <f>IF(F70="","",IF(J70&lt;&gt;"",AVERAGE(F70,J70),F70))</f>
        <v/>
      </c>
      <c r="O70" s="22">
        <f>IF(G70="","",IF(K70&lt;&gt;"",AVERAGE(G70,K70),G70))</f>
        <v/>
      </c>
      <c r="P70" s="22">
        <f>IF(OR(N70="",O70=""),"",AVERAGE(N70,O70))</f>
        <v/>
      </c>
    </row>
    <row r="71">
      <c r="A71" s="15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1" t="n"/>
      <c r="G71" s="21" t="n"/>
      <c r="H71" s="21" t="n"/>
      <c r="I71">
        <f>IFERROR(INDEX(מלאי!$N$2:$N$500,MATCH(A71,מלאי!$D$2:$D$500,0)),"")</f>
        <v/>
      </c>
      <c r="J71" s="21" t="n"/>
      <c r="K71" s="21" t="n"/>
      <c r="L71" s="21" t="n"/>
      <c r="M71" s="15" t="n"/>
      <c r="N71" s="22">
        <f>IF(F71="","",IF(J71&lt;&gt;"",AVERAGE(F71,J71),F71))</f>
        <v/>
      </c>
      <c r="O71" s="22">
        <f>IF(G71="","",IF(K71&lt;&gt;"",AVERAGE(G71,K71),G71))</f>
        <v/>
      </c>
      <c r="P71" s="22">
        <f>IF(OR(N71="",O71=""),"",AVERAGE(N71,O71))</f>
        <v/>
      </c>
    </row>
    <row r="72">
      <c r="A72" s="15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1" t="n"/>
      <c r="G72" s="21" t="n"/>
      <c r="H72" s="21" t="n"/>
      <c r="I72">
        <f>IFERROR(INDEX(מלאי!$N$2:$N$500,MATCH(A72,מלאי!$D$2:$D$500,0)),"")</f>
        <v/>
      </c>
      <c r="J72" s="21" t="n"/>
      <c r="K72" s="21" t="n"/>
      <c r="L72" s="21" t="n"/>
      <c r="M72" s="15" t="n"/>
      <c r="N72" s="22">
        <f>IF(F72="","",IF(J72&lt;&gt;"",AVERAGE(F72,J72),F72))</f>
        <v/>
      </c>
      <c r="O72" s="22">
        <f>IF(G72="","",IF(K72&lt;&gt;"",AVERAGE(G72,K72),G72))</f>
        <v/>
      </c>
      <c r="P72" s="22">
        <f>IF(OR(N72="",O72=""),"",AVERAGE(N72,O72))</f>
        <v/>
      </c>
    </row>
    <row r="73">
      <c r="A73" s="15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1" t="n"/>
      <c r="G73" s="21" t="n"/>
      <c r="H73" s="21" t="n"/>
      <c r="I73">
        <f>IFERROR(INDEX(מלאי!$N$2:$N$500,MATCH(A73,מלאי!$D$2:$D$500,0)),"")</f>
        <v/>
      </c>
      <c r="J73" s="21" t="n"/>
      <c r="K73" s="21" t="n"/>
      <c r="L73" s="21" t="n"/>
      <c r="M73" s="15" t="n"/>
      <c r="N73" s="22">
        <f>IF(F73="","",IF(J73&lt;&gt;"",AVERAGE(F73,J73),F73))</f>
        <v/>
      </c>
      <c r="O73" s="22">
        <f>IF(G73="","",IF(K73&lt;&gt;"",AVERAGE(G73,K73),G73))</f>
        <v/>
      </c>
      <c r="P73" s="22">
        <f>IF(OR(N73="",O73=""),"",AVERAGE(N73,O73))</f>
        <v/>
      </c>
    </row>
    <row r="74">
      <c r="A74" s="15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1" t="n"/>
      <c r="G74" s="21" t="n"/>
      <c r="H74" s="21" t="n"/>
      <c r="I74">
        <f>IFERROR(INDEX(מלאי!$N$2:$N$500,MATCH(A74,מלאי!$D$2:$D$500,0)),"")</f>
        <v/>
      </c>
      <c r="J74" s="21" t="n"/>
      <c r="K74" s="21" t="n"/>
      <c r="L74" s="21" t="n"/>
      <c r="M74" s="15" t="n"/>
      <c r="N74" s="22">
        <f>IF(F74="","",IF(J74&lt;&gt;"",AVERAGE(F74,J74),F74))</f>
        <v/>
      </c>
      <c r="O74" s="22">
        <f>IF(G74="","",IF(K74&lt;&gt;"",AVERAGE(G74,K74),G74))</f>
        <v/>
      </c>
      <c r="P74" s="22">
        <f>IF(OR(N74="",O74=""),"",AVERAGE(N74,O74))</f>
        <v/>
      </c>
    </row>
    <row r="75">
      <c r="A75" s="15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1" t="n"/>
      <c r="G75" s="21" t="n"/>
      <c r="H75" s="21" t="n"/>
      <c r="I75">
        <f>IFERROR(INDEX(מלאי!$N$2:$N$500,MATCH(A75,מלאי!$D$2:$D$500,0)),"")</f>
        <v/>
      </c>
      <c r="J75" s="21" t="n"/>
      <c r="K75" s="21" t="n"/>
      <c r="L75" s="21" t="n"/>
      <c r="M75" s="15" t="n"/>
      <c r="N75" s="22">
        <f>IF(F75="","",IF(J75&lt;&gt;"",AVERAGE(F75,J75),F75))</f>
        <v/>
      </c>
      <c r="O75" s="22">
        <f>IF(G75="","",IF(K75&lt;&gt;"",AVERAGE(G75,K75),G75))</f>
        <v/>
      </c>
      <c r="P75" s="22">
        <f>IF(OR(N75="",O75=""),"",AVERAGE(N75,O75))</f>
        <v/>
      </c>
    </row>
    <row r="76">
      <c r="A76" s="15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1" t="n"/>
      <c r="G76" s="21" t="n"/>
      <c r="H76" s="21" t="n"/>
      <c r="I76">
        <f>IFERROR(INDEX(מלאי!$N$2:$N$500,MATCH(A76,מלאי!$D$2:$D$500,0)),"")</f>
        <v/>
      </c>
      <c r="J76" s="21" t="n"/>
      <c r="K76" s="21" t="n"/>
      <c r="L76" s="21" t="n"/>
      <c r="M76" s="15" t="n"/>
      <c r="N76" s="22">
        <f>IF(F76="","",IF(J76&lt;&gt;"",AVERAGE(F76,J76),F76))</f>
        <v/>
      </c>
      <c r="O76" s="22">
        <f>IF(G76="","",IF(K76&lt;&gt;"",AVERAGE(G76,K76),G76))</f>
        <v/>
      </c>
      <c r="P76" s="22">
        <f>IF(OR(N76="",O76=""),"",AVERAGE(N76,O76))</f>
        <v/>
      </c>
    </row>
    <row r="77">
      <c r="A77" s="15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1" t="n"/>
      <c r="G77" s="21" t="n"/>
      <c r="H77" s="21" t="n"/>
      <c r="I77">
        <f>IFERROR(INDEX(מלאי!$N$2:$N$500,MATCH(A77,מלאי!$D$2:$D$500,0)),"")</f>
        <v/>
      </c>
      <c r="J77" s="21" t="n"/>
      <c r="K77" s="21" t="n"/>
      <c r="L77" s="21" t="n"/>
      <c r="M77" s="15" t="n"/>
      <c r="N77" s="22">
        <f>IF(F77="","",IF(J77&lt;&gt;"",AVERAGE(F77,J77),F77))</f>
        <v/>
      </c>
      <c r="O77" s="22">
        <f>IF(G77="","",IF(K77&lt;&gt;"",AVERAGE(G77,K77),G77))</f>
        <v/>
      </c>
      <c r="P77" s="22">
        <f>IF(OR(N77="",O77=""),"",AVERAGE(N77,O77))</f>
        <v/>
      </c>
    </row>
    <row r="78">
      <c r="A78" s="15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1" t="n"/>
      <c r="G78" s="21" t="n"/>
      <c r="H78" s="21" t="n"/>
      <c r="I78">
        <f>IFERROR(INDEX(מלאי!$N$2:$N$500,MATCH(A78,מלאי!$D$2:$D$500,0)),"")</f>
        <v/>
      </c>
      <c r="J78" s="21" t="n"/>
      <c r="K78" s="21" t="n"/>
      <c r="L78" s="21" t="n"/>
      <c r="M78" s="15" t="n"/>
      <c r="N78" s="22">
        <f>IF(F78="","",IF(J78&lt;&gt;"",AVERAGE(F78,J78),F78))</f>
        <v/>
      </c>
      <c r="O78" s="22">
        <f>IF(G78="","",IF(K78&lt;&gt;"",AVERAGE(G78,K78),G78))</f>
        <v/>
      </c>
      <c r="P78" s="22">
        <f>IF(OR(N78="",O78=""),"",AVERAGE(N78,O78))</f>
        <v/>
      </c>
    </row>
    <row r="79">
      <c r="A79" s="15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1" t="n"/>
      <c r="G79" s="21" t="n"/>
      <c r="H79" s="21" t="n"/>
      <c r="I79">
        <f>IFERROR(INDEX(מלאי!$N$2:$N$500,MATCH(A79,מלאי!$D$2:$D$500,0)),"")</f>
        <v/>
      </c>
      <c r="J79" s="21" t="n"/>
      <c r="K79" s="21" t="n"/>
      <c r="L79" s="21" t="n"/>
      <c r="M79" s="15" t="n"/>
      <c r="N79" s="22">
        <f>IF(F79="","",IF(J79&lt;&gt;"",AVERAGE(F79,J79),F79))</f>
        <v/>
      </c>
      <c r="O79" s="22">
        <f>IF(G79="","",IF(K79&lt;&gt;"",AVERAGE(G79,K79),G79))</f>
        <v/>
      </c>
      <c r="P79" s="22">
        <f>IF(OR(N79="",O79=""),"",AVERAGE(N79,O79))</f>
        <v/>
      </c>
    </row>
    <row r="80">
      <c r="A80" s="15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1" t="n"/>
      <c r="G80" s="21" t="n"/>
      <c r="H80" s="21" t="n"/>
      <c r="I80">
        <f>IFERROR(INDEX(מלאי!$N$2:$N$500,MATCH(A80,מלאי!$D$2:$D$500,0)),"")</f>
        <v/>
      </c>
      <c r="J80" s="21" t="n"/>
      <c r="K80" s="21" t="n"/>
      <c r="L80" s="21" t="n"/>
      <c r="M80" s="15" t="n"/>
      <c r="N80" s="22">
        <f>IF(F80="","",IF(J80&lt;&gt;"",AVERAGE(F80,J80),F80))</f>
        <v/>
      </c>
      <c r="O80" s="22">
        <f>IF(G80="","",IF(K80&lt;&gt;"",AVERAGE(G80,K80),G80))</f>
        <v/>
      </c>
      <c r="P80" s="22">
        <f>IF(OR(N80="",O80=""),"",AVERAGE(N80,O80))</f>
        <v/>
      </c>
    </row>
    <row r="81">
      <c r="A81" s="15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1" t="n"/>
      <c r="G81" s="21" t="n"/>
      <c r="H81" s="21" t="n"/>
      <c r="I81">
        <f>IFERROR(INDEX(מלאי!$N$2:$N$500,MATCH(A81,מלאי!$D$2:$D$500,0)),"")</f>
        <v/>
      </c>
      <c r="J81" s="21" t="n"/>
      <c r="K81" s="21" t="n"/>
      <c r="L81" s="21" t="n"/>
      <c r="M81" s="15" t="n"/>
      <c r="N81" s="22">
        <f>IF(F81="","",IF(J81&lt;&gt;"",AVERAGE(F81,J81),F81))</f>
        <v/>
      </c>
      <c r="O81" s="22">
        <f>IF(G81="","",IF(K81&lt;&gt;"",AVERAGE(G81,K81),G81))</f>
        <v/>
      </c>
      <c r="P81" s="22">
        <f>IF(OR(N81="",O81=""),"",AVERAGE(N81,O81))</f>
        <v/>
      </c>
    </row>
    <row r="82">
      <c r="A82" s="15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1" t="n"/>
      <c r="G82" s="21" t="n"/>
      <c r="H82" s="21" t="n"/>
      <c r="I82">
        <f>IFERROR(INDEX(מלאי!$N$2:$N$500,MATCH(A82,מלאי!$D$2:$D$500,0)),"")</f>
        <v/>
      </c>
      <c r="J82" s="21" t="n"/>
      <c r="K82" s="21" t="n"/>
      <c r="L82" s="21" t="n"/>
      <c r="M82" s="15" t="n"/>
      <c r="N82" s="22">
        <f>IF(F82="","",IF(J82&lt;&gt;"",AVERAGE(F82,J82),F82))</f>
        <v/>
      </c>
      <c r="O82" s="22">
        <f>IF(G82="","",IF(K82&lt;&gt;"",AVERAGE(G82,K82),G82))</f>
        <v/>
      </c>
      <c r="P82" s="22">
        <f>IF(OR(N82="",O82=""),"",AVERAGE(N82,O82))</f>
        <v/>
      </c>
    </row>
    <row r="83">
      <c r="A83" s="15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1" t="n"/>
      <c r="G83" s="21" t="n"/>
      <c r="H83" s="21" t="n"/>
      <c r="I83">
        <f>IFERROR(INDEX(מלאי!$N$2:$N$500,MATCH(A83,מלאי!$D$2:$D$500,0)),"")</f>
        <v/>
      </c>
      <c r="J83" s="21" t="n"/>
      <c r="K83" s="21" t="n"/>
      <c r="L83" s="21" t="n"/>
      <c r="M83" s="15" t="n"/>
      <c r="N83" s="22">
        <f>IF(F83="","",IF(J83&lt;&gt;"",AVERAGE(F83,J83),F83))</f>
        <v/>
      </c>
      <c r="O83" s="22">
        <f>IF(G83="","",IF(K83&lt;&gt;"",AVERAGE(G83,K83),G83))</f>
        <v/>
      </c>
      <c r="P83" s="22">
        <f>IF(OR(N83="",O83=""),"",AVERAGE(N83,O83))</f>
        <v/>
      </c>
    </row>
    <row r="84">
      <c r="A84" s="15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1" t="n"/>
      <c r="G84" s="21" t="n"/>
      <c r="H84" s="21" t="n"/>
      <c r="I84">
        <f>IFERROR(INDEX(מלאי!$N$2:$N$500,MATCH(A84,מלאי!$D$2:$D$500,0)),"")</f>
        <v/>
      </c>
      <c r="J84" s="21" t="n"/>
      <c r="K84" s="21" t="n"/>
      <c r="L84" s="21" t="n"/>
      <c r="M84" s="15" t="n"/>
      <c r="N84" s="22">
        <f>IF(F84="","",IF(J84&lt;&gt;"",AVERAGE(F84,J84),F84))</f>
        <v/>
      </c>
      <c r="O84" s="22">
        <f>IF(G84="","",IF(K84&lt;&gt;"",AVERAGE(G84,K84),G84))</f>
        <v/>
      </c>
      <c r="P84" s="22">
        <f>IF(OR(N84="",O84=""),"",AVERAGE(N84,O84))</f>
        <v/>
      </c>
    </row>
    <row r="85">
      <c r="A85" s="15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1" t="n"/>
      <c r="G85" s="21" t="n"/>
      <c r="H85" s="21" t="n"/>
      <c r="I85">
        <f>IFERROR(INDEX(מלאי!$N$2:$N$500,MATCH(A85,מלאי!$D$2:$D$500,0)),"")</f>
        <v/>
      </c>
      <c r="J85" s="21" t="n"/>
      <c r="K85" s="21" t="n"/>
      <c r="L85" s="21" t="n"/>
      <c r="M85" s="15" t="n"/>
      <c r="N85" s="22">
        <f>IF(F85="","",IF(J85&lt;&gt;"",AVERAGE(F85,J85),F85))</f>
        <v/>
      </c>
      <c r="O85" s="22">
        <f>IF(G85="","",IF(K85&lt;&gt;"",AVERAGE(G85,K85),G85))</f>
        <v/>
      </c>
      <c r="P85" s="22">
        <f>IF(OR(N85="",O85=""),"",AVERAGE(N85,O85))</f>
        <v/>
      </c>
    </row>
    <row r="86">
      <c r="A86" s="15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1" t="n"/>
      <c r="G86" s="21" t="n"/>
      <c r="H86" s="21" t="n"/>
      <c r="I86">
        <f>IFERROR(INDEX(מלאי!$N$2:$N$500,MATCH(A86,מלאי!$D$2:$D$500,0)),"")</f>
        <v/>
      </c>
      <c r="J86" s="21" t="n"/>
      <c r="K86" s="21" t="n"/>
      <c r="L86" s="21" t="n"/>
      <c r="M86" s="15" t="n"/>
      <c r="N86" s="22">
        <f>IF(F86="","",IF(J86&lt;&gt;"",AVERAGE(F86,J86),F86))</f>
        <v/>
      </c>
      <c r="O86" s="22">
        <f>IF(G86="","",IF(K86&lt;&gt;"",AVERAGE(G86,K86),G86))</f>
        <v/>
      </c>
      <c r="P86" s="22">
        <f>IF(OR(N86="",O86=""),"",AVERAGE(N86,O86))</f>
        <v/>
      </c>
    </row>
    <row r="87">
      <c r="A87" s="15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1" t="n"/>
      <c r="G87" s="21" t="n"/>
      <c r="H87" s="21" t="n"/>
      <c r="I87">
        <f>IFERROR(INDEX(מלאי!$N$2:$N$500,MATCH(A87,מלאי!$D$2:$D$500,0)),"")</f>
        <v/>
      </c>
      <c r="J87" s="21" t="n"/>
      <c r="K87" s="21" t="n"/>
      <c r="L87" s="21" t="n"/>
      <c r="M87" s="15" t="n"/>
      <c r="N87" s="22">
        <f>IF(F87="","",IF(J87&lt;&gt;"",AVERAGE(F87,J87),F87))</f>
        <v/>
      </c>
      <c r="O87" s="22">
        <f>IF(G87="","",IF(K87&lt;&gt;"",AVERAGE(G87,K87),G87))</f>
        <v/>
      </c>
      <c r="P87" s="22">
        <f>IF(OR(N87="",O87=""),"",AVERAGE(N87,O87))</f>
        <v/>
      </c>
    </row>
    <row r="88">
      <c r="A88" s="15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1" t="n"/>
      <c r="G88" s="21" t="n"/>
      <c r="H88" s="21" t="n"/>
      <c r="I88">
        <f>IFERROR(INDEX(מלאי!$N$2:$N$500,MATCH(A88,מלאי!$D$2:$D$500,0)),"")</f>
        <v/>
      </c>
      <c r="J88" s="21" t="n"/>
      <c r="K88" s="21" t="n"/>
      <c r="L88" s="21" t="n"/>
      <c r="M88" s="15" t="n"/>
      <c r="N88" s="22">
        <f>IF(F88="","",IF(J88&lt;&gt;"",AVERAGE(F88,J88),F88))</f>
        <v/>
      </c>
      <c r="O88" s="22">
        <f>IF(G88="","",IF(K88&lt;&gt;"",AVERAGE(G88,K88),G88))</f>
        <v/>
      </c>
      <c r="P88" s="22">
        <f>IF(OR(N88="",O88=""),"",AVERAGE(N88,O88))</f>
        <v/>
      </c>
    </row>
    <row r="89">
      <c r="A89" s="15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1" t="n"/>
      <c r="G89" s="21" t="n"/>
      <c r="H89" s="21" t="n"/>
      <c r="I89">
        <f>IFERROR(INDEX(מלאי!$N$2:$N$500,MATCH(A89,מלאי!$D$2:$D$500,0)),"")</f>
        <v/>
      </c>
      <c r="J89" s="21" t="n"/>
      <c r="K89" s="21" t="n"/>
      <c r="L89" s="21" t="n"/>
      <c r="M89" s="15" t="n"/>
      <c r="N89" s="22">
        <f>IF(F89="","",IF(J89&lt;&gt;"",AVERAGE(F89,J89),F89))</f>
        <v/>
      </c>
      <c r="O89" s="22">
        <f>IF(G89="","",IF(K89&lt;&gt;"",AVERAGE(G89,K89),G89))</f>
        <v/>
      </c>
      <c r="P89" s="22">
        <f>IF(OR(N89="",O89=""),"",AVERAGE(N89,O89))</f>
        <v/>
      </c>
    </row>
    <row r="90">
      <c r="A90" s="15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1" t="n"/>
      <c r="G90" s="21" t="n"/>
      <c r="H90" s="21" t="n"/>
      <c r="I90">
        <f>IFERROR(INDEX(מלאי!$N$2:$N$500,MATCH(A90,מלאי!$D$2:$D$500,0)),"")</f>
        <v/>
      </c>
      <c r="J90" s="21" t="n"/>
      <c r="K90" s="21" t="n"/>
      <c r="L90" s="21" t="n"/>
      <c r="M90" s="15" t="n"/>
      <c r="N90" s="22">
        <f>IF(F90="","",IF(J90&lt;&gt;"",AVERAGE(F90,J90),F90))</f>
        <v/>
      </c>
      <c r="O90" s="22">
        <f>IF(G90="","",IF(K90&lt;&gt;"",AVERAGE(G90,K90),G90))</f>
        <v/>
      </c>
      <c r="P90" s="22">
        <f>IF(OR(N90="",O90=""),"",AVERAGE(N90,O90))</f>
        <v/>
      </c>
    </row>
    <row r="91">
      <c r="A91" s="15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1" t="n"/>
      <c r="G91" s="21" t="n"/>
      <c r="H91" s="21" t="n"/>
      <c r="I91">
        <f>IFERROR(INDEX(מלאי!$N$2:$N$500,MATCH(A91,מלאי!$D$2:$D$500,0)),"")</f>
        <v/>
      </c>
      <c r="J91" s="21" t="n"/>
      <c r="K91" s="21" t="n"/>
      <c r="L91" s="21" t="n"/>
      <c r="M91" s="15" t="n"/>
      <c r="N91" s="22">
        <f>IF(F91="","",IF(J91&lt;&gt;"",AVERAGE(F91,J91),F91))</f>
        <v/>
      </c>
      <c r="O91" s="22">
        <f>IF(G91="","",IF(K91&lt;&gt;"",AVERAGE(G91,K91),G91))</f>
        <v/>
      </c>
      <c r="P91" s="22">
        <f>IF(OR(N91="",O91=""),"",AVERAGE(N91,O91))</f>
        <v/>
      </c>
    </row>
    <row r="92">
      <c r="A92" s="15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1" t="n"/>
      <c r="G92" s="21" t="n"/>
      <c r="H92" s="21" t="n"/>
      <c r="I92">
        <f>IFERROR(INDEX(מלאי!$N$2:$N$500,MATCH(A92,מלאי!$D$2:$D$500,0)),"")</f>
        <v/>
      </c>
      <c r="J92" s="21" t="n"/>
      <c r="K92" s="21" t="n"/>
      <c r="L92" s="21" t="n"/>
      <c r="M92" s="15" t="n"/>
      <c r="N92" s="22">
        <f>IF(F92="","",IF(J92&lt;&gt;"",AVERAGE(F92,J92),F92))</f>
        <v/>
      </c>
      <c r="O92" s="22">
        <f>IF(G92="","",IF(K92&lt;&gt;"",AVERAGE(G92,K92),G92))</f>
        <v/>
      </c>
      <c r="P92" s="22">
        <f>IF(OR(N92="",O92=""),"",AVERAGE(N92,O92))</f>
        <v/>
      </c>
    </row>
    <row r="93">
      <c r="A93" s="15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1" t="n"/>
      <c r="G93" s="21" t="n"/>
      <c r="H93" s="21" t="n"/>
      <c r="I93">
        <f>IFERROR(INDEX(מלאי!$N$2:$N$500,MATCH(A93,מלאי!$D$2:$D$500,0)),"")</f>
        <v/>
      </c>
      <c r="J93" s="21" t="n"/>
      <c r="K93" s="21" t="n"/>
      <c r="L93" s="21" t="n"/>
      <c r="M93" s="15" t="n"/>
      <c r="N93" s="22">
        <f>IF(F93="","",IF(J93&lt;&gt;"",AVERAGE(F93,J93),F93))</f>
        <v/>
      </c>
      <c r="O93" s="22">
        <f>IF(G93="","",IF(K93&lt;&gt;"",AVERAGE(G93,K93),G93))</f>
        <v/>
      </c>
      <c r="P93" s="22">
        <f>IF(OR(N93="",O93=""),"",AVERAGE(N93,O93))</f>
        <v/>
      </c>
    </row>
    <row r="94">
      <c r="A94" s="15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1" t="n"/>
      <c r="G94" s="21" t="n"/>
      <c r="H94" s="21" t="n"/>
      <c r="I94">
        <f>IFERROR(INDEX(מלאי!$N$2:$N$500,MATCH(A94,מלאי!$D$2:$D$500,0)),"")</f>
        <v/>
      </c>
      <c r="J94" s="21" t="n"/>
      <c r="K94" s="21" t="n"/>
      <c r="L94" s="21" t="n"/>
      <c r="M94" s="15" t="n"/>
      <c r="N94" s="22">
        <f>IF(F94="","",IF(J94&lt;&gt;"",AVERAGE(F94,J94),F94))</f>
        <v/>
      </c>
      <c r="O94" s="22">
        <f>IF(G94="","",IF(K94&lt;&gt;"",AVERAGE(G94,K94),G94))</f>
        <v/>
      </c>
      <c r="P94" s="22">
        <f>IF(OR(N94="",O94=""),"",AVERAGE(N94,O94))</f>
        <v/>
      </c>
    </row>
    <row r="95">
      <c r="A95" s="15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1" t="n"/>
      <c r="G95" s="21" t="n"/>
      <c r="H95" s="21" t="n"/>
      <c r="I95">
        <f>IFERROR(INDEX(מלאי!$N$2:$N$500,MATCH(A95,מלאי!$D$2:$D$500,0)),"")</f>
        <v/>
      </c>
      <c r="J95" s="21" t="n"/>
      <c r="K95" s="21" t="n"/>
      <c r="L95" s="21" t="n"/>
      <c r="M95" s="15" t="n"/>
      <c r="N95" s="22">
        <f>IF(F95="","",IF(J95&lt;&gt;"",AVERAGE(F95,J95),F95))</f>
        <v/>
      </c>
      <c r="O95" s="22">
        <f>IF(G95="","",IF(K95&lt;&gt;"",AVERAGE(G95,K95),G95))</f>
        <v/>
      </c>
      <c r="P95" s="22">
        <f>IF(OR(N95="",O95=""),"",AVERAGE(N95,O95))</f>
        <v/>
      </c>
    </row>
    <row r="96">
      <c r="A96" s="15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1" t="n"/>
      <c r="G96" s="21" t="n"/>
      <c r="H96" s="21" t="n"/>
      <c r="I96">
        <f>IFERROR(INDEX(מלאי!$N$2:$N$500,MATCH(A96,מלאי!$D$2:$D$500,0)),"")</f>
        <v/>
      </c>
      <c r="J96" s="21" t="n"/>
      <c r="K96" s="21" t="n"/>
      <c r="L96" s="21" t="n"/>
      <c r="M96" s="15" t="n"/>
      <c r="N96" s="22">
        <f>IF(F96="","",IF(J96&lt;&gt;"",AVERAGE(F96,J96),F96))</f>
        <v/>
      </c>
      <c r="O96" s="22">
        <f>IF(G96="","",IF(K96&lt;&gt;"",AVERAGE(G96,K96),G96))</f>
        <v/>
      </c>
      <c r="P96" s="22">
        <f>IF(OR(N96="",O96=""),"",AVERAGE(N96,O96))</f>
        <v/>
      </c>
    </row>
    <row r="97">
      <c r="A97" s="15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1" t="n"/>
      <c r="G97" s="21" t="n"/>
      <c r="H97" s="21" t="n"/>
      <c r="I97">
        <f>IFERROR(INDEX(מלאי!$N$2:$N$500,MATCH(A97,מלאי!$D$2:$D$500,0)),"")</f>
        <v/>
      </c>
      <c r="J97" s="21" t="n"/>
      <c r="K97" s="21" t="n"/>
      <c r="L97" s="21" t="n"/>
      <c r="M97" s="15" t="n"/>
      <c r="N97" s="22">
        <f>IF(F97="","",IF(J97&lt;&gt;"",AVERAGE(F97,J97),F97))</f>
        <v/>
      </c>
      <c r="O97" s="22">
        <f>IF(G97="","",IF(K97&lt;&gt;"",AVERAGE(G97,K97),G97))</f>
        <v/>
      </c>
      <c r="P97" s="22">
        <f>IF(OR(N97="",O97=""),"",AVERAGE(N97,O97))</f>
        <v/>
      </c>
    </row>
    <row r="98">
      <c r="A98" s="15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1" t="n"/>
      <c r="G98" s="21" t="n"/>
      <c r="H98" s="21" t="n"/>
      <c r="I98">
        <f>IFERROR(INDEX(מלאי!$N$2:$N$500,MATCH(A98,מלאי!$D$2:$D$500,0)),"")</f>
        <v/>
      </c>
      <c r="J98" s="21" t="n"/>
      <c r="K98" s="21" t="n"/>
      <c r="L98" s="21" t="n"/>
      <c r="M98" s="15" t="n"/>
      <c r="N98" s="22">
        <f>IF(F98="","",IF(J98&lt;&gt;"",AVERAGE(F98,J98),F98))</f>
        <v/>
      </c>
      <c r="O98" s="22">
        <f>IF(G98="","",IF(K98&lt;&gt;"",AVERAGE(G98,K98),G98))</f>
        <v/>
      </c>
      <c r="P98" s="22">
        <f>IF(OR(N98="",O98=""),"",AVERAGE(N98,O98))</f>
        <v/>
      </c>
    </row>
    <row r="99">
      <c r="A99" s="15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1" t="n"/>
      <c r="G99" s="21" t="n"/>
      <c r="H99" s="21" t="n"/>
      <c r="I99">
        <f>IFERROR(INDEX(מלאי!$N$2:$N$500,MATCH(A99,מלאי!$D$2:$D$500,0)),"")</f>
        <v/>
      </c>
      <c r="J99" s="21" t="n"/>
      <c r="K99" s="21" t="n"/>
      <c r="L99" s="21" t="n"/>
      <c r="M99" s="15" t="n"/>
      <c r="N99" s="22">
        <f>IF(F99="","",IF(J99&lt;&gt;"",AVERAGE(F99,J99),F99))</f>
        <v/>
      </c>
      <c r="O99" s="22">
        <f>IF(G99="","",IF(K99&lt;&gt;"",AVERAGE(G99,K99),G99))</f>
        <v/>
      </c>
      <c r="P99" s="22">
        <f>IF(OR(N99="",O99=""),"",AVERAGE(N99,O99))</f>
        <v/>
      </c>
    </row>
    <row r="100">
      <c r="A100" s="15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1" t="n"/>
      <c r="G100" s="21" t="n"/>
      <c r="H100" s="21" t="n"/>
      <c r="I100">
        <f>IFERROR(INDEX(מלאי!$N$2:$N$500,MATCH(A100,מלאי!$D$2:$D$500,0)),"")</f>
        <v/>
      </c>
      <c r="J100" s="21" t="n"/>
      <c r="K100" s="21" t="n"/>
      <c r="L100" s="21" t="n"/>
      <c r="M100" s="15" t="n"/>
      <c r="N100" s="22">
        <f>IF(F100="","",IF(J100&lt;&gt;"",AVERAGE(F100,J100),F100))</f>
        <v/>
      </c>
      <c r="O100" s="22">
        <f>IF(G100="","",IF(K100&lt;&gt;"",AVERAGE(G100,K100),G100))</f>
        <v/>
      </c>
      <c r="P100" s="22">
        <f>IF(OR(N100="",O100=""),"",AVERAGE(N100,O100))</f>
        <v/>
      </c>
    </row>
    <row r="101">
      <c r="A101" s="15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1" t="n"/>
      <c r="G101" s="21" t="n"/>
      <c r="H101" s="21" t="n"/>
      <c r="I101">
        <f>IFERROR(INDEX(מלאי!$N$2:$N$500,MATCH(A101,מלאי!$D$2:$D$500,0)),"")</f>
        <v/>
      </c>
      <c r="J101" s="21" t="n"/>
      <c r="K101" s="21" t="n"/>
      <c r="L101" s="21" t="n"/>
      <c r="M101" s="15" t="n"/>
      <c r="N101" s="22">
        <f>IF(F101="","",IF(J101&lt;&gt;"",AVERAGE(F101,J101),F101))</f>
        <v/>
      </c>
      <c r="O101" s="22">
        <f>IF(G101="","",IF(K101&lt;&gt;"",AVERAGE(G101,K101),G101))</f>
        <v/>
      </c>
      <c r="P101" s="22">
        <f>IF(OR(N101="",O101=""),"",AVERAGE(N101,O101))</f>
        <v/>
      </c>
    </row>
    <row r="102">
      <c r="A102" s="15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1" t="n"/>
      <c r="G102" s="21" t="n"/>
      <c r="H102" s="21" t="n"/>
      <c r="I102">
        <f>IFERROR(INDEX(מלאי!$N$2:$N$500,MATCH(A102,מלאי!$D$2:$D$500,0)),"")</f>
        <v/>
      </c>
      <c r="J102" s="21" t="n"/>
      <c r="K102" s="21" t="n"/>
      <c r="L102" s="21" t="n"/>
      <c r="M102" s="15" t="n"/>
      <c r="N102" s="22">
        <f>IF(F102="","",IF(J102&lt;&gt;"",AVERAGE(F102,J102),F102))</f>
        <v/>
      </c>
      <c r="O102" s="22">
        <f>IF(G102="","",IF(K102&lt;&gt;"",AVERAGE(G102,K102),G102))</f>
        <v/>
      </c>
      <c r="P102" s="22">
        <f>IF(OR(N102="",O102=""),"",AVERAGE(N102,O102))</f>
        <v/>
      </c>
    </row>
    <row r="103">
      <c r="A103" s="15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1" t="n"/>
      <c r="G103" s="21" t="n"/>
      <c r="H103" s="21" t="n"/>
      <c r="I103">
        <f>IFERROR(INDEX(מלאי!$N$2:$N$500,MATCH(A103,מלאי!$D$2:$D$500,0)),"")</f>
        <v/>
      </c>
      <c r="J103" s="21" t="n"/>
      <c r="K103" s="21" t="n"/>
      <c r="L103" s="21" t="n"/>
      <c r="M103" s="15" t="n"/>
      <c r="N103" s="22">
        <f>IF(F103="","",IF(J103&lt;&gt;"",AVERAGE(F103,J103),F103))</f>
        <v/>
      </c>
      <c r="O103" s="22">
        <f>IF(G103="","",IF(K103&lt;&gt;"",AVERAGE(G103,K103),G103))</f>
        <v/>
      </c>
      <c r="P103" s="22">
        <f>IF(OR(N103="",O103=""),"",AVERAGE(N103,O103))</f>
        <v/>
      </c>
    </row>
    <row r="104">
      <c r="A104" s="15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1" t="n"/>
      <c r="G104" s="21" t="n"/>
      <c r="H104" s="21" t="n"/>
      <c r="I104">
        <f>IFERROR(INDEX(מלאי!$N$2:$N$500,MATCH(A104,מלאי!$D$2:$D$500,0)),"")</f>
        <v/>
      </c>
      <c r="J104" s="21" t="n"/>
      <c r="K104" s="21" t="n"/>
      <c r="L104" s="21" t="n"/>
      <c r="M104" s="15" t="n"/>
      <c r="N104" s="22">
        <f>IF(F104="","",IF(J104&lt;&gt;"",AVERAGE(F104,J104),F104))</f>
        <v/>
      </c>
      <c r="O104" s="22">
        <f>IF(G104="","",IF(K104&lt;&gt;"",AVERAGE(G104,K104),G104))</f>
        <v/>
      </c>
      <c r="P104" s="22">
        <f>IF(OR(N104="",O104=""),"",AVERAGE(N104,O104))</f>
        <v/>
      </c>
    </row>
    <row r="105">
      <c r="A105" s="15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1" t="n"/>
      <c r="G105" s="21" t="n"/>
      <c r="H105" s="21" t="n"/>
      <c r="I105">
        <f>IFERROR(INDEX(מלאי!$N$2:$N$500,MATCH(A105,מלאי!$D$2:$D$500,0)),"")</f>
        <v/>
      </c>
      <c r="J105" s="21" t="n"/>
      <c r="K105" s="21" t="n"/>
      <c r="L105" s="21" t="n"/>
      <c r="M105" s="15" t="n"/>
      <c r="N105" s="22">
        <f>IF(F105="","",IF(J105&lt;&gt;"",AVERAGE(F105,J105),F105))</f>
        <v/>
      </c>
      <c r="O105" s="22">
        <f>IF(G105="","",IF(K105&lt;&gt;"",AVERAGE(G105,K105),G105))</f>
        <v/>
      </c>
      <c r="P105" s="22">
        <f>IF(OR(N105="",O105=""),"",AVERAGE(N105,O105))</f>
        <v/>
      </c>
    </row>
    <row r="106">
      <c r="A106" s="15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1" t="n"/>
      <c r="G106" s="21" t="n"/>
      <c r="H106" s="21" t="n"/>
      <c r="I106">
        <f>IFERROR(INDEX(מלאי!$N$2:$N$500,MATCH(A106,מלאי!$D$2:$D$500,0)),"")</f>
        <v/>
      </c>
      <c r="J106" s="21" t="n"/>
      <c r="K106" s="21" t="n"/>
      <c r="L106" s="21" t="n"/>
      <c r="M106" s="15" t="n"/>
      <c r="N106" s="22">
        <f>IF(F106="","",IF(J106&lt;&gt;"",AVERAGE(F106,J106),F106))</f>
        <v/>
      </c>
      <c r="O106" s="22">
        <f>IF(G106="","",IF(K106&lt;&gt;"",AVERAGE(G106,K106),G106))</f>
        <v/>
      </c>
      <c r="P106" s="22">
        <f>IF(OR(N106="",O106=""),"",AVERAGE(N106,O106))</f>
        <v/>
      </c>
    </row>
    <row r="107">
      <c r="A107" s="15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1" t="n"/>
      <c r="G107" s="21" t="n"/>
      <c r="H107" s="21" t="n"/>
      <c r="I107">
        <f>IFERROR(INDEX(מלאי!$N$2:$N$500,MATCH(A107,מלאי!$D$2:$D$500,0)),"")</f>
        <v/>
      </c>
      <c r="J107" s="21" t="n"/>
      <c r="K107" s="21" t="n"/>
      <c r="L107" s="21" t="n"/>
      <c r="M107" s="15" t="n"/>
      <c r="N107" s="22">
        <f>IF(F107="","",IF(J107&lt;&gt;"",AVERAGE(F107,J107),F107))</f>
        <v/>
      </c>
      <c r="O107" s="22">
        <f>IF(G107="","",IF(K107&lt;&gt;"",AVERAGE(G107,K107),G107))</f>
        <v/>
      </c>
      <c r="P107" s="22">
        <f>IF(OR(N107="",O107=""),"",AVERAGE(N107,O107))</f>
        <v/>
      </c>
    </row>
    <row r="108">
      <c r="A108" s="15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1" t="n"/>
      <c r="G108" s="21" t="n"/>
      <c r="H108" s="21" t="n"/>
      <c r="I108">
        <f>IFERROR(INDEX(מלאי!$N$2:$N$500,MATCH(A108,מלאי!$D$2:$D$500,0)),"")</f>
        <v/>
      </c>
      <c r="J108" s="21" t="n"/>
      <c r="K108" s="21" t="n"/>
      <c r="L108" s="21" t="n"/>
      <c r="M108" s="15" t="n"/>
      <c r="N108" s="22">
        <f>IF(F108="","",IF(J108&lt;&gt;"",AVERAGE(F108,J108),F108))</f>
        <v/>
      </c>
      <c r="O108" s="22">
        <f>IF(G108="","",IF(K108&lt;&gt;"",AVERAGE(G108,K108),G108))</f>
        <v/>
      </c>
      <c r="P108" s="22">
        <f>IF(OR(N108="",O108=""),"",AVERAGE(N108,O108))</f>
        <v/>
      </c>
    </row>
    <row r="109">
      <c r="A109" s="15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1" t="n"/>
      <c r="G109" s="21" t="n"/>
      <c r="H109" s="21" t="n"/>
      <c r="I109">
        <f>IFERROR(INDEX(מלאי!$N$2:$N$500,MATCH(A109,מלאי!$D$2:$D$500,0)),"")</f>
        <v/>
      </c>
      <c r="J109" s="21" t="n"/>
      <c r="K109" s="21" t="n"/>
      <c r="L109" s="21" t="n"/>
      <c r="M109" s="15" t="n"/>
      <c r="N109" s="22">
        <f>IF(F109="","",IF(J109&lt;&gt;"",AVERAGE(F109,J109),F109))</f>
        <v/>
      </c>
      <c r="O109" s="22">
        <f>IF(G109="","",IF(K109&lt;&gt;"",AVERAGE(G109,K109),G109))</f>
        <v/>
      </c>
      <c r="P109" s="22">
        <f>IF(OR(N109="",O109=""),"",AVERAGE(N109,O109))</f>
        <v/>
      </c>
    </row>
    <row r="110">
      <c r="A110" s="15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1" t="n"/>
      <c r="G110" s="21" t="n"/>
      <c r="H110" s="21" t="n"/>
      <c r="I110">
        <f>IFERROR(INDEX(מלאי!$N$2:$N$500,MATCH(A110,מלאי!$D$2:$D$500,0)),"")</f>
        <v/>
      </c>
      <c r="J110" s="21" t="n"/>
      <c r="K110" s="21" t="n"/>
      <c r="L110" s="21" t="n"/>
      <c r="M110" s="15" t="n"/>
      <c r="N110" s="22">
        <f>IF(F110="","",IF(J110&lt;&gt;"",AVERAGE(F110,J110),F110))</f>
        <v/>
      </c>
      <c r="O110" s="22">
        <f>IF(G110="","",IF(K110&lt;&gt;"",AVERAGE(G110,K110),G110))</f>
        <v/>
      </c>
      <c r="P110" s="22">
        <f>IF(OR(N110="",O110=""),"",AVERAGE(N110,O110))</f>
        <v/>
      </c>
    </row>
    <row r="111">
      <c r="A111" s="15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1" t="n"/>
      <c r="G111" s="21" t="n"/>
      <c r="H111" s="21" t="n"/>
      <c r="I111">
        <f>IFERROR(INDEX(מלאי!$N$2:$N$500,MATCH(A111,מלאי!$D$2:$D$500,0)),"")</f>
        <v/>
      </c>
      <c r="J111" s="21" t="n"/>
      <c r="K111" s="21" t="n"/>
      <c r="L111" s="21" t="n"/>
      <c r="M111" s="15" t="n"/>
      <c r="N111" s="22">
        <f>IF(F111="","",IF(J111&lt;&gt;"",AVERAGE(F111,J111),F111))</f>
        <v/>
      </c>
      <c r="O111" s="22">
        <f>IF(G111="","",IF(K111&lt;&gt;"",AVERAGE(G111,K111),G111))</f>
        <v/>
      </c>
      <c r="P111" s="22">
        <f>IF(OR(N111="",O111=""),"",AVERAGE(N111,O111))</f>
        <v/>
      </c>
    </row>
    <row r="112">
      <c r="A112" s="15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1" t="n"/>
      <c r="G112" s="21" t="n"/>
      <c r="H112" s="21" t="n"/>
      <c r="I112">
        <f>IFERROR(INDEX(מלאי!$N$2:$N$500,MATCH(A112,מלאי!$D$2:$D$500,0)),"")</f>
        <v/>
      </c>
      <c r="J112" s="21" t="n"/>
      <c r="K112" s="21" t="n"/>
      <c r="L112" s="21" t="n"/>
      <c r="M112" s="15" t="n"/>
      <c r="N112" s="22">
        <f>IF(F112="","",IF(J112&lt;&gt;"",AVERAGE(F112,J112),F112))</f>
        <v/>
      </c>
      <c r="O112" s="22">
        <f>IF(G112="","",IF(K112&lt;&gt;"",AVERAGE(G112,K112),G112))</f>
        <v/>
      </c>
      <c r="P112" s="22">
        <f>IF(OR(N112="",O112=""),"",AVERAGE(N112,O112))</f>
        <v/>
      </c>
    </row>
    <row r="113">
      <c r="A113" s="15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1" t="n"/>
      <c r="G113" s="21" t="n"/>
      <c r="H113" s="21" t="n"/>
      <c r="I113">
        <f>IFERROR(INDEX(מלאי!$N$2:$N$500,MATCH(A113,מלאי!$D$2:$D$500,0)),"")</f>
        <v/>
      </c>
      <c r="J113" s="21" t="n"/>
      <c r="K113" s="21" t="n"/>
      <c r="L113" s="21" t="n"/>
      <c r="M113" s="15" t="n"/>
      <c r="N113" s="22">
        <f>IF(F113="","",IF(J113&lt;&gt;"",AVERAGE(F113,J113),F113))</f>
        <v/>
      </c>
      <c r="O113" s="22">
        <f>IF(G113="","",IF(K113&lt;&gt;"",AVERAGE(G113,K113),G113))</f>
        <v/>
      </c>
      <c r="P113" s="22">
        <f>IF(OR(N113="",O113=""),"",AVERAGE(N113,O113))</f>
        <v/>
      </c>
    </row>
    <row r="114">
      <c r="A114" s="15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1" t="n"/>
      <c r="G114" s="21" t="n"/>
      <c r="H114" s="21" t="n"/>
      <c r="I114">
        <f>IFERROR(INDEX(מלאי!$N$2:$N$500,MATCH(A114,מלאי!$D$2:$D$500,0)),"")</f>
        <v/>
      </c>
      <c r="J114" s="21" t="n"/>
      <c r="K114" s="21" t="n"/>
      <c r="L114" s="21" t="n"/>
      <c r="M114" s="15" t="n"/>
      <c r="N114" s="22">
        <f>IF(F114="","",IF(J114&lt;&gt;"",AVERAGE(F114,J114),F114))</f>
        <v/>
      </c>
      <c r="O114" s="22">
        <f>IF(G114="","",IF(K114&lt;&gt;"",AVERAGE(G114,K114),G114))</f>
        <v/>
      </c>
      <c r="P114" s="22">
        <f>IF(OR(N114="",O114=""),"",AVERAGE(N114,O114))</f>
        <v/>
      </c>
    </row>
    <row r="115">
      <c r="A115" s="15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1" t="n"/>
      <c r="G115" s="21" t="n"/>
      <c r="H115" s="21" t="n"/>
      <c r="I115">
        <f>IFERROR(INDEX(מלאי!$N$2:$N$500,MATCH(A115,מלאי!$D$2:$D$500,0)),"")</f>
        <v/>
      </c>
      <c r="J115" s="21" t="n"/>
      <c r="K115" s="21" t="n"/>
      <c r="L115" s="21" t="n"/>
      <c r="M115" s="15" t="n"/>
      <c r="N115" s="22">
        <f>IF(F115="","",IF(J115&lt;&gt;"",AVERAGE(F115,J115),F115))</f>
        <v/>
      </c>
      <c r="O115" s="22">
        <f>IF(G115="","",IF(K115&lt;&gt;"",AVERAGE(G115,K115),G115))</f>
        <v/>
      </c>
      <c r="P115" s="22">
        <f>IF(OR(N115="",O115=""),"",AVERAGE(N115,O115))</f>
        <v/>
      </c>
    </row>
    <row r="116">
      <c r="A116" s="15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1" t="n"/>
      <c r="G116" s="21" t="n"/>
      <c r="H116" s="21" t="n"/>
      <c r="I116">
        <f>IFERROR(INDEX(מלאי!$N$2:$N$500,MATCH(A116,מלאי!$D$2:$D$500,0)),"")</f>
        <v/>
      </c>
      <c r="J116" s="21" t="n"/>
      <c r="K116" s="21" t="n"/>
      <c r="L116" s="21" t="n"/>
      <c r="M116" s="15" t="n"/>
      <c r="N116" s="22">
        <f>IF(F116="","",IF(J116&lt;&gt;"",AVERAGE(F116,J116),F116))</f>
        <v/>
      </c>
      <c r="O116" s="22">
        <f>IF(G116="","",IF(K116&lt;&gt;"",AVERAGE(G116,K116),G116))</f>
        <v/>
      </c>
      <c r="P116" s="22">
        <f>IF(OR(N116="",O116=""),"",AVERAGE(N116,O116))</f>
        <v/>
      </c>
    </row>
    <row r="117">
      <c r="A117" s="15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1" t="n"/>
      <c r="G117" s="21" t="n"/>
      <c r="H117" s="21" t="n"/>
      <c r="I117">
        <f>IFERROR(INDEX(מלאי!$N$2:$N$500,MATCH(A117,מלאי!$D$2:$D$500,0)),"")</f>
        <v/>
      </c>
      <c r="J117" s="21" t="n"/>
      <c r="K117" s="21" t="n"/>
      <c r="L117" s="21" t="n"/>
      <c r="M117" s="15" t="n"/>
      <c r="N117" s="22">
        <f>IF(F117="","",IF(J117&lt;&gt;"",AVERAGE(F117,J117),F117))</f>
        <v/>
      </c>
      <c r="O117" s="22">
        <f>IF(G117="","",IF(K117&lt;&gt;"",AVERAGE(G117,K117),G117))</f>
        <v/>
      </c>
      <c r="P117" s="22">
        <f>IF(OR(N117="",O117=""),"",AVERAGE(N117,O117))</f>
        <v/>
      </c>
    </row>
    <row r="118">
      <c r="A118" s="15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1" t="n"/>
      <c r="G118" s="21" t="n"/>
      <c r="H118" s="21" t="n"/>
      <c r="I118">
        <f>IFERROR(INDEX(מלאי!$N$2:$N$500,MATCH(A118,מלאי!$D$2:$D$500,0)),"")</f>
        <v/>
      </c>
      <c r="J118" s="21" t="n"/>
      <c r="K118" s="21" t="n"/>
      <c r="L118" s="21" t="n"/>
      <c r="M118" s="15" t="n"/>
      <c r="N118" s="22">
        <f>IF(F118="","",IF(J118&lt;&gt;"",AVERAGE(F118,J118),F118))</f>
        <v/>
      </c>
      <c r="O118" s="22">
        <f>IF(G118="","",IF(K118&lt;&gt;"",AVERAGE(G118,K118),G118))</f>
        <v/>
      </c>
      <c r="P118" s="22">
        <f>IF(OR(N118="",O118=""),"",AVERAGE(N118,O118))</f>
        <v/>
      </c>
    </row>
    <row r="119">
      <c r="A119" s="15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1" t="n"/>
      <c r="G119" s="21" t="n"/>
      <c r="H119" s="21" t="n"/>
      <c r="I119">
        <f>IFERROR(INDEX(מלאי!$N$2:$N$500,MATCH(A119,מלאי!$D$2:$D$500,0)),"")</f>
        <v/>
      </c>
      <c r="J119" s="21" t="n"/>
      <c r="K119" s="21" t="n"/>
      <c r="L119" s="21" t="n"/>
      <c r="M119" s="15" t="n"/>
      <c r="N119" s="22">
        <f>IF(F119="","",IF(J119&lt;&gt;"",AVERAGE(F119,J119),F119))</f>
        <v/>
      </c>
      <c r="O119" s="22">
        <f>IF(G119="","",IF(K119&lt;&gt;"",AVERAGE(G119,K119),G119))</f>
        <v/>
      </c>
      <c r="P119" s="22">
        <f>IF(OR(N119="",O119=""),"",AVERAGE(N119,O119))</f>
        <v/>
      </c>
    </row>
    <row r="120">
      <c r="A120" s="15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1" t="n"/>
      <c r="G120" s="21" t="n"/>
      <c r="H120" s="21" t="n"/>
      <c r="I120">
        <f>IFERROR(INDEX(מלאי!$N$2:$N$500,MATCH(A120,מלאי!$D$2:$D$500,0)),"")</f>
        <v/>
      </c>
      <c r="J120" s="21" t="n"/>
      <c r="K120" s="21" t="n"/>
      <c r="L120" s="21" t="n"/>
      <c r="M120" s="15" t="n"/>
      <c r="N120" s="22">
        <f>IF(F120="","",IF(J120&lt;&gt;"",AVERAGE(F120,J120),F120))</f>
        <v/>
      </c>
      <c r="O120" s="22">
        <f>IF(G120="","",IF(K120&lt;&gt;"",AVERAGE(G120,K120),G120))</f>
        <v/>
      </c>
      <c r="P120" s="22">
        <f>IF(OR(N120="",O120=""),"",AVERAGE(N120,O120))</f>
        <v/>
      </c>
    </row>
    <row r="121">
      <c r="A121" s="15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1" t="n"/>
      <c r="G121" s="21" t="n"/>
      <c r="H121" s="21" t="n"/>
      <c r="I121">
        <f>IFERROR(INDEX(מלאי!$N$2:$N$500,MATCH(A121,מלאי!$D$2:$D$500,0)),"")</f>
        <v/>
      </c>
      <c r="J121" s="21" t="n"/>
      <c r="K121" s="21" t="n"/>
      <c r="L121" s="21" t="n"/>
      <c r="M121" s="15" t="n"/>
      <c r="N121" s="22">
        <f>IF(F121="","",IF(J121&lt;&gt;"",AVERAGE(F121,J121),F121))</f>
        <v/>
      </c>
      <c r="O121" s="22">
        <f>IF(G121="","",IF(K121&lt;&gt;"",AVERAGE(G121,K121),G121))</f>
        <v/>
      </c>
      <c r="P121" s="22">
        <f>IF(OR(N121="",O121=""),"",AVERAGE(N121,O121))</f>
        <v/>
      </c>
    </row>
    <row r="122">
      <c r="A122" s="15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1" t="n"/>
      <c r="G122" s="21" t="n"/>
      <c r="H122" s="21" t="n"/>
      <c r="I122">
        <f>IFERROR(INDEX(מלאי!$N$2:$N$500,MATCH(A122,מלאי!$D$2:$D$500,0)),"")</f>
        <v/>
      </c>
      <c r="J122" s="21" t="n"/>
      <c r="K122" s="21" t="n"/>
      <c r="L122" s="21" t="n"/>
      <c r="M122" s="15" t="n"/>
      <c r="N122" s="22">
        <f>IF(F122="","",IF(J122&lt;&gt;"",AVERAGE(F122,J122),F122))</f>
        <v/>
      </c>
      <c r="O122" s="22">
        <f>IF(G122="","",IF(K122&lt;&gt;"",AVERAGE(G122,K122),G122))</f>
        <v/>
      </c>
      <c r="P122" s="22">
        <f>IF(OR(N122="",O122=""),"",AVERAGE(N122,O122))</f>
        <v/>
      </c>
    </row>
    <row r="123">
      <c r="A123" s="15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1" t="n"/>
      <c r="G123" s="21" t="n"/>
      <c r="H123" s="21" t="n"/>
      <c r="I123">
        <f>IFERROR(INDEX(מלאי!$N$2:$N$500,MATCH(A123,מלאי!$D$2:$D$500,0)),"")</f>
        <v/>
      </c>
      <c r="J123" s="21" t="n"/>
      <c r="K123" s="21" t="n"/>
      <c r="L123" s="21" t="n"/>
      <c r="M123" s="15" t="n"/>
      <c r="N123" s="22">
        <f>IF(F123="","",IF(J123&lt;&gt;"",AVERAGE(F123,J123),F123))</f>
        <v/>
      </c>
      <c r="O123" s="22">
        <f>IF(G123="","",IF(K123&lt;&gt;"",AVERAGE(G123,K123),G123))</f>
        <v/>
      </c>
      <c r="P123" s="22">
        <f>IF(OR(N123="",O123=""),"",AVERAGE(N123,O123))</f>
        <v/>
      </c>
    </row>
    <row r="124">
      <c r="A124" s="15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1" t="n"/>
      <c r="G124" s="21" t="n"/>
      <c r="H124" s="21" t="n"/>
      <c r="I124">
        <f>IFERROR(INDEX(מלאי!$N$2:$N$500,MATCH(A124,מלאי!$D$2:$D$500,0)),"")</f>
        <v/>
      </c>
      <c r="J124" s="21" t="n"/>
      <c r="K124" s="21" t="n"/>
      <c r="L124" s="21" t="n"/>
      <c r="M124" s="15" t="n"/>
      <c r="N124" s="22">
        <f>IF(F124="","",IF(J124&lt;&gt;"",AVERAGE(F124,J124),F124))</f>
        <v/>
      </c>
      <c r="O124" s="22">
        <f>IF(G124="","",IF(K124&lt;&gt;"",AVERAGE(G124,K124),G124))</f>
        <v/>
      </c>
      <c r="P124" s="22">
        <f>IF(OR(N124="",O124=""),"",AVERAGE(N124,O124))</f>
        <v/>
      </c>
    </row>
    <row r="125">
      <c r="A125" s="15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1" t="n"/>
      <c r="G125" s="21" t="n"/>
      <c r="H125" s="21" t="n"/>
      <c r="I125">
        <f>IFERROR(INDEX(מלאי!$N$2:$N$500,MATCH(A125,מלאי!$D$2:$D$500,0)),"")</f>
        <v/>
      </c>
      <c r="J125" s="21" t="n"/>
      <c r="K125" s="21" t="n"/>
      <c r="L125" s="21" t="n"/>
      <c r="M125" s="15" t="n"/>
      <c r="N125" s="22">
        <f>IF(F125="","",IF(J125&lt;&gt;"",AVERAGE(F125,J125),F125))</f>
        <v/>
      </c>
      <c r="O125" s="22">
        <f>IF(G125="","",IF(K125&lt;&gt;"",AVERAGE(G125,K125),G125))</f>
        <v/>
      </c>
      <c r="P125" s="22">
        <f>IF(OR(N125="",O125=""),"",AVERAGE(N125,O125))</f>
        <v/>
      </c>
    </row>
    <row r="126">
      <c r="A126" s="15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1" t="n"/>
      <c r="G126" s="21" t="n"/>
      <c r="H126" s="21" t="n"/>
      <c r="I126">
        <f>IFERROR(INDEX(מלאי!$N$2:$N$500,MATCH(A126,מלאי!$D$2:$D$500,0)),"")</f>
        <v/>
      </c>
      <c r="J126" s="21" t="n"/>
      <c r="K126" s="21" t="n"/>
      <c r="L126" s="21" t="n"/>
      <c r="M126" s="15" t="n"/>
      <c r="N126" s="22">
        <f>IF(F126="","",IF(J126&lt;&gt;"",AVERAGE(F126,J126),F126))</f>
        <v/>
      </c>
      <c r="O126" s="22">
        <f>IF(G126="","",IF(K126&lt;&gt;"",AVERAGE(G126,K126),G126))</f>
        <v/>
      </c>
      <c r="P126" s="22">
        <f>IF(OR(N126="",O126=""),"",AVERAGE(N126,O126))</f>
        <v/>
      </c>
    </row>
    <row r="127">
      <c r="A127" s="15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1" t="n"/>
      <c r="G127" s="21" t="n"/>
      <c r="H127" s="21" t="n"/>
      <c r="I127">
        <f>IFERROR(INDEX(מלאי!$N$2:$N$500,MATCH(A127,מלאי!$D$2:$D$500,0)),"")</f>
        <v/>
      </c>
      <c r="J127" s="21" t="n"/>
      <c r="K127" s="21" t="n"/>
      <c r="L127" s="21" t="n"/>
      <c r="M127" s="15" t="n"/>
      <c r="N127" s="22">
        <f>IF(F127="","",IF(J127&lt;&gt;"",AVERAGE(F127,J127),F127))</f>
        <v/>
      </c>
      <c r="O127" s="22">
        <f>IF(G127="","",IF(K127&lt;&gt;"",AVERAGE(G127,K127),G127))</f>
        <v/>
      </c>
      <c r="P127" s="22">
        <f>IF(OR(N127="",O127=""),"",AVERAGE(N127,O127))</f>
        <v/>
      </c>
    </row>
    <row r="128">
      <c r="A128" s="15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1" t="n"/>
      <c r="G128" s="21" t="n"/>
      <c r="H128" s="21" t="n"/>
      <c r="I128">
        <f>IFERROR(INDEX(מלאי!$N$2:$N$500,MATCH(A128,מלאי!$D$2:$D$500,0)),"")</f>
        <v/>
      </c>
      <c r="J128" s="21" t="n"/>
      <c r="K128" s="21" t="n"/>
      <c r="L128" s="21" t="n"/>
      <c r="M128" s="15" t="n"/>
      <c r="N128" s="22">
        <f>IF(F128="","",IF(J128&lt;&gt;"",AVERAGE(F128,J128),F128))</f>
        <v/>
      </c>
      <c r="O128" s="22">
        <f>IF(G128="","",IF(K128&lt;&gt;"",AVERAGE(G128,K128),G128))</f>
        <v/>
      </c>
      <c r="P128" s="22">
        <f>IF(OR(N128="",O128=""),"",AVERAGE(N128,O128))</f>
        <v/>
      </c>
    </row>
    <row r="129">
      <c r="A129" s="15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1" t="n"/>
      <c r="G129" s="21" t="n"/>
      <c r="H129" s="21" t="n"/>
      <c r="I129">
        <f>IFERROR(INDEX(מלאי!$N$2:$N$500,MATCH(A129,מלאי!$D$2:$D$500,0)),"")</f>
        <v/>
      </c>
      <c r="J129" s="21" t="n"/>
      <c r="K129" s="21" t="n"/>
      <c r="L129" s="21" t="n"/>
      <c r="M129" s="15" t="n"/>
      <c r="N129" s="22">
        <f>IF(F129="","",IF(J129&lt;&gt;"",AVERAGE(F129,J129),F129))</f>
        <v/>
      </c>
      <c r="O129" s="22">
        <f>IF(G129="","",IF(K129&lt;&gt;"",AVERAGE(G129,K129),G129))</f>
        <v/>
      </c>
      <c r="P129" s="22">
        <f>IF(OR(N129="",O129=""),"",AVERAGE(N129,O129))</f>
        <v/>
      </c>
    </row>
    <row r="130">
      <c r="A130" s="15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1" t="n"/>
      <c r="G130" s="21" t="n"/>
      <c r="H130" s="21" t="n"/>
      <c r="I130">
        <f>IFERROR(INDEX(מלאי!$N$2:$N$500,MATCH(A130,מלאי!$D$2:$D$500,0)),"")</f>
        <v/>
      </c>
      <c r="J130" s="21" t="n"/>
      <c r="K130" s="21" t="n"/>
      <c r="L130" s="21" t="n"/>
      <c r="M130" s="15" t="n"/>
      <c r="N130" s="22">
        <f>IF(F130="","",IF(J130&lt;&gt;"",AVERAGE(F130,J130),F130))</f>
        <v/>
      </c>
      <c r="O130" s="22">
        <f>IF(G130="","",IF(K130&lt;&gt;"",AVERAGE(G130,K130),G130))</f>
        <v/>
      </c>
      <c r="P130" s="22">
        <f>IF(OR(N130="",O130=""),"",AVERAGE(N130,O130))</f>
        <v/>
      </c>
    </row>
    <row r="131">
      <c r="A131" s="15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1" t="n"/>
      <c r="G131" s="21" t="n"/>
      <c r="H131" s="21" t="n"/>
      <c r="I131">
        <f>IFERROR(INDEX(מלאי!$N$2:$N$500,MATCH(A131,מלאי!$D$2:$D$500,0)),"")</f>
        <v/>
      </c>
      <c r="J131" s="21" t="n"/>
      <c r="K131" s="21" t="n"/>
      <c r="L131" s="21" t="n"/>
      <c r="M131" s="15" t="n"/>
      <c r="N131" s="22">
        <f>IF(F131="","",IF(J131&lt;&gt;"",AVERAGE(F131,J131),F131))</f>
        <v/>
      </c>
      <c r="O131" s="22">
        <f>IF(G131="","",IF(K131&lt;&gt;"",AVERAGE(G131,K131),G131))</f>
        <v/>
      </c>
      <c r="P131" s="22">
        <f>IF(OR(N131="",O131=""),"",AVERAGE(N131,O131))</f>
        <v/>
      </c>
    </row>
    <row r="132">
      <c r="A132" s="15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1" t="n"/>
      <c r="G132" s="21" t="n"/>
      <c r="H132" s="21" t="n"/>
      <c r="I132">
        <f>IFERROR(INDEX(מלאי!$N$2:$N$500,MATCH(A132,מלאי!$D$2:$D$500,0)),"")</f>
        <v/>
      </c>
      <c r="J132" s="21" t="n"/>
      <c r="K132" s="21" t="n"/>
      <c r="L132" s="21" t="n"/>
      <c r="M132" s="15" t="n"/>
      <c r="N132" s="22">
        <f>IF(F132="","",IF(J132&lt;&gt;"",AVERAGE(F132,J132),F132))</f>
        <v/>
      </c>
      <c r="O132" s="22">
        <f>IF(G132="","",IF(K132&lt;&gt;"",AVERAGE(G132,K132),G132))</f>
        <v/>
      </c>
      <c r="P132" s="22">
        <f>IF(OR(N132="",O132=""),"",AVERAGE(N132,O132))</f>
        <v/>
      </c>
    </row>
    <row r="133">
      <c r="A133" s="15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1" t="n"/>
      <c r="G133" s="21" t="n"/>
      <c r="H133" s="21" t="n"/>
      <c r="I133">
        <f>IFERROR(INDEX(מלאי!$N$2:$N$500,MATCH(A133,מלאי!$D$2:$D$500,0)),"")</f>
        <v/>
      </c>
      <c r="J133" s="21" t="n"/>
      <c r="K133" s="21" t="n"/>
      <c r="L133" s="21" t="n"/>
      <c r="M133" s="15" t="n"/>
      <c r="N133" s="22">
        <f>IF(F133="","",IF(J133&lt;&gt;"",AVERAGE(F133,J133),F133))</f>
        <v/>
      </c>
      <c r="O133" s="22">
        <f>IF(G133="","",IF(K133&lt;&gt;"",AVERAGE(G133,K133),G133))</f>
        <v/>
      </c>
      <c r="P133" s="22">
        <f>IF(OR(N133="",O133=""),"",AVERAGE(N133,O133))</f>
        <v/>
      </c>
    </row>
    <row r="134">
      <c r="A134" s="15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1" t="n"/>
      <c r="G134" s="21" t="n"/>
      <c r="H134" s="21" t="n"/>
      <c r="I134">
        <f>IFERROR(INDEX(מלאי!$N$2:$N$500,MATCH(A134,מלאי!$D$2:$D$500,0)),"")</f>
        <v/>
      </c>
      <c r="J134" s="21" t="n"/>
      <c r="K134" s="21" t="n"/>
      <c r="L134" s="21" t="n"/>
      <c r="M134" s="15" t="n"/>
      <c r="N134" s="22">
        <f>IF(F134="","",IF(J134&lt;&gt;"",AVERAGE(F134,J134),F134))</f>
        <v/>
      </c>
      <c r="O134" s="22">
        <f>IF(G134="","",IF(K134&lt;&gt;"",AVERAGE(G134,K134),G134))</f>
        <v/>
      </c>
      <c r="P134" s="22">
        <f>IF(OR(N134="",O134=""),"",AVERAGE(N134,O134))</f>
        <v/>
      </c>
    </row>
    <row r="135">
      <c r="A135" s="15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1" t="n"/>
      <c r="G135" s="21" t="n"/>
      <c r="H135" s="21" t="n"/>
      <c r="I135">
        <f>IFERROR(INDEX(מלאי!$N$2:$N$500,MATCH(A135,מלאי!$D$2:$D$500,0)),"")</f>
        <v/>
      </c>
      <c r="J135" s="21" t="n"/>
      <c r="K135" s="21" t="n"/>
      <c r="L135" s="21" t="n"/>
      <c r="M135" s="15" t="n"/>
      <c r="N135" s="22">
        <f>IF(F135="","",IF(J135&lt;&gt;"",AVERAGE(F135,J135),F135))</f>
        <v/>
      </c>
      <c r="O135" s="22">
        <f>IF(G135="","",IF(K135&lt;&gt;"",AVERAGE(G135,K135),G135))</f>
        <v/>
      </c>
      <c r="P135" s="22">
        <f>IF(OR(N135="",O135=""),"",AVERAGE(N135,O135))</f>
        <v/>
      </c>
    </row>
    <row r="136">
      <c r="A136" s="15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1" t="n"/>
      <c r="G136" s="21" t="n"/>
      <c r="H136" s="21" t="n"/>
      <c r="I136">
        <f>IFERROR(INDEX(מלאי!$N$2:$N$500,MATCH(A136,מלאי!$D$2:$D$500,0)),"")</f>
        <v/>
      </c>
      <c r="J136" s="21" t="n"/>
      <c r="K136" s="21" t="n"/>
      <c r="L136" s="21" t="n"/>
      <c r="M136" s="15" t="n"/>
      <c r="N136" s="22">
        <f>IF(F136="","",IF(J136&lt;&gt;"",AVERAGE(F136,J136),F136))</f>
        <v/>
      </c>
      <c r="O136" s="22">
        <f>IF(G136="","",IF(K136&lt;&gt;"",AVERAGE(G136,K136),G136))</f>
        <v/>
      </c>
      <c r="P136" s="22">
        <f>IF(OR(N136="",O136=""),"",AVERAGE(N136,O136))</f>
        <v/>
      </c>
    </row>
    <row r="137">
      <c r="A137" s="15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1" t="n"/>
      <c r="G137" s="21" t="n"/>
      <c r="H137" s="21" t="n"/>
      <c r="I137">
        <f>IFERROR(INDEX(מלאי!$N$2:$N$500,MATCH(A137,מלאי!$D$2:$D$500,0)),"")</f>
        <v/>
      </c>
      <c r="J137" s="21" t="n"/>
      <c r="K137" s="21" t="n"/>
      <c r="L137" s="21" t="n"/>
      <c r="M137" s="15" t="n"/>
      <c r="N137" s="22">
        <f>IF(F137="","",IF(J137&lt;&gt;"",AVERAGE(F137,J137),F137))</f>
        <v/>
      </c>
      <c r="O137" s="22">
        <f>IF(G137="","",IF(K137&lt;&gt;"",AVERAGE(G137,K137),G137))</f>
        <v/>
      </c>
      <c r="P137" s="22">
        <f>IF(OR(N137="",O137=""),"",AVERAGE(N137,O137))</f>
        <v/>
      </c>
    </row>
    <row r="138">
      <c r="A138" s="15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1" t="n"/>
      <c r="G138" s="21" t="n"/>
      <c r="H138" s="21" t="n"/>
      <c r="I138">
        <f>IFERROR(INDEX(מלאי!$N$2:$N$500,MATCH(A138,מלאי!$D$2:$D$500,0)),"")</f>
        <v/>
      </c>
      <c r="J138" s="21" t="n"/>
      <c r="K138" s="21" t="n"/>
      <c r="L138" s="21" t="n"/>
      <c r="M138" s="15" t="n"/>
      <c r="N138" s="22">
        <f>IF(F138="","",IF(J138&lt;&gt;"",AVERAGE(F138,J138),F138))</f>
        <v/>
      </c>
      <c r="O138" s="22">
        <f>IF(G138="","",IF(K138&lt;&gt;"",AVERAGE(G138,K138),G138))</f>
        <v/>
      </c>
      <c r="P138" s="22">
        <f>IF(OR(N138="",O138=""),"",AVERAGE(N138,O138))</f>
        <v/>
      </c>
    </row>
    <row r="139">
      <c r="A139" s="15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1" t="n"/>
      <c r="G139" s="21" t="n"/>
      <c r="H139" s="21" t="n"/>
      <c r="I139">
        <f>IFERROR(INDEX(מלאי!$N$2:$N$500,MATCH(A139,מלאי!$D$2:$D$500,0)),"")</f>
        <v/>
      </c>
      <c r="J139" s="21" t="n"/>
      <c r="K139" s="21" t="n"/>
      <c r="L139" s="21" t="n"/>
      <c r="M139" s="15" t="n"/>
      <c r="N139" s="22">
        <f>IF(F139="","",IF(J139&lt;&gt;"",AVERAGE(F139,J139),F139))</f>
        <v/>
      </c>
      <c r="O139" s="22">
        <f>IF(G139="","",IF(K139&lt;&gt;"",AVERAGE(G139,K139),G139))</f>
        <v/>
      </c>
      <c r="P139" s="22">
        <f>IF(OR(N139="",O139=""),"",AVERAGE(N139,O139))</f>
        <v/>
      </c>
    </row>
    <row r="140">
      <c r="A140" s="15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1" t="n"/>
      <c r="G140" s="21" t="n"/>
      <c r="H140" s="21" t="n"/>
      <c r="I140">
        <f>IFERROR(INDEX(מלאי!$N$2:$N$500,MATCH(A140,מלאי!$D$2:$D$500,0)),"")</f>
        <v/>
      </c>
      <c r="J140" s="21" t="n"/>
      <c r="K140" s="21" t="n"/>
      <c r="L140" s="21" t="n"/>
      <c r="M140" s="15" t="n"/>
      <c r="N140" s="22">
        <f>IF(F140="","",IF(J140&lt;&gt;"",AVERAGE(F140,J140),F140))</f>
        <v/>
      </c>
      <c r="O140" s="22">
        <f>IF(G140="","",IF(K140&lt;&gt;"",AVERAGE(G140,K140),G140))</f>
        <v/>
      </c>
      <c r="P140" s="22">
        <f>IF(OR(N140="",O140=""),"",AVERAGE(N140,O140))</f>
        <v/>
      </c>
    </row>
    <row r="141">
      <c r="A141" s="15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1" t="n"/>
      <c r="G141" s="21" t="n"/>
      <c r="H141" s="21" t="n"/>
      <c r="I141">
        <f>IFERROR(INDEX(מלאי!$N$2:$N$500,MATCH(A141,מלאי!$D$2:$D$500,0)),"")</f>
        <v/>
      </c>
      <c r="J141" s="21" t="n"/>
      <c r="K141" s="21" t="n"/>
      <c r="L141" s="21" t="n"/>
      <c r="M141" s="15" t="n"/>
      <c r="N141" s="22">
        <f>IF(F141="","",IF(J141&lt;&gt;"",AVERAGE(F141,J141),F141))</f>
        <v/>
      </c>
      <c r="O141" s="22">
        <f>IF(G141="","",IF(K141&lt;&gt;"",AVERAGE(G141,K141),G141))</f>
        <v/>
      </c>
      <c r="P141" s="22">
        <f>IF(OR(N141="",O141=""),"",AVERAGE(N141,O141))</f>
        <v/>
      </c>
    </row>
    <row r="142">
      <c r="A142" s="15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1" t="n"/>
      <c r="G142" s="21" t="n"/>
      <c r="H142" s="21" t="n"/>
      <c r="I142">
        <f>IFERROR(INDEX(מלאי!$N$2:$N$500,MATCH(A142,מלאי!$D$2:$D$500,0)),"")</f>
        <v/>
      </c>
      <c r="J142" s="21" t="n"/>
      <c r="K142" s="21" t="n"/>
      <c r="L142" s="21" t="n"/>
      <c r="M142" s="15" t="n"/>
      <c r="N142" s="22">
        <f>IF(F142="","",IF(J142&lt;&gt;"",AVERAGE(F142,J142),F142))</f>
        <v/>
      </c>
      <c r="O142" s="22">
        <f>IF(G142="","",IF(K142&lt;&gt;"",AVERAGE(G142,K142),G142))</f>
        <v/>
      </c>
      <c r="P142" s="22">
        <f>IF(OR(N142="",O142=""),"",AVERAGE(N142,O142))</f>
        <v/>
      </c>
    </row>
    <row r="143">
      <c r="A143" s="15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1" t="n"/>
      <c r="G143" s="21" t="n"/>
      <c r="H143" s="21" t="n"/>
      <c r="I143">
        <f>IFERROR(INDEX(מלאי!$N$2:$N$500,MATCH(A143,מלאי!$D$2:$D$500,0)),"")</f>
        <v/>
      </c>
      <c r="J143" s="21" t="n"/>
      <c r="K143" s="21" t="n"/>
      <c r="L143" s="21" t="n"/>
      <c r="M143" s="15" t="n"/>
      <c r="N143" s="22">
        <f>IF(F143="","",IF(J143&lt;&gt;"",AVERAGE(F143,J143),F143))</f>
        <v/>
      </c>
      <c r="O143" s="22">
        <f>IF(G143="","",IF(K143&lt;&gt;"",AVERAGE(G143,K143),G143))</f>
        <v/>
      </c>
      <c r="P143" s="22">
        <f>IF(OR(N143="",O143=""),"",AVERAGE(N143,O143))</f>
        <v/>
      </c>
    </row>
    <row r="144">
      <c r="A144" s="15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1" t="n"/>
      <c r="G144" s="21" t="n"/>
      <c r="H144" s="21" t="n"/>
      <c r="I144">
        <f>IFERROR(INDEX(מלאי!$N$2:$N$500,MATCH(A144,מלאי!$D$2:$D$500,0)),"")</f>
        <v/>
      </c>
      <c r="J144" s="21" t="n"/>
      <c r="K144" s="21" t="n"/>
      <c r="L144" s="21" t="n"/>
      <c r="M144" s="15" t="n"/>
      <c r="N144" s="22">
        <f>IF(F144="","",IF(J144&lt;&gt;"",AVERAGE(F144,J144),F144))</f>
        <v/>
      </c>
      <c r="O144" s="22">
        <f>IF(G144="","",IF(K144&lt;&gt;"",AVERAGE(G144,K144),G144))</f>
        <v/>
      </c>
      <c r="P144" s="22">
        <f>IF(OR(N144="",O144=""),"",AVERAGE(N144,O144))</f>
        <v/>
      </c>
    </row>
    <row r="145">
      <c r="A145" s="15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1" t="n"/>
      <c r="G145" s="21" t="n"/>
      <c r="H145" s="21" t="n"/>
      <c r="I145">
        <f>IFERROR(INDEX(מלאי!$N$2:$N$500,MATCH(A145,מלאי!$D$2:$D$500,0)),"")</f>
        <v/>
      </c>
      <c r="J145" s="21" t="n"/>
      <c r="K145" s="21" t="n"/>
      <c r="L145" s="21" t="n"/>
      <c r="M145" s="15" t="n"/>
      <c r="N145" s="22">
        <f>IF(F145="","",IF(J145&lt;&gt;"",AVERAGE(F145,J145),F145))</f>
        <v/>
      </c>
      <c r="O145" s="22">
        <f>IF(G145="","",IF(K145&lt;&gt;"",AVERAGE(G145,K145),G145))</f>
        <v/>
      </c>
      <c r="P145" s="22">
        <f>IF(OR(N145="",O145=""),"",AVERAGE(N145,O145))</f>
        <v/>
      </c>
    </row>
    <row r="146">
      <c r="A146" s="15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1" t="n"/>
      <c r="G146" s="21" t="n"/>
      <c r="H146" s="21" t="n"/>
      <c r="I146">
        <f>IFERROR(INDEX(מלאי!$N$2:$N$500,MATCH(A146,מלאי!$D$2:$D$500,0)),"")</f>
        <v/>
      </c>
      <c r="J146" s="21" t="n"/>
      <c r="K146" s="21" t="n"/>
      <c r="L146" s="21" t="n"/>
      <c r="M146" s="15" t="n"/>
      <c r="N146" s="22">
        <f>IF(F146="","",IF(J146&lt;&gt;"",AVERAGE(F146,J146),F146))</f>
        <v/>
      </c>
      <c r="O146" s="22">
        <f>IF(G146="","",IF(K146&lt;&gt;"",AVERAGE(G146,K146),G146))</f>
        <v/>
      </c>
      <c r="P146" s="22">
        <f>IF(OR(N146="",O146=""),"",AVERAGE(N146,O146))</f>
        <v/>
      </c>
    </row>
    <row r="147">
      <c r="A147" s="15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1" t="n"/>
      <c r="G147" s="21" t="n"/>
      <c r="H147" s="21" t="n"/>
      <c r="I147">
        <f>IFERROR(INDEX(מלאי!$N$2:$N$500,MATCH(A147,מלאי!$D$2:$D$500,0)),"")</f>
        <v/>
      </c>
      <c r="J147" s="21" t="n"/>
      <c r="K147" s="21" t="n"/>
      <c r="L147" s="21" t="n"/>
      <c r="M147" s="15" t="n"/>
      <c r="N147" s="22">
        <f>IF(F147="","",IF(J147&lt;&gt;"",AVERAGE(F147,J147),F147))</f>
        <v/>
      </c>
      <c r="O147" s="22">
        <f>IF(G147="","",IF(K147&lt;&gt;"",AVERAGE(G147,K147),G147))</f>
        <v/>
      </c>
      <c r="P147" s="22">
        <f>IF(OR(N147="",O147=""),"",AVERAGE(N147,O147))</f>
        <v/>
      </c>
    </row>
    <row r="148">
      <c r="A148" s="15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1" t="n"/>
      <c r="G148" s="21" t="n"/>
      <c r="H148" s="21" t="n"/>
      <c r="I148">
        <f>IFERROR(INDEX(מלאי!$N$2:$N$500,MATCH(A148,מלאי!$D$2:$D$500,0)),"")</f>
        <v/>
      </c>
      <c r="J148" s="21" t="n"/>
      <c r="K148" s="21" t="n"/>
      <c r="L148" s="21" t="n"/>
      <c r="M148" s="15" t="n"/>
      <c r="N148" s="22">
        <f>IF(F148="","",IF(J148&lt;&gt;"",AVERAGE(F148,J148),F148))</f>
        <v/>
      </c>
      <c r="O148" s="22">
        <f>IF(G148="","",IF(K148&lt;&gt;"",AVERAGE(G148,K148),G148))</f>
        <v/>
      </c>
      <c r="P148" s="22">
        <f>IF(OR(N148="",O148=""),"",AVERAGE(N148,O148))</f>
        <v/>
      </c>
    </row>
    <row r="149">
      <c r="A149" s="15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1" t="n"/>
      <c r="G149" s="21" t="n"/>
      <c r="H149" s="21" t="n"/>
      <c r="I149">
        <f>IFERROR(INDEX(מלאי!$N$2:$N$500,MATCH(A149,מלאי!$D$2:$D$500,0)),"")</f>
        <v/>
      </c>
      <c r="J149" s="21" t="n"/>
      <c r="K149" s="21" t="n"/>
      <c r="L149" s="21" t="n"/>
      <c r="M149" s="15" t="n"/>
      <c r="N149" s="22">
        <f>IF(F149="","",IF(J149&lt;&gt;"",AVERAGE(F149,J149),F149))</f>
        <v/>
      </c>
      <c r="O149" s="22">
        <f>IF(G149="","",IF(K149&lt;&gt;"",AVERAGE(G149,K149),G149))</f>
        <v/>
      </c>
      <c r="P149" s="22">
        <f>IF(OR(N149="",O149=""),"",AVERAGE(N149,O149))</f>
        <v/>
      </c>
    </row>
    <row r="150">
      <c r="A150" s="15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1" t="n"/>
      <c r="G150" s="21" t="n"/>
      <c r="H150" s="21" t="n"/>
      <c r="I150">
        <f>IFERROR(INDEX(מלאי!$N$2:$N$500,MATCH(A150,מלאי!$D$2:$D$500,0)),"")</f>
        <v/>
      </c>
      <c r="J150" s="21" t="n"/>
      <c r="K150" s="21" t="n"/>
      <c r="L150" s="21" t="n"/>
      <c r="M150" s="15" t="n"/>
      <c r="N150" s="22">
        <f>IF(F150="","",IF(J150&lt;&gt;"",AVERAGE(F150,J150),F150))</f>
        <v/>
      </c>
      <c r="O150" s="22">
        <f>IF(G150="","",IF(K150&lt;&gt;"",AVERAGE(G150,K150),G150))</f>
        <v/>
      </c>
      <c r="P150" s="22">
        <f>IF(OR(N150="",O150=""),"",AVERAGE(N150,O150))</f>
        <v/>
      </c>
    </row>
    <row r="151">
      <c r="A151" s="15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1" t="n"/>
      <c r="G151" s="21" t="n"/>
      <c r="H151" s="21" t="n"/>
      <c r="I151">
        <f>IFERROR(INDEX(מלאי!$N$2:$N$500,MATCH(A151,מלאי!$D$2:$D$500,0)),"")</f>
        <v/>
      </c>
      <c r="J151" s="21" t="n"/>
      <c r="K151" s="21" t="n"/>
      <c r="L151" s="21" t="n"/>
      <c r="M151" s="15" t="n"/>
      <c r="N151" s="22">
        <f>IF(F151="","",IF(J151&lt;&gt;"",AVERAGE(F151,J151),F151))</f>
        <v/>
      </c>
      <c r="O151" s="22">
        <f>IF(G151="","",IF(K151&lt;&gt;"",AVERAGE(G151,K151),G151))</f>
        <v/>
      </c>
      <c r="P151" s="22">
        <f>IF(OR(N151="",O151=""),"",AVERAGE(N151,O151))</f>
        <v/>
      </c>
    </row>
    <row r="152">
      <c r="A152" s="15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1" t="n"/>
      <c r="G152" s="21" t="n"/>
      <c r="H152" s="21" t="n"/>
      <c r="I152">
        <f>IFERROR(INDEX(מלאי!$N$2:$N$500,MATCH(A152,מלאי!$D$2:$D$500,0)),"")</f>
        <v/>
      </c>
      <c r="J152" s="21" t="n"/>
      <c r="K152" s="21" t="n"/>
      <c r="L152" s="21" t="n"/>
      <c r="M152" s="15" t="n"/>
      <c r="N152" s="22">
        <f>IF(F152="","",IF(J152&lt;&gt;"",AVERAGE(F152,J152),F152))</f>
        <v/>
      </c>
      <c r="O152" s="22">
        <f>IF(G152="","",IF(K152&lt;&gt;"",AVERAGE(G152,K152),G152))</f>
        <v/>
      </c>
      <c r="P152" s="22">
        <f>IF(OR(N152="",O152=""),"",AVERAGE(N152,O152))</f>
        <v/>
      </c>
    </row>
    <row r="153">
      <c r="A153" s="15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1" t="n"/>
      <c r="G153" s="21" t="n"/>
      <c r="H153" s="21" t="n"/>
      <c r="I153">
        <f>IFERROR(INDEX(מלאי!$N$2:$N$500,MATCH(A153,מלאי!$D$2:$D$500,0)),"")</f>
        <v/>
      </c>
      <c r="J153" s="21" t="n"/>
      <c r="K153" s="21" t="n"/>
      <c r="L153" s="21" t="n"/>
      <c r="M153" s="15" t="n"/>
      <c r="N153" s="22">
        <f>IF(F153="","",IF(J153&lt;&gt;"",AVERAGE(F153,J153),F153))</f>
        <v/>
      </c>
      <c r="O153" s="22">
        <f>IF(G153="","",IF(K153&lt;&gt;"",AVERAGE(G153,K153),G153))</f>
        <v/>
      </c>
      <c r="P153" s="22">
        <f>IF(OR(N153="",O153=""),"",AVERAGE(N153,O153))</f>
        <v/>
      </c>
    </row>
    <row r="154">
      <c r="A154" s="15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1" t="n"/>
      <c r="G154" s="21" t="n"/>
      <c r="H154" s="21" t="n"/>
      <c r="I154">
        <f>IFERROR(INDEX(מלאי!$N$2:$N$500,MATCH(A154,מלאי!$D$2:$D$500,0)),"")</f>
        <v/>
      </c>
      <c r="J154" s="21" t="n"/>
      <c r="K154" s="21" t="n"/>
      <c r="L154" s="21" t="n"/>
      <c r="M154" s="15" t="n"/>
      <c r="N154" s="22">
        <f>IF(F154="","",IF(J154&lt;&gt;"",AVERAGE(F154,J154),F154))</f>
        <v/>
      </c>
      <c r="O154" s="22">
        <f>IF(G154="","",IF(K154&lt;&gt;"",AVERAGE(G154,K154),G154))</f>
        <v/>
      </c>
      <c r="P154" s="22">
        <f>IF(OR(N154="",O154=""),"",AVERAGE(N154,O154))</f>
        <v/>
      </c>
    </row>
    <row r="155">
      <c r="A155" s="15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1" t="n"/>
      <c r="G155" s="21" t="n"/>
      <c r="H155" s="21" t="n"/>
      <c r="I155">
        <f>IFERROR(INDEX(מלאי!$N$2:$N$500,MATCH(A155,מלאי!$D$2:$D$500,0)),"")</f>
        <v/>
      </c>
      <c r="J155" s="21" t="n"/>
      <c r="K155" s="21" t="n"/>
      <c r="L155" s="21" t="n"/>
      <c r="M155" s="15" t="n"/>
      <c r="N155" s="22">
        <f>IF(F155="","",IF(J155&lt;&gt;"",AVERAGE(F155,J155),F155))</f>
        <v/>
      </c>
      <c r="O155" s="22">
        <f>IF(G155="","",IF(K155&lt;&gt;"",AVERAGE(G155,K155),G155))</f>
        <v/>
      </c>
      <c r="P155" s="22">
        <f>IF(OR(N155="",O155=""),"",AVERAGE(N155,O155))</f>
        <v/>
      </c>
    </row>
    <row r="156">
      <c r="A156" s="15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1" t="n"/>
      <c r="G156" s="21" t="n"/>
      <c r="H156" s="21" t="n"/>
      <c r="I156">
        <f>IFERROR(INDEX(מלאי!$N$2:$N$500,MATCH(A156,מלאי!$D$2:$D$500,0)),"")</f>
        <v/>
      </c>
      <c r="J156" s="21" t="n"/>
      <c r="K156" s="21" t="n"/>
      <c r="L156" s="21" t="n"/>
      <c r="M156" s="15" t="n"/>
      <c r="N156" s="22">
        <f>IF(F156="","",IF(J156&lt;&gt;"",AVERAGE(F156,J156),F156))</f>
        <v/>
      </c>
      <c r="O156" s="22">
        <f>IF(G156="","",IF(K156&lt;&gt;"",AVERAGE(G156,K156),G156))</f>
        <v/>
      </c>
      <c r="P156" s="22">
        <f>IF(OR(N156="",O156=""),"",AVERAGE(N156,O156))</f>
        <v/>
      </c>
    </row>
    <row r="157">
      <c r="A157" s="15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1" t="n"/>
      <c r="G157" s="21" t="n"/>
      <c r="H157" s="21" t="n"/>
      <c r="I157">
        <f>IFERROR(INDEX(מלאי!$N$2:$N$500,MATCH(A157,מלאי!$D$2:$D$500,0)),"")</f>
        <v/>
      </c>
      <c r="J157" s="21" t="n"/>
      <c r="K157" s="21" t="n"/>
      <c r="L157" s="21" t="n"/>
      <c r="M157" s="15" t="n"/>
      <c r="N157" s="22">
        <f>IF(F157="","",IF(J157&lt;&gt;"",AVERAGE(F157,J157),F157))</f>
        <v/>
      </c>
      <c r="O157" s="22">
        <f>IF(G157="","",IF(K157&lt;&gt;"",AVERAGE(G157,K157),G157))</f>
        <v/>
      </c>
      <c r="P157" s="22">
        <f>IF(OR(N157="",O157=""),"",AVERAGE(N157,O157))</f>
        <v/>
      </c>
    </row>
    <row r="158">
      <c r="A158" s="15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1" t="n"/>
      <c r="G158" s="21" t="n"/>
      <c r="H158" s="21" t="n"/>
      <c r="I158">
        <f>IFERROR(INDEX(מלאי!$N$2:$N$500,MATCH(A158,מלאי!$D$2:$D$500,0)),"")</f>
        <v/>
      </c>
      <c r="J158" s="21" t="n"/>
      <c r="K158" s="21" t="n"/>
      <c r="L158" s="21" t="n"/>
      <c r="M158" s="15" t="n"/>
      <c r="N158" s="22">
        <f>IF(F158="","",IF(J158&lt;&gt;"",AVERAGE(F158,J158),F158))</f>
        <v/>
      </c>
      <c r="O158" s="22">
        <f>IF(G158="","",IF(K158&lt;&gt;"",AVERAGE(G158,K158),G158))</f>
        <v/>
      </c>
      <c r="P158" s="22">
        <f>IF(OR(N158="",O158=""),"",AVERAGE(N158,O158))</f>
        <v/>
      </c>
    </row>
    <row r="159">
      <c r="A159" s="15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1" t="n"/>
      <c r="G159" s="21" t="n"/>
      <c r="H159" s="21" t="n"/>
      <c r="I159">
        <f>IFERROR(INDEX(מלאי!$N$2:$N$500,MATCH(A159,מלאי!$D$2:$D$500,0)),"")</f>
        <v/>
      </c>
      <c r="J159" s="21" t="n"/>
      <c r="K159" s="21" t="n"/>
      <c r="L159" s="21" t="n"/>
      <c r="M159" s="15" t="n"/>
      <c r="N159" s="22">
        <f>IF(F159="","",IF(J159&lt;&gt;"",AVERAGE(F159,J159),F159))</f>
        <v/>
      </c>
      <c r="O159" s="22">
        <f>IF(G159="","",IF(K159&lt;&gt;"",AVERAGE(G159,K159),G159))</f>
        <v/>
      </c>
      <c r="P159" s="22">
        <f>IF(OR(N159="",O159=""),"",AVERAGE(N159,O159))</f>
        <v/>
      </c>
    </row>
    <row r="160">
      <c r="A160" s="15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1" t="n"/>
      <c r="G160" s="21" t="n"/>
      <c r="H160" s="21" t="n"/>
      <c r="I160">
        <f>IFERROR(INDEX(מלאי!$N$2:$N$500,MATCH(A160,מלאי!$D$2:$D$500,0)),"")</f>
        <v/>
      </c>
      <c r="J160" s="21" t="n"/>
      <c r="K160" s="21" t="n"/>
      <c r="L160" s="21" t="n"/>
      <c r="M160" s="15" t="n"/>
      <c r="N160" s="22">
        <f>IF(F160="","",IF(J160&lt;&gt;"",AVERAGE(F160,J160),F160))</f>
        <v/>
      </c>
      <c r="O160" s="22">
        <f>IF(G160="","",IF(K160&lt;&gt;"",AVERAGE(G160,K160),G160))</f>
        <v/>
      </c>
      <c r="P160" s="22">
        <f>IF(OR(N160="",O160=""),"",AVERAGE(N160,O160))</f>
        <v/>
      </c>
    </row>
    <row r="161">
      <c r="A161" s="15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1" t="n"/>
      <c r="G161" s="21" t="n"/>
      <c r="H161" s="21" t="n"/>
      <c r="I161">
        <f>IFERROR(INDEX(מלאי!$N$2:$N$500,MATCH(A161,מלאי!$D$2:$D$500,0)),"")</f>
        <v/>
      </c>
      <c r="J161" s="21" t="n"/>
      <c r="K161" s="21" t="n"/>
      <c r="L161" s="21" t="n"/>
      <c r="M161" s="15" t="n"/>
      <c r="N161" s="22">
        <f>IF(F161="","",IF(J161&lt;&gt;"",AVERAGE(F161,J161),F161))</f>
        <v/>
      </c>
      <c r="O161" s="22">
        <f>IF(G161="","",IF(K161&lt;&gt;"",AVERAGE(G161,K161),G161))</f>
        <v/>
      </c>
      <c r="P161" s="22">
        <f>IF(OR(N161="",O161=""),"",AVERAGE(N161,O161))</f>
        <v/>
      </c>
    </row>
    <row r="162">
      <c r="A162" s="15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1" t="n"/>
      <c r="G162" s="21" t="n"/>
      <c r="H162" s="21" t="n"/>
      <c r="I162">
        <f>IFERROR(INDEX(מלאי!$N$2:$N$500,MATCH(A162,מלאי!$D$2:$D$500,0)),"")</f>
        <v/>
      </c>
      <c r="J162" s="21" t="n"/>
      <c r="K162" s="21" t="n"/>
      <c r="L162" s="21" t="n"/>
      <c r="M162" s="15" t="n"/>
      <c r="N162" s="22">
        <f>IF(F162="","",IF(J162&lt;&gt;"",AVERAGE(F162,J162),F162))</f>
        <v/>
      </c>
      <c r="O162" s="22">
        <f>IF(G162="","",IF(K162&lt;&gt;"",AVERAGE(G162,K162),G162))</f>
        <v/>
      </c>
      <c r="P162" s="22">
        <f>IF(OR(N162="",O162=""),"",AVERAGE(N162,O162))</f>
        <v/>
      </c>
    </row>
    <row r="163">
      <c r="A163" s="15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1" t="n"/>
      <c r="G163" s="21" t="n"/>
      <c r="H163" s="21" t="n"/>
      <c r="I163">
        <f>IFERROR(INDEX(מלאי!$N$2:$N$500,MATCH(A163,מלאי!$D$2:$D$500,0)),"")</f>
        <v/>
      </c>
      <c r="J163" s="21" t="n"/>
      <c r="K163" s="21" t="n"/>
      <c r="L163" s="21" t="n"/>
      <c r="M163" s="15" t="n"/>
      <c r="N163" s="22">
        <f>IF(F163="","",IF(J163&lt;&gt;"",AVERAGE(F163,J163),F163))</f>
        <v/>
      </c>
      <c r="O163" s="22">
        <f>IF(G163="","",IF(K163&lt;&gt;"",AVERAGE(G163,K163),G163))</f>
        <v/>
      </c>
      <c r="P163" s="22">
        <f>IF(OR(N163="",O163=""),"",AVERAGE(N163,O163))</f>
        <v/>
      </c>
    </row>
    <row r="164">
      <c r="A164" s="15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1" t="n"/>
      <c r="G164" s="21" t="n"/>
      <c r="H164" s="21" t="n"/>
      <c r="I164">
        <f>IFERROR(INDEX(מלאי!$N$2:$N$500,MATCH(A164,מלאי!$D$2:$D$500,0)),"")</f>
        <v/>
      </c>
      <c r="J164" s="21" t="n"/>
      <c r="K164" s="21" t="n"/>
      <c r="L164" s="21" t="n"/>
      <c r="M164" s="15" t="n"/>
      <c r="N164" s="22">
        <f>IF(F164="","",IF(J164&lt;&gt;"",AVERAGE(F164,J164),F164))</f>
        <v/>
      </c>
      <c r="O164" s="22">
        <f>IF(G164="","",IF(K164&lt;&gt;"",AVERAGE(G164,K164),G164))</f>
        <v/>
      </c>
      <c r="P164" s="22">
        <f>IF(OR(N164="",O164=""),"",AVERAGE(N164,O164))</f>
        <v/>
      </c>
    </row>
    <row r="165">
      <c r="A165" s="15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1" t="n"/>
      <c r="G165" s="21" t="n"/>
      <c r="H165" s="21" t="n"/>
      <c r="I165">
        <f>IFERROR(INDEX(מלאי!$N$2:$N$500,MATCH(A165,מלאי!$D$2:$D$500,0)),"")</f>
        <v/>
      </c>
      <c r="J165" s="21" t="n"/>
      <c r="K165" s="21" t="n"/>
      <c r="L165" s="21" t="n"/>
      <c r="M165" s="15" t="n"/>
      <c r="N165" s="22">
        <f>IF(F165="","",IF(J165&lt;&gt;"",AVERAGE(F165,J165),F165))</f>
        <v/>
      </c>
      <c r="O165" s="22">
        <f>IF(G165="","",IF(K165&lt;&gt;"",AVERAGE(G165,K165),G165))</f>
        <v/>
      </c>
      <c r="P165" s="22">
        <f>IF(OR(N165="",O165=""),"",AVERAGE(N165,O165))</f>
        <v/>
      </c>
    </row>
    <row r="166">
      <c r="A166" s="15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1" t="n"/>
      <c r="G166" s="21" t="n"/>
      <c r="H166" s="21" t="n"/>
      <c r="I166">
        <f>IFERROR(INDEX(מלאי!$N$2:$N$500,MATCH(A166,מלאי!$D$2:$D$500,0)),"")</f>
        <v/>
      </c>
      <c r="J166" s="21" t="n"/>
      <c r="K166" s="21" t="n"/>
      <c r="L166" s="21" t="n"/>
      <c r="M166" s="15" t="n"/>
      <c r="N166" s="22">
        <f>IF(F166="","",IF(J166&lt;&gt;"",AVERAGE(F166,J166),F166))</f>
        <v/>
      </c>
      <c r="O166" s="22">
        <f>IF(G166="","",IF(K166&lt;&gt;"",AVERAGE(G166,K166),G166))</f>
        <v/>
      </c>
      <c r="P166" s="22">
        <f>IF(OR(N166="",O166=""),"",AVERAGE(N166,O166))</f>
        <v/>
      </c>
    </row>
    <row r="167">
      <c r="A167" s="15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1" t="n"/>
      <c r="G167" s="21" t="n"/>
      <c r="H167" s="21" t="n"/>
      <c r="I167">
        <f>IFERROR(INDEX(מלאי!$N$2:$N$500,MATCH(A167,מלאי!$D$2:$D$500,0)),"")</f>
        <v/>
      </c>
      <c r="J167" s="21" t="n"/>
      <c r="K167" s="21" t="n"/>
      <c r="L167" s="21" t="n"/>
      <c r="M167" s="15" t="n"/>
      <c r="N167" s="22">
        <f>IF(F167="","",IF(J167&lt;&gt;"",AVERAGE(F167,J167),F167))</f>
        <v/>
      </c>
      <c r="O167" s="22">
        <f>IF(G167="","",IF(K167&lt;&gt;"",AVERAGE(G167,K167),G167))</f>
        <v/>
      </c>
      <c r="P167" s="22">
        <f>IF(OR(N167="",O167=""),"",AVERAGE(N167,O167))</f>
        <v/>
      </c>
    </row>
    <row r="168">
      <c r="A168" s="15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1" t="n"/>
      <c r="G168" s="21" t="n"/>
      <c r="H168" s="21" t="n"/>
      <c r="I168">
        <f>IFERROR(INDEX(מלאי!$N$2:$N$500,MATCH(A168,מלאי!$D$2:$D$500,0)),"")</f>
        <v/>
      </c>
      <c r="J168" s="21" t="n"/>
      <c r="K168" s="21" t="n"/>
      <c r="L168" s="21" t="n"/>
      <c r="M168" s="15" t="n"/>
      <c r="N168" s="22">
        <f>IF(F168="","",IF(J168&lt;&gt;"",AVERAGE(F168,J168),F168))</f>
        <v/>
      </c>
      <c r="O168" s="22">
        <f>IF(G168="","",IF(K168&lt;&gt;"",AVERAGE(G168,K168),G168))</f>
        <v/>
      </c>
      <c r="P168" s="22">
        <f>IF(OR(N168="",O168=""),"",AVERAGE(N168,O168))</f>
        <v/>
      </c>
    </row>
    <row r="169">
      <c r="A169" s="15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1" t="n"/>
      <c r="G169" s="21" t="n"/>
      <c r="H169" s="21" t="n"/>
      <c r="I169">
        <f>IFERROR(INDEX(מלאי!$N$2:$N$500,MATCH(A169,מלאי!$D$2:$D$500,0)),"")</f>
        <v/>
      </c>
      <c r="J169" s="21" t="n"/>
      <c r="K169" s="21" t="n"/>
      <c r="L169" s="21" t="n"/>
      <c r="M169" s="15" t="n"/>
      <c r="N169" s="22">
        <f>IF(F169="","",IF(J169&lt;&gt;"",AVERAGE(F169,J169),F169))</f>
        <v/>
      </c>
      <c r="O169" s="22">
        <f>IF(G169="","",IF(K169&lt;&gt;"",AVERAGE(G169,K169),G169))</f>
        <v/>
      </c>
      <c r="P169" s="22">
        <f>IF(OR(N169="",O169=""),"",AVERAGE(N169,O169))</f>
        <v/>
      </c>
    </row>
    <row r="170">
      <c r="A170" s="15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1" t="n"/>
      <c r="G170" s="21" t="n"/>
      <c r="H170" s="21" t="n"/>
      <c r="I170">
        <f>IFERROR(INDEX(מלאי!$N$2:$N$500,MATCH(A170,מלאי!$D$2:$D$500,0)),"")</f>
        <v/>
      </c>
      <c r="J170" s="21" t="n"/>
      <c r="K170" s="21" t="n"/>
      <c r="L170" s="21" t="n"/>
      <c r="M170" s="15" t="n"/>
      <c r="N170" s="22">
        <f>IF(F170="","",IF(J170&lt;&gt;"",AVERAGE(F170,J170),F170))</f>
        <v/>
      </c>
      <c r="O170" s="22">
        <f>IF(G170="","",IF(K170&lt;&gt;"",AVERAGE(G170,K170),G170))</f>
        <v/>
      </c>
      <c r="P170" s="22">
        <f>IF(OR(N170="",O170=""),"",AVERAGE(N170,O170))</f>
        <v/>
      </c>
    </row>
    <row r="171">
      <c r="A171" s="15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1" t="n"/>
      <c r="G171" s="21" t="n"/>
      <c r="H171" s="21" t="n"/>
      <c r="I171">
        <f>IFERROR(INDEX(מלאי!$N$2:$N$500,MATCH(A171,מלאי!$D$2:$D$500,0)),"")</f>
        <v/>
      </c>
      <c r="J171" s="21" t="n"/>
      <c r="K171" s="21" t="n"/>
      <c r="L171" s="21" t="n"/>
      <c r="M171" s="15" t="n"/>
      <c r="N171" s="22">
        <f>IF(F171="","",IF(J171&lt;&gt;"",AVERAGE(F171,J171),F171))</f>
        <v/>
      </c>
      <c r="O171" s="22">
        <f>IF(G171="","",IF(K171&lt;&gt;"",AVERAGE(G171,K171),G171))</f>
        <v/>
      </c>
      <c r="P171" s="22">
        <f>IF(OR(N171="",O171=""),"",AVERAGE(N171,O171))</f>
        <v/>
      </c>
    </row>
    <row r="172">
      <c r="A172" s="15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1" t="n"/>
      <c r="G172" s="21" t="n"/>
      <c r="H172" s="21" t="n"/>
      <c r="I172">
        <f>IFERROR(INDEX(מלאי!$N$2:$N$500,MATCH(A172,מלאי!$D$2:$D$500,0)),"")</f>
        <v/>
      </c>
      <c r="J172" s="21" t="n"/>
      <c r="K172" s="21" t="n"/>
      <c r="L172" s="21" t="n"/>
      <c r="M172" s="15" t="n"/>
      <c r="N172" s="22">
        <f>IF(F172="","",IF(J172&lt;&gt;"",AVERAGE(F172,J172),F172))</f>
        <v/>
      </c>
      <c r="O172" s="22">
        <f>IF(G172="","",IF(K172&lt;&gt;"",AVERAGE(G172,K172),G172))</f>
        <v/>
      </c>
      <c r="P172" s="22">
        <f>IF(OR(N172="",O172=""),"",AVERAGE(N172,O172))</f>
        <v/>
      </c>
    </row>
    <row r="173">
      <c r="A173" s="15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1" t="n"/>
      <c r="G173" s="21" t="n"/>
      <c r="H173" s="21" t="n"/>
      <c r="I173">
        <f>IFERROR(INDEX(מלאי!$N$2:$N$500,MATCH(A173,מלאי!$D$2:$D$500,0)),"")</f>
        <v/>
      </c>
      <c r="J173" s="21" t="n"/>
      <c r="K173" s="21" t="n"/>
      <c r="L173" s="21" t="n"/>
      <c r="M173" s="15" t="n"/>
      <c r="N173" s="22">
        <f>IF(F173="","",IF(J173&lt;&gt;"",AVERAGE(F173,J173),F173))</f>
        <v/>
      </c>
      <c r="O173" s="22">
        <f>IF(G173="","",IF(K173&lt;&gt;"",AVERAGE(G173,K173),G173))</f>
        <v/>
      </c>
      <c r="P173" s="22">
        <f>IF(OR(N173="",O173=""),"",AVERAGE(N173,O173))</f>
        <v/>
      </c>
    </row>
    <row r="174">
      <c r="A174" s="15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1" t="n"/>
      <c r="G174" s="21" t="n"/>
      <c r="H174" s="21" t="n"/>
      <c r="I174">
        <f>IFERROR(INDEX(מלאי!$N$2:$N$500,MATCH(A174,מלאי!$D$2:$D$500,0)),"")</f>
        <v/>
      </c>
      <c r="J174" s="21" t="n"/>
      <c r="K174" s="21" t="n"/>
      <c r="L174" s="21" t="n"/>
      <c r="M174" s="15" t="n"/>
      <c r="N174" s="22">
        <f>IF(F174="","",IF(J174&lt;&gt;"",AVERAGE(F174,J174),F174))</f>
        <v/>
      </c>
      <c r="O174" s="22">
        <f>IF(G174="","",IF(K174&lt;&gt;"",AVERAGE(G174,K174),G174))</f>
        <v/>
      </c>
      <c r="P174" s="22">
        <f>IF(OR(N174="",O174=""),"",AVERAGE(N174,O174))</f>
        <v/>
      </c>
    </row>
    <row r="175">
      <c r="A175" s="15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1" t="n"/>
      <c r="G175" s="21" t="n"/>
      <c r="H175" s="21" t="n"/>
      <c r="I175">
        <f>IFERROR(INDEX(מלאי!$N$2:$N$500,MATCH(A175,מלאי!$D$2:$D$500,0)),"")</f>
        <v/>
      </c>
      <c r="J175" s="21" t="n"/>
      <c r="K175" s="21" t="n"/>
      <c r="L175" s="21" t="n"/>
      <c r="M175" s="15" t="n"/>
      <c r="N175" s="22">
        <f>IF(F175="","",IF(J175&lt;&gt;"",AVERAGE(F175,J175),F175))</f>
        <v/>
      </c>
      <c r="O175" s="22">
        <f>IF(G175="","",IF(K175&lt;&gt;"",AVERAGE(G175,K175),G175))</f>
        <v/>
      </c>
      <c r="P175" s="22">
        <f>IF(OR(N175="",O175=""),"",AVERAGE(N175,O175))</f>
        <v/>
      </c>
    </row>
    <row r="176">
      <c r="A176" s="15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1" t="n"/>
      <c r="G176" s="21" t="n"/>
      <c r="H176" s="21" t="n"/>
      <c r="I176">
        <f>IFERROR(INDEX(מלאי!$N$2:$N$500,MATCH(A176,מלאי!$D$2:$D$500,0)),"")</f>
        <v/>
      </c>
      <c r="J176" s="21" t="n"/>
      <c r="K176" s="21" t="n"/>
      <c r="L176" s="21" t="n"/>
      <c r="M176" s="15" t="n"/>
      <c r="N176" s="22">
        <f>IF(F176="","",IF(J176&lt;&gt;"",AVERAGE(F176,J176),F176))</f>
        <v/>
      </c>
      <c r="O176" s="22">
        <f>IF(G176="","",IF(K176&lt;&gt;"",AVERAGE(G176,K176),G176))</f>
        <v/>
      </c>
      <c r="P176" s="22">
        <f>IF(OR(N176="",O176=""),"",AVERAGE(N176,O176))</f>
        <v/>
      </c>
    </row>
    <row r="177">
      <c r="A177" s="15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1" t="n"/>
      <c r="G177" s="21" t="n"/>
      <c r="H177" s="21" t="n"/>
      <c r="I177">
        <f>IFERROR(INDEX(מלאי!$N$2:$N$500,MATCH(A177,מלאי!$D$2:$D$500,0)),"")</f>
        <v/>
      </c>
      <c r="J177" s="21" t="n"/>
      <c r="K177" s="21" t="n"/>
      <c r="L177" s="21" t="n"/>
      <c r="M177" s="15" t="n"/>
      <c r="N177" s="22">
        <f>IF(F177="","",IF(J177&lt;&gt;"",AVERAGE(F177,J177),F177))</f>
        <v/>
      </c>
      <c r="O177" s="22">
        <f>IF(G177="","",IF(K177&lt;&gt;"",AVERAGE(G177,K177),G177))</f>
        <v/>
      </c>
      <c r="P177" s="22">
        <f>IF(OR(N177="",O177=""),"",AVERAGE(N177,O177))</f>
        <v/>
      </c>
    </row>
    <row r="178">
      <c r="A178" s="15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1" t="n"/>
      <c r="G178" s="21" t="n"/>
      <c r="H178" s="21" t="n"/>
      <c r="I178">
        <f>IFERROR(INDEX(מלאי!$N$2:$N$500,MATCH(A178,מלאי!$D$2:$D$500,0)),"")</f>
        <v/>
      </c>
      <c r="J178" s="21" t="n"/>
      <c r="K178" s="21" t="n"/>
      <c r="L178" s="21" t="n"/>
      <c r="M178" s="15" t="n"/>
      <c r="N178" s="22">
        <f>IF(F178="","",IF(J178&lt;&gt;"",AVERAGE(F178,J178),F178))</f>
        <v/>
      </c>
      <c r="O178" s="22">
        <f>IF(G178="","",IF(K178&lt;&gt;"",AVERAGE(G178,K178),G178))</f>
        <v/>
      </c>
      <c r="P178" s="22">
        <f>IF(OR(N178="",O178=""),"",AVERAGE(N178,O178))</f>
        <v/>
      </c>
    </row>
    <row r="179">
      <c r="A179" s="15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1" t="n"/>
      <c r="G179" s="21" t="n"/>
      <c r="H179" s="21" t="n"/>
      <c r="I179">
        <f>IFERROR(INDEX(מלאי!$N$2:$N$500,MATCH(A179,מלאי!$D$2:$D$500,0)),"")</f>
        <v/>
      </c>
      <c r="J179" s="21" t="n"/>
      <c r="K179" s="21" t="n"/>
      <c r="L179" s="21" t="n"/>
      <c r="M179" s="15" t="n"/>
      <c r="N179" s="22">
        <f>IF(F179="","",IF(J179&lt;&gt;"",AVERAGE(F179,J179),F179))</f>
        <v/>
      </c>
      <c r="O179" s="22">
        <f>IF(G179="","",IF(K179&lt;&gt;"",AVERAGE(G179,K179),G179))</f>
        <v/>
      </c>
      <c r="P179" s="22">
        <f>IF(OR(N179="",O179=""),"",AVERAGE(N179,O179))</f>
        <v/>
      </c>
    </row>
    <row r="180">
      <c r="A180" s="15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1" t="n"/>
      <c r="G180" s="21" t="n"/>
      <c r="H180" s="21" t="n"/>
      <c r="I180">
        <f>IFERROR(INDEX(מלאי!$N$2:$N$500,MATCH(A180,מלאי!$D$2:$D$500,0)),"")</f>
        <v/>
      </c>
      <c r="J180" s="21" t="n"/>
      <c r="K180" s="21" t="n"/>
      <c r="L180" s="21" t="n"/>
      <c r="M180" s="15" t="n"/>
      <c r="N180" s="22">
        <f>IF(F180="","",IF(J180&lt;&gt;"",AVERAGE(F180,J180),F180))</f>
        <v/>
      </c>
      <c r="O180" s="22">
        <f>IF(G180="","",IF(K180&lt;&gt;"",AVERAGE(G180,K180),G180))</f>
        <v/>
      </c>
      <c r="P180" s="22">
        <f>IF(OR(N180="",O180=""),"",AVERAGE(N180,O180))</f>
        <v/>
      </c>
    </row>
    <row r="181">
      <c r="A181" s="15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1" t="n"/>
      <c r="G181" s="21" t="n"/>
      <c r="H181" s="21" t="n"/>
      <c r="I181">
        <f>IFERROR(INDEX(מלאי!$N$2:$N$500,MATCH(A181,מלאי!$D$2:$D$500,0)),"")</f>
        <v/>
      </c>
      <c r="J181" s="21" t="n"/>
      <c r="K181" s="21" t="n"/>
      <c r="L181" s="21" t="n"/>
      <c r="M181" s="15" t="n"/>
      <c r="N181" s="22">
        <f>IF(F181="","",IF(J181&lt;&gt;"",AVERAGE(F181,J181),F181))</f>
        <v/>
      </c>
      <c r="O181" s="22">
        <f>IF(G181="","",IF(K181&lt;&gt;"",AVERAGE(G181,K181),G181))</f>
        <v/>
      </c>
      <c r="P181" s="22">
        <f>IF(OR(N181="",O181=""),"",AVERAGE(N181,O181))</f>
        <v/>
      </c>
    </row>
    <row r="182">
      <c r="A182" s="15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1" t="n"/>
      <c r="G182" s="21" t="n"/>
      <c r="H182" s="21" t="n"/>
      <c r="I182">
        <f>IFERROR(INDEX(מלאי!$N$2:$N$500,MATCH(A182,מלאי!$D$2:$D$500,0)),"")</f>
        <v/>
      </c>
      <c r="J182" s="21" t="n"/>
      <c r="K182" s="21" t="n"/>
      <c r="L182" s="21" t="n"/>
      <c r="M182" s="15" t="n"/>
      <c r="N182" s="22">
        <f>IF(F182="","",IF(J182&lt;&gt;"",AVERAGE(F182,J182),F182))</f>
        <v/>
      </c>
      <c r="O182" s="22">
        <f>IF(G182="","",IF(K182&lt;&gt;"",AVERAGE(G182,K182),G182))</f>
        <v/>
      </c>
      <c r="P182" s="22">
        <f>IF(OR(N182="",O182=""),"",AVERAGE(N182,O182))</f>
        <v/>
      </c>
    </row>
    <row r="183">
      <c r="A183" s="15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1" t="n"/>
      <c r="G183" s="21" t="n"/>
      <c r="H183" s="21" t="n"/>
      <c r="I183">
        <f>IFERROR(INDEX(מלאי!$N$2:$N$500,MATCH(A183,מלאי!$D$2:$D$500,0)),"")</f>
        <v/>
      </c>
      <c r="J183" s="21" t="n"/>
      <c r="K183" s="21" t="n"/>
      <c r="L183" s="21" t="n"/>
      <c r="M183" s="15" t="n"/>
      <c r="N183" s="22">
        <f>IF(F183="","",IF(J183&lt;&gt;"",AVERAGE(F183,J183),F183))</f>
        <v/>
      </c>
      <c r="O183" s="22">
        <f>IF(G183="","",IF(K183&lt;&gt;"",AVERAGE(G183,K183),G183))</f>
        <v/>
      </c>
      <c r="P183" s="22">
        <f>IF(OR(N183="",O183=""),"",AVERAGE(N183,O183))</f>
        <v/>
      </c>
    </row>
    <row r="184">
      <c r="A184" s="15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1" t="n"/>
      <c r="G184" s="21" t="n"/>
      <c r="H184" s="21" t="n"/>
      <c r="I184">
        <f>IFERROR(INDEX(מלאי!$N$2:$N$500,MATCH(A184,מלאי!$D$2:$D$500,0)),"")</f>
        <v/>
      </c>
      <c r="J184" s="21" t="n"/>
      <c r="K184" s="21" t="n"/>
      <c r="L184" s="21" t="n"/>
      <c r="M184" s="15" t="n"/>
      <c r="N184" s="22">
        <f>IF(F184="","",IF(J184&lt;&gt;"",AVERAGE(F184,J184),F184))</f>
        <v/>
      </c>
      <c r="O184" s="22">
        <f>IF(G184="","",IF(K184&lt;&gt;"",AVERAGE(G184,K184),G184))</f>
        <v/>
      </c>
      <c r="P184" s="22">
        <f>IF(OR(N184="",O184=""),"",AVERAGE(N184,O184))</f>
        <v/>
      </c>
    </row>
    <row r="185">
      <c r="A185" s="15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1" t="n"/>
      <c r="G185" s="21" t="n"/>
      <c r="H185" s="21" t="n"/>
      <c r="I185">
        <f>IFERROR(INDEX(מלאי!$N$2:$N$500,MATCH(A185,מלאי!$D$2:$D$500,0)),"")</f>
        <v/>
      </c>
      <c r="J185" s="21" t="n"/>
      <c r="K185" s="21" t="n"/>
      <c r="L185" s="21" t="n"/>
      <c r="M185" s="15" t="n"/>
      <c r="N185" s="22">
        <f>IF(F185="","",IF(J185&lt;&gt;"",AVERAGE(F185,J185),F185))</f>
        <v/>
      </c>
      <c r="O185" s="22">
        <f>IF(G185="","",IF(K185&lt;&gt;"",AVERAGE(G185,K185),G185))</f>
        <v/>
      </c>
      <c r="P185" s="22">
        <f>IF(OR(N185="",O185=""),"",AVERAGE(N185,O185))</f>
        <v/>
      </c>
    </row>
    <row r="186">
      <c r="A186" s="15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1" t="n"/>
      <c r="G186" s="21" t="n"/>
      <c r="H186" s="21" t="n"/>
      <c r="I186">
        <f>IFERROR(INDEX(מלאי!$N$2:$N$500,MATCH(A186,מלאי!$D$2:$D$500,0)),"")</f>
        <v/>
      </c>
      <c r="J186" s="21" t="n"/>
      <c r="K186" s="21" t="n"/>
      <c r="L186" s="21" t="n"/>
      <c r="M186" s="15" t="n"/>
      <c r="N186" s="22">
        <f>IF(F186="","",IF(J186&lt;&gt;"",AVERAGE(F186,J186),F186))</f>
        <v/>
      </c>
      <c r="O186" s="22">
        <f>IF(G186="","",IF(K186&lt;&gt;"",AVERAGE(G186,K186),G186))</f>
        <v/>
      </c>
      <c r="P186" s="22">
        <f>IF(OR(N186="",O186=""),"",AVERAGE(N186,O186))</f>
        <v/>
      </c>
    </row>
    <row r="187">
      <c r="A187" s="15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1" t="n"/>
      <c r="G187" s="21" t="n"/>
      <c r="H187" s="21" t="n"/>
      <c r="I187">
        <f>IFERROR(INDEX(מלאי!$N$2:$N$500,MATCH(A187,מלאי!$D$2:$D$500,0)),"")</f>
        <v/>
      </c>
      <c r="J187" s="21" t="n"/>
      <c r="K187" s="21" t="n"/>
      <c r="L187" s="21" t="n"/>
      <c r="M187" s="15" t="n"/>
      <c r="N187" s="22">
        <f>IF(F187="","",IF(J187&lt;&gt;"",AVERAGE(F187,J187),F187))</f>
        <v/>
      </c>
      <c r="O187" s="22">
        <f>IF(G187="","",IF(K187&lt;&gt;"",AVERAGE(G187,K187),G187))</f>
        <v/>
      </c>
      <c r="P187" s="22">
        <f>IF(OR(N187="",O187=""),"",AVERAGE(N187,O187))</f>
        <v/>
      </c>
    </row>
    <row r="188">
      <c r="A188" s="15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1" t="n"/>
      <c r="G188" s="21" t="n"/>
      <c r="H188" s="21" t="n"/>
      <c r="I188">
        <f>IFERROR(INDEX(מלאי!$N$2:$N$500,MATCH(A188,מלאי!$D$2:$D$500,0)),"")</f>
        <v/>
      </c>
      <c r="J188" s="21" t="n"/>
      <c r="K188" s="21" t="n"/>
      <c r="L188" s="21" t="n"/>
      <c r="M188" s="15" t="n"/>
      <c r="N188" s="22">
        <f>IF(F188="","",IF(J188&lt;&gt;"",AVERAGE(F188,J188),F188))</f>
        <v/>
      </c>
      <c r="O188" s="22">
        <f>IF(G188="","",IF(K188&lt;&gt;"",AVERAGE(G188,K188),G188))</f>
        <v/>
      </c>
      <c r="P188" s="22">
        <f>IF(OR(N188="",O188=""),"",AVERAGE(N188,O188))</f>
        <v/>
      </c>
    </row>
    <row r="189">
      <c r="A189" s="15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1" t="n"/>
      <c r="G189" s="21" t="n"/>
      <c r="H189" s="21" t="n"/>
      <c r="I189">
        <f>IFERROR(INDEX(מלאי!$N$2:$N$500,MATCH(A189,מלאי!$D$2:$D$500,0)),"")</f>
        <v/>
      </c>
      <c r="J189" s="21" t="n"/>
      <c r="K189" s="21" t="n"/>
      <c r="L189" s="21" t="n"/>
      <c r="M189" s="15" t="n"/>
      <c r="N189" s="22">
        <f>IF(F189="","",IF(J189&lt;&gt;"",AVERAGE(F189,J189),F189))</f>
        <v/>
      </c>
      <c r="O189" s="22">
        <f>IF(G189="","",IF(K189&lt;&gt;"",AVERAGE(G189,K189),G189))</f>
        <v/>
      </c>
      <c r="P189" s="22">
        <f>IF(OR(N189="",O189=""),"",AVERAGE(N189,O189))</f>
        <v/>
      </c>
    </row>
    <row r="190">
      <c r="A190" s="15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1" t="n"/>
      <c r="G190" s="21" t="n"/>
      <c r="H190" s="21" t="n"/>
      <c r="I190">
        <f>IFERROR(INDEX(מלאי!$N$2:$N$500,MATCH(A190,מלאי!$D$2:$D$500,0)),"")</f>
        <v/>
      </c>
      <c r="J190" s="21" t="n"/>
      <c r="K190" s="21" t="n"/>
      <c r="L190" s="21" t="n"/>
      <c r="M190" s="15" t="n"/>
      <c r="N190" s="22">
        <f>IF(F190="","",IF(J190&lt;&gt;"",AVERAGE(F190,J190),F190))</f>
        <v/>
      </c>
      <c r="O190" s="22">
        <f>IF(G190="","",IF(K190&lt;&gt;"",AVERAGE(G190,K190),G190))</f>
        <v/>
      </c>
      <c r="P190" s="22">
        <f>IF(OR(N190="",O190=""),"",AVERAGE(N190,O190))</f>
        <v/>
      </c>
    </row>
    <row r="191">
      <c r="A191" s="15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1" t="n"/>
      <c r="G191" s="21" t="n"/>
      <c r="H191" s="21" t="n"/>
      <c r="I191">
        <f>IFERROR(INDEX(מלאי!$N$2:$N$500,MATCH(A191,מלאי!$D$2:$D$500,0)),"")</f>
        <v/>
      </c>
      <c r="J191" s="21" t="n"/>
      <c r="K191" s="21" t="n"/>
      <c r="L191" s="21" t="n"/>
      <c r="M191" s="15" t="n"/>
      <c r="N191" s="22">
        <f>IF(F191="","",IF(J191&lt;&gt;"",AVERAGE(F191,J191),F191))</f>
        <v/>
      </c>
      <c r="O191" s="22">
        <f>IF(G191="","",IF(K191&lt;&gt;"",AVERAGE(G191,K191),G191))</f>
        <v/>
      </c>
      <c r="P191" s="22">
        <f>IF(OR(N191="",O191=""),"",AVERAGE(N191,O191))</f>
        <v/>
      </c>
    </row>
    <row r="192">
      <c r="A192" s="15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1" t="n"/>
      <c r="G192" s="21" t="n"/>
      <c r="H192" s="21" t="n"/>
      <c r="I192">
        <f>IFERROR(INDEX(מלאי!$N$2:$N$500,MATCH(A192,מלאי!$D$2:$D$500,0)),"")</f>
        <v/>
      </c>
      <c r="J192" s="21" t="n"/>
      <c r="K192" s="21" t="n"/>
      <c r="L192" s="21" t="n"/>
      <c r="M192" s="15" t="n"/>
      <c r="N192" s="22">
        <f>IF(F192="","",IF(J192&lt;&gt;"",AVERAGE(F192,J192),F192))</f>
        <v/>
      </c>
      <c r="O192" s="22">
        <f>IF(G192="","",IF(K192&lt;&gt;"",AVERAGE(G192,K192),G192))</f>
        <v/>
      </c>
      <c r="P192" s="22">
        <f>IF(OR(N192="",O192=""),"",AVERAGE(N192,O192))</f>
        <v/>
      </c>
    </row>
    <row r="193">
      <c r="A193" s="15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1" t="n"/>
      <c r="G193" s="21" t="n"/>
      <c r="H193" s="21" t="n"/>
      <c r="I193">
        <f>IFERROR(INDEX(מלאי!$N$2:$N$500,MATCH(A193,מלאי!$D$2:$D$500,0)),"")</f>
        <v/>
      </c>
      <c r="J193" s="21" t="n"/>
      <c r="K193" s="21" t="n"/>
      <c r="L193" s="21" t="n"/>
      <c r="M193" s="15" t="n"/>
      <c r="N193" s="22">
        <f>IF(F193="","",IF(J193&lt;&gt;"",AVERAGE(F193,J193),F193))</f>
        <v/>
      </c>
      <c r="O193" s="22">
        <f>IF(G193="","",IF(K193&lt;&gt;"",AVERAGE(G193,K193),G193))</f>
        <v/>
      </c>
      <c r="P193" s="22">
        <f>IF(OR(N193="",O193=""),"",AVERAGE(N193,O193))</f>
        <v/>
      </c>
    </row>
    <row r="194">
      <c r="A194" s="15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1" t="n"/>
      <c r="G194" s="21" t="n"/>
      <c r="H194" s="21" t="n"/>
      <c r="I194">
        <f>IFERROR(INDEX(מלאי!$N$2:$N$500,MATCH(A194,מלאי!$D$2:$D$500,0)),"")</f>
        <v/>
      </c>
      <c r="J194" s="21" t="n"/>
      <c r="K194" s="21" t="n"/>
      <c r="L194" s="21" t="n"/>
      <c r="M194" s="15" t="n"/>
      <c r="N194" s="22">
        <f>IF(F194="","",IF(J194&lt;&gt;"",AVERAGE(F194,J194),F194))</f>
        <v/>
      </c>
      <c r="O194" s="22">
        <f>IF(G194="","",IF(K194&lt;&gt;"",AVERAGE(G194,K194),G194))</f>
        <v/>
      </c>
      <c r="P194" s="22">
        <f>IF(OR(N194="",O194=""),"",AVERAGE(N194,O194))</f>
        <v/>
      </c>
    </row>
    <row r="195">
      <c r="A195" s="15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1" t="n"/>
      <c r="G195" s="21" t="n"/>
      <c r="H195" s="21" t="n"/>
      <c r="I195">
        <f>IFERROR(INDEX(מלאי!$N$2:$N$500,MATCH(A195,מלאי!$D$2:$D$500,0)),"")</f>
        <v/>
      </c>
      <c r="J195" s="21" t="n"/>
      <c r="K195" s="21" t="n"/>
      <c r="L195" s="21" t="n"/>
      <c r="M195" s="15" t="n"/>
      <c r="N195" s="22">
        <f>IF(F195="","",IF(J195&lt;&gt;"",AVERAGE(F195,J195),F195))</f>
        <v/>
      </c>
      <c r="O195" s="22">
        <f>IF(G195="","",IF(K195&lt;&gt;"",AVERAGE(G195,K195),G195))</f>
        <v/>
      </c>
      <c r="P195" s="22">
        <f>IF(OR(N195="",O195=""),"",AVERAGE(N195,O195))</f>
        <v/>
      </c>
    </row>
    <row r="196">
      <c r="A196" s="15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1" t="n"/>
      <c r="G196" s="21" t="n"/>
      <c r="H196" s="21" t="n"/>
      <c r="I196">
        <f>IFERROR(INDEX(מלאי!$N$2:$N$500,MATCH(A196,מלאי!$D$2:$D$500,0)),"")</f>
        <v/>
      </c>
      <c r="J196" s="21" t="n"/>
      <c r="K196" s="21" t="n"/>
      <c r="L196" s="21" t="n"/>
      <c r="M196" s="15" t="n"/>
      <c r="N196" s="22">
        <f>IF(F196="","",IF(J196&lt;&gt;"",AVERAGE(F196,J196),F196))</f>
        <v/>
      </c>
      <c r="O196" s="22">
        <f>IF(G196="","",IF(K196&lt;&gt;"",AVERAGE(G196,K196),G196))</f>
        <v/>
      </c>
      <c r="P196" s="22">
        <f>IF(OR(N196="",O196=""),"",AVERAGE(N196,O196))</f>
        <v/>
      </c>
    </row>
    <row r="197">
      <c r="A197" s="15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1" t="n"/>
      <c r="G197" s="21" t="n"/>
      <c r="H197" s="21" t="n"/>
      <c r="I197">
        <f>IFERROR(INDEX(מלאי!$N$2:$N$500,MATCH(A197,מלאי!$D$2:$D$500,0)),"")</f>
        <v/>
      </c>
      <c r="J197" s="21" t="n"/>
      <c r="K197" s="21" t="n"/>
      <c r="L197" s="21" t="n"/>
      <c r="M197" s="15" t="n"/>
      <c r="N197" s="22">
        <f>IF(F197="","",IF(J197&lt;&gt;"",AVERAGE(F197,J197),F197))</f>
        <v/>
      </c>
      <c r="O197" s="22">
        <f>IF(G197="","",IF(K197&lt;&gt;"",AVERAGE(G197,K197),G197))</f>
        <v/>
      </c>
      <c r="P197" s="22">
        <f>IF(OR(N197="",O197=""),"",AVERAGE(N197,O197))</f>
        <v/>
      </c>
    </row>
    <row r="198">
      <c r="A198" s="15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1" t="n"/>
      <c r="G198" s="21" t="n"/>
      <c r="H198" s="21" t="n"/>
      <c r="I198">
        <f>IFERROR(INDEX(מלאי!$N$2:$N$500,MATCH(A198,מלאי!$D$2:$D$500,0)),"")</f>
        <v/>
      </c>
      <c r="J198" s="21" t="n"/>
      <c r="K198" s="21" t="n"/>
      <c r="L198" s="21" t="n"/>
      <c r="M198" s="15" t="n"/>
      <c r="N198" s="22">
        <f>IF(F198="","",IF(J198&lt;&gt;"",AVERAGE(F198,J198),F198))</f>
        <v/>
      </c>
      <c r="O198" s="22">
        <f>IF(G198="","",IF(K198&lt;&gt;"",AVERAGE(G198,K198),G198))</f>
        <v/>
      </c>
      <c r="P198" s="22">
        <f>IF(OR(N198="",O198=""),"",AVERAGE(N198,O198))</f>
        <v/>
      </c>
    </row>
    <row r="199">
      <c r="A199" s="15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1" t="n"/>
      <c r="G199" s="21" t="n"/>
      <c r="H199" s="21" t="n"/>
      <c r="I199">
        <f>IFERROR(INDEX(מלאי!$N$2:$N$500,MATCH(A199,מלאי!$D$2:$D$500,0)),"")</f>
        <v/>
      </c>
      <c r="J199" s="21" t="n"/>
      <c r="K199" s="21" t="n"/>
      <c r="L199" s="21" t="n"/>
      <c r="M199" s="15" t="n"/>
      <c r="N199" s="22">
        <f>IF(F199="","",IF(J199&lt;&gt;"",AVERAGE(F199,J199),F199))</f>
        <v/>
      </c>
      <c r="O199" s="22">
        <f>IF(G199="","",IF(K199&lt;&gt;"",AVERAGE(G199,K199),G199))</f>
        <v/>
      </c>
      <c r="P199" s="22">
        <f>IF(OR(N199="",O199=""),"",AVERAGE(N199,O199))</f>
        <v/>
      </c>
    </row>
    <row r="200">
      <c r="A200" s="15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1" t="n"/>
      <c r="G200" s="21" t="n"/>
      <c r="H200" s="21" t="n"/>
      <c r="I200">
        <f>IFERROR(INDEX(מלאי!$N$2:$N$500,MATCH(A200,מלאי!$D$2:$D$500,0)),"")</f>
        <v/>
      </c>
      <c r="J200" s="21" t="n"/>
      <c r="K200" s="21" t="n"/>
      <c r="L200" s="21" t="n"/>
      <c r="M200" s="15" t="n"/>
      <c r="N200" s="22">
        <f>IF(F200="","",IF(J200&lt;&gt;"",AVERAGE(F200,J200),F200))</f>
        <v/>
      </c>
      <c r="O200" s="22">
        <f>IF(G200="","",IF(K200&lt;&gt;"",AVERAGE(G200,K200),G200))</f>
        <v/>
      </c>
      <c r="P200" s="22">
        <f>IF(OR(N200="",O200=""),"",AVERAGE(N200,O200))</f>
        <v/>
      </c>
    </row>
    <row r="201">
      <c r="A201" s="15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1" t="n"/>
      <c r="G201" s="21" t="n"/>
      <c r="H201" s="21" t="n"/>
      <c r="I201">
        <f>IFERROR(INDEX(מלאי!$N$2:$N$500,MATCH(A201,מלאי!$D$2:$D$500,0)),"")</f>
        <v/>
      </c>
      <c r="J201" s="21" t="n"/>
      <c r="K201" s="21" t="n"/>
      <c r="L201" s="21" t="n"/>
      <c r="M201" s="15" t="n"/>
      <c r="N201" s="22">
        <f>IF(F201="","",IF(J201&lt;&gt;"",AVERAGE(F201,J201),F201))</f>
        <v/>
      </c>
      <c r="O201" s="22">
        <f>IF(G201="","",IF(K201&lt;&gt;"",AVERAGE(G201,K201),G201))</f>
        <v/>
      </c>
      <c r="P201" s="22">
        <f>IF(OR(N201="",O201=""),"",AVERAGE(N201,O201))</f>
        <v/>
      </c>
    </row>
    <row r="202">
      <c r="A202" s="15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1" t="n"/>
      <c r="G202" s="21" t="n"/>
      <c r="H202" s="21" t="n"/>
      <c r="I202">
        <f>IFERROR(INDEX(מלאי!$N$2:$N$500,MATCH(A202,מלאי!$D$2:$D$500,0)),"")</f>
        <v/>
      </c>
      <c r="J202" s="21" t="n"/>
      <c r="K202" s="21" t="n"/>
      <c r="L202" s="21" t="n"/>
      <c r="M202" s="15" t="n"/>
      <c r="N202" s="22">
        <f>IF(F202="","",IF(J202&lt;&gt;"",AVERAGE(F202,J202),F202))</f>
        <v/>
      </c>
      <c r="O202" s="22">
        <f>IF(G202="","",IF(K202&lt;&gt;"",AVERAGE(G202,K202),G202))</f>
        <v/>
      </c>
      <c r="P202" s="22">
        <f>IF(OR(N202="",O202=""),"",AVERAGE(N202,O202))</f>
        <v/>
      </c>
    </row>
    <row r="203">
      <c r="A203" s="15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1" t="n"/>
      <c r="G203" s="21" t="n"/>
      <c r="H203" s="21" t="n"/>
      <c r="I203">
        <f>IFERROR(INDEX(מלאי!$N$2:$N$500,MATCH(A203,מלאי!$D$2:$D$500,0)),"")</f>
        <v/>
      </c>
      <c r="J203" s="21" t="n"/>
      <c r="K203" s="21" t="n"/>
      <c r="L203" s="21" t="n"/>
      <c r="M203" s="15" t="n"/>
      <c r="N203" s="22">
        <f>IF(F203="","",IF(J203&lt;&gt;"",AVERAGE(F203,J203),F203))</f>
        <v/>
      </c>
      <c r="O203" s="22">
        <f>IF(G203="","",IF(K203&lt;&gt;"",AVERAGE(G203,K203),G203))</f>
        <v/>
      </c>
      <c r="P203" s="22">
        <f>IF(OR(N203="",O203=""),"",AVERAGE(N203,O203))</f>
        <v/>
      </c>
    </row>
    <row r="204">
      <c r="A204" s="15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1" t="n"/>
      <c r="G204" s="21" t="n"/>
      <c r="H204" s="21" t="n"/>
      <c r="I204">
        <f>IFERROR(INDEX(מלאי!$N$2:$N$500,MATCH(A204,מלאי!$D$2:$D$500,0)),"")</f>
        <v/>
      </c>
      <c r="J204" s="21" t="n"/>
      <c r="K204" s="21" t="n"/>
      <c r="L204" s="21" t="n"/>
      <c r="M204" s="15" t="n"/>
      <c r="N204" s="22">
        <f>IF(F204="","",IF(J204&lt;&gt;"",AVERAGE(F204,J204),F204))</f>
        <v/>
      </c>
      <c r="O204" s="22">
        <f>IF(G204="","",IF(K204&lt;&gt;"",AVERAGE(G204,K204),G204))</f>
        <v/>
      </c>
      <c r="P204" s="22">
        <f>IF(OR(N204="",O204=""),"",AVERAGE(N204,O204))</f>
        <v/>
      </c>
    </row>
    <row r="205">
      <c r="A205" s="15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1" t="n"/>
      <c r="G205" s="21" t="n"/>
      <c r="H205" s="21" t="n"/>
      <c r="I205">
        <f>IFERROR(INDEX(מלאי!$N$2:$N$500,MATCH(A205,מלאי!$D$2:$D$500,0)),"")</f>
        <v/>
      </c>
      <c r="J205" s="21" t="n"/>
      <c r="K205" s="21" t="n"/>
      <c r="L205" s="21" t="n"/>
      <c r="M205" s="15" t="n"/>
      <c r="N205" s="22">
        <f>IF(F205="","",IF(J205&lt;&gt;"",AVERAGE(F205,J205),F205))</f>
        <v/>
      </c>
      <c r="O205" s="22">
        <f>IF(G205="","",IF(K205&lt;&gt;"",AVERAGE(G205,K205),G205))</f>
        <v/>
      </c>
      <c r="P205" s="22">
        <f>IF(OR(N205="",O205=""),"",AVERAGE(N205,O205))</f>
        <v/>
      </c>
    </row>
    <row r="206">
      <c r="A206" s="15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1" t="n"/>
      <c r="G206" s="21" t="n"/>
      <c r="H206" s="21" t="n"/>
      <c r="I206">
        <f>IFERROR(INDEX(מלאי!$N$2:$N$500,MATCH(A206,מלאי!$D$2:$D$500,0)),"")</f>
        <v/>
      </c>
      <c r="J206" s="21" t="n"/>
      <c r="K206" s="21" t="n"/>
      <c r="L206" s="21" t="n"/>
      <c r="M206" s="15" t="n"/>
      <c r="N206" s="22">
        <f>IF(F206="","",IF(J206&lt;&gt;"",AVERAGE(F206,J206),F206))</f>
        <v/>
      </c>
      <c r="O206" s="22">
        <f>IF(G206="","",IF(K206&lt;&gt;"",AVERAGE(G206,K206),G206))</f>
        <v/>
      </c>
      <c r="P206" s="22">
        <f>IF(OR(N206="",O206=""),"",AVERAGE(N206,O206))</f>
        <v/>
      </c>
    </row>
    <row r="207">
      <c r="A207" s="15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1" t="n"/>
      <c r="G207" s="21" t="n"/>
      <c r="H207" s="21" t="n"/>
      <c r="I207">
        <f>IFERROR(INDEX(מלאי!$N$2:$N$500,MATCH(A207,מלאי!$D$2:$D$500,0)),"")</f>
        <v/>
      </c>
      <c r="J207" s="21" t="n"/>
      <c r="K207" s="21" t="n"/>
      <c r="L207" s="21" t="n"/>
      <c r="M207" s="15" t="n"/>
      <c r="N207" s="22">
        <f>IF(F207="","",IF(J207&lt;&gt;"",AVERAGE(F207,J207),F207))</f>
        <v/>
      </c>
      <c r="O207" s="22">
        <f>IF(G207="","",IF(K207&lt;&gt;"",AVERAGE(G207,K207),G207))</f>
        <v/>
      </c>
      <c r="P207" s="22">
        <f>IF(OR(N207="",O207=""),"",AVERAGE(N207,O207))</f>
        <v/>
      </c>
    </row>
    <row r="208">
      <c r="A208" s="15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1" t="n"/>
      <c r="G208" s="21" t="n"/>
      <c r="H208" s="21" t="n"/>
      <c r="I208">
        <f>IFERROR(INDEX(מלאי!$N$2:$N$500,MATCH(A208,מלאי!$D$2:$D$500,0)),"")</f>
        <v/>
      </c>
      <c r="J208" s="21" t="n"/>
      <c r="K208" s="21" t="n"/>
      <c r="L208" s="21" t="n"/>
      <c r="M208" s="15" t="n"/>
      <c r="N208" s="22">
        <f>IF(F208="","",IF(J208&lt;&gt;"",AVERAGE(F208,J208),F208))</f>
        <v/>
      </c>
      <c r="O208" s="22">
        <f>IF(G208="","",IF(K208&lt;&gt;"",AVERAGE(G208,K208),G208))</f>
        <v/>
      </c>
      <c r="P208" s="22">
        <f>IF(OR(N208="",O208=""),"",AVERAGE(N208,O208))</f>
        <v/>
      </c>
    </row>
    <row r="209">
      <c r="A209" s="15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1" t="n"/>
      <c r="G209" s="21" t="n"/>
      <c r="H209" s="21" t="n"/>
      <c r="I209">
        <f>IFERROR(INDEX(מלאי!$N$2:$N$500,MATCH(A209,מלאי!$D$2:$D$500,0)),"")</f>
        <v/>
      </c>
      <c r="J209" s="21" t="n"/>
      <c r="K209" s="21" t="n"/>
      <c r="L209" s="21" t="n"/>
      <c r="M209" s="15" t="n"/>
      <c r="N209" s="22">
        <f>IF(F209="","",IF(J209&lt;&gt;"",AVERAGE(F209,J209),F209))</f>
        <v/>
      </c>
      <c r="O209" s="22">
        <f>IF(G209="","",IF(K209&lt;&gt;"",AVERAGE(G209,K209),G209))</f>
        <v/>
      </c>
      <c r="P209" s="22">
        <f>IF(OR(N209="",O209=""),"",AVERAGE(N209,O209))</f>
        <v/>
      </c>
    </row>
    <row r="210">
      <c r="A210" s="15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1" t="n"/>
      <c r="G210" s="21" t="n"/>
      <c r="H210" s="21" t="n"/>
      <c r="I210">
        <f>IFERROR(INDEX(מלאי!$N$2:$N$500,MATCH(A210,מלאי!$D$2:$D$500,0)),"")</f>
        <v/>
      </c>
      <c r="J210" s="21" t="n"/>
      <c r="K210" s="21" t="n"/>
      <c r="L210" s="21" t="n"/>
      <c r="M210" s="15" t="n"/>
      <c r="N210" s="22">
        <f>IF(F210="","",IF(J210&lt;&gt;"",AVERAGE(F210,J210),F210))</f>
        <v/>
      </c>
      <c r="O210" s="22">
        <f>IF(G210="","",IF(K210&lt;&gt;"",AVERAGE(G210,K210),G210))</f>
        <v/>
      </c>
      <c r="P210" s="22">
        <f>IF(OR(N210="",O210=""),"",AVERAGE(N210,O210))</f>
        <v/>
      </c>
    </row>
    <row r="211">
      <c r="A211" s="15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1" t="n"/>
      <c r="G211" s="21" t="n"/>
      <c r="H211" s="21" t="n"/>
      <c r="I211">
        <f>IFERROR(INDEX(מלאי!$N$2:$N$500,MATCH(A211,מלאי!$D$2:$D$500,0)),"")</f>
        <v/>
      </c>
      <c r="J211" s="21" t="n"/>
      <c r="K211" s="21" t="n"/>
      <c r="L211" s="21" t="n"/>
      <c r="M211" s="15" t="n"/>
      <c r="N211" s="22">
        <f>IF(F211="","",IF(J211&lt;&gt;"",AVERAGE(F211,J211),F211))</f>
        <v/>
      </c>
      <c r="O211" s="22">
        <f>IF(G211="","",IF(K211&lt;&gt;"",AVERAGE(G211,K211),G211))</f>
        <v/>
      </c>
      <c r="P211" s="22">
        <f>IF(OR(N211="",O211=""),"",AVERAGE(N211,O211))</f>
        <v/>
      </c>
    </row>
    <row r="212">
      <c r="A212" s="15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1" t="n"/>
      <c r="G212" s="21" t="n"/>
      <c r="H212" s="21" t="n"/>
      <c r="I212">
        <f>IFERROR(INDEX(מלאי!$N$2:$N$500,MATCH(A212,מלאי!$D$2:$D$500,0)),"")</f>
        <v/>
      </c>
      <c r="J212" s="21" t="n"/>
      <c r="K212" s="21" t="n"/>
      <c r="L212" s="21" t="n"/>
      <c r="M212" s="15" t="n"/>
      <c r="N212" s="22">
        <f>IF(F212="","",IF(J212&lt;&gt;"",AVERAGE(F212,J212),F212))</f>
        <v/>
      </c>
      <c r="O212" s="22">
        <f>IF(G212="","",IF(K212&lt;&gt;"",AVERAGE(G212,K212),G212))</f>
        <v/>
      </c>
      <c r="P212" s="22">
        <f>IF(OR(N212="",O212=""),"",AVERAGE(N212,O212))</f>
        <v/>
      </c>
    </row>
    <row r="213">
      <c r="A213" s="15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1" t="n"/>
      <c r="G213" s="21" t="n"/>
      <c r="H213" s="21" t="n"/>
      <c r="I213">
        <f>IFERROR(INDEX(מלאי!$N$2:$N$500,MATCH(A213,מלאי!$D$2:$D$500,0)),"")</f>
        <v/>
      </c>
      <c r="J213" s="21" t="n"/>
      <c r="K213" s="21" t="n"/>
      <c r="L213" s="21" t="n"/>
      <c r="M213" s="15" t="n"/>
      <c r="N213" s="22">
        <f>IF(F213="","",IF(J213&lt;&gt;"",AVERAGE(F213,J213),F213))</f>
        <v/>
      </c>
      <c r="O213" s="22">
        <f>IF(G213="","",IF(K213&lt;&gt;"",AVERAGE(G213,K213),G213))</f>
        <v/>
      </c>
      <c r="P213" s="22">
        <f>IF(OR(N213="",O213=""),"",AVERAGE(N213,O213))</f>
        <v/>
      </c>
    </row>
    <row r="214">
      <c r="A214" s="15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1" t="n"/>
      <c r="G214" s="21" t="n"/>
      <c r="H214" s="21" t="n"/>
      <c r="I214">
        <f>IFERROR(INDEX(מלאי!$N$2:$N$500,MATCH(A214,מלאי!$D$2:$D$500,0)),"")</f>
        <v/>
      </c>
      <c r="J214" s="21" t="n"/>
      <c r="K214" s="21" t="n"/>
      <c r="L214" s="21" t="n"/>
      <c r="M214" s="15" t="n"/>
      <c r="N214" s="22">
        <f>IF(F214="","",IF(J214&lt;&gt;"",AVERAGE(F214,J214),F214))</f>
        <v/>
      </c>
      <c r="O214" s="22">
        <f>IF(G214="","",IF(K214&lt;&gt;"",AVERAGE(G214,K214),G214))</f>
        <v/>
      </c>
      <c r="P214" s="22">
        <f>IF(OR(N214="",O214=""),"",AVERAGE(N214,O214))</f>
        <v/>
      </c>
    </row>
    <row r="215">
      <c r="A215" s="15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1" t="n"/>
      <c r="G215" s="21" t="n"/>
      <c r="H215" s="21" t="n"/>
      <c r="I215">
        <f>IFERROR(INDEX(מלאי!$N$2:$N$500,MATCH(A215,מלאי!$D$2:$D$500,0)),"")</f>
        <v/>
      </c>
      <c r="J215" s="21" t="n"/>
      <c r="K215" s="21" t="n"/>
      <c r="L215" s="21" t="n"/>
      <c r="M215" s="15" t="n"/>
      <c r="N215" s="22">
        <f>IF(F215="","",IF(J215&lt;&gt;"",AVERAGE(F215,J215),F215))</f>
        <v/>
      </c>
      <c r="O215" s="22">
        <f>IF(G215="","",IF(K215&lt;&gt;"",AVERAGE(G215,K215),G215))</f>
        <v/>
      </c>
      <c r="P215" s="22">
        <f>IF(OR(N215="",O215=""),"",AVERAGE(N215,O215))</f>
        <v/>
      </c>
    </row>
    <row r="216">
      <c r="A216" s="15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1" t="n"/>
      <c r="G216" s="21" t="n"/>
      <c r="H216" s="21" t="n"/>
      <c r="I216">
        <f>IFERROR(INDEX(מלאי!$N$2:$N$500,MATCH(A216,מלאי!$D$2:$D$500,0)),"")</f>
        <v/>
      </c>
      <c r="J216" s="21" t="n"/>
      <c r="K216" s="21" t="n"/>
      <c r="L216" s="21" t="n"/>
      <c r="M216" s="15" t="n"/>
      <c r="N216" s="22">
        <f>IF(F216="","",IF(J216&lt;&gt;"",AVERAGE(F216,J216),F216))</f>
        <v/>
      </c>
      <c r="O216" s="22">
        <f>IF(G216="","",IF(K216&lt;&gt;"",AVERAGE(G216,K216),G216))</f>
        <v/>
      </c>
      <c r="P216" s="22">
        <f>IF(OR(N216="",O216=""),"",AVERAGE(N216,O216))</f>
        <v/>
      </c>
    </row>
    <row r="217">
      <c r="A217" s="15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1" t="n"/>
      <c r="G217" s="21" t="n"/>
      <c r="H217" s="21" t="n"/>
      <c r="I217">
        <f>IFERROR(INDEX(מלאי!$N$2:$N$500,MATCH(A217,מלאי!$D$2:$D$500,0)),"")</f>
        <v/>
      </c>
      <c r="J217" s="21" t="n"/>
      <c r="K217" s="21" t="n"/>
      <c r="L217" s="21" t="n"/>
      <c r="M217" s="15" t="n"/>
      <c r="N217" s="22">
        <f>IF(F217="","",IF(J217&lt;&gt;"",AVERAGE(F217,J217),F217))</f>
        <v/>
      </c>
      <c r="O217" s="22">
        <f>IF(G217="","",IF(K217&lt;&gt;"",AVERAGE(G217,K217),G217))</f>
        <v/>
      </c>
      <c r="P217" s="22">
        <f>IF(OR(N217="",O217=""),"",AVERAGE(N217,O217))</f>
        <v/>
      </c>
    </row>
    <row r="218">
      <c r="A218" s="15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1" t="n"/>
      <c r="G218" s="21" t="n"/>
      <c r="H218" s="21" t="n"/>
      <c r="I218">
        <f>IFERROR(INDEX(מלאי!$N$2:$N$500,MATCH(A218,מלאי!$D$2:$D$500,0)),"")</f>
        <v/>
      </c>
      <c r="J218" s="21" t="n"/>
      <c r="K218" s="21" t="n"/>
      <c r="L218" s="21" t="n"/>
      <c r="M218" s="15" t="n"/>
      <c r="N218" s="22">
        <f>IF(F218="","",IF(J218&lt;&gt;"",AVERAGE(F218,J218),F218))</f>
        <v/>
      </c>
      <c r="O218" s="22">
        <f>IF(G218="","",IF(K218&lt;&gt;"",AVERAGE(G218,K218),G218))</f>
        <v/>
      </c>
      <c r="P218" s="22">
        <f>IF(OR(N218="",O218=""),"",AVERAGE(N218,O218))</f>
        <v/>
      </c>
    </row>
    <row r="219">
      <c r="A219" s="15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1" t="n"/>
      <c r="G219" s="21" t="n"/>
      <c r="H219" s="21" t="n"/>
      <c r="I219">
        <f>IFERROR(INDEX(מלאי!$N$2:$N$500,MATCH(A219,מלאי!$D$2:$D$500,0)),"")</f>
        <v/>
      </c>
      <c r="J219" s="21" t="n"/>
      <c r="K219" s="21" t="n"/>
      <c r="L219" s="21" t="n"/>
      <c r="M219" s="15" t="n"/>
      <c r="N219" s="22">
        <f>IF(F219="","",IF(J219&lt;&gt;"",AVERAGE(F219,J219),F219))</f>
        <v/>
      </c>
      <c r="O219" s="22">
        <f>IF(G219="","",IF(K219&lt;&gt;"",AVERAGE(G219,K219),G219))</f>
        <v/>
      </c>
      <c r="P219" s="22">
        <f>IF(OR(N219="",O219=""),"",AVERAGE(N219,O219))</f>
        <v/>
      </c>
    </row>
    <row r="220">
      <c r="A220" s="15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1" t="n"/>
      <c r="G220" s="21" t="n"/>
      <c r="H220" s="21" t="n"/>
      <c r="I220">
        <f>IFERROR(INDEX(מלאי!$N$2:$N$500,MATCH(A220,מלאי!$D$2:$D$500,0)),"")</f>
        <v/>
      </c>
      <c r="J220" s="21" t="n"/>
      <c r="K220" s="21" t="n"/>
      <c r="L220" s="21" t="n"/>
      <c r="M220" s="15" t="n"/>
      <c r="N220" s="22">
        <f>IF(F220="","",IF(J220&lt;&gt;"",AVERAGE(F220,J220),F220))</f>
        <v/>
      </c>
      <c r="O220" s="22">
        <f>IF(G220="","",IF(K220&lt;&gt;"",AVERAGE(G220,K220),G220))</f>
        <v/>
      </c>
      <c r="P220" s="22">
        <f>IF(OR(N220="",O220=""),"",AVERAGE(N220,O220))</f>
        <v/>
      </c>
    </row>
    <row r="221">
      <c r="A221" s="15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1" t="n"/>
      <c r="G221" s="21" t="n"/>
      <c r="H221" s="21" t="n"/>
      <c r="I221">
        <f>IFERROR(INDEX(מלאי!$N$2:$N$500,MATCH(A221,מלאי!$D$2:$D$500,0)),"")</f>
        <v/>
      </c>
      <c r="J221" s="21" t="n"/>
      <c r="K221" s="21" t="n"/>
      <c r="L221" s="21" t="n"/>
      <c r="M221" s="15" t="n"/>
      <c r="N221" s="22">
        <f>IF(F221="","",IF(J221&lt;&gt;"",AVERAGE(F221,J221),F221))</f>
        <v/>
      </c>
      <c r="O221" s="22">
        <f>IF(G221="","",IF(K221&lt;&gt;"",AVERAGE(G221,K221),G221))</f>
        <v/>
      </c>
      <c r="P221" s="22">
        <f>IF(OR(N221="",O221=""),"",AVERAGE(N221,O221))</f>
        <v/>
      </c>
    </row>
    <row r="222">
      <c r="A222" s="15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1" t="n"/>
      <c r="G222" s="21" t="n"/>
      <c r="H222" s="21" t="n"/>
      <c r="I222">
        <f>IFERROR(INDEX(מלאי!$N$2:$N$500,MATCH(A222,מלאי!$D$2:$D$500,0)),"")</f>
        <v/>
      </c>
      <c r="J222" s="21" t="n"/>
      <c r="K222" s="21" t="n"/>
      <c r="L222" s="21" t="n"/>
      <c r="M222" s="15" t="n"/>
      <c r="N222" s="22">
        <f>IF(F222="","",IF(J222&lt;&gt;"",AVERAGE(F222,J222),F222))</f>
        <v/>
      </c>
      <c r="O222" s="22">
        <f>IF(G222="","",IF(K222&lt;&gt;"",AVERAGE(G222,K222),G222))</f>
        <v/>
      </c>
      <c r="P222" s="22">
        <f>IF(OR(N222="",O222=""),"",AVERAGE(N222,O222))</f>
        <v/>
      </c>
    </row>
    <row r="223">
      <c r="A223" s="15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1" t="n"/>
      <c r="G223" s="21" t="n"/>
      <c r="H223" s="21" t="n"/>
      <c r="I223">
        <f>IFERROR(INDEX(מלאי!$N$2:$N$500,MATCH(A223,מלאי!$D$2:$D$500,0)),"")</f>
        <v/>
      </c>
      <c r="J223" s="21" t="n"/>
      <c r="K223" s="21" t="n"/>
      <c r="L223" s="21" t="n"/>
      <c r="M223" s="15" t="n"/>
      <c r="N223" s="22">
        <f>IF(F223="","",IF(J223&lt;&gt;"",AVERAGE(F223,J223),F223))</f>
        <v/>
      </c>
      <c r="O223" s="22">
        <f>IF(G223="","",IF(K223&lt;&gt;"",AVERAGE(G223,K223),G223))</f>
        <v/>
      </c>
      <c r="P223" s="22">
        <f>IF(OR(N223="",O223=""),"",AVERAGE(N223,O223))</f>
        <v/>
      </c>
    </row>
    <row r="224">
      <c r="A224" s="15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1" t="n"/>
      <c r="G224" s="21" t="n"/>
      <c r="H224" s="21" t="n"/>
      <c r="I224">
        <f>IFERROR(INDEX(מלאי!$N$2:$N$500,MATCH(A224,מלאי!$D$2:$D$500,0)),"")</f>
        <v/>
      </c>
      <c r="J224" s="21" t="n"/>
      <c r="K224" s="21" t="n"/>
      <c r="L224" s="21" t="n"/>
      <c r="M224" s="15" t="n"/>
      <c r="N224" s="22">
        <f>IF(F224="","",IF(J224&lt;&gt;"",AVERAGE(F224,J224),F224))</f>
        <v/>
      </c>
      <c r="O224" s="22">
        <f>IF(G224="","",IF(K224&lt;&gt;"",AVERAGE(G224,K224),G224))</f>
        <v/>
      </c>
      <c r="P224" s="22">
        <f>IF(OR(N224="",O224=""),"",AVERAGE(N224,O224))</f>
        <v/>
      </c>
    </row>
    <row r="225">
      <c r="A225" s="15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1" t="n"/>
      <c r="G225" s="21" t="n"/>
      <c r="H225" s="21" t="n"/>
      <c r="I225">
        <f>IFERROR(INDEX(מלאי!$N$2:$N$500,MATCH(A225,מלאי!$D$2:$D$500,0)),"")</f>
        <v/>
      </c>
      <c r="J225" s="21" t="n"/>
      <c r="K225" s="21" t="n"/>
      <c r="L225" s="21" t="n"/>
      <c r="M225" s="15" t="n"/>
      <c r="N225" s="22">
        <f>IF(F225="","",IF(J225&lt;&gt;"",AVERAGE(F225,J225),F225))</f>
        <v/>
      </c>
      <c r="O225" s="22">
        <f>IF(G225="","",IF(K225&lt;&gt;"",AVERAGE(G225,K225),G225))</f>
        <v/>
      </c>
      <c r="P225" s="22">
        <f>IF(OR(N225="",O225=""),"",AVERAGE(N225,O225))</f>
        <v/>
      </c>
    </row>
    <row r="226">
      <c r="A226" s="15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1" t="n"/>
      <c r="G226" s="21" t="n"/>
      <c r="H226" s="21" t="n"/>
      <c r="I226">
        <f>IFERROR(INDEX(מלאי!$N$2:$N$500,MATCH(A226,מלאי!$D$2:$D$500,0)),"")</f>
        <v/>
      </c>
      <c r="J226" s="21" t="n"/>
      <c r="K226" s="21" t="n"/>
      <c r="L226" s="21" t="n"/>
      <c r="M226" s="15" t="n"/>
      <c r="N226" s="22">
        <f>IF(F226="","",IF(J226&lt;&gt;"",AVERAGE(F226,J226),F226))</f>
        <v/>
      </c>
      <c r="O226" s="22">
        <f>IF(G226="","",IF(K226&lt;&gt;"",AVERAGE(G226,K226),G226))</f>
        <v/>
      </c>
      <c r="P226" s="22">
        <f>IF(OR(N226="",O226=""),"",AVERAGE(N226,O226))</f>
        <v/>
      </c>
    </row>
    <row r="227">
      <c r="A227" s="15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1" t="n"/>
      <c r="G227" s="21" t="n"/>
      <c r="H227" s="21" t="n"/>
      <c r="I227">
        <f>IFERROR(INDEX(מלאי!$N$2:$N$500,MATCH(A227,מלאי!$D$2:$D$500,0)),"")</f>
        <v/>
      </c>
      <c r="J227" s="21" t="n"/>
      <c r="K227" s="21" t="n"/>
      <c r="L227" s="21" t="n"/>
      <c r="M227" s="15" t="n"/>
      <c r="N227" s="22">
        <f>IF(F227="","",IF(J227&lt;&gt;"",AVERAGE(F227,J227),F227))</f>
        <v/>
      </c>
      <c r="O227" s="22">
        <f>IF(G227="","",IF(K227&lt;&gt;"",AVERAGE(G227,K227),G227))</f>
        <v/>
      </c>
      <c r="P227" s="22">
        <f>IF(OR(N227="",O227=""),"",AVERAGE(N227,O227))</f>
        <v/>
      </c>
    </row>
    <row r="228">
      <c r="A228" s="15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1" t="n"/>
      <c r="G228" s="21" t="n"/>
      <c r="H228" s="21" t="n"/>
      <c r="I228">
        <f>IFERROR(INDEX(מלאי!$N$2:$N$500,MATCH(A228,מלאי!$D$2:$D$500,0)),"")</f>
        <v/>
      </c>
      <c r="J228" s="21" t="n"/>
      <c r="K228" s="21" t="n"/>
      <c r="L228" s="21" t="n"/>
      <c r="M228" s="15" t="n"/>
      <c r="N228" s="22">
        <f>IF(F228="","",IF(J228&lt;&gt;"",AVERAGE(F228,J228),F228))</f>
        <v/>
      </c>
      <c r="O228" s="22">
        <f>IF(G228="","",IF(K228&lt;&gt;"",AVERAGE(G228,K228),G228))</f>
        <v/>
      </c>
      <c r="P228" s="22">
        <f>IF(OR(N228="",O228=""),"",AVERAGE(N228,O228))</f>
        <v/>
      </c>
    </row>
    <row r="229">
      <c r="A229" s="15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1" t="n"/>
      <c r="G229" s="21" t="n"/>
      <c r="H229" s="21" t="n"/>
      <c r="I229">
        <f>IFERROR(INDEX(מלאי!$N$2:$N$500,MATCH(A229,מלאי!$D$2:$D$500,0)),"")</f>
        <v/>
      </c>
      <c r="J229" s="21" t="n"/>
      <c r="K229" s="21" t="n"/>
      <c r="L229" s="21" t="n"/>
      <c r="M229" s="15" t="n"/>
      <c r="N229" s="22">
        <f>IF(F229="","",IF(J229&lt;&gt;"",AVERAGE(F229,J229),F229))</f>
        <v/>
      </c>
      <c r="O229" s="22">
        <f>IF(G229="","",IF(K229&lt;&gt;"",AVERAGE(G229,K229),G229))</f>
        <v/>
      </c>
      <c r="P229" s="22">
        <f>IF(OR(N229="",O229=""),"",AVERAGE(N229,O229))</f>
        <v/>
      </c>
    </row>
    <row r="230">
      <c r="A230" s="15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1" t="n"/>
      <c r="G230" s="21" t="n"/>
      <c r="H230" s="21" t="n"/>
      <c r="I230">
        <f>IFERROR(INDEX(מלאי!$N$2:$N$500,MATCH(A230,מלאי!$D$2:$D$500,0)),"")</f>
        <v/>
      </c>
      <c r="J230" s="21" t="n"/>
      <c r="K230" s="21" t="n"/>
      <c r="L230" s="21" t="n"/>
      <c r="M230" s="15" t="n"/>
      <c r="N230" s="22">
        <f>IF(F230="","",IF(J230&lt;&gt;"",AVERAGE(F230,J230),F230))</f>
        <v/>
      </c>
      <c r="O230" s="22">
        <f>IF(G230="","",IF(K230&lt;&gt;"",AVERAGE(G230,K230),G230))</f>
        <v/>
      </c>
      <c r="P230" s="22">
        <f>IF(OR(N230="",O230=""),"",AVERAGE(N230,O230))</f>
        <v/>
      </c>
    </row>
    <row r="231">
      <c r="A231" s="15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1" t="n"/>
      <c r="G231" s="21" t="n"/>
      <c r="H231" s="21" t="n"/>
      <c r="I231">
        <f>IFERROR(INDEX(מלאי!$N$2:$N$500,MATCH(A231,מלאי!$D$2:$D$500,0)),"")</f>
        <v/>
      </c>
      <c r="J231" s="21" t="n"/>
      <c r="K231" s="21" t="n"/>
      <c r="L231" s="21" t="n"/>
      <c r="M231" s="15" t="n"/>
      <c r="N231" s="22">
        <f>IF(F231="","",IF(J231&lt;&gt;"",AVERAGE(F231,J231),F231))</f>
        <v/>
      </c>
      <c r="O231" s="22">
        <f>IF(G231="","",IF(K231&lt;&gt;"",AVERAGE(G231,K231),G231))</f>
        <v/>
      </c>
      <c r="P231" s="22">
        <f>IF(OR(N231="",O231=""),"",AVERAGE(N231,O231))</f>
        <v/>
      </c>
    </row>
    <row r="232">
      <c r="A232" s="15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1" t="n"/>
      <c r="G232" s="21" t="n"/>
      <c r="H232" s="21" t="n"/>
      <c r="I232">
        <f>IFERROR(INDEX(מלאי!$N$2:$N$500,MATCH(A232,מלאי!$D$2:$D$500,0)),"")</f>
        <v/>
      </c>
      <c r="J232" s="21" t="n"/>
      <c r="K232" s="21" t="n"/>
      <c r="L232" s="21" t="n"/>
      <c r="M232" s="15" t="n"/>
      <c r="N232" s="22">
        <f>IF(F232="","",IF(J232&lt;&gt;"",AVERAGE(F232,J232),F232))</f>
        <v/>
      </c>
      <c r="O232" s="22">
        <f>IF(G232="","",IF(K232&lt;&gt;"",AVERAGE(G232,K232),G232))</f>
        <v/>
      </c>
      <c r="P232" s="22">
        <f>IF(OR(N232="",O232=""),"",AVERAGE(N232,O232))</f>
        <v/>
      </c>
    </row>
    <row r="233">
      <c r="A233" s="15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1" t="n"/>
      <c r="G233" s="21" t="n"/>
      <c r="H233" s="21" t="n"/>
      <c r="I233">
        <f>IFERROR(INDEX(מלאי!$N$2:$N$500,MATCH(A233,מלאי!$D$2:$D$500,0)),"")</f>
        <v/>
      </c>
      <c r="J233" s="21" t="n"/>
      <c r="K233" s="21" t="n"/>
      <c r="L233" s="21" t="n"/>
      <c r="M233" s="15" t="n"/>
      <c r="N233" s="22">
        <f>IF(F233="","",IF(J233&lt;&gt;"",AVERAGE(F233,J233),F233))</f>
        <v/>
      </c>
      <c r="O233" s="22">
        <f>IF(G233="","",IF(K233&lt;&gt;"",AVERAGE(G233,K233),G233))</f>
        <v/>
      </c>
      <c r="P233" s="22">
        <f>IF(OR(N233="",O233=""),"",AVERAGE(N233,O233))</f>
        <v/>
      </c>
    </row>
    <row r="234">
      <c r="A234" s="15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1" t="n"/>
      <c r="G234" s="21" t="n"/>
      <c r="H234" s="21" t="n"/>
      <c r="I234">
        <f>IFERROR(INDEX(מלאי!$N$2:$N$500,MATCH(A234,מלאי!$D$2:$D$500,0)),"")</f>
        <v/>
      </c>
      <c r="J234" s="21" t="n"/>
      <c r="K234" s="21" t="n"/>
      <c r="L234" s="21" t="n"/>
      <c r="M234" s="15" t="n"/>
      <c r="N234" s="22">
        <f>IF(F234="","",IF(J234&lt;&gt;"",AVERAGE(F234,J234),F234))</f>
        <v/>
      </c>
      <c r="O234" s="22">
        <f>IF(G234="","",IF(K234&lt;&gt;"",AVERAGE(G234,K234),G234))</f>
        <v/>
      </c>
      <c r="P234" s="22">
        <f>IF(OR(N234="",O234=""),"",AVERAGE(N234,O234))</f>
        <v/>
      </c>
    </row>
    <row r="235">
      <c r="A235" s="15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1" t="n"/>
      <c r="G235" s="21" t="n"/>
      <c r="H235" s="21" t="n"/>
      <c r="I235">
        <f>IFERROR(INDEX(מלאי!$N$2:$N$500,MATCH(A235,מלאי!$D$2:$D$500,0)),"")</f>
        <v/>
      </c>
      <c r="J235" s="21" t="n"/>
      <c r="K235" s="21" t="n"/>
      <c r="L235" s="21" t="n"/>
      <c r="M235" s="15" t="n"/>
      <c r="N235" s="22">
        <f>IF(F235="","",IF(J235&lt;&gt;"",AVERAGE(F235,J235),F235))</f>
        <v/>
      </c>
      <c r="O235" s="22">
        <f>IF(G235="","",IF(K235&lt;&gt;"",AVERAGE(G235,K235),G235))</f>
        <v/>
      </c>
      <c r="P235" s="22">
        <f>IF(OR(N235="",O235=""),"",AVERAGE(N235,O235))</f>
        <v/>
      </c>
    </row>
    <row r="236">
      <c r="A236" s="15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1" t="n"/>
      <c r="G236" s="21" t="n"/>
      <c r="H236" s="21" t="n"/>
      <c r="I236">
        <f>IFERROR(INDEX(מלאי!$N$2:$N$500,MATCH(A236,מלאי!$D$2:$D$500,0)),"")</f>
        <v/>
      </c>
      <c r="J236" s="21" t="n"/>
      <c r="K236" s="21" t="n"/>
      <c r="L236" s="21" t="n"/>
      <c r="M236" s="15" t="n"/>
      <c r="N236" s="22">
        <f>IF(F236="","",IF(J236&lt;&gt;"",AVERAGE(F236,J236),F236))</f>
        <v/>
      </c>
      <c r="O236" s="22">
        <f>IF(G236="","",IF(K236&lt;&gt;"",AVERAGE(G236,K236),G236))</f>
        <v/>
      </c>
      <c r="P236" s="22">
        <f>IF(OR(N236="",O236=""),"",AVERAGE(N236,O236))</f>
        <v/>
      </c>
    </row>
    <row r="237">
      <c r="A237" s="15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1" t="n"/>
      <c r="G237" s="21" t="n"/>
      <c r="H237" s="21" t="n"/>
      <c r="I237">
        <f>IFERROR(INDEX(מלאי!$N$2:$N$500,MATCH(A237,מלאי!$D$2:$D$500,0)),"")</f>
        <v/>
      </c>
      <c r="J237" s="21" t="n"/>
      <c r="K237" s="21" t="n"/>
      <c r="L237" s="21" t="n"/>
      <c r="M237" s="15" t="n"/>
      <c r="N237" s="22">
        <f>IF(F237="","",IF(J237&lt;&gt;"",AVERAGE(F237,J237),F237))</f>
        <v/>
      </c>
      <c r="O237" s="22">
        <f>IF(G237="","",IF(K237&lt;&gt;"",AVERAGE(G237,K237),G237))</f>
        <v/>
      </c>
      <c r="P237" s="22">
        <f>IF(OR(N237="",O237=""),"",AVERAGE(N237,O237))</f>
        <v/>
      </c>
    </row>
    <row r="238">
      <c r="A238" s="15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1" t="n"/>
      <c r="G238" s="21" t="n"/>
      <c r="H238" s="21" t="n"/>
      <c r="I238">
        <f>IFERROR(INDEX(מלאי!$N$2:$N$500,MATCH(A238,מלאי!$D$2:$D$500,0)),"")</f>
        <v/>
      </c>
      <c r="J238" s="21" t="n"/>
      <c r="K238" s="21" t="n"/>
      <c r="L238" s="21" t="n"/>
      <c r="M238" s="15" t="n"/>
      <c r="N238" s="22">
        <f>IF(F238="","",IF(J238&lt;&gt;"",AVERAGE(F238,J238),F238))</f>
        <v/>
      </c>
      <c r="O238" s="22">
        <f>IF(G238="","",IF(K238&lt;&gt;"",AVERAGE(G238,K238),G238))</f>
        <v/>
      </c>
      <c r="P238" s="22">
        <f>IF(OR(N238="",O238=""),"",AVERAGE(N238,O238))</f>
        <v/>
      </c>
    </row>
    <row r="239">
      <c r="A239" s="15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1" t="n"/>
      <c r="G239" s="21" t="n"/>
      <c r="H239" s="21" t="n"/>
      <c r="I239">
        <f>IFERROR(INDEX(מלאי!$N$2:$N$500,MATCH(A239,מלאי!$D$2:$D$500,0)),"")</f>
        <v/>
      </c>
      <c r="J239" s="21" t="n"/>
      <c r="K239" s="21" t="n"/>
      <c r="L239" s="21" t="n"/>
      <c r="M239" s="15" t="n"/>
      <c r="N239" s="22">
        <f>IF(F239="","",IF(J239&lt;&gt;"",AVERAGE(F239,J239),F239))</f>
        <v/>
      </c>
      <c r="O239" s="22">
        <f>IF(G239="","",IF(K239&lt;&gt;"",AVERAGE(G239,K239),G239))</f>
        <v/>
      </c>
      <c r="P239" s="22">
        <f>IF(OR(N239="",O239=""),"",AVERAGE(N239,O239))</f>
        <v/>
      </c>
    </row>
    <row r="240">
      <c r="A240" s="15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1" t="n"/>
      <c r="G240" s="21" t="n"/>
      <c r="H240" s="21" t="n"/>
      <c r="I240">
        <f>IFERROR(INDEX(מלאי!$N$2:$N$500,MATCH(A240,מלאי!$D$2:$D$500,0)),"")</f>
        <v/>
      </c>
      <c r="J240" s="21" t="n"/>
      <c r="K240" s="21" t="n"/>
      <c r="L240" s="21" t="n"/>
      <c r="M240" s="15" t="n"/>
      <c r="N240" s="22">
        <f>IF(F240="","",IF(J240&lt;&gt;"",AVERAGE(F240,J240),F240))</f>
        <v/>
      </c>
      <c r="O240" s="22">
        <f>IF(G240="","",IF(K240&lt;&gt;"",AVERAGE(G240,K240),G240))</f>
        <v/>
      </c>
      <c r="P240" s="22">
        <f>IF(OR(N240="",O240=""),"",AVERAGE(N240,O240))</f>
        <v/>
      </c>
    </row>
    <row r="241">
      <c r="A241" s="15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1" t="n"/>
      <c r="G241" s="21" t="n"/>
      <c r="H241" s="21" t="n"/>
      <c r="I241">
        <f>IFERROR(INDEX(מלאי!$N$2:$N$500,MATCH(A241,מלאי!$D$2:$D$500,0)),"")</f>
        <v/>
      </c>
      <c r="J241" s="21" t="n"/>
      <c r="K241" s="21" t="n"/>
      <c r="L241" s="21" t="n"/>
      <c r="M241" s="15" t="n"/>
      <c r="N241" s="22">
        <f>IF(F241="","",IF(J241&lt;&gt;"",AVERAGE(F241,J241),F241))</f>
        <v/>
      </c>
      <c r="O241" s="22">
        <f>IF(G241="","",IF(K241&lt;&gt;"",AVERAGE(G241,K241),G241))</f>
        <v/>
      </c>
      <c r="P241" s="22">
        <f>IF(OR(N241="",O241=""),"",AVERAGE(N241,O241))</f>
        <v/>
      </c>
    </row>
    <row r="242">
      <c r="A242" s="15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1" t="n"/>
      <c r="G242" s="21" t="n"/>
      <c r="H242" s="21" t="n"/>
      <c r="I242">
        <f>IFERROR(INDEX(מלאי!$N$2:$N$500,MATCH(A242,מלאי!$D$2:$D$500,0)),"")</f>
        <v/>
      </c>
      <c r="J242" s="21" t="n"/>
      <c r="K242" s="21" t="n"/>
      <c r="L242" s="21" t="n"/>
      <c r="M242" s="15" t="n"/>
      <c r="N242" s="22">
        <f>IF(F242="","",IF(J242&lt;&gt;"",AVERAGE(F242,J242),F242))</f>
        <v/>
      </c>
      <c r="O242" s="22">
        <f>IF(G242="","",IF(K242&lt;&gt;"",AVERAGE(G242,K242),G242))</f>
        <v/>
      </c>
      <c r="P242" s="22">
        <f>IF(OR(N242="",O242=""),"",AVERAGE(N242,O242))</f>
        <v/>
      </c>
    </row>
    <row r="243">
      <c r="A243" s="15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1" t="n"/>
      <c r="G243" s="21" t="n"/>
      <c r="H243" s="21" t="n"/>
      <c r="I243">
        <f>IFERROR(INDEX(מלאי!$N$2:$N$500,MATCH(A243,מלאי!$D$2:$D$500,0)),"")</f>
        <v/>
      </c>
      <c r="J243" s="21" t="n"/>
      <c r="K243" s="21" t="n"/>
      <c r="L243" s="21" t="n"/>
      <c r="M243" s="15" t="n"/>
      <c r="N243" s="22">
        <f>IF(F243="","",IF(J243&lt;&gt;"",AVERAGE(F243,J243),F243))</f>
        <v/>
      </c>
      <c r="O243" s="22">
        <f>IF(G243="","",IF(K243&lt;&gt;"",AVERAGE(G243,K243),G243))</f>
        <v/>
      </c>
      <c r="P243" s="22">
        <f>IF(OR(N243="",O243=""),"",AVERAGE(N243,O243))</f>
        <v/>
      </c>
    </row>
    <row r="244">
      <c r="A244" s="15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1" t="n"/>
      <c r="G244" s="21" t="n"/>
      <c r="H244" s="21" t="n"/>
      <c r="I244">
        <f>IFERROR(INDEX(מלאי!$N$2:$N$500,MATCH(A244,מלאי!$D$2:$D$500,0)),"")</f>
        <v/>
      </c>
      <c r="J244" s="21" t="n"/>
      <c r="K244" s="21" t="n"/>
      <c r="L244" s="21" t="n"/>
      <c r="M244" s="15" t="n"/>
      <c r="N244" s="22">
        <f>IF(F244="","",IF(J244&lt;&gt;"",AVERAGE(F244,J244),F244))</f>
        <v/>
      </c>
      <c r="O244" s="22">
        <f>IF(G244="","",IF(K244&lt;&gt;"",AVERAGE(G244,K244),G244))</f>
        <v/>
      </c>
      <c r="P244" s="22">
        <f>IF(OR(N244="",O244=""),"",AVERAGE(N244,O244))</f>
        <v/>
      </c>
    </row>
    <row r="245">
      <c r="A245" s="15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1" t="n"/>
      <c r="G245" s="21" t="n"/>
      <c r="H245" s="21" t="n"/>
      <c r="I245">
        <f>IFERROR(INDEX(מלאי!$N$2:$N$500,MATCH(A245,מלאי!$D$2:$D$500,0)),"")</f>
        <v/>
      </c>
      <c r="J245" s="21" t="n"/>
      <c r="K245" s="21" t="n"/>
      <c r="L245" s="21" t="n"/>
      <c r="M245" s="15" t="n"/>
      <c r="N245" s="22">
        <f>IF(F245="","",IF(J245&lt;&gt;"",AVERAGE(F245,J245),F245))</f>
        <v/>
      </c>
      <c r="O245" s="22">
        <f>IF(G245="","",IF(K245&lt;&gt;"",AVERAGE(G245,K245),G245))</f>
        <v/>
      </c>
      <c r="P245" s="22">
        <f>IF(OR(N245="",O245=""),"",AVERAGE(N245,O245))</f>
        <v/>
      </c>
    </row>
    <row r="246">
      <c r="A246" s="15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1" t="n"/>
      <c r="G246" s="21" t="n"/>
      <c r="H246" s="21" t="n"/>
      <c r="I246">
        <f>IFERROR(INDEX(מלאי!$N$2:$N$500,MATCH(A246,מלאי!$D$2:$D$500,0)),"")</f>
        <v/>
      </c>
      <c r="J246" s="21" t="n"/>
      <c r="K246" s="21" t="n"/>
      <c r="L246" s="21" t="n"/>
      <c r="M246" s="15" t="n"/>
      <c r="N246" s="22">
        <f>IF(F246="","",IF(J246&lt;&gt;"",AVERAGE(F246,J246),F246))</f>
        <v/>
      </c>
      <c r="O246" s="22">
        <f>IF(G246="","",IF(K246&lt;&gt;"",AVERAGE(G246,K246),G246))</f>
        <v/>
      </c>
      <c r="P246" s="22">
        <f>IF(OR(N246="",O246=""),"",AVERAGE(N246,O246))</f>
        <v/>
      </c>
    </row>
    <row r="247">
      <c r="A247" s="15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1" t="n"/>
      <c r="G247" s="21" t="n"/>
      <c r="H247" s="21" t="n"/>
      <c r="I247">
        <f>IFERROR(INDEX(מלאי!$N$2:$N$500,MATCH(A247,מלאי!$D$2:$D$500,0)),"")</f>
        <v/>
      </c>
      <c r="J247" s="21" t="n"/>
      <c r="K247" s="21" t="n"/>
      <c r="L247" s="21" t="n"/>
      <c r="M247" s="15" t="n"/>
      <c r="N247" s="22">
        <f>IF(F247="","",IF(J247&lt;&gt;"",AVERAGE(F247,J247),F247))</f>
        <v/>
      </c>
      <c r="O247" s="22">
        <f>IF(G247="","",IF(K247&lt;&gt;"",AVERAGE(G247,K247),G247))</f>
        <v/>
      </c>
      <c r="P247" s="22">
        <f>IF(OR(N247="",O247=""),"",AVERAGE(N247,O247))</f>
        <v/>
      </c>
    </row>
    <row r="248">
      <c r="A248" s="15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1" t="n"/>
      <c r="G248" s="21" t="n"/>
      <c r="H248" s="21" t="n"/>
      <c r="I248">
        <f>IFERROR(INDEX(מלאי!$N$2:$N$500,MATCH(A248,מלאי!$D$2:$D$500,0)),"")</f>
        <v/>
      </c>
      <c r="J248" s="21" t="n"/>
      <c r="K248" s="21" t="n"/>
      <c r="L248" s="21" t="n"/>
      <c r="M248" s="15" t="n"/>
      <c r="N248" s="22">
        <f>IF(F248="","",IF(J248&lt;&gt;"",AVERAGE(F248,J248),F248))</f>
        <v/>
      </c>
      <c r="O248" s="22">
        <f>IF(G248="","",IF(K248&lt;&gt;"",AVERAGE(G248,K248),G248))</f>
        <v/>
      </c>
      <c r="P248" s="22">
        <f>IF(OR(N248="",O248=""),"",AVERAGE(N248,O248))</f>
        <v/>
      </c>
    </row>
    <row r="249">
      <c r="A249" s="15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1" t="n"/>
      <c r="G249" s="21" t="n"/>
      <c r="H249" s="21" t="n"/>
      <c r="I249">
        <f>IFERROR(INDEX(מלאי!$N$2:$N$500,MATCH(A249,מלאי!$D$2:$D$500,0)),"")</f>
        <v/>
      </c>
      <c r="J249" s="21" t="n"/>
      <c r="K249" s="21" t="n"/>
      <c r="L249" s="21" t="n"/>
      <c r="M249" s="15" t="n"/>
      <c r="N249" s="22">
        <f>IF(F249="","",IF(J249&lt;&gt;"",AVERAGE(F249,J249),F249))</f>
        <v/>
      </c>
      <c r="O249" s="22">
        <f>IF(G249="","",IF(K249&lt;&gt;"",AVERAGE(G249,K249),G249))</f>
        <v/>
      </c>
      <c r="P249" s="22">
        <f>IF(OR(N249="",O249=""),"",AVERAGE(N249,O249))</f>
        <v/>
      </c>
    </row>
    <row r="250">
      <c r="A250" s="15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1" t="n"/>
      <c r="G250" s="21" t="n"/>
      <c r="H250" s="21" t="n"/>
      <c r="I250">
        <f>IFERROR(INDEX(מלאי!$N$2:$N$500,MATCH(A250,מלאי!$D$2:$D$500,0)),"")</f>
        <v/>
      </c>
      <c r="J250" s="21" t="n"/>
      <c r="K250" s="21" t="n"/>
      <c r="L250" s="21" t="n"/>
      <c r="M250" s="15" t="n"/>
      <c r="N250" s="22">
        <f>IF(F250="","",IF(J250&lt;&gt;"",AVERAGE(F250,J250),F250))</f>
        <v/>
      </c>
      <c r="O250" s="22">
        <f>IF(G250="","",IF(K250&lt;&gt;"",AVERAGE(G250,K250),G250))</f>
        <v/>
      </c>
      <c r="P250" s="22">
        <f>IF(OR(N250="",O250=""),"",AVERAGE(N250,O250))</f>
        <v/>
      </c>
    </row>
    <row r="251">
      <c r="A251" s="15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1" t="n"/>
      <c r="G251" s="21" t="n"/>
      <c r="H251" s="21" t="n"/>
      <c r="I251">
        <f>IFERROR(INDEX(מלאי!$N$2:$N$500,MATCH(A251,מלאי!$D$2:$D$500,0)),"")</f>
        <v/>
      </c>
      <c r="J251" s="21" t="n"/>
      <c r="K251" s="21" t="n"/>
      <c r="L251" s="21" t="n"/>
      <c r="M251" s="15" t="n"/>
      <c r="N251" s="22">
        <f>IF(F251="","",IF(J251&lt;&gt;"",AVERAGE(F251,J251),F251))</f>
        <v/>
      </c>
      <c r="O251" s="22">
        <f>IF(G251="","",IF(K251&lt;&gt;"",AVERAGE(G251,K251),G251))</f>
        <v/>
      </c>
      <c r="P251" s="22">
        <f>IF(OR(N251="",O251=""),"",AVERAGE(N251,O251))</f>
        <v/>
      </c>
    </row>
    <row r="252">
      <c r="A252" s="15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1" t="n"/>
      <c r="G252" s="21" t="n"/>
      <c r="H252" s="21" t="n"/>
      <c r="I252">
        <f>IFERROR(INDEX(מלאי!$N$2:$N$500,MATCH(A252,מלאי!$D$2:$D$500,0)),"")</f>
        <v/>
      </c>
      <c r="J252" s="21" t="n"/>
      <c r="K252" s="21" t="n"/>
      <c r="L252" s="21" t="n"/>
      <c r="M252" s="15" t="n"/>
      <c r="N252" s="22">
        <f>IF(F252="","",IF(J252&lt;&gt;"",AVERAGE(F252,J252),F252))</f>
        <v/>
      </c>
      <c r="O252" s="22">
        <f>IF(G252="","",IF(K252&lt;&gt;"",AVERAGE(G252,K252),G252))</f>
        <v/>
      </c>
      <c r="P252" s="22">
        <f>IF(OR(N252="",O252=""),"",AVERAGE(N252,O252))</f>
        <v/>
      </c>
    </row>
    <row r="253">
      <c r="A253" s="15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1" t="n"/>
      <c r="G253" s="21" t="n"/>
      <c r="H253" s="21" t="n"/>
      <c r="I253">
        <f>IFERROR(INDEX(מלאי!$N$2:$N$500,MATCH(A253,מלאי!$D$2:$D$500,0)),"")</f>
        <v/>
      </c>
      <c r="J253" s="21" t="n"/>
      <c r="K253" s="21" t="n"/>
      <c r="L253" s="21" t="n"/>
      <c r="M253" s="15" t="n"/>
      <c r="N253" s="22">
        <f>IF(F253="","",IF(J253&lt;&gt;"",AVERAGE(F253,J253),F253))</f>
        <v/>
      </c>
      <c r="O253" s="22">
        <f>IF(G253="","",IF(K253&lt;&gt;"",AVERAGE(G253,K253),G253))</f>
        <v/>
      </c>
      <c r="P253" s="22">
        <f>IF(OR(N253="",O253=""),"",AVERAGE(N253,O253))</f>
        <v/>
      </c>
    </row>
    <row r="254">
      <c r="A254" s="15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1" t="n"/>
      <c r="G254" s="21" t="n"/>
      <c r="H254" s="21" t="n"/>
      <c r="I254">
        <f>IFERROR(INDEX(מלאי!$N$2:$N$500,MATCH(A254,מלאי!$D$2:$D$500,0)),"")</f>
        <v/>
      </c>
      <c r="J254" s="21" t="n"/>
      <c r="K254" s="21" t="n"/>
      <c r="L254" s="21" t="n"/>
      <c r="M254" s="15" t="n"/>
      <c r="N254" s="22">
        <f>IF(F254="","",IF(J254&lt;&gt;"",AVERAGE(F254,J254),F254))</f>
        <v/>
      </c>
      <c r="O254" s="22">
        <f>IF(G254="","",IF(K254&lt;&gt;"",AVERAGE(G254,K254),G254))</f>
        <v/>
      </c>
      <c r="P254" s="22">
        <f>IF(OR(N254="",O254=""),"",AVERAGE(N254,O254))</f>
        <v/>
      </c>
    </row>
    <row r="255">
      <c r="A255" s="15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1" t="n"/>
      <c r="G255" s="21" t="n"/>
      <c r="H255" s="21" t="n"/>
      <c r="I255">
        <f>IFERROR(INDEX(מלאי!$N$2:$N$500,MATCH(A255,מלאי!$D$2:$D$500,0)),"")</f>
        <v/>
      </c>
      <c r="J255" s="21" t="n"/>
      <c r="K255" s="21" t="n"/>
      <c r="L255" s="21" t="n"/>
      <c r="M255" s="15" t="n"/>
      <c r="N255" s="22">
        <f>IF(F255="","",IF(J255&lt;&gt;"",AVERAGE(F255,J255),F255))</f>
        <v/>
      </c>
      <c r="O255" s="22">
        <f>IF(G255="","",IF(K255&lt;&gt;"",AVERAGE(G255,K255),G255))</f>
        <v/>
      </c>
      <c r="P255" s="22">
        <f>IF(OR(N255="",O255=""),"",AVERAGE(N255,O255))</f>
        <v/>
      </c>
    </row>
    <row r="256">
      <c r="A256" s="15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1" t="n"/>
      <c r="G256" s="21" t="n"/>
      <c r="H256" s="21" t="n"/>
      <c r="I256">
        <f>IFERROR(INDEX(מלאי!$N$2:$N$500,MATCH(A256,מלאי!$D$2:$D$500,0)),"")</f>
        <v/>
      </c>
      <c r="J256" s="21" t="n"/>
      <c r="K256" s="21" t="n"/>
      <c r="L256" s="21" t="n"/>
      <c r="M256" s="15" t="n"/>
      <c r="N256" s="22">
        <f>IF(F256="","",IF(J256&lt;&gt;"",AVERAGE(F256,J256),F256))</f>
        <v/>
      </c>
      <c r="O256" s="22">
        <f>IF(G256="","",IF(K256&lt;&gt;"",AVERAGE(G256,K256),G256))</f>
        <v/>
      </c>
      <c r="P256" s="22">
        <f>IF(OR(N256="",O256=""),"",AVERAGE(N256,O256))</f>
        <v/>
      </c>
    </row>
    <row r="257">
      <c r="A257" s="15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1" t="n"/>
      <c r="G257" s="21" t="n"/>
      <c r="H257" s="21" t="n"/>
      <c r="I257">
        <f>IFERROR(INDEX(מלאי!$N$2:$N$500,MATCH(A257,מלאי!$D$2:$D$500,0)),"")</f>
        <v/>
      </c>
      <c r="J257" s="21" t="n"/>
      <c r="K257" s="21" t="n"/>
      <c r="L257" s="21" t="n"/>
      <c r="M257" s="15" t="n"/>
      <c r="N257" s="22">
        <f>IF(F257="","",IF(J257&lt;&gt;"",AVERAGE(F257,J257),F257))</f>
        <v/>
      </c>
      <c r="O257" s="22">
        <f>IF(G257="","",IF(K257&lt;&gt;"",AVERAGE(G257,K257),G257))</f>
        <v/>
      </c>
      <c r="P257" s="22">
        <f>IF(OR(N257="",O257=""),"",AVERAGE(N257,O257))</f>
        <v/>
      </c>
    </row>
    <row r="258">
      <c r="A258" s="15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1" t="n"/>
      <c r="G258" s="21" t="n"/>
      <c r="H258" s="21" t="n"/>
      <c r="I258">
        <f>IFERROR(INDEX(מלאי!$N$2:$N$500,MATCH(A258,מלאי!$D$2:$D$500,0)),"")</f>
        <v/>
      </c>
      <c r="J258" s="21" t="n"/>
      <c r="K258" s="21" t="n"/>
      <c r="L258" s="21" t="n"/>
      <c r="M258" s="15" t="n"/>
      <c r="N258" s="22">
        <f>IF(F258="","",IF(J258&lt;&gt;"",AVERAGE(F258,J258),F258))</f>
        <v/>
      </c>
      <c r="O258" s="22">
        <f>IF(G258="","",IF(K258&lt;&gt;"",AVERAGE(G258,K258),G258))</f>
        <v/>
      </c>
      <c r="P258" s="22">
        <f>IF(OR(N258="",O258=""),"",AVERAGE(N258,O258))</f>
        <v/>
      </c>
    </row>
    <row r="259">
      <c r="A259" s="15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1" t="n"/>
      <c r="G259" s="21" t="n"/>
      <c r="H259" s="21" t="n"/>
      <c r="I259">
        <f>IFERROR(INDEX(מלאי!$N$2:$N$500,MATCH(A259,מלאי!$D$2:$D$500,0)),"")</f>
        <v/>
      </c>
      <c r="J259" s="21" t="n"/>
      <c r="K259" s="21" t="n"/>
      <c r="L259" s="21" t="n"/>
      <c r="M259" s="15" t="n"/>
      <c r="N259" s="22">
        <f>IF(F259="","",IF(J259&lt;&gt;"",AVERAGE(F259,J259),F259))</f>
        <v/>
      </c>
      <c r="O259" s="22">
        <f>IF(G259="","",IF(K259&lt;&gt;"",AVERAGE(G259,K259),G259))</f>
        <v/>
      </c>
      <c r="P259" s="22">
        <f>IF(OR(N259="",O259=""),"",AVERAGE(N259,O259))</f>
        <v/>
      </c>
    </row>
    <row r="260">
      <c r="A260" s="15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1" t="n"/>
      <c r="G260" s="21" t="n"/>
      <c r="H260" s="21" t="n"/>
      <c r="I260">
        <f>IFERROR(INDEX(מלאי!$N$2:$N$500,MATCH(A260,מלאי!$D$2:$D$500,0)),"")</f>
        <v/>
      </c>
      <c r="J260" s="21" t="n"/>
      <c r="K260" s="21" t="n"/>
      <c r="L260" s="21" t="n"/>
      <c r="M260" s="15" t="n"/>
      <c r="N260" s="22">
        <f>IF(F260="","",IF(J260&lt;&gt;"",AVERAGE(F260,J260),F260))</f>
        <v/>
      </c>
      <c r="O260" s="22">
        <f>IF(G260="","",IF(K260&lt;&gt;"",AVERAGE(G260,K260),G260))</f>
        <v/>
      </c>
      <c r="P260" s="22">
        <f>IF(OR(N260="",O260=""),"",AVERAGE(N260,O260))</f>
        <v/>
      </c>
    </row>
    <row r="261">
      <c r="A261" s="15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1" t="n"/>
      <c r="G261" s="21" t="n"/>
      <c r="H261" s="21" t="n"/>
      <c r="I261">
        <f>IFERROR(INDEX(מלאי!$N$2:$N$500,MATCH(A261,מלאי!$D$2:$D$500,0)),"")</f>
        <v/>
      </c>
      <c r="J261" s="21" t="n"/>
      <c r="K261" s="21" t="n"/>
      <c r="L261" s="21" t="n"/>
      <c r="M261" s="15" t="n"/>
      <c r="N261" s="22">
        <f>IF(F261="","",IF(J261&lt;&gt;"",AVERAGE(F261,J261),F261))</f>
        <v/>
      </c>
      <c r="O261" s="22">
        <f>IF(G261="","",IF(K261&lt;&gt;"",AVERAGE(G261,K261),G261))</f>
        <v/>
      </c>
      <c r="P261" s="22">
        <f>IF(OR(N261="",O261=""),"",AVERAGE(N261,O261))</f>
        <v/>
      </c>
    </row>
    <row r="262">
      <c r="A262" s="15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1" t="n"/>
      <c r="G262" s="21" t="n"/>
      <c r="H262" s="21" t="n"/>
      <c r="I262">
        <f>IFERROR(INDEX(מלאי!$N$2:$N$500,MATCH(A262,מלאי!$D$2:$D$500,0)),"")</f>
        <v/>
      </c>
      <c r="J262" s="21" t="n"/>
      <c r="K262" s="21" t="n"/>
      <c r="L262" s="21" t="n"/>
      <c r="M262" s="15" t="n"/>
      <c r="N262" s="22">
        <f>IF(F262="","",IF(J262&lt;&gt;"",AVERAGE(F262,J262),F262))</f>
        <v/>
      </c>
      <c r="O262" s="22">
        <f>IF(G262="","",IF(K262&lt;&gt;"",AVERAGE(G262,K262),G262))</f>
        <v/>
      </c>
      <c r="P262" s="22">
        <f>IF(OR(N262="",O262=""),"",AVERAGE(N262,O262))</f>
        <v/>
      </c>
    </row>
    <row r="263">
      <c r="A263" s="15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1" t="n"/>
      <c r="G263" s="21" t="n"/>
      <c r="H263" s="21" t="n"/>
      <c r="I263">
        <f>IFERROR(INDEX(מלאי!$N$2:$N$500,MATCH(A263,מלאי!$D$2:$D$500,0)),"")</f>
        <v/>
      </c>
      <c r="J263" s="21" t="n"/>
      <c r="K263" s="21" t="n"/>
      <c r="L263" s="21" t="n"/>
      <c r="M263" s="15" t="n"/>
      <c r="N263" s="22">
        <f>IF(F263="","",IF(J263&lt;&gt;"",AVERAGE(F263,J263),F263))</f>
        <v/>
      </c>
      <c r="O263" s="22">
        <f>IF(G263="","",IF(K263&lt;&gt;"",AVERAGE(G263,K263),G263))</f>
        <v/>
      </c>
      <c r="P263" s="22">
        <f>IF(OR(N263="",O263=""),"",AVERAGE(N263,O263))</f>
        <v/>
      </c>
    </row>
    <row r="264">
      <c r="A264" s="15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1" t="n"/>
      <c r="G264" s="21" t="n"/>
      <c r="H264" s="21" t="n"/>
      <c r="I264">
        <f>IFERROR(INDEX(מלאי!$N$2:$N$500,MATCH(A264,מלאי!$D$2:$D$500,0)),"")</f>
        <v/>
      </c>
      <c r="J264" s="21" t="n"/>
      <c r="K264" s="21" t="n"/>
      <c r="L264" s="21" t="n"/>
      <c r="M264" s="15" t="n"/>
      <c r="N264" s="22">
        <f>IF(F264="","",IF(J264&lt;&gt;"",AVERAGE(F264,J264),F264))</f>
        <v/>
      </c>
      <c r="O264" s="22">
        <f>IF(G264="","",IF(K264&lt;&gt;"",AVERAGE(G264,K264),G264))</f>
        <v/>
      </c>
      <c r="P264" s="22">
        <f>IF(OR(N264="",O264=""),"",AVERAGE(N264,O264))</f>
        <v/>
      </c>
    </row>
    <row r="265">
      <c r="A265" s="15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1" t="n"/>
      <c r="G265" s="21" t="n"/>
      <c r="H265" s="21" t="n"/>
      <c r="I265">
        <f>IFERROR(INDEX(מלאי!$N$2:$N$500,MATCH(A265,מלאי!$D$2:$D$500,0)),"")</f>
        <v/>
      </c>
      <c r="J265" s="21" t="n"/>
      <c r="K265" s="21" t="n"/>
      <c r="L265" s="21" t="n"/>
      <c r="M265" s="15" t="n"/>
      <c r="N265" s="22">
        <f>IF(F265="","",IF(J265&lt;&gt;"",AVERAGE(F265,J265),F265))</f>
        <v/>
      </c>
      <c r="O265" s="22">
        <f>IF(G265="","",IF(K265&lt;&gt;"",AVERAGE(G265,K265),G265))</f>
        <v/>
      </c>
      <c r="P265" s="22">
        <f>IF(OR(N265="",O265=""),"",AVERAGE(N265,O265))</f>
        <v/>
      </c>
    </row>
    <row r="266">
      <c r="A266" s="15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1" t="n"/>
      <c r="G266" s="21" t="n"/>
      <c r="H266" s="21" t="n"/>
      <c r="I266">
        <f>IFERROR(INDEX(מלאי!$N$2:$N$500,MATCH(A266,מלאי!$D$2:$D$500,0)),"")</f>
        <v/>
      </c>
      <c r="J266" s="21" t="n"/>
      <c r="K266" s="21" t="n"/>
      <c r="L266" s="21" t="n"/>
      <c r="M266" s="15" t="n"/>
      <c r="N266" s="22">
        <f>IF(F266="","",IF(J266&lt;&gt;"",AVERAGE(F266,J266),F266))</f>
        <v/>
      </c>
      <c r="O266" s="22">
        <f>IF(G266="","",IF(K266&lt;&gt;"",AVERAGE(G266,K266),G266))</f>
        <v/>
      </c>
      <c r="P266" s="22">
        <f>IF(OR(N266="",O266=""),"",AVERAGE(N266,O266))</f>
        <v/>
      </c>
    </row>
    <row r="267">
      <c r="A267" s="15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1" t="n"/>
      <c r="G267" s="21" t="n"/>
      <c r="H267" s="21" t="n"/>
      <c r="I267">
        <f>IFERROR(INDEX(מלאי!$N$2:$N$500,MATCH(A267,מלאי!$D$2:$D$500,0)),"")</f>
        <v/>
      </c>
      <c r="J267" s="21" t="n"/>
      <c r="K267" s="21" t="n"/>
      <c r="L267" s="21" t="n"/>
      <c r="M267" s="15" t="n"/>
      <c r="N267" s="22">
        <f>IF(F267="","",IF(J267&lt;&gt;"",AVERAGE(F267,J267),F267))</f>
        <v/>
      </c>
      <c r="O267" s="22">
        <f>IF(G267="","",IF(K267&lt;&gt;"",AVERAGE(G267,K267),G267))</f>
        <v/>
      </c>
      <c r="P267" s="22">
        <f>IF(OR(N267="",O267=""),"",AVERAGE(N267,O267))</f>
        <v/>
      </c>
    </row>
    <row r="268">
      <c r="A268" s="15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1" t="n"/>
      <c r="G268" s="21" t="n"/>
      <c r="H268" s="21" t="n"/>
      <c r="I268">
        <f>IFERROR(INDEX(מלאי!$N$2:$N$500,MATCH(A268,מלאי!$D$2:$D$500,0)),"")</f>
        <v/>
      </c>
      <c r="J268" s="21" t="n"/>
      <c r="K268" s="21" t="n"/>
      <c r="L268" s="21" t="n"/>
      <c r="M268" s="15" t="n"/>
      <c r="N268" s="22">
        <f>IF(F268="","",IF(J268&lt;&gt;"",AVERAGE(F268,J268),F268))</f>
        <v/>
      </c>
      <c r="O268" s="22">
        <f>IF(G268="","",IF(K268&lt;&gt;"",AVERAGE(G268,K268),G268))</f>
        <v/>
      </c>
      <c r="P268" s="22">
        <f>IF(OR(N268="",O268=""),"",AVERAGE(N268,O268))</f>
        <v/>
      </c>
    </row>
    <row r="269">
      <c r="A269" s="15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1" t="n"/>
      <c r="G269" s="21" t="n"/>
      <c r="H269" s="21" t="n"/>
      <c r="I269">
        <f>IFERROR(INDEX(מלאי!$N$2:$N$500,MATCH(A269,מלאי!$D$2:$D$500,0)),"")</f>
        <v/>
      </c>
      <c r="J269" s="21" t="n"/>
      <c r="K269" s="21" t="n"/>
      <c r="L269" s="21" t="n"/>
      <c r="M269" s="15" t="n"/>
      <c r="N269" s="22">
        <f>IF(F269="","",IF(J269&lt;&gt;"",AVERAGE(F269,J269),F269))</f>
        <v/>
      </c>
      <c r="O269" s="22">
        <f>IF(G269="","",IF(K269&lt;&gt;"",AVERAGE(G269,K269),G269))</f>
        <v/>
      </c>
      <c r="P269" s="22">
        <f>IF(OR(N269="",O269=""),"",AVERAGE(N269,O269))</f>
        <v/>
      </c>
    </row>
    <row r="270">
      <c r="A270" s="15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1" t="n"/>
      <c r="G270" s="21" t="n"/>
      <c r="H270" s="21" t="n"/>
      <c r="I270">
        <f>IFERROR(INDEX(מלאי!$N$2:$N$500,MATCH(A270,מלאי!$D$2:$D$500,0)),"")</f>
        <v/>
      </c>
      <c r="J270" s="21" t="n"/>
      <c r="K270" s="21" t="n"/>
      <c r="L270" s="21" t="n"/>
      <c r="M270" s="15" t="n"/>
      <c r="N270" s="22">
        <f>IF(F270="","",IF(J270&lt;&gt;"",AVERAGE(F270,J270),F270))</f>
        <v/>
      </c>
      <c r="O270" s="22">
        <f>IF(G270="","",IF(K270&lt;&gt;"",AVERAGE(G270,K270),G270))</f>
        <v/>
      </c>
      <c r="P270" s="22">
        <f>IF(OR(N270="",O270=""),"",AVERAGE(N270,O270))</f>
        <v/>
      </c>
    </row>
    <row r="271">
      <c r="A271" s="15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1" t="n"/>
      <c r="G271" s="21" t="n"/>
      <c r="H271" s="21" t="n"/>
      <c r="I271">
        <f>IFERROR(INDEX(מלאי!$N$2:$N$500,MATCH(A271,מלאי!$D$2:$D$500,0)),"")</f>
        <v/>
      </c>
      <c r="J271" s="21" t="n"/>
      <c r="K271" s="21" t="n"/>
      <c r="L271" s="21" t="n"/>
      <c r="M271" s="15" t="n"/>
      <c r="N271" s="22">
        <f>IF(F271="","",IF(J271&lt;&gt;"",AVERAGE(F271,J271),F271))</f>
        <v/>
      </c>
      <c r="O271" s="22">
        <f>IF(G271="","",IF(K271&lt;&gt;"",AVERAGE(G271,K271),G271))</f>
        <v/>
      </c>
      <c r="P271" s="22">
        <f>IF(OR(N271="",O271=""),"",AVERAGE(N271,O271))</f>
        <v/>
      </c>
    </row>
    <row r="272">
      <c r="A272" s="15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1" t="n"/>
      <c r="G272" s="21" t="n"/>
      <c r="H272" s="21" t="n"/>
      <c r="I272">
        <f>IFERROR(INDEX(מלאי!$N$2:$N$500,MATCH(A272,מלאי!$D$2:$D$500,0)),"")</f>
        <v/>
      </c>
      <c r="J272" s="21" t="n"/>
      <c r="K272" s="21" t="n"/>
      <c r="L272" s="21" t="n"/>
      <c r="M272" s="15" t="n"/>
      <c r="N272" s="22">
        <f>IF(F272="","",IF(J272&lt;&gt;"",AVERAGE(F272,J272),F272))</f>
        <v/>
      </c>
      <c r="O272" s="22">
        <f>IF(G272="","",IF(K272&lt;&gt;"",AVERAGE(G272,K272),G272))</f>
        <v/>
      </c>
      <c r="P272" s="22">
        <f>IF(OR(N272="",O272=""),"",AVERAGE(N272,O272))</f>
        <v/>
      </c>
    </row>
    <row r="273">
      <c r="A273" s="15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1" t="n"/>
      <c r="G273" s="21" t="n"/>
      <c r="H273" s="21" t="n"/>
      <c r="I273">
        <f>IFERROR(INDEX(מלאי!$N$2:$N$500,MATCH(A273,מלאי!$D$2:$D$500,0)),"")</f>
        <v/>
      </c>
      <c r="J273" s="21" t="n"/>
      <c r="K273" s="21" t="n"/>
      <c r="L273" s="21" t="n"/>
      <c r="M273" s="15" t="n"/>
      <c r="N273" s="22">
        <f>IF(F273="","",IF(J273&lt;&gt;"",AVERAGE(F273,J273),F273))</f>
        <v/>
      </c>
      <c r="O273" s="22">
        <f>IF(G273="","",IF(K273&lt;&gt;"",AVERAGE(G273,K273),G273))</f>
        <v/>
      </c>
      <c r="P273" s="22">
        <f>IF(OR(N273="",O273=""),"",AVERAGE(N273,O273))</f>
        <v/>
      </c>
    </row>
    <row r="274">
      <c r="A274" s="15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1" t="n"/>
      <c r="G274" s="21" t="n"/>
      <c r="H274" s="21" t="n"/>
      <c r="I274">
        <f>IFERROR(INDEX(מלאי!$N$2:$N$500,MATCH(A274,מלאי!$D$2:$D$500,0)),"")</f>
        <v/>
      </c>
      <c r="J274" s="21" t="n"/>
      <c r="K274" s="21" t="n"/>
      <c r="L274" s="21" t="n"/>
      <c r="M274" s="15" t="n"/>
      <c r="N274" s="22">
        <f>IF(F274="","",IF(J274&lt;&gt;"",AVERAGE(F274,J274),F274))</f>
        <v/>
      </c>
      <c r="O274" s="22">
        <f>IF(G274="","",IF(K274&lt;&gt;"",AVERAGE(G274,K274),G274))</f>
        <v/>
      </c>
      <c r="P274" s="22">
        <f>IF(OR(N274="",O274=""),"",AVERAGE(N274,O274))</f>
        <v/>
      </c>
    </row>
    <row r="275">
      <c r="A275" s="15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1" t="n"/>
      <c r="G275" s="21" t="n"/>
      <c r="H275" s="21" t="n"/>
      <c r="I275">
        <f>IFERROR(INDEX(מלאי!$N$2:$N$500,MATCH(A275,מלאי!$D$2:$D$500,0)),"")</f>
        <v/>
      </c>
      <c r="J275" s="21" t="n"/>
      <c r="K275" s="21" t="n"/>
      <c r="L275" s="21" t="n"/>
      <c r="M275" s="15" t="n"/>
      <c r="N275" s="22">
        <f>IF(F275="","",IF(J275&lt;&gt;"",AVERAGE(F275,J275),F275))</f>
        <v/>
      </c>
      <c r="O275" s="22">
        <f>IF(G275="","",IF(K275&lt;&gt;"",AVERAGE(G275,K275),G275))</f>
        <v/>
      </c>
      <c r="P275" s="22">
        <f>IF(OR(N275="",O275=""),"",AVERAGE(N275,O275))</f>
        <v/>
      </c>
    </row>
    <row r="276">
      <c r="A276" s="15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1" t="n"/>
      <c r="G276" s="21" t="n"/>
      <c r="H276" s="21" t="n"/>
      <c r="I276">
        <f>IFERROR(INDEX(מלאי!$N$2:$N$500,MATCH(A276,מלאי!$D$2:$D$500,0)),"")</f>
        <v/>
      </c>
      <c r="J276" s="21" t="n"/>
      <c r="K276" s="21" t="n"/>
      <c r="L276" s="21" t="n"/>
      <c r="M276" s="15" t="n"/>
      <c r="N276" s="22">
        <f>IF(F276="","",IF(J276&lt;&gt;"",AVERAGE(F276,J276),F276))</f>
        <v/>
      </c>
      <c r="O276" s="22">
        <f>IF(G276="","",IF(K276&lt;&gt;"",AVERAGE(G276,K276),G276))</f>
        <v/>
      </c>
      <c r="P276" s="22">
        <f>IF(OR(N276="",O276=""),"",AVERAGE(N276,O276))</f>
        <v/>
      </c>
    </row>
    <row r="277">
      <c r="A277" s="15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1" t="n"/>
      <c r="G277" s="21" t="n"/>
      <c r="H277" s="21" t="n"/>
      <c r="I277">
        <f>IFERROR(INDEX(מלאי!$N$2:$N$500,MATCH(A277,מלאי!$D$2:$D$500,0)),"")</f>
        <v/>
      </c>
      <c r="J277" s="21" t="n"/>
      <c r="K277" s="21" t="n"/>
      <c r="L277" s="21" t="n"/>
      <c r="M277" s="15" t="n"/>
      <c r="N277" s="22">
        <f>IF(F277="","",IF(J277&lt;&gt;"",AVERAGE(F277,J277),F277))</f>
        <v/>
      </c>
      <c r="O277" s="22">
        <f>IF(G277="","",IF(K277&lt;&gt;"",AVERAGE(G277,K277),G277))</f>
        <v/>
      </c>
      <c r="P277" s="22">
        <f>IF(OR(N277="",O277=""),"",AVERAGE(N277,O277))</f>
        <v/>
      </c>
    </row>
    <row r="278">
      <c r="A278" s="15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1" t="n"/>
      <c r="G278" s="21" t="n"/>
      <c r="H278" s="21" t="n"/>
      <c r="I278">
        <f>IFERROR(INDEX(מלאי!$N$2:$N$500,MATCH(A278,מלאי!$D$2:$D$500,0)),"")</f>
        <v/>
      </c>
      <c r="J278" s="21" t="n"/>
      <c r="K278" s="21" t="n"/>
      <c r="L278" s="21" t="n"/>
      <c r="M278" s="15" t="n"/>
      <c r="N278" s="22">
        <f>IF(F278="","",IF(J278&lt;&gt;"",AVERAGE(F278,J278),F278))</f>
        <v/>
      </c>
      <c r="O278" s="22">
        <f>IF(G278="","",IF(K278&lt;&gt;"",AVERAGE(G278,K278),G278))</f>
        <v/>
      </c>
      <c r="P278" s="22">
        <f>IF(OR(N278="",O278=""),"",AVERAGE(N278,O278))</f>
        <v/>
      </c>
    </row>
    <row r="279">
      <c r="A279" s="15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1" t="n"/>
      <c r="G279" s="21" t="n"/>
      <c r="H279" s="21" t="n"/>
      <c r="I279">
        <f>IFERROR(INDEX(מלאי!$N$2:$N$500,MATCH(A279,מלאי!$D$2:$D$500,0)),"")</f>
        <v/>
      </c>
      <c r="J279" s="21" t="n"/>
      <c r="K279" s="21" t="n"/>
      <c r="L279" s="21" t="n"/>
      <c r="M279" s="15" t="n"/>
      <c r="N279" s="22">
        <f>IF(F279="","",IF(J279&lt;&gt;"",AVERAGE(F279,J279),F279))</f>
        <v/>
      </c>
      <c r="O279" s="22">
        <f>IF(G279="","",IF(K279&lt;&gt;"",AVERAGE(G279,K279),G279))</f>
        <v/>
      </c>
      <c r="P279" s="22">
        <f>IF(OR(N279="",O279=""),"",AVERAGE(N279,O279))</f>
        <v/>
      </c>
    </row>
    <row r="280">
      <c r="A280" s="15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1" t="n"/>
      <c r="G280" s="21" t="n"/>
      <c r="H280" s="21" t="n"/>
      <c r="I280">
        <f>IFERROR(INDEX(מלאי!$N$2:$N$500,MATCH(A280,מלאי!$D$2:$D$500,0)),"")</f>
        <v/>
      </c>
      <c r="J280" s="21" t="n"/>
      <c r="K280" s="21" t="n"/>
      <c r="L280" s="21" t="n"/>
      <c r="M280" s="15" t="n"/>
      <c r="N280" s="22">
        <f>IF(F280="","",IF(J280&lt;&gt;"",AVERAGE(F280,J280),F280))</f>
        <v/>
      </c>
      <c r="O280" s="22">
        <f>IF(G280="","",IF(K280&lt;&gt;"",AVERAGE(G280,K280),G280))</f>
        <v/>
      </c>
      <c r="P280" s="22">
        <f>IF(OR(N280="",O280=""),"",AVERAGE(N280,O280))</f>
        <v/>
      </c>
    </row>
    <row r="281">
      <c r="A281" s="15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1" t="n"/>
      <c r="G281" s="21" t="n"/>
      <c r="H281" s="21" t="n"/>
      <c r="I281">
        <f>IFERROR(INDEX(מלאי!$N$2:$N$500,MATCH(A281,מלאי!$D$2:$D$500,0)),"")</f>
        <v/>
      </c>
      <c r="J281" s="21" t="n"/>
      <c r="K281" s="21" t="n"/>
      <c r="L281" s="21" t="n"/>
      <c r="M281" s="15" t="n"/>
      <c r="N281" s="22">
        <f>IF(F281="","",IF(J281&lt;&gt;"",AVERAGE(F281,J281),F281))</f>
        <v/>
      </c>
      <c r="O281" s="22">
        <f>IF(G281="","",IF(K281&lt;&gt;"",AVERAGE(G281,K281),G281))</f>
        <v/>
      </c>
      <c r="P281" s="22">
        <f>IF(OR(N281="",O281=""),"",AVERAGE(N281,O281))</f>
        <v/>
      </c>
    </row>
    <row r="282">
      <c r="A282" s="15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1" t="n"/>
      <c r="G282" s="21" t="n"/>
      <c r="H282" s="21" t="n"/>
      <c r="I282">
        <f>IFERROR(INDEX(מלאי!$N$2:$N$500,MATCH(A282,מלאי!$D$2:$D$500,0)),"")</f>
        <v/>
      </c>
      <c r="J282" s="21" t="n"/>
      <c r="K282" s="21" t="n"/>
      <c r="L282" s="21" t="n"/>
      <c r="M282" s="15" t="n"/>
      <c r="N282" s="22">
        <f>IF(F282="","",IF(J282&lt;&gt;"",AVERAGE(F282,J282),F282))</f>
        <v/>
      </c>
      <c r="O282" s="22">
        <f>IF(G282="","",IF(K282&lt;&gt;"",AVERAGE(G282,K282),G282))</f>
        <v/>
      </c>
      <c r="P282" s="22">
        <f>IF(OR(N282="",O282=""),"",AVERAGE(N282,O282))</f>
        <v/>
      </c>
    </row>
    <row r="283">
      <c r="A283" s="15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1" t="n"/>
      <c r="G283" s="21" t="n"/>
      <c r="H283" s="21" t="n"/>
      <c r="I283">
        <f>IFERROR(INDEX(מלאי!$N$2:$N$500,MATCH(A283,מלאי!$D$2:$D$500,0)),"")</f>
        <v/>
      </c>
      <c r="J283" s="21" t="n"/>
      <c r="K283" s="21" t="n"/>
      <c r="L283" s="21" t="n"/>
      <c r="M283" s="15" t="n"/>
      <c r="N283" s="22">
        <f>IF(F283="","",IF(J283&lt;&gt;"",AVERAGE(F283,J283),F283))</f>
        <v/>
      </c>
      <c r="O283" s="22">
        <f>IF(G283="","",IF(K283&lt;&gt;"",AVERAGE(G283,K283),G283))</f>
        <v/>
      </c>
      <c r="P283" s="22">
        <f>IF(OR(N283="",O283=""),"",AVERAGE(N283,O283))</f>
        <v/>
      </c>
    </row>
    <row r="284">
      <c r="A284" s="15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1" t="n"/>
      <c r="G284" s="21" t="n"/>
      <c r="H284" s="21" t="n"/>
      <c r="I284">
        <f>IFERROR(INDEX(מלאי!$N$2:$N$500,MATCH(A284,מלאי!$D$2:$D$500,0)),"")</f>
        <v/>
      </c>
      <c r="J284" s="21" t="n"/>
      <c r="K284" s="21" t="n"/>
      <c r="L284" s="21" t="n"/>
      <c r="M284" s="15" t="n"/>
      <c r="N284" s="22">
        <f>IF(F284="","",IF(J284&lt;&gt;"",AVERAGE(F284,J284),F284))</f>
        <v/>
      </c>
      <c r="O284" s="22">
        <f>IF(G284="","",IF(K284&lt;&gt;"",AVERAGE(G284,K284),G284))</f>
        <v/>
      </c>
      <c r="P284" s="22">
        <f>IF(OR(N284="",O284=""),"",AVERAGE(N284,O284))</f>
        <v/>
      </c>
    </row>
    <row r="285">
      <c r="A285" s="15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1" t="n"/>
      <c r="G285" s="21" t="n"/>
      <c r="H285" s="21" t="n"/>
      <c r="I285">
        <f>IFERROR(INDEX(מלאי!$N$2:$N$500,MATCH(A285,מלאי!$D$2:$D$500,0)),"")</f>
        <v/>
      </c>
      <c r="J285" s="21" t="n"/>
      <c r="K285" s="21" t="n"/>
      <c r="L285" s="21" t="n"/>
      <c r="M285" s="15" t="n"/>
      <c r="N285" s="22">
        <f>IF(F285="","",IF(J285&lt;&gt;"",AVERAGE(F285,J285),F285))</f>
        <v/>
      </c>
      <c r="O285" s="22">
        <f>IF(G285="","",IF(K285&lt;&gt;"",AVERAGE(G285,K285),G285))</f>
        <v/>
      </c>
      <c r="P285" s="22">
        <f>IF(OR(N285="",O285=""),"",AVERAGE(N285,O285))</f>
        <v/>
      </c>
    </row>
    <row r="286">
      <c r="A286" s="15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1" t="n"/>
      <c r="G286" s="21" t="n"/>
      <c r="H286" s="21" t="n"/>
      <c r="I286">
        <f>IFERROR(INDEX(מלאי!$N$2:$N$500,MATCH(A286,מלאי!$D$2:$D$500,0)),"")</f>
        <v/>
      </c>
      <c r="J286" s="21" t="n"/>
      <c r="K286" s="21" t="n"/>
      <c r="L286" s="21" t="n"/>
      <c r="M286" s="15" t="n"/>
      <c r="N286" s="22">
        <f>IF(F286="","",IF(J286&lt;&gt;"",AVERAGE(F286,J286),F286))</f>
        <v/>
      </c>
      <c r="O286" s="22">
        <f>IF(G286="","",IF(K286&lt;&gt;"",AVERAGE(G286,K286),G286))</f>
        <v/>
      </c>
      <c r="P286" s="22">
        <f>IF(OR(N286="",O286=""),"",AVERAGE(N286,O286))</f>
        <v/>
      </c>
    </row>
    <row r="287">
      <c r="A287" s="15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1" t="n"/>
      <c r="G287" s="21" t="n"/>
      <c r="H287" s="21" t="n"/>
      <c r="I287">
        <f>IFERROR(INDEX(מלאי!$N$2:$N$500,MATCH(A287,מלאי!$D$2:$D$500,0)),"")</f>
        <v/>
      </c>
      <c r="J287" s="21" t="n"/>
      <c r="K287" s="21" t="n"/>
      <c r="L287" s="21" t="n"/>
      <c r="M287" s="15" t="n"/>
      <c r="N287" s="22">
        <f>IF(F287="","",IF(J287&lt;&gt;"",AVERAGE(F287,J287),F287))</f>
        <v/>
      </c>
      <c r="O287" s="22">
        <f>IF(G287="","",IF(K287&lt;&gt;"",AVERAGE(G287,K287),G287))</f>
        <v/>
      </c>
      <c r="P287" s="22">
        <f>IF(OR(N287="",O287=""),"",AVERAGE(N287,O287))</f>
        <v/>
      </c>
    </row>
    <row r="288">
      <c r="A288" s="15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1" t="n"/>
      <c r="G288" s="21" t="n"/>
      <c r="H288" s="21" t="n"/>
      <c r="I288">
        <f>IFERROR(INDEX(מלאי!$N$2:$N$500,MATCH(A288,מלאי!$D$2:$D$500,0)),"")</f>
        <v/>
      </c>
      <c r="J288" s="21" t="n"/>
      <c r="K288" s="21" t="n"/>
      <c r="L288" s="21" t="n"/>
      <c r="M288" s="15" t="n"/>
      <c r="N288" s="22">
        <f>IF(F288="","",IF(J288&lt;&gt;"",AVERAGE(F288,J288),F288))</f>
        <v/>
      </c>
      <c r="O288" s="22">
        <f>IF(G288="","",IF(K288&lt;&gt;"",AVERAGE(G288,K288),G288))</f>
        <v/>
      </c>
      <c r="P288" s="22">
        <f>IF(OR(N288="",O288=""),"",AVERAGE(N288,O288))</f>
        <v/>
      </c>
    </row>
    <row r="289">
      <c r="A289" s="15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1" t="n"/>
      <c r="G289" s="21" t="n"/>
      <c r="H289" s="21" t="n"/>
      <c r="I289">
        <f>IFERROR(INDEX(מלאי!$N$2:$N$500,MATCH(A289,מלאי!$D$2:$D$500,0)),"")</f>
        <v/>
      </c>
      <c r="J289" s="21" t="n"/>
      <c r="K289" s="21" t="n"/>
      <c r="L289" s="21" t="n"/>
      <c r="M289" s="15" t="n"/>
      <c r="N289" s="22">
        <f>IF(F289="","",IF(J289&lt;&gt;"",AVERAGE(F289,J289),F289))</f>
        <v/>
      </c>
      <c r="O289" s="22">
        <f>IF(G289="","",IF(K289&lt;&gt;"",AVERAGE(G289,K289),G289))</f>
        <v/>
      </c>
      <c r="P289" s="22">
        <f>IF(OR(N289="",O289=""),"",AVERAGE(N289,O289))</f>
        <v/>
      </c>
    </row>
    <row r="290">
      <c r="A290" s="15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1" t="n"/>
      <c r="G290" s="21" t="n"/>
      <c r="H290" s="21" t="n"/>
      <c r="I290">
        <f>IFERROR(INDEX(מלאי!$N$2:$N$500,MATCH(A290,מלאי!$D$2:$D$500,0)),"")</f>
        <v/>
      </c>
      <c r="J290" s="21" t="n"/>
      <c r="K290" s="21" t="n"/>
      <c r="L290" s="21" t="n"/>
      <c r="M290" s="15" t="n"/>
      <c r="N290" s="22">
        <f>IF(F290="","",IF(J290&lt;&gt;"",AVERAGE(F290,J290),F290))</f>
        <v/>
      </c>
      <c r="O290" s="22">
        <f>IF(G290="","",IF(K290&lt;&gt;"",AVERAGE(G290,K290),G290))</f>
        <v/>
      </c>
      <c r="P290" s="22">
        <f>IF(OR(N290="",O290=""),"",AVERAGE(N290,O290))</f>
        <v/>
      </c>
    </row>
    <row r="291">
      <c r="A291" s="15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1" t="n"/>
      <c r="G291" s="21" t="n"/>
      <c r="H291" s="21" t="n"/>
      <c r="I291">
        <f>IFERROR(INDEX(מלאי!$N$2:$N$500,MATCH(A291,מלאי!$D$2:$D$500,0)),"")</f>
        <v/>
      </c>
      <c r="J291" s="21" t="n"/>
      <c r="K291" s="21" t="n"/>
      <c r="L291" s="21" t="n"/>
      <c r="M291" s="15" t="n"/>
      <c r="N291" s="22">
        <f>IF(F291="","",IF(J291&lt;&gt;"",AVERAGE(F291,J291),F291))</f>
        <v/>
      </c>
      <c r="O291" s="22">
        <f>IF(G291="","",IF(K291&lt;&gt;"",AVERAGE(G291,K291),G291))</f>
        <v/>
      </c>
      <c r="P291" s="22">
        <f>IF(OR(N291="",O291=""),"",AVERAGE(N291,O291))</f>
        <v/>
      </c>
    </row>
    <row r="292">
      <c r="A292" s="15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1" t="n"/>
      <c r="G292" s="21" t="n"/>
      <c r="H292" s="21" t="n"/>
      <c r="I292">
        <f>IFERROR(INDEX(מלאי!$N$2:$N$500,MATCH(A292,מלאי!$D$2:$D$500,0)),"")</f>
        <v/>
      </c>
      <c r="J292" s="21" t="n"/>
      <c r="K292" s="21" t="n"/>
      <c r="L292" s="21" t="n"/>
      <c r="M292" s="15" t="n"/>
      <c r="N292" s="22">
        <f>IF(F292="","",IF(J292&lt;&gt;"",AVERAGE(F292,J292),F292))</f>
        <v/>
      </c>
      <c r="O292" s="22">
        <f>IF(G292="","",IF(K292&lt;&gt;"",AVERAGE(G292,K292),G292))</f>
        <v/>
      </c>
      <c r="P292" s="22">
        <f>IF(OR(N292="",O292=""),"",AVERAGE(N292,O292))</f>
        <v/>
      </c>
    </row>
    <row r="293">
      <c r="A293" s="15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1" t="n"/>
      <c r="G293" s="21" t="n"/>
      <c r="H293" s="21" t="n"/>
      <c r="I293">
        <f>IFERROR(INDEX(מלאי!$N$2:$N$500,MATCH(A293,מלאי!$D$2:$D$500,0)),"")</f>
        <v/>
      </c>
      <c r="J293" s="21" t="n"/>
      <c r="K293" s="21" t="n"/>
      <c r="L293" s="21" t="n"/>
      <c r="M293" s="15" t="n"/>
      <c r="N293" s="22">
        <f>IF(F293="","",IF(J293&lt;&gt;"",AVERAGE(F293,J293),F293))</f>
        <v/>
      </c>
      <c r="O293" s="22">
        <f>IF(G293="","",IF(K293&lt;&gt;"",AVERAGE(G293,K293),G293))</f>
        <v/>
      </c>
      <c r="P293" s="22">
        <f>IF(OR(N293="",O293=""),"",AVERAGE(N293,O293))</f>
        <v/>
      </c>
    </row>
    <row r="294">
      <c r="A294" s="15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1" t="n"/>
      <c r="G294" s="21" t="n"/>
      <c r="H294" s="21" t="n"/>
      <c r="I294">
        <f>IFERROR(INDEX(מלאי!$N$2:$N$500,MATCH(A294,מלאי!$D$2:$D$500,0)),"")</f>
        <v/>
      </c>
      <c r="J294" s="21" t="n"/>
      <c r="K294" s="21" t="n"/>
      <c r="L294" s="21" t="n"/>
      <c r="M294" s="15" t="n"/>
      <c r="N294" s="22">
        <f>IF(F294="","",IF(J294&lt;&gt;"",AVERAGE(F294,J294),F294))</f>
        <v/>
      </c>
      <c r="O294" s="22">
        <f>IF(G294="","",IF(K294&lt;&gt;"",AVERAGE(G294,K294),G294))</f>
        <v/>
      </c>
      <c r="P294" s="22">
        <f>IF(OR(N294="",O294=""),"",AVERAGE(N294,O294))</f>
        <v/>
      </c>
    </row>
    <row r="295">
      <c r="A295" s="15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1" t="n"/>
      <c r="G295" s="21" t="n"/>
      <c r="H295" s="21" t="n"/>
      <c r="I295">
        <f>IFERROR(INDEX(מלאי!$N$2:$N$500,MATCH(A295,מלאי!$D$2:$D$500,0)),"")</f>
        <v/>
      </c>
      <c r="J295" s="21" t="n"/>
      <c r="K295" s="21" t="n"/>
      <c r="L295" s="21" t="n"/>
      <c r="M295" s="15" t="n"/>
      <c r="N295" s="22">
        <f>IF(F295="","",IF(J295&lt;&gt;"",AVERAGE(F295,J295),F295))</f>
        <v/>
      </c>
      <c r="O295" s="22">
        <f>IF(G295="","",IF(K295&lt;&gt;"",AVERAGE(G295,K295),G295))</f>
        <v/>
      </c>
      <c r="P295" s="22">
        <f>IF(OR(N295="",O295=""),"",AVERAGE(N295,O295))</f>
        <v/>
      </c>
    </row>
    <row r="296">
      <c r="A296" s="15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1" t="n"/>
      <c r="G296" s="21" t="n"/>
      <c r="H296" s="21" t="n"/>
      <c r="I296">
        <f>IFERROR(INDEX(מלאי!$N$2:$N$500,MATCH(A296,מלאי!$D$2:$D$500,0)),"")</f>
        <v/>
      </c>
      <c r="J296" s="21" t="n"/>
      <c r="K296" s="21" t="n"/>
      <c r="L296" s="21" t="n"/>
      <c r="M296" s="15" t="n"/>
      <c r="N296" s="22">
        <f>IF(F296="","",IF(J296&lt;&gt;"",AVERAGE(F296,J296),F296))</f>
        <v/>
      </c>
      <c r="O296" s="22">
        <f>IF(G296="","",IF(K296&lt;&gt;"",AVERAGE(G296,K296),G296))</f>
        <v/>
      </c>
      <c r="P296" s="22">
        <f>IF(OR(N296="",O296=""),"",AVERAGE(N296,O296))</f>
        <v/>
      </c>
    </row>
    <row r="297">
      <c r="A297" s="15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1" t="n"/>
      <c r="G297" s="21" t="n"/>
      <c r="H297" s="21" t="n"/>
      <c r="I297">
        <f>IFERROR(INDEX(מלאי!$N$2:$N$500,MATCH(A297,מלאי!$D$2:$D$500,0)),"")</f>
        <v/>
      </c>
      <c r="J297" s="21" t="n"/>
      <c r="K297" s="21" t="n"/>
      <c r="L297" s="21" t="n"/>
      <c r="M297" s="15" t="n"/>
      <c r="N297" s="22">
        <f>IF(F297="","",IF(J297&lt;&gt;"",AVERAGE(F297,J297),F297))</f>
        <v/>
      </c>
      <c r="O297" s="22">
        <f>IF(G297="","",IF(K297&lt;&gt;"",AVERAGE(G297,K297),G297))</f>
        <v/>
      </c>
      <c r="P297" s="22">
        <f>IF(OR(N297="",O297=""),"",AVERAGE(N297,O297))</f>
        <v/>
      </c>
    </row>
    <row r="298">
      <c r="A298" s="15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1" t="n"/>
      <c r="G298" s="21" t="n"/>
      <c r="H298" s="21" t="n"/>
      <c r="I298">
        <f>IFERROR(INDEX(מלאי!$N$2:$N$500,MATCH(A298,מלאי!$D$2:$D$500,0)),"")</f>
        <v/>
      </c>
      <c r="J298" s="21" t="n"/>
      <c r="K298" s="21" t="n"/>
      <c r="L298" s="21" t="n"/>
      <c r="M298" s="15" t="n"/>
      <c r="N298" s="22">
        <f>IF(F298="","",IF(J298&lt;&gt;"",AVERAGE(F298,J298),F298))</f>
        <v/>
      </c>
      <c r="O298" s="22">
        <f>IF(G298="","",IF(K298&lt;&gt;"",AVERAGE(G298,K298),G298))</f>
        <v/>
      </c>
      <c r="P298" s="22">
        <f>IF(OR(N298="",O298=""),"",AVERAGE(N298,O298))</f>
        <v/>
      </c>
    </row>
    <row r="299">
      <c r="A299" s="15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1" t="n"/>
      <c r="G299" s="21" t="n"/>
      <c r="H299" s="21" t="n"/>
      <c r="I299">
        <f>IFERROR(INDEX(מלאי!$N$2:$N$500,MATCH(A299,מלאי!$D$2:$D$500,0)),"")</f>
        <v/>
      </c>
      <c r="J299" s="21" t="n"/>
      <c r="K299" s="21" t="n"/>
      <c r="L299" s="21" t="n"/>
      <c r="M299" s="15" t="n"/>
      <c r="N299" s="22">
        <f>IF(F299="","",IF(J299&lt;&gt;"",AVERAGE(F299,J299),F299))</f>
        <v/>
      </c>
      <c r="O299" s="22">
        <f>IF(G299="","",IF(K299&lt;&gt;"",AVERAGE(G299,K299),G299))</f>
        <v/>
      </c>
      <c r="P299" s="22">
        <f>IF(OR(N299="",O299=""),"",AVERAGE(N299,O299))</f>
        <v/>
      </c>
    </row>
    <row r="300">
      <c r="A300" s="15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1" t="n"/>
      <c r="G300" s="21" t="n"/>
      <c r="H300" s="21" t="n"/>
      <c r="I300">
        <f>IFERROR(INDEX(מלאי!$N$2:$N$500,MATCH(A300,מלאי!$D$2:$D$500,0)),"")</f>
        <v/>
      </c>
      <c r="J300" s="21" t="n"/>
      <c r="K300" s="21" t="n"/>
      <c r="L300" s="21" t="n"/>
      <c r="M300" s="15" t="n"/>
      <c r="N300" s="22">
        <f>IF(F300="","",IF(J300&lt;&gt;"",AVERAGE(F300,J300),F300))</f>
        <v/>
      </c>
      <c r="O300" s="22">
        <f>IF(G300="","",IF(K300&lt;&gt;"",AVERAGE(G300,K300),G300))</f>
        <v/>
      </c>
      <c r="P300" s="22">
        <f>IF(OR(N300="",O300=""),"",AVERAGE(N300,O300))</f>
        <v/>
      </c>
    </row>
    <row r="301">
      <c r="A301" s="15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1" t="n"/>
      <c r="G301" s="21" t="n"/>
      <c r="H301" s="21" t="n"/>
      <c r="I301">
        <f>IFERROR(INDEX(מלאי!$N$2:$N$500,MATCH(A301,מלאי!$D$2:$D$500,0)),"")</f>
        <v/>
      </c>
      <c r="J301" s="21" t="n"/>
      <c r="K301" s="21" t="n"/>
      <c r="L301" s="21" t="n"/>
      <c r="M301" s="15" t="n"/>
      <c r="N301" s="22">
        <f>IF(F301="","",IF(J301&lt;&gt;"",AVERAGE(F301,J301),F301))</f>
        <v/>
      </c>
      <c r="O301" s="22">
        <f>IF(G301="","",IF(K301&lt;&gt;"",AVERAGE(G301,K301),G301))</f>
        <v/>
      </c>
      <c r="P301" s="22">
        <f>IF(OR(N301="",O301=""),"",AVERAGE(N301,O301))</f>
        <v/>
      </c>
    </row>
    <row r="302">
      <c r="A302" s="15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1" t="n"/>
      <c r="G302" s="21" t="n"/>
      <c r="H302" s="21" t="n"/>
      <c r="I302">
        <f>IFERROR(INDEX(מלאי!$N$2:$N$500,MATCH(A302,מלאי!$D$2:$D$500,0)),"")</f>
        <v/>
      </c>
      <c r="J302" s="21" t="n"/>
      <c r="K302" s="21" t="n"/>
      <c r="L302" s="21" t="n"/>
      <c r="M302" s="15" t="n"/>
      <c r="N302" s="22">
        <f>IF(F302="","",IF(J302&lt;&gt;"",AVERAGE(F302,J302),F302))</f>
        <v/>
      </c>
      <c r="O302" s="22">
        <f>IF(G302="","",IF(K302&lt;&gt;"",AVERAGE(G302,K302),G302))</f>
        <v/>
      </c>
      <c r="P302" s="22">
        <f>IF(OR(N302="",O302=""),"",AVERAGE(N302,O302))</f>
        <v/>
      </c>
    </row>
    <row r="303">
      <c r="A303" s="15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1" t="n"/>
      <c r="G303" s="21" t="n"/>
      <c r="H303" s="21" t="n"/>
      <c r="I303">
        <f>IFERROR(INDEX(מלאי!$N$2:$N$500,MATCH(A303,מלאי!$D$2:$D$500,0)),"")</f>
        <v/>
      </c>
      <c r="J303" s="21" t="n"/>
      <c r="K303" s="21" t="n"/>
      <c r="L303" s="21" t="n"/>
      <c r="M303" s="15" t="n"/>
      <c r="N303" s="22">
        <f>IF(F303="","",IF(J303&lt;&gt;"",AVERAGE(F303,J303),F303))</f>
        <v/>
      </c>
      <c r="O303" s="22">
        <f>IF(G303="","",IF(K303&lt;&gt;"",AVERAGE(G303,K303),G303))</f>
        <v/>
      </c>
      <c r="P303" s="22">
        <f>IF(OR(N303="",O303=""),"",AVERAGE(N303,O303))</f>
        <v/>
      </c>
    </row>
    <row r="304">
      <c r="A304" s="15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1" t="n"/>
      <c r="G304" s="21" t="n"/>
      <c r="H304" s="21" t="n"/>
      <c r="I304">
        <f>IFERROR(INDEX(מלאי!$N$2:$N$500,MATCH(A304,מלאי!$D$2:$D$500,0)),"")</f>
        <v/>
      </c>
      <c r="J304" s="21" t="n"/>
      <c r="K304" s="21" t="n"/>
      <c r="L304" s="21" t="n"/>
      <c r="M304" s="15" t="n"/>
      <c r="N304" s="22">
        <f>IF(F304="","",IF(J304&lt;&gt;"",AVERAGE(F304,J304),F304))</f>
        <v/>
      </c>
      <c r="O304" s="22">
        <f>IF(G304="","",IF(K304&lt;&gt;"",AVERAGE(G304,K304),G304))</f>
        <v/>
      </c>
      <c r="P304" s="22">
        <f>IF(OR(N304="",O304=""),"",AVERAGE(N304,O304))</f>
        <v/>
      </c>
    </row>
    <row r="305">
      <c r="A305" s="15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1" t="n"/>
      <c r="G305" s="21" t="n"/>
      <c r="H305" s="21" t="n"/>
      <c r="I305">
        <f>IFERROR(INDEX(מלאי!$N$2:$N$500,MATCH(A305,מלאי!$D$2:$D$500,0)),"")</f>
        <v/>
      </c>
      <c r="J305" s="21" t="n"/>
      <c r="K305" s="21" t="n"/>
      <c r="L305" s="21" t="n"/>
      <c r="M305" s="15" t="n"/>
      <c r="N305" s="22">
        <f>IF(F305="","",IF(J305&lt;&gt;"",AVERAGE(F305,J305),F305))</f>
        <v/>
      </c>
      <c r="O305" s="22">
        <f>IF(G305="","",IF(K305&lt;&gt;"",AVERAGE(G305,K305),G305))</f>
        <v/>
      </c>
      <c r="P305" s="22">
        <f>IF(OR(N305="",O305=""),"",AVERAGE(N305,O305))</f>
        <v/>
      </c>
    </row>
    <row r="306">
      <c r="A306" s="15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1" t="n"/>
      <c r="G306" s="21" t="n"/>
      <c r="H306" s="21" t="n"/>
      <c r="I306">
        <f>IFERROR(INDEX(מלאי!$N$2:$N$500,MATCH(A306,מלאי!$D$2:$D$500,0)),"")</f>
        <v/>
      </c>
      <c r="J306" s="21" t="n"/>
      <c r="K306" s="21" t="n"/>
      <c r="L306" s="21" t="n"/>
      <c r="M306" s="15" t="n"/>
      <c r="N306" s="22">
        <f>IF(F306="","",IF(J306&lt;&gt;"",AVERAGE(F306,J306),F306))</f>
        <v/>
      </c>
      <c r="O306" s="22">
        <f>IF(G306="","",IF(K306&lt;&gt;"",AVERAGE(G306,K306),G306))</f>
        <v/>
      </c>
      <c r="P306" s="22">
        <f>IF(OR(N306="",O306=""),"",AVERAGE(N306,O306))</f>
        <v/>
      </c>
    </row>
    <row r="307">
      <c r="A307" s="15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1" t="n"/>
      <c r="G307" s="21" t="n"/>
      <c r="H307" s="21" t="n"/>
      <c r="I307">
        <f>IFERROR(INDEX(מלאי!$N$2:$N$500,MATCH(A307,מלאי!$D$2:$D$500,0)),"")</f>
        <v/>
      </c>
      <c r="J307" s="21" t="n"/>
      <c r="K307" s="21" t="n"/>
      <c r="L307" s="21" t="n"/>
      <c r="M307" s="15" t="n"/>
      <c r="N307" s="22">
        <f>IF(F307="","",IF(J307&lt;&gt;"",AVERAGE(F307,J307),F307))</f>
        <v/>
      </c>
      <c r="O307" s="22">
        <f>IF(G307="","",IF(K307&lt;&gt;"",AVERAGE(G307,K307),G307))</f>
        <v/>
      </c>
      <c r="P307" s="22">
        <f>IF(OR(N307="",O307=""),"",AVERAGE(N307,O307))</f>
        <v/>
      </c>
    </row>
    <row r="308">
      <c r="A308" s="15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1" t="n"/>
      <c r="G308" s="21" t="n"/>
      <c r="H308" s="21" t="n"/>
      <c r="I308">
        <f>IFERROR(INDEX(מלאי!$N$2:$N$500,MATCH(A308,מלאי!$D$2:$D$500,0)),"")</f>
        <v/>
      </c>
      <c r="J308" s="21" t="n"/>
      <c r="K308" s="21" t="n"/>
      <c r="L308" s="21" t="n"/>
      <c r="M308" s="15" t="n"/>
      <c r="N308" s="22">
        <f>IF(F308="","",IF(J308&lt;&gt;"",AVERAGE(F308,J308),F308))</f>
        <v/>
      </c>
      <c r="O308" s="22">
        <f>IF(G308="","",IF(K308&lt;&gt;"",AVERAGE(G308,K308),G308))</f>
        <v/>
      </c>
      <c r="P308" s="22">
        <f>IF(OR(N308="",O308=""),"",AVERAGE(N308,O308))</f>
        <v/>
      </c>
    </row>
    <row r="309">
      <c r="A309" s="15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1" t="n"/>
      <c r="G309" s="21" t="n"/>
      <c r="H309" s="21" t="n"/>
      <c r="I309">
        <f>IFERROR(INDEX(מלאי!$N$2:$N$500,MATCH(A309,מלאי!$D$2:$D$500,0)),"")</f>
        <v/>
      </c>
      <c r="J309" s="21" t="n"/>
      <c r="K309" s="21" t="n"/>
      <c r="L309" s="21" t="n"/>
      <c r="M309" s="15" t="n"/>
      <c r="N309" s="22">
        <f>IF(F309="","",IF(J309&lt;&gt;"",AVERAGE(F309,J309),F309))</f>
        <v/>
      </c>
      <c r="O309" s="22">
        <f>IF(G309="","",IF(K309&lt;&gt;"",AVERAGE(G309,K309),G309))</f>
        <v/>
      </c>
      <c r="P309" s="22">
        <f>IF(OR(N309="",O309=""),"",AVERAGE(N309,O309))</f>
        <v/>
      </c>
    </row>
    <row r="310">
      <c r="A310" s="15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1" t="n"/>
      <c r="G310" s="21" t="n"/>
      <c r="H310" s="21" t="n"/>
      <c r="I310">
        <f>IFERROR(INDEX(מלאי!$N$2:$N$500,MATCH(A310,מלאי!$D$2:$D$500,0)),"")</f>
        <v/>
      </c>
      <c r="J310" s="21" t="n"/>
      <c r="K310" s="21" t="n"/>
      <c r="L310" s="21" t="n"/>
      <c r="M310" s="15" t="n"/>
      <c r="N310" s="22">
        <f>IF(F310="","",IF(J310&lt;&gt;"",AVERAGE(F310,J310),F310))</f>
        <v/>
      </c>
      <c r="O310" s="22">
        <f>IF(G310="","",IF(K310&lt;&gt;"",AVERAGE(G310,K310),G310))</f>
        <v/>
      </c>
      <c r="P310" s="22">
        <f>IF(OR(N310="",O310=""),"",AVERAGE(N310,O310))</f>
        <v/>
      </c>
    </row>
    <row r="311">
      <c r="A311" s="15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1" t="n"/>
      <c r="G311" s="21" t="n"/>
      <c r="H311" s="21" t="n"/>
      <c r="I311">
        <f>IFERROR(INDEX(מלאי!$N$2:$N$500,MATCH(A311,מלאי!$D$2:$D$500,0)),"")</f>
        <v/>
      </c>
      <c r="J311" s="21" t="n"/>
      <c r="K311" s="21" t="n"/>
      <c r="L311" s="21" t="n"/>
      <c r="M311" s="15" t="n"/>
      <c r="N311" s="22">
        <f>IF(F311="","",IF(J311&lt;&gt;"",AVERAGE(F311,J311),F311))</f>
        <v/>
      </c>
      <c r="O311" s="22">
        <f>IF(G311="","",IF(K311&lt;&gt;"",AVERAGE(G311,K311),G311))</f>
        <v/>
      </c>
      <c r="P311" s="22">
        <f>IF(OR(N311="",O311=""),"",AVERAGE(N311,O311))</f>
        <v/>
      </c>
    </row>
    <row r="312">
      <c r="A312" s="15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1" t="n"/>
      <c r="G312" s="21" t="n"/>
      <c r="H312" s="21" t="n"/>
      <c r="I312">
        <f>IFERROR(INDEX(מלאי!$N$2:$N$500,MATCH(A312,מלאי!$D$2:$D$500,0)),"")</f>
        <v/>
      </c>
      <c r="J312" s="21" t="n"/>
      <c r="K312" s="21" t="n"/>
      <c r="L312" s="21" t="n"/>
      <c r="M312" s="15" t="n"/>
      <c r="N312" s="22">
        <f>IF(F312="","",IF(J312&lt;&gt;"",AVERAGE(F312,J312),F312))</f>
        <v/>
      </c>
      <c r="O312" s="22">
        <f>IF(G312="","",IF(K312&lt;&gt;"",AVERAGE(G312,K312),G312))</f>
        <v/>
      </c>
      <c r="P312" s="22">
        <f>IF(OR(N312="",O312=""),"",AVERAGE(N312,O312))</f>
        <v/>
      </c>
    </row>
    <row r="313">
      <c r="A313" s="15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1" t="n"/>
      <c r="G313" s="21" t="n"/>
      <c r="H313" s="21" t="n"/>
      <c r="I313">
        <f>IFERROR(INDEX(מלאי!$N$2:$N$500,MATCH(A313,מלאי!$D$2:$D$500,0)),"")</f>
        <v/>
      </c>
      <c r="J313" s="21" t="n"/>
      <c r="K313" s="21" t="n"/>
      <c r="L313" s="21" t="n"/>
      <c r="M313" s="15" t="n"/>
      <c r="N313" s="22">
        <f>IF(F313="","",IF(J313&lt;&gt;"",AVERAGE(F313,J313),F313))</f>
        <v/>
      </c>
      <c r="O313" s="22">
        <f>IF(G313="","",IF(K313&lt;&gt;"",AVERAGE(G313,K313),G313))</f>
        <v/>
      </c>
      <c r="P313" s="22">
        <f>IF(OR(N313="",O313=""),"",AVERAGE(N313,O313))</f>
        <v/>
      </c>
    </row>
    <row r="314">
      <c r="A314" s="15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1" t="n"/>
      <c r="G314" s="21" t="n"/>
      <c r="H314" s="21" t="n"/>
      <c r="I314">
        <f>IFERROR(INDEX(מלאי!$N$2:$N$500,MATCH(A314,מלאי!$D$2:$D$500,0)),"")</f>
        <v/>
      </c>
      <c r="J314" s="21" t="n"/>
      <c r="K314" s="21" t="n"/>
      <c r="L314" s="21" t="n"/>
      <c r="M314" s="15" t="n"/>
      <c r="N314" s="22">
        <f>IF(F314="","",IF(J314&lt;&gt;"",AVERAGE(F314,J314),F314))</f>
        <v/>
      </c>
      <c r="O314" s="22">
        <f>IF(G314="","",IF(K314&lt;&gt;"",AVERAGE(G314,K314),G314))</f>
        <v/>
      </c>
      <c r="P314" s="22">
        <f>IF(OR(N314="",O314=""),"",AVERAGE(N314,O314))</f>
        <v/>
      </c>
    </row>
    <row r="315">
      <c r="A315" s="15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1" t="n"/>
      <c r="G315" s="21" t="n"/>
      <c r="H315" s="21" t="n"/>
      <c r="I315">
        <f>IFERROR(INDEX(מלאי!$N$2:$N$500,MATCH(A315,מלאי!$D$2:$D$500,0)),"")</f>
        <v/>
      </c>
      <c r="J315" s="21" t="n"/>
      <c r="K315" s="21" t="n"/>
      <c r="L315" s="21" t="n"/>
      <c r="M315" s="15" t="n"/>
      <c r="N315" s="22">
        <f>IF(F315="","",IF(J315&lt;&gt;"",AVERAGE(F315,J315),F315))</f>
        <v/>
      </c>
      <c r="O315" s="22">
        <f>IF(G315="","",IF(K315&lt;&gt;"",AVERAGE(G315,K315),G315))</f>
        <v/>
      </c>
      <c r="P315" s="22">
        <f>IF(OR(N315="",O315=""),"",AVERAGE(N315,O315))</f>
        <v/>
      </c>
    </row>
    <row r="316">
      <c r="A316" s="15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1" t="n"/>
      <c r="G316" s="21" t="n"/>
      <c r="H316" s="21" t="n"/>
      <c r="I316">
        <f>IFERROR(INDEX(מלאי!$N$2:$N$500,MATCH(A316,מלאי!$D$2:$D$500,0)),"")</f>
        <v/>
      </c>
      <c r="J316" s="21" t="n"/>
      <c r="K316" s="21" t="n"/>
      <c r="L316" s="21" t="n"/>
      <c r="M316" s="15" t="n"/>
      <c r="N316" s="22">
        <f>IF(F316="","",IF(J316&lt;&gt;"",AVERAGE(F316,J316),F316))</f>
        <v/>
      </c>
      <c r="O316" s="22">
        <f>IF(G316="","",IF(K316&lt;&gt;"",AVERAGE(G316,K316),G316))</f>
        <v/>
      </c>
      <c r="P316" s="22">
        <f>IF(OR(N316="",O316=""),"",AVERAGE(N316,O316))</f>
        <v/>
      </c>
    </row>
    <row r="317">
      <c r="A317" s="15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1" t="n"/>
      <c r="G317" s="21" t="n"/>
      <c r="H317" s="21" t="n"/>
      <c r="I317">
        <f>IFERROR(INDEX(מלאי!$N$2:$N$500,MATCH(A317,מלאי!$D$2:$D$500,0)),"")</f>
        <v/>
      </c>
      <c r="J317" s="21" t="n"/>
      <c r="K317" s="21" t="n"/>
      <c r="L317" s="21" t="n"/>
      <c r="M317" s="15" t="n"/>
      <c r="N317" s="22">
        <f>IF(F317="","",IF(J317&lt;&gt;"",AVERAGE(F317,J317),F317))</f>
        <v/>
      </c>
      <c r="O317" s="22">
        <f>IF(G317="","",IF(K317&lt;&gt;"",AVERAGE(G317,K317),G317))</f>
        <v/>
      </c>
      <c r="P317" s="22">
        <f>IF(OR(N317="",O317=""),"",AVERAGE(N317,O317))</f>
        <v/>
      </c>
    </row>
    <row r="318">
      <c r="A318" s="15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1" t="n"/>
      <c r="G318" s="21" t="n"/>
      <c r="H318" s="21" t="n"/>
      <c r="I318">
        <f>IFERROR(INDEX(מלאי!$N$2:$N$500,MATCH(A318,מלאי!$D$2:$D$500,0)),"")</f>
        <v/>
      </c>
      <c r="J318" s="21" t="n"/>
      <c r="K318" s="21" t="n"/>
      <c r="L318" s="21" t="n"/>
      <c r="M318" s="15" t="n"/>
      <c r="N318" s="22">
        <f>IF(F318="","",IF(J318&lt;&gt;"",AVERAGE(F318,J318),F318))</f>
        <v/>
      </c>
      <c r="O318" s="22">
        <f>IF(G318="","",IF(K318&lt;&gt;"",AVERAGE(G318,K318),G318))</f>
        <v/>
      </c>
      <c r="P318" s="22">
        <f>IF(OR(N318="",O318=""),"",AVERAGE(N318,O318))</f>
        <v/>
      </c>
    </row>
    <row r="319">
      <c r="A319" s="15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1" t="n"/>
      <c r="G319" s="21" t="n"/>
      <c r="H319" s="21" t="n"/>
      <c r="I319">
        <f>IFERROR(INDEX(מלאי!$N$2:$N$500,MATCH(A319,מלאי!$D$2:$D$500,0)),"")</f>
        <v/>
      </c>
      <c r="J319" s="21" t="n"/>
      <c r="K319" s="21" t="n"/>
      <c r="L319" s="21" t="n"/>
      <c r="M319" s="15" t="n"/>
      <c r="N319" s="22">
        <f>IF(F319="","",IF(J319&lt;&gt;"",AVERAGE(F319,J319),F319))</f>
        <v/>
      </c>
      <c r="O319" s="22">
        <f>IF(G319="","",IF(K319&lt;&gt;"",AVERAGE(G319,K319),G319))</f>
        <v/>
      </c>
      <c r="P319" s="22">
        <f>IF(OR(N319="",O319=""),"",AVERAGE(N319,O319))</f>
        <v/>
      </c>
    </row>
    <row r="320">
      <c r="A320" s="15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1" t="n"/>
      <c r="G320" s="21" t="n"/>
      <c r="H320" s="21" t="n"/>
      <c r="I320">
        <f>IFERROR(INDEX(מלאי!$N$2:$N$500,MATCH(A320,מלאי!$D$2:$D$500,0)),"")</f>
        <v/>
      </c>
      <c r="J320" s="21" t="n"/>
      <c r="K320" s="21" t="n"/>
      <c r="L320" s="21" t="n"/>
      <c r="M320" s="15" t="n"/>
      <c r="N320" s="22">
        <f>IF(F320="","",IF(J320&lt;&gt;"",AVERAGE(F320,J320),F320))</f>
        <v/>
      </c>
      <c r="O320" s="22">
        <f>IF(G320="","",IF(K320&lt;&gt;"",AVERAGE(G320,K320),G320))</f>
        <v/>
      </c>
      <c r="P320" s="22">
        <f>IF(OR(N320="",O320=""),"",AVERAGE(N320,O320))</f>
        <v/>
      </c>
    </row>
    <row r="321">
      <c r="A321" s="15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1" t="n"/>
      <c r="G321" s="21" t="n"/>
      <c r="H321" s="21" t="n"/>
      <c r="I321">
        <f>IFERROR(INDEX(מלאי!$N$2:$N$500,MATCH(A321,מלאי!$D$2:$D$500,0)),"")</f>
        <v/>
      </c>
      <c r="J321" s="21" t="n"/>
      <c r="K321" s="21" t="n"/>
      <c r="L321" s="21" t="n"/>
      <c r="M321" s="15" t="n"/>
      <c r="N321" s="22">
        <f>IF(F321="","",IF(J321&lt;&gt;"",AVERAGE(F321,J321),F321))</f>
        <v/>
      </c>
      <c r="O321" s="22">
        <f>IF(G321="","",IF(K321&lt;&gt;"",AVERAGE(G321,K321),G321))</f>
        <v/>
      </c>
      <c r="P321" s="22">
        <f>IF(OR(N321="",O321=""),"",AVERAGE(N321,O321))</f>
        <v/>
      </c>
    </row>
    <row r="322">
      <c r="A322" s="15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1" t="n"/>
      <c r="G322" s="21" t="n"/>
      <c r="H322" s="21" t="n"/>
      <c r="I322">
        <f>IFERROR(INDEX(מלאי!$N$2:$N$500,MATCH(A322,מלאי!$D$2:$D$500,0)),"")</f>
        <v/>
      </c>
      <c r="J322" s="21" t="n"/>
      <c r="K322" s="21" t="n"/>
      <c r="L322" s="21" t="n"/>
      <c r="M322" s="15" t="n"/>
      <c r="N322" s="22">
        <f>IF(F322="","",IF(J322&lt;&gt;"",AVERAGE(F322,J322),F322))</f>
        <v/>
      </c>
      <c r="O322" s="22">
        <f>IF(G322="","",IF(K322&lt;&gt;"",AVERAGE(G322,K322),G322))</f>
        <v/>
      </c>
      <c r="P322" s="22">
        <f>IF(OR(N322="",O322=""),"",AVERAGE(N322,O322))</f>
        <v/>
      </c>
    </row>
    <row r="323">
      <c r="A323" s="15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1" t="n"/>
      <c r="G323" s="21" t="n"/>
      <c r="H323" s="21" t="n"/>
      <c r="I323">
        <f>IFERROR(INDEX(מלאי!$N$2:$N$500,MATCH(A323,מלאי!$D$2:$D$500,0)),"")</f>
        <v/>
      </c>
      <c r="J323" s="21" t="n"/>
      <c r="K323" s="21" t="n"/>
      <c r="L323" s="21" t="n"/>
      <c r="M323" s="15" t="n"/>
      <c r="N323" s="22">
        <f>IF(F323="","",IF(J323&lt;&gt;"",AVERAGE(F323,J323),F323))</f>
        <v/>
      </c>
      <c r="O323" s="22">
        <f>IF(G323="","",IF(K323&lt;&gt;"",AVERAGE(G323,K323),G323))</f>
        <v/>
      </c>
      <c r="P323" s="22">
        <f>IF(OR(N323="",O323=""),"",AVERAGE(N323,O323))</f>
        <v/>
      </c>
    </row>
    <row r="324">
      <c r="A324" s="15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1" t="n"/>
      <c r="G324" s="21" t="n"/>
      <c r="H324" s="21" t="n"/>
      <c r="I324">
        <f>IFERROR(INDEX(מלאי!$N$2:$N$500,MATCH(A324,מלאי!$D$2:$D$500,0)),"")</f>
        <v/>
      </c>
      <c r="J324" s="21" t="n"/>
      <c r="K324" s="21" t="n"/>
      <c r="L324" s="21" t="n"/>
      <c r="M324" s="15" t="n"/>
      <c r="N324" s="22">
        <f>IF(F324="","",IF(J324&lt;&gt;"",AVERAGE(F324,J324),F324))</f>
        <v/>
      </c>
      <c r="O324" s="22">
        <f>IF(G324="","",IF(K324&lt;&gt;"",AVERAGE(G324,K324),G324))</f>
        <v/>
      </c>
      <c r="P324" s="22">
        <f>IF(OR(N324="",O324=""),"",AVERAGE(N324,O324))</f>
        <v/>
      </c>
    </row>
    <row r="325">
      <c r="A325" s="15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1" t="n"/>
      <c r="G325" s="21" t="n"/>
      <c r="H325" s="21" t="n"/>
      <c r="I325">
        <f>IFERROR(INDEX(מלאי!$N$2:$N$500,MATCH(A325,מלאי!$D$2:$D$500,0)),"")</f>
        <v/>
      </c>
      <c r="J325" s="21" t="n"/>
      <c r="K325" s="21" t="n"/>
      <c r="L325" s="21" t="n"/>
      <c r="M325" s="15" t="n"/>
      <c r="N325" s="22">
        <f>IF(F325="","",IF(J325&lt;&gt;"",AVERAGE(F325,J325),F325))</f>
        <v/>
      </c>
      <c r="O325" s="22">
        <f>IF(G325="","",IF(K325&lt;&gt;"",AVERAGE(G325,K325),G325))</f>
        <v/>
      </c>
      <c r="P325" s="22">
        <f>IF(OR(N325="",O325=""),"",AVERAGE(N325,O325))</f>
        <v/>
      </c>
    </row>
    <row r="326">
      <c r="A326" s="15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1" t="n"/>
      <c r="G326" s="21" t="n"/>
      <c r="H326" s="21" t="n"/>
      <c r="I326">
        <f>IFERROR(INDEX(מלאי!$N$2:$N$500,MATCH(A326,מלאי!$D$2:$D$500,0)),"")</f>
        <v/>
      </c>
      <c r="J326" s="21" t="n"/>
      <c r="K326" s="21" t="n"/>
      <c r="L326" s="21" t="n"/>
      <c r="M326" s="15" t="n"/>
      <c r="N326" s="22">
        <f>IF(F326="","",IF(J326&lt;&gt;"",AVERAGE(F326,J326),F326))</f>
        <v/>
      </c>
      <c r="O326" s="22">
        <f>IF(G326="","",IF(K326&lt;&gt;"",AVERAGE(G326,K326),G326))</f>
        <v/>
      </c>
      <c r="P326" s="22">
        <f>IF(OR(N326="",O326=""),"",AVERAGE(N326,O326))</f>
        <v/>
      </c>
    </row>
    <row r="327">
      <c r="A327" s="15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1" t="n"/>
      <c r="G327" s="21" t="n"/>
      <c r="H327" s="21" t="n"/>
      <c r="I327">
        <f>IFERROR(INDEX(מלאי!$N$2:$N$500,MATCH(A327,מלאי!$D$2:$D$500,0)),"")</f>
        <v/>
      </c>
      <c r="J327" s="21" t="n"/>
      <c r="K327" s="21" t="n"/>
      <c r="L327" s="21" t="n"/>
      <c r="M327" s="15" t="n"/>
      <c r="N327" s="22">
        <f>IF(F327="","",IF(J327&lt;&gt;"",AVERAGE(F327,J327),F327))</f>
        <v/>
      </c>
      <c r="O327" s="22">
        <f>IF(G327="","",IF(K327&lt;&gt;"",AVERAGE(G327,K327),G327))</f>
        <v/>
      </c>
      <c r="P327" s="22">
        <f>IF(OR(N327="",O327=""),"",AVERAGE(N327,O327))</f>
        <v/>
      </c>
    </row>
    <row r="328">
      <c r="A328" s="15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1" t="n"/>
      <c r="G328" s="21" t="n"/>
      <c r="H328" s="21" t="n"/>
      <c r="I328">
        <f>IFERROR(INDEX(מלאי!$N$2:$N$500,MATCH(A328,מלאי!$D$2:$D$500,0)),"")</f>
        <v/>
      </c>
      <c r="J328" s="21" t="n"/>
      <c r="K328" s="21" t="n"/>
      <c r="L328" s="21" t="n"/>
      <c r="M328" s="15" t="n"/>
      <c r="N328" s="22">
        <f>IF(F328="","",IF(J328&lt;&gt;"",AVERAGE(F328,J328),F328))</f>
        <v/>
      </c>
      <c r="O328" s="22">
        <f>IF(G328="","",IF(K328&lt;&gt;"",AVERAGE(G328,K328),G328))</f>
        <v/>
      </c>
      <c r="P328" s="22">
        <f>IF(OR(N328="",O328=""),"",AVERAGE(N328,O328))</f>
        <v/>
      </c>
    </row>
    <row r="329">
      <c r="A329" s="15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1" t="n"/>
      <c r="G329" s="21" t="n"/>
      <c r="H329" s="21" t="n"/>
      <c r="I329">
        <f>IFERROR(INDEX(מלאי!$N$2:$N$500,MATCH(A329,מלאי!$D$2:$D$500,0)),"")</f>
        <v/>
      </c>
      <c r="J329" s="21" t="n"/>
      <c r="K329" s="21" t="n"/>
      <c r="L329" s="21" t="n"/>
      <c r="M329" s="15" t="n"/>
      <c r="N329" s="22">
        <f>IF(F329="","",IF(J329&lt;&gt;"",AVERAGE(F329,J329),F329))</f>
        <v/>
      </c>
      <c r="O329" s="22">
        <f>IF(G329="","",IF(K329&lt;&gt;"",AVERAGE(G329,K329),G329))</f>
        <v/>
      </c>
      <c r="P329" s="22">
        <f>IF(OR(N329="",O329=""),"",AVERAGE(N329,O329))</f>
        <v/>
      </c>
    </row>
    <row r="330">
      <c r="A330" s="15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1" t="n"/>
      <c r="G330" s="21" t="n"/>
      <c r="H330" s="21" t="n"/>
      <c r="I330">
        <f>IFERROR(INDEX(מלאי!$N$2:$N$500,MATCH(A330,מלאי!$D$2:$D$500,0)),"")</f>
        <v/>
      </c>
      <c r="J330" s="21" t="n"/>
      <c r="K330" s="21" t="n"/>
      <c r="L330" s="21" t="n"/>
      <c r="M330" s="15" t="n"/>
      <c r="N330" s="22">
        <f>IF(F330="","",IF(J330&lt;&gt;"",AVERAGE(F330,J330),F330))</f>
        <v/>
      </c>
      <c r="O330" s="22">
        <f>IF(G330="","",IF(K330&lt;&gt;"",AVERAGE(G330,K330),G330))</f>
        <v/>
      </c>
      <c r="P330" s="22">
        <f>IF(OR(N330="",O330=""),"",AVERAGE(N330,O330))</f>
        <v/>
      </c>
    </row>
    <row r="331">
      <c r="A331" s="15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1" t="n"/>
      <c r="G331" s="21" t="n"/>
      <c r="H331" s="21" t="n"/>
      <c r="I331">
        <f>IFERROR(INDEX(מלאי!$N$2:$N$500,MATCH(A331,מלאי!$D$2:$D$500,0)),"")</f>
        <v/>
      </c>
      <c r="J331" s="21" t="n"/>
      <c r="K331" s="21" t="n"/>
      <c r="L331" s="21" t="n"/>
      <c r="M331" s="15" t="n"/>
      <c r="N331" s="22">
        <f>IF(F331="","",IF(J331&lt;&gt;"",AVERAGE(F331,J331),F331))</f>
        <v/>
      </c>
      <c r="O331" s="22">
        <f>IF(G331="","",IF(K331&lt;&gt;"",AVERAGE(G331,K331),G331))</f>
        <v/>
      </c>
      <c r="P331" s="22">
        <f>IF(OR(N331="",O331=""),"",AVERAGE(N331,O331))</f>
        <v/>
      </c>
    </row>
    <row r="332">
      <c r="A332" s="15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1" t="n"/>
      <c r="G332" s="21" t="n"/>
      <c r="H332" s="21" t="n"/>
      <c r="I332">
        <f>IFERROR(INDEX(מלאי!$N$2:$N$500,MATCH(A332,מלאי!$D$2:$D$500,0)),"")</f>
        <v/>
      </c>
      <c r="J332" s="21" t="n"/>
      <c r="K332" s="21" t="n"/>
      <c r="L332" s="21" t="n"/>
      <c r="M332" s="15" t="n"/>
      <c r="N332" s="22">
        <f>IF(F332="","",IF(J332&lt;&gt;"",AVERAGE(F332,J332),F332))</f>
        <v/>
      </c>
      <c r="O332" s="22">
        <f>IF(G332="","",IF(K332&lt;&gt;"",AVERAGE(G332,K332),G332))</f>
        <v/>
      </c>
      <c r="P332" s="22">
        <f>IF(OR(N332="",O332=""),"",AVERAGE(N332,O332))</f>
        <v/>
      </c>
    </row>
    <row r="333">
      <c r="A333" s="15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1" t="n"/>
      <c r="G333" s="21" t="n"/>
      <c r="H333" s="21" t="n"/>
      <c r="I333">
        <f>IFERROR(INDEX(מלאי!$N$2:$N$500,MATCH(A333,מלאי!$D$2:$D$500,0)),"")</f>
        <v/>
      </c>
      <c r="J333" s="21" t="n"/>
      <c r="K333" s="21" t="n"/>
      <c r="L333" s="21" t="n"/>
      <c r="M333" s="15" t="n"/>
      <c r="N333" s="22">
        <f>IF(F333="","",IF(J333&lt;&gt;"",AVERAGE(F333,J333),F333))</f>
        <v/>
      </c>
      <c r="O333" s="22">
        <f>IF(G333="","",IF(K333&lt;&gt;"",AVERAGE(G333,K333),G333))</f>
        <v/>
      </c>
      <c r="P333" s="22">
        <f>IF(OR(N333="",O333=""),"",AVERAGE(N333,O333))</f>
        <v/>
      </c>
    </row>
    <row r="334">
      <c r="A334" s="15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1" t="n"/>
      <c r="G334" s="21" t="n"/>
      <c r="H334" s="21" t="n"/>
      <c r="I334">
        <f>IFERROR(INDEX(מלאי!$N$2:$N$500,MATCH(A334,מלאי!$D$2:$D$500,0)),"")</f>
        <v/>
      </c>
      <c r="J334" s="21" t="n"/>
      <c r="K334" s="21" t="n"/>
      <c r="L334" s="21" t="n"/>
      <c r="M334" s="15" t="n"/>
      <c r="N334" s="22">
        <f>IF(F334="","",IF(J334&lt;&gt;"",AVERAGE(F334,J334),F334))</f>
        <v/>
      </c>
      <c r="O334" s="22">
        <f>IF(G334="","",IF(K334&lt;&gt;"",AVERAGE(G334,K334),G334))</f>
        <v/>
      </c>
      <c r="P334" s="22">
        <f>IF(OR(N334="",O334=""),"",AVERAGE(N334,O334))</f>
        <v/>
      </c>
    </row>
    <row r="335">
      <c r="A335" s="15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1" t="n"/>
      <c r="G335" s="21" t="n"/>
      <c r="H335" s="21" t="n"/>
      <c r="I335">
        <f>IFERROR(INDEX(מלאי!$N$2:$N$500,MATCH(A335,מלאי!$D$2:$D$500,0)),"")</f>
        <v/>
      </c>
      <c r="J335" s="21" t="n"/>
      <c r="K335" s="21" t="n"/>
      <c r="L335" s="21" t="n"/>
      <c r="M335" s="15" t="n"/>
      <c r="N335" s="22">
        <f>IF(F335="","",IF(J335&lt;&gt;"",AVERAGE(F335,J335),F335))</f>
        <v/>
      </c>
      <c r="O335" s="22">
        <f>IF(G335="","",IF(K335&lt;&gt;"",AVERAGE(G335,K335),G335))</f>
        <v/>
      </c>
      <c r="P335" s="22">
        <f>IF(OR(N335="",O335=""),"",AVERAGE(N335,O335))</f>
        <v/>
      </c>
    </row>
    <row r="336">
      <c r="A336" s="15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1" t="n"/>
      <c r="G336" s="21" t="n"/>
      <c r="H336" s="21" t="n"/>
      <c r="I336">
        <f>IFERROR(INDEX(מלאי!$N$2:$N$500,MATCH(A336,מלאי!$D$2:$D$500,0)),"")</f>
        <v/>
      </c>
      <c r="J336" s="21" t="n"/>
      <c r="K336" s="21" t="n"/>
      <c r="L336" s="21" t="n"/>
      <c r="M336" s="15" t="n"/>
      <c r="N336" s="22">
        <f>IF(F336="","",IF(J336&lt;&gt;"",AVERAGE(F336,J336),F336))</f>
        <v/>
      </c>
      <c r="O336" s="22">
        <f>IF(G336="","",IF(K336&lt;&gt;"",AVERAGE(G336,K336),G336))</f>
        <v/>
      </c>
      <c r="P336" s="22">
        <f>IF(OR(N336="",O336=""),"",AVERAGE(N336,O336))</f>
        <v/>
      </c>
    </row>
    <row r="337">
      <c r="A337" s="15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1" t="n"/>
      <c r="G337" s="21" t="n"/>
      <c r="H337" s="21" t="n"/>
      <c r="I337">
        <f>IFERROR(INDEX(מלאי!$N$2:$N$500,MATCH(A337,מלאי!$D$2:$D$500,0)),"")</f>
        <v/>
      </c>
      <c r="J337" s="21" t="n"/>
      <c r="K337" s="21" t="n"/>
      <c r="L337" s="21" t="n"/>
      <c r="M337" s="15" t="n"/>
      <c r="N337" s="22">
        <f>IF(F337="","",IF(J337&lt;&gt;"",AVERAGE(F337,J337),F337))</f>
        <v/>
      </c>
      <c r="O337" s="22">
        <f>IF(G337="","",IF(K337&lt;&gt;"",AVERAGE(G337,K337),G337))</f>
        <v/>
      </c>
      <c r="P337" s="22">
        <f>IF(OR(N337="",O337=""),"",AVERAGE(N337,O337))</f>
        <v/>
      </c>
    </row>
    <row r="338">
      <c r="A338" s="15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1" t="n"/>
      <c r="G338" s="21" t="n"/>
      <c r="H338" s="21" t="n"/>
      <c r="I338">
        <f>IFERROR(INDEX(מלאי!$N$2:$N$500,MATCH(A338,מלאי!$D$2:$D$500,0)),"")</f>
        <v/>
      </c>
      <c r="J338" s="21" t="n"/>
      <c r="K338" s="21" t="n"/>
      <c r="L338" s="21" t="n"/>
      <c r="M338" s="15" t="n"/>
      <c r="N338" s="22">
        <f>IF(F338="","",IF(J338&lt;&gt;"",AVERAGE(F338,J338),F338))</f>
        <v/>
      </c>
      <c r="O338" s="22">
        <f>IF(G338="","",IF(K338&lt;&gt;"",AVERAGE(G338,K338),G338))</f>
        <v/>
      </c>
      <c r="P338" s="22">
        <f>IF(OR(N338="",O338=""),"",AVERAGE(N338,O338))</f>
        <v/>
      </c>
    </row>
    <row r="339">
      <c r="A339" s="15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1" t="n"/>
      <c r="G339" s="21" t="n"/>
      <c r="H339" s="21" t="n"/>
      <c r="I339">
        <f>IFERROR(INDEX(מלאי!$N$2:$N$500,MATCH(A339,מלאי!$D$2:$D$500,0)),"")</f>
        <v/>
      </c>
      <c r="J339" s="21" t="n"/>
      <c r="K339" s="21" t="n"/>
      <c r="L339" s="21" t="n"/>
      <c r="M339" s="15" t="n"/>
      <c r="N339" s="22">
        <f>IF(F339="","",IF(J339&lt;&gt;"",AVERAGE(F339,J339),F339))</f>
        <v/>
      </c>
      <c r="O339" s="22">
        <f>IF(G339="","",IF(K339&lt;&gt;"",AVERAGE(G339,K339),G339))</f>
        <v/>
      </c>
      <c r="P339" s="22">
        <f>IF(OR(N339="",O339=""),"",AVERAGE(N339,O339))</f>
        <v/>
      </c>
    </row>
    <row r="340">
      <c r="A340" s="15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1" t="n"/>
      <c r="G340" s="21" t="n"/>
      <c r="H340" s="21" t="n"/>
      <c r="I340">
        <f>IFERROR(INDEX(מלאי!$N$2:$N$500,MATCH(A340,מלאי!$D$2:$D$500,0)),"")</f>
        <v/>
      </c>
      <c r="J340" s="21" t="n"/>
      <c r="K340" s="21" t="n"/>
      <c r="L340" s="21" t="n"/>
      <c r="M340" s="15" t="n"/>
      <c r="N340" s="22">
        <f>IF(F340="","",IF(J340&lt;&gt;"",AVERAGE(F340,J340),F340))</f>
        <v/>
      </c>
      <c r="O340" s="22">
        <f>IF(G340="","",IF(K340&lt;&gt;"",AVERAGE(G340,K340),G340))</f>
        <v/>
      </c>
      <c r="P340" s="22">
        <f>IF(OR(N340="",O340=""),"",AVERAGE(N340,O340))</f>
        <v/>
      </c>
    </row>
    <row r="341">
      <c r="A341" s="15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1" t="n"/>
      <c r="G341" s="21" t="n"/>
      <c r="H341" s="21" t="n"/>
      <c r="I341">
        <f>IFERROR(INDEX(מלאי!$N$2:$N$500,MATCH(A341,מלאי!$D$2:$D$500,0)),"")</f>
        <v/>
      </c>
      <c r="J341" s="21" t="n"/>
      <c r="K341" s="21" t="n"/>
      <c r="L341" s="21" t="n"/>
      <c r="M341" s="15" t="n"/>
      <c r="N341" s="22">
        <f>IF(F341="","",IF(J341&lt;&gt;"",AVERAGE(F341,J341),F341))</f>
        <v/>
      </c>
      <c r="O341" s="22">
        <f>IF(G341="","",IF(K341&lt;&gt;"",AVERAGE(G341,K341),G341))</f>
        <v/>
      </c>
      <c r="P341" s="22">
        <f>IF(OR(N341="",O341=""),"",AVERAGE(N341,O341))</f>
        <v/>
      </c>
    </row>
    <row r="342">
      <c r="A342" s="15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1" t="n"/>
      <c r="G342" s="21" t="n"/>
      <c r="H342" s="21" t="n"/>
      <c r="I342">
        <f>IFERROR(INDEX(מלאי!$N$2:$N$500,MATCH(A342,מלאי!$D$2:$D$500,0)),"")</f>
        <v/>
      </c>
      <c r="J342" s="21" t="n"/>
      <c r="K342" s="21" t="n"/>
      <c r="L342" s="21" t="n"/>
      <c r="M342" s="15" t="n"/>
      <c r="N342" s="22">
        <f>IF(F342="","",IF(J342&lt;&gt;"",AVERAGE(F342,J342),F342))</f>
        <v/>
      </c>
      <c r="O342" s="22">
        <f>IF(G342="","",IF(K342&lt;&gt;"",AVERAGE(G342,K342),G342))</f>
        <v/>
      </c>
      <c r="P342" s="22">
        <f>IF(OR(N342="",O342=""),"",AVERAGE(N342,O342))</f>
        <v/>
      </c>
    </row>
    <row r="343">
      <c r="A343" s="15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1" t="n"/>
      <c r="G343" s="21" t="n"/>
      <c r="H343" s="21" t="n"/>
      <c r="I343">
        <f>IFERROR(INDEX(מלאי!$N$2:$N$500,MATCH(A343,מלאי!$D$2:$D$500,0)),"")</f>
        <v/>
      </c>
      <c r="J343" s="21" t="n"/>
      <c r="K343" s="21" t="n"/>
      <c r="L343" s="21" t="n"/>
      <c r="M343" s="15" t="n"/>
      <c r="N343" s="22">
        <f>IF(F343="","",IF(J343&lt;&gt;"",AVERAGE(F343,J343),F343))</f>
        <v/>
      </c>
      <c r="O343" s="22">
        <f>IF(G343="","",IF(K343&lt;&gt;"",AVERAGE(G343,K343),G343))</f>
        <v/>
      </c>
      <c r="P343" s="22">
        <f>IF(OR(N343="",O343=""),"",AVERAGE(N343,O343))</f>
        <v/>
      </c>
    </row>
    <row r="344">
      <c r="A344" s="15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1" t="n"/>
      <c r="G344" s="21" t="n"/>
      <c r="H344" s="21" t="n"/>
      <c r="I344">
        <f>IFERROR(INDEX(מלאי!$N$2:$N$500,MATCH(A344,מלאי!$D$2:$D$500,0)),"")</f>
        <v/>
      </c>
      <c r="J344" s="21" t="n"/>
      <c r="K344" s="21" t="n"/>
      <c r="L344" s="21" t="n"/>
      <c r="M344" s="15" t="n"/>
      <c r="N344" s="22">
        <f>IF(F344="","",IF(J344&lt;&gt;"",AVERAGE(F344,J344),F344))</f>
        <v/>
      </c>
      <c r="O344" s="22">
        <f>IF(G344="","",IF(K344&lt;&gt;"",AVERAGE(G344,K344),G344))</f>
        <v/>
      </c>
      <c r="P344" s="22">
        <f>IF(OR(N344="",O344=""),"",AVERAGE(N344,O344))</f>
        <v/>
      </c>
    </row>
    <row r="345">
      <c r="A345" s="15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1" t="n"/>
      <c r="G345" s="21" t="n"/>
      <c r="H345" s="21" t="n"/>
      <c r="I345">
        <f>IFERROR(INDEX(מלאי!$N$2:$N$500,MATCH(A345,מלאי!$D$2:$D$500,0)),"")</f>
        <v/>
      </c>
      <c r="J345" s="21" t="n"/>
      <c r="K345" s="21" t="n"/>
      <c r="L345" s="21" t="n"/>
      <c r="M345" s="15" t="n"/>
      <c r="N345" s="22">
        <f>IF(F345="","",IF(J345&lt;&gt;"",AVERAGE(F345,J345),F345))</f>
        <v/>
      </c>
      <c r="O345" s="22">
        <f>IF(G345="","",IF(K345&lt;&gt;"",AVERAGE(G345,K345),G345))</f>
        <v/>
      </c>
      <c r="P345" s="22">
        <f>IF(OR(N345="",O345=""),"",AVERAGE(N345,O345))</f>
        <v/>
      </c>
    </row>
    <row r="346">
      <c r="A346" s="15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1" t="n"/>
      <c r="G346" s="21" t="n"/>
      <c r="H346" s="21" t="n"/>
      <c r="I346">
        <f>IFERROR(INDEX(מלאי!$N$2:$N$500,MATCH(A346,מלאי!$D$2:$D$500,0)),"")</f>
        <v/>
      </c>
      <c r="J346" s="21" t="n"/>
      <c r="K346" s="21" t="n"/>
      <c r="L346" s="21" t="n"/>
      <c r="M346" s="15" t="n"/>
      <c r="N346" s="22">
        <f>IF(F346="","",IF(J346&lt;&gt;"",AVERAGE(F346,J346),F346))</f>
        <v/>
      </c>
      <c r="O346" s="22">
        <f>IF(G346="","",IF(K346&lt;&gt;"",AVERAGE(G346,K346),G346))</f>
        <v/>
      </c>
      <c r="P346" s="22">
        <f>IF(OR(N346="",O346=""),"",AVERAGE(N346,O346))</f>
        <v/>
      </c>
    </row>
    <row r="347">
      <c r="A347" s="15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1" t="n"/>
      <c r="G347" s="21" t="n"/>
      <c r="H347" s="21" t="n"/>
      <c r="I347">
        <f>IFERROR(INDEX(מלאי!$N$2:$N$500,MATCH(A347,מלאי!$D$2:$D$500,0)),"")</f>
        <v/>
      </c>
      <c r="J347" s="21" t="n"/>
      <c r="K347" s="21" t="n"/>
      <c r="L347" s="21" t="n"/>
      <c r="M347" s="15" t="n"/>
      <c r="N347" s="22">
        <f>IF(F347="","",IF(J347&lt;&gt;"",AVERAGE(F347,J347),F347))</f>
        <v/>
      </c>
      <c r="O347" s="22">
        <f>IF(G347="","",IF(K347&lt;&gt;"",AVERAGE(G347,K347),G347))</f>
        <v/>
      </c>
      <c r="P347" s="22">
        <f>IF(OR(N347="",O347=""),"",AVERAGE(N347,O347))</f>
        <v/>
      </c>
    </row>
    <row r="348">
      <c r="A348" s="15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1" t="n"/>
      <c r="G348" s="21" t="n"/>
      <c r="H348" s="21" t="n"/>
      <c r="I348">
        <f>IFERROR(INDEX(מלאי!$N$2:$N$500,MATCH(A348,מלאי!$D$2:$D$500,0)),"")</f>
        <v/>
      </c>
      <c r="J348" s="21" t="n"/>
      <c r="K348" s="21" t="n"/>
      <c r="L348" s="21" t="n"/>
      <c r="M348" s="15" t="n"/>
      <c r="N348" s="22">
        <f>IF(F348="","",IF(J348&lt;&gt;"",AVERAGE(F348,J348),F348))</f>
        <v/>
      </c>
      <c r="O348" s="22">
        <f>IF(G348="","",IF(K348&lt;&gt;"",AVERAGE(G348,K348),G348))</f>
        <v/>
      </c>
      <c r="P348" s="22">
        <f>IF(OR(N348="",O348=""),"",AVERAGE(N348,O348))</f>
        <v/>
      </c>
    </row>
    <row r="349">
      <c r="A349" s="15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1" t="n"/>
      <c r="G349" s="21" t="n"/>
      <c r="H349" s="21" t="n"/>
      <c r="I349">
        <f>IFERROR(INDEX(מלאי!$N$2:$N$500,MATCH(A349,מלאי!$D$2:$D$500,0)),"")</f>
        <v/>
      </c>
      <c r="J349" s="21" t="n"/>
      <c r="K349" s="21" t="n"/>
      <c r="L349" s="21" t="n"/>
      <c r="M349" s="15" t="n"/>
      <c r="N349" s="22">
        <f>IF(F349="","",IF(J349&lt;&gt;"",AVERAGE(F349,J349),F349))</f>
        <v/>
      </c>
      <c r="O349" s="22">
        <f>IF(G349="","",IF(K349&lt;&gt;"",AVERAGE(G349,K349),G349))</f>
        <v/>
      </c>
      <c r="P349" s="22">
        <f>IF(OR(N349="",O349=""),"",AVERAGE(N349,O349))</f>
        <v/>
      </c>
    </row>
    <row r="350">
      <c r="A350" s="15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1" t="n"/>
      <c r="G350" s="21" t="n"/>
      <c r="H350" s="21" t="n"/>
      <c r="I350">
        <f>IFERROR(INDEX(מלאי!$N$2:$N$500,MATCH(A350,מלאי!$D$2:$D$500,0)),"")</f>
        <v/>
      </c>
      <c r="J350" s="21" t="n"/>
      <c r="K350" s="21" t="n"/>
      <c r="L350" s="21" t="n"/>
      <c r="M350" s="15" t="n"/>
      <c r="N350" s="22">
        <f>IF(F350="","",IF(J350&lt;&gt;"",AVERAGE(F350,J350),F350))</f>
        <v/>
      </c>
      <c r="O350" s="22">
        <f>IF(G350="","",IF(K350&lt;&gt;"",AVERAGE(G350,K350),G350))</f>
        <v/>
      </c>
      <c r="P350" s="22">
        <f>IF(OR(N350="",O350=""),"",AVERAGE(N350,O350))</f>
        <v/>
      </c>
    </row>
    <row r="351">
      <c r="A351" s="15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1" t="n"/>
      <c r="G351" s="21" t="n"/>
      <c r="H351" s="21" t="n"/>
      <c r="I351">
        <f>IFERROR(INDEX(מלאי!$N$2:$N$500,MATCH(A351,מלאי!$D$2:$D$500,0)),"")</f>
        <v/>
      </c>
      <c r="J351" s="21" t="n"/>
      <c r="K351" s="21" t="n"/>
      <c r="L351" s="21" t="n"/>
      <c r="M351" s="15" t="n"/>
      <c r="N351" s="22">
        <f>IF(F351="","",IF(J351&lt;&gt;"",AVERAGE(F351,J351),F351))</f>
        <v/>
      </c>
      <c r="O351" s="22">
        <f>IF(G351="","",IF(K351&lt;&gt;"",AVERAGE(G351,K351),G351))</f>
        <v/>
      </c>
      <c r="P351" s="22">
        <f>IF(OR(N351="",O351=""),"",AVERAGE(N351,O351))</f>
        <v/>
      </c>
    </row>
    <row r="352">
      <c r="A352" s="15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1" t="n"/>
      <c r="G352" s="21" t="n"/>
      <c r="H352" s="21" t="n"/>
      <c r="I352">
        <f>IFERROR(INDEX(מלאי!$N$2:$N$500,MATCH(A352,מלאי!$D$2:$D$500,0)),"")</f>
        <v/>
      </c>
      <c r="J352" s="21" t="n"/>
      <c r="K352" s="21" t="n"/>
      <c r="L352" s="21" t="n"/>
      <c r="M352" s="15" t="n"/>
      <c r="N352" s="22">
        <f>IF(F352="","",IF(J352&lt;&gt;"",AVERAGE(F352,J352),F352))</f>
        <v/>
      </c>
      <c r="O352" s="22">
        <f>IF(G352="","",IF(K352&lt;&gt;"",AVERAGE(G352,K352),G352))</f>
        <v/>
      </c>
      <c r="P352" s="22">
        <f>IF(OR(N352="",O352=""),"",AVERAGE(N352,O352))</f>
        <v/>
      </c>
    </row>
    <row r="353">
      <c r="A353" s="15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1" t="n"/>
      <c r="G353" s="21" t="n"/>
      <c r="H353" s="21" t="n"/>
      <c r="I353">
        <f>IFERROR(INDEX(מלאי!$N$2:$N$500,MATCH(A353,מלאי!$D$2:$D$500,0)),"")</f>
        <v/>
      </c>
      <c r="J353" s="21" t="n"/>
      <c r="K353" s="21" t="n"/>
      <c r="L353" s="21" t="n"/>
      <c r="M353" s="15" t="n"/>
      <c r="N353" s="22">
        <f>IF(F353="","",IF(J353&lt;&gt;"",AVERAGE(F353,J353),F353))</f>
        <v/>
      </c>
      <c r="O353" s="22">
        <f>IF(G353="","",IF(K353&lt;&gt;"",AVERAGE(G353,K353),G353))</f>
        <v/>
      </c>
      <c r="P353" s="22">
        <f>IF(OR(N353="",O353=""),"",AVERAGE(N353,O353))</f>
        <v/>
      </c>
    </row>
    <row r="354">
      <c r="A354" s="15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1" t="n"/>
      <c r="G354" s="21" t="n"/>
      <c r="H354" s="21" t="n"/>
      <c r="I354">
        <f>IFERROR(INDEX(מלאי!$N$2:$N$500,MATCH(A354,מלאי!$D$2:$D$500,0)),"")</f>
        <v/>
      </c>
      <c r="J354" s="21" t="n"/>
      <c r="K354" s="21" t="n"/>
      <c r="L354" s="21" t="n"/>
      <c r="M354" s="15" t="n"/>
      <c r="N354" s="22">
        <f>IF(F354="","",IF(J354&lt;&gt;"",AVERAGE(F354,J354),F354))</f>
        <v/>
      </c>
      <c r="O354" s="22">
        <f>IF(G354="","",IF(K354&lt;&gt;"",AVERAGE(G354,K354),G354))</f>
        <v/>
      </c>
      <c r="P354" s="22">
        <f>IF(OR(N354="",O354=""),"",AVERAGE(N354,O354))</f>
        <v/>
      </c>
    </row>
    <row r="355">
      <c r="A355" s="15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1" t="n"/>
      <c r="G355" s="21" t="n"/>
      <c r="H355" s="21" t="n"/>
      <c r="I355">
        <f>IFERROR(INDEX(מלאי!$N$2:$N$500,MATCH(A355,מלאי!$D$2:$D$500,0)),"")</f>
        <v/>
      </c>
      <c r="J355" s="21" t="n"/>
      <c r="K355" s="21" t="n"/>
      <c r="L355" s="21" t="n"/>
      <c r="M355" s="15" t="n"/>
      <c r="N355" s="22">
        <f>IF(F355="","",IF(J355&lt;&gt;"",AVERAGE(F355,J355),F355))</f>
        <v/>
      </c>
      <c r="O355" s="22">
        <f>IF(G355="","",IF(K355&lt;&gt;"",AVERAGE(G355,K355),G355))</f>
        <v/>
      </c>
      <c r="P355" s="22">
        <f>IF(OR(N355="",O355=""),"",AVERAGE(N355,O355))</f>
        <v/>
      </c>
    </row>
    <row r="356">
      <c r="A356" s="15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1" t="n"/>
      <c r="G356" s="21" t="n"/>
      <c r="H356" s="21" t="n"/>
      <c r="I356">
        <f>IFERROR(INDEX(מלאי!$N$2:$N$500,MATCH(A356,מלאי!$D$2:$D$500,0)),"")</f>
        <v/>
      </c>
      <c r="J356" s="21" t="n"/>
      <c r="K356" s="21" t="n"/>
      <c r="L356" s="21" t="n"/>
      <c r="M356" s="15" t="n"/>
      <c r="N356" s="22">
        <f>IF(F356="","",IF(J356&lt;&gt;"",AVERAGE(F356,J356),F356))</f>
        <v/>
      </c>
      <c r="O356" s="22">
        <f>IF(G356="","",IF(K356&lt;&gt;"",AVERAGE(G356,K356),G356))</f>
        <v/>
      </c>
      <c r="P356" s="22">
        <f>IF(OR(N356="",O356=""),"",AVERAGE(N356,O356))</f>
        <v/>
      </c>
    </row>
    <row r="357">
      <c r="A357" s="15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1" t="n"/>
      <c r="G357" s="21" t="n"/>
      <c r="H357" s="21" t="n"/>
      <c r="I357">
        <f>IFERROR(INDEX(מלאי!$N$2:$N$500,MATCH(A357,מלאי!$D$2:$D$500,0)),"")</f>
        <v/>
      </c>
      <c r="J357" s="21" t="n"/>
      <c r="K357" s="21" t="n"/>
      <c r="L357" s="21" t="n"/>
      <c r="M357" s="15" t="n"/>
      <c r="N357" s="22">
        <f>IF(F357="","",IF(J357&lt;&gt;"",AVERAGE(F357,J357),F357))</f>
        <v/>
      </c>
      <c r="O357" s="22">
        <f>IF(G357="","",IF(K357&lt;&gt;"",AVERAGE(G357,K357),G357))</f>
        <v/>
      </c>
      <c r="P357" s="22">
        <f>IF(OR(N357="",O357=""),"",AVERAGE(N357,O357))</f>
        <v/>
      </c>
    </row>
    <row r="358">
      <c r="A358" s="15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1" t="n"/>
      <c r="G358" s="21" t="n"/>
      <c r="H358" s="21" t="n"/>
      <c r="I358">
        <f>IFERROR(INDEX(מלאי!$N$2:$N$500,MATCH(A358,מלאי!$D$2:$D$500,0)),"")</f>
        <v/>
      </c>
      <c r="J358" s="21" t="n"/>
      <c r="K358" s="21" t="n"/>
      <c r="L358" s="21" t="n"/>
      <c r="M358" s="15" t="n"/>
      <c r="N358" s="22">
        <f>IF(F358="","",IF(J358&lt;&gt;"",AVERAGE(F358,J358),F358))</f>
        <v/>
      </c>
      <c r="O358" s="22">
        <f>IF(G358="","",IF(K358&lt;&gt;"",AVERAGE(G358,K358),G358))</f>
        <v/>
      </c>
      <c r="P358" s="22">
        <f>IF(OR(N358="",O358=""),"",AVERAGE(N358,O358))</f>
        <v/>
      </c>
    </row>
    <row r="359">
      <c r="A359" s="15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1" t="n"/>
      <c r="G359" s="21" t="n"/>
      <c r="H359" s="21" t="n"/>
      <c r="I359">
        <f>IFERROR(INDEX(מלאי!$N$2:$N$500,MATCH(A359,מלאי!$D$2:$D$500,0)),"")</f>
        <v/>
      </c>
      <c r="J359" s="21" t="n"/>
      <c r="K359" s="21" t="n"/>
      <c r="L359" s="21" t="n"/>
      <c r="M359" s="15" t="n"/>
      <c r="N359" s="22">
        <f>IF(F359="","",IF(J359&lt;&gt;"",AVERAGE(F359,J359),F359))</f>
        <v/>
      </c>
      <c r="O359" s="22">
        <f>IF(G359="","",IF(K359&lt;&gt;"",AVERAGE(G359,K359),G359))</f>
        <v/>
      </c>
      <c r="P359" s="22">
        <f>IF(OR(N359="",O359=""),"",AVERAGE(N359,O359))</f>
        <v/>
      </c>
    </row>
    <row r="360">
      <c r="A360" s="15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1" t="n"/>
      <c r="G360" s="21" t="n"/>
      <c r="H360" s="21" t="n"/>
      <c r="I360">
        <f>IFERROR(INDEX(מלאי!$N$2:$N$500,MATCH(A360,מלאי!$D$2:$D$500,0)),"")</f>
        <v/>
      </c>
      <c r="J360" s="21" t="n"/>
      <c r="K360" s="21" t="n"/>
      <c r="L360" s="21" t="n"/>
      <c r="M360" s="15" t="n"/>
      <c r="N360" s="22">
        <f>IF(F360="","",IF(J360&lt;&gt;"",AVERAGE(F360,J360),F360))</f>
        <v/>
      </c>
      <c r="O360" s="22">
        <f>IF(G360="","",IF(K360&lt;&gt;"",AVERAGE(G360,K360),G360))</f>
        <v/>
      </c>
      <c r="P360" s="22">
        <f>IF(OR(N360="",O360=""),"",AVERAGE(N360,O360))</f>
        <v/>
      </c>
    </row>
    <row r="361">
      <c r="A361" s="15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1" t="n"/>
      <c r="G361" s="21" t="n"/>
      <c r="H361" s="21" t="n"/>
      <c r="I361">
        <f>IFERROR(INDEX(מלאי!$N$2:$N$500,MATCH(A361,מלאי!$D$2:$D$500,0)),"")</f>
        <v/>
      </c>
      <c r="J361" s="21" t="n"/>
      <c r="K361" s="21" t="n"/>
      <c r="L361" s="21" t="n"/>
      <c r="M361" s="15" t="n"/>
      <c r="N361" s="22">
        <f>IF(F361="","",IF(J361&lt;&gt;"",AVERAGE(F361,J361),F361))</f>
        <v/>
      </c>
      <c r="O361" s="22">
        <f>IF(G361="","",IF(K361&lt;&gt;"",AVERAGE(G361,K361),G361))</f>
        <v/>
      </c>
      <c r="P361" s="22">
        <f>IF(OR(N361="",O361=""),"",AVERAGE(N361,O361))</f>
        <v/>
      </c>
    </row>
    <row r="362">
      <c r="A362" s="15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1" t="n"/>
      <c r="G362" s="21" t="n"/>
      <c r="H362" s="21" t="n"/>
      <c r="I362">
        <f>IFERROR(INDEX(מלאי!$N$2:$N$500,MATCH(A362,מלאי!$D$2:$D$500,0)),"")</f>
        <v/>
      </c>
      <c r="J362" s="21" t="n"/>
      <c r="K362" s="21" t="n"/>
      <c r="L362" s="21" t="n"/>
      <c r="M362" s="15" t="n"/>
      <c r="N362" s="22">
        <f>IF(F362="","",IF(J362&lt;&gt;"",AVERAGE(F362,J362),F362))</f>
        <v/>
      </c>
      <c r="O362" s="22">
        <f>IF(G362="","",IF(K362&lt;&gt;"",AVERAGE(G362,K362),G362))</f>
        <v/>
      </c>
      <c r="P362" s="22">
        <f>IF(OR(N362="",O362=""),"",AVERAGE(N362,O362))</f>
        <v/>
      </c>
    </row>
    <row r="363">
      <c r="A363" s="15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1" t="n"/>
      <c r="G363" s="21" t="n"/>
      <c r="H363" s="21" t="n"/>
      <c r="I363">
        <f>IFERROR(INDEX(מלאי!$N$2:$N$500,MATCH(A363,מלאי!$D$2:$D$500,0)),"")</f>
        <v/>
      </c>
      <c r="J363" s="21" t="n"/>
      <c r="K363" s="21" t="n"/>
      <c r="L363" s="21" t="n"/>
      <c r="M363" s="15" t="n"/>
      <c r="N363" s="22">
        <f>IF(F363="","",IF(J363&lt;&gt;"",AVERAGE(F363,J363),F363))</f>
        <v/>
      </c>
      <c r="O363" s="22">
        <f>IF(G363="","",IF(K363&lt;&gt;"",AVERAGE(G363,K363),G363))</f>
        <v/>
      </c>
      <c r="P363" s="22">
        <f>IF(OR(N363="",O363=""),"",AVERAGE(N363,O363))</f>
        <v/>
      </c>
    </row>
    <row r="364">
      <c r="A364" s="15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1" t="n"/>
      <c r="G364" s="21" t="n"/>
      <c r="H364" s="21" t="n"/>
      <c r="I364">
        <f>IFERROR(INDEX(מלאי!$N$2:$N$500,MATCH(A364,מלאי!$D$2:$D$500,0)),"")</f>
        <v/>
      </c>
      <c r="J364" s="21" t="n"/>
      <c r="K364" s="21" t="n"/>
      <c r="L364" s="21" t="n"/>
      <c r="M364" s="15" t="n"/>
      <c r="N364" s="22">
        <f>IF(F364="","",IF(J364&lt;&gt;"",AVERAGE(F364,J364),F364))</f>
        <v/>
      </c>
      <c r="O364" s="22">
        <f>IF(G364="","",IF(K364&lt;&gt;"",AVERAGE(G364,K364),G364))</f>
        <v/>
      </c>
      <c r="P364" s="22">
        <f>IF(OR(N364="",O364=""),"",AVERAGE(N364,O364))</f>
        <v/>
      </c>
    </row>
    <row r="365">
      <c r="A365" s="15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1" t="n"/>
      <c r="G365" s="21" t="n"/>
      <c r="H365" s="21" t="n"/>
      <c r="I365">
        <f>IFERROR(INDEX(מלאי!$N$2:$N$500,MATCH(A365,מלאי!$D$2:$D$500,0)),"")</f>
        <v/>
      </c>
      <c r="J365" s="21" t="n"/>
      <c r="K365" s="21" t="n"/>
      <c r="L365" s="21" t="n"/>
      <c r="M365" s="15" t="n"/>
      <c r="N365" s="22">
        <f>IF(F365="","",IF(J365&lt;&gt;"",AVERAGE(F365,J365),F365))</f>
        <v/>
      </c>
      <c r="O365" s="22">
        <f>IF(G365="","",IF(K365&lt;&gt;"",AVERAGE(G365,K365),G365))</f>
        <v/>
      </c>
      <c r="P365" s="22">
        <f>IF(OR(N365="",O365=""),"",AVERAGE(N365,O365))</f>
        <v/>
      </c>
    </row>
    <row r="366">
      <c r="A366" s="15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1" t="n"/>
      <c r="G366" s="21" t="n"/>
      <c r="H366" s="21" t="n"/>
      <c r="I366">
        <f>IFERROR(INDEX(מלאי!$N$2:$N$500,MATCH(A366,מלאי!$D$2:$D$500,0)),"")</f>
        <v/>
      </c>
      <c r="J366" s="21" t="n"/>
      <c r="K366" s="21" t="n"/>
      <c r="L366" s="21" t="n"/>
      <c r="M366" s="15" t="n"/>
      <c r="N366" s="22">
        <f>IF(F366="","",IF(J366&lt;&gt;"",AVERAGE(F366,J366),F366))</f>
        <v/>
      </c>
      <c r="O366" s="22">
        <f>IF(G366="","",IF(K366&lt;&gt;"",AVERAGE(G366,K366),G366))</f>
        <v/>
      </c>
      <c r="P366" s="22">
        <f>IF(OR(N366="",O366=""),"",AVERAGE(N366,O366))</f>
        <v/>
      </c>
    </row>
    <row r="367">
      <c r="A367" s="15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1" t="n"/>
      <c r="G367" s="21" t="n"/>
      <c r="H367" s="21" t="n"/>
      <c r="I367">
        <f>IFERROR(INDEX(מלאי!$N$2:$N$500,MATCH(A367,מלאי!$D$2:$D$500,0)),"")</f>
        <v/>
      </c>
      <c r="J367" s="21" t="n"/>
      <c r="K367" s="21" t="n"/>
      <c r="L367" s="21" t="n"/>
      <c r="M367" s="15" t="n"/>
      <c r="N367" s="22">
        <f>IF(F367="","",IF(J367&lt;&gt;"",AVERAGE(F367,J367),F367))</f>
        <v/>
      </c>
      <c r="O367" s="22">
        <f>IF(G367="","",IF(K367&lt;&gt;"",AVERAGE(G367,K367),G367))</f>
        <v/>
      </c>
      <c r="P367" s="22">
        <f>IF(OR(N367="",O367=""),"",AVERAGE(N367,O367))</f>
        <v/>
      </c>
    </row>
    <row r="368">
      <c r="A368" s="15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1" t="n"/>
      <c r="G368" s="21" t="n"/>
      <c r="H368" s="21" t="n"/>
      <c r="I368">
        <f>IFERROR(INDEX(מלאי!$N$2:$N$500,MATCH(A368,מלאי!$D$2:$D$500,0)),"")</f>
        <v/>
      </c>
      <c r="J368" s="21" t="n"/>
      <c r="K368" s="21" t="n"/>
      <c r="L368" s="21" t="n"/>
      <c r="M368" s="15" t="n"/>
      <c r="N368" s="22">
        <f>IF(F368="","",IF(J368&lt;&gt;"",AVERAGE(F368,J368),F368))</f>
        <v/>
      </c>
      <c r="O368" s="22">
        <f>IF(G368="","",IF(K368&lt;&gt;"",AVERAGE(G368,K368),G368))</f>
        <v/>
      </c>
      <c r="P368" s="22">
        <f>IF(OR(N368="",O368=""),"",AVERAGE(N368,O368))</f>
        <v/>
      </c>
    </row>
    <row r="369">
      <c r="A369" s="15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1" t="n"/>
      <c r="G369" s="21" t="n"/>
      <c r="H369" s="21" t="n"/>
      <c r="I369">
        <f>IFERROR(INDEX(מלאי!$N$2:$N$500,MATCH(A369,מלאי!$D$2:$D$500,0)),"")</f>
        <v/>
      </c>
      <c r="J369" s="21" t="n"/>
      <c r="K369" s="21" t="n"/>
      <c r="L369" s="21" t="n"/>
      <c r="M369" s="15" t="n"/>
      <c r="N369" s="22">
        <f>IF(F369="","",IF(J369&lt;&gt;"",AVERAGE(F369,J369),F369))</f>
        <v/>
      </c>
      <c r="O369" s="22">
        <f>IF(G369="","",IF(K369&lt;&gt;"",AVERAGE(G369,K369),G369))</f>
        <v/>
      </c>
      <c r="P369" s="22">
        <f>IF(OR(N369="",O369=""),"",AVERAGE(N369,O369))</f>
        <v/>
      </c>
    </row>
    <row r="370">
      <c r="A370" s="15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1" t="n"/>
      <c r="G370" s="21" t="n"/>
      <c r="H370" s="21" t="n"/>
      <c r="I370">
        <f>IFERROR(INDEX(מלאי!$N$2:$N$500,MATCH(A370,מלאי!$D$2:$D$500,0)),"")</f>
        <v/>
      </c>
      <c r="J370" s="21" t="n"/>
      <c r="K370" s="21" t="n"/>
      <c r="L370" s="21" t="n"/>
      <c r="M370" s="15" t="n"/>
      <c r="N370" s="22">
        <f>IF(F370="","",IF(J370&lt;&gt;"",AVERAGE(F370,J370),F370))</f>
        <v/>
      </c>
      <c r="O370" s="22">
        <f>IF(G370="","",IF(K370&lt;&gt;"",AVERAGE(G370,K370),G370))</f>
        <v/>
      </c>
      <c r="P370" s="22">
        <f>IF(OR(N370="",O370=""),"",AVERAGE(N370,O370))</f>
        <v/>
      </c>
    </row>
    <row r="371">
      <c r="A371" s="15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1" t="n"/>
      <c r="G371" s="21" t="n"/>
      <c r="H371" s="21" t="n"/>
      <c r="I371">
        <f>IFERROR(INDEX(מלאי!$N$2:$N$500,MATCH(A371,מלאי!$D$2:$D$500,0)),"")</f>
        <v/>
      </c>
      <c r="J371" s="21" t="n"/>
      <c r="K371" s="21" t="n"/>
      <c r="L371" s="21" t="n"/>
      <c r="M371" s="15" t="n"/>
      <c r="N371" s="22">
        <f>IF(F371="","",IF(J371&lt;&gt;"",AVERAGE(F371,J371),F371))</f>
        <v/>
      </c>
      <c r="O371" s="22">
        <f>IF(G371="","",IF(K371&lt;&gt;"",AVERAGE(G371,K371),G371))</f>
        <v/>
      </c>
      <c r="P371" s="22">
        <f>IF(OR(N371="",O371=""),"",AVERAGE(N371,O371))</f>
        <v/>
      </c>
    </row>
    <row r="372">
      <c r="A372" s="15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1" t="n"/>
      <c r="G372" s="21" t="n"/>
      <c r="H372" s="21" t="n"/>
      <c r="I372">
        <f>IFERROR(INDEX(מלאי!$N$2:$N$500,MATCH(A372,מלאי!$D$2:$D$500,0)),"")</f>
        <v/>
      </c>
      <c r="J372" s="21" t="n"/>
      <c r="K372" s="21" t="n"/>
      <c r="L372" s="21" t="n"/>
      <c r="M372" s="15" t="n"/>
      <c r="N372" s="22">
        <f>IF(F372="","",IF(J372&lt;&gt;"",AVERAGE(F372,J372),F372))</f>
        <v/>
      </c>
      <c r="O372" s="22">
        <f>IF(G372="","",IF(K372&lt;&gt;"",AVERAGE(G372,K372),G372))</f>
        <v/>
      </c>
      <c r="P372" s="22">
        <f>IF(OR(N372="",O372=""),"",AVERAGE(N372,O372))</f>
        <v/>
      </c>
    </row>
    <row r="373">
      <c r="A373" s="15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1" t="n"/>
      <c r="G373" s="21" t="n"/>
      <c r="H373" s="21" t="n"/>
      <c r="I373">
        <f>IFERROR(INDEX(מלאי!$N$2:$N$500,MATCH(A373,מלאי!$D$2:$D$500,0)),"")</f>
        <v/>
      </c>
      <c r="J373" s="21" t="n"/>
      <c r="K373" s="21" t="n"/>
      <c r="L373" s="21" t="n"/>
      <c r="M373" s="15" t="n"/>
      <c r="N373" s="22">
        <f>IF(F373="","",IF(J373&lt;&gt;"",AVERAGE(F373,J373),F373))</f>
        <v/>
      </c>
      <c r="O373" s="22">
        <f>IF(G373="","",IF(K373&lt;&gt;"",AVERAGE(G373,K373),G373))</f>
        <v/>
      </c>
      <c r="P373" s="22">
        <f>IF(OR(N373="",O373=""),"",AVERAGE(N373,O373))</f>
        <v/>
      </c>
    </row>
    <row r="374">
      <c r="A374" s="15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1" t="n"/>
      <c r="G374" s="21" t="n"/>
      <c r="H374" s="21" t="n"/>
      <c r="I374">
        <f>IFERROR(INDEX(מלאי!$N$2:$N$500,MATCH(A374,מלאי!$D$2:$D$500,0)),"")</f>
        <v/>
      </c>
      <c r="J374" s="21" t="n"/>
      <c r="K374" s="21" t="n"/>
      <c r="L374" s="21" t="n"/>
      <c r="M374" s="15" t="n"/>
      <c r="N374" s="22">
        <f>IF(F374="","",IF(J374&lt;&gt;"",AVERAGE(F374,J374),F374))</f>
        <v/>
      </c>
      <c r="O374" s="22">
        <f>IF(G374="","",IF(K374&lt;&gt;"",AVERAGE(G374,K374),G374))</f>
        <v/>
      </c>
      <c r="P374" s="22">
        <f>IF(OR(N374="",O374=""),"",AVERAGE(N374,O374))</f>
        <v/>
      </c>
    </row>
    <row r="375">
      <c r="A375" s="15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1" t="n"/>
      <c r="G375" s="21" t="n"/>
      <c r="H375" s="21" t="n"/>
      <c r="I375">
        <f>IFERROR(INDEX(מלאי!$N$2:$N$500,MATCH(A375,מלאי!$D$2:$D$500,0)),"")</f>
        <v/>
      </c>
      <c r="J375" s="21" t="n"/>
      <c r="K375" s="21" t="n"/>
      <c r="L375" s="21" t="n"/>
      <c r="M375" s="15" t="n"/>
      <c r="N375" s="22">
        <f>IF(F375="","",IF(J375&lt;&gt;"",AVERAGE(F375,J375),F375))</f>
        <v/>
      </c>
      <c r="O375" s="22">
        <f>IF(G375="","",IF(K375&lt;&gt;"",AVERAGE(G375,K375),G375))</f>
        <v/>
      </c>
      <c r="P375" s="22">
        <f>IF(OR(N375="",O375=""),"",AVERAGE(N375,O375))</f>
        <v/>
      </c>
    </row>
    <row r="376">
      <c r="A376" s="15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1" t="n"/>
      <c r="G376" s="21" t="n"/>
      <c r="H376" s="21" t="n"/>
      <c r="I376">
        <f>IFERROR(INDEX(מלאי!$N$2:$N$500,MATCH(A376,מלאי!$D$2:$D$500,0)),"")</f>
        <v/>
      </c>
      <c r="J376" s="21" t="n"/>
      <c r="K376" s="21" t="n"/>
      <c r="L376" s="21" t="n"/>
      <c r="M376" s="15" t="n"/>
      <c r="N376" s="22">
        <f>IF(F376="","",IF(J376&lt;&gt;"",AVERAGE(F376,J376),F376))</f>
        <v/>
      </c>
      <c r="O376" s="22">
        <f>IF(G376="","",IF(K376&lt;&gt;"",AVERAGE(G376,K376),G376))</f>
        <v/>
      </c>
      <c r="P376" s="22">
        <f>IF(OR(N376="",O376=""),"",AVERAGE(N376,O376))</f>
        <v/>
      </c>
    </row>
    <row r="377">
      <c r="A377" s="15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1" t="n"/>
      <c r="G377" s="21" t="n"/>
      <c r="H377" s="21" t="n"/>
      <c r="I377">
        <f>IFERROR(INDEX(מלאי!$N$2:$N$500,MATCH(A377,מלאי!$D$2:$D$500,0)),"")</f>
        <v/>
      </c>
      <c r="J377" s="21" t="n"/>
      <c r="K377" s="21" t="n"/>
      <c r="L377" s="21" t="n"/>
      <c r="M377" s="15" t="n"/>
      <c r="N377" s="22">
        <f>IF(F377="","",IF(J377&lt;&gt;"",AVERAGE(F377,J377),F377))</f>
        <v/>
      </c>
      <c r="O377" s="22">
        <f>IF(G377="","",IF(K377&lt;&gt;"",AVERAGE(G377,K377),G377))</f>
        <v/>
      </c>
      <c r="P377" s="22">
        <f>IF(OR(N377="",O377=""),"",AVERAGE(N377,O377))</f>
        <v/>
      </c>
    </row>
    <row r="378">
      <c r="A378" s="15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1" t="n"/>
      <c r="G378" s="21" t="n"/>
      <c r="H378" s="21" t="n"/>
      <c r="I378">
        <f>IFERROR(INDEX(מלאי!$N$2:$N$500,MATCH(A378,מלאי!$D$2:$D$500,0)),"")</f>
        <v/>
      </c>
      <c r="J378" s="21" t="n"/>
      <c r="K378" s="21" t="n"/>
      <c r="L378" s="21" t="n"/>
      <c r="M378" s="15" t="n"/>
      <c r="N378" s="22">
        <f>IF(F378="","",IF(J378&lt;&gt;"",AVERAGE(F378,J378),F378))</f>
        <v/>
      </c>
      <c r="O378" s="22">
        <f>IF(G378="","",IF(K378&lt;&gt;"",AVERAGE(G378,K378),G378))</f>
        <v/>
      </c>
      <c r="P378" s="22">
        <f>IF(OR(N378="",O378=""),"",AVERAGE(N378,O378))</f>
        <v/>
      </c>
    </row>
    <row r="379">
      <c r="A379" s="15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1" t="n"/>
      <c r="G379" s="21" t="n"/>
      <c r="H379" s="21" t="n"/>
      <c r="I379">
        <f>IFERROR(INDEX(מלאי!$N$2:$N$500,MATCH(A379,מלאי!$D$2:$D$500,0)),"")</f>
        <v/>
      </c>
      <c r="J379" s="21" t="n"/>
      <c r="K379" s="21" t="n"/>
      <c r="L379" s="21" t="n"/>
      <c r="M379" s="15" t="n"/>
      <c r="N379" s="22">
        <f>IF(F379="","",IF(J379&lt;&gt;"",AVERAGE(F379,J379),F379))</f>
        <v/>
      </c>
      <c r="O379" s="22">
        <f>IF(G379="","",IF(K379&lt;&gt;"",AVERAGE(G379,K379),G379))</f>
        <v/>
      </c>
      <c r="P379" s="22">
        <f>IF(OR(N379="",O379=""),"",AVERAGE(N379,O379))</f>
        <v/>
      </c>
    </row>
    <row r="380">
      <c r="A380" s="15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1" t="n"/>
      <c r="G380" s="21" t="n"/>
      <c r="H380" s="21" t="n"/>
      <c r="I380">
        <f>IFERROR(INDEX(מלאי!$N$2:$N$500,MATCH(A380,מלאי!$D$2:$D$500,0)),"")</f>
        <v/>
      </c>
      <c r="J380" s="21" t="n"/>
      <c r="K380" s="21" t="n"/>
      <c r="L380" s="21" t="n"/>
      <c r="M380" s="15" t="n"/>
      <c r="N380" s="22">
        <f>IF(F380="","",IF(J380&lt;&gt;"",AVERAGE(F380,J380),F380))</f>
        <v/>
      </c>
      <c r="O380" s="22">
        <f>IF(G380="","",IF(K380&lt;&gt;"",AVERAGE(G380,K380),G380))</f>
        <v/>
      </c>
      <c r="P380" s="22">
        <f>IF(OR(N380="",O380=""),"",AVERAGE(N380,O380))</f>
        <v/>
      </c>
    </row>
    <row r="381">
      <c r="A381" s="15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1" t="n"/>
      <c r="G381" s="21" t="n"/>
      <c r="H381" s="21" t="n"/>
      <c r="I381">
        <f>IFERROR(INDEX(מלאי!$N$2:$N$500,MATCH(A381,מלאי!$D$2:$D$500,0)),"")</f>
        <v/>
      </c>
      <c r="J381" s="21" t="n"/>
      <c r="K381" s="21" t="n"/>
      <c r="L381" s="21" t="n"/>
      <c r="M381" s="15" t="n"/>
      <c r="N381" s="22">
        <f>IF(F381="","",IF(J381&lt;&gt;"",AVERAGE(F381,J381),F381))</f>
        <v/>
      </c>
      <c r="O381" s="22">
        <f>IF(G381="","",IF(K381&lt;&gt;"",AVERAGE(G381,K381),G381))</f>
        <v/>
      </c>
      <c r="P381" s="22">
        <f>IF(OR(N381="",O381=""),"",AVERAGE(N381,O381))</f>
        <v/>
      </c>
    </row>
    <row r="382">
      <c r="A382" s="15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1" t="n"/>
      <c r="G382" s="21" t="n"/>
      <c r="H382" s="21" t="n"/>
      <c r="I382">
        <f>IFERROR(INDEX(מלאי!$N$2:$N$500,MATCH(A382,מלאי!$D$2:$D$500,0)),"")</f>
        <v/>
      </c>
      <c r="J382" s="21" t="n"/>
      <c r="K382" s="21" t="n"/>
      <c r="L382" s="21" t="n"/>
      <c r="M382" s="15" t="n"/>
      <c r="N382" s="22">
        <f>IF(F382="","",IF(J382&lt;&gt;"",AVERAGE(F382,J382),F382))</f>
        <v/>
      </c>
      <c r="O382" s="22">
        <f>IF(G382="","",IF(K382&lt;&gt;"",AVERAGE(G382,K382),G382))</f>
        <v/>
      </c>
      <c r="P382" s="22">
        <f>IF(OR(N382="",O382=""),"",AVERAGE(N382,O382))</f>
        <v/>
      </c>
    </row>
    <row r="383">
      <c r="A383" s="15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1" t="n"/>
      <c r="G383" s="21" t="n"/>
      <c r="H383" s="21" t="n"/>
      <c r="I383">
        <f>IFERROR(INDEX(מלאי!$N$2:$N$500,MATCH(A383,מלאי!$D$2:$D$500,0)),"")</f>
        <v/>
      </c>
      <c r="J383" s="21" t="n"/>
      <c r="K383" s="21" t="n"/>
      <c r="L383" s="21" t="n"/>
      <c r="M383" s="15" t="n"/>
      <c r="N383" s="22">
        <f>IF(F383="","",IF(J383&lt;&gt;"",AVERAGE(F383,J383),F383))</f>
        <v/>
      </c>
      <c r="O383" s="22">
        <f>IF(G383="","",IF(K383&lt;&gt;"",AVERAGE(G383,K383),G383))</f>
        <v/>
      </c>
      <c r="P383" s="22">
        <f>IF(OR(N383="",O383=""),"",AVERAGE(N383,O383))</f>
        <v/>
      </c>
    </row>
    <row r="384">
      <c r="A384" s="15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1" t="n"/>
      <c r="G384" s="21" t="n"/>
      <c r="H384" s="21" t="n"/>
      <c r="I384">
        <f>IFERROR(INDEX(מלאי!$N$2:$N$500,MATCH(A384,מלאי!$D$2:$D$500,0)),"")</f>
        <v/>
      </c>
      <c r="J384" s="21" t="n"/>
      <c r="K384" s="21" t="n"/>
      <c r="L384" s="21" t="n"/>
      <c r="M384" s="15" t="n"/>
      <c r="N384" s="22">
        <f>IF(F384="","",IF(J384&lt;&gt;"",AVERAGE(F384,J384),F384))</f>
        <v/>
      </c>
      <c r="O384" s="22">
        <f>IF(G384="","",IF(K384&lt;&gt;"",AVERAGE(G384,K384),G384))</f>
        <v/>
      </c>
      <c r="P384" s="22">
        <f>IF(OR(N384="",O384=""),"",AVERAGE(N384,O384))</f>
        <v/>
      </c>
    </row>
    <row r="385">
      <c r="A385" s="15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1" t="n"/>
      <c r="G385" s="21" t="n"/>
      <c r="H385" s="21" t="n"/>
      <c r="I385">
        <f>IFERROR(INDEX(מלאי!$N$2:$N$500,MATCH(A385,מלאי!$D$2:$D$500,0)),"")</f>
        <v/>
      </c>
      <c r="J385" s="21" t="n"/>
      <c r="K385" s="21" t="n"/>
      <c r="L385" s="21" t="n"/>
      <c r="M385" s="15" t="n"/>
      <c r="N385" s="22">
        <f>IF(F385="","",IF(J385&lt;&gt;"",AVERAGE(F385,J385),F385))</f>
        <v/>
      </c>
      <c r="O385" s="22">
        <f>IF(G385="","",IF(K385&lt;&gt;"",AVERAGE(G385,K385),G385))</f>
        <v/>
      </c>
      <c r="P385" s="22">
        <f>IF(OR(N385="",O385=""),"",AVERAGE(N385,O385))</f>
        <v/>
      </c>
    </row>
    <row r="386">
      <c r="A386" s="15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1" t="n"/>
      <c r="G386" s="21" t="n"/>
      <c r="H386" s="21" t="n"/>
      <c r="I386">
        <f>IFERROR(INDEX(מלאי!$N$2:$N$500,MATCH(A386,מלאי!$D$2:$D$500,0)),"")</f>
        <v/>
      </c>
      <c r="J386" s="21" t="n"/>
      <c r="K386" s="21" t="n"/>
      <c r="L386" s="21" t="n"/>
      <c r="M386" s="15" t="n"/>
      <c r="N386" s="22">
        <f>IF(F386="","",IF(J386&lt;&gt;"",AVERAGE(F386,J386),F386))</f>
        <v/>
      </c>
      <c r="O386" s="22">
        <f>IF(G386="","",IF(K386&lt;&gt;"",AVERAGE(G386,K386),G386))</f>
        <v/>
      </c>
      <c r="P386" s="22">
        <f>IF(OR(N386="",O386=""),"",AVERAGE(N386,O386))</f>
        <v/>
      </c>
    </row>
    <row r="387">
      <c r="A387" s="15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1" t="n"/>
      <c r="G387" s="21" t="n"/>
      <c r="H387" s="21" t="n"/>
      <c r="I387">
        <f>IFERROR(INDEX(מלאי!$N$2:$N$500,MATCH(A387,מלאי!$D$2:$D$500,0)),"")</f>
        <v/>
      </c>
      <c r="J387" s="21" t="n"/>
      <c r="K387" s="21" t="n"/>
      <c r="L387" s="21" t="n"/>
      <c r="M387" s="15" t="n"/>
      <c r="N387" s="22">
        <f>IF(F387="","",IF(J387&lt;&gt;"",AVERAGE(F387,J387),F387))</f>
        <v/>
      </c>
      <c r="O387" s="22">
        <f>IF(G387="","",IF(K387&lt;&gt;"",AVERAGE(G387,K387),G387))</f>
        <v/>
      </c>
      <c r="P387" s="22">
        <f>IF(OR(N387="",O387=""),"",AVERAGE(N387,O387))</f>
        <v/>
      </c>
    </row>
    <row r="388">
      <c r="A388" s="15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1" t="n"/>
      <c r="G388" s="21" t="n"/>
      <c r="H388" s="21" t="n"/>
      <c r="I388">
        <f>IFERROR(INDEX(מלאי!$N$2:$N$500,MATCH(A388,מלאי!$D$2:$D$500,0)),"")</f>
        <v/>
      </c>
      <c r="J388" s="21" t="n"/>
      <c r="K388" s="21" t="n"/>
      <c r="L388" s="21" t="n"/>
      <c r="M388" s="15" t="n"/>
      <c r="N388" s="22">
        <f>IF(F388="","",IF(J388&lt;&gt;"",AVERAGE(F388,J388),F388))</f>
        <v/>
      </c>
      <c r="O388" s="22">
        <f>IF(G388="","",IF(K388&lt;&gt;"",AVERAGE(G388,K388),G388))</f>
        <v/>
      </c>
      <c r="P388" s="22">
        <f>IF(OR(N388="",O388=""),"",AVERAGE(N388,O388))</f>
        <v/>
      </c>
    </row>
    <row r="389">
      <c r="A389" s="15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1" t="n"/>
      <c r="G389" s="21" t="n"/>
      <c r="H389" s="21" t="n"/>
      <c r="I389">
        <f>IFERROR(INDEX(מלאי!$N$2:$N$500,MATCH(A389,מלאי!$D$2:$D$500,0)),"")</f>
        <v/>
      </c>
      <c r="J389" s="21" t="n"/>
      <c r="K389" s="21" t="n"/>
      <c r="L389" s="21" t="n"/>
      <c r="M389" s="15" t="n"/>
      <c r="N389" s="22">
        <f>IF(F389="","",IF(J389&lt;&gt;"",AVERAGE(F389,J389),F389))</f>
        <v/>
      </c>
      <c r="O389" s="22">
        <f>IF(G389="","",IF(K389&lt;&gt;"",AVERAGE(G389,K389),G389))</f>
        <v/>
      </c>
      <c r="P389" s="22">
        <f>IF(OR(N389="",O389=""),"",AVERAGE(N389,O389))</f>
        <v/>
      </c>
    </row>
    <row r="390">
      <c r="A390" s="15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1" t="n"/>
      <c r="G390" s="21" t="n"/>
      <c r="H390" s="21" t="n"/>
      <c r="I390">
        <f>IFERROR(INDEX(מלאי!$N$2:$N$500,MATCH(A390,מלאי!$D$2:$D$500,0)),"")</f>
        <v/>
      </c>
      <c r="J390" s="21" t="n"/>
      <c r="K390" s="21" t="n"/>
      <c r="L390" s="21" t="n"/>
      <c r="M390" s="15" t="n"/>
      <c r="N390" s="22">
        <f>IF(F390="","",IF(J390&lt;&gt;"",AVERAGE(F390,J390),F390))</f>
        <v/>
      </c>
      <c r="O390" s="22">
        <f>IF(G390="","",IF(K390&lt;&gt;"",AVERAGE(G390,K390),G390))</f>
        <v/>
      </c>
      <c r="P390" s="22">
        <f>IF(OR(N390="",O390=""),"",AVERAGE(N390,O390))</f>
        <v/>
      </c>
    </row>
    <row r="391">
      <c r="A391" s="15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1" t="n"/>
      <c r="G391" s="21" t="n"/>
      <c r="H391" s="21" t="n"/>
      <c r="I391">
        <f>IFERROR(INDEX(מלאי!$N$2:$N$500,MATCH(A391,מלאי!$D$2:$D$500,0)),"")</f>
        <v/>
      </c>
      <c r="J391" s="21" t="n"/>
      <c r="K391" s="21" t="n"/>
      <c r="L391" s="21" t="n"/>
      <c r="M391" s="15" t="n"/>
      <c r="N391" s="22">
        <f>IF(F391="","",IF(J391&lt;&gt;"",AVERAGE(F391,J391),F391))</f>
        <v/>
      </c>
      <c r="O391" s="22">
        <f>IF(G391="","",IF(K391&lt;&gt;"",AVERAGE(G391,K391),G391))</f>
        <v/>
      </c>
      <c r="P391" s="22">
        <f>IF(OR(N391="",O391=""),"",AVERAGE(N391,O391))</f>
        <v/>
      </c>
    </row>
    <row r="392">
      <c r="A392" s="15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1" t="n"/>
      <c r="G392" s="21" t="n"/>
      <c r="H392" s="21" t="n"/>
      <c r="I392">
        <f>IFERROR(INDEX(מלאי!$N$2:$N$500,MATCH(A392,מלאי!$D$2:$D$500,0)),"")</f>
        <v/>
      </c>
      <c r="J392" s="21" t="n"/>
      <c r="K392" s="21" t="n"/>
      <c r="L392" s="21" t="n"/>
      <c r="M392" s="15" t="n"/>
      <c r="N392" s="22">
        <f>IF(F392="","",IF(J392&lt;&gt;"",AVERAGE(F392,J392),F392))</f>
        <v/>
      </c>
      <c r="O392" s="22">
        <f>IF(G392="","",IF(K392&lt;&gt;"",AVERAGE(G392,K392),G392))</f>
        <v/>
      </c>
      <c r="P392" s="22">
        <f>IF(OR(N392="",O392=""),"",AVERAGE(N392,O392))</f>
        <v/>
      </c>
    </row>
    <row r="393">
      <c r="A393" s="15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1" t="n"/>
      <c r="G393" s="21" t="n"/>
      <c r="H393" s="21" t="n"/>
      <c r="I393">
        <f>IFERROR(INDEX(מלאי!$N$2:$N$500,MATCH(A393,מלאי!$D$2:$D$500,0)),"")</f>
        <v/>
      </c>
      <c r="J393" s="21" t="n"/>
      <c r="K393" s="21" t="n"/>
      <c r="L393" s="21" t="n"/>
      <c r="M393" s="15" t="n"/>
      <c r="N393" s="22">
        <f>IF(F393="","",IF(J393&lt;&gt;"",AVERAGE(F393,J393),F393))</f>
        <v/>
      </c>
      <c r="O393" s="22">
        <f>IF(G393="","",IF(K393&lt;&gt;"",AVERAGE(G393,K393),G393))</f>
        <v/>
      </c>
      <c r="P393" s="22">
        <f>IF(OR(N393="",O393=""),"",AVERAGE(N393,O393))</f>
        <v/>
      </c>
    </row>
    <row r="394">
      <c r="A394" s="15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1" t="n"/>
      <c r="G394" s="21" t="n"/>
      <c r="H394" s="21" t="n"/>
      <c r="I394">
        <f>IFERROR(INDEX(מלאי!$N$2:$N$500,MATCH(A394,מלאי!$D$2:$D$500,0)),"")</f>
        <v/>
      </c>
      <c r="J394" s="21" t="n"/>
      <c r="K394" s="21" t="n"/>
      <c r="L394" s="21" t="n"/>
      <c r="M394" s="15" t="n"/>
      <c r="N394" s="22">
        <f>IF(F394="","",IF(J394&lt;&gt;"",AVERAGE(F394,J394),F394))</f>
        <v/>
      </c>
      <c r="O394" s="22">
        <f>IF(G394="","",IF(K394&lt;&gt;"",AVERAGE(G394,K394),G394))</f>
        <v/>
      </c>
      <c r="P394" s="22">
        <f>IF(OR(N394="",O394=""),"",AVERAGE(N394,O394))</f>
        <v/>
      </c>
    </row>
    <row r="395">
      <c r="A395" s="15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1" t="n"/>
      <c r="G395" s="21" t="n"/>
      <c r="H395" s="21" t="n"/>
      <c r="I395">
        <f>IFERROR(INDEX(מלאי!$N$2:$N$500,MATCH(A395,מלאי!$D$2:$D$500,0)),"")</f>
        <v/>
      </c>
      <c r="J395" s="21" t="n"/>
      <c r="K395" s="21" t="n"/>
      <c r="L395" s="21" t="n"/>
      <c r="M395" s="15" t="n"/>
      <c r="N395" s="22">
        <f>IF(F395="","",IF(J395&lt;&gt;"",AVERAGE(F395,J395),F395))</f>
        <v/>
      </c>
      <c r="O395" s="22">
        <f>IF(G395="","",IF(K395&lt;&gt;"",AVERAGE(G395,K395),G395))</f>
        <v/>
      </c>
      <c r="P395" s="22">
        <f>IF(OR(N395="",O395=""),"",AVERAGE(N395,O395))</f>
        <v/>
      </c>
    </row>
    <row r="396">
      <c r="A396" s="15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1" t="n"/>
      <c r="G396" s="21" t="n"/>
      <c r="H396" s="21" t="n"/>
      <c r="I396">
        <f>IFERROR(INDEX(מלאי!$N$2:$N$500,MATCH(A396,מלאי!$D$2:$D$500,0)),"")</f>
        <v/>
      </c>
      <c r="J396" s="21" t="n"/>
      <c r="K396" s="21" t="n"/>
      <c r="L396" s="21" t="n"/>
      <c r="M396" s="15" t="n"/>
      <c r="N396" s="22">
        <f>IF(F396="","",IF(J396&lt;&gt;"",AVERAGE(F396,J396),F396))</f>
        <v/>
      </c>
      <c r="O396" s="22">
        <f>IF(G396="","",IF(K396&lt;&gt;"",AVERAGE(G396,K396),G396))</f>
        <v/>
      </c>
      <c r="P396" s="22">
        <f>IF(OR(N396="",O396=""),"",AVERAGE(N396,O396))</f>
        <v/>
      </c>
    </row>
    <row r="397">
      <c r="A397" s="15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1" t="n"/>
      <c r="G397" s="21" t="n"/>
      <c r="H397" s="21" t="n"/>
      <c r="I397">
        <f>IFERROR(INDEX(מלאי!$N$2:$N$500,MATCH(A397,מלאי!$D$2:$D$500,0)),"")</f>
        <v/>
      </c>
      <c r="J397" s="21" t="n"/>
      <c r="K397" s="21" t="n"/>
      <c r="L397" s="21" t="n"/>
      <c r="M397" s="15" t="n"/>
      <c r="N397" s="22">
        <f>IF(F397="","",IF(J397&lt;&gt;"",AVERAGE(F397,J397),F397))</f>
        <v/>
      </c>
      <c r="O397" s="22">
        <f>IF(G397="","",IF(K397&lt;&gt;"",AVERAGE(G397,K397),G397))</f>
        <v/>
      </c>
      <c r="P397" s="22">
        <f>IF(OR(N397="",O397=""),"",AVERAGE(N397,O397))</f>
        <v/>
      </c>
    </row>
    <row r="398">
      <c r="A398" s="15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1" t="n"/>
      <c r="G398" s="21" t="n"/>
      <c r="H398" s="21" t="n"/>
      <c r="I398">
        <f>IFERROR(INDEX(מלאי!$N$2:$N$500,MATCH(A398,מלאי!$D$2:$D$500,0)),"")</f>
        <v/>
      </c>
      <c r="J398" s="21" t="n"/>
      <c r="K398" s="21" t="n"/>
      <c r="L398" s="21" t="n"/>
      <c r="M398" s="15" t="n"/>
      <c r="N398" s="22">
        <f>IF(F398="","",IF(J398&lt;&gt;"",AVERAGE(F398,J398),F398))</f>
        <v/>
      </c>
      <c r="O398" s="22">
        <f>IF(G398="","",IF(K398&lt;&gt;"",AVERAGE(G398,K398),G398))</f>
        <v/>
      </c>
      <c r="P398" s="22">
        <f>IF(OR(N398="",O398=""),"",AVERAGE(N398,O398))</f>
        <v/>
      </c>
    </row>
    <row r="399">
      <c r="A399" s="15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1" t="n"/>
      <c r="G399" s="21" t="n"/>
      <c r="H399" s="21" t="n"/>
      <c r="I399">
        <f>IFERROR(INDEX(מלאי!$N$2:$N$500,MATCH(A399,מלאי!$D$2:$D$500,0)),"")</f>
        <v/>
      </c>
      <c r="J399" s="21" t="n"/>
      <c r="K399" s="21" t="n"/>
      <c r="L399" s="21" t="n"/>
      <c r="M399" s="15" t="n"/>
      <c r="N399" s="22">
        <f>IF(F399="","",IF(J399&lt;&gt;"",AVERAGE(F399,J399),F399))</f>
        <v/>
      </c>
      <c r="O399" s="22">
        <f>IF(G399="","",IF(K399&lt;&gt;"",AVERAGE(G399,K399),G399))</f>
        <v/>
      </c>
      <c r="P399" s="22">
        <f>IF(OR(N399="",O399=""),"",AVERAGE(N399,O399))</f>
        <v/>
      </c>
    </row>
    <row r="400">
      <c r="A400" s="15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1" t="n"/>
      <c r="G400" s="21" t="n"/>
      <c r="H400" s="21" t="n"/>
      <c r="I400">
        <f>IFERROR(INDEX(מלאי!$N$2:$N$500,MATCH(A400,מלאי!$D$2:$D$500,0)),"")</f>
        <v/>
      </c>
      <c r="J400" s="21" t="n"/>
      <c r="K400" s="21" t="n"/>
      <c r="L400" s="21" t="n"/>
      <c r="M400" s="15" t="n"/>
      <c r="N400" s="22">
        <f>IF(F400="","",IF(J400&lt;&gt;"",AVERAGE(F400,J400),F400))</f>
        <v/>
      </c>
      <c r="O400" s="22">
        <f>IF(G400="","",IF(K400&lt;&gt;"",AVERAGE(G400,K400),G400))</f>
        <v/>
      </c>
      <c r="P400" s="22">
        <f>IF(OR(N400="",O400=""),"",AVERAGE(N400,O400))</f>
        <v/>
      </c>
    </row>
    <row r="401">
      <c r="A401" s="15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1" t="n"/>
      <c r="G401" s="21" t="n"/>
      <c r="H401" s="21" t="n"/>
      <c r="I401">
        <f>IFERROR(INDEX(מלאי!$N$2:$N$500,MATCH(A401,מלאי!$D$2:$D$500,0)),"")</f>
        <v/>
      </c>
      <c r="J401" s="21" t="n"/>
      <c r="K401" s="21" t="n"/>
      <c r="L401" s="21" t="n"/>
      <c r="M401" s="15" t="n"/>
      <c r="N401" s="22">
        <f>IF(F401="","",IF(J401&lt;&gt;"",AVERAGE(F401,J401),F401))</f>
        <v/>
      </c>
      <c r="O401" s="22">
        <f>IF(G401="","",IF(K401&lt;&gt;"",AVERAGE(G401,K401),G401))</f>
        <v/>
      </c>
      <c r="P401" s="22">
        <f>IF(OR(N401="",O401=""),"",AVERAGE(N401,O401))</f>
        <v/>
      </c>
    </row>
    <row r="402">
      <c r="A402" s="15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1" t="n"/>
      <c r="G402" s="21" t="n"/>
      <c r="H402" s="21" t="n"/>
      <c r="I402">
        <f>IFERROR(INDEX(מלאי!$N$2:$N$500,MATCH(A402,מלאי!$D$2:$D$500,0)),"")</f>
        <v/>
      </c>
      <c r="J402" s="21" t="n"/>
      <c r="K402" s="21" t="n"/>
      <c r="L402" s="21" t="n"/>
      <c r="M402" s="15" t="n"/>
      <c r="N402" s="22">
        <f>IF(F402="","",IF(J402&lt;&gt;"",AVERAGE(F402,J402),F402))</f>
        <v/>
      </c>
      <c r="O402" s="22">
        <f>IF(G402="","",IF(K402&lt;&gt;"",AVERAGE(G402,K402),G402))</f>
        <v/>
      </c>
      <c r="P402" s="22">
        <f>IF(OR(N402="",O402=""),"",AVERAGE(N402,O402))</f>
        <v/>
      </c>
    </row>
    <row r="403">
      <c r="A403" s="15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1" t="n"/>
      <c r="G403" s="21" t="n"/>
      <c r="H403" s="21" t="n"/>
      <c r="I403">
        <f>IFERROR(INDEX(מלאי!$N$2:$N$500,MATCH(A403,מלאי!$D$2:$D$500,0)),"")</f>
        <v/>
      </c>
      <c r="J403" s="21" t="n"/>
      <c r="K403" s="21" t="n"/>
      <c r="L403" s="21" t="n"/>
      <c r="M403" s="15" t="n"/>
      <c r="N403" s="22">
        <f>IF(F403="","",IF(J403&lt;&gt;"",AVERAGE(F403,J403),F403))</f>
        <v/>
      </c>
      <c r="O403" s="22">
        <f>IF(G403="","",IF(K403&lt;&gt;"",AVERAGE(G403,K403),G403))</f>
        <v/>
      </c>
      <c r="P403" s="22">
        <f>IF(OR(N403="",O403=""),"",AVERAGE(N403,O403))</f>
        <v/>
      </c>
    </row>
    <row r="404">
      <c r="A404" s="15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1" t="n"/>
      <c r="G404" s="21" t="n"/>
      <c r="H404" s="21" t="n"/>
      <c r="I404">
        <f>IFERROR(INDEX(מלאי!$N$2:$N$500,MATCH(A404,מלאי!$D$2:$D$500,0)),"")</f>
        <v/>
      </c>
      <c r="J404" s="21" t="n"/>
      <c r="K404" s="21" t="n"/>
      <c r="L404" s="21" t="n"/>
      <c r="M404" s="15" t="n"/>
      <c r="N404" s="22">
        <f>IF(F404="","",IF(J404&lt;&gt;"",AVERAGE(F404,J404),F404))</f>
        <v/>
      </c>
      <c r="O404" s="22">
        <f>IF(G404="","",IF(K404&lt;&gt;"",AVERAGE(G404,K404),G404))</f>
        <v/>
      </c>
      <c r="P404" s="22">
        <f>IF(OR(N404="",O404=""),"",AVERAGE(N404,O404))</f>
        <v/>
      </c>
    </row>
    <row r="405">
      <c r="A405" s="15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1" t="n"/>
      <c r="G405" s="21" t="n"/>
      <c r="H405" s="21" t="n"/>
      <c r="I405">
        <f>IFERROR(INDEX(מלאי!$N$2:$N$500,MATCH(A405,מלאי!$D$2:$D$500,0)),"")</f>
        <v/>
      </c>
      <c r="J405" s="21" t="n"/>
      <c r="K405" s="21" t="n"/>
      <c r="L405" s="21" t="n"/>
      <c r="M405" s="15" t="n"/>
      <c r="N405" s="22">
        <f>IF(F405="","",IF(J405&lt;&gt;"",AVERAGE(F405,J405),F405))</f>
        <v/>
      </c>
      <c r="O405" s="22">
        <f>IF(G405="","",IF(K405&lt;&gt;"",AVERAGE(G405,K405),G405))</f>
        <v/>
      </c>
      <c r="P405" s="22">
        <f>IF(OR(N405="",O405=""),"",AVERAGE(N405,O405))</f>
        <v/>
      </c>
    </row>
    <row r="406">
      <c r="A406" s="15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1" t="n"/>
      <c r="G406" s="21" t="n"/>
      <c r="H406" s="21" t="n"/>
      <c r="I406">
        <f>IFERROR(INDEX(מלאי!$N$2:$N$500,MATCH(A406,מלאי!$D$2:$D$500,0)),"")</f>
        <v/>
      </c>
      <c r="J406" s="21" t="n"/>
      <c r="K406" s="21" t="n"/>
      <c r="L406" s="21" t="n"/>
      <c r="M406" s="15" t="n"/>
      <c r="N406" s="22">
        <f>IF(F406="","",IF(J406&lt;&gt;"",AVERAGE(F406,J406),F406))</f>
        <v/>
      </c>
      <c r="O406" s="22">
        <f>IF(G406="","",IF(K406&lt;&gt;"",AVERAGE(G406,K406),G406))</f>
        <v/>
      </c>
      <c r="P406" s="22">
        <f>IF(OR(N406="",O406=""),"",AVERAGE(N406,O406))</f>
        <v/>
      </c>
    </row>
    <row r="407">
      <c r="A407" s="15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1" t="n"/>
      <c r="G407" s="21" t="n"/>
      <c r="H407" s="21" t="n"/>
      <c r="I407">
        <f>IFERROR(INDEX(מלאי!$N$2:$N$500,MATCH(A407,מלאי!$D$2:$D$500,0)),"")</f>
        <v/>
      </c>
      <c r="J407" s="21" t="n"/>
      <c r="K407" s="21" t="n"/>
      <c r="L407" s="21" t="n"/>
      <c r="M407" s="15" t="n"/>
      <c r="N407" s="22">
        <f>IF(F407="","",IF(J407&lt;&gt;"",AVERAGE(F407,J407),F407))</f>
        <v/>
      </c>
      <c r="O407" s="22">
        <f>IF(G407="","",IF(K407&lt;&gt;"",AVERAGE(G407,K407),G407))</f>
        <v/>
      </c>
      <c r="P407" s="22">
        <f>IF(OR(N407="",O407=""),"",AVERAGE(N407,O407))</f>
        <v/>
      </c>
    </row>
    <row r="408">
      <c r="A408" s="15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1" t="n"/>
      <c r="G408" s="21" t="n"/>
      <c r="H408" s="21" t="n"/>
      <c r="I408">
        <f>IFERROR(INDEX(מלאי!$N$2:$N$500,MATCH(A408,מלאי!$D$2:$D$500,0)),"")</f>
        <v/>
      </c>
      <c r="J408" s="21" t="n"/>
      <c r="K408" s="21" t="n"/>
      <c r="L408" s="21" t="n"/>
      <c r="M408" s="15" t="n"/>
      <c r="N408" s="22">
        <f>IF(F408="","",IF(J408&lt;&gt;"",AVERAGE(F408,J408),F408))</f>
        <v/>
      </c>
      <c r="O408" s="22">
        <f>IF(G408="","",IF(K408&lt;&gt;"",AVERAGE(G408,K408),G408))</f>
        <v/>
      </c>
      <c r="P408" s="22">
        <f>IF(OR(N408="",O408=""),"",AVERAGE(N408,O408))</f>
        <v/>
      </c>
    </row>
    <row r="409">
      <c r="A409" s="15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1" t="n"/>
      <c r="G409" s="21" t="n"/>
      <c r="H409" s="21" t="n"/>
      <c r="I409">
        <f>IFERROR(INDEX(מלאי!$N$2:$N$500,MATCH(A409,מלאי!$D$2:$D$500,0)),"")</f>
        <v/>
      </c>
      <c r="J409" s="21" t="n"/>
      <c r="K409" s="21" t="n"/>
      <c r="L409" s="21" t="n"/>
      <c r="M409" s="15" t="n"/>
      <c r="N409" s="22">
        <f>IF(F409="","",IF(J409&lt;&gt;"",AVERAGE(F409,J409),F409))</f>
        <v/>
      </c>
      <c r="O409" s="22">
        <f>IF(G409="","",IF(K409&lt;&gt;"",AVERAGE(G409,K409),G409))</f>
        <v/>
      </c>
      <c r="P409" s="22">
        <f>IF(OR(N409="",O409=""),"",AVERAGE(N409,O409))</f>
        <v/>
      </c>
    </row>
    <row r="410">
      <c r="A410" s="15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1" t="n"/>
      <c r="G410" s="21" t="n"/>
      <c r="H410" s="21" t="n"/>
      <c r="I410">
        <f>IFERROR(INDEX(מלאי!$N$2:$N$500,MATCH(A410,מלאי!$D$2:$D$500,0)),"")</f>
        <v/>
      </c>
      <c r="J410" s="21" t="n"/>
      <c r="K410" s="21" t="n"/>
      <c r="L410" s="21" t="n"/>
      <c r="M410" s="15" t="n"/>
      <c r="N410" s="22">
        <f>IF(F410="","",IF(J410&lt;&gt;"",AVERAGE(F410,J410),F410))</f>
        <v/>
      </c>
      <c r="O410" s="22">
        <f>IF(G410="","",IF(K410&lt;&gt;"",AVERAGE(G410,K410),G410))</f>
        <v/>
      </c>
      <c r="P410" s="22">
        <f>IF(OR(N410="",O410=""),"",AVERAGE(N410,O410))</f>
        <v/>
      </c>
    </row>
    <row r="411">
      <c r="A411" s="15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1" t="n"/>
      <c r="G411" s="21" t="n"/>
      <c r="H411" s="21" t="n"/>
      <c r="I411">
        <f>IFERROR(INDEX(מלאי!$N$2:$N$500,MATCH(A411,מלאי!$D$2:$D$500,0)),"")</f>
        <v/>
      </c>
      <c r="J411" s="21" t="n"/>
      <c r="K411" s="21" t="n"/>
      <c r="L411" s="21" t="n"/>
      <c r="M411" s="15" t="n"/>
      <c r="N411" s="22">
        <f>IF(F411="","",IF(J411&lt;&gt;"",AVERAGE(F411,J411),F411))</f>
        <v/>
      </c>
      <c r="O411" s="22">
        <f>IF(G411="","",IF(K411&lt;&gt;"",AVERAGE(G411,K411),G411))</f>
        <v/>
      </c>
      <c r="P411" s="22">
        <f>IF(OR(N411="",O411=""),"",AVERAGE(N411,O411))</f>
        <v/>
      </c>
    </row>
    <row r="412">
      <c r="A412" s="15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1" t="n"/>
      <c r="G412" s="21" t="n"/>
      <c r="H412" s="21" t="n"/>
      <c r="I412">
        <f>IFERROR(INDEX(מלאי!$N$2:$N$500,MATCH(A412,מלאי!$D$2:$D$500,0)),"")</f>
        <v/>
      </c>
      <c r="J412" s="21" t="n"/>
      <c r="K412" s="21" t="n"/>
      <c r="L412" s="21" t="n"/>
      <c r="M412" s="15" t="n"/>
      <c r="N412" s="22">
        <f>IF(F412="","",IF(J412&lt;&gt;"",AVERAGE(F412,J412),F412))</f>
        <v/>
      </c>
      <c r="O412" s="22">
        <f>IF(G412="","",IF(K412&lt;&gt;"",AVERAGE(G412,K412),G412))</f>
        <v/>
      </c>
      <c r="P412" s="22">
        <f>IF(OR(N412="",O412=""),"",AVERAGE(N412,O412))</f>
        <v/>
      </c>
    </row>
    <row r="413">
      <c r="A413" s="15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1" t="n"/>
      <c r="G413" s="21" t="n"/>
      <c r="H413" s="21" t="n"/>
      <c r="I413">
        <f>IFERROR(INDEX(מלאי!$N$2:$N$500,MATCH(A413,מלאי!$D$2:$D$500,0)),"")</f>
        <v/>
      </c>
      <c r="J413" s="21" t="n"/>
      <c r="K413" s="21" t="n"/>
      <c r="L413" s="21" t="n"/>
      <c r="M413" s="15" t="n"/>
      <c r="N413" s="22">
        <f>IF(F413="","",IF(J413&lt;&gt;"",AVERAGE(F413,J413),F413))</f>
        <v/>
      </c>
      <c r="O413" s="22">
        <f>IF(G413="","",IF(K413&lt;&gt;"",AVERAGE(G413,K413),G413))</f>
        <v/>
      </c>
      <c r="P413" s="22">
        <f>IF(OR(N413="",O413=""),"",AVERAGE(N413,O413))</f>
        <v/>
      </c>
    </row>
    <row r="414">
      <c r="A414" s="15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1" t="n"/>
      <c r="G414" s="21" t="n"/>
      <c r="H414" s="21" t="n"/>
      <c r="I414">
        <f>IFERROR(INDEX(מלאי!$N$2:$N$500,MATCH(A414,מלאי!$D$2:$D$500,0)),"")</f>
        <v/>
      </c>
      <c r="J414" s="21" t="n"/>
      <c r="K414" s="21" t="n"/>
      <c r="L414" s="21" t="n"/>
      <c r="M414" s="15" t="n"/>
      <c r="N414" s="22">
        <f>IF(F414="","",IF(J414&lt;&gt;"",AVERAGE(F414,J414),F414))</f>
        <v/>
      </c>
      <c r="O414" s="22">
        <f>IF(G414="","",IF(K414&lt;&gt;"",AVERAGE(G414,K414),G414))</f>
        <v/>
      </c>
      <c r="P414" s="22">
        <f>IF(OR(N414="",O414=""),"",AVERAGE(N414,O414))</f>
        <v/>
      </c>
    </row>
    <row r="415">
      <c r="A415" s="15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1" t="n"/>
      <c r="G415" s="21" t="n"/>
      <c r="H415" s="21" t="n"/>
      <c r="I415">
        <f>IFERROR(INDEX(מלאי!$N$2:$N$500,MATCH(A415,מלאי!$D$2:$D$500,0)),"")</f>
        <v/>
      </c>
      <c r="J415" s="21" t="n"/>
      <c r="K415" s="21" t="n"/>
      <c r="L415" s="21" t="n"/>
      <c r="M415" s="15" t="n"/>
      <c r="N415" s="22">
        <f>IF(F415="","",IF(J415&lt;&gt;"",AVERAGE(F415,J415),F415))</f>
        <v/>
      </c>
      <c r="O415" s="22">
        <f>IF(G415="","",IF(K415&lt;&gt;"",AVERAGE(G415,K415),G415))</f>
        <v/>
      </c>
      <c r="P415" s="22">
        <f>IF(OR(N415="",O415=""),"",AVERAGE(N415,O415))</f>
        <v/>
      </c>
    </row>
    <row r="416">
      <c r="A416" s="15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1" t="n"/>
      <c r="G416" s="21" t="n"/>
      <c r="H416" s="21" t="n"/>
      <c r="I416">
        <f>IFERROR(INDEX(מלאי!$N$2:$N$500,MATCH(A416,מלאי!$D$2:$D$500,0)),"")</f>
        <v/>
      </c>
      <c r="J416" s="21" t="n"/>
      <c r="K416" s="21" t="n"/>
      <c r="L416" s="21" t="n"/>
      <c r="M416" s="15" t="n"/>
      <c r="N416" s="22">
        <f>IF(F416="","",IF(J416&lt;&gt;"",AVERAGE(F416,J416),F416))</f>
        <v/>
      </c>
      <c r="O416" s="22">
        <f>IF(G416="","",IF(K416&lt;&gt;"",AVERAGE(G416,K416),G416))</f>
        <v/>
      </c>
      <c r="P416" s="22">
        <f>IF(OR(N416="",O416=""),"",AVERAGE(N416,O416))</f>
        <v/>
      </c>
    </row>
    <row r="417">
      <c r="A417" s="15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1" t="n"/>
      <c r="G417" s="21" t="n"/>
      <c r="H417" s="21" t="n"/>
      <c r="I417">
        <f>IFERROR(INDEX(מלאי!$N$2:$N$500,MATCH(A417,מלאי!$D$2:$D$500,0)),"")</f>
        <v/>
      </c>
      <c r="J417" s="21" t="n"/>
      <c r="K417" s="21" t="n"/>
      <c r="L417" s="21" t="n"/>
      <c r="M417" s="15" t="n"/>
      <c r="N417" s="22">
        <f>IF(F417="","",IF(J417&lt;&gt;"",AVERAGE(F417,J417),F417))</f>
        <v/>
      </c>
      <c r="O417" s="22">
        <f>IF(G417="","",IF(K417&lt;&gt;"",AVERAGE(G417,K417),G417))</f>
        <v/>
      </c>
      <c r="P417" s="22">
        <f>IF(OR(N417="",O417=""),"",AVERAGE(N417,O417))</f>
        <v/>
      </c>
    </row>
    <row r="418">
      <c r="A418" s="15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1" t="n"/>
      <c r="G418" s="21" t="n"/>
      <c r="H418" s="21" t="n"/>
      <c r="I418">
        <f>IFERROR(INDEX(מלאי!$N$2:$N$500,MATCH(A418,מלאי!$D$2:$D$500,0)),"")</f>
        <v/>
      </c>
      <c r="J418" s="21" t="n"/>
      <c r="K418" s="21" t="n"/>
      <c r="L418" s="21" t="n"/>
      <c r="M418" s="15" t="n"/>
      <c r="N418" s="22">
        <f>IF(F418="","",IF(J418&lt;&gt;"",AVERAGE(F418,J418),F418))</f>
        <v/>
      </c>
      <c r="O418" s="22">
        <f>IF(G418="","",IF(K418&lt;&gt;"",AVERAGE(G418,K418),G418))</f>
        <v/>
      </c>
      <c r="P418" s="22">
        <f>IF(OR(N418="",O418=""),"",AVERAGE(N418,O418))</f>
        <v/>
      </c>
    </row>
    <row r="419">
      <c r="A419" s="15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1" t="n"/>
      <c r="G419" s="21" t="n"/>
      <c r="H419" s="21" t="n"/>
      <c r="I419">
        <f>IFERROR(INDEX(מלאי!$N$2:$N$500,MATCH(A419,מלאי!$D$2:$D$500,0)),"")</f>
        <v/>
      </c>
      <c r="J419" s="21" t="n"/>
      <c r="K419" s="21" t="n"/>
      <c r="L419" s="21" t="n"/>
      <c r="M419" s="15" t="n"/>
      <c r="N419" s="22">
        <f>IF(F419="","",IF(J419&lt;&gt;"",AVERAGE(F419,J419),F419))</f>
        <v/>
      </c>
      <c r="O419" s="22">
        <f>IF(G419="","",IF(K419&lt;&gt;"",AVERAGE(G419,K419),G419))</f>
        <v/>
      </c>
      <c r="P419" s="22">
        <f>IF(OR(N419="",O419=""),"",AVERAGE(N419,O419))</f>
        <v/>
      </c>
    </row>
    <row r="420">
      <c r="A420" s="15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1" t="n"/>
      <c r="G420" s="21" t="n"/>
      <c r="H420" s="21" t="n"/>
      <c r="I420">
        <f>IFERROR(INDEX(מלאי!$N$2:$N$500,MATCH(A420,מלאי!$D$2:$D$500,0)),"")</f>
        <v/>
      </c>
      <c r="J420" s="21" t="n"/>
      <c r="K420" s="21" t="n"/>
      <c r="L420" s="21" t="n"/>
      <c r="M420" s="15" t="n"/>
      <c r="N420" s="22">
        <f>IF(F420="","",IF(J420&lt;&gt;"",AVERAGE(F420,J420),F420))</f>
        <v/>
      </c>
      <c r="O420" s="22">
        <f>IF(G420="","",IF(K420&lt;&gt;"",AVERAGE(G420,K420),G420))</f>
        <v/>
      </c>
      <c r="P420" s="22">
        <f>IF(OR(N420="",O420=""),"",AVERAGE(N420,O420))</f>
        <v/>
      </c>
    </row>
    <row r="421">
      <c r="A421" s="15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1" t="n"/>
      <c r="G421" s="21" t="n"/>
      <c r="H421" s="21" t="n"/>
      <c r="I421">
        <f>IFERROR(INDEX(מלאי!$N$2:$N$500,MATCH(A421,מלאי!$D$2:$D$500,0)),"")</f>
        <v/>
      </c>
      <c r="J421" s="21" t="n"/>
      <c r="K421" s="21" t="n"/>
      <c r="L421" s="21" t="n"/>
      <c r="M421" s="15" t="n"/>
      <c r="N421" s="22">
        <f>IF(F421="","",IF(J421&lt;&gt;"",AVERAGE(F421,J421),F421))</f>
        <v/>
      </c>
      <c r="O421" s="22">
        <f>IF(G421="","",IF(K421&lt;&gt;"",AVERAGE(G421,K421),G421))</f>
        <v/>
      </c>
      <c r="P421" s="22">
        <f>IF(OR(N421="",O421=""),"",AVERAGE(N421,O421))</f>
        <v/>
      </c>
    </row>
    <row r="422">
      <c r="A422" s="15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1" t="n"/>
      <c r="G422" s="21" t="n"/>
      <c r="H422" s="21" t="n"/>
      <c r="I422">
        <f>IFERROR(INDEX(מלאי!$N$2:$N$500,MATCH(A422,מלאי!$D$2:$D$500,0)),"")</f>
        <v/>
      </c>
      <c r="J422" s="21" t="n"/>
      <c r="K422" s="21" t="n"/>
      <c r="L422" s="21" t="n"/>
      <c r="M422" s="15" t="n"/>
      <c r="N422" s="22">
        <f>IF(F422="","",IF(J422&lt;&gt;"",AVERAGE(F422,J422),F422))</f>
        <v/>
      </c>
      <c r="O422" s="22">
        <f>IF(G422="","",IF(K422&lt;&gt;"",AVERAGE(G422,K422),G422))</f>
        <v/>
      </c>
      <c r="P422" s="22">
        <f>IF(OR(N422="",O422=""),"",AVERAGE(N422,O422))</f>
        <v/>
      </c>
    </row>
    <row r="423">
      <c r="A423" s="15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1" t="n"/>
      <c r="G423" s="21" t="n"/>
      <c r="H423" s="21" t="n"/>
      <c r="I423">
        <f>IFERROR(INDEX(מלאי!$N$2:$N$500,MATCH(A423,מלאי!$D$2:$D$500,0)),"")</f>
        <v/>
      </c>
      <c r="J423" s="21" t="n"/>
      <c r="K423" s="21" t="n"/>
      <c r="L423" s="21" t="n"/>
      <c r="M423" s="15" t="n"/>
      <c r="N423" s="22">
        <f>IF(F423="","",IF(J423&lt;&gt;"",AVERAGE(F423,J423),F423))</f>
        <v/>
      </c>
      <c r="O423" s="22">
        <f>IF(G423="","",IF(K423&lt;&gt;"",AVERAGE(G423,K423),G423))</f>
        <v/>
      </c>
      <c r="P423" s="22">
        <f>IF(OR(N423="",O423=""),"",AVERAGE(N423,O423))</f>
        <v/>
      </c>
    </row>
    <row r="424">
      <c r="A424" s="15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1" t="n"/>
      <c r="G424" s="21" t="n"/>
      <c r="H424" s="21" t="n"/>
      <c r="I424">
        <f>IFERROR(INDEX(מלאי!$N$2:$N$500,MATCH(A424,מלאי!$D$2:$D$500,0)),"")</f>
        <v/>
      </c>
      <c r="J424" s="21" t="n"/>
      <c r="K424" s="21" t="n"/>
      <c r="L424" s="21" t="n"/>
      <c r="M424" s="15" t="n"/>
      <c r="N424" s="22">
        <f>IF(F424="","",IF(J424&lt;&gt;"",AVERAGE(F424,J424),F424))</f>
        <v/>
      </c>
      <c r="O424" s="22">
        <f>IF(G424="","",IF(K424&lt;&gt;"",AVERAGE(G424,K424),G424))</f>
        <v/>
      </c>
      <c r="P424" s="22">
        <f>IF(OR(N424="",O424=""),"",AVERAGE(N424,O424))</f>
        <v/>
      </c>
    </row>
    <row r="425">
      <c r="A425" s="15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1" t="n"/>
      <c r="G425" s="21" t="n"/>
      <c r="H425" s="21" t="n"/>
      <c r="I425">
        <f>IFERROR(INDEX(מלאי!$N$2:$N$500,MATCH(A425,מלאי!$D$2:$D$500,0)),"")</f>
        <v/>
      </c>
      <c r="J425" s="21" t="n"/>
      <c r="K425" s="21" t="n"/>
      <c r="L425" s="21" t="n"/>
      <c r="M425" s="15" t="n"/>
      <c r="N425" s="22">
        <f>IF(F425="","",IF(J425&lt;&gt;"",AVERAGE(F425,J425),F425))</f>
        <v/>
      </c>
      <c r="O425" s="22">
        <f>IF(G425="","",IF(K425&lt;&gt;"",AVERAGE(G425,K425),G425))</f>
        <v/>
      </c>
      <c r="P425" s="22">
        <f>IF(OR(N425="",O425=""),"",AVERAGE(N425,O425))</f>
        <v/>
      </c>
    </row>
    <row r="426">
      <c r="A426" s="15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1" t="n"/>
      <c r="G426" s="21" t="n"/>
      <c r="H426" s="21" t="n"/>
      <c r="I426">
        <f>IFERROR(INDEX(מלאי!$N$2:$N$500,MATCH(A426,מלאי!$D$2:$D$500,0)),"")</f>
        <v/>
      </c>
      <c r="J426" s="21" t="n"/>
      <c r="K426" s="21" t="n"/>
      <c r="L426" s="21" t="n"/>
      <c r="M426" s="15" t="n"/>
      <c r="N426" s="22">
        <f>IF(F426="","",IF(J426&lt;&gt;"",AVERAGE(F426,J426),F426))</f>
        <v/>
      </c>
      <c r="O426" s="22">
        <f>IF(G426="","",IF(K426&lt;&gt;"",AVERAGE(G426,K426),G426))</f>
        <v/>
      </c>
      <c r="P426" s="22">
        <f>IF(OR(N426="",O426=""),"",AVERAGE(N426,O426))</f>
        <v/>
      </c>
    </row>
    <row r="427">
      <c r="A427" s="15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1" t="n"/>
      <c r="G427" s="21" t="n"/>
      <c r="H427" s="21" t="n"/>
      <c r="I427">
        <f>IFERROR(INDEX(מלאי!$N$2:$N$500,MATCH(A427,מלאי!$D$2:$D$500,0)),"")</f>
        <v/>
      </c>
      <c r="J427" s="21" t="n"/>
      <c r="K427" s="21" t="n"/>
      <c r="L427" s="21" t="n"/>
      <c r="M427" s="15" t="n"/>
      <c r="N427" s="22">
        <f>IF(F427="","",IF(J427&lt;&gt;"",AVERAGE(F427,J427),F427))</f>
        <v/>
      </c>
      <c r="O427" s="22">
        <f>IF(G427="","",IF(K427&lt;&gt;"",AVERAGE(G427,K427),G427))</f>
        <v/>
      </c>
      <c r="P427" s="22">
        <f>IF(OR(N427="",O427=""),"",AVERAGE(N427,O427))</f>
        <v/>
      </c>
    </row>
    <row r="428">
      <c r="A428" s="15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1" t="n"/>
      <c r="G428" s="21" t="n"/>
      <c r="H428" s="21" t="n"/>
      <c r="I428">
        <f>IFERROR(INDEX(מלאי!$N$2:$N$500,MATCH(A428,מלאי!$D$2:$D$500,0)),"")</f>
        <v/>
      </c>
      <c r="J428" s="21" t="n"/>
      <c r="K428" s="21" t="n"/>
      <c r="L428" s="21" t="n"/>
      <c r="M428" s="15" t="n"/>
      <c r="N428" s="22">
        <f>IF(F428="","",IF(J428&lt;&gt;"",AVERAGE(F428,J428),F428))</f>
        <v/>
      </c>
      <c r="O428" s="22">
        <f>IF(G428="","",IF(K428&lt;&gt;"",AVERAGE(G428,K428),G428))</f>
        <v/>
      </c>
      <c r="P428" s="22">
        <f>IF(OR(N428="",O428=""),"",AVERAGE(N428,O428))</f>
        <v/>
      </c>
    </row>
    <row r="429">
      <c r="A429" s="15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1" t="n"/>
      <c r="G429" s="21" t="n"/>
      <c r="H429" s="21" t="n"/>
      <c r="I429">
        <f>IFERROR(INDEX(מלאי!$N$2:$N$500,MATCH(A429,מלאי!$D$2:$D$500,0)),"")</f>
        <v/>
      </c>
      <c r="J429" s="21" t="n"/>
      <c r="K429" s="21" t="n"/>
      <c r="L429" s="21" t="n"/>
      <c r="M429" s="15" t="n"/>
      <c r="N429" s="22">
        <f>IF(F429="","",IF(J429&lt;&gt;"",AVERAGE(F429,J429),F429))</f>
        <v/>
      </c>
      <c r="O429" s="22">
        <f>IF(G429="","",IF(K429&lt;&gt;"",AVERAGE(G429,K429),G429))</f>
        <v/>
      </c>
      <c r="P429" s="22">
        <f>IF(OR(N429="",O429=""),"",AVERAGE(N429,O429))</f>
        <v/>
      </c>
    </row>
    <row r="430">
      <c r="A430" s="15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1" t="n"/>
      <c r="G430" s="21" t="n"/>
      <c r="H430" s="21" t="n"/>
      <c r="I430">
        <f>IFERROR(INDEX(מלאי!$N$2:$N$500,MATCH(A430,מלאי!$D$2:$D$500,0)),"")</f>
        <v/>
      </c>
      <c r="J430" s="21" t="n"/>
      <c r="K430" s="21" t="n"/>
      <c r="L430" s="21" t="n"/>
      <c r="M430" s="15" t="n"/>
      <c r="N430" s="22">
        <f>IF(F430="","",IF(J430&lt;&gt;"",AVERAGE(F430,J430),F430))</f>
        <v/>
      </c>
      <c r="O430" s="22">
        <f>IF(G430="","",IF(K430&lt;&gt;"",AVERAGE(G430,K430),G430))</f>
        <v/>
      </c>
      <c r="P430" s="22">
        <f>IF(OR(N430="",O430=""),"",AVERAGE(N430,O430))</f>
        <v/>
      </c>
    </row>
    <row r="431">
      <c r="A431" s="15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1" t="n"/>
      <c r="G431" s="21" t="n"/>
      <c r="H431" s="21" t="n"/>
      <c r="I431">
        <f>IFERROR(INDEX(מלאי!$N$2:$N$500,MATCH(A431,מלאי!$D$2:$D$500,0)),"")</f>
        <v/>
      </c>
      <c r="J431" s="21" t="n"/>
      <c r="K431" s="21" t="n"/>
      <c r="L431" s="21" t="n"/>
      <c r="M431" s="15" t="n"/>
      <c r="N431" s="22">
        <f>IF(F431="","",IF(J431&lt;&gt;"",AVERAGE(F431,J431),F431))</f>
        <v/>
      </c>
      <c r="O431" s="22">
        <f>IF(G431="","",IF(K431&lt;&gt;"",AVERAGE(G431,K431),G431))</f>
        <v/>
      </c>
      <c r="P431" s="22">
        <f>IF(OR(N431="",O431=""),"",AVERAGE(N431,O431))</f>
        <v/>
      </c>
    </row>
    <row r="432">
      <c r="A432" s="15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1" t="n"/>
      <c r="G432" s="21" t="n"/>
      <c r="H432" s="21" t="n"/>
      <c r="I432">
        <f>IFERROR(INDEX(מלאי!$N$2:$N$500,MATCH(A432,מלאי!$D$2:$D$500,0)),"")</f>
        <v/>
      </c>
      <c r="J432" s="21" t="n"/>
      <c r="K432" s="21" t="n"/>
      <c r="L432" s="21" t="n"/>
      <c r="M432" s="15" t="n"/>
      <c r="N432" s="22">
        <f>IF(F432="","",IF(J432&lt;&gt;"",AVERAGE(F432,J432),F432))</f>
        <v/>
      </c>
      <c r="O432" s="22">
        <f>IF(G432="","",IF(K432&lt;&gt;"",AVERAGE(G432,K432),G432))</f>
        <v/>
      </c>
      <c r="P432" s="22">
        <f>IF(OR(N432="",O432=""),"",AVERAGE(N432,O432))</f>
        <v/>
      </c>
    </row>
    <row r="433">
      <c r="A433" s="15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1" t="n"/>
      <c r="G433" s="21" t="n"/>
      <c r="H433" s="21" t="n"/>
      <c r="I433">
        <f>IFERROR(INDEX(מלאי!$N$2:$N$500,MATCH(A433,מלאי!$D$2:$D$500,0)),"")</f>
        <v/>
      </c>
      <c r="J433" s="21" t="n"/>
      <c r="K433" s="21" t="n"/>
      <c r="L433" s="21" t="n"/>
      <c r="M433" s="15" t="n"/>
      <c r="N433" s="22">
        <f>IF(F433="","",IF(J433&lt;&gt;"",AVERAGE(F433,J433),F433))</f>
        <v/>
      </c>
      <c r="O433" s="22">
        <f>IF(G433="","",IF(K433&lt;&gt;"",AVERAGE(G433,K433),G433))</f>
        <v/>
      </c>
      <c r="P433" s="22">
        <f>IF(OR(N433="",O433=""),"",AVERAGE(N433,O433))</f>
        <v/>
      </c>
    </row>
    <row r="434">
      <c r="A434" s="15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1" t="n"/>
      <c r="G434" s="21" t="n"/>
      <c r="H434" s="21" t="n"/>
      <c r="I434">
        <f>IFERROR(INDEX(מלאי!$N$2:$N$500,MATCH(A434,מלאי!$D$2:$D$500,0)),"")</f>
        <v/>
      </c>
      <c r="J434" s="21" t="n"/>
      <c r="K434" s="21" t="n"/>
      <c r="L434" s="21" t="n"/>
      <c r="M434" s="15" t="n"/>
      <c r="N434" s="22">
        <f>IF(F434="","",IF(J434&lt;&gt;"",AVERAGE(F434,J434),F434))</f>
        <v/>
      </c>
      <c r="O434" s="22">
        <f>IF(G434="","",IF(K434&lt;&gt;"",AVERAGE(G434,K434),G434))</f>
        <v/>
      </c>
      <c r="P434" s="22">
        <f>IF(OR(N434="",O434=""),"",AVERAGE(N434,O434))</f>
        <v/>
      </c>
    </row>
    <row r="435">
      <c r="A435" s="15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1" t="n"/>
      <c r="G435" s="21" t="n"/>
      <c r="H435" s="21" t="n"/>
      <c r="I435">
        <f>IFERROR(INDEX(מלאי!$N$2:$N$500,MATCH(A435,מלאי!$D$2:$D$500,0)),"")</f>
        <v/>
      </c>
      <c r="J435" s="21" t="n"/>
      <c r="K435" s="21" t="n"/>
      <c r="L435" s="21" t="n"/>
      <c r="M435" s="15" t="n"/>
      <c r="N435" s="22">
        <f>IF(F435="","",IF(J435&lt;&gt;"",AVERAGE(F435,J435),F435))</f>
        <v/>
      </c>
      <c r="O435" s="22">
        <f>IF(G435="","",IF(K435&lt;&gt;"",AVERAGE(G435,K435),G435))</f>
        <v/>
      </c>
      <c r="P435" s="22">
        <f>IF(OR(N435="",O435=""),"",AVERAGE(N435,O435))</f>
        <v/>
      </c>
    </row>
    <row r="436">
      <c r="A436" s="15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1" t="n"/>
      <c r="G436" s="21" t="n"/>
      <c r="H436" s="21" t="n"/>
      <c r="I436">
        <f>IFERROR(INDEX(מלאי!$N$2:$N$500,MATCH(A436,מלאי!$D$2:$D$500,0)),"")</f>
        <v/>
      </c>
      <c r="J436" s="21" t="n"/>
      <c r="K436" s="21" t="n"/>
      <c r="L436" s="21" t="n"/>
      <c r="M436" s="15" t="n"/>
      <c r="N436" s="22">
        <f>IF(F436="","",IF(J436&lt;&gt;"",AVERAGE(F436,J436),F436))</f>
        <v/>
      </c>
      <c r="O436" s="22">
        <f>IF(G436="","",IF(K436&lt;&gt;"",AVERAGE(G436,K436),G436))</f>
        <v/>
      </c>
      <c r="P436" s="22">
        <f>IF(OR(N436="",O436=""),"",AVERAGE(N436,O436))</f>
        <v/>
      </c>
    </row>
    <row r="437">
      <c r="A437" s="15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1" t="n"/>
      <c r="G437" s="21" t="n"/>
      <c r="H437" s="21" t="n"/>
      <c r="I437">
        <f>IFERROR(INDEX(מלאי!$N$2:$N$500,MATCH(A437,מלאי!$D$2:$D$500,0)),"")</f>
        <v/>
      </c>
      <c r="J437" s="21" t="n"/>
      <c r="K437" s="21" t="n"/>
      <c r="L437" s="21" t="n"/>
      <c r="M437" s="15" t="n"/>
      <c r="N437" s="22">
        <f>IF(F437="","",IF(J437&lt;&gt;"",AVERAGE(F437,J437),F437))</f>
        <v/>
      </c>
      <c r="O437" s="22">
        <f>IF(G437="","",IF(K437&lt;&gt;"",AVERAGE(G437,K437),G437))</f>
        <v/>
      </c>
      <c r="P437" s="22">
        <f>IF(OR(N437="",O437=""),"",AVERAGE(N437,O437))</f>
        <v/>
      </c>
    </row>
    <row r="438">
      <c r="A438" s="15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1" t="n"/>
      <c r="G438" s="21" t="n"/>
      <c r="H438" s="21" t="n"/>
      <c r="I438">
        <f>IFERROR(INDEX(מלאי!$N$2:$N$500,MATCH(A438,מלאי!$D$2:$D$500,0)),"")</f>
        <v/>
      </c>
      <c r="J438" s="21" t="n"/>
      <c r="K438" s="21" t="n"/>
      <c r="L438" s="21" t="n"/>
      <c r="M438" s="15" t="n"/>
      <c r="N438" s="22">
        <f>IF(F438="","",IF(J438&lt;&gt;"",AVERAGE(F438,J438),F438))</f>
        <v/>
      </c>
      <c r="O438" s="22">
        <f>IF(G438="","",IF(K438&lt;&gt;"",AVERAGE(G438,K438),G438))</f>
        <v/>
      </c>
      <c r="P438" s="22">
        <f>IF(OR(N438="",O438=""),"",AVERAGE(N438,O438))</f>
        <v/>
      </c>
    </row>
    <row r="439">
      <c r="A439" s="15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1" t="n"/>
      <c r="G439" s="21" t="n"/>
      <c r="H439" s="21" t="n"/>
      <c r="I439">
        <f>IFERROR(INDEX(מלאי!$N$2:$N$500,MATCH(A439,מלאי!$D$2:$D$500,0)),"")</f>
        <v/>
      </c>
      <c r="J439" s="21" t="n"/>
      <c r="K439" s="21" t="n"/>
      <c r="L439" s="21" t="n"/>
      <c r="M439" s="15" t="n"/>
      <c r="N439" s="22">
        <f>IF(F439="","",IF(J439&lt;&gt;"",AVERAGE(F439,J439),F439))</f>
        <v/>
      </c>
      <c r="O439" s="22">
        <f>IF(G439="","",IF(K439&lt;&gt;"",AVERAGE(G439,K439),G439))</f>
        <v/>
      </c>
      <c r="P439" s="22">
        <f>IF(OR(N439="",O439=""),"",AVERAGE(N439,O439))</f>
        <v/>
      </c>
    </row>
    <row r="440">
      <c r="A440" s="15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1" t="n"/>
      <c r="G440" s="21" t="n"/>
      <c r="H440" s="21" t="n"/>
      <c r="I440">
        <f>IFERROR(INDEX(מלאי!$N$2:$N$500,MATCH(A440,מלאי!$D$2:$D$500,0)),"")</f>
        <v/>
      </c>
      <c r="J440" s="21" t="n"/>
      <c r="K440" s="21" t="n"/>
      <c r="L440" s="21" t="n"/>
      <c r="M440" s="15" t="n"/>
      <c r="N440" s="22">
        <f>IF(F440="","",IF(J440&lt;&gt;"",AVERAGE(F440,J440),F440))</f>
        <v/>
      </c>
      <c r="O440" s="22">
        <f>IF(G440="","",IF(K440&lt;&gt;"",AVERAGE(G440,K440),G440))</f>
        <v/>
      </c>
      <c r="P440" s="22">
        <f>IF(OR(N440="",O440=""),"",AVERAGE(N440,O440))</f>
        <v/>
      </c>
    </row>
    <row r="441">
      <c r="A441" s="15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1" t="n"/>
      <c r="G441" s="21" t="n"/>
      <c r="H441" s="21" t="n"/>
      <c r="I441">
        <f>IFERROR(INDEX(מלאי!$N$2:$N$500,MATCH(A441,מלאי!$D$2:$D$500,0)),"")</f>
        <v/>
      </c>
      <c r="J441" s="21" t="n"/>
      <c r="K441" s="21" t="n"/>
      <c r="L441" s="21" t="n"/>
      <c r="M441" s="15" t="n"/>
      <c r="N441" s="22">
        <f>IF(F441="","",IF(J441&lt;&gt;"",AVERAGE(F441,J441),F441))</f>
        <v/>
      </c>
      <c r="O441" s="22">
        <f>IF(G441="","",IF(K441&lt;&gt;"",AVERAGE(G441,K441),G441))</f>
        <v/>
      </c>
      <c r="P441" s="22">
        <f>IF(OR(N441="",O441=""),"",AVERAGE(N441,O441))</f>
        <v/>
      </c>
    </row>
    <row r="442">
      <c r="A442" s="15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1" t="n"/>
      <c r="G442" s="21" t="n"/>
      <c r="H442" s="21" t="n"/>
      <c r="I442">
        <f>IFERROR(INDEX(מלאי!$N$2:$N$500,MATCH(A442,מלאי!$D$2:$D$500,0)),"")</f>
        <v/>
      </c>
      <c r="J442" s="21" t="n"/>
      <c r="K442" s="21" t="n"/>
      <c r="L442" s="21" t="n"/>
      <c r="M442" s="15" t="n"/>
      <c r="N442" s="22">
        <f>IF(F442="","",IF(J442&lt;&gt;"",AVERAGE(F442,J442),F442))</f>
        <v/>
      </c>
      <c r="O442" s="22">
        <f>IF(G442="","",IF(K442&lt;&gt;"",AVERAGE(G442,K442),G442))</f>
        <v/>
      </c>
      <c r="P442" s="22">
        <f>IF(OR(N442="",O442=""),"",AVERAGE(N442,O442))</f>
        <v/>
      </c>
    </row>
    <row r="443">
      <c r="A443" s="15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1" t="n"/>
      <c r="G443" s="21" t="n"/>
      <c r="H443" s="21" t="n"/>
      <c r="I443">
        <f>IFERROR(INDEX(מלאי!$N$2:$N$500,MATCH(A443,מלאי!$D$2:$D$500,0)),"")</f>
        <v/>
      </c>
      <c r="J443" s="21" t="n"/>
      <c r="K443" s="21" t="n"/>
      <c r="L443" s="21" t="n"/>
      <c r="M443" s="15" t="n"/>
      <c r="N443" s="22">
        <f>IF(F443="","",IF(J443&lt;&gt;"",AVERAGE(F443,J443),F443))</f>
        <v/>
      </c>
      <c r="O443" s="22">
        <f>IF(G443="","",IF(K443&lt;&gt;"",AVERAGE(G443,K443),G443))</f>
        <v/>
      </c>
      <c r="P443" s="22">
        <f>IF(OR(N443="",O443=""),"",AVERAGE(N443,O443))</f>
        <v/>
      </c>
    </row>
    <row r="444">
      <c r="A444" s="15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1" t="n"/>
      <c r="G444" s="21" t="n"/>
      <c r="H444" s="21" t="n"/>
      <c r="I444">
        <f>IFERROR(INDEX(מלאי!$N$2:$N$500,MATCH(A444,מלאי!$D$2:$D$500,0)),"")</f>
        <v/>
      </c>
      <c r="J444" s="21" t="n"/>
      <c r="K444" s="21" t="n"/>
      <c r="L444" s="21" t="n"/>
      <c r="M444" s="15" t="n"/>
      <c r="N444" s="22">
        <f>IF(F444="","",IF(J444&lt;&gt;"",AVERAGE(F444,J444),F444))</f>
        <v/>
      </c>
      <c r="O444" s="22">
        <f>IF(G444="","",IF(K444&lt;&gt;"",AVERAGE(G444,K444),G444))</f>
        <v/>
      </c>
      <c r="P444" s="22">
        <f>IF(OR(N444="",O444=""),"",AVERAGE(N444,O444))</f>
        <v/>
      </c>
    </row>
    <row r="445">
      <c r="A445" s="15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1" t="n"/>
      <c r="G445" s="21" t="n"/>
      <c r="H445" s="21" t="n"/>
      <c r="I445">
        <f>IFERROR(INDEX(מלאי!$N$2:$N$500,MATCH(A445,מלאי!$D$2:$D$500,0)),"")</f>
        <v/>
      </c>
      <c r="J445" s="21" t="n"/>
      <c r="K445" s="21" t="n"/>
      <c r="L445" s="21" t="n"/>
      <c r="M445" s="15" t="n"/>
      <c r="N445" s="22">
        <f>IF(F445="","",IF(J445&lt;&gt;"",AVERAGE(F445,J445),F445))</f>
        <v/>
      </c>
      <c r="O445" s="22">
        <f>IF(G445="","",IF(K445&lt;&gt;"",AVERAGE(G445,K445),G445))</f>
        <v/>
      </c>
      <c r="P445" s="22">
        <f>IF(OR(N445="",O445=""),"",AVERAGE(N445,O445))</f>
        <v/>
      </c>
    </row>
    <row r="446">
      <c r="A446" s="15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1" t="n"/>
      <c r="G446" s="21" t="n"/>
      <c r="H446" s="21" t="n"/>
      <c r="I446">
        <f>IFERROR(INDEX(מלאי!$N$2:$N$500,MATCH(A446,מלאי!$D$2:$D$500,0)),"")</f>
        <v/>
      </c>
      <c r="J446" s="21" t="n"/>
      <c r="K446" s="21" t="n"/>
      <c r="L446" s="21" t="n"/>
      <c r="M446" s="15" t="n"/>
      <c r="N446" s="22">
        <f>IF(F446="","",IF(J446&lt;&gt;"",AVERAGE(F446,J446),F446))</f>
        <v/>
      </c>
      <c r="O446" s="22">
        <f>IF(G446="","",IF(K446&lt;&gt;"",AVERAGE(G446,K446),G446))</f>
        <v/>
      </c>
      <c r="P446" s="22">
        <f>IF(OR(N446="",O446=""),"",AVERAGE(N446,O446))</f>
        <v/>
      </c>
    </row>
    <row r="447">
      <c r="A447" s="15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1" t="n"/>
      <c r="G447" s="21" t="n"/>
      <c r="H447" s="21" t="n"/>
      <c r="I447">
        <f>IFERROR(INDEX(מלאי!$N$2:$N$500,MATCH(A447,מלאי!$D$2:$D$500,0)),"")</f>
        <v/>
      </c>
      <c r="J447" s="21" t="n"/>
      <c r="K447" s="21" t="n"/>
      <c r="L447" s="21" t="n"/>
      <c r="M447" s="15" t="n"/>
      <c r="N447" s="22">
        <f>IF(F447="","",IF(J447&lt;&gt;"",AVERAGE(F447,J447),F447))</f>
        <v/>
      </c>
      <c r="O447" s="22">
        <f>IF(G447="","",IF(K447&lt;&gt;"",AVERAGE(G447,K447),G447))</f>
        <v/>
      </c>
      <c r="P447" s="22">
        <f>IF(OR(N447="",O447=""),"",AVERAGE(N447,O447))</f>
        <v/>
      </c>
    </row>
    <row r="448">
      <c r="A448" s="15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1" t="n"/>
      <c r="G448" s="21" t="n"/>
      <c r="H448" s="21" t="n"/>
      <c r="I448">
        <f>IFERROR(INDEX(מלאי!$N$2:$N$500,MATCH(A448,מלאי!$D$2:$D$500,0)),"")</f>
        <v/>
      </c>
      <c r="J448" s="21" t="n"/>
      <c r="K448" s="21" t="n"/>
      <c r="L448" s="21" t="n"/>
      <c r="M448" s="15" t="n"/>
      <c r="N448" s="22">
        <f>IF(F448="","",IF(J448&lt;&gt;"",AVERAGE(F448,J448),F448))</f>
        <v/>
      </c>
      <c r="O448" s="22">
        <f>IF(G448="","",IF(K448&lt;&gt;"",AVERAGE(G448,K448),G448))</f>
        <v/>
      </c>
      <c r="P448" s="22">
        <f>IF(OR(N448="",O448=""),"",AVERAGE(N448,O448))</f>
        <v/>
      </c>
    </row>
    <row r="449">
      <c r="A449" s="15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1" t="n"/>
      <c r="G449" s="21" t="n"/>
      <c r="H449" s="21" t="n"/>
      <c r="I449">
        <f>IFERROR(INDEX(מלאי!$N$2:$N$500,MATCH(A449,מלאי!$D$2:$D$500,0)),"")</f>
        <v/>
      </c>
      <c r="J449" s="21" t="n"/>
      <c r="K449" s="21" t="n"/>
      <c r="L449" s="21" t="n"/>
      <c r="M449" s="15" t="n"/>
      <c r="N449" s="22">
        <f>IF(F449="","",IF(J449&lt;&gt;"",AVERAGE(F449,J449),F449))</f>
        <v/>
      </c>
      <c r="O449" s="22">
        <f>IF(G449="","",IF(K449&lt;&gt;"",AVERAGE(G449,K449),G449))</f>
        <v/>
      </c>
      <c r="P449" s="22">
        <f>IF(OR(N449="",O449=""),"",AVERAGE(N449,O449))</f>
        <v/>
      </c>
    </row>
    <row r="450">
      <c r="A450" s="15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1" t="n"/>
      <c r="G450" s="21" t="n"/>
      <c r="H450" s="21" t="n"/>
      <c r="I450">
        <f>IFERROR(INDEX(מלאי!$N$2:$N$500,MATCH(A450,מלאי!$D$2:$D$500,0)),"")</f>
        <v/>
      </c>
      <c r="J450" s="21" t="n"/>
      <c r="K450" s="21" t="n"/>
      <c r="L450" s="21" t="n"/>
      <c r="M450" s="15" t="n"/>
      <c r="N450" s="22">
        <f>IF(F450="","",IF(J450&lt;&gt;"",AVERAGE(F450,J450),F450))</f>
        <v/>
      </c>
      <c r="O450" s="22">
        <f>IF(G450="","",IF(K450&lt;&gt;"",AVERAGE(G450,K450),G450))</f>
        <v/>
      </c>
      <c r="P450" s="22">
        <f>IF(OR(N450="",O450=""),"",AVERAGE(N450,O450))</f>
        <v/>
      </c>
    </row>
    <row r="451">
      <c r="A451" s="15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1" t="n"/>
      <c r="G451" s="21" t="n"/>
      <c r="H451" s="21" t="n"/>
      <c r="I451">
        <f>IFERROR(INDEX(מלאי!$N$2:$N$500,MATCH(A451,מלאי!$D$2:$D$500,0)),"")</f>
        <v/>
      </c>
      <c r="J451" s="21" t="n"/>
      <c r="K451" s="21" t="n"/>
      <c r="L451" s="21" t="n"/>
      <c r="M451" s="15" t="n"/>
      <c r="N451" s="22">
        <f>IF(F451="","",IF(J451&lt;&gt;"",AVERAGE(F451,J451),F451))</f>
        <v/>
      </c>
      <c r="O451" s="22">
        <f>IF(G451="","",IF(K451&lt;&gt;"",AVERAGE(G451,K451),G451))</f>
        <v/>
      </c>
      <c r="P451" s="22">
        <f>IF(OR(N451="",O451=""),"",AVERAGE(N451,O451))</f>
        <v/>
      </c>
    </row>
    <row r="452">
      <c r="A452" s="15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1" t="n"/>
      <c r="G452" s="21" t="n"/>
      <c r="H452" s="21" t="n"/>
      <c r="I452">
        <f>IFERROR(INDEX(מלאי!$N$2:$N$500,MATCH(A452,מלאי!$D$2:$D$500,0)),"")</f>
        <v/>
      </c>
      <c r="J452" s="21" t="n"/>
      <c r="K452" s="21" t="n"/>
      <c r="L452" s="21" t="n"/>
      <c r="M452" s="15" t="n"/>
      <c r="N452" s="22">
        <f>IF(F452="","",IF(J452&lt;&gt;"",AVERAGE(F452,J452),F452))</f>
        <v/>
      </c>
      <c r="O452" s="22">
        <f>IF(G452="","",IF(K452&lt;&gt;"",AVERAGE(G452,K452),G452))</f>
        <v/>
      </c>
      <c r="P452" s="22">
        <f>IF(OR(N452="",O452=""),"",AVERAGE(N452,O452))</f>
        <v/>
      </c>
    </row>
    <row r="453">
      <c r="A453" s="15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1" t="n"/>
      <c r="G453" s="21" t="n"/>
      <c r="H453" s="21" t="n"/>
      <c r="I453">
        <f>IFERROR(INDEX(מלאי!$N$2:$N$500,MATCH(A453,מלאי!$D$2:$D$500,0)),"")</f>
        <v/>
      </c>
      <c r="J453" s="21" t="n"/>
      <c r="K453" s="21" t="n"/>
      <c r="L453" s="21" t="n"/>
      <c r="M453" s="15" t="n"/>
      <c r="N453" s="22">
        <f>IF(F453="","",IF(J453&lt;&gt;"",AVERAGE(F453,J453),F453))</f>
        <v/>
      </c>
      <c r="O453" s="22">
        <f>IF(G453="","",IF(K453&lt;&gt;"",AVERAGE(G453,K453),G453))</f>
        <v/>
      </c>
      <c r="P453" s="22">
        <f>IF(OR(N453="",O453=""),"",AVERAGE(N453,O453))</f>
        <v/>
      </c>
    </row>
    <row r="454">
      <c r="A454" s="15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1" t="n"/>
      <c r="G454" s="21" t="n"/>
      <c r="H454" s="21" t="n"/>
      <c r="I454">
        <f>IFERROR(INDEX(מלאי!$N$2:$N$500,MATCH(A454,מלאי!$D$2:$D$500,0)),"")</f>
        <v/>
      </c>
      <c r="J454" s="21" t="n"/>
      <c r="K454" s="21" t="n"/>
      <c r="L454" s="21" t="n"/>
      <c r="M454" s="15" t="n"/>
      <c r="N454" s="22">
        <f>IF(F454="","",IF(J454&lt;&gt;"",AVERAGE(F454,J454),F454))</f>
        <v/>
      </c>
      <c r="O454" s="22">
        <f>IF(G454="","",IF(K454&lt;&gt;"",AVERAGE(G454,K454),G454))</f>
        <v/>
      </c>
      <c r="P454" s="22">
        <f>IF(OR(N454="",O454=""),"",AVERAGE(N454,O454))</f>
        <v/>
      </c>
    </row>
    <row r="455">
      <c r="A455" s="15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1" t="n"/>
      <c r="G455" s="21" t="n"/>
      <c r="H455" s="21" t="n"/>
      <c r="I455">
        <f>IFERROR(INDEX(מלאי!$N$2:$N$500,MATCH(A455,מלאי!$D$2:$D$500,0)),"")</f>
        <v/>
      </c>
      <c r="J455" s="21" t="n"/>
      <c r="K455" s="21" t="n"/>
      <c r="L455" s="21" t="n"/>
      <c r="M455" s="15" t="n"/>
      <c r="N455" s="22">
        <f>IF(F455="","",IF(J455&lt;&gt;"",AVERAGE(F455,J455),F455))</f>
        <v/>
      </c>
      <c r="O455" s="22">
        <f>IF(G455="","",IF(K455&lt;&gt;"",AVERAGE(G455,K455),G455))</f>
        <v/>
      </c>
      <c r="P455" s="22">
        <f>IF(OR(N455="",O455=""),"",AVERAGE(N455,O455))</f>
        <v/>
      </c>
    </row>
    <row r="456">
      <c r="A456" s="15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1" t="n"/>
      <c r="G456" s="21" t="n"/>
      <c r="H456" s="21" t="n"/>
      <c r="I456">
        <f>IFERROR(INDEX(מלאי!$N$2:$N$500,MATCH(A456,מלאי!$D$2:$D$500,0)),"")</f>
        <v/>
      </c>
      <c r="J456" s="21" t="n"/>
      <c r="K456" s="21" t="n"/>
      <c r="L456" s="21" t="n"/>
      <c r="M456" s="15" t="n"/>
      <c r="N456" s="22">
        <f>IF(F456="","",IF(J456&lt;&gt;"",AVERAGE(F456,J456),F456))</f>
        <v/>
      </c>
      <c r="O456" s="22">
        <f>IF(G456="","",IF(K456&lt;&gt;"",AVERAGE(G456,K456),G456))</f>
        <v/>
      </c>
      <c r="P456" s="22">
        <f>IF(OR(N456="",O456=""),"",AVERAGE(N456,O456))</f>
        <v/>
      </c>
    </row>
    <row r="457">
      <c r="A457" s="15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1" t="n"/>
      <c r="G457" s="21" t="n"/>
      <c r="H457" s="21" t="n"/>
      <c r="I457">
        <f>IFERROR(INDEX(מלאי!$N$2:$N$500,MATCH(A457,מלאי!$D$2:$D$500,0)),"")</f>
        <v/>
      </c>
      <c r="J457" s="21" t="n"/>
      <c r="K457" s="21" t="n"/>
      <c r="L457" s="21" t="n"/>
      <c r="M457" s="15" t="n"/>
      <c r="N457" s="22">
        <f>IF(F457="","",IF(J457&lt;&gt;"",AVERAGE(F457,J457),F457))</f>
        <v/>
      </c>
      <c r="O457" s="22">
        <f>IF(G457="","",IF(K457&lt;&gt;"",AVERAGE(G457,K457),G457))</f>
        <v/>
      </c>
      <c r="P457" s="22">
        <f>IF(OR(N457="",O457=""),"",AVERAGE(N457,O457))</f>
        <v/>
      </c>
    </row>
    <row r="458">
      <c r="A458" s="15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1" t="n"/>
      <c r="G458" s="21" t="n"/>
      <c r="H458" s="21" t="n"/>
      <c r="I458">
        <f>IFERROR(INDEX(מלאי!$N$2:$N$500,MATCH(A458,מלאי!$D$2:$D$500,0)),"")</f>
        <v/>
      </c>
      <c r="J458" s="21" t="n"/>
      <c r="K458" s="21" t="n"/>
      <c r="L458" s="21" t="n"/>
      <c r="M458" s="15" t="n"/>
      <c r="N458" s="22">
        <f>IF(F458="","",IF(J458&lt;&gt;"",AVERAGE(F458,J458),F458))</f>
        <v/>
      </c>
      <c r="O458" s="22">
        <f>IF(G458="","",IF(K458&lt;&gt;"",AVERAGE(G458,K458),G458))</f>
        <v/>
      </c>
      <c r="P458" s="22">
        <f>IF(OR(N458="",O458=""),"",AVERAGE(N458,O458))</f>
        <v/>
      </c>
    </row>
    <row r="459">
      <c r="A459" s="15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1" t="n"/>
      <c r="G459" s="21" t="n"/>
      <c r="H459" s="21" t="n"/>
      <c r="I459">
        <f>IFERROR(INDEX(מלאי!$N$2:$N$500,MATCH(A459,מלאי!$D$2:$D$500,0)),"")</f>
        <v/>
      </c>
      <c r="J459" s="21" t="n"/>
      <c r="K459" s="21" t="n"/>
      <c r="L459" s="21" t="n"/>
      <c r="M459" s="15" t="n"/>
      <c r="N459" s="22">
        <f>IF(F459="","",IF(J459&lt;&gt;"",AVERAGE(F459,J459),F459))</f>
        <v/>
      </c>
      <c r="O459" s="22">
        <f>IF(G459="","",IF(K459&lt;&gt;"",AVERAGE(G459,K459),G459))</f>
        <v/>
      </c>
      <c r="P459" s="22">
        <f>IF(OR(N459="",O459=""),"",AVERAGE(N459,O459))</f>
        <v/>
      </c>
    </row>
    <row r="460">
      <c r="A460" s="15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1" t="n"/>
      <c r="G460" s="21" t="n"/>
      <c r="H460" s="21" t="n"/>
      <c r="I460">
        <f>IFERROR(INDEX(מלאי!$N$2:$N$500,MATCH(A460,מלאי!$D$2:$D$500,0)),"")</f>
        <v/>
      </c>
      <c r="J460" s="21" t="n"/>
      <c r="K460" s="21" t="n"/>
      <c r="L460" s="21" t="n"/>
      <c r="M460" s="15" t="n"/>
      <c r="N460" s="22">
        <f>IF(F460="","",IF(J460&lt;&gt;"",AVERAGE(F460,J460),F460))</f>
        <v/>
      </c>
      <c r="O460" s="22">
        <f>IF(G460="","",IF(K460&lt;&gt;"",AVERAGE(G460,K460),G460))</f>
        <v/>
      </c>
      <c r="P460" s="22">
        <f>IF(OR(N460="",O460=""),"",AVERAGE(N460,O460))</f>
        <v/>
      </c>
    </row>
    <row r="461">
      <c r="A461" s="15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1" t="n"/>
      <c r="G461" s="21" t="n"/>
      <c r="H461" s="21" t="n"/>
      <c r="I461">
        <f>IFERROR(INDEX(מלאי!$N$2:$N$500,MATCH(A461,מלאי!$D$2:$D$500,0)),"")</f>
        <v/>
      </c>
      <c r="J461" s="21" t="n"/>
      <c r="K461" s="21" t="n"/>
      <c r="L461" s="21" t="n"/>
      <c r="M461" s="15" t="n"/>
      <c r="N461" s="22">
        <f>IF(F461="","",IF(J461&lt;&gt;"",AVERAGE(F461,J461),F461))</f>
        <v/>
      </c>
      <c r="O461" s="22">
        <f>IF(G461="","",IF(K461&lt;&gt;"",AVERAGE(G461,K461),G461))</f>
        <v/>
      </c>
      <c r="P461" s="22">
        <f>IF(OR(N461="",O461=""),"",AVERAGE(N461,O461))</f>
        <v/>
      </c>
    </row>
    <row r="462">
      <c r="A462" s="15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1" t="n"/>
      <c r="G462" s="21" t="n"/>
      <c r="H462" s="21" t="n"/>
      <c r="I462">
        <f>IFERROR(INDEX(מלאי!$N$2:$N$500,MATCH(A462,מלאי!$D$2:$D$500,0)),"")</f>
        <v/>
      </c>
      <c r="J462" s="21" t="n"/>
      <c r="K462" s="21" t="n"/>
      <c r="L462" s="21" t="n"/>
      <c r="M462" s="15" t="n"/>
      <c r="N462" s="22">
        <f>IF(F462="","",IF(J462&lt;&gt;"",AVERAGE(F462,J462),F462))</f>
        <v/>
      </c>
      <c r="O462" s="22">
        <f>IF(G462="","",IF(K462&lt;&gt;"",AVERAGE(G462,K462),G462))</f>
        <v/>
      </c>
      <c r="P462" s="22">
        <f>IF(OR(N462="",O462=""),"",AVERAGE(N462,O462))</f>
        <v/>
      </c>
    </row>
    <row r="463">
      <c r="A463" s="15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1" t="n"/>
      <c r="G463" s="21" t="n"/>
      <c r="H463" s="21" t="n"/>
      <c r="I463">
        <f>IFERROR(INDEX(מלאי!$N$2:$N$500,MATCH(A463,מלאי!$D$2:$D$500,0)),"")</f>
        <v/>
      </c>
      <c r="J463" s="21" t="n"/>
      <c r="K463" s="21" t="n"/>
      <c r="L463" s="21" t="n"/>
      <c r="M463" s="15" t="n"/>
      <c r="N463" s="22">
        <f>IF(F463="","",IF(J463&lt;&gt;"",AVERAGE(F463,J463),F463))</f>
        <v/>
      </c>
      <c r="O463" s="22">
        <f>IF(G463="","",IF(K463&lt;&gt;"",AVERAGE(G463,K463),G463))</f>
        <v/>
      </c>
      <c r="P463" s="22">
        <f>IF(OR(N463="",O463=""),"",AVERAGE(N463,O463))</f>
        <v/>
      </c>
    </row>
    <row r="464">
      <c r="A464" s="15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1" t="n"/>
      <c r="G464" s="21" t="n"/>
      <c r="H464" s="21" t="n"/>
      <c r="I464">
        <f>IFERROR(INDEX(מלאי!$N$2:$N$500,MATCH(A464,מלאי!$D$2:$D$500,0)),"")</f>
        <v/>
      </c>
      <c r="J464" s="21" t="n"/>
      <c r="K464" s="21" t="n"/>
      <c r="L464" s="21" t="n"/>
      <c r="M464" s="15" t="n"/>
      <c r="N464" s="22">
        <f>IF(F464="","",IF(J464&lt;&gt;"",AVERAGE(F464,J464),F464))</f>
        <v/>
      </c>
      <c r="O464" s="22">
        <f>IF(G464="","",IF(K464&lt;&gt;"",AVERAGE(G464,K464),G464))</f>
        <v/>
      </c>
      <c r="P464" s="22">
        <f>IF(OR(N464="",O464=""),"",AVERAGE(N464,O464))</f>
        <v/>
      </c>
    </row>
    <row r="465">
      <c r="A465" s="15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1" t="n"/>
      <c r="G465" s="21" t="n"/>
      <c r="H465" s="21" t="n"/>
      <c r="I465">
        <f>IFERROR(INDEX(מלאי!$N$2:$N$500,MATCH(A465,מלאי!$D$2:$D$500,0)),"")</f>
        <v/>
      </c>
      <c r="J465" s="21" t="n"/>
      <c r="K465" s="21" t="n"/>
      <c r="L465" s="21" t="n"/>
      <c r="M465" s="15" t="n"/>
      <c r="N465" s="22">
        <f>IF(F465="","",IF(J465&lt;&gt;"",AVERAGE(F465,J465),F465))</f>
        <v/>
      </c>
      <c r="O465" s="22">
        <f>IF(G465="","",IF(K465&lt;&gt;"",AVERAGE(G465,K465),G465))</f>
        <v/>
      </c>
      <c r="P465" s="22">
        <f>IF(OR(N465="",O465=""),"",AVERAGE(N465,O465))</f>
        <v/>
      </c>
    </row>
    <row r="466">
      <c r="A466" s="15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1" t="n"/>
      <c r="G466" s="21" t="n"/>
      <c r="H466" s="21" t="n"/>
      <c r="I466">
        <f>IFERROR(INDEX(מלאי!$N$2:$N$500,MATCH(A466,מלאי!$D$2:$D$500,0)),"")</f>
        <v/>
      </c>
      <c r="J466" s="21" t="n"/>
      <c r="K466" s="21" t="n"/>
      <c r="L466" s="21" t="n"/>
      <c r="M466" s="15" t="n"/>
      <c r="N466" s="22">
        <f>IF(F466="","",IF(J466&lt;&gt;"",AVERAGE(F466,J466),F466))</f>
        <v/>
      </c>
      <c r="O466" s="22">
        <f>IF(G466="","",IF(K466&lt;&gt;"",AVERAGE(G466,K466),G466))</f>
        <v/>
      </c>
      <c r="P466" s="22">
        <f>IF(OR(N466="",O466=""),"",AVERAGE(N466,O466))</f>
        <v/>
      </c>
    </row>
    <row r="467">
      <c r="A467" s="15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1" t="n"/>
      <c r="G467" s="21" t="n"/>
      <c r="H467" s="21" t="n"/>
      <c r="I467">
        <f>IFERROR(INDEX(מלאי!$N$2:$N$500,MATCH(A467,מלאי!$D$2:$D$500,0)),"")</f>
        <v/>
      </c>
      <c r="J467" s="21" t="n"/>
      <c r="K467" s="21" t="n"/>
      <c r="L467" s="21" t="n"/>
      <c r="M467" s="15" t="n"/>
      <c r="N467" s="22">
        <f>IF(F467="","",IF(J467&lt;&gt;"",AVERAGE(F467,J467),F467))</f>
        <v/>
      </c>
      <c r="O467" s="22">
        <f>IF(G467="","",IF(K467&lt;&gt;"",AVERAGE(G467,K467),G467))</f>
        <v/>
      </c>
      <c r="P467" s="22">
        <f>IF(OR(N467="",O467=""),"",AVERAGE(N467,O467))</f>
        <v/>
      </c>
    </row>
    <row r="468">
      <c r="A468" s="15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1" t="n"/>
      <c r="G468" s="21" t="n"/>
      <c r="H468" s="21" t="n"/>
      <c r="I468">
        <f>IFERROR(INDEX(מלאי!$N$2:$N$500,MATCH(A468,מלאי!$D$2:$D$500,0)),"")</f>
        <v/>
      </c>
      <c r="J468" s="21" t="n"/>
      <c r="K468" s="21" t="n"/>
      <c r="L468" s="21" t="n"/>
      <c r="M468" s="15" t="n"/>
      <c r="N468" s="22">
        <f>IF(F468="","",IF(J468&lt;&gt;"",AVERAGE(F468,J468),F468))</f>
        <v/>
      </c>
      <c r="O468" s="22">
        <f>IF(G468="","",IF(K468&lt;&gt;"",AVERAGE(G468,K468),G468))</f>
        <v/>
      </c>
      <c r="P468" s="22">
        <f>IF(OR(N468="",O468=""),"",AVERAGE(N468,O468))</f>
        <v/>
      </c>
    </row>
    <row r="469">
      <c r="A469" s="15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1" t="n"/>
      <c r="G469" s="21" t="n"/>
      <c r="H469" s="21" t="n"/>
      <c r="I469">
        <f>IFERROR(INDEX(מלאי!$N$2:$N$500,MATCH(A469,מלאי!$D$2:$D$500,0)),"")</f>
        <v/>
      </c>
      <c r="J469" s="21" t="n"/>
      <c r="K469" s="21" t="n"/>
      <c r="L469" s="21" t="n"/>
      <c r="M469" s="15" t="n"/>
      <c r="N469" s="22">
        <f>IF(F469="","",IF(J469&lt;&gt;"",AVERAGE(F469,J469),F469))</f>
        <v/>
      </c>
      <c r="O469" s="22">
        <f>IF(G469="","",IF(K469&lt;&gt;"",AVERAGE(G469,K469),G469))</f>
        <v/>
      </c>
      <c r="P469" s="22">
        <f>IF(OR(N469="",O469=""),"",AVERAGE(N469,O469))</f>
        <v/>
      </c>
    </row>
    <row r="470">
      <c r="A470" s="15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1" t="n"/>
      <c r="G470" s="21" t="n"/>
      <c r="H470" s="21" t="n"/>
      <c r="I470">
        <f>IFERROR(INDEX(מלאי!$N$2:$N$500,MATCH(A470,מלאי!$D$2:$D$500,0)),"")</f>
        <v/>
      </c>
      <c r="J470" s="21" t="n"/>
      <c r="K470" s="21" t="n"/>
      <c r="L470" s="21" t="n"/>
      <c r="M470" s="15" t="n"/>
      <c r="N470" s="22">
        <f>IF(F470="","",IF(J470&lt;&gt;"",AVERAGE(F470,J470),F470))</f>
        <v/>
      </c>
      <c r="O470" s="22">
        <f>IF(G470="","",IF(K470&lt;&gt;"",AVERAGE(G470,K470),G470))</f>
        <v/>
      </c>
      <c r="P470" s="22">
        <f>IF(OR(N470="",O470=""),"",AVERAGE(N470,O470))</f>
        <v/>
      </c>
    </row>
    <row r="471">
      <c r="A471" s="15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1" t="n"/>
      <c r="G471" s="21" t="n"/>
      <c r="H471" s="21" t="n"/>
      <c r="I471">
        <f>IFERROR(INDEX(מלאי!$N$2:$N$500,MATCH(A471,מלאי!$D$2:$D$500,0)),"")</f>
        <v/>
      </c>
      <c r="J471" s="21" t="n"/>
      <c r="K471" s="21" t="n"/>
      <c r="L471" s="21" t="n"/>
      <c r="M471" s="15" t="n"/>
      <c r="N471" s="22">
        <f>IF(F471="","",IF(J471&lt;&gt;"",AVERAGE(F471,J471),F471))</f>
        <v/>
      </c>
      <c r="O471" s="22">
        <f>IF(G471="","",IF(K471&lt;&gt;"",AVERAGE(G471,K471),G471))</f>
        <v/>
      </c>
      <c r="P471" s="22">
        <f>IF(OR(N471="",O471=""),"",AVERAGE(N471,O471))</f>
        <v/>
      </c>
    </row>
    <row r="472">
      <c r="A472" s="15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1" t="n"/>
      <c r="G472" s="21" t="n"/>
      <c r="H472" s="21" t="n"/>
      <c r="I472">
        <f>IFERROR(INDEX(מלאי!$N$2:$N$500,MATCH(A472,מלאי!$D$2:$D$500,0)),"")</f>
        <v/>
      </c>
      <c r="J472" s="21" t="n"/>
      <c r="K472" s="21" t="n"/>
      <c r="L472" s="21" t="n"/>
      <c r="M472" s="15" t="n"/>
      <c r="N472" s="22">
        <f>IF(F472="","",IF(J472&lt;&gt;"",AVERAGE(F472,J472),F472))</f>
        <v/>
      </c>
      <c r="O472" s="22">
        <f>IF(G472="","",IF(K472&lt;&gt;"",AVERAGE(G472,K472),G472))</f>
        <v/>
      </c>
      <c r="P472" s="22">
        <f>IF(OR(N472="",O472=""),"",AVERAGE(N472,O472))</f>
        <v/>
      </c>
    </row>
    <row r="473">
      <c r="A473" s="15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1" t="n"/>
      <c r="G473" s="21" t="n"/>
      <c r="H473" s="21" t="n"/>
      <c r="I473">
        <f>IFERROR(INDEX(מלאי!$N$2:$N$500,MATCH(A473,מלאי!$D$2:$D$500,0)),"")</f>
        <v/>
      </c>
      <c r="J473" s="21" t="n"/>
      <c r="K473" s="21" t="n"/>
      <c r="L473" s="21" t="n"/>
      <c r="M473" s="15" t="n"/>
      <c r="N473" s="22">
        <f>IF(F473="","",IF(J473&lt;&gt;"",AVERAGE(F473,J473),F473))</f>
        <v/>
      </c>
      <c r="O473" s="22">
        <f>IF(G473="","",IF(K473&lt;&gt;"",AVERAGE(G473,K473),G473))</f>
        <v/>
      </c>
      <c r="P473" s="22">
        <f>IF(OR(N473="",O473=""),"",AVERAGE(N473,O473))</f>
        <v/>
      </c>
    </row>
    <row r="474">
      <c r="A474" s="15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1" t="n"/>
      <c r="G474" s="21" t="n"/>
      <c r="H474" s="21" t="n"/>
      <c r="I474">
        <f>IFERROR(INDEX(מלאי!$N$2:$N$500,MATCH(A474,מלאי!$D$2:$D$500,0)),"")</f>
        <v/>
      </c>
      <c r="J474" s="21" t="n"/>
      <c r="K474" s="21" t="n"/>
      <c r="L474" s="21" t="n"/>
      <c r="M474" s="15" t="n"/>
      <c r="N474" s="22">
        <f>IF(F474="","",IF(J474&lt;&gt;"",AVERAGE(F474,J474),F474))</f>
        <v/>
      </c>
      <c r="O474" s="22">
        <f>IF(G474="","",IF(K474&lt;&gt;"",AVERAGE(G474,K474),G474))</f>
        <v/>
      </c>
      <c r="P474" s="22">
        <f>IF(OR(N474="",O474=""),"",AVERAGE(N474,O474))</f>
        <v/>
      </c>
    </row>
    <row r="475">
      <c r="A475" s="15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1" t="n"/>
      <c r="G475" s="21" t="n"/>
      <c r="H475" s="21" t="n"/>
      <c r="I475">
        <f>IFERROR(INDEX(מלאי!$N$2:$N$500,MATCH(A475,מלאי!$D$2:$D$500,0)),"")</f>
        <v/>
      </c>
      <c r="J475" s="21" t="n"/>
      <c r="K475" s="21" t="n"/>
      <c r="L475" s="21" t="n"/>
      <c r="M475" s="15" t="n"/>
      <c r="N475" s="22">
        <f>IF(F475="","",IF(J475&lt;&gt;"",AVERAGE(F475,J475),F475))</f>
        <v/>
      </c>
      <c r="O475" s="22">
        <f>IF(G475="","",IF(K475&lt;&gt;"",AVERAGE(G475,K475),G475))</f>
        <v/>
      </c>
      <c r="P475" s="22">
        <f>IF(OR(N475="",O475=""),"",AVERAGE(N475,O475))</f>
        <v/>
      </c>
    </row>
    <row r="476">
      <c r="A476" s="15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1" t="n"/>
      <c r="G476" s="21" t="n"/>
      <c r="H476" s="21" t="n"/>
      <c r="I476">
        <f>IFERROR(INDEX(מלאי!$N$2:$N$500,MATCH(A476,מלאי!$D$2:$D$500,0)),"")</f>
        <v/>
      </c>
      <c r="J476" s="21" t="n"/>
      <c r="K476" s="21" t="n"/>
      <c r="L476" s="21" t="n"/>
      <c r="M476" s="15" t="n"/>
      <c r="N476" s="22">
        <f>IF(F476="","",IF(J476&lt;&gt;"",AVERAGE(F476,J476),F476))</f>
        <v/>
      </c>
      <c r="O476" s="22">
        <f>IF(G476="","",IF(K476&lt;&gt;"",AVERAGE(G476,K476),G476))</f>
        <v/>
      </c>
      <c r="P476" s="22">
        <f>IF(OR(N476="",O476=""),"",AVERAGE(N476,O476))</f>
        <v/>
      </c>
    </row>
    <row r="477">
      <c r="A477" s="15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1" t="n"/>
      <c r="G477" s="21" t="n"/>
      <c r="H477" s="21" t="n"/>
      <c r="I477">
        <f>IFERROR(INDEX(מלאי!$N$2:$N$500,MATCH(A477,מלאי!$D$2:$D$500,0)),"")</f>
        <v/>
      </c>
      <c r="J477" s="21" t="n"/>
      <c r="K477" s="21" t="n"/>
      <c r="L477" s="21" t="n"/>
      <c r="M477" s="15" t="n"/>
      <c r="N477" s="22">
        <f>IF(F477="","",IF(J477&lt;&gt;"",AVERAGE(F477,J477),F477))</f>
        <v/>
      </c>
      <c r="O477" s="22">
        <f>IF(G477="","",IF(K477&lt;&gt;"",AVERAGE(G477,K477),G477))</f>
        <v/>
      </c>
      <c r="P477" s="22">
        <f>IF(OR(N477="",O477=""),"",AVERAGE(N477,O477))</f>
        <v/>
      </c>
    </row>
    <row r="478">
      <c r="A478" s="15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1" t="n"/>
      <c r="G478" s="21" t="n"/>
      <c r="H478" s="21" t="n"/>
      <c r="I478">
        <f>IFERROR(INDEX(מלאי!$N$2:$N$500,MATCH(A478,מלאי!$D$2:$D$500,0)),"")</f>
        <v/>
      </c>
      <c r="J478" s="21" t="n"/>
      <c r="K478" s="21" t="n"/>
      <c r="L478" s="21" t="n"/>
      <c r="M478" s="15" t="n"/>
      <c r="N478" s="22">
        <f>IF(F478="","",IF(J478&lt;&gt;"",AVERAGE(F478,J478),F478))</f>
        <v/>
      </c>
      <c r="O478" s="22">
        <f>IF(G478="","",IF(K478&lt;&gt;"",AVERAGE(G478,K478),G478))</f>
        <v/>
      </c>
      <c r="P478" s="22">
        <f>IF(OR(N478="",O478=""),"",AVERAGE(N478,O478))</f>
        <v/>
      </c>
    </row>
    <row r="479">
      <c r="A479" s="15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1" t="n"/>
      <c r="G479" s="21" t="n"/>
      <c r="H479" s="21" t="n"/>
      <c r="I479">
        <f>IFERROR(INDEX(מלאי!$N$2:$N$500,MATCH(A479,מלאי!$D$2:$D$500,0)),"")</f>
        <v/>
      </c>
      <c r="J479" s="21" t="n"/>
      <c r="K479" s="21" t="n"/>
      <c r="L479" s="21" t="n"/>
      <c r="M479" s="15" t="n"/>
      <c r="N479" s="22">
        <f>IF(F479="","",IF(J479&lt;&gt;"",AVERAGE(F479,J479),F479))</f>
        <v/>
      </c>
      <c r="O479" s="22">
        <f>IF(G479="","",IF(K479&lt;&gt;"",AVERAGE(G479,K479),G479))</f>
        <v/>
      </c>
      <c r="P479" s="22">
        <f>IF(OR(N479="",O479=""),"",AVERAGE(N479,O479))</f>
        <v/>
      </c>
    </row>
    <row r="480">
      <c r="A480" s="15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1" t="n"/>
      <c r="G480" s="21" t="n"/>
      <c r="H480" s="21" t="n"/>
      <c r="I480">
        <f>IFERROR(INDEX(מלאי!$N$2:$N$500,MATCH(A480,מלאי!$D$2:$D$500,0)),"")</f>
        <v/>
      </c>
      <c r="J480" s="21" t="n"/>
      <c r="K480" s="21" t="n"/>
      <c r="L480" s="21" t="n"/>
      <c r="M480" s="15" t="n"/>
      <c r="N480" s="22">
        <f>IF(F480="","",IF(J480&lt;&gt;"",AVERAGE(F480,J480),F480))</f>
        <v/>
      </c>
      <c r="O480" s="22">
        <f>IF(G480="","",IF(K480&lt;&gt;"",AVERAGE(G480,K480),G480))</f>
        <v/>
      </c>
      <c r="P480" s="22">
        <f>IF(OR(N480="",O480=""),"",AVERAGE(N480,O480))</f>
        <v/>
      </c>
    </row>
    <row r="481">
      <c r="A481" s="15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1" t="n"/>
      <c r="G481" s="21" t="n"/>
      <c r="H481" s="21" t="n"/>
      <c r="I481">
        <f>IFERROR(INDEX(מלאי!$N$2:$N$500,MATCH(A481,מלאי!$D$2:$D$500,0)),"")</f>
        <v/>
      </c>
      <c r="J481" s="21" t="n"/>
      <c r="K481" s="21" t="n"/>
      <c r="L481" s="21" t="n"/>
      <c r="M481" s="15" t="n"/>
      <c r="N481" s="22">
        <f>IF(F481="","",IF(J481&lt;&gt;"",AVERAGE(F481,J481),F481))</f>
        <v/>
      </c>
      <c r="O481" s="22">
        <f>IF(G481="","",IF(K481&lt;&gt;"",AVERAGE(G481,K481),G481))</f>
        <v/>
      </c>
      <c r="P481" s="22">
        <f>IF(OR(N481="",O481=""),"",AVERAGE(N481,O481))</f>
        <v/>
      </c>
    </row>
    <row r="482">
      <c r="A482" s="15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1" t="n"/>
      <c r="G482" s="21" t="n"/>
      <c r="H482" s="21" t="n"/>
      <c r="I482">
        <f>IFERROR(INDEX(מלאי!$N$2:$N$500,MATCH(A482,מלאי!$D$2:$D$500,0)),"")</f>
        <v/>
      </c>
      <c r="J482" s="21" t="n"/>
      <c r="K482" s="21" t="n"/>
      <c r="L482" s="21" t="n"/>
      <c r="M482" s="15" t="n"/>
      <c r="N482" s="22">
        <f>IF(F482="","",IF(J482&lt;&gt;"",AVERAGE(F482,J482),F482))</f>
        <v/>
      </c>
      <c r="O482" s="22">
        <f>IF(G482="","",IF(K482&lt;&gt;"",AVERAGE(G482,K482),G482))</f>
        <v/>
      </c>
      <c r="P482" s="22">
        <f>IF(OR(N482="",O482=""),"",AVERAGE(N482,O482))</f>
        <v/>
      </c>
    </row>
    <row r="483">
      <c r="A483" s="15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1" t="n"/>
      <c r="G483" s="21" t="n"/>
      <c r="H483" s="21" t="n"/>
      <c r="I483">
        <f>IFERROR(INDEX(מלאי!$N$2:$N$500,MATCH(A483,מלאי!$D$2:$D$500,0)),"")</f>
        <v/>
      </c>
      <c r="J483" s="21" t="n"/>
      <c r="K483" s="21" t="n"/>
      <c r="L483" s="21" t="n"/>
      <c r="M483" s="15" t="n"/>
      <c r="N483" s="22">
        <f>IF(F483="","",IF(J483&lt;&gt;"",AVERAGE(F483,J483),F483))</f>
        <v/>
      </c>
      <c r="O483" s="22">
        <f>IF(G483="","",IF(K483&lt;&gt;"",AVERAGE(G483,K483),G483))</f>
        <v/>
      </c>
      <c r="P483" s="22">
        <f>IF(OR(N483="",O483=""),"",AVERAGE(N483,O483))</f>
        <v/>
      </c>
    </row>
    <row r="484">
      <c r="A484" s="15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1" t="n"/>
      <c r="G484" s="21" t="n"/>
      <c r="H484" s="21" t="n"/>
      <c r="I484">
        <f>IFERROR(INDEX(מלאי!$N$2:$N$500,MATCH(A484,מלאי!$D$2:$D$500,0)),"")</f>
        <v/>
      </c>
      <c r="J484" s="21" t="n"/>
      <c r="K484" s="21" t="n"/>
      <c r="L484" s="21" t="n"/>
      <c r="M484" s="15" t="n"/>
      <c r="N484" s="22">
        <f>IF(F484="","",IF(J484&lt;&gt;"",AVERAGE(F484,J484),F484))</f>
        <v/>
      </c>
      <c r="O484" s="22">
        <f>IF(G484="","",IF(K484&lt;&gt;"",AVERAGE(G484,K484),G484))</f>
        <v/>
      </c>
      <c r="P484" s="22">
        <f>IF(OR(N484="",O484=""),"",AVERAGE(N484,O484))</f>
        <v/>
      </c>
    </row>
    <row r="485">
      <c r="A485" s="15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1" t="n"/>
      <c r="G485" s="21" t="n"/>
      <c r="H485" s="21" t="n"/>
      <c r="I485">
        <f>IFERROR(INDEX(מלאי!$N$2:$N$500,MATCH(A485,מלאי!$D$2:$D$500,0)),"")</f>
        <v/>
      </c>
      <c r="J485" s="21" t="n"/>
      <c r="K485" s="21" t="n"/>
      <c r="L485" s="21" t="n"/>
      <c r="M485" s="15" t="n"/>
      <c r="N485" s="22">
        <f>IF(F485="","",IF(J485&lt;&gt;"",AVERAGE(F485,J485),F485))</f>
        <v/>
      </c>
      <c r="O485" s="22">
        <f>IF(G485="","",IF(K485&lt;&gt;"",AVERAGE(G485,K485),G485))</f>
        <v/>
      </c>
      <c r="P485" s="22">
        <f>IF(OR(N485="",O485=""),"",AVERAGE(N485,O485))</f>
        <v/>
      </c>
    </row>
    <row r="486">
      <c r="A486" s="15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1" t="n"/>
      <c r="G486" s="21" t="n"/>
      <c r="H486" s="21" t="n"/>
      <c r="I486">
        <f>IFERROR(INDEX(מלאי!$N$2:$N$500,MATCH(A486,מלאי!$D$2:$D$500,0)),"")</f>
        <v/>
      </c>
      <c r="J486" s="21" t="n"/>
      <c r="K486" s="21" t="n"/>
      <c r="L486" s="21" t="n"/>
      <c r="M486" s="15" t="n"/>
      <c r="N486" s="22">
        <f>IF(F486="","",IF(J486&lt;&gt;"",AVERAGE(F486,J486),F486))</f>
        <v/>
      </c>
      <c r="O486" s="22">
        <f>IF(G486="","",IF(K486&lt;&gt;"",AVERAGE(G486,K486),G486))</f>
        <v/>
      </c>
      <c r="P486" s="22">
        <f>IF(OR(N486="",O486=""),"",AVERAGE(N486,O486))</f>
        <v/>
      </c>
    </row>
    <row r="487">
      <c r="A487" s="15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1" t="n"/>
      <c r="G487" s="21" t="n"/>
      <c r="H487" s="21" t="n"/>
      <c r="I487">
        <f>IFERROR(INDEX(מלאי!$N$2:$N$500,MATCH(A487,מלאי!$D$2:$D$500,0)),"")</f>
        <v/>
      </c>
      <c r="J487" s="21" t="n"/>
      <c r="K487" s="21" t="n"/>
      <c r="L487" s="21" t="n"/>
      <c r="M487" s="15" t="n"/>
      <c r="N487" s="22">
        <f>IF(F487="","",IF(J487&lt;&gt;"",AVERAGE(F487,J487),F487))</f>
        <v/>
      </c>
      <c r="O487" s="22">
        <f>IF(G487="","",IF(K487&lt;&gt;"",AVERAGE(G487,K487),G487))</f>
        <v/>
      </c>
      <c r="P487" s="22">
        <f>IF(OR(N487="",O487=""),"",AVERAGE(N487,O487))</f>
        <v/>
      </c>
    </row>
    <row r="488">
      <c r="A488" s="15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1" t="n"/>
      <c r="G488" s="21" t="n"/>
      <c r="H488" s="21" t="n"/>
      <c r="I488">
        <f>IFERROR(INDEX(מלאי!$N$2:$N$500,MATCH(A488,מלאי!$D$2:$D$500,0)),"")</f>
        <v/>
      </c>
      <c r="J488" s="21" t="n"/>
      <c r="K488" s="21" t="n"/>
      <c r="L488" s="21" t="n"/>
      <c r="M488" s="15" t="n"/>
      <c r="N488" s="22">
        <f>IF(F488="","",IF(J488&lt;&gt;"",AVERAGE(F488,J488),F488))</f>
        <v/>
      </c>
      <c r="O488" s="22">
        <f>IF(G488="","",IF(K488&lt;&gt;"",AVERAGE(G488,K488),G488))</f>
        <v/>
      </c>
      <c r="P488" s="22">
        <f>IF(OR(N488="",O488=""),"",AVERAGE(N488,O488))</f>
        <v/>
      </c>
    </row>
    <row r="489">
      <c r="A489" s="15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1" t="n"/>
      <c r="G489" s="21" t="n"/>
      <c r="H489" s="21" t="n"/>
      <c r="I489">
        <f>IFERROR(INDEX(מלאי!$N$2:$N$500,MATCH(A489,מלאי!$D$2:$D$500,0)),"")</f>
        <v/>
      </c>
      <c r="J489" s="21" t="n"/>
      <c r="K489" s="21" t="n"/>
      <c r="L489" s="21" t="n"/>
      <c r="M489" s="15" t="n"/>
      <c r="N489" s="22">
        <f>IF(F489="","",IF(J489&lt;&gt;"",AVERAGE(F489,J489),F489))</f>
        <v/>
      </c>
      <c r="O489" s="22">
        <f>IF(G489="","",IF(K489&lt;&gt;"",AVERAGE(G489,K489),G489))</f>
        <v/>
      </c>
      <c r="P489" s="22">
        <f>IF(OR(N489="",O489=""),"",AVERAGE(N489,O489))</f>
        <v/>
      </c>
    </row>
    <row r="490">
      <c r="A490" s="15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1" t="n"/>
      <c r="G490" s="21" t="n"/>
      <c r="H490" s="21" t="n"/>
      <c r="I490">
        <f>IFERROR(INDEX(מלאי!$N$2:$N$500,MATCH(A490,מלאי!$D$2:$D$500,0)),"")</f>
        <v/>
      </c>
      <c r="J490" s="21" t="n"/>
      <c r="K490" s="21" t="n"/>
      <c r="L490" s="21" t="n"/>
      <c r="M490" s="15" t="n"/>
      <c r="N490" s="22">
        <f>IF(F490="","",IF(J490&lt;&gt;"",AVERAGE(F490,J490),F490))</f>
        <v/>
      </c>
      <c r="O490" s="22">
        <f>IF(G490="","",IF(K490&lt;&gt;"",AVERAGE(G490,K490),G490))</f>
        <v/>
      </c>
      <c r="P490" s="22">
        <f>IF(OR(N490="",O490=""),"",AVERAGE(N490,O490))</f>
        <v/>
      </c>
    </row>
    <row r="491">
      <c r="A491" s="15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1" t="n"/>
      <c r="G491" s="21" t="n"/>
      <c r="H491" s="21" t="n"/>
      <c r="I491">
        <f>IFERROR(INDEX(מלאי!$N$2:$N$500,MATCH(A491,מלאי!$D$2:$D$500,0)),"")</f>
        <v/>
      </c>
      <c r="J491" s="21" t="n"/>
      <c r="K491" s="21" t="n"/>
      <c r="L491" s="21" t="n"/>
      <c r="M491" s="15" t="n"/>
      <c r="N491" s="22">
        <f>IF(F491="","",IF(J491&lt;&gt;"",AVERAGE(F491,J491),F491))</f>
        <v/>
      </c>
      <c r="O491" s="22">
        <f>IF(G491="","",IF(K491&lt;&gt;"",AVERAGE(G491,K491),G491))</f>
        <v/>
      </c>
      <c r="P491" s="22">
        <f>IF(OR(N491="",O491=""),"",AVERAGE(N491,O491))</f>
        <v/>
      </c>
    </row>
    <row r="492">
      <c r="A492" s="15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1" t="n"/>
      <c r="G492" s="21" t="n"/>
      <c r="H492" s="21" t="n"/>
      <c r="I492">
        <f>IFERROR(INDEX(מלאי!$N$2:$N$500,MATCH(A492,מלאי!$D$2:$D$500,0)),"")</f>
        <v/>
      </c>
      <c r="J492" s="21" t="n"/>
      <c r="K492" s="21" t="n"/>
      <c r="L492" s="21" t="n"/>
      <c r="M492" s="15" t="n"/>
      <c r="N492" s="22">
        <f>IF(F492="","",IF(J492&lt;&gt;"",AVERAGE(F492,J492),F492))</f>
        <v/>
      </c>
      <c r="O492" s="22">
        <f>IF(G492="","",IF(K492&lt;&gt;"",AVERAGE(G492,K492),G492))</f>
        <v/>
      </c>
      <c r="P492" s="22">
        <f>IF(OR(N492="",O492=""),"",AVERAGE(N492,O492))</f>
        <v/>
      </c>
    </row>
    <row r="493">
      <c r="A493" s="15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1" t="n"/>
      <c r="G493" s="21" t="n"/>
      <c r="H493" s="21" t="n"/>
      <c r="I493">
        <f>IFERROR(INDEX(מלאי!$N$2:$N$500,MATCH(A493,מלאי!$D$2:$D$500,0)),"")</f>
        <v/>
      </c>
      <c r="J493" s="21" t="n"/>
      <c r="K493" s="21" t="n"/>
      <c r="L493" s="21" t="n"/>
      <c r="M493" s="15" t="n"/>
      <c r="N493" s="22">
        <f>IF(F493="","",IF(J493&lt;&gt;"",AVERAGE(F493,J493),F493))</f>
        <v/>
      </c>
      <c r="O493" s="22">
        <f>IF(G493="","",IF(K493&lt;&gt;"",AVERAGE(G493,K493),G493))</f>
        <v/>
      </c>
      <c r="P493" s="22">
        <f>IF(OR(N493="",O493=""),"",AVERAGE(N493,O493))</f>
        <v/>
      </c>
    </row>
    <row r="494">
      <c r="A494" s="15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1" t="n"/>
      <c r="G494" s="21" t="n"/>
      <c r="H494" s="21" t="n"/>
      <c r="I494">
        <f>IFERROR(INDEX(מלאי!$N$2:$N$500,MATCH(A494,מלאי!$D$2:$D$500,0)),"")</f>
        <v/>
      </c>
      <c r="J494" s="21" t="n"/>
      <c r="K494" s="21" t="n"/>
      <c r="L494" s="21" t="n"/>
      <c r="M494" s="15" t="n"/>
      <c r="N494" s="22">
        <f>IF(F494="","",IF(J494&lt;&gt;"",AVERAGE(F494,J494),F494))</f>
        <v/>
      </c>
      <c r="O494" s="22">
        <f>IF(G494="","",IF(K494&lt;&gt;"",AVERAGE(G494,K494),G494))</f>
        <v/>
      </c>
      <c r="P494" s="22">
        <f>IF(OR(N494="",O494=""),"",AVERAGE(N494,O494))</f>
        <v/>
      </c>
    </row>
    <row r="495">
      <c r="A495" s="15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1" t="n"/>
      <c r="G495" s="21" t="n"/>
      <c r="H495" s="21" t="n"/>
      <c r="I495">
        <f>IFERROR(INDEX(מלאי!$N$2:$N$500,MATCH(A495,מלאי!$D$2:$D$500,0)),"")</f>
        <v/>
      </c>
      <c r="J495" s="21" t="n"/>
      <c r="K495" s="21" t="n"/>
      <c r="L495" s="21" t="n"/>
      <c r="M495" s="15" t="n"/>
      <c r="N495" s="22">
        <f>IF(F495="","",IF(J495&lt;&gt;"",AVERAGE(F495,J495),F495))</f>
        <v/>
      </c>
      <c r="O495" s="22">
        <f>IF(G495="","",IF(K495&lt;&gt;"",AVERAGE(G495,K495),G495))</f>
        <v/>
      </c>
      <c r="P495" s="22">
        <f>IF(OR(N495="",O495=""),"",AVERAGE(N495,O495))</f>
        <v/>
      </c>
    </row>
    <row r="496">
      <c r="A496" s="15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1" t="n"/>
      <c r="G496" s="21" t="n"/>
      <c r="H496" s="21" t="n"/>
      <c r="I496">
        <f>IFERROR(INDEX(מלאי!$N$2:$N$500,MATCH(A496,מלאי!$D$2:$D$500,0)),"")</f>
        <v/>
      </c>
      <c r="J496" s="21" t="n"/>
      <c r="K496" s="21" t="n"/>
      <c r="L496" s="21" t="n"/>
      <c r="M496" s="15" t="n"/>
      <c r="N496" s="22">
        <f>IF(F496="","",IF(J496&lt;&gt;"",AVERAGE(F496,J496),F496))</f>
        <v/>
      </c>
      <c r="O496" s="22">
        <f>IF(G496="","",IF(K496&lt;&gt;"",AVERAGE(G496,K496),G496))</f>
        <v/>
      </c>
      <c r="P496" s="22">
        <f>IF(OR(N496="",O496=""),"",AVERAGE(N496,O496))</f>
        <v/>
      </c>
    </row>
    <row r="497">
      <c r="A497" s="15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1" t="n"/>
      <c r="G497" s="21" t="n"/>
      <c r="H497" s="21" t="n"/>
      <c r="I497">
        <f>IFERROR(INDEX(מלאי!$N$2:$N$500,MATCH(A497,מלאי!$D$2:$D$500,0)),"")</f>
        <v/>
      </c>
      <c r="J497" s="21" t="n"/>
      <c r="K497" s="21" t="n"/>
      <c r="L497" s="21" t="n"/>
      <c r="M497" s="15" t="n"/>
      <c r="N497" s="22">
        <f>IF(F497="","",IF(J497&lt;&gt;"",AVERAGE(F497,J497),F497))</f>
        <v/>
      </c>
      <c r="O497" s="22">
        <f>IF(G497="","",IF(K497&lt;&gt;"",AVERAGE(G497,K497),G497))</f>
        <v/>
      </c>
      <c r="P497" s="22">
        <f>IF(OR(N497="",O497=""),"",AVERAGE(N497,O497))</f>
        <v/>
      </c>
    </row>
    <row r="498">
      <c r="A498" s="15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1" t="n"/>
      <c r="G498" s="21" t="n"/>
      <c r="H498" s="21" t="n"/>
      <c r="I498">
        <f>IFERROR(INDEX(מלאי!$N$2:$N$500,MATCH(A498,מלאי!$D$2:$D$500,0)),"")</f>
        <v/>
      </c>
      <c r="J498" s="21" t="n"/>
      <c r="K498" s="21" t="n"/>
      <c r="L498" s="21" t="n"/>
      <c r="M498" s="15" t="n"/>
      <c r="N498" s="22">
        <f>IF(F498="","",IF(J498&lt;&gt;"",AVERAGE(F498,J498),F498))</f>
        <v/>
      </c>
      <c r="O498" s="22">
        <f>IF(G498="","",IF(K498&lt;&gt;"",AVERAGE(G498,K498),G498))</f>
        <v/>
      </c>
      <c r="P498" s="22">
        <f>IF(OR(N498="",O498=""),"",AVERAGE(N498,O498))</f>
        <v/>
      </c>
    </row>
    <row r="499">
      <c r="A499" s="15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1" t="n"/>
      <c r="G499" s="21" t="n"/>
      <c r="H499" s="21" t="n"/>
      <c r="I499">
        <f>IFERROR(INDEX(מלאי!$N$2:$N$500,MATCH(A499,מלאי!$D$2:$D$500,0)),"")</f>
        <v/>
      </c>
      <c r="J499" s="21" t="n"/>
      <c r="K499" s="21" t="n"/>
      <c r="L499" s="21" t="n"/>
      <c r="M499" s="15" t="n"/>
      <c r="N499" s="22">
        <f>IF(F499="","",IF(J499&lt;&gt;"",AVERAGE(F499,J499),F499))</f>
        <v/>
      </c>
      <c r="O499" s="22">
        <f>IF(G499="","",IF(K499&lt;&gt;"",AVERAGE(G499,K499),G499))</f>
        <v/>
      </c>
      <c r="P499" s="22">
        <f>IF(OR(N499="",O499=""),"",AVERAGE(N499,O499))</f>
        <v/>
      </c>
    </row>
    <row r="500">
      <c r="A500" s="15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1" t="n"/>
      <c r="G500" s="21" t="n"/>
      <c r="H500" s="21" t="n"/>
      <c r="I500">
        <f>IFERROR(INDEX(מלאי!$N$2:$N$500,MATCH(A500,מלאי!$D$2:$D$500,0)),"")</f>
        <v/>
      </c>
      <c r="J500" s="21" t="n"/>
      <c r="K500" s="21" t="n"/>
      <c r="L500" s="21" t="n"/>
      <c r="M500" s="15" t="n"/>
      <c r="N500" s="22">
        <f>IF(F500="","",IF(J500&lt;&gt;"",AVERAGE(F500,J500),F500))</f>
        <v/>
      </c>
      <c r="O500" s="22">
        <f>IF(G500="","",IF(K500&lt;&gt;"",AVERAGE(G500,K500),G500))</f>
        <v/>
      </c>
      <c r="P500" s="22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  <c r="B1" s="15" t="n"/>
      <c r="C1" s="15" t="n"/>
      <c r="D1" s="15" t="n"/>
    </row>
    <row r="2">
      <c r="A2" s="17" t="inlineStr">
        <is>
          <t>מדברי</t>
        </is>
      </c>
      <c r="B2" s="15" t="n"/>
      <c r="C2" s="15" t="n"/>
      <c r="D2" s="15" t="n"/>
    </row>
    <row r="3">
      <c r="A3" s="19" t="inlineStr">
        <is>
          <t>מיוער</t>
        </is>
      </c>
      <c r="B3" s="15" t="n"/>
      <c r="C3" s="15" t="n"/>
      <c r="D3" s="15" t="n"/>
    </row>
    <row r="4">
      <c r="A4" s="17" t="inlineStr">
        <is>
          <t>שלג</t>
        </is>
      </c>
      <c r="B4" s="15" t="n"/>
      <c r="C4" s="15" t="n"/>
      <c r="D4" s="15" t="n"/>
    </row>
    <row r="5">
      <c r="A5" s="19" t="inlineStr">
        <is>
          <t>ימי</t>
        </is>
      </c>
      <c r="B5" s="15" t="n"/>
      <c r="C5" s="15" t="n"/>
      <c r="D5" s="15" t="n"/>
    </row>
    <row r="6">
      <c r="A6" s="17" t="inlineStr">
        <is>
          <t>מבולדר/שטח בנוי</t>
        </is>
      </c>
      <c r="B6" s="15" t="n"/>
      <c r="C6" s="15" t="n"/>
      <c r="D6" s="15" t="n"/>
    </row>
    <row r="7">
      <c r="A7" s="19" t="inlineStr">
        <is>
          <t>אחר</t>
        </is>
      </c>
      <c r="B7" s="15" t="n"/>
      <c r="C7" s="15" t="n"/>
      <c r="D7" s="15" t="n"/>
    </row>
    <row r="8">
      <c r="A8" s="15" t="n"/>
      <c r="B8" s="15" t="n"/>
      <c r="C8" s="15" t="n"/>
      <c r="D8" s="15" t="n"/>
    </row>
    <row r="9">
      <c r="A9" s="15" t="n"/>
      <c r="B9" s="15" t="n"/>
      <c r="C9" s="15" t="n"/>
      <c r="D9" s="15" t="n"/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17" t="inlineStr">
        <is>
          <t>Desert</t>
        </is>
      </c>
      <c r="B11" s="17" t="inlineStr">
        <is>
          <t>מדברי</t>
        </is>
      </c>
      <c r="C11" s="17" t="n"/>
      <c r="D11" s="17" t="n"/>
    </row>
    <row r="12">
      <c r="A12" s="19" t="inlineStr">
        <is>
          <t>Desert-Green</t>
        </is>
      </c>
      <c r="B12" s="19" t="inlineStr">
        <is>
          <t>מדברי</t>
        </is>
      </c>
      <c r="C12" s="19" t="n"/>
      <c r="D12" s="19" t="n"/>
    </row>
    <row r="13">
      <c r="A13" s="17" t="inlineStr">
        <is>
          <t>Desert Coyote</t>
        </is>
      </c>
      <c r="B13" s="17" t="inlineStr">
        <is>
          <t>מדברי</t>
        </is>
      </c>
      <c r="C13" s="17" t="n"/>
      <c r="D13" s="17" t="n"/>
    </row>
    <row r="14">
      <c r="A14" s="19" t="inlineStr">
        <is>
          <t>Sand</t>
        </is>
      </c>
      <c r="B14" s="19" t="inlineStr">
        <is>
          <t>מדברי</t>
        </is>
      </c>
      <c r="C14" s="19" t="n"/>
      <c r="D14" s="19" t="n"/>
    </row>
    <row r="15">
      <c r="A15" s="17" t="inlineStr">
        <is>
          <t>Ever-Green</t>
        </is>
      </c>
      <c r="B15" s="17" t="inlineStr">
        <is>
          <t>מיוער</t>
        </is>
      </c>
      <c r="C15" s="17" t="n"/>
      <c r="D15" s="17" t="n"/>
    </row>
    <row r="16">
      <c r="A16" s="19" t="inlineStr">
        <is>
          <t>Forest Green</t>
        </is>
      </c>
      <c r="B16" s="19" t="inlineStr">
        <is>
          <t>מיוער</t>
        </is>
      </c>
      <c r="C16" s="19" t="n"/>
      <c r="D16" s="19" t="n"/>
    </row>
    <row r="17">
      <c r="A17" s="17" t="inlineStr">
        <is>
          <t>Kestrel</t>
        </is>
      </c>
      <c r="B17" s="17" t="inlineStr">
        <is>
          <t>מיוער</t>
        </is>
      </c>
      <c r="C17" s="17" t="n"/>
      <c r="D17" s="17" t="n"/>
    </row>
    <row r="18">
      <c r="A18" s="19" t="inlineStr">
        <is>
          <t>Woodland</t>
        </is>
      </c>
      <c r="B18" s="19" t="inlineStr">
        <is>
          <t>מיוער</t>
        </is>
      </c>
      <c r="C18" s="19" t="n"/>
      <c r="D18" s="19" t="n"/>
    </row>
    <row r="19">
      <c r="A19" s="17" t="inlineStr">
        <is>
          <t>Woodland Brown</t>
        </is>
      </c>
      <c r="B19" s="17" t="inlineStr">
        <is>
          <t>מיוער</t>
        </is>
      </c>
      <c r="C19" s="17" t="n"/>
      <c r="D19" s="17" t="n"/>
    </row>
    <row r="20">
      <c r="A20" s="19" t="inlineStr">
        <is>
          <t>Urban Green</t>
        </is>
      </c>
      <c r="B20" s="19" t="inlineStr">
        <is>
          <t>מיוער</t>
        </is>
      </c>
      <c r="C20" s="19" t="inlineStr">
        <is>
          <t>מבולדר/שטח בנוי</t>
        </is>
      </c>
      <c r="D20" s="19" t="n"/>
    </row>
    <row r="21">
      <c r="A21" s="17" t="inlineStr">
        <is>
          <t>Snirt Snow</t>
        </is>
      </c>
      <c r="B21" s="17" t="inlineStr">
        <is>
          <t>שלג</t>
        </is>
      </c>
      <c r="C21" s="17" t="n"/>
      <c r="D21" s="17" t="n"/>
    </row>
    <row r="22">
      <c r="A22" s="19" t="inlineStr">
        <is>
          <t>Fresh Snow</t>
        </is>
      </c>
      <c r="B22" s="19" t="inlineStr">
        <is>
          <t>שלג</t>
        </is>
      </c>
      <c r="C22" s="19" t="n"/>
      <c r="D22" s="19" t="n"/>
    </row>
    <row r="23">
      <c r="A23" s="17" t="inlineStr">
        <is>
          <t>Marine</t>
        </is>
      </c>
      <c r="B23" s="17" t="inlineStr">
        <is>
          <t>ימי</t>
        </is>
      </c>
      <c r="C23" s="17" t="n"/>
      <c r="D23" s="17" t="n"/>
    </row>
    <row r="24">
      <c r="A24" s="19" t="inlineStr">
        <is>
          <t>Urban</t>
        </is>
      </c>
      <c r="B24" s="19" t="inlineStr">
        <is>
          <t>מבולדר/שטח בנוי</t>
        </is>
      </c>
      <c r="C24" s="19" t="n"/>
      <c r="D24" s="19" t="n"/>
    </row>
    <row r="25">
      <c r="A25" s="17" t="inlineStr">
        <is>
          <t>Boulder</t>
        </is>
      </c>
      <c r="B25" s="17" t="inlineStr">
        <is>
          <t>מבולדר/שטח בנוי</t>
        </is>
      </c>
      <c r="C25" s="17" t="n"/>
      <c r="D25" s="17" t="n"/>
    </row>
    <row r="26">
      <c r="A26" s="19" t="inlineStr">
        <is>
          <t>NATO</t>
        </is>
      </c>
      <c r="B26" s="19" t="inlineStr">
        <is>
          <t>מיוער</t>
        </is>
      </c>
      <c r="C26" s="19" t="n"/>
      <c r="D26" s="19" t="n"/>
    </row>
    <row r="27">
      <c r="A27" s="17" t="inlineStr">
        <is>
          <t>Kestrel (אמריקאי)</t>
        </is>
      </c>
      <c r="B27" s="17" t="inlineStr">
        <is>
          <t>מיוער</t>
        </is>
      </c>
      <c r="C27" s="17" t="n"/>
      <c r="D27" s="17" t="n"/>
    </row>
    <row r="28">
      <c r="A28" s="15" t="n"/>
      <c r="B28" s="15" t="n"/>
      <c r="C28" s="15" t="n"/>
      <c r="D28" s="15" t="n"/>
    </row>
    <row r="29">
      <c r="A29" s="15" t="n"/>
      <c r="B29" s="15" t="n"/>
      <c r="C29" s="15" t="n"/>
      <c r="D29" s="15" t="n"/>
    </row>
    <row r="30">
      <c r="A30" s="7" t="inlineStr">
        <is>
          <t>קו מוצר</t>
        </is>
      </c>
      <c r="B30" s="15" t="n"/>
      <c r="C30" s="15" t="n"/>
      <c r="D30" s="15" t="n"/>
    </row>
    <row r="31">
      <c r="A31" s="17" t="inlineStr">
        <is>
          <t>OverGarment</t>
        </is>
      </c>
      <c r="B31" s="15" t="n"/>
      <c r="C31" s="15" t="n"/>
      <c r="D31" s="15" t="n"/>
    </row>
    <row r="32">
      <c r="A32" s="19" t="inlineStr">
        <is>
          <t>Hide Site</t>
        </is>
      </c>
      <c r="B32" s="15" t="n"/>
      <c r="C32" s="15" t="n"/>
      <c r="D32" s="15" t="n"/>
    </row>
    <row r="33">
      <c r="A33" s="17" t="inlineStr">
        <is>
          <t>Platform Hide Site</t>
        </is>
      </c>
      <c r="B33" s="15" t="n"/>
      <c r="C33" s="15" t="n"/>
      <c r="D33" s="15" t="n"/>
    </row>
    <row r="34">
      <c r="A34" s="19" t="inlineStr">
        <is>
          <t>Uniform</t>
        </is>
      </c>
      <c r="B34" s="15" t="n"/>
      <c r="C34" s="15" t="n"/>
      <c r="D34" s="15" t="n"/>
    </row>
    <row r="35">
      <c r="A35" s="17" t="inlineStr">
        <is>
          <t>Blankets</t>
        </is>
      </c>
      <c r="B35" s="15" t="n"/>
      <c r="C35" s="15" t="n"/>
      <c r="D35" s="15" t="n"/>
    </row>
    <row r="36">
      <c r="A36" s="19" t="inlineStr">
        <is>
          <t>Urban</t>
        </is>
      </c>
      <c r="B36" s="15" t="n"/>
      <c r="C36" s="15" t="n"/>
      <c r="D36" s="15" t="n"/>
    </row>
    <row r="37">
      <c r="A37" s="17" t="inlineStr">
        <is>
          <t>Platform On-The-Move</t>
        </is>
      </c>
      <c r="B37" s="15" t="n"/>
      <c r="C37" s="15" t="n"/>
      <c r="D37" s="15" t="n"/>
    </row>
    <row r="38">
      <c r="A38" s="19" t="inlineStr">
        <is>
          <t>Accessories</t>
        </is>
      </c>
      <c r="B38" s="15" t="n"/>
      <c r="C38" s="15" t="n"/>
      <c r="D38" s="15" t="n"/>
    </row>
    <row r="39">
      <c r="A39" s="15" t="n"/>
      <c r="B39" s="15" t="n"/>
      <c r="C39" s="15" t="n"/>
      <c r="D39" s="15" t="n"/>
    </row>
    <row r="40">
      <c r="A40" s="15" t="n"/>
      <c r="B40" s="15" t="n"/>
      <c r="C40" s="15" t="n"/>
      <c r="D40" s="15" t="n"/>
    </row>
    <row r="41">
      <c r="A41" s="7" t="inlineStr">
        <is>
          <t>קו מוצר</t>
        </is>
      </c>
      <c r="B41" s="7" t="inlineStr">
        <is>
          <t>שם מוצר</t>
        </is>
      </c>
      <c r="C41" s="7" t="inlineStr">
        <is>
          <t>גרסאות זמינות</t>
        </is>
      </c>
      <c r="D41" s="15" t="n"/>
    </row>
    <row r="42">
      <c r="A42" s="17" t="inlineStr">
        <is>
          <t>OverGarment</t>
        </is>
      </c>
      <c r="B42" s="17" t="inlineStr">
        <is>
          <t>Hobey Elite</t>
        </is>
      </c>
      <c r="C42" s="17" t="inlineStr"/>
      <c r="D42" s="15" t="n"/>
    </row>
    <row r="43">
      <c r="A43" s="19" t="inlineStr">
        <is>
          <t>OverGarment</t>
        </is>
      </c>
      <c r="B43" s="19" t="inlineStr">
        <is>
          <t>Gal Suit</t>
        </is>
      </c>
      <c r="C43" s="19" t="inlineStr"/>
      <c r="D43" s="15" t="n"/>
    </row>
    <row r="44">
      <c r="A44" s="17" t="inlineStr">
        <is>
          <t>OverGarment</t>
        </is>
      </c>
      <c r="B44" s="17" t="inlineStr">
        <is>
          <t>Sniper Assault</t>
        </is>
      </c>
      <c r="C44" s="17" t="inlineStr"/>
      <c r="D44" s="15" t="n"/>
    </row>
    <row r="45">
      <c r="A45" s="19" t="inlineStr">
        <is>
          <t>OverGarment</t>
        </is>
      </c>
      <c r="B45" s="19" t="inlineStr">
        <is>
          <t>SWAT 3-Part Suit</t>
        </is>
      </c>
      <c r="C45" s="19" t="inlineStr"/>
      <c r="D45" s="15" t="n"/>
    </row>
    <row r="46">
      <c r="A46" s="17" t="inlineStr">
        <is>
          <t>OverGarment</t>
        </is>
      </c>
      <c r="B46" s="17" t="inlineStr">
        <is>
          <t>May Suit</t>
        </is>
      </c>
      <c r="C46" s="17" t="inlineStr"/>
      <c r="D46" s="15" t="n"/>
    </row>
    <row r="47">
      <c r="A47" s="19" t="inlineStr">
        <is>
          <t>OverGarment</t>
        </is>
      </c>
      <c r="B47" s="19" t="inlineStr">
        <is>
          <t>May Long Shirt</t>
        </is>
      </c>
      <c r="C47" s="19" t="inlineStr"/>
      <c r="D47" s="15" t="n"/>
    </row>
    <row r="48">
      <c r="A48" s="17" t="inlineStr">
        <is>
          <t>OverGarment</t>
        </is>
      </c>
      <c r="B48" s="17" t="inlineStr">
        <is>
          <t>Arctic Suit</t>
        </is>
      </c>
      <c r="C48" s="17" t="inlineStr"/>
      <c r="D48" s="15" t="n"/>
    </row>
    <row r="49">
      <c r="A49" s="19" t="inlineStr">
        <is>
          <t>OverGarment</t>
        </is>
      </c>
      <c r="B49" s="19" t="inlineStr">
        <is>
          <t>Poncho SRV</t>
        </is>
      </c>
      <c r="C49" s="19" t="inlineStr"/>
      <c r="D49" s="15" t="n"/>
    </row>
    <row r="50">
      <c r="A50" s="17" t="inlineStr">
        <is>
          <t>OverGarment</t>
        </is>
      </c>
      <c r="B50" s="17" t="inlineStr">
        <is>
          <t>Poncho Inbar</t>
        </is>
      </c>
      <c r="C50" s="17" t="inlineStr"/>
      <c r="D50" s="15" t="n"/>
    </row>
    <row r="51">
      <c r="A51" s="19" t="inlineStr">
        <is>
          <t>OverGarment</t>
        </is>
      </c>
      <c r="B51" s="19" t="inlineStr">
        <is>
          <t>Poncho Inbar 3D</t>
        </is>
      </c>
      <c r="C51" s="19" t="inlineStr"/>
      <c r="D51" s="15" t="n"/>
    </row>
    <row r="52">
      <c r="A52" s="17" t="inlineStr">
        <is>
          <t>OverGarment</t>
        </is>
      </c>
      <c r="B52" s="17" t="inlineStr">
        <is>
          <t>Poncho Sahar</t>
        </is>
      </c>
      <c r="C52" s="17" t="inlineStr"/>
      <c r="D52" s="15" t="n"/>
    </row>
    <row r="53">
      <c r="A53" s="19" t="inlineStr">
        <is>
          <t>OverGarment</t>
        </is>
      </c>
      <c r="B53" s="19" t="inlineStr">
        <is>
          <t>Poncho Sahar 3D</t>
        </is>
      </c>
      <c r="C53" s="19" t="inlineStr"/>
      <c r="D53" s="15" t="n"/>
    </row>
    <row r="54">
      <c r="A54" s="17" t="inlineStr">
        <is>
          <t>OverGarment</t>
        </is>
      </c>
      <c r="B54" s="17" t="inlineStr">
        <is>
          <t>Arctic Jacket</t>
        </is>
      </c>
      <c r="C54" s="17" t="inlineStr"/>
      <c r="D54" s="15" t="n"/>
    </row>
    <row r="55">
      <c r="A55" s="19" t="inlineStr">
        <is>
          <t>OverGarment</t>
        </is>
      </c>
      <c r="B55" s="19" t="inlineStr">
        <is>
          <t>Arctic Overpants</t>
        </is>
      </c>
      <c r="C55" s="19" t="inlineStr"/>
      <c r="D55" s="15" t="n"/>
    </row>
    <row r="56">
      <c r="A56" s="17" t="inlineStr">
        <is>
          <t>OverGarment</t>
        </is>
      </c>
      <c r="B56" s="17" t="inlineStr">
        <is>
          <t>Arctic Poncho SRV</t>
        </is>
      </c>
      <c r="C56" s="17" t="inlineStr"/>
      <c r="D56" s="15" t="n"/>
    </row>
    <row r="57">
      <c r="A57" s="19" t="inlineStr">
        <is>
          <t>OverGarment</t>
        </is>
      </c>
      <c r="B57" s="19" t="inlineStr">
        <is>
          <t>Gaiters</t>
        </is>
      </c>
      <c r="C57" s="19" t="inlineStr"/>
      <c r="D57" s="15" t="n"/>
    </row>
    <row r="58">
      <c r="A58" s="17" t="inlineStr">
        <is>
          <t>OverGarment</t>
        </is>
      </c>
      <c r="B58" s="17" t="inlineStr">
        <is>
          <t>Poncho SRV Short</t>
        </is>
      </c>
      <c r="C58" s="17" t="inlineStr"/>
      <c r="D58" s="15" t="n"/>
    </row>
    <row r="59">
      <c r="A59" s="19" t="inlineStr">
        <is>
          <t>Hide Site</t>
        </is>
      </c>
      <c r="B59" s="19" t="inlineStr">
        <is>
          <t>Hide Site Standard</t>
        </is>
      </c>
      <c r="C59" s="19" t="inlineStr"/>
      <c r="D59" s="15" t="n"/>
    </row>
    <row r="60">
      <c r="A60" s="17" t="inlineStr">
        <is>
          <t>Hide Site</t>
        </is>
      </c>
      <c r="B60" s="17" t="inlineStr">
        <is>
          <t>HS Floor</t>
        </is>
      </c>
      <c r="C60" s="17" t="inlineStr"/>
      <c r="D60" s="15" t="n"/>
    </row>
    <row r="61">
      <c r="A61" s="19" t="inlineStr">
        <is>
          <t>Hide Site</t>
        </is>
      </c>
      <c r="B61" s="19" t="inlineStr">
        <is>
          <t>Window Kit</t>
        </is>
      </c>
      <c r="C61" s="19" t="inlineStr"/>
      <c r="D61" s="15" t="n"/>
    </row>
    <row r="62">
      <c r="A62" s="17" t="inlineStr">
        <is>
          <t>Hide Site</t>
        </is>
      </c>
      <c r="B62" s="17" t="inlineStr">
        <is>
          <t>Operators HS</t>
        </is>
      </c>
      <c r="C62" s="17" t="inlineStr"/>
      <c r="D62" s="15" t="n"/>
    </row>
    <row r="63">
      <c r="A63" s="19" t="inlineStr">
        <is>
          <t>Hide Site</t>
        </is>
      </c>
      <c r="B63" s="19" t="inlineStr">
        <is>
          <t>OverWatch (ATGM) HS</t>
        </is>
      </c>
      <c r="C63" s="19" t="inlineStr"/>
      <c r="D63" s="15" t="n"/>
    </row>
    <row r="64">
      <c r="A64" s="17" t="inlineStr">
        <is>
          <t>Hide Site</t>
        </is>
      </c>
      <c r="B64" s="17" t="inlineStr">
        <is>
          <t>6X6 Hide Site</t>
        </is>
      </c>
      <c r="C64" s="17" t="inlineStr"/>
      <c r="D64" s="15" t="n"/>
    </row>
    <row r="65">
      <c r="A65" s="19" t="inlineStr">
        <is>
          <t>Hide Site</t>
        </is>
      </c>
      <c r="B65" s="19" t="inlineStr">
        <is>
          <t>עמדת חוד</t>
        </is>
      </c>
      <c r="C65" s="19" t="inlineStr"/>
      <c r="D65" s="15" t="n"/>
    </row>
    <row r="66">
      <c r="A66" s="17" t="inlineStr">
        <is>
          <t>Platform Hide Site</t>
        </is>
      </c>
      <c r="B66" s="17" t="inlineStr">
        <is>
          <t>Platform HS (including parts)</t>
        </is>
      </c>
      <c r="C66" s="17" t="inlineStr"/>
      <c r="D66" s="15" t="n"/>
    </row>
    <row r="67">
      <c r="A67" s="19" t="inlineStr">
        <is>
          <t>Platform Hide Site</t>
        </is>
      </c>
      <c r="B67" s="19" t="inlineStr">
        <is>
          <t>LC79</t>
        </is>
      </c>
      <c r="C67" s="19" t="inlineStr"/>
      <c r="D67" s="15" t="n"/>
    </row>
    <row r="68">
      <c r="A68" s="17" t="inlineStr">
        <is>
          <t>Platform Hide Site</t>
        </is>
      </c>
      <c r="B68" s="17" t="inlineStr">
        <is>
          <t>GMV</t>
        </is>
      </c>
      <c r="C68" s="17" t="inlineStr"/>
      <c r="D68" s="15" t="n"/>
    </row>
    <row r="69">
      <c r="A69" s="19" t="inlineStr">
        <is>
          <t>Platform Hide Site</t>
        </is>
      </c>
      <c r="B69" s="19" t="inlineStr">
        <is>
          <t>רשת הצללה</t>
        </is>
      </c>
      <c r="C69" s="19" t="inlineStr"/>
      <c r="D69" s="15" t="n"/>
    </row>
    <row r="70">
      <c r="A70" s="17" t="inlineStr">
        <is>
          <t>Uniform</t>
        </is>
      </c>
      <c r="B70" s="17" t="inlineStr">
        <is>
          <t>Shirt</t>
        </is>
      </c>
      <c r="C70" s="17" t="inlineStr"/>
      <c r="D70" s="15" t="n"/>
    </row>
    <row r="71">
      <c r="A71" s="19" t="inlineStr">
        <is>
          <t>Uniform</t>
        </is>
      </c>
      <c r="B71" s="19" t="inlineStr">
        <is>
          <t>Pants</t>
        </is>
      </c>
      <c r="C71" s="19" t="inlineStr"/>
      <c r="D71" s="15" t="n"/>
    </row>
    <row r="72">
      <c r="A72" s="17" t="inlineStr">
        <is>
          <t>Uniform</t>
        </is>
      </c>
      <c r="B72" s="17" t="inlineStr">
        <is>
          <t>Headcover</t>
        </is>
      </c>
      <c r="C72" s="17" t="inlineStr"/>
      <c r="D72" s="15" t="n"/>
    </row>
    <row r="73">
      <c r="A73" s="19" t="inlineStr">
        <is>
          <t>Uniform</t>
        </is>
      </c>
      <c r="B73" s="19" t="inlineStr">
        <is>
          <t>Balaclava</t>
        </is>
      </c>
      <c r="C73" s="19" t="inlineStr"/>
      <c r="D73" s="15" t="n"/>
    </row>
    <row r="74">
      <c r="A74" s="17" t="inlineStr">
        <is>
          <t>Uniform</t>
        </is>
      </c>
      <c r="B74" s="17" t="inlineStr">
        <is>
          <t>Boonie hat</t>
        </is>
      </c>
      <c r="C74" s="17" t="inlineStr"/>
      <c r="D74" s="15" t="n"/>
    </row>
    <row r="75">
      <c r="A75" s="19" t="inlineStr">
        <is>
          <t>Uniform</t>
        </is>
      </c>
      <c r="B75" s="19" t="inlineStr">
        <is>
          <t>Vest cover</t>
        </is>
      </c>
      <c r="C75" s="19" t="inlineStr"/>
      <c r="D75" s="15" t="n"/>
    </row>
    <row r="76">
      <c r="A76" s="17" t="inlineStr">
        <is>
          <t>Blankets</t>
        </is>
      </c>
      <c r="B76" s="17" t="inlineStr">
        <is>
          <t>Survival Blanket</t>
        </is>
      </c>
      <c r="C76" s="17" t="inlineStr"/>
      <c r="D76" s="15" t="n"/>
    </row>
    <row r="77">
      <c r="A77" s="19" t="inlineStr">
        <is>
          <t>Blankets</t>
        </is>
      </c>
      <c r="B77" s="19" t="inlineStr">
        <is>
          <t>יריעת החשכה</t>
        </is>
      </c>
      <c r="C77" s="19" t="inlineStr"/>
      <c r="D77" s="15" t="n"/>
    </row>
    <row r="78">
      <c r="A78" s="17" t="inlineStr">
        <is>
          <t>Blankets</t>
        </is>
      </c>
      <c r="B78" s="17" t="inlineStr">
        <is>
          <t>Water Proof Survival Blanket</t>
        </is>
      </c>
      <c r="C78" s="17" t="inlineStr"/>
      <c r="D78" s="15" t="n"/>
    </row>
    <row r="79">
      <c r="A79" s="19" t="inlineStr">
        <is>
          <t>Blankets</t>
        </is>
      </c>
      <c r="B79" s="19" t="inlineStr">
        <is>
          <t>3D Survival Blanket</t>
        </is>
      </c>
      <c r="C79" s="19" t="inlineStr"/>
      <c r="D79" s="15" t="n"/>
    </row>
    <row r="80">
      <c r="A80" s="17" t="inlineStr">
        <is>
          <t>Blankets</t>
        </is>
      </c>
      <c r="B80" s="17" t="inlineStr">
        <is>
          <t>Arctic Survival Blanket</t>
        </is>
      </c>
      <c r="C80" s="17" t="inlineStr"/>
      <c r="D80" s="15" t="n"/>
    </row>
    <row r="81">
      <c r="A81" s="19" t="inlineStr">
        <is>
          <t>Urban</t>
        </is>
      </c>
      <c r="B81" s="19" t="inlineStr">
        <is>
          <t>Loki</t>
        </is>
      </c>
      <c r="C81" s="19" t="inlineStr"/>
      <c r="D81" s="15" t="n"/>
    </row>
    <row r="82">
      <c r="A82" s="17" t="inlineStr">
        <is>
          <t>Platform On-The-Move</t>
        </is>
      </c>
      <c r="B82" s="17" t="inlineStr">
        <is>
          <t>GMV</t>
        </is>
      </c>
      <c r="C82" s="17" t="inlineStr"/>
      <c r="D82" s="15" t="n"/>
    </row>
    <row r="83">
      <c r="A83" s="19" t="inlineStr">
        <is>
          <t>Platform On-The-Move</t>
        </is>
      </c>
      <c r="B83" s="19" t="inlineStr">
        <is>
          <t>רשת הצללה</t>
        </is>
      </c>
      <c r="C83" s="19" t="inlineStr"/>
      <c r="D83" s="15" t="n"/>
    </row>
    <row r="84">
      <c r="A84" s="17" t="inlineStr">
        <is>
          <t>Accessories</t>
        </is>
      </c>
      <c r="B84" s="17" t="inlineStr">
        <is>
          <t>Accessories</t>
        </is>
      </c>
      <c r="C84" s="17" t="inlineStr"/>
      <c r="D84" s="15" t="n"/>
    </row>
    <row r="85">
      <c r="A85" s="19" t="inlineStr">
        <is>
          <t>Accessories</t>
        </is>
      </c>
      <c r="B85" s="19" t="inlineStr">
        <is>
          <t>HS Floor</t>
        </is>
      </c>
      <c r="C85" s="19" t="inlineStr"/>
      <c r="D85" s="15" t="n"/>
    </row>
    <row r="86">
      <c r="A86" s="17" t="inlineStr">
        <is>
          <t>Accessories</t>
        </is>
      </c>
      <c r="B86" s="17" t="inlineStr">
        <is>
          <t>חלקים של עמדות</t>
        </is>
      </c>
      <c r="C86" s="17" t="inlineStr"/>
      <c r="D86" s="15" t="n"/>
    </row>
    <row r="87">
      <c r="A87" s="19" t="inlineStr">
        <is>
          <t>Accessories</t>
        </is>
      </c>
      <c r="B87" s="19" t="inlineStr">
        <is>
          <t>Blackout hood</t>
        </is>
      </c>
      <c r="C87" s="19" t="inlineStr"/>
      <c r="D87" s="15" t="n"/>
    </row>
    <row r="88">
      <c r="A88" s="17" t="inlineStr">
        <is>
          <t>Accessories</t>
        </is>
      </c>
      <c r="B88" s="17" t="inlineStr">
        <is>
          <t>Weapon Wraps</t>
        </is>
      </c>
      <c r="C88" s="17" t="inlineStr"/>
      <c r="D88" s="15" t="n"/>
    </row>
    <row r="89">
      <c r="A89" s="15" t="n"/>
      <c r="B89" s="15" t="n"/>
      <c r="C89" s="15" t="n"/>
      <c r="D89" s="15" t="n"/>
    </row>
    <row r="90">
      <c r="A90" s="15" t="n"/>
      <c r="B90" s="15" t="n"/>
      <c r="C90" s="15" t="n"/>
      <c r="D90" s="15" t="n"/>
    </row>
    <row r="91">
      <c r="A91" s="7" t="inlineStr">
        <is>
          <t>סוג בד</t>
        </is>
      </c>
      <c r="B91" s="15" t="n"/>
      <c r="C91" s="15" t="n"/>
      <c r="D91" s="15" t="n"/>
    </row>
    <row r="92">
      <c r="A92" s="17" t="inlineStr">
        <is>
          <t>Sahar</t>
        </is>
      </c>
      <c r="B92" s="15" t="n"/>
      <c r="C92" s="15" t="n"/>
      <c r="D92" s="15" t="n"/>
    </row>
    <row r="93">
      <c r="A93" s="19" t="inlineStr">
        <is>
          <t>Inbar</t>
        </is>
      </c>
      <c r="B93" s="15" t="n"/>
      <c r="C93" s="15" t="n"/>
      <c r="D93" s="15" t="n"/>
    </row>
    <row r="94">
      <c r="A94" s="17" t="inlineStr">
        <is>
          <t>SRV</t>
        </is>
      </c>
      <c r="B94" s="15" t="n"/>
      <c r="C94" s="15" t="n"/>
      <c r="D94" s="15" t="n"/>
    </row>
    <row r="95">
      <c r="A95" s="19" t="inlineStr">
        <is>
          <t>Gabardine</t>
        </is>
      </c>
      <c r="B95" s="15" t="n"/>
      <c r="C95" s="15" t="n"/>
      <c r="D95" s="15" t="n"/>
    </row>
    <row r="96">
      <c r="A96" s="17" t="inlineStr">
        <is>
          <t>Meron</t>
        </is>
      </c>
      <c r="B96" s="15" t="n"/>
      <c r="C96" s="15" t="n"/>
      <c r="D96" s="15" t="n"/>
    </row>
    <row r="97">
      <c r="A97" s="19" t="inlineStr">
        <is>
          <t>Arber</t>
        </is>
      </c>
      <c r="B97" s="15" t="n"/>
      <c r="C97" s="15" t="n"/>
      <c r="D97" s="15" t="n"/>
    </row>
    <row r="98">
      <c r="A98" s="17" t="inlineStr">
        <is>
          <t>IRR</t>
        </is>
      </c>
      <c r="B98" s="15" t="n"/>
      <c r="C98" s="15" t="n"/>
      <c r="D98" s="15" t="n"/>
    </row>
    <row r="99">
      <c r="A99" s="19" t="inlineStr">
        <is>
          <t>Polar</t>
        </is>
      </c>
      <c r="B99" s="15" t="n"/>
      <c r="C99" s="15" t="n"/>
      <c r="D99" s="15" t="n"/>
    </row>
    <row r="100">
      <c r="A100" s="17" t="inlineStr">
        <is>
          <t>Nylon</t>
        </is>
      </c>
      <c r="B100" s="15" t="n"/>
      <c r="C100" s="15" t="n"/>
      <c r="D100" s="15" t="n"/>
    </row>
    <row r="101">
      <c r="A101" s="19" t="inlineStr">
        <is>
          <t>Mesh</t>
        </is>
      </c>
      <c r="B101" s="15" t="n"/>
      <c r="C101" s="15" t="n"/>
      <c r="D101" s="15" t="n"/>
    </row>
    <row r="102">
      <c r="A102" s="17" t="inlineStr">
        <is>
          <t>PVC</t>
        </is>
      </c>
      <c r="B102" s="15" t="n"/>
      <c r="C102" s="15" t="n"/>
      <c r="D102" s="15" t="n"/>
    </row>
    <row r="103">
      <c r="A103" s="19" t="inlineStr">
        <is>
          <t>Other</t>
        </is>
      </c>
      <c r="B103" s="15" t="n"/>
      <c r="C103" s="15" t="n"/>
      <c r="D103" s="15" t="n"/>
    </row>
    <row r="104">
      <c r="A104" s="17" t="inlineStr">
        <is>
          <t>RIPSTOP</t>
        </is>
      </c>
      <c r="B104" s="15" t="n"/>
      <c r="C104" s="15" t="n"/>
      <c r="D104" s="15" t="n"/>
    </row>
    <row r="105">
      <c r="A105" s="19" t="inlineStr">
        <is>
          <t>RIPSTOP Double Layer</t>
        </is>
      </c>
      <c r="B105" s="15" t="n"/>
      <c r="C105" s="15" t="n"/>
      <c r="D105" s="15" t="n"/>
    </row>
    <row r="106">
      <c r="A106" s="17" t="inlineStr">
        <is>
          <t>Beti</t>
        </is>
      </c>
      <c r="B106" s="15" t="n"/>
      <c r="C106" s="15" t="n"/>
      <c r="D106" s="15" t="n"/>
    </row>
    <row r="107">
      <c r="A107" s="19" t="inlineStr">
        <is>
          <t>MRG</t>
        </is>
      </c>
      <c r="B107" s="15" t="n"/>
      <c r="C107" s="15" t="n"/>
      <c r="D107" s="15" t="n"/>
    </row>
    <row r="108">
      <c r="A108" s="17" t="inlineStr">
        <is>
          <t>3D</t>
        </is>
      </c>
      <c r="B108" s="15" t="n"/>
      <c r="C108" s="15" t="n"/>
      <c r="D108" s="15" t="n"/>
    </row>
    <row r="109">
      <c r="A109" s="19" t="inlineStr">
        <is>
          <t>WaterProof Blackout Fabric</t>
        </is>
      </c>
      <c r="B109" s="15" t="n"/>
      <c r="C109" s="15" t="n"/>
      <c r="D109" s="15" t="n"/>
    </row>
    <row r="110">
      <c r="A110" s="17" t="inlineStr">
        <is>
          <t>רשת רכב</t>
        </is>
      </c>
      <c r="B110" s="15" t="n"/>
      <c r="C110" s="15" t="n"/>
      <c r="D110" s="15" t="n"/>
    </row>
    <row r="111">
      <c r="A111" s="19" t="inlineStr">
        <is>
          <t>Stretch</t>
        </is>
      </c>
      <c r="B111" s="15" t="n"/>
      <c r="C111" s="15" t="n"/>
      <c r="D111" s="15" t="n"/>
    </row>
    <row r="112">
      <c r="A112" s="17" t="inlineStr">
        <is>
          <t>Durable</t>
        </is>
      </c>
      <c r="B112" s="15" t="n"/>
      <c r="C112" s="15" t="n"/>
      <c r="D112" s="15" t="n"/>
    </row>
    <row r="113">
      <c r="A113" s="19" t="inlineStr">
        <is>
          <t>SMT</t>
        </is>
      </c>
      <c r="B113" s="15" t="n"/>
      <c r="C113" s="15" t="n"/>
      <c r="D113" s="15" t="n"/>
    </row>
    <row r="114">
      <c r="A114" s="17" t="inlineStr">
        <is>
          <t>LOKI Material</t>
        </is>
      </c>
      <c r="B114" s="15" t="n"/>
      <c r="C114" s="15" t="n"/>
      <c r="D114" s="15" t="n"/>
    </row>
    <row r="115">
      <c r="A115" s="19" t="inlineStr">
        <is>
          <t>אחר</t>
        </is>
      </c>
      <c r="B115" s="15" t="n"/>
      <c r="C115" s="15" t="n"/>
      <c r="D115" s="15" t="n"/>
    </row>
    <row r="116">
      <c r="A116" s="15" t="n"/>
      <c r="B116" s="15" t="n"/>
      <c r="C116" s="15" t="n"/>
      <c r="D116" s="15" t="n"/>
    </row>
    <row r="117">
      <c r="A117" s="15" t="n"/>
      <c r="B117" s="15" t="n"/>
      <c r="C117" s="15" t="n"/>
      <c r="D117" s="15" t="n"/>
    </row>
    <row r="118">
      <c r="A118" s="7" t="inlineStr">
        <is>
          <t>סטטוס</t>
        </is>
      </c>
      <c r="B118" s="15" t="n"/>
      <c r="C118" s="15" t="n"/>
      <c r="D118" s="15" t="n"/>
    </row>
    <row r="119">
      <c r="A119" s="17" t="inlineStr">
        <is>
          <t>במלאי</t>
        </is>
      </c>
      <c r="B119" s="15" t="n"/>
      <c r="C119" s="15" t="n"/>
      <c r="D119" s="15" t="n"/>
    </row>
    <row r="120">
      <c r="A120" s="19" t="inlineStr">
        <is>
          <t>מושאל</t>
        </is>
      </c>
      <c r="B120" s="15" t="n"/>
      <c r="C120" s="15" t="n"/>
      <c r="D120" s="15" t="n"/>
    </row>
    <row r="121">
      <c r="A121" s="17" t="inlineStr">
        <is>
          <t>בחדר תצוגה</t>
        </is>
      </c>
      <c r="B121" s="15" t="n"/>
      <c r="C121" s="15" t="n"/>
      <c r="D121" s="15" t="n"/>
    </row>
    <row r="122">
      <c r="A122" s="19" t="inlineStr">
        <is>
          <t>בתיק הדגמה</t>
        </is>
      </c>
      <c r="B122" s="15" t="n"/>
      <c r="C122" s="15" t="n"/>
      <c r="D122" s="15" t="n"/>
    </row>
    <row r="123">
      <c r="A123" s="15" t="n"/>
      <c r="B123" s="15" t="n"/>
      <c r="C123" s="15" t="n"/>
      <c r="D123" s="15" t="n"/>
    </row>
    <row r="124">
      <c r="A124" s="15" t="n"/>
      <c r="B124" s="15" t="n"/>
      <c r="C124" s="15" t="n"/>
      <c r="D124" s="15" t="n"/>
    </row>
    <row r="125">
      <c r="A125" s="7" t="inlineStr">
        <is>
          <t>ערך</t>
        </is>
      </c>
      <c r="B125" s="15" t="n"/>
      <c r="C125" s="15" t="n"/>
      <c r="D125" s="15" t="n"/>
    </row>
    <row r="126">
      <c r="A126" s="17" t="inlineStr">
        <is>
          <t>כן</t>
        </is>
      </c>
      <c r="B126" s="15" t="n"/>
      <c r="C126" s="15" t="n"/>
      <c r="D126" s="15" t="n"/>
    </row>
    <row r="127">
      <c r="A127" s="19" t="inlineStr">
        <is>
          <t>לא</t>
        </is>
      </c>
      <c r="B127" s="15" t="n"/>
      <c r="C127" s="15" t="n"/>
      <c r="D127" s="15" t="n"/>
    </row>
    <row r="128">
      <c r="A128" s="15" t="n"/>
      <c r="B128" s="15" t="n"/>
      <c r="C128" s="15" t="n"/>
      <c r="D128" s="15" t="n"/>
    </row>
    <row r="129">
      <c r="A129" s="15" t="n"/>
      <c r="B129" s="15" t="n"/>
      <c r="C129" s="15" t="n"/>
      <c r="D129" s="15" t="n"/>
    </row>
    <row r="130">
      <c r="A130" s="7" t="inlineStr">
        <is>
          <t>מידה</t>
        </is>
      </c>
      <c r="B130" s="15" t="n"/>
      <c r="C130" s="15" t="n"/>
      <c r="D130" s="15" t="n"/>
    </row>
    <row r="131">
      <c r="A131" s="17" t="inlineStr">
        <is>
          <t>XS</t>
        </is>
      </c>
      <c r="B131" s="15" t="n"/>
      <c r="C131" s="15" t="n"/>
      <c r="D131" s="15" t="n"/>
    </row>
    <row r="132">
      <c r="A132" s="19" t="inlineStr">
        <is>
          <t>S</t>
        </is>
      </c>
      <c r="B132" s="15" t="n"/>
      <c r="C132" s="15" t="n"/>
      <c r="D132" s="15" t="n"/>
    </row>
    <row r="133">
      <c r="A133" s="17" t="inlineStr">
        <is>
          <t>M</t>
        </is>
      </c>
      <c r="B133" s="15" t="n"/>
      <c r="C133" s="15" t="n"/>
      <c r="D133" s="15" t="n"/>
    </row>
    <row r="134">
      <c r="A134" s="19" t="inlineStr">
        <is>
          <t>L</t>
        </is>
      </c>
      <c r="B134" s="15" t="n"/>
      <c r="C134" s="15" t="n"/>
      <c r="D134" s="15" t="n"/>
    </row>
    <row r="135">
      <c r="A135" s="17" t="inlineStr">
        <is>
          <t>XL</t>
        </is>
      </c>
      <c r="B135" s="15" t="n"/>
      <c r="C135" s="15" t="n"/>
      <c r="D135" s="15" t="n"/>
    </row>
    <row r="136">
      <c r="A136" s="19" t="inlineStr">
        <is>
          <t>XXL</t>
        </is>
      </c>
      <c r="B136" s="15" t="n"/>
      <c r="C136" s="15" t="n"/>
      <c r="D136" s="15" t="n"/>
    </row>
    <row r="137">
      <c r="A137" s="17" t="inlineStr">
        <is>
          <t>XXXL</t>
        </is>
      </c>
      <c r="B137" s="15" t="n"/>
      <c r="C137" s="15" t="n"/>
      <c r="D137" s="15" t="n"/>
    </row>
    <row r="138">
      <c r="A138" s="19" t="inlineStr">
        <is>
          <t>One Size</t>
        </is>
      </c>
      <c r="B138" s="15" t="n"/>
      <c r="C138" s="15" t="n"/>
      <c r="D138" s="15" t="n"/>
    </row>
    <row r="139">
      <c r="A139" s="17" t="inlineStr">
        <is>
          <t>N/A</t>
        </is>
      </c>
      <c r="B139" s="15" t="n"/>
      <c r="C139" s="15" t="n"/>
      <c r="D139" s="15" t="n"/>
    </row>
    <row r="140">
      <c r="A140" s="15" t="n"/>
      <c r="B140" s="15" t="n"/>
      <c r="C140" s="15" t="n"/>
      <c r="D140" s="15" t="n"/>
    </row>
    <row r="141">
      <c r="A141" s="15" t="n"/>
      <c r="B141" s="15" t="n"/>
      <c r="C141" s="15" t="n"/>
      <c r="D141" s="15" t="n"/>
    </row>
    <row r="142">
      <c r="A142" s="7" t="inlineStr">
        <is>
          <t>מוצר</t>
        </is>
      </c>
      <c r="B142" s="7" t="inlineStr">
        <is>
          <t>סוג בד</t>
        </is>
      </c>
      <c r="C142" s="7" t="inlineStr">
        <is>
          <t>גרסה</t>
        </is>
      </c>
      <c r="D142" s="7" t="inlineStr">
        <is>
          <t>מק"ט</t>
        </is>
      </c>
    </row>
    <row r="143">
      <c r="A143" s="17" t="inlineStr">
        <is>
          <t>Poncho Sahar</t>
        </is>
      </c>
      <c r="B143" s="17" t="inlineStr">
        <is>
          <t>Mesh</t>
        </is>
      </c>
      <c r="C143" s="17" t="inlineStr">
        <is>
          <t>V1</t>
        </is>
      </c>
      <c r="D143" s="17" t="inlineStr">
        <is>
          <t>7031-01</t>
        </is>
      </c>
    </row>
    <row r="144">
      <c r="A144" s="19" t="inlineStr">
        <is>
          <t>Poncho Sahar</t>
        </is>
      </c>
      <c r="B144" s="19" t="inlineStr">
        <is>
          <t>Mesh</t>
        </is>
      </c>
      <c r="C144" s="19" t="inlineStr">
        <is>
          <t>V2</t>
        </is>
      </c>
      <c r="D144" s="19" t="inlineStr">
        <is>
          <t>7031-01</t>
        </is>
      </c>
    </row>
    <row r="145">
      <c r="A145" s="17" t="inlineStr">
        <is>
          <t>Poncho Inbar</t>
        </is>
      </c>
      <c r="B145" s="17" t="inlineStr">
        <is>
          <t>RIPSTOP</t>
        </is>
      </c>
      <c r="C145" s="17" t="inlineStr">
        <is>
          <t>V1</t>
        </is>
      </c>
      <c r="D145" s="17" t="inlineStr">
        <is>
          <t>7030-01</t>
        </is>
      </c>
    </row>
    <row r="146">
      <c r="A146" s="19" t="inlineStr">
        <is>
          <t>Poncho SRV</t>
        </is>
      </c>
      <c r="B146" s="19" t="inlineStr">
        <is>
          <t>RIPSTOP</t>
        </is>
      </c>
      <c r="C146" s="19" t="inlineStr">
        <is>
          <t>V1</t>
        </is>
      </c>
      <c r="D146" s="19" t="inlineStr">
        <is>
          <t>7018-00</t>
        </is>
      </c>
    </row>
    <row r="147">
      <c r="A147" s="17" t="inlineStr">
        <is>
          <t>Poncho SRV</t>
        </is>
      </c>
      <c r="B147" s="17" t="inlineStr">
        <is>
          <t>RIPSTOP</t>
        </is>
      </c>
      <c r="C147" s="17" t="inlineStr">
        <is>
          <t>Short</t>
        </is>
      </c>
      <c r="D147" s="17" t="inlineStr">
        <is>
          <t>7018-00</t>
        </is>
      </c>
    </row>
    <row r="148">
      <c r="A148" s="19" t="inlineStr">
        <is>
          <t>Poncho SRV</t>
        </is>
      </c>
      <c r="B148" s="19" t="inlineStr">
        <is>
          <t>RIPSTOP Double Layer</t>
        </is>
      </c>
      <c r="C148" s="19" t="inlineStr">
        <is>
          <t>Short V2</t>
        </is>
      </c>
      <c r="D148" s="19" t="inlineStr">
        <is>
          <t>7018-00</t>
        </is>
      </c>
    </row>
    <row r="149">
      <c r="A149" s="17" t="inlineStr">
        <is>
          <t>Hobey Elite</t>
        </is>
      </c>
      <c r="B149" s="17" t="inlineStr">
        <is>
          <t>Mesh</t>
        </is>
      </c>
      <c r="C149" s="17" t="inlineStr">
        <is>
          <t>V1</t>
        </is>
      </c>
      <c r="D149" s="17" t="inlineStr">
        <is>
          <t>7021-00</t>
        </is>
      </c>
    </row>
    <row r="150">
      <c r="A150" s="19" t="inlineStr">
        <is>
          <t>Hobey Elite</t>
        </is>
      </c>
      <c r="B150" s="19" t="inlineStr">
        <is>
          <t>RIPSTOP</t>
        </is>
      </c>
      <c r="C150" s="19" t="inlineStr">
        <is>
          <t>V1</t>
        </is>
      </c>
      <c r="D150" s="19" t="inlineStr">
        <is>
          <t>7021-00</t>
        </is>
      </c>
    </row>
    <row r="151">
      <c r="A151" s="17" t="inlineStr">
        <is>
          <t>Gal Suit</t>
        </is>
      </c>
      <c r="B151" s="17" t="inlineStr">
        <is>
          <t>Mesh</t>
        </is>
      </c>
      <c r="C151" s="17" t="inlineStr">
        <is>
          <t>V1</t>
        </is>
      </c>
      <c r="D151" s="17" t="inlineStr">
        <is>
          <t>7004-01</t>
        </is>
      </c>
    </row>
    <row r="152">
      <c r="A152" s="19" t="inlineStr">
        <is>
          <t>Sniper Assault</t>
        </is>
      </c>
      <c r="B152" s="19" t="inlineStr">
        <is>
          <t>3D</t>
        </is>
      </c>
      <c r="C152" s="19" t="inlineStr">
        <is>
          <t>V1</t>
        </is>
      </c>
      <c r="D152" s="19" t="inlineStr">
        <is>
          <t>7033-00</t>
        </is>
      </c>
    </row>
    <row r="153">
      <c r="A153" s="17" t="inlineStr">
        <is>
          <t>SWAT 3-Part SUIT</t>
        </is>
      </c>
      <c r="B153" s="17" t="inlineStr">
        <is>
          <t>Mesh</t>
        </is>
      </c>
      <c r="C153" s="17" t="inlineStr">
        <is>
          <t>V1</t>
        </is>
      </c>
      <c r="D153" s="17" t="inlineStr">
        <is>
          <t>9097-00</t>
        </is>
      </c>
    </row>
    <row r="154">
      <c r="A154" s="19" t="inlineStr">
        <is>
          <t>May Suit</t>
        </is>
      </c>
      <c r="B154" s="19" t="inlineStr">
        <is>
          <t>RIPSTOP Double Layer</t>
        </is>
      </c>
      <c r="C154" s="19" t="inlineStr">
        <is>
          <t>V1</t>
        </is>
      </c>
      <c r="D154" s="19" t="inlineStr">
        <is>
          <t>7040-01</t>
        </is>
      </c>
    </row>
    <row r="155">
      <c r="A155" s="17" t="inlineStr">
        <is>
          <t>Arctic Jacket</t>
        </is>
      </c>
      <c r="B155" s="17" t="inlineStr">
        <is>
          <t>RIPSTOP Double Layer</t>
        </is>
      </c>
      <c r="C155" s="17" t="inlineStr">
        <is>
          <t>V1</t>
        </is>
      </c>
      <c r="D155" s="17" t="inlineStr">
        <is>
          <t>7051-00</t>
        </is>
      </c>
    </row>
    <row r="156">
      <c r="A156" s="19" t="inlineStr">
        <is>
          <t>Arctic Overpants</t>
        </is>
      </c>
      <c r="B156" s="19" t="inlineStr">
        <is>
          <t>RIPSTOP Double Layer</t>
        </is>
      </c>
      <c r="C156" s="19" t="inlineStr">
        <is>
          <t>V1</t>
        </is>
      </c>
      <c r="D156" s="19" t="inlineStr">
        <is>
          <t>7052-00</t>
        </is>
      </c>
    </row>
    <row r="157">
      <c r="A157" s="17" t="inlineStr">
        <is>
          <t>Gaiters</t>
        </is>
      </c>
      <c r="B157" s="17" t="inlineStr">
        <is>
          <t>Mesh</t>
        </is>
      </c>
      <c r="C157" s="17" t="inlineStr">
        <is>
          <t>V1</t>
        </is>
      </c>
      <c r="D157" s="17" t="inlineStr">
        <is>
          <t>5004-00</t>
        </is>
      </c>
    </row>
    <row r="158">
      <c r="A158" s="19" t="inlineStr">
        <is>
          <t>Gaiters</t>
        </is>
      </c>
      <c r="B158" s="19" t="inlineStr">
        <is>
          <t>RIPSTOP Double Layer</t>
        </is>
      </c>
      <c r="C158" s="19" t="inlineStr">
        <is>
          <t>V1</t>
        </is>
      </c>
      <c r="D158" s="19" t="inlineStr">
        <is>
          <t>5004-00</t>
        </is>
      </c>
    </row>
    <row r="159">
      <c r="A159" s="17" t="inlineStr">
        <is>
          <t>Headcover</t>
        </is>
      </c>
      <c r="B159" s="17" t="inlineStr">
        <is>
          <t>Stretch</t>
        </is>
      </c>
      <c r="C159" s="17" t="inlineStr"/>
      <c r="D159" s="17" t="inlineStr">
        <is>
          <t>8030-00</t>
        </is>
      </c>
    </row>
    <row r="160">
      <c r="A160" s="19" t="inlineStr">
        <is>
          <t>Headcover</t>
        </is>
      </c>
      <c r="B160" s="19" t="inlineStr">
        <is>
          <t>Meron</t>
        </is>
      </c>
      <c r="C160" s="19" t="inlineStr"/>
      <c r="D160" s="19" t="inlineStr">
        <is>
          <t>8030-00</t>
        </is>
      </c>
    </row>
    <row r="161">
      <c r="A161" s="17" t="inlineStr">
        <is>
          <t>Balaclava</t>
        </is>
      </c>
      <c r="B161" s="17" t="inlineStr">
        <is>
          <t>Stretch</t>
        </is>
      </c>
      <c r="C161" s="17" t="inlineStr"/>
      <c r="D161" s="17" t="inlineStr">
        <is>
          <t>8006-00</t>
        </is>
      </c>
    </row>
    <row r="162">
      <c r="A162" s="19" t="inlineStr">
        <is>
          <t>Operators HS</t>
        </is>
      </c>
      <c r="B162" s="19" t="inlineStr">
        <is>
          <t>רשת רכב</t>
        </is>
      </c>
      <c r="C162" s="19" t="inlineStr">
        <is>
          <t>V1</t>
        </is>
      </c>
      <c r="D162" s="19" t="inlineStr">
        <is>
          <t>9001-00</t>
        </is>
      </c>
    </row>
    <row r="163">
      <c r="A163" s="17" t="inlineStr">
        <is>
          <t>Operators HS</t>
        </is>
      </c>
      <c r="B163" s="17" t="inlineStr">
        <is>
          <t>MRG</t>
        </is>
      </c>
      <c r="C163" s="17" t="inlineStr">
        <is>
          <t>V1</t>
        </is>
      </c>
      <c r="D163" s="17" t="inlineStr">
        <is>
          <t>9001-00</t>
        </is>
      </c>
    </row>
    <row r="164">
      <c r="A164" s="19" t="inlineStr">
        <is>
          <t>Operators HS</t>
        </is>
      </c>
      <c r="B164" s="19" t="inlineStr">
        <is>
          <t>RIPSTOP Double Layer</t>
        </is>
      </c>
      <c r="C164" s="19" t="inlineStr">
        <is>
          <t>V1</t>
        </is>
      </c>
      <c r="D164" s="19" t="inlineStr">
        <is>
          <t>9001-00</t>
        </is>
      </c>
    </row>
    <row r="165">
      <c r="A165" s="17" t="inlineStr">
        <is>
          <t>Operators HS</t>
        </is>
      </c>
      <c r="B165" s="17" t="inlineStr">
        <is>
          <t>Mesh</t>
        </is>
      </c>
      <c r="C165" s="17" t="inlineStr">
        <is>
          <t>V1</t>
        </is>
      </c>
      <c r="D165" s="17" t="inlineStr">
        <is>
          <t>9001-00</t>
        </is>
      </c>
    </row>
    <row r="166">
      <c r="A166" s="19" t="inlineStr">
        <is>
          <t>OverWatch (ATGM) HS</t>
        </is>
      </c>
      <c r="B166" s="19" t="inlineStr">
        <is>
          <t>רשת רכב</t>
        </is>
      </c>
      <c r="C166" s="19" t="inlineStr">
        <is>
          <t>V1</t>
        </is>
      </c>
      <c r="D166" s="19" t="inlineStr">
        <is>
          <t>9004-01</t>
        </is>
      </c>
    </row>
    <row r="167">
      <c r="A167" s="17" t="inlineStr">
        <is>
          <t>OverWatch (ATGM) HS</t>
        </is>
      </c>
      <c r="B167" s="17" t="inlineStr">
        <is>
          <t>Beti</t>
        </is>
      </c>
      <c r="C167" s="17" t="inlineStr">
        <is>
          <t>V1</t>
        </is>
      </c>
      <c r="D167" s="17" t="inlineStr">
        <is>
          <t>9004-01</t>
        </is>
      </c>
    </row>
    <row r="168">
      <c r="A168" s="19" t="inlineStr">
        <is>
          <t>6X6 Hide Site</t>
        </is>
      </c>
      <c r="B168" s="19" t="inlineStr">
        <is>
          <t>MRG</t>
        </is>
      </c>
      <c r="C168" s="19" t="inlineStr"/>
      <c r="D168" s="19" t="inlineStr">
        <is>
          <t>9095-00</t>
        </is>
      </c>
    </row>
    <row r="169">
      <c r="A169" s="17" t="inlineStr">
        <is>
          <t>6X6 Hide Site</t>
        </is>
      </c>
      <c r="B169" s="17" t="inlineStr">
        <is>
          <t>Beti</t>
        </is>
      </c>
      <c r="C169" s="17" t="inlineStr"/>
      <c r="D169" s="17" t="inlineStr">
        <is>
          <t>9095-00</t>
        </is>
      </c>
    </row>
    <row r="170">
      <c r="A170" s="19" t="inlineStr">
        <is>
          <t>LC79</t>
        </is>
      </c>
      <c r="B170" s="19" t="inlineStr">
        <is>
          <t>רשת רכב</t>
        </is>
      </c>
      <c r="C170" s="19" t="inlineStr">
        <is>
          <t>V1</t>
        </is>
      </c>
      <c r="D170" s="19" t="inlineStr">
        <is>
          <t>9026-00</t>
        </is>
      </c>
    </row>
    <row r="171">
      <c r="A171" s="17" t="inlineStr">
        <is>
          <t>Survival Blanket</t>
        </is>
      </c>
      <c r="B171" s="17" t="inlineStr">
        <is>
          <t>Mesh</t>
        </is>
      </c>
      <c r="C171" s="17" t="inlineStr">
        <is>
          <t>V1</t>
        </is>
      </c>
      <c r="D171" s="17" t="inlineStr">
        <is>
          <t>9021-00</t>
        </is>
      </c>
    </row>
    <row r="172">
      <c r="A172" s="19" t="inlineStr">
        <is>
          <t>Survival Blanket</t>
        </is>
      </c>
      <c r="B172" s="19" t="inlineStr">
        <is>
          <t>RIPSTOP</t>
        </is>
      </c>
      <c r="C172" s="19" t="inlineStr">
        <is>
          <t>V1</t>
        </is>
      </c>
      <c r="D172" s="19" t="inlineStr">
        <is>
          <t>9021-00</t>
        </is>
      </c>
    </row>
    <row r="173">
      <c r="A173" s="17" t="inlineStr">
        <is>
          <t>Water Proof Survival Blanket</t>
        </is>
      </c>
      <c r="B173" s="17" t="inlineStr">
        <is>
          <t>RIPSTOP</t>
        </is>
      </c>
      <c r="C173" s="17" t="inlineStr">
        <is>
          <t>V1</t>
        </is>
      </c>
      <c r="D173" s="17" t="inlineStr">
        <is>
          <t>9028-00</t>
        </is>
      </c>
    </row>
    <row r="174">
      <c r="A174" s="19" t="inlineStr">
        <is>
          <t>3D Survival Blanket</t>
        </is>
      </c>
      <c r="B174" s="19" t="inlineStr">
        <is>
          <t>Mesh</t>
        </is>
      </c>
      <c r="C174" s="19" t="inlineStr">
        <is>
          <t>V1</t>
        </is>
      </c>
      <c r="D174" s="19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7" t="inlineStr">
        <is>
          <t>שם מוצר</t>
        </is>
      </c>
      <c r="B1" s="7" t="inlineStr">
        <is>
          <t>גרסה</t>
        </is>
      </c>
      <c r="C1" s="7" t="inlineStr">
        <is>
          <t>סביבה/הדפס</t>
        </is>
      </c>
      <c r="D1" s="7" t="inlineStr">
        <is>
          <t>סביבה צד שני</t>
        </is>
      </c>
      <c r="E1" s="7" t="inlineStr">
        <is>
          <t>סוג בד</t>
        </is>
      </c>
      <c r="F1" s="7" t="inlineStr">
        <is>
          <t>יעד חדר תצוגה</t>
        </is>
      </c>
      <c r="G1" s="7" t="inlineStr">
        <is>
          <t>יעד תיק הדגמות</t>
        </is>
      </c>
      <c r="H1" s="7" t="inlineStr">
        <is>
          <t>יעד השאלות</t>
        </is>
      </c>
      <c r="I1" s="7" t="inlineStr">
        <is>
          <t>קיים - חדר תצוגה</t>
        </is>
      </c>
      <c r="J1" s="7" t="inlineStr">
        <is>
          <t>קיים - תיק</t>
        </is>
      </c>
      <c r="K1" s="7" t="inlineStr">
        <is>
          <t>קיים - השאלות</t>
        </is>
      </c>
      <c r="L1" s="7" t="inlineStr">
        <is>
          <t>חסר - חדר תצוגה</t>
        </is>
      </c>
      <c r="M1" s="7" t="inlineStr">
        <is>
          <t>חסר - תיק</t>
        </is>
      </c>
      <c r="N1" s="7" t="inlineStr">
        <is>
          <t>חסר - השאלות</t>
        </is>
      </c>
      <c r="O1" s="7" t="inlineStr">
        <is>
          <t>הערות</t>
        </is>
      </c>
    </row>
    <row r="2">
      <c r="A2" s="17" t="inlineStr">
        <is>
          <t>Hobey Elite</t>
        </is>
      </c>
      <c r="B2" s="17" t="n"/>
      <c r="C2" s="17" t="inlineStr">
        <is>
          <t>מיוער</t>
        </is>
      </c>
      <c r="D2" s="17" t="n"/>
      <c r="E2" s="17" t="n"/>
      <c r="F2" s="18" t="n">
        <v>1</v>
      </c>
      <c r="G2" s="18" t="n">
        <v>2</v>
      </c>
      <c r="H2" s="18" t="n">
        <v>2</v>
      </c>
      <c r="I2" s="8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8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8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8">
        <f>IF(OR(F2="",A2=""),"",MAX(0,F2-I2))</f>
        <v/>
      </c>
      <c r="M2" s="8">
        <f>IF(OR(G2="",A2=""),"",MAX(0,G2-J2))</f>
        <v/>
      </c>
      <c r="N2" s="8">
        <f>IF(OR(H2="",A2=""),"",MAX(0,H2-K2))</f>
        <v/>
      </c>
      <c r="O2" s="17" t="n"/>
    </row>
    <row r="3">
      <c r="A3" s="19" t="inlineStr">
        <is>
          <t>Gal Suit</t>
        </is>
      </c>
      <c r="B3" s="19" t="n"/>
      <c r="C3" s="19" t="inlineStr">
        <is>
          <t>מיוער</t>
        </is>
      </c>
      <c r="D3" s="19" t="inlineStr">
        <is>
          <t>מדברי</t>
        </is>
      </c>
      <c r="E3" s="19" t="n"/>
      <c r="F3" s="20" t="n">
        <v>1</v>
      </c>
      <c r="G3" s="20" t="n">
        <v>2</v>
      </c>
      <c r="H3" s="20" t="n">
        <v>2</v>
      </c>
      <c r="I3" s="9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9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9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9">
        <f>IF(OR(F3="",A3=""),"",MAX(0,F3-I3))</f>
        <v/>
      </c>
      <c r="M3" s="9">
        <f>IF(OR(G3="",A3=""),"",MAX(0,G3-J3))</f>
        <v/>
      </c>
      <c r="N3" s="9">
        <f>IF(OR(H3="",A3=""),"",MAX(0,H3-K3))</f>
        <v/>
      </c>
      <c r="O3" s="19" t="n"/>
    </row>
    <row r="4">
      <c r="A4" s="17" t="inlineStr">
        <is>
          <t>Sniper Assault</t>
        </is>
      </c>
      <c r="B4" s="17" t="n"/>
      <c r="C4" s="17" t="inlineStr">
        <is>
          <t>מיוער</t>
        </is>
      </c>
      <c r="D4" s="17" t="n"/>
      <c r="E4" s="17" t="n"/>
      <c r="F4" s="18" t="n">
        <v>1</v>
      </c>
      <c r="G4" s="18" t="n">
        <v>2</v>
      </c>
      <c r="H4" s="18" t="n">
        <v>2</v>
      </c>
      <c r="I4" s="8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8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8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8">
        <f>IF(OR(F4="",A4=""),"",MAX(0,F4-I4))</f>
        <v/>
      </c>
      <c r="M4" s="8">
        <f>IF(OR(G4="",A4=""),"",MAX(0,G4-J4))</f>
        <v/>
      </c>
      <c r="N4" s="8">
        <f>IF(OR(H4="",A4=""),"",MAX(0,H4-K4))</f>
        <v/>
      </c>
      <c r="O4" s="17" t="n"/>
    </row>
    <row r="5">
      <c r="A5" s="19" t="inlineStr">
        <is>
          <t>Poncho SRV</t>
        </is>
      </c>
      <c r="B5" s="19" t="n"/>
      <c r="C5" s="19" t="inlineStr">
        <is>
          <t>מיוער</t>
        </is>
      </c>
      <c r="D5" s="19" t="n"/>
      <c r="E5" s="19" t="n"/>
      <c r="F5" s="20" t="n">
        <v>1</v>
      </c>
      <c r="G5" s="20" t="n">
        <v>1</v>
      </c>
      <c r="H5" s="20" t="n">
        <v>1</v>
      </c>
      <c r="I5" s="9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9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9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9">
        <f>IF(OR(F5="",A5=""),"",MAX(0,F5-I5))</f>
        <v/>
      </c>
      <c r="M5" s="9">
        <f>IF(OR(G5="",A5=""),"",MAX(0,G5-J5))</f>
        <v/>
      </c>
      <c r="N5" s="9">
        <f>IF(OR(H5="",A5=""),"",MAX(0,H5-K5))</f>
        <v/>
      </c>
      <c r="O5" s="19" t="n"/>
    </row>
    <row r="6">
      <c r="A6" s="17" t="inlineStr">
        <is>
          <t>Poncho SRV</t>
        </is>
      </c>
      <c r="B6" s="17" t="n"/>
      <c r="C6" s="17" t="inlineStr">
        <is>
          <t>ימי</t>
        </is>
      </c>
      <c r="D6" s="17" t="inlineStr">
        <is>
          <t>מיוער</t>
        </is>
      </c>
      <c r="E6" s="17" t="inlineStr">
        <is>
          <t>RIPSTOP Double Layer</t>
        </is>
      </c>
      <c r="F6" s="18" t="n"/>
      <c r="G6" s="18" t="n">
        <v>1</v>
      </c>
      <c r="H6" s="18" t="n">
        <v>1</v>
      </c>
      <c r="I6" s="8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8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8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8">
        <f>IF(OR(F6="",A6=""),"",MAX(0,F6-I6))</f>
        <v/>
      </c>
      <c r="M6" s="8">
        <f>IF(OR(G6="",A6=""),"",MAX(0,G6-J6))</f>
        <v/>
      </c>
      <c r="N6" s="8">
        <f>IF(OR(H6="",A6=""),"",MAX(0,H6-K6))</f>
        <v/>
      </c>
      <c r="O6" s="17" t="n"/>
    </row>
    <row r="7">
      <c r="A7" s="19" t="inlineStr">
        <is>
          <t>Poncho SRV</t>
        </is>
      </c>
      <c r="B7" s="19" t="n"/>
      <c r="C7" s="19" t="inlineStr">
        <is>
          <t>ימי</t>
        </is>
      </c>
      <c r="D7" s="19" t="n"/>
      <c r="E7" s="19" t="n"/>
      <c r="F7" s="20" t="n"/>
      <c r="G7" s="20" t="n">
        <v>2</v>
      </c>
      <c r="H7" s="20" t="n">
        <v>1</v>
      </c>
      <c r="I7" s="9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9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9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9">
        <f>IF(OR(F7="",A7=""),"",MAX(0,F7-I7))</f>
        <v/>
      </c>
      <c r="M7" s="9">
        <f>IF(OR(G7="",A7=""),"",MAX(0,G7-J7))</f>
        <v/>
      </c>
      <c r="N7" s="9">
        <f>IF(OR(H7="",A7=""),"",MAX(0,H7-K7))</f>
        <v/>
      </c>
      <c r="O7" s="19" t="n"/>
    </row>
    <row r="8">
      <c r="A8" s="17" t="inlineStr">
        <is>
          <t>Poncho Inbar</t>
        </is>
      </c>
      <c r="B8" s="17" t="n"/>
      <c r="C8" s="17" t="inlineStr">
        <is>
          <t>מיוער</t>
        </is>
      </c>
      <c r="D8" s="17" t="inlineStr">
        <is>
          <t>מדברי</t>
        </is>
      </c>
      <c r="E8" s="17" t="n"/>
      <c r="F8" s="18" t="n">
        <v>1</v>
      </c>
      <c r="G8" s="18" t="n">
        <v>2</v>
      </c>
      <c r="H8" s="18" t="n">
        <v>2</v>
      </c>
      <c r="I8" s="8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8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8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8">
        <f>IF(OR(F8="",A8=""),"",MAX(0,F8-I8))</f>
        <v/>
      </c>
      <c r="M8" s="8">
        <f>IF(OR(G8="",A8=""),"",MAX(0,G8-J8))</f>
        <v/>
      </c>
      <c r="N8" s="8">
        <f>IF(OR(H8="",A8=""),"",MAX(0,H8-K8))</f>
        <v/>
      </c>
      <c r="O8" s="17" t="inlineStr">
        <is>
          <t>דור א?</t>
        </is>
      </c>
    </row>
    <row r="9">
      <c r="A9" s="19" t="inlineStr">
        <is>
          <t>Poncho Inbar</t>
        </is>
      </c>
      <c r="B9" s="19" t="n"/>
      <c r="C9" s="19" t="inlineStr">
        <is>
          <t>מיוער</t>
        </is>
      </c>
      <c r="D9" s="19" t="inlineStr">
        <is>
          <t>מיוער</t>
        </is>
      </c>
      <c r="E9" s="19" t="n"/>
      <c r="F9" s="20" t="n">
        <v>1</v>
      </c>
      <c r="G9" s="20" t="n">
        <v>2</v>
      </c>
      <c r="H9" s="20" t="n">
        <v>2</v>
      </c>
      <c r="I9" s="9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9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9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9">
        <f>IF(OR(F9="",A9=""),"",MAX(0,F9-I9))</f>
        <v/>
      </c>
      <c r="M9" s="9">
        <f>IF(OR(G9="",A9=""),"",MAX(0,G9-J9))</f>
        <v/>
      </c>
      <c r="N9" s="9">
        <f>IF(OR(H9="",A9=""),"",MAX(0,H9-K9))</f>
        <v/>
      </c>
      <c r="O9" s="19" t="inlineStr">
        <is>
          <t>דור ב?</t>
        </is>
      </c>
    </row>
    <row r="10">
      <c r="A10" s="17" t="inlineStr">
        <is>
          <t>Poncho Sahar</t>
        </is>
      </c>
      <c r="B10" s="17" t="n"/>
      <c r="C10" s="17" t="inlineStr">
        <is>
          <t>מיוער</t>
        </is>
      </c>
      <c r="D10" s="17" t="inlineStr">
        <is>
          <t>מדברי</t>
        </is>
      </c>
      <c r="E10" s="17" t="n"/>
      <c r="F10" s="18" t="n">
        <v>1</v>
      </c>
      <c r="G10" s="18" t="n">
        <v>2</v>
      </c>
      <c r="H10" s="18" t="n">
        <v>2</v>
      </c>
      <c r="I10" s="8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8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8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8">
        <f>IF(OR(F10="",A10=""),"",MAX(0,F10-I10))</f>
        <v/>
      </c>
      <c r="M10" s="8">
        <f>IF(OR(G10="",A10=""),"",MAX(0,G10-J10))</f>
        <v/>
      </c>
      <c r="N10" s="8">
        <f>IF(OR(H10="",A10=""),"",MAX(0,H10-K10))</f>
        <v/>
      </c>
      <c r="O10" s="17" t="inlineStr">
        <is>
          <t>דור א?</t>
        </is>
      </c>
    </row>
    <row r="11">
      <c r="A11" s="19" t="inlineStr">
        <is>
          <t>Poncho Sahar</t>
        </is>
      </c>
      <c r="B11" s="19" t="n"/>
      <c r="C11" s="19" t="inlineStr">
        <is>
          <t>מיוער</t>
        </is>
      </c>
      <c r="D11" s="19" t="inlineStr">
        <is>
          <t>מיוער</t>
        </is>
      </c>
      <c r="E11" s="19" t="n"/>
      <c r="F11" s="20" t="n">
        <v>1</v>
      </c>
      <c r="G11" s="20" t="n">
        <v>2</v>
      </c>
      <c r="H11" s="20" t="n">
        <v>2</v>
      </c>
      <c r="I11" s="9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9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9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9">
        <f>IF(OR(F11="",A11=""),"",MAX(0,F11-I11))</f>
        <v/>
      </c>
      <c r="M11" s="9">
        <f>IF(OR(G11="",A11=""),"",MAX(0,G11-J11))</f>
        <v/>
      </c>
      <c r="N11" s="9">
        <f>IF(OR(H11="",A11=""),"",MAX(0,H11-K11))</f>
        <v/>
      </c>
      <c r="O11" s="19" t="inlineStr">
        <is>
          <t>דור ב?</t>
        </is>
      </c>
    </row>
    <row r="12">
      <c r="A12" s="17" t="inlineStr">
        <is>
          <t>Poncho Sahar</t>
        </is>
      </c>
      <c r="B12" s="17" t="n"/>
      <c r="C12" s="17" t="inlineStr">
        <is>
          <t>מיוער</t>
        </is>
      </c>
      <c r="D12" s="17" t="inlineStr">
        <is>
          <t>בולדר/שטח בנוי</t>
        </is>
      </c>
      <c r="E12" s="17" t="n"/>
      <c r="F12" s="18" t="n">
        <v>1</v>
      </c>
      <c r="G12" s="18" t="n">
        <v>2</v>
      </c>
      <c r="H12" s="18" t="n">
        <v>2</v>
      </c>
      <c r="I12" s="8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8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8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8">
        <f>IF(OR(F12="",A12=""),"",MAX(0,F12-I12))</f>
        <v/>
      </c>
      <c r="M12" s="8">
        <f>IF(OR(G12="",A12=""),"",MAX(0,G12-J12))</f>
        <v/>
      </c>
      <c r="N12" s="8">
        <f>IF(OR(H12="",A12=""),"",MAX(0,H12-K12))</f>
        <v/>
      </c>
      <c r="O12" s="17" t="inlineStr">
        <is>
          <t>דור ב?</t>
        </is>
      </c>
    </row>
    <row r="13">
      <c r="A13" s="19" t="inlineStr">
        <is>
          <t>Poncho Sahar 3D</t>
        </is>
      </c>
      <c r="B13" s="19" t="n"/>
      <c r="C13" s="19" t="inlineStr">
        <is>
          <t>מיוער</t>
        </is>
      </c>
      <c r="D13" s="19" t="inlineStr">
        <is>
          <t>מיוער</t>
        </is>
      </c>
      <c r="E13" s="19" t="n"/>
      <c r="F13" s="20" t="n">
        <v>1</v>
      </c>
      <c r="G13" s="20" t="n">
        <v>1</v>
      </c>
      <c r="H13" s="20" t="n">
        <v>1</v>
      </c>
      <c r="I13" s="9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9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9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9">
        <f>IF(OR(F13="",A13=""),"",MAX(0,F13-I13))</f>
        <v/>
      </c>
      <c r="M13" s="9">
        <f>IF(OR(G13="",A13=""),"",MAX(0,G13-J13))</f>
        <v/>
      </c>
      <c r="N13" s="9">
        <f>IF(OR(H13="",A13=""),"",MAX(0,H13-K13))</f>
        <v/>
      </c>
      <c r="O13" s="19" t="n"/>
    </row>
    <row r="14">
      <c r="A14" s="17" t="inlineStr">
        <is>
          <t>Poncho Inbar 3D</t>
        </is>
      </c>
      <c r="B14" s="17" t="n"/>
      <c r="C14" s="17" t="inlineStr">
        <is>
          <t>מיוער</t>
        </is>
      </c>
      <c r="D14" s="17" t="inlineStr">
        <is>
          <t>מיוער</t>
        </is>
      </c>
      <c r="E14" s="17" t="n"/>
      <c r="F14" s="18" t="n">
        <v>1</v>
      </c>
      <c r="G14" s="18" t="n">
        <v>1</v>
      </c>
      <c r="H14" s="18" t="n">
        <v>1</v>
      </c>
      <c r="I14" s="8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8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8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8">
        <f>IF(OR(F14="",A14=""),"",MAX(0,F14-I14))</f>
        <v/>
      </c>
      <c r="M14" s="8">
        <f>IF(OR(G14="",A14=""),"",MAX(0,G14-J14))</f>
        <v/>
      </c>
      <c r="N14" s="8">
        <f>IF(OR(H14="",A14=""),"",MAX(0,H14-K14))</f>
        <v/>
      </c>
      <c r="O14" s="17" t="n"/>
    </row>
    <row r="15">
      <c r="A15" s="19" t="inlineStr">
        <is>
          <t>SWAT 3-Part SUIT</t>
        </is>
      </c>
      <c r="B15" s="19" t="n"/>
      <c r="C15" s="19" t="inlineStr">
        <is>
          <t>מיוער</t>
        </is>
      </c>
      <c r="D15" s="19" t="inlineStr">
        <is>
          <t>מיוער</t>
        </is>
      </c>
      <c r="E15" s="19" t="n"/>
      <c r="F15" s="20" t="n">
        <v>1</v>
      </c>
      <c r="G15" s="20" t="n">
        <v>2</v>
      </c>
      <c r="H15" s="20" t="n">
        <v>2</v>
      </c>
      <c r="I15" s="9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9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9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9">
        <f>IF(OR(F15="",A15=""),"",MAX(0,F15-I15))</f>
        <v/>
      </c>
      <c r="M15" s="9">
        <f>IF(OR(G15="",A15=""),"",MAX(0,G15-J15))</f>
        <v/>
      </c>
      <c r="N15" s="9">
        <f>IF(OR(H15="",A15=""),"",MAX(0,H15-K15))</f>
        <v/>
      </c>
      <c r="O15" s="19" t="n"/>
    </row>
    <row r="16">
      <c r="A16" s="17" t="inlineStr">
        <is>
          <t>May Suit</t>
        </is>
      </c>
      <c r="B16" s="17" t="n"/>
      <c r="C16" s="17" t="inlineStr">
        <is>
          <t>מיוער</t>
        </is>
      </c>
      <c r="D16" s="17" t="inlineStr">
        <is>
          <t>מיוער</t>
        </is>
      </c>
      <c r="E16" s="17" t="inlineStr">
        <is>
          <t>RIPSTOP Double Layer</t>
        </is>
      </c>
      <c r="F16" s="18" t="n">
        <v>1</v>
      </c>
      <c r="G16" s="18" t="n">
        <v>2</v>
      </c>
      <c r="H16" s="18" t="n">
        <v>2</v>
      </c>
      <c r="I16" s="8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8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8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8">
        <f>IF(OR(F16="",A16=""),"",MAX(0,F16-I16))</f>
        <v/>
      </c>
      <c r="M16" s="8">
        <f>IF(OR(G16="",A16=""),"",MAX(0,G16-J16))</f>
        <v/>
      </c>
      <c r="N16" s="8">
        <f>IF(OR(H16="",A16=""),"",MAX(0,H16-K16))</f>
        <v/>
      </c>
      <c r="O16" s="17" t="n"/>
    </row>
    <row r="17">
      <c r="A17" s="19" t="inlineStr">
        <is>
          <t>May Suit</t>
        </is>
      </c>
      <c r="B17" s="19" t="n"/>
      <c r="C17" s="19" t="inlineStr">
        <is>
          <t>מדברי</t>
        </is>
      </c>
      <c r="D17" s="19" t="inlineStr">
        <is>
          <t>מדברי</t>
        </is>
      </c>
      <c r="E17" s="19" t="inlineStr">
        <is>
          <t>RIPSTOP Double Layer</t>
        </is>
      </c>
      <c r="F17" s="20" t="n">
        <v>1</v>
      </c>
      <c r="G17" s="20" t="n">
        <v>2</v>
      </c>
      <c r="H17" s="20" t="n">
        <v>2</v>
      </c>
      <c r="I17" s="9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9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9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9">
        <f>IF(OR(F17="",A17=""),"",MAX(0,F17-I17))</f>
        <v/>
      </c>
      <c r="M17" s="9">
        <f>IF(OR(G17="",A17=""),"",MAX(0,G17-J17))</f>
        <v/>
      </c>
      <c r="N17" s="9">
        <f>IF(OR(H17="",A17=""),"",MAX(0,H17-K17))</f>
        <v/>
      </c>
      <c r="O17" s="19" t="n"/>
    </row>
    <row r="18">
      <c r="A18" s="17" t="inlineStr">
        <is>
          <t>May Suit</t>
        </is>
      </c>
      <c r="B18" s="17" t="n"/>
      <c r="C18" s="17" t="inlineStr">
        <is>
          <t>הכל</t>
        </is>
      </c>
      <c r="D18" s="17" t="inlineStr">
        <is>
          <t>הכל</t>
        </is>
      </c>
      <c r="E18" s="17" t="inlineStr">
        <is>
          <t>RIPSTOP</t>
        </is>
      </c>
      <c r="F18" s="18" t="n"/>
      <c r="G18" s="18" t="n">
        <v>2</v>
      </c>
      <c r="H18" s="18" t="n"/>
      <c r="I18" s="8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8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8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8">
        <f>IF(OR(F18="",A18=""),"",MAX(0,F18-I18))</f>
        <v/>
      </c>
      <c r="M18" s="8">
        <f>IF(OR(G18="",A18=""),"",MAX(0,G18-J18))</f>
        <v/>
      </c>
      <c r="N18" s="8">
        <f>IF(OR(H18="",A18=""),"",MAX(0,H18-K18))</f>
        <v/>
      </c>
      <c r="O18" s="17" t="inlineStr">
        <is>
          <t>עמית מוזהב</t>
        </is>
      </c>
    </row>
    <row r="19">
      <c r="A19" s="19" t="inlineStr">
        <is>
          <t>May Long Shirt</t>
        </is>
      </c>
      <c r="B19" s="19" t="n"/>
      <c r="C19" s="19" t="inlineStr">
        <is>
          <t>מיוער</t>
        </is>
      </c>
      <c r="D19" s="19" t="inlineStr">
        <is>
          <t>מיוער</t>
        </is>
      </c>
      <c r="E19" s="19" t="inlineStr">
        <is>
          <t>RIPSTOP Double Layer</t>
        </is>
      </c>
      <c r="F19" s="20" t="n">
        <v>1</v>
      </c>
      <c r="G19" s="20" t="n">
        <v>1</v>
      </c>
      <c r="H19" s="20" t="n">
        <v>1</v>
      </c>
      <c r="I19" s="9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9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9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9">
        <f>IF(OR(F19="",A19=""),"",MAX(0,F19-I19))</f>
        <v/>
      </c>
      <c r="M19" s="9">
        <f>IF(OR(G19="",A19=""),"",MAX(0,G19-J19))</f>
        <v/>
      </c>
      <c r="N19" s="9">
        <f>IF(OR(H19="",A19=""),"",MAX(0,H19-K19))</f>
        <v/>
      </c>
      <c r="O19" s="19" t="n"/>
    </row>
    <row r="20">
      <c r="A20" s="17" t="inlineStr">
        <is>
          <t>Arctic Jacket</t>
        </is>
      </c>
      <c r="B20" s="17" t="n"/>
      <c r="C20" s="17" t="inlineStr">
        <is>
          <t>שלג</t>
        </is>
      </c>
      <c r="D20" s="17" t="inlineStr">
        <is>
          <t>שלג</t>
        </is>
      </c>
      <c r="E20" s="17" t="n"/>
      <c r="F20" s="18" t="n">
        <v>1</v>
      </c>
      <c r="G20" s="18" t="n">
        <v>2</v>
      </c>
      <c r="H20" s="18" t="n">
        <v>2</v>
      </c>
      <c r="I20" s="8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8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8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8">
        <f>IF(OR(F20="",A20=""),"",MAX(0,F20-I20))</f>
        <v/>
      </c>
      <c r="M20" s="8">
        <f>IF(OR(G20="",A20=""),"",MAX(0,G20-J20))</f>
        <v/>
      </c>
      <c r="N20" s="8">
        <f>IF(OR(H20="",A20=""),"",MAX(0,H20-K20))</f>
        <v/>
      </c>
      <c r="O20" s="17" t="inlineStr">
        <is>
          <t>שלג בהיר</t>
        </is>
      </c>
    </row>
    <row r="21">
      <c r="A21" s="19" t="inlineStr">
        <is>
          <t>Arctic Overpants</t>
        </is>
      </c>
      <c r="B21" s="19" t="n"/>
      <c r="C21" s="19" t="inlineStr">
        <is>
          <t>שלג</t>
        </is>
      </c>
      <c r="D21" s="19" t="inlineStr">
        <is>
          <t>שלג</t>
        </is>
      </c>
      <c r="E21" s="19" t="n"/>
      <c r="F21" s="20" t="n">
        <v>1</v>
      </c>
      <c r="G21" s="20" t="n">
        <v>2</v>
      </c>
      <c r="H21" s="20" t="n">
        <v>2</v>
      </c>
      <c r="I21" s="9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9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9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9">
        <f>IF(OR(F21="",A21=""),"",MAX(0,F21-I21))</f>
        <v/>
      </c>
      <c r="M21" s="9">
        <f>IF(OR(G21="",A21=""),"",MAX(0,G21-J21))</f>
        <v/>
      </c>
      <c r="N21" s="9">
        <f>IF(OR(H21="",A21=""),"",MAX(0,H21-K21))</f>
        <v/>
      </c>
      <c r="O21" s="19" t="inlineStr">
        <is>
          <t>שלג בהיר</t>
        </is>
      </c>
    </row>
    <row r="22">
      <c r="A22" s="17" t="inlineStr">
        <is>
          <t>Arctic Poncho SRV</t>
        </is>
      </c>
      <c r="B22" s="17" t="n"/>
      <c r="C22" s="17" t="inlineStr">
        <is>
          <t>שלג</t>
        </is>
      </c>
      <c r="D22" s="17" t="inlineStr">
        <is>
          <t>שלג</t>
        </is>
      </c>
      <c r="E22" s="17" t="n"/>
      <c r="F22" s="18" t="n">
        <v>1</v>
      </c>
      <c r="G22" s="18" t="n">
        <v>2</v>
      </c>
      <c r="H22" s="18" t="n">
        <v>2</v>
      </c>
      <c r="I22" s="8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8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8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8">
        <f>IF(OR(F22="",A22=""),"",MAX(0,F22-I22))</f>
        <v/>
      </c>
      <c r="M22" s="8">
        <f>IF(OR(G22="",A22=""),"",MAX(0,G22-J22))</f>
        <v/>
      </c>
      <c r="N22" s="8">
        <f>IF(OR(H22="",A22=""),"",MAX(0,H22-K22))</f>
        <v/>
      </c>
      <c r="O22" s="17" t="inlineStr">
        <is>
          <t>שלג בהיר</t>
        </is>
      </c>
    </row>
    <row r="23">
      <c r="A23" s="19" t="inlineStr">
        <is>
          <t>Arctic Gaiters</t>
        </is>
      </c>
      <c r="B23" s="19" t="n"/>
      <c r="C23" s="19" t="inlineStr">
        <is>
          <t>שלג</t>
        </is>
      </c>
      <c r="D23" s="19" t="inlineStr">
        <is>
          <t>שלג</t>
        </is>
      </c>
      <c r="E23" s="19" t="n"/>
      <c r="F23" s="20" t="n">
        <v>1</v>
      </c>
      <c r="G23" s="20" t="n">
        <v>2</v>
      </c>
      <c r="H23" s="20" t="n">
        <v>2</v>
      </c>
      <c r="I23" s="9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9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9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9">
        <f>IF(OR(F23="",A23=""),"",MAX(0,F23-I23))</f>
        <v/>
      </c>
      <c r="M23" s="9">
        <f>IF(OR(G23="",A23=""),"",MAX(0,G23-J23))</f>
        <v/>
      </c>
      <c r="N23" s="9">
        <f>IF(OR(H23="",A23=""),"",MAX(0,H23-K23))</f>
        <v/>
      </c>
      <c r="O23" s="19" t="inlineStr">
        <is>
          <t>שלג בהיר</t>
        </is>
      </c>
    </row>
    <row r="24">
      <c r="A24" s="17" t="inlineStr">
        <is>
          <t>Arctic Survival Blanket</t>
        </is>
      </c>
      <c r="B24" s="17" t="n"/>
      <c r="C24" s="17" t="inlineStr">
        <is>
          <t>שלג</t>
        </is>
      </c>
      <c r="D24" s="17" t="inlineStr">
        <is>
          <t>שלג</t>
        </is>
      </c>
      <c r="E24" s="17" t="n"/>
      <c r="F24" s="18" t="n">
        <v>1</v>
      </c>
      <c r="G24" s="18" t="n">
        <v>2</v>
      </c>
      <c r="H24" s="18" t="n">
        <v>2</v>
      </c>
      <c r="I24" s="8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8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8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8">
        <f>IF(OR(F24="",A24=""),"",MAX(0,F24-I24))</f>
        <v/>
      </c>
      <c r="M24" s="8">
        <f>IF(OR(G24="",A24=""),"",MAX(0,G24-J24))</f>
        <v/>
      </c>
      <c r="N24" s="8">
        <f>IF(OR(H24="",A24=""),"",MAX(0,H24-K24))</f>
        <v/>
      </c>
      <c r="O24" s="17" t="inlineStr">
        <is>
          <t>שלג בהיר</t>
        </is>
      </c>
    </row>
    <row r="25">
      <c r="A25" s="19" t="inlineStr">
        <is>
          <t>Arctic Jacket</t>
        </is>
      </c>
      <c r="B25" s="19" t="n"/>
      <c r="C25" s="19" t="inlineStr">
        <is>
          <t>שלג</t>
        </is>
      </c>
      <c r="D25" s="19" t="inlineStr">
        <is>
          <t>שלג</t>
        </is>
      </c>
      <c r="E25" s="19" t="n"/>
      <c r="F25" s="20" t="n">
        <v>1</v>
      </c>
      <c r="G25" s="20" t="n">
        <v>2</v>
      </c>
      <c r="H25" s="20" t="n">
        <v>2</v>
      </c>
      <c r="I25" s="9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9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9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9">
        <f>IF(OR(F25="",A25=""),"",MAX(0,F25-I25))</f>
        <v/>
      </c>
      <c r="M25" s="9">
        <f>IF(OR(G25="",A25=""),"",MAX(0,G25-J25))</f>
        <v/>
      </c>
      <c r="N25" s="9">
        <f>IF(OR(H25="",A25=""),"",MAX(0,H25-K25))</f>
        <v/>
      </c>
      <c r="O25" s="19" t="inlineStr">
        <is>
          <t>שלג כהה</t>
        </is>
      </c>
    </row>
    <row r="26">
      <c r="A26" s="17" t="inlineStr">
        <is>
          <t>Arctic Overpants</t>
        </is>
      </c>
      <c r="B26" s="17" t="n"/>
      <c r="C26" s="17" t="inlineStr">
        <is>
          <t>שלג</t>
        </is>
      </c>
      <c r="D26" s="17" t="inlineStr">
        <is>
          <t>שלג</t>
        </is>
      </c>
      <c r="E26" s="17" t="n"/>
      <c r="F26" s="18" t="n">
        <v>1</v>
      </c>
      <c r="G26" s="18" t="n">
        <v>2</v>
      </c>
      <c r="H26" s="18" t="n">
        <v>2</v>
      </c>
      <c r="I26" s="8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8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8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8">
        <f>IF(OR(F26="",A26=""),"",MAX(0,F26-I26))</f>
        <v/>
      </c>
      <c r="M26" s="8">
        <f>IF(OR(G26="",A26=""),"",MAX(0,G26-J26))</f>
        <v/>
      </c>
      <c r="N26" s="8">
        <f>IF(OR(H26="",A26=""),"",MAX(0,H26-K26))</f>
        <v/>
      </c>
      <c r="O26" s="17" t="inlineStr">
        <is>
          <t>שלג כהה</t>
        </is>
      </c>
    </row>
    <row r="27">
      <c r="A27" s="19" t="inlineStr">
        <is>
          <t>Arctic Poncho SRV</t>
        </is>
      </c>
      <c r="B27" s="19" t="n"/>
      <c r="C27" s="19" t="inlineStr">
        <is>
          <t>שלג</t>
        </is>
      </c>
      <c r="D27" s="19" t="inlineStr">
        <is>
          <t>שלג</t>
        </is>
      </c>
      <c r="E27" s="19" t="n"/>
      <c r="F27" s="20" t="n">
        <v>1</v>
      </c>
      <c r="G27" s="20" t="n">
        <v>2</v>
      </c>
      <c r="H27" s="20" t="n">
        <v>2</v>
      </c>
      <c r="I27" s="9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9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9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9">
        <f>IF(OR(F27="",A27=""),"",MAX(0,F27-I27))</f>
        <v/>
      </c>
      <c r="M27" s="9">
        <f>IF(OR(G27="",A27=""),"",MAX(0,G27-J27))</f>
        <v/>
      </c>
      <c r="N27" s="9">
        <f>IF(OR(H27="",A27=""),"",MAX(0,H27-K27))</f>
        <v/>
      </c>
      <c r="O27" s="19" t="inlineStr">
        <is>
          <t>שלג כהה</t>
        </is>
      </c>
    </row>
    <row r="28">
      <c r="A28" s="17" t="inlineStr">
        <is>
          <t>Arctic Gaiters</t>
        </is>
      </c>
      <c r="B28" s="17" t="n"/>
      <c r="C28" s="17" t="inlineStr">
        <is>
          <t>שלג</t>
        </is>
      </c>
      <c r="D28" s="17" t="inlineStr">
        <is>
          <t>שלג</t>
        </is>
      </c>
      <c r="E28" s="17" t="n"/>
      <c r="F28" s="18" t="n">
        <v>1</v>
      </c>
      <c r="G28" s="18" t="n">
        <v>2</v>
      </c>
      <c r="H28" s="18" t="n">
        <v>2</v>
      </c>
      <c r="I28" s="8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8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8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8">
        <f>IF(OR(F28="",A28=""),"",MAX(0,F28-I28))</f>
        <v/>
      </c>
      <c r="M28" s="8">
        <f>IF(OR(G28="",A28=""),"",MAX(0,G28-J28))</f>
        <v/>
      </c>
      <c r="N28" s="8">
        <f>IF(OR(H28="",A28=""),"",MAX(0,H28-K28))</f>
        <v/>
      </c>
      <c r="O28" s="17" t="inlineStr">
        <is>
          <t>שלג כהה</t>
        </is>
      </c>
    </row>
    <row r="29">
      <c r="A29" s="19" t="inlineStr">
        <is>
          <t>Balaclava</t>
        </is>
      </c>
      <c r="B29" s="19" t="n"/>
      <c r="C29" s="19" t="inlineStr">
        <is>
          <t>שלג</t>
        </is>
      </c>
      <c r="D29" s="19" t="inlineStr">
        <is>
          <t>שלג</t>
        </is>
      </c>
      <c r="E29" s="19" t="n"/>
      <c r="F29" s="20" t="n">
        <v>1</v>
      </c>
      <c r="G29" s="20" t="n">
        <v>2</v>
      </c>
      <c r="H29" s="20" t="n">
        <v>2</v>
      </c>
      <c r="I29" s="9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9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9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9">
        <f>IF(OR(F29="",A29=""),"",MAX(0,F29-I29))</f>
        <v/>
      </c>
      <c r="M29" s="9">
        <f>IF(OR(G29="",A29=""),"",MAX(0,G29-J29))</f>
        <v/>
      </c>
      <c r="N29" s="9">
        <f>IF(OR(H29="",A29=""),"",MAX(0,H29-K29))</f>
        <v/>
      </c>
      <c r="O29" s="19" t="inlineStr">
        <is>
          <t>שלג</t>
        </is>
      </c>
    </row>
    <row r="30">
      <c r="A30" s="17" t="inlineStr">
        <is>
          <t>Arctic Survival Blanket</t>
        </is>
      </c>
      <c r="B30" s="17" t="n"/>
      <c r="C30" s="17" t="inlineStr">
        <is>
          <t>שלג</t>
        </is>
      </c>
      <c r="D30" s="17" t="inlineStr">
        <is>
          <t>שלג</t>
        </is>
      </c>
      <c r="E30" s="17" t="n"/>
      <c r="F30" s="18" t="n">
        <v>1</v>
      </c>
      <c r="G30" s="18" t="n">
        <v>2</v>
      </c>
      <c r="H30" s="18" t="n">
        <v>2</v>
      </c>
      <c r="I30" s="8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8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8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8">
        <f>IF(OR(F30="",A30=""),"",MAX(0,F30-I30))</f>
        <v/>
      </c>
      <c r="M30" s="8">
        <f>IF(OR(G30="",A30=""),"",MAX(0,G30-J30))</f>
        <v/>
      </c>
      <c r="N30" s="8">
        <f>IF(OR(H30="",A30=""),"",MAX(0,H30-K30))</f>
        <v/>
      </c>
      <c r="O30" s="17" t="inlineStr">
        <is>
          <t>שלג כהה</t>
        </is>
      </c>
    </row>
    <row r="31">
      <c r="A31" s="19" t="inlineStr">
        <is>
          <t>Bag cover 90L</t>
        </is>
      </c>
      <c r="B31" s="19" t="n"/>
      <c r="C31" s="19" t="inlineStr">
        <is>
          <t>שלג</t>
        </is>
      </c>
      <c r="D31" s="19" t="inlineStr">
        <is>
          <t>שלג</t>
        </is>
      </c>
      <c r="E31" s="19" t="n"/>
      <c r="F31" s="20" t="n">
        <v>1</v>
      </c>
      <c r="G31" s="20" t="n">
        <v>2</v>
      </c>
      <c r="H31" s="20" t="n">
        <v>2</v>
      </c>
      <c r="I31" s="9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9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9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9">
        <f>IF(OR(F31="",A31=""),"",MAX(0,F31-I31))</f>
        <v/>
      </c>
      <c r="M31" s="9">
        <f>IF(OR(G31="",A31=""),"",MAX(0,G31-J31))</f>
        <v/>
      </c>
      <c r="N31" s="9">
        <f>IF(OR(H31="",A31=""),"",MAX(0,H31-K31))</f>
        <v/>
      </c>
      <c r="O31" s="19" t="n"/>
    </row>
    <row r="32">
      <c r="A32" s="17" t="inlineStr">
        <is>
          <t>Survival Blanket</t>
        </is>
      </c>
      <c r="B32" s="17" t="n"/>
      <c r="C32" s="17" t="inlineStr">
        <is>
          <t>מיוער</t>
        </is>
      </c>
      <c r="D32" s="17" t="inlineStr">
        <is>
          <t>הכל</t>
        </is>
      </c>
      <c r="E32" s="17" t="n"/>
      <c r="F32" s="18" t="n">
        <v>1</v>
      </c>
      <c r="G32" s="18" t="n">
        <v>2</v>
      </c>
      <c r="H32" s="18" t="n">
        <v>2</v>
      </c>
      <c r="I32" s="8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8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8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8">
        <f>IF(OR(F32="",A32=""),"",MAX(0,F32-I32))</f>
        <v/>
      </c>
      <c r="M32" s="8">
        <f>IF(OR(G32="",A32=""),"",MAX(0,G32-J32))</f>
        <v/>
      </c>
      <c r="N32" s="8">
        <f>IF(OR(H32="",A32=""),"",MAX(0,H32-K32))</f>
        <v/>
      </c>
      <c r="O32" s="17" t="n"/>
    </row>
    <row r="33">
      <c r="A33" s="19" t="inlineStr">
        <is>
          <t>Survival Blanket</t>
        </is>
      </c>
      <c r="B33" s="19" t="n"/>
      <c r="C33" s="19" t="inlineStr">
        <is>
          <t>מיוער</t>
        </is>
      </c>
      <c r="D33" s="19" t="inlineStr">
        <is>
          <t>הכל</t>
        </is>
      </c>
      <c r="E33" s="19" t="inlineStr">
        <is>
          <t>RIPSTOP Double Layer</t>
        </is>
      </c>
      <c r="F33" s="20" t="n"/>
      <c r="G33" s="20" t="n">
        <v>2</v>
      </c>
      <c r="H33" s="20" t="n"/>
      <c r="I33" s="9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9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9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9">
        <f>IF(OR(F33="",A33=""),"",MAX(0,F33-I33))</f>
        <v/>
      </c>
      <c r="M33" s="9">
        <f>IF(OR(G33="",A33=""),"",MAX(0,G33-J33))</f>
        <v/>
      </c>
      <c r="N33" s="9">
        <f>IF(OR(H33="",A33=""),"",MAX(0,H33-K33))</f>
        <v/>
      </c>
      <c r="O33" s="19" t="n"/>
    </row>
    <row r="34">
      <c r="A34" s="17" t="inlineStr">
        <is>
          <t>Water Proof Survival Blanket</t>
        </is>
      </c>
      <c r="B34" s="17" t="n"/>
      <c r="C34" s="17" t="inlineStr">
        <is>
          <t>מיוער</t>
        </is>
      </c>
      <c r="D34" s="17" t="n"/>
      <c r="E34" s="17" t="n"/>
      <c r="F34" s="18" t="n">
        <v>1</v>
      </c>
      <c r="G34" s="18" t="n">
        <v>2</v>
      </c>
      <c r="H34" s="18" t="n">
        <v>2</v>
      </c>
      <c r="I34" s="8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8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8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8">
        <f>IF(OR(F34="",A34=""),"",MAX(0,F34-I34))</f>
        <v/>
      </c>
      <c r="M34" s="8">
        <f>IF(OR(G34="",A34=""),"",MAX(0,G34-J34))</f>
        <v/>
      </c>
      <c r="N34" s="8">
        <f>IF(OR(H34="",A34=""),"",MAX(0,H34-K34))</f>
        <v/>
      </c>
      <c r="O34" s="17" t="n"/>
    </row>
    <row r="35">
      <c r="A35" s="19" t="inlineStr">
        <is>
          <t>Water Proof Sniper Blanket</t>
        </is>
      </c>
      <c r="B35" s="19" t="n"/>
      <c r="C35" s="19" t="inlineStr">
        <is>
          <t>מיוער</t>
        </is>
      </c>
      <c r="D35" s="19" t="inlineStr">
        <is>
          <t>מיוער</t>
        </is>
      </c>
      <c r="E35" s="19" t="n"/>
      <c r="F35" s="20" t="n">
        <v>1</v>
      </c>
      <c r="G35" s="20" t="n">
        <v>2</v>
      </c>
      <c r="H35" s="20" t="n">
        <v>2</v>
      </c>
      <c r="I35" s="9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9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9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9">
        <f>IF(OR(F35="",A35=""),"",MAX(0,F35-I35))</f>
        <v/>
      </c>
      <c r="M35" s="9">
        <f>IF(OR(G35="",A35=""),"",MAX(0,G35-J35))</f>
        <v/>
      </c>
      <c r="N35" s="9">
        <f>IF(OR(H35="",A35=""),"",MAX(0,H35-K35))</f>
        <v/>
      </c>
      <c r="O35" s="19" t="n"/>
    </row>
    <row r="36">
      <c r="A36" s="17" t="inlineStr">
        <is>
          <t>3D Survival Blanket</t>
        </is>
      </c>
      <c r="B36" s="17" t="n"/>
      <c r="C36" s="17" t="inlineStr">
        <is>
          <t>מיוער</t>
        </is>
      </c>
      <c r="D36" s="17" t="inlineStr">
        <is>
          <t>מיוער</t>
        </is>
      </c>
      <c r="E36" s="17" t="n"/>
      <c r="F36" s="18" t="n">
        <v>2</v>
      </c>
      <c r="G36" s="18" t="n">
        <v>2</v>
      </c>
      <c r="H36" s="18" t="n">
        <v>2</v>
      </c>
      <c r="I36" s="8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8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8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8">
        <f>IF(OR(F36="",A36=""),"",MAX(0,F36-I36))</f>
        <v/>
      </c>
      <c r="M36" s="8">
        <f>IF(OR(G36="",A36=""),"",MAX(0,G36-J36))</f>
        <v/>
      </c>
      <c r="N36" s="8">
        <f>IF(OR(H36="",A36=""),"",MAX(0,H36-K36))</f>
        <v/>
      </c>
      <c r="O36" s="17" t="n"/>
    </row>
    <row r="37">
      <c r="A37" s="19" t="inlineStr">
        <is>
          <t>IPS</t>
        </is>
      </c>
      <c r="B37" s="19" t="n"/>
      <c r="C37" s="19" t="inlineStr">
        <is>
          <t>מיוער</t>
        </is>
      </c>
      <c r="D37" s="19" t="inlineStr">
        <is>
          <t>מיוער</t>
        </is>
      </c>
      <c r="E37" s="19" t="n"/>
      <c r="F37" s="20" t="n">
        <v>1</v>
      </c>
      <c r="G37" s="20" t="n">
        <v>1</v>
      </c>
      <c r="H37" s="20" t="n">
        <v>2</v>
      </c>
      <c r="I37" s="9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9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9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9">
        <f>IF(OR(F37="",A37=""),"",MAX(0,F37-I37))</f>
        <v/>
      </c>
      <c r="M37" s="9">
        <f>IF(OR(G37="",A37=""),"",MAX(0,G37-J37))</f>
        <v/>
      </c>
      <c r="N37" s="9">
        <f>IF(OR(H37="",A37=""),"",MAX(0,H37-K37))</f>
        <v/>
      </c>
      <c r="O37" s="19" t="n"/>
    </row>
    <row r="38">
      <c r="A38" s="17" t="inlineStr">
        <is>
          <t>Survival Blanket: Loki</t>
        </is>
      </c>
      <c r="B38" s="17" t="n"/>
      <c r="C38" s="17" t="inlineStr">
        <is>
          <t>מיוער</t>
        </is>
      </c>
      <c r="D38" s="17" t="inlineStr">
        <is>
          <t>הכל</t>
        </is>
      </c>
      <c r="E38" s="17" t="n"/>
      <c r="F38" s="18" t="n">
        <v>1</v>
      </c>
      <c r="G38" s="18" t="n">
        <v>2</v>
      </c>
      <c r="H38" s="18" t="n"/>
      <c r="I38" s="8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8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8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8">
        <f>IF(OR(F38="",A38=""),"",MAX(0,F38-I38))</f>
        <v/>
      </c>
      <c r="M38" s="8">
        <f>IF(OR(G38="",A38=""),"",MAX(0,G38-J38))</f>
        <v/>
      </c>
      <c r="N38" s="8">
        <f>IF(OR(H38="",A38=""),"",MAX(0,H38-K38))</f>
        <v/>
      </c>
      <c r="O38" s="17" t="n"/>
    </row>
    <row r="39">
      <c r="A39" s="19" t="inlineStr">
        <is>
          <t>Operators HS</t>
        </is>
      </c>
      <c r="B39" s="19" t="n"/>
      <c r="C39" s="19" t="inlineStr">
        <is>
          <t>מיוער</t>
        </is>
      </c>
      <c r="D39" s="19" t="inlineStr">
        <is>
          <t>מדברי</t>
        </is>
      </c>
      <c r="E39" s="19" t="inlineStr">
        <is>
          <t>רשת רכב</t>
        </is>
      </c>
      <c r="F39" s="20" t="n">
        <v>1</v>
      </c>
      <c r="G39" s="20" t="n">
        <v>1</v>
      </c>
      <c r="H39" s="20" t="n">
        <v>1</v>
      </c>
      <c r="I39" s="9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9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9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9">
        <f>IF(OR(F39="",A39=""),"",MAX(0,F39-I39))</f>
        <v/>
      </c>
      <c r="M39" s="9">
        <f>IF(OR(G39="",A39=""),"",MAX(0,G39-J39))</f>
        <v/>
      </c>
      <c r="N39" s="9">
        <f>IF(OR(H39="",A39=""),"",MAX(0,H39-K39))</f>
        <v/>
      </c>
      <c r="O39" s="19" t="n"/>
    </row>
    <row r="40">
      <c r="A40" s="17" t="inlineStr">
        <is>
          <t>Operators HS</t>
        </is>
      </c>
      <c r="B40" s="17" t="n"/>
      <c r="C40" s="17" t="inlineStr">
        <is>
          <t>מדברי</t>
        </is>
      </c>
      <c r="D40" s="17" t="inlineStr">
        <is>
          <t>מדברי</t>
        </is>
      </c>
      <c r="E40" s="17" t="inlineStr">
        <is>
          <t>רשת רכב</t>
        </is>
      </c>
      <c r="F40" s="18" t="n"/>
      <c r="G40" s="18" t="n">
        <v>1</v>
      </c>
      <c r="H40" s="18" t="n">
        <v>1</v>
      </c>
      <c r="I40" s="8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8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8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8">
        <f>IF(OR(F40="",A40=""),"",MAX(0,F40-I40))</f>
        <v/>
      </c>
      <c r="M40" s="8">
        <f>IF(OR(G40="",A40=""),"",MAX(0,G40-J40))</f>
        <v/>
      </c>
      <c r="N40" s="8">
        <f>IF(OR(H40="",A40=""),"",MAX(0,H40-K40))</f>
        <v/>
      </c>
      <c r="O40" s="17" t="n"/>
    </row>
    <row r="41">
      <c r="A41" s="19" t="inlineStr">
        <is>
          <t>Operators HS</t>
        </is>
      </c>
      <c r="B41" s="19" t="n"/>
      <c r="C41" s="19" t="inlineStr">
        <is>
          <t>מיוער</t>
        </is>
      </c>
      <c r="D41" s="19" t="inlineStr">
        <is>
          <t>מיוער</t>
        </is>
      </c>
      <c r="E41" s="19" t="inlineStr">
        <is>
          <t>רשת רכב</t>
        </is>
      </c>
      <c r="F41" s="20" t="n">
        <v>1</v>
      </c>
      <c r="G41" s="20" t="n">
        <v>1</v>
      </c>
      <c r="H41" s="20" t="n">
        <v>1</v>
      </c>
      <c r="I41" s="9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9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9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9">
        <f>IF(OR(F41="",A41=""),"",MAX(0,F41-I41))</f>
        <v/>
      </c>
      <c r="M41" s="9">
        <f>IF(OR(G41="",A41=""),"",MAX(0,G41-J41))</f>
        <v/>
      </c>
      <c r="N41" s="9">
        <f>IF(OR(H41="",A41=""),"",MAX(0,H41-K41))</f>
        <v/>
      </c>
      <c r="O41" s="19" t="n"/>
    </row>
    <row r="42">
      <c r="A42" s="17" t="inlineStr">
        <is>
          <t>Operators HS</t>
        </is>
      </c>
      <c r="B42" s="17" t="n"/>
      <c r="C42" s="17" t="inlineStr">
        <is>
          <t>מיוער</t>
        </is>
      </c>
      <c r="D42" s="17" t="inlineStr">
        <is>
          <t>בולדר/שטח בנוי</t>
        </is>
      </c>
      <c r="E42" s="17" t="inlineStr">
        <is>
          <t>רשת רכב</t>
        </is>
      </c>
      <c r="F42" s="18" t="n"/>
      <c r="G42" s="18" t="n">
        <v>1</v>
      </c>
      <c r="H42" s="18" t="n">
        <v>1</v>
      </c>
      <c r="I42" s="8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8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8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8">
        <f>IF(OR(F42="",A42=""),"",MAX(0,F42-I42))</f>
        <v/>
      </c>
      <c r="M42" s="8">
        <f>IF(OR(G42="",A42=""),"",MAX(0,G42-J42))</f>
        <v/>
      </c>
      <c r="N42" s="8">
        <f>IF(OR(H42="",A42=""),"",MAX(0,H42-K42))</f>
        <v/>
      </c>
      <c r="O42" s="17" t="n"/>
    </row>
    <row r="43">
      <c r="A43" s="19" t="inlineStr">
        <is>
          <t>Operators HS</t>
        </is>
      </c>
      <c r="B43" s="19" t="n"/>
      <c r="C43" s="19" t="inlineStr">
        <is>
          <t>מיוער</t>
        </is>
      </c>
      <c r="D43" s="19" t="inlineStr">
        <is>
          <t>הכל</t>
        </is>
      </c>
      <c r="E43" s="19" t="inlineStr">
        <is>
          <t>MRG</t>
        </is>
      </c>
      <c r="F43" s="20" t="n">
        <v>1</v>
      </c>
      <c r="G43" s="20" t="n">
        <v>2</v>
      </c>
      <c r="H43" s="20" t="n">
        <v>2</v>
      </c>
      <c r="I43" s="9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9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9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9">
        <f>IF(OR(F43="",A43=""),"",MAX(0,F43-I43))</f>
        <v/>
      </c>
      <c r="M43" s="9">
        <f>IF(OR(G43="",A43=""),"",MAX(0,G43-J43))</f>
        <v/>
      </c>
      <c r="N43" s="9">
        <f>IF(OR(H43="",A43=""),"",MAX(0,H43-K43))</f>
        <v/>
      </c>
      <c r="O43" s="19" t="n"/>
    </row>
    <row r="44">
      <c r="A44" s="17" t="inlineStr">
        <is>
          <t>Operators HS</t>
        </is>
      </c>
      <c r="B44" s="17" t="n"/>
      <c r="C44" s="17" t="inlineStr">
        <is>
          <t>מיוער</t>
        </is>
      </c>
      <c r="D44" s="17" t="inlineStr">
        <is>
          <t>הכל</t>
        </is>
      </c>
      <c r="E44" s="17" t="inlineStr">
        <is>
          <t>Beti</t>
        </is>
      </c>
      <c r="F44" s="18" t="n">
        <v>1</v>
      </c>
      <c r="G44" s="18" t="n">
        <v>2</v>
      </c>
      <c r="H44" s="18" t="n">
        <v>2</v>
      </c>
      <c r="I44" s="8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8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8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8">
        <f>IF(OR(F44="",A44=""),"",MAX(0,F44-I44))</f>
        <v/>
      </c>
      <c r="M44" s="8">
        <f>IF(OR(G44="",A44=""),"",MAX(0,G44-J44))</f>
        <v/>
      </c>
      <c r="N44" s="8">
        <f>IF(OR(H44="",A44=""),"",MAX(0,H44-K44))</f>
        <v/>
      </c>
      <c r="O44" s="17" t="n"/>
    </row>
    <row r="45">
      <c r="A45" s="19" t="inlineStr">
        <is>
          <t>Operators HS</t>
        </is>
      </c>
      <c r="B45" s="19" t="n"/>
      <c r="C45" s="19" t="inlineStr">
        <is>
          <t>מיוער</t>
        </is>
      </c>
      <c r="D45" s="19" t="inlineStr">
        <is>
          <t>הכל</t>
        </is>
      </c>
      <c r="E45" s="19" t="inlineStr">
        <is>
          <t>3D</t>
        </is>
      </c>
      <c r="F45" s="20" t="n"/>
      <c r="G45" s="20" t="n">
        <v>2</v>
      </c>
      <c r="H45" s="20" t="n">
        <v>2</v>
      </c>
      <c r="I45" s="9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9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9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9">
        <f>IF(OR(F45="",A45=""),"",MAX(0,F45-I45))</f>
        <v/>
      </c>
      <c r="M45" s="9">
        <f>IF(OR(G45="",A45=""),"",MAX(0,G45-J45))</f>
        <v/>
      </c>
      <c r="N45" s="9">
        <f>IF(OR(H45="",A45=""),"",MAX(0,H45-K45))</f>
        <v/>
      </c>
      <c r="O45" s="19" t="inlineStr">
        <is>
          <t>1 ריפסטופ מטופל 1  רשת</t>
        </is>
      </c>
    </row>
    <row r="46">
      <c r="A46" s="17" t="inlineStr">
        <is>
          <t>OverWatch (ATGM) HS</t>
        </is>
      </c>
      <c r="B46" s="17" t="n"/>
      <c r="C46" s="17" t="inlineStr">
        <is>
          <t>מיוער</t>
        </is>
      </c>
      <c r="D46" s="17" t="inlineStr">
        <is>
          <t>מיוער</t>
        </is>
      </c>
      <c r="E46" s="17" t="inlineStr">
        <is>
          <t>רשת רכב</t>
        </is>
      </c>
      <c r="F46" s="18" t="n"/>
      <c r="G46" s="18" t="n">
        <v>1</v>
      </c>
      <c r="H46" s="18" t="n">
        <v>2</v>
      </c>
      <c r="I46" s="8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8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8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8">
        <f>IF(OR(F46="",A46=""),"",MAX(0,F46-I46))</f>
        <v/>
      </c>
      <c r="M46" s="8">
        <f>IF(OR(G46="",A46=""),"",MAX(0,G46-J46))</f>
        <v/>
      </c>
      <c r="N46" s="8">
        <f>IF(OR(H46="",A46=""),"",MAX(0,H46-K46))</f>
        <v/>
      </c>
      <c r="O46" s="17" t="n"/>
    </row>
    <row r="47">
      <c r="A47" s="19" t="inlineStr">
        <is>
          <t>OverWatch (ATGM) HS</t>
        </is>
      </c>
      <c r="B47" s="19" t="n"/>
      <c r="C47" s="19" t="inlineStr">
        <is>
          <t>מיוער</t>
        </is>
      </c>
      <c r="D47" s="19" t="inlineStr">
        <is>
          <t>מדברי</t>
        </is>
      </c>
      <c r="E47" s="19" t="inlineStr">
        <is>
          <t>רשת רכב</t>
        </is>
      </c>
      <c r="F47" s="20" t="n"/>
      <c r="G47" s="20" t="n">
        <v>1</v>
      </c>
      <c r="H47" s="20" t="n">
        <v>1</v>
      </c>
      <c r="I47" s="9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9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9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9">
        <f>IF(OR(F47="",A47=""),"",MAX(0,F47-I47))</f>
        <v/>
      </c>
      <c r="M47" s="9">
        <f>IF(OR(G47="",A47=""),"",MAX(0,G47-J47))</f>
        <v/>
      </c>
      <c r="N47" s="9">
        <f>IF(OR(H47="",A47=""),"",MAX(0,H47-K47))</f>
        <v/>
      </c>
      <c r="O47" s="19" t="n"/>
    </row>
    <row r="48">
      <c r="A48" s="17" t="inlineStr">
        <is>
          <t>OverWatch (ATGM) HS</t>
        </is>
      </c>
      <c r="B48" s="17" t="n"/>
      <c r="C48" s="17" t="inlineStr">
        <is>
          <t>מדברי</t>
        </is>
      </c>
      <c r="D48" s="17" t="inlineStr">
        <is>
          <t>מדברי</t>
        </is>
      </c>
      <c r="E48" s="17" t="inlineStr">
        <is>
          <t>רשת רכב</t>
        </is>
      </c>
      <c r="F48" s="18" t="n"/>
      <c r="G48" s="18" t="n">
        <v>1</v>
      </c>
      <c r="H48" s="18" t="n">
        <v>1</v>
      </c>
      <c r="I48" s="8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8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8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8">
        <f>IF(OR(F48="",A48=""),"",MAX(0,F48-I48))</f>
        <v/>
      </c>
      <c r="M48" s="8">
        <f>IF(OR(G48="",A48=""),"",MAX(0,G48-J48))</f>
        <v/>
      </c>
      <c r="N48" s="8">
        <f>IF(OR(H48="",A48=""),"",MAX(0,H48-K48))</f>
        <v/>
      </c>
      <c r="O48" s="17" t="n"/>
    </row>
    <row r="49">
      <c r="A49" s="19" t="inlineStr">
        <is>
          <t>OverWatch (ATGM) HS</t>
        </is>
      </c>
      <c r="B49" s="19" t="n"/>
      <c r="C49" s="19" t="inlineStr">
        <is>
          <t>מיוער</t>
        </is>
      </c>
      <c r="D49" s="19" t="inlineStr">
        <is>
          <t>בולדר/שטח בנוי</t>
        </is>
      </c>
      <c r="E49" s="19" t="inlineStr">
        <is>
          <t>רשת רכב</t>
        </is>
      </c>
      <c r="F49" s="20" t="n"/>
      <c r="G49" s="20" t="n">
        <v>1</v>
      </c>
      <c r="H49" s="20" t="n">
        <v>1</v>
      </c>
      <c r="I49" s="9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9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9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9">
        <f>IF(OR(F49="",A49=""),"",MAX(0,F49-I49))</f>
        <v/>
      </c>
      <c r="M49" s="9">
        <f>IF(OR(G49="",A49=""),"",MAX(0,G49-J49))</f>
        <v/>
      </c>
      <c r="N49" s="9">
        <f>IF(OR(H49="",A49=""),"",MAX(0,H49-K49))</f>
        <v/>
      </c>
      <c r="O49" s="19" t="n"/>
    </row>
    <row r="50">
      <c r="A50" s="17" t="inlineStr">
        <is>
          <t>OverWatch (ATGM) HS</t>
        </is>
      </c>
      <c r="B50" s="17" t="n"/>
      <c r="C50" s="17" t="inlineStr">
        <is>
          <t>מיוער</t>
        </is>
      </c>
      <c r="D50" s="17" t="inlineStr">
        <is>
          <t>הכל</t>
        </is>
      </c>
      <c r="E50" s="17" t="inlineStr">
        <is>
          <t>MRG</t>
        </is>
      </c>
      <c r="F50" s="18" t="n"/>
      <c r="G50" s="18" t="n">
        <v>2</v>
      </c>
      <c r="H50" s="18" t="n">
        <v>2</v>
      </c>
      <c r="I50" s="8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8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8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8">
        <f>IF(OR(F50="",A50=""),"",MAX(0,F50-I50))</f>
        <v/>
      </c>
      <c r="M50" s="8">
        <f>IF(OR(G50="",A50=""),"",MAX(0,G50-J50))</f>
        <v/>
      </c>
      <c r="N50" s="8">
        <f>IF(OR(H50="",A50=""),"",MAX(0,H50-K50))</f>
        <v/>
      </c>
      <c r="O50" s="17" t="n"/>
    </row>
    <row r="51">
      <c r="A51" s="19" t="inlineStr">
        <is>
          <t>OverWatch (ATGM) HS</t>
        </is>
      </c>
      <c r="B51" s="19" t="n"/>
      <c r="C51" s="19" t="inlineStr">
        <is>
          <t>מיוער</t>
        </is>
      </c>
      <c r="D51" s="19" t="inlineStr">
        <is>
          <t>הכל</t>
        </is>
      </c>
      <c r="E51" s="19" t="inlineStr">
        <is>
          <t>Beti</t>
        </is>
      </c>
      <c r="F51" s="20" t="n"/>
      <c r="G51" s="20" t="n">
        <v>2</v>
      </c>
      <c r="H51" s="20" t="n">
        <v>2</v>
      </c>
      <c r="I51" s="9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9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9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9">
        <f>IF(OR(F51="",A51=""),"",MAX(0,F51-I51))</f>
        <v/>
      </c>
      <c r="M51" s="9">
        <f>IF(OR(G51="",A51=""),"",MAX(0,G51-J51))</f>
        <v/>
      </c>
      <c r="N51" s="9">
        <f>IF(OR(H51="",A51=""),"",MAX(0,H51-K51))</f>
        <v/>
      </c>
      <c r="O51" s="19" t="n"/>
    </row>
    <row r="52">
      <c r="A52" s="17" t="inlineStr">
        <is>
          <t>OverWatch (ATGM) HS</t>
        </is>
      </c>
      <c r="B52" s="17" t="n"/>
      <c r="C52" s="17" t="inlineStr">
        <is>
          <t>מיוער</t>
        </is>
      </c>
      <c r="D52" s="17" t="inlineStr">
        <is>
          <t>הכל</t>
        </is>
      </c>
      <c r="E52" s="17" t="inlineStr">
        <is>
          <t>3D</t>
        </is>
      </c>
      <c r="F52" s="18" t="n"/>
      <c r="G52" s="18" t="n">
        <v>1</v>
      </c>
      <c r="H52" s="18" t="n">
        <v>1</v>
      </c>
      <c r="I52" s="8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8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8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8">
        <f>IF(OR(F52="",A52=""),"",MAX(0,F52-I52))</f>
        <v/>
      </c>
      <c r="M52" s="8">
        <f>IF(OR(G52="",A52=""),"",MAX(0,G52-J52))</f>
        <v/>
      </c>
      <c r="N52" s="8">
        <f>IF(OR(H52="",A52=""),"",MAX(0,H52-K52))</f>
        <v/>
      </c>
      <c r="O52" s="17" t="n"/>
    </row>
    <row r="53">
      <c r="A53" s="19" t="inlineStr">
        <is>
          <t>6X6 Hide Site</t>
        </is>
      </c>
      <c r="B53" s="19" t="n"/>
      <c r="C53" s="19" t="inlineStr">
        <is>
          <t>מיוער</t>
        </is>
      </c>
      <c r="D53" s="19" t="inlineStr">
        <is>
          <t>מדברי</t>
        </is>
      </c>
      <c r="E53" s="19" t="inlineStr">
        <is>
          <t>רשת רכב</t>
        </is>
      </c>
      <c r="F53" s="20" t="n"/>
      <c r="G53" s="20" t="n">
        <v>2</v>
      </c>
      <c r="H53" s="20" t="n">
        <v>2</v>
      </c>
      <c r="I53" s="9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9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9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9">
        <f>IF(OR(F53="",A53=""),"",MAX(0,F53-I53))</f>
        <v/>
      </c>
      <c r="M53" s="9">
        <f>IF(OR(G53="",A53=""),"",MAX(0,G53-J53))</f>
        <v/>
      </c>
      <c r="N53" s="9">
        <f>IF(OR(H53="",A53=""),"",MAX(0,H53-K53))</f>
        <v/>
      </c>
      <c r="O53" s="19" t="n"/>
    </row>
    <row r="54">
      <c r="A54" s="17" t="inlineStr">
        <is>
          <t>6X6 Hide Site</t>
        </is>
      </c>
      <c r="B54" s="17" t="n"/>
      <c r="C54" s="17" t="inlineStr">
        <is>
          <t>מיוער</t>
        </is>
      </c>
      <c r="D54" s="17" t="inlineStr">
        <is>
          <t>הכל</t>
        </is>
      </c>
      <c r="E54" s="17" t="inlineStr">
        <is>
          <t>MRG</t>
        </is>
      </c>
      <c r="F54" s="18" t="n"/>
      <c r="G54" s="18" t="n">
        <v>2</v>
      </c>
      <c r="H54" s="18" t="n">
        <v>2</v>
      </c>
      <c r="I54" s="8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8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8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8">
        <f>IF(OR(F54="",A54=""),"",MAX(0,F54-I54))</f>
        <v/>
      </c>
      <c r="M54" s="8">
        <f>IF(OR(G54="",A54=""),"",MAX(0,G54-J54))</f>
        <v/>
      </c>
      <c r="N54" s="8">
        <f>IF(OR(H54="",A54=""),"",MAX(0,H54-K54))</f>
        <v/>
      </c>
      <c r="O54" s="17" t="n"/>
    </row>
    <row r="55">
      <c r="A55" s="19" t="inlineStr">
        <is>
          <t>6X6 Hide Site</t>
        </is>
      </c>
      <c r="B55" s="19" t="n"/>
      <c r="C55" s="19" t="inlineStr">
        <is>
          <t>מיוער</t>
        </is>
      </c>
      <c r="D55" s="19" t="inlineStr">
        <is>
          <t>הכל</t>
        </is>
      </c>
      <c r="E55" s="19" t="inlineStr">
        <is>
          <t>Beti</t>
        </is>
      </c>
      <c r="F55" s="20" t="n"/>
      <c r="G55" s="20" t="n">
        <v>2</v>
      </c>
      <c r="H55" s="20" t="n">
        <v>2</v>
      </c>
      <c r="I55" s="9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9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9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9">
        <f>IF(OR(F55="",A55=""),"",MAX(0,F55-I55))</f>
        <v/>
      </c>
      <c r="M55" s="9">
        <f>IF(OR(G55="",A55=""),"",MAX(0,G55-J55))</f>
        <v/>
      </c>
      <c r="N55" s="9">
        <f>IF(OR(H55="",A55=""),"",MAX(0,H55-K55))</f>
        <v/>
      </c>
      <c r="O55" s="19" t="n"/>
    </row>
    <row r="56">
      <c r="A56" s="17" t="inlineStr">
        <is>
          <t>6X6 Hide Site</t>
        </is>
      </c>
      <c r="B56" s="17" t="n"/>
      <c r="C56" s="17" t="inlineStr">
        <is>
          <t>מיוער</t>
        </is>
      </c>
      <c r="D56" s="17" t="inlineStr">
        <is>
          <t>הכל</t>
        </is>
      </c>
      <c r="E56" s="17" t="inlineStr">
        <is>
          <t>3D</t>
        </is>
      </c>
      <c r="F56" s="18" t="n"/>
      <c r="G56" s="18" t="n">
        <v>2</v>
      </c>
      <c r="H56" s="18" t="n">
        <v>2</v>
      </c>
      <c r="I56" s="8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8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8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8">
        <f>IF(OR(F56="",A56=""),"",MAX(0,F56-I56))</f>
        <v/>
      </c>
      <c r="M56" s="8">
        <f>IF(OR(G56="",A56=""),"",MAX(0,G56-J56))</f>
        <v/>
      </c>
      <c r="N56" s="8">
        <f>IF(OR(H56="",A56=""),"",MAX(0,H56-K56))</f>
        <v/>
      </c>
      <c r="O56" s="17" t="inlineStr">
        <is>
          <t>1 ריפסטופ מטופל 1  רשת</t>
        </is>
      </c>
    </row>
    <row r="57">
      <c r="A57" s="19" t="inlineStr">
        <is>
          <t>עמדת חוד</t>
        </is>
      </c>
      <c r="B57" s="19" t="n"/>
      <c r="C57" s="19" t="n"/>
      <c r="D57" s="19" t="n"/>
      <c r="E57" s="19" t="n"/>
      <c r="F57" s="20" t="n"/>
      <c r="G57" s="20" t="n"/>
      <c r="H57" s="20" t="n"/>
      <c r="I57" s="9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9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9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9">
        <f>IF(OR(F57="",A57=""),"",MAX(0,F57-I57))</f>
        <v/>
      </c>
      <c r="M57" s="9">
        <f>IF(OR(G57="",A57=""),"",MAX(0,G57-J57))</f>
        <v/>
      </c>
      <c r="N57" s="9">
        <f>IF(OR(H57="",A57=""),"",MAX(0,H57-K57))</f>
        <v/>
      </c>
      <c r="O57" s="19" t="n"/>
    </row>
    <row r="58">
      <c r="A58" s="17" t="inlineStr">
        <is>
          <t>Window Kit</t>
        </is>
      </c>
      <c r="B58" s="17" t="n"/>
      <c r="C58" s="17" t="inlineStr">
        <is>
          <t>בולדר/שטח בנוי</t>
        </is>
      </c>
      <c r="D58" s="17" t="n"/>
      <c r="E58" s="17" t="n"/>
      <c r="F58" s="18" t="n">
        <v>3</v>
      </c>
      <c r="G58" s="18" t="n">
        <v>2</v>
      </c>
      <c r="H58" s="18" t="n">
        <v>2</v>
      </c>
      <c r="I58" s="8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8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8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8">
        <f>IF(OR(F58="",A58=""),"",MAX(0,F58-I58))</f>
        <v/>
      </c>
      <c r="M58" s="8">
        <f>IF(OR(G58="",A58=""),"",MAX(0,G58-J58))</f>
        <v/>
      </c>
      <c r="N58" s="8">
        <f>IF(OR(H58="",A58=""),"",MAX(0,H58-K58))</f>
        <v/>
      </c>
      <c r="O58" s="17" t="n"/>
    </row>
    <row r="59">
      <c r="A59" s="19" t="inlineStr">
        <is>
          <t>Balaclava</t>
        </is>
      </c>
      <c r="B59" s="19" t="n"/>
      <c r="C59" s="19" t="inlineStr">
        <is>
          <t>מיוער</t>
        </is>
      </c>
      <c r="D59" s="19" t="n"/>
      <c r="E59" s="19" t="n"/>
      <c r="F59" s="20" t="n">
        <v>1</v>
      </c>
      <c r="G59" s="20" t="n">
        <v>2</v>
      </c>
      <c r="H59" s="20" t="n">
        <v>2</v>
      </c>
      <c r="I59" s="9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9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9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9">
        <f>IF(OR(F59="",A59=""),"",MAX(0,F59-I59))</f>
        <v/>
      </c>
      <c r="M59" s="9">
        <f>IF(OR(G59="",A59=""),"",MAX(0,G59-J59))</f>
        <v/>
      </c>
      <c r="N59" s="9">
        <f>IF(OR(H59="",A59=""),"",MAX(0,H59-K59))</f>
        <v/>
      </c>
      <c r="O59" s="19" t="n"/>
    </row>
    <row r="60">
      <c r="A60" s="17" t="inlineStr">
        <is>
          <t>Balaclava</t>
        </is>
      </c>
      <c r="B60" s="17" t="n"/>
      <c r="C60" s="17" t="inlineStr">
        <is>
          <t>מדברי</t>
        </is>
      </c>
      <c r="D60" s="17" t="n"/>
      <c r="E60" s="17" t="n"/>
      <c r="F60" s="18" t="n">
        <v>1</v>
      </c>
      <c r="G60" s="18" t="n">
        <v>2</v>
      </c>
      <c r="H60" s="18" t="n">
        <v>2</v>
      </c>
      <c r="I60" s="8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8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8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8">
        <f>IF(OR(F60="",A60=""),"",MAX(0,F60-I60))</f>
        <v/>
      </c>
      <c r="M60" s="8">
        <f>IF(OR(G60="",A60=""),"",MAX(0,G60-J60))</f>
        <v/>
      </c>
      <c r="N60" s="8">
        <f>IF(OR(H60="",A60=""),"",MAX(0,H60-K60))</f>
        <v/>
      </c>
      <c r="O60" s="17" t="n"/>
    </row>
    <row r="61">
      <c r="A61" s="19" t="inlineStr">
        <is>
          <t>Balaclava</t>
        </is>
      </c>
      <c r="B61" s="19" t="n"/>
      <c r="C61" s="19" t="inlineStr">
        <is>
          <t>בולדר/שטח בנוי</t>
        </is>
      </c>
      <c r="D61" s="19" t="n"/>
      <c r="E61" s="19" t="n"/>
      <c r="F61" s="20" t="n">
        <v>1</v>
      </c>
      <c r="G61" s="20" t="n">
        <v>1</v>
      </c>
      <c r="H61" s="20" t="n">
        <v>1</v>
      </c>
      <c r="I61" s="9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9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9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9">
        <f>IF(OR(F61="",A61=""),"",MAX(0,F61-I61))</f>
        <v/>
      </c>
      <c r="M61" s="9">
        <f>IF(OR(G61="",A61=""),"",MAX(0,G61-J61))</f>
        <v/>
      </c>
      <c r="N61" s="9">
        <f>IF(OR(H61="",A61=""),"",MAX(0,H61-K61))</f>
        <v/>
      </c>
      <c r="O61" s="19" t="n"/>
    </row>
    <row r="62">
      <c r="A62" s="17" t="inlineStr">
        <is>
          <t>Gaiters</t>
        </is>
      </c>
      <c r="B62" s="17" t="n"/>
      <c r="C62" s="17" t="inlineStr">
        <is>
          <t>מיוער</t>
        </is>
      </c>
      <c r="D62" s="17" t="inlineStr">
        <is>
          <t>מדברי</t>
        </is>
      </c>
      <c r="E62" s="17" t="inlineStr">
        <is>
          <t>RIPSTOP</t>
        </is>
      </c>
      <c r="F62" s="18" t="n">
        <v>1</v>
      </c>
      <c r="G62" s="18" t="n">
        <v>2</v>
      </c>
      <c r="H62" s="18" t="n">
        <v>2</v>
      </c>
      <c r="I62" s="8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8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8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8">
        <f>IF(OR(F62="",A62=""),"",MAX(0,F62-I62))</f>
        <v/>
      </c>
      <c r="M62" s="8">
        <f>IF(OR(G62="",A62=""),"",MAX(0,G62-J62))</f>
        <v/>
      </c>
      <c r="N62" s="8">
        <f>IF(OR(H62="",A62=""),"",MAX(0,H62-K62))</f>
        <v/>
      </c>
      <c r="O62" s="17" t="n"/>
    </row>
    <row r="63">
      <c r="A63" s="19" t="inlineStr">
        <is>
          <t>Gaiters</t>
        </is>
      </c>
      <c r="B63" s="19" t="n"/>
      <c r="C63" s="19" t="inlineStr">
        <is>
          <t>מיוער</t>
        </is>
      </c>
      <c r="D63" s="19" t="inlineStr">
        <is>
          <t>מדברי</t>
        </is>
      </c>
      <c r="E63" s="19" t="inlineStr">
        <is>
          <t>Mesh</t>
        </is>
      </c>
      <c r="F63" s="20" t="n">
        <v>1</v>
      </c>
      <c r="G63" s="20" t="n">
        <v>2</v>
      </c>
      <c r="H63" s="20" t="n">
        <v>2</v>
      </c>
      <c r="I63" s="9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9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9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9">
        <f>IF(OR(F63="",A63=""),"",MAX(0,F63-I63))</f>
        <v/>
      </c>
      <c r="M63" s="9">
        <f>IF(OR(G63="",A63=""),"",MAX(0,G63-J63))</f>
        <v/>
      </c>
      <c r="N63" s="9">
        <f>IF(OR(H63="",A63=""),"",MAX(0,H63-K63))</f>
        <v/>
      </c>
      <c r="O63" s="19" t="n"/>
    </row>
    <row r="64">
      <c r="A64" s="17" t="inlineStr">
        <is>
          <t>Headcover</t>
        </is>
      </c>
      <c r="B64" s="17" t="n"/>
      <c r="C64" s="17" t="inlineStr">
        <is>
          <t>מיוער</t>
        </is>
      </c>
      <c r="D64" s="17" t="n"/>
      <c r="E64" s="17" t="n"/>
      <c r="F64" s="18" t="n">
        <v>1</v>
      </c>
      <c r="G64" s="18" t="n">
        <v>2</v>
      </c>
      <c r="H64" s="18" t="n">
        <v>2</v>
      </c>
      <c r="I64" s="8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8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8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8">
        <f>IF(OR(F64="",A64=""),"",MAX(0,F64-I64))</f>
        <v/>
      </c>
      <c r="M64" s="8">
        <f>IF(OR(G64="",A64=""),"",MAX(0,G64-J64))</f>
        <v/>
      </c>
      <c r="N64" s="8">
        <f>IF(OR(H64="",A64=""),"",MAX(0,H64-K64))</f>
        <v/>
      </c>
      <c r="O64" s="17" t="n"/>
    </row>
    <row r="65">
      <c r="A65" s="19" t="inlineStr">
        <is>
          <t>Headcover</t>
        </is>
      </c>
      <c r="B65" s="19" t="n"/>
      <c r="C65" s="19" t="inlineStr">
        <is>
          <t>מדברי</t>
        </is>
      </c>
      <c r="D65" s="19" t="n"/>
      <c r="E65" s="19" t="n"/>
      <c r="F65" s="20" t="n">
        <v>1</v>
      </c>
      <c r="G65" s="20" t="n">
        <v>2</v>
      </c>
      <c r="H65" s="20" t="n">
        <v>2</v>
      </c>
      <c r="I65" s="9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9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9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9">
        <f>IF(OR(F65="",A65=""),"",MAX(0,F65-I65))</f>
        <v/>
      </c>
      <c r="M65" s="9">
        <f>IF(OR(G65="",A65=""),"",MAX(0,G65-J65))</f>
        <v/>
      </c>
      <c r="N65" s="9">
        <f>IF(OR(H65="",A65=""),"",MAX(0,H65-K65))</f>
        <v/>
      </c>
      <c r="O65" s="19" t="n"/>
    </row>
    <row r="66">
      <c r="A66" s="17" t="inlineStr">
        <is>
          <t>Headcover</t>
        </is>
      </c>
      <c r="B66" s="17" t="n"/>
      <c r="C66" s="17" t="inlineStr">
        <is>
          <t>בולדר/שטח בנוי</t>
        </is>
      </c>
      <c r="D66" s="17" t="n"/>
      <c r="E66" s="17" t="n"/>
      <c r="F66" s="18" t="n">
        <v>1</v>
      </c>
      <c r="G66" s="18" t="n">
        <v>1</v>
      </c>
      <c r="H66" s="18" t="n">
        <v>1</v>
      </c>
      <c r="I66" s="8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8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8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8">
        <f>IF(OR(F66="",A66=""),"",MAX(0,F66-I66))</f>
        <v/>
      </c>
      <c r="M66" s="8">
        <f>IF(OR(G66="",A66=""),"",MAX(0,G66-J66))</f>
        <v/>
      </c>
      <c r="N66" s="8">
        <f>IF(OR(H66="",A66=""),"",MAX(0,H66-K66))</f>
        <v/>
      </c>
      <c r="O66" s="17" t="n"/>
    </row>
    <row r="67">
      <c r="A67" s="19" t="inlineStr">
        <is>
          <t>Boonie hat</t>
        </is>
      </c>
      <c r="B67" s="19" t="n"/>
      <c r="C67" s="19" t="inlineStr">
        <is>
          <t>מיוער</t>
        </is>
      </c>
      <c r="D67" s="19" t="n"/>
      <c r="E67" s="19" t="n"/>
      <c r="F67" s="20" t="n">
        <v>1</v>
      </c>
      <c r="G67" s="20" t="n"/>
      <c r="H67" s="20" t="n"/>
      <c r="I67" s="9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9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9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9">
        <f>IF(OR(F67="",A67=""),"",MAX(0,F67-I67))</f>
        <v/>
      </c>
      <c r="M67" s="9">
        <f>IF(OR(G67="",A67=""),"",MAX(0,G67-J67))</f>
        <v/>
      </c>
      <c r="N67" s="9">
        <f>IF(OR(H67="",A67=""),"",MAX(0,H67-K67))</f>
        <v/>
      </c>
      <c r="O67" s="19" t="n"/>
    </row>
    <row r="68">
      <c r="A68" s="17" t="inlineStr">
        <is>
          <t>Vest cover</t>
        </is>
      </c>
      <c r="B68" s="17" t="n"/>
      <c r="C68" s="17" t="inlineStr">
        <is>
          <t>מיוער</t>
        </is>
      </c>
      <c r="D68" s="17" t="n"/>
      <c r="E68" s="17" t="n"/>
      <c r="F68" s="18" t="n">
        <v>1</v>
      </c>
      <c r="G68" s="18" t="n">
        <v>2</v>
      </c>
      <c r="H68" s="18" t="n">
        <v>2</v>
      </c>
      <c r="I68" s="8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8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8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8">
        <f>IF(OR(F68="",A68=""),"",MAX(0,F68-I68))</f>
        <v/>
      </c>
      <c r="M68" s="8">
        <f>IF(OR(G68="",A68=""),"",MAX(0,G68-J68))</f>
        <v/>
      </c>
      <c r="N68" s="8">
        <f>IF(OR(H68="",A68=""),"",MAX(0,H68-K68))</f>
        <v/>
      </c>
      <c r="O68" s="17" t="n"/>
    </row>
    <row r="69">
      <c r="A69" s="19" t="inlineStr">
        <is>
          <t>Vest cover</t>
        </is>
      </c>
      <c r="B69" s="19" t="n"/>
      <c r="C69" s="19" t="inlineStr">
        <is>
          <t>מדברי</t>
        </is>
      </c>
      <c r="D69" s="19" t="n"/>
      <c r="E69" s="19" t="n"/>
      <c r="F69" s="20" t="n">
        <v>1</v>
      </c>
      <c r="G69" s="20" t="n">
        <v>2</v>
      </c>
      <c r="H69" s="20" t="n">
        <v>2</v>
      </c>
      <c r="I69" s="9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9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9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9">
        <f>IF(OR(F69="",A69=""),"",MAX(0,F69-I69))</f>
        <v/>
      </c>
      <c r="M69" s="9">
        <f>IF(OR(G69="",A69=""),"",MAX(0,G69-J69))</f>
        <v/>
      </c>
      <c r="N69" s="9">
        <f>IF(OR(H69="",A69=""),"",MAX(0,H69-K69))</f>
        <v/>
      </c>
      <c r="O69" s="19" t="n"/>
    </row>
    <row r="70">
      <c r="A70" s="17" t="inlineStr">
        <is>
          <t>Vest cover</t>
        </is>
      </c>
      <c r="B70" s="17" t="n"/>
      <c r="C70" s="17" t="inlineStr">
        <is>
          <t>בולדר/שטח בנוי</t>
        </is>
      </c>
      <c r="D70" s="17" t="n"/>
      <c r="E70" s="17" t="n"/>
      <c r="F70" s="18" t="n">
        <v>1</v>
      </c>
      <c r="G70" s="18" t="n">
        <v>1</v>
      </c>
      <c r="H70" s="18" t="n">
        <v>1</v>
      </c>
      <c r="I70" s="8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8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8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8">
        <f>IF(OR(F70="",A70=""),"",MAX(0,F70-I70))</f>
        <v/>
      </c>
      <c r="M70" s="8">
        <f>IF(OR(G70="",A70=""),"",MAX(0,G70-J70))</f>
        <v/>
      </c>
      <c r="N70" s="8">
        <f>IF(OR(H70="",A70=""),"",MAX(0,H70-K70))</f>
        <v/>
      </c>
      <c r="O70" s="17" t="n"/>
    </row>
    <row r="71">
      <c r="A71" s="19" t="inlineStr">
        <is>
          <t>Pants</t>
        </is>
      </c>
      <c r="B71" s="19" t="n"/>
      <c r="C71" s="19" t="inlineStr">
        <is>
          <t>מיוער</t>
        </is>
      </c>
      <c r="D71" s="19" t="n"/>
      <c r="E71" s="19" t="inlineStr">
        <is>
          <t>Stretch</t>
        </is>
      </c>
      <c r="F71" s="20" t="n">
        <v>1</v>
      </c>
      <c r="G71" s="20" t="n">
        <v>2</v>
      </c>
      <c r="H71" s="20" t="n">
        <v>2</v>
      </c>
      <c r="I71" s="9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9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9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9">
        <f>IF(OR(F71="",A71=""),"",MAX(0,F71-I71))</f>
        <v/>
      </c>
      <c r="M71" s="9">
        <f>IF(OR(G71="",A71=""),"",MAX(0,G71-J71))</f>
        <v/>
      </c>
      <c r="N71" s="9">
        <f>IF(OR(H71="",A71=""),"",MAX(0,H71-K71))</f>
        <v/>
      </c>
      <c r="O71" s="19" t="n"/>
    </row>
    <row r="72">
      <c r="A72" s="17" t="inlineStr">
        <is>
          <t>Shirt</t>
        </is>
      </c>
      <c r="B72" s="17" t="n"/>
      <c r="C72" s="17" t="inlineStr">
        <is>
          <t>מיוער</t>
        </is>
      </c>
      <c r="D72" s="17" t="n"/>
      <c r="E72" s="17" t="inlineStr">
        <is>
          <t>Stretch</t>
        </is>
      </c>
      <c r="F72" s="18" t="n">
        <v>1</v>
      </c>
      <c r="G72" s="18" t="n">
        <v>2</v>
      </c>
      <c r="H72" s="18" t="n">
        <v>2</v>
      </c>
      <c r="I72" s="8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8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8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8">
        <f>IF(OR(F72="",A72=""),"",MAX(0,F72-I72))</f>
        <v/>
      </c>
      <c r="M72" s="8">
        <f>IF(OR(G72="",A72=""),"",MAX(0,G72-J72))</f>
        <v/>
      </c>
      <c r="N72" s="8">
        <f>IF(OR(H72="",A72=""),"",MAX(0,H72-K72))</f>
        <v/>
      </c>
      <c r="O72" s="17" t="n"/>
    </row>
    <row r="73">
      <c r="A73" s="19" t="inlineStr">
        <is>
          <t>Pants</t>
        </is>
      </c>
      <c r="B73" s="19" t="n"/>
      <c r="C73" s="19" t="inlineStr">
        <is>
          <t>מיוער</t>
        </is>
      </c>
      <c r="D73" s="19" t="n"/>
      <c r="E73" s="19" t="inlineStr">
        <is>
          <t>Durable</t>
        </is>
      </c>
      <c r="F73" s="20" t="n">
        <v>1</v>
      </c>
      <c r="G73" s="20" t="n">
        <v>2</v>
      </c>
      <c r="H73" s="20" t="n">
        <v>2</v>
      </c>
      <c r="I73" s="9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9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9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9">
        <f>IF(OR(F73="",A73=""),"",MAX(0,F73-I73))</f>
        <v/>
      </c>
      <c r="M73" s="9">
        <f>IF(OR(G73="",A73=""),"",MAX(0,G73-J73))</f>
        <v/>
      </c>
      <c r="N73" s="9">
        <f>IF(OR(H73="",A73=""),"",MAX(0,H73-K73))</f>
        <v/>
      </c>
      <c r="O73" s="19" t="n"/>
    </row>
    <row r="74">
      <c r="A74" s="17" t="inlineStr">
        <is>
          <t>Shirt</t>
        </is>
      </c>
      <c r="B74" s="17" t="n"/>
      <c r="C74" s="17" t="inlineStr">
        <is>
          <t>מיוער</t>
        </is>
      </c>
      <c r="D74" s="17" t="n"/>
      <c r="E74" s="17" t="inlineStr">
        <is>
          <t>Durable</t>
        </is>
      </c>
      <c r="F74" s="18" t="n">
        <v>1</v>
      </c>
      <c r="G74" s="18" t="n">
        <v>2</v>
      </c>
      <c r="H74" s="18" t="n">
        <v>2</v>
      </c>
      <c r="I74" s="8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8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8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8">
        <f>IF(OR(F74="",A74=""),"",MAX(0,F74-I74))</f>
        <v/>
      </c>
      <c r="M74" s="8">
        <f>IF(OR(G74="",A74=""),"",MAX(0,G74-J74))</f>
        <v/>
      </c>
      <c r="N74" s="8">
        <f>IF(OR(H74="",A74=""),"",MAX(0,H74-K74))</f>
        <v/>
      </c>
      <c r="O74" s="17" t="n"/>
    </row>
    <row r="75">
      <c r="A75" s="19" t="inlineStr">
        <is>
          <t>Pants</t>
        </is>
      </c>
      <c r="B75" s="19" t="n"/>
      <c r="C75" s="19" t="inlineStr">
        <is>
          <t>הכל</t>
        </is>
      </c>
      <c r="D75" s="19" t="n"/>
      <c r="E75" s="19" t="inlineStr">
        <is>
          <t>Meron</t>
        </is>
      </c>
      <c r="F75" s="20" t="n">
        <v>1</v>
      </c>
      <c r="G75" s="20" t="n">
        <v>1</v>
      </c>
      <c r="H75" s="20" t="n">
        <v>1</v>
      </c>
      <c r="I75" s="9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9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9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9">
        <f>IF(OR(F75="",A75=""),"",MAX(0,F75-I75))</f>
        <v/>
      </c>
      <c r="M75" s="9">
        <f>IF(OR(G75="",A75=""),"",MAX(0,G75-J75))</f>
        <v/>
      </c>
      <c r="N75" s="9">
        <f>IF(OR(H75="",A75=""),"",MAX(0,H75-K75))</f>
        <v/>
      </c>
      <c r="O75" s="19" t="n"/>
    </row>
    <row r="76">
      <c r="A76" s="17" t="inlineStr">
        <is>
          <t>Shirt</t>
        </is>
      </c>
      <c r="B76" s="17" t="n"/>
      <c r="C76" s="17" t="inlineStr">
        <is>
          <t>הכל</t>
        </is>
      </c>
      <c r="D76" s="17" t="n"/>
      <c r="E76" s="17" t="inlineStr">
        <is>
          <t>Meron</t>
        </is>
      </c>
      <c r="F76" s="18" t="n">
        <v>1</v>
      </c>
      <c r="G76" s="18" t="n">
        <v>1</v>
      </c>
      <c r="H76" s="18" t="n">
        <v>1</v>
      </c>
      <c r="I76" s="8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8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8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8">
        <f>IF(OR(F76="",A76=""),"",MAX(0,F76-I76))</f>
        <v/>
      </c>
      <c r="M76" s="8">
        <f>IF(OR(G76="",A76=""),"",MAX(0,G76-J76))</f>
        <v/>
      </c>
      <c r="N76" s="8">
        <f>IF(OR(H76="",A76=""),"",MAX(0,H76-K76))</f>
        <v/>
      </c>
      <c r="O76" s="17" t="n"/>
    </row>
    <row r="77">
      <c r="A77" s="19" t="inlineStr">
        <is>
          <t>Headcover</t>
        </is>
      </c>
      <c r="B77" s="19" t="n"/>
      <c r="C77" s="19" t="inlineStr">
        <is>
          <t>הכל</t>
        </is>
      </c>
      <c r="D77" s="19" t="n"/>
      <c r="E77" s="19" t="inlineStr">
        <is>
          <t>Meron</t>
        </is>
      </c>
      <c r="F77" s="20" t="n">
        <v>1</v>
      </c>
      <c r="G77" s="20" t="n">
        <v>1</v>
      </c>
      <c r="H77" s="20" t="n">
        <v>1</v>
      </c>
      <c r="I77" s="9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9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9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9">
        <f>IF(OR(F77="",A77=""),"",MAX(0,F77-I77))</f>
        <v/>
      </c>
      <c r="M77" s="9">
        <f>IF(OR(G77="",A77=""),"",MAX(0,G77-J77))</f>
        <v/>
      </c>
      <c r="N77" s="9">
        <f>IF(OR(H77="",A77=""),"",MAX(0,H77-K77))</f>
        <v/>
      </c>
      <c r="O77" s="19" t="n"/>
    </row>
    <row r="78">
      <c r="A78" s="17" t="inlineStr">
        <is>
          <t>Pants</t>
        </is>
      </c>
      <c r="B78" s="17" t="n"/>
      <c r="C78" s="17" t="inlineStr">
        <is>
          <t>מיוער</t>
        </is>
      </c>
      <c r="D78" s="17" t="n"/>
      <c r="E78" s="17" t="inlineStr">
        <is>
          <t>Arber</t>
        </is>
      </c>
      <c r="F78" s="18" t="n">
        <v>1</v>
      </c>
      <c r="G78" s="18" t="n">
        <v>1</v>
      </c>
      <c r="H78" s="18" t="n">
        <v>1</v>
      </c>
      <c r="I78" s="8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8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8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8">
        <f>IF(OR(F78="",A78=""),"",MAX(0,F78-I78))</f>
        <v/>
      </c>
      <c r="M78" s="8">
        <f>IF(OR(G78="",A78=""),"",MAX(0,G78-J78))</f>
        <v/>
      </c>
      <c r="N78" s="8">
        <f>IF(OR(H78="",A78=""),"",MAX(0,H78-K78))</f>
        <v/>
      </c>
      <c r="O78" s="17" t="n"/>
    </row>
    <row r="79">
      <c r="A79" s="19" t="inlineStr">
        <is>
          <t>Shirt</t>
        </is>
      </c>
      <c r="B79" s="19" t="n"/>
      <c r="C79" s="19" t="inlineStr">
        <is>
          <t>מיוער</t>
        </is>
      </c>
      <c r="D79" s="19" t="n"/>
      <c r="E79" s="19" t="inlineStr">
        <is>
          <t>Arber</t>
        </is>
      </c>
      <c r="F79" s="20" t="n">
        <v>1</v>
      </c>
      <c r="G79" s="20" t="n">
        <v>1</v>
      </c>
      <c r="H79" s="20" t="n">
        <v>1</v>
      </c>
      <c r="I79" s="9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9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9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9">
        <f>IF(OR(F79="",A79=""),"",MAX(0,F79-I79))</f>
        <v/>
      </c>
      <c r="M79" s="9">
        <f>IF(OR(G79="",A79=""),"",MAX(0,G79-J79))</f>
        <v/>
      </c>
      <c r="N79" s="9">
        <f>IF(OR(H79="",A79=""),"",MAX(0,H79-K79))</f>
        <v/>
      </c>
      <c r="O79" s="19" t="n"/>
    </row>
    <row r="80">
      <c r="A80" s="17" t="inlineStr">
        <is>
          <t>Headcover</t>
        </is>
      </c>
      <c r="B80" s="17" t="n"/>
      <c r="C80" s="17" t="inlineStr">
        <is>
          <t>הכל</t>
        </is>
      </c>
      <c r="D80" s="17" t="n"/>
      <c r="E80" s="17" t="inlineStr">
        <is>
          <t>Arber</t>
        </is>
      </c>
      <c r="F80" s="18" t="n">
        <v>1</v>
      </c>
      <c r="G80" s="18" t="n">
        <v>1</v>
      </c>
      <c r="H80" s="18" t="n">
        <v>1</v>
      </c>
      <c r="I80" s="8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8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8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8">
        <f>IF(OR(F80="",A80=""),"",MAX(0,F80-I80))</f>
        <v/>
      </c>
      <c r="M80" s="8">
        <f>IF(OR(G80="",A80=""),"",MAX(0,G80-J80))</f>
        <v/>
      </c>
      <c r="N80" s="8">
        <f>IF(OR(H80="",A80=""),"",MAX(0,H80-K80))</f>
        <v/>
      </c>
      <c r="O80" s="17" t="n"/>
    </row>
    <row r="81">
      <c r="A81" s="19" t="inlineStr">
        <is>
          <t>Pants</t>
        </is>
      </c>
      <c r="B81" s="19" t="n"/>
      <c r="C81" s="19" t="inlineStr">
        <is>
          <t>מיוער</t>
        </is>
      </c>
      <c r="D81" s="19" t="n"/>
      <c r="E81" s="19" t="inlineStr">
        <is>
          <t>IRR</t>
        </is>
      </c>
      <c r="F81" s="20" t="n">
        <v>1</v>
      </c>
      <c r="G81" s="20" t="n">
        <v>2</v>
      </c>
      <c r="H81" s="20" t="n">
        <v>2</v>
      </c>
      <c r="I81" s="9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9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9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9">
        <f>IF(OR(F81="",A81=""),"",MAX(0,F81-I81))</f>
        <v/>
      </c>
      <c r="M81" s="9">
        <f>IF(OR(G81="",A81=""),"",MAX(0,G81-J81))</f>
        <v/>
      </c>
      <c r="N81" s="9">
        <f>IF(OR(H81="",A81=""),"",MAX(0,H81-K81))</f>
        <v/>
      </c>
      <c r="O81" s="19" t="n"/>
    </row>
    <row r="82">
      <c r="A82" s="17" t="inlineStr">
        <is>
          <t>Shirt</t>
        </is>
      </c>
      <c r="B82" s="17" t="n"/>
      <c r="C82" s="17" t="inlineStr">
        <is>
          <t>מיוער</t>
        </is>
      </c>
      <c r="D82" s="17" t="n"/>
      <c r="E82" s="17" t="inlineStr">
        <is>
          <t>IRR</t>
        </is>
      </c>
      <c r="F82" s="18" t="n">
        <v>1</v>
      </c>
      <c r="G82" s="18" t="n">
        <v>2</v>
      </c>
      <c r="H82" s="18" t="n">
        <v>2</v>
      </c>
      <c r="I82" s="8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8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8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8">
        <f>IF(OR(F82="",A82=""),"",MAX(0,F82-I82))</f>
        <v/>
      </c>
      <c r="M82" s="8">
        <f>IF(OR(G82="",A82=""),"",MAX(0,G82-J82))</f>
        <v/>
      </c>
      <c r="N82" s="8">
        <f>IF(OR(H82="",A82=""),"",MAX(0,H82-K82))</f>
        <v/>
      </c>
      <c r="O82" s="17" t="n"/>
    </row>
    <row r="83">
      <c r="A83" s="19" t="inlineStr">
        <is>
          <t>LC79</t>
        </is>
      </c>
      <c r="B83" s="19" t="n"/>
      <c r="C83" s="19" t="inlineStr">
        <is>
          <t>מיוער</t>
        </is>
      </c>
      <c r="D83" s="19" t="inlineStr">
        <is>
          <t>הכל</t>
        </is>
      </c>
      <c r="E83" s="19" t="n"/>
      <c r="F83" s="20" t="n">
        <v>1</v>
      </c>
      <c r="G83" s="20" t="n">
        <v>2</v>
      </c>
      <c r="H83" s="20" t="n">
        <v>2</v>
      </c>
      <c r="I83" s="9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9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9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9">
        <f>IF(OR(F83="",A83=""),"",MAX(0,F83-I83))</f>
        <v/>
      </c>
      <c r="M83" s="9">
        <f>IF(OR(G83="",A83=""),"",MAX(0,G83-J83))</f>
        <v/>
      </c>
      <c r="N83" s="9">
        <f>IF(OR(H83="",A83=""),"",MAX(0,H83-K83))</f>
        <v/>
      </c>
      <c r="O83" s="19" t="n"/>
    </row>
    <row r="84">
      <c r="A84" s="17" t="inlineStr">
        <is>
          <t>Vehicle hide site 9*12</t>
        </is>
      </c>
      <c r="B84" s="17" t="n"/>
      <c r="C84" s="17" t="inlineStr">
        <is>
          <t>מיוער</t>
        </is>
      </c>
      <c r="D84" s="17" t="inlineStr">
        <is>
          <t>מיוער</t>
        </is>
      </c>
      <c r="E84" s="17" t="inlineStr">
        <is>
          <t>רשת רכב</t>
        </is>
      </c>
      <c r="F84" s="18" t="n"/>
      <c r="G84" s="18" t="n">
        <v>1</v>
      </c>
      <c r="H84" s="18" t="n">
        <v>2</v>
      </c>
      <c r="I84" s="8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8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8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8">
        <f>IF(OR(F84="",A84=""),"",MAX(0,F84-I84))</f>
        <v/>
      </c>
      <c r="M84" s="8">
        <f>IF(OR(G84="",A84=""),"",MAX(0,G84-J84))</f>
        <v/>
      </c>
      <c r="N84" s="8">
        <f>IF(OR(H84="",A84=""),"",MAX(0,H84-K84))</f>
        <v/>
      </c>
      <c r="O84" s="17" t="n"/>
    </row>
    <row r="85">
      <c r="A85" s="19" t="inlineStr">
        <is>
          <t>Vehicle hide site 9*12</t>
        </is>
      </c>
      <c r="B85" s="19" t="n"/>
      <c r="C85" s="19" t="inlineStr">
        <is>
          <t>מיוער</t>
        </is>
      </c>
      <c r="D85" s="19" t="inlineStr">
        <is>
          <t>מדברי</t>
        </is>
      </c>
      <c r="E85" s="19" t="inlineStr">
        <is>
          <t>רשת רכב</t>
        </is>
      </c>
      <c r="F85" s="20" t="n"/>
      <c r="G85" s="20" t="n">
        <v>1</v>
      </c>
      <c r="H85" s="20" t="n">
        <v>1</v>
      </c>
      <c r="I85" s="9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9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9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9">
        <f>IF(OR(F85="",A85=""),"",MAX(0,F85-I85))</f>
        <v/>
      </c>
      <c r="M85" s="9">
        <f>IF(OR(G85="",A85=""),"",MAX(0,G85-J85))</f>
        <v/>
      </c>
      <c r="N85" s="9">
        <f>IF(OR(H85="",A85=""),"",MAX(0,H85-K85))</f>
        <v/>
      </c>
      <c r="O85" s="19" t="n"/>
    </row>
    <row r="86">
      <c r="A86" s="17" t="inlineStr">
        <is>
          <t>Vehicle hide site 9*12</t>
        </is>
      </c>
      <c r="B86" s="17" t="n"/>
      <c r="C86" s="17" t="inlineStr">
        <is>
          <t>מדברי</t>
        </is>
      </c>
      <c r="D86" s="17" t="inlineStr">
        <is>
          <t>מדברי</t>
        </is>
      </c>
      <c r="E86" s="17" t="inlineStr">
        <is>
          <t>רשת רכב</t>
        </is>
      </c>
      <c r="F86" s="18" t="n"/>
      <c r="G86" s="18" t="n">
        <v>1</v>
      </c>
      <c r="H86" s="18" t="n">
        <v>1</v>
      </c>
      <c r="I86" s="8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8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8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8">
        <f>IF(OR(F86="",A86=""),"",MAX(0,F86-I86))</f>
        <v/>
      </c>
      <c r="M86" s="8">
        <f>IF(OR(G86="",A86=""),"",MAX(0,G86-J86))</f>
        <v/>
      </c>
      <c r="N86" s="8">
        <f>IF(OR(H86="",A86=""),"",MAX(0,H86-K86))</f>
        <v/>
      </c>
      <c r="O86" s="17" t="n"/>
    </row>
    <row r="87">
      <c r="A87" s="19" t="inlineStr">
        <is>
          <t>Vehicle hide site 9*12</t>
        </is>
      </c>
      <c r="B87" s="19" t="n"/>
      <c r="C87" s="19" t="inlineStr">
        <is>
          <t>מיוער</t>
        </is>
      </c>
      <c r="D87" s="19" t="inlineStr">
        <is>
          <t>בולדר/שטח בנוי</t>
        </is>
      </c>
      <c r="E87" s="19" t="inlineStr">
        <is>
          <t>רשת רכב</t>
        </is>
      </c>
      <c r="F87" s="20" t="n"/>
      <c r="G87" s="20" t="n">
        <v>1</v>
      </c>
      <c r="H87" s="20" t="n">
        <v>1</v>
      </c>
      <c r="I87" s="9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9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9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9">
        <f>IF(OR(F87="",A87=""),"",MAX(0,F87-I87))</f>
        <v/>
      </c>
      <c r="M87" s="9">
        <f>IF(OR(G87="",A87=""),"",MAX(0,G87-J87))</f>
        <v/>
      </c>
      <c r="N87" s="9">
        <f>IF(OR(H87="",A87=""),"",MAX(0,H87-K87))</f>
        <v/>
      </c>
      <c r="O87" s="19" t="n"/>
    </row>
    <row r="88">
      <c r="A88" s="17" t="inlineStr">
        <is>
          <t>Vehicle hide site 9*12</t>
        </is>
      </c>
      <c r="B88" s="17" t="n"/>
      <c r="C88" s="17" t="inlineStr">
        <is>
          <t>מיוער</t>
        </is>
      </c>
      <c r="D88" s="17" t="inlineStr">
        <is>
          <t>הכל</t>
        </is>
      </c>
      <c r="E88" s="17" t="inlineStr">
        <is>
          <t>MRG</t>
        </is>
      </c>
      <c r="F88" s="18" t="n"/>
      <c r="G88" s="18" t="n">
        <v>2</v>
      </c>
      <c r="H88" s="18" t="n">
        <v>2</v>
      </c>
      <c r="I88" s="8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8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8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8">
        <f>IF(OR(F88="",A88=""),"",MAX(0,F88-I88))</f>
        <v/>
      </c>
      <c r="M88" s="8">
        <f>IF(OR(G88="",A88=""),"",MAX(0,G88-J88))</f>
        <v/>
      </c>
      <c r="N88" s="8">
        <f>IF(OR(H88="",A88=""),"",MAX(0,H88-K88))</f>
        <v/>
      </c>
      <c r="O88" s="17" t="n"/>
    </row>
    <row r="89">
      <c r="A89" s="19" t="inlineStr">
        <is>
          <t>Vehicle hide site 9*12</t>
        </is>
      </c>
      <c r="B89" s="19" t="n"/>
      <c r="C89" s="19" t="inlineStr">
        <is>
          <t>מיוער</t>
        </is>
      </c>
      <c r="D89" s="19" t="inlineStr">
        <is>
          <t>הכל</t>
        </is>
      </c>
      <c r="E89" s="19" t="inlineStr">
        <is>
          <t>Beti</t>
        </is>
      </c>
      <c r="F89" s="20" t="n"/>
      <c r="G89" s="20" t="n">
        <v>2</v>
      </c>
      <c r="H89" s="20" t="n">
        <v>2</v>
      </c>
      <c r="I89" s="9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9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9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9">
        <f>IF(OR(F89="",A89=""),"",MAX(0,F89-I89))</f>
        <v/>
      </c>
      <c r="M89" s="9">
        <f>IF(OR(G89="",A89=""),"",MAX(0,G89-J89))</f>
        <v/>
      </c>
      <c r="N89" s="9">
        <f>IF(OR(H89="",A89=""),"",MAX(0,H89-K89))</f>
        <v/>
      </c>
      <c r="O89" s="19" t="n"/>
    </row>
    <row r="90">
      <c r="A90" s="17" t="inlineStr">
        <is>
          <t>CMM 7.5*7.5</t>
        </is>
      </c>
      <c r="B90" s="17" t="n"/>
      <c r="C90" s="17" t="inlineStr">
        <is>
          <t>מיוער</t>
        </is>
      </c>
      <c r="D90" s="17" t="inlineStr">
        <is>
          <t>הכל</t>
        </is>
      </c>
      <c r="E90" s="17" t="n"/>
      <c r="F90" s="18" t="n"/>
      <c r="G90" s="18" t="n">
        <v>2</v>
      </c>
      <c r="H90" s="18" t="n">
        <v>2</v>
      </c>
      <c r="I90" s="8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8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8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8">
        <f>IF(OR(F90="",A90=""),"",MAX(0,F90-I90))</f>
        <v/>
      </c>
      <c r="M90" s="8">
        <f>IF(OR(G90="",A90=""),"",MAX(0,G90-J90))</f>
        <v/>
      </c>
      <c r="N90" s="8">
        <f>IF(OR(H90="",A90=""),"",MAX(0,H90-K90))</f>
        <v/>
      </c>
      <c r="O90" s="17" t="n"/>
    </row>
    <row r="91">
      <c r="A91" s="19" t="inlineStr">
        <is>
          <t>CMM 10*10</t>
        </is>
      </c>
      <c r="B91" s="19" t="n"/>
      <c r="C91" s="19" t="inlineStr">
        <is>
          <t>מיוער</t>
        </is>
      </c>
      <c r="D91" s="19" t="inlineStr">
        <is>
          <t>הכל</t>
        </is>
      </c>
      <c r="E91" s="19" t="n"/>
      <c r="F91" s="20" t="n"/>
      <c r="G91" s="20" t="n">
        <v>2</v>
      </c>
      <c r="H91" s="20" t="n">
        <v>2</v>
      </c>
      <c r="I91" s="9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9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9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9">
        <f>IF(OR(F91="",A91=""),"",MAX(0,F91-I91))</f>
        <v/>
      </c>
      <c r="M91" s="9">
        <f>IF(OR(G91="",A91=""),"",MAX(0,G91-J91))</f>
        <v/>
      </c>
      <c r="N91" s="9">
        <f>IF(OR(H91="",A91=""),"",MAX(0,H91-K91))</f>
        <v/>
      </c>
      <c r="O91" s="19" t="n"/>
    </row>
    <row r="92">
      <c r="A92" s="17" t="inlineStr">
        <is>
          <t>Zodiac Shore Cover</t>
        </is>
      </c>
      <c r="B92" s="17" t="n"/>
      <c r="C92" s="17" t="inlineStr">
        <is>
          <t>ימי</t>
        </is>
      </c>
      <c r="D92" s="17" t="n"/>
      <c r="E92" s="17" t="n"/>
      <c r="F92" s="18" t="n"/>
      <c r="G92" s="18" t="n">
        <v>2</v>
      </c>
      <c r="H92" s="18" t="n">
        <v>2</v>
      </c>
      <c r="I92" s="8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8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8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8">
        <f>IF(OR(F92="",A92=""),"",MAX(0,F92-I92))</f>
        <v/>
      </c>
      <c r="M92" s="8">
        <f>IF(OR(G92="",A92=""),"",MAX(0,G92-J92))</f>
        <v/>
      </c>
      <c r="N92" s="8">
        <f>IF(OR(H92="",A92=""),"",MAX(0,H92-K92))</f>
        <v/>
      </c>
      <c r="O92" s="17" t="n"/>
    </row>
    <row r="93">
      <c r="A93" s="19" t="inlineStr">
        <is>
          <t>MRZR cover</t>
        </is>
      </c>
      <c r="B93" s="19" t="n"/>
      <c r="C93" s="19" t="inlineStr">
        <is>
          <t>מיוער</t>
        </is>
      </c>
      <c r="D93" s="19" t="inlineStr">
        <is>
          <t>מיוער</t>
        </is>
      </c>
      <c r="E93" s="19" t="n"/>
      <c r="F93" s="20" t="n"/>
      <c r="G93" s="20" t="n">
        <v>2</v>
      </c>
      <c r="H93" s="20" t="n">
        <v>2</v>
      </c>
      <c r="I93" s="9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9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9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9">
        <f>IF(OR(F93="",A93=""),"",MAX(0,F93-I93))</f>
        <v/>
      </c>
      <c r="M93" s="9">
        <f>IF(OR(G93="",A93=""),"",MAX(0,G93-J93))</f>
        <v/>
      </c>
      <c r="N93" s="9">
        <f>IF(OR(H93="",A93=""),"",MAX(0,H93-K93))</f>
        <v/>
      </c>
      <c r="O93" s="19" t="n"/>
    </row>
    <row r="94">
      <c r="A94" s="17" t="inlineStr">
        <is>
          <t>Blackout hood</t>
        </is>
      </c>
      <c r="B94" s="17" t="n"/>
      <c r="C94" s="17" t="n"/>
      <c r="D94" s="17" t="n"/>
      <c r="E94" s="17" t="n"/>
      <c r="F94" s="18" t="n">
        <v>1</v>
      </c>
      <c r="G94" s="18" t="n">
        <v>2</v>
      </c>
      <c r="H94" s="18" t="n">
        <v>2</v>
      </c>
      <c r="I94" s="8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8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8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8">
        <f>IF(OR(F94="",A94=""),"",MAX(0,F94-I94))</f>
        <v/>
      </c>
      <c r="M94" s="8">
        <f>IF(OR(G94="",A94=""),"",MAX(0,G94-J94))</f>
        <v/>
      </c>
      <c r="N94" s="8">
        <f>IF(OR(H94="",A94=""),"",MAX(0,H94-K94))</f>
        <v/>
      </c>
      <c r="O94" s="17" t="n"/>
    </row>
    <row r="95">
      <c r="A95" s="19" t="inlineStr">
        <is>
          <t>Thermal drone landing pad</t>
        </is>
      </c>
      <c r="B95" s="19" t="n"/>
      <c r="C95" s="19" t="n"/>
      <c r="D95" s="19" t="n"/>
      <c r="E95" s="19" t="n"/>
      <c r="F95" s="20" t="n">
        <v>1</v>
      </c>
      <c r="G95" s="20" t="n">
        <v>2</v>
      </c>
      <c r="H95" s="20" t="n">
        <v>2</v>
      </c>
      <c r="I95" s="9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9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9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9">
        <f>IF(OR(F95="",A95=""),"",MAX(0,F95-I95))</f>
        <v/>
      </c>
      <c r="M95" s="9">
        <f>IF(OR(G95="",A95=""),"",MAX(0,G95-J95))</f>
        <v/>
      </c>
      <c r="N95" s="9">
        <f>IF(OR(H95="",A95=""),"",MAX(0,H95-K95))</f>
        <v/>
      </c>
      <c r="O95" s="19" t="inlineStr">
        <is>
          <t>גודל 110</t>
        </is>
      </c>
    </row>
    <row r="96">
      <c r="A96" s="17" t="inlineStr">
        <is>
          <t>Thermal drone landing pad</t>
        </is>
      </c>
      <c r="B96" s="17" t="n"/>
      <c r="C96" s="17" t="n"/>
      <c r="D96" s="17" t="n"/>
      <c r="E96" s="17" t="n"/>
      <c r="F96" s="18" t="n">
        <v>1</v>
      </c>
      <c r="G96" s="18" t="n">
        <v>2</v>
      </c>
      <c r="H96" s="18" t="n">
        <v>2</v>
      </c>
      <c r="I96" s="8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8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8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8">
        <f>IF(OR(F96="",A96=""),"",MAX(0,F96-I96))</f>
        <v/>
      </c>
      <c r="M96" s="8">
        <f>IF(OR(G96="",A96=""),"",MAX(0,G96-J96))</f>
        <v/>
      </c>
      <c r="N96" s="8">
        <f>IF(OR(H96="",A96=""),"",MAX(0,H96-K96))</f>
        <v/>
      </c>
      <c r="O96" s="17" t="inlineStr">
        <is>
          <t>גודל 70</t>
        </is>
      </c>
    </row>
    <row r="97">
      <c r="A97" s="19" t="inlineStr">
        <is>
          <t>Bag cover 90L</t>
        </is>
      </c>
      <c r="B97" s="19" t="n"/>
      <c r="C97" s="19" t="inlineStr">
        <is>
          <t>מיוער</t>
        </is>
      </c>
      <c r="D97" s="19" t="inlineStr">
        <is>
          <t>מיוער</t>
        </is>
      </c>
      <c r="E97" s="19" t="n"/>
      <c r="F97" s="20" t="n">
        <v>1</v>
      </c>
      <c r="G97" s="20" t="n">
        <v>2</v>
      </c>
      <c r="H97" s="20" t="n">
        <v>2</v>
      </c>
      <c r="I97" s="9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9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9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9">
        <f>IF(OR(F97="",A97=""),"",MAX(0,F97-I97))</f>
        <v/>
      </c>
      <c r="M97" s="9">
        <f>IF(OR(G97="",A97=""),"",MAX(0,G97-J97))</f>
        <v/>
      </c>
      <c r="N97" s="9">
        <f>IF(OR(H97="",A97=""),"",MAX(0,H97-K97))</f>
        <v/>
      </c>
      <c r="O97" s="19" t="n"/>
    </row>
    <row r="98">
      <c r="A98" s="17" t="inlineStr">
        <is>
          <t>Weapon Wraps</t>
        </is>
      </c>
      <c r="B98" s="17" t="n"/>
      <c r="C98" s="17" t="inlineStr">
        <is>
          <t>מיוער</t>
        </is>
      </c>
      <c r="D98" s="17" t="n"/>
      <c r="E98" s="17" t="n"/>
      <c r="F98" s="18" t="n">
        <v>10</v>
      </c>
      <c r="G98" s="18" t="n">
        <v>10</v>
      </c>
      <c r="H98" s="18" t="n">
        <v>2</v>
      </c>
      <c r="I98" s="8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8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8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8">
        <f>IF(OR(F98="",A98=""),"",MAX(0,F98-I98))</f>
        <v/>
      </c>
      <c r="M98" s="8">
        <f>IF(OR(G98="",A98=""),"",MAX(0,G98-J98))</f>
        <v/>
      </c>
      <c r="N98" s="8">
        <f>IF(OR(H98="",A98=""),"",MAX(0,H98-K98))</f>
        <v/>
      </c>
      <c r="O98" s="17" t="n"/>
    </row>
    <row r="99">
      <c r="A99" s="19" t="inlineStr">
        <is>
          <t>Loki</t>
        </is>
      </c>
      <c r="B99" s="19" t="n"/>
      <c r="C99" s="19" t="inlineStr">
        <is>
          <t>מיוער</t>
        </is>
      </c>
      <c r="D99" s="19" t="n"/>
      <c r="E99" s="19" t="n"/>
      <c r="F99" s="20" t="n">
        <v>1</v>
      </c>
      <c r="G99" s="20" t="n">
        <v>2</v>
      </c>
      <c r="H99" s="20" t="n">
        <v>2</v>
      </c>
      <c r="I99" s="9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9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9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9">
        <f>IF(OR(F99="",A99=""),"",MAX(0,F99-I99))</f>
        <v/>
      </c>
      <c r="M99" s="9">
        <f>IF(OR(G99="",A99=""),"",MAX(0,G99-J99))</f>
        <v/>
      </c>
      <c r="N99" s="9">
        <f>IF(OR(H99="",A99=""),"",MAX(0,H99-K99))</f>
        <v/>
      </c>
      <c r="O99" s="19" t="inlineStr">
        <is>
          <t>?</t>
        </is>
      </c>
    </row>
    <row r="100">
      <c r="A100" s="17" t="inlineStr">
        <is>
          <t>May Long Shirt</t>
        </is>
      </c>
      <c r="B100" s="17" t="n"/>
      <c r="C100" s="17" t="inlineStr">
        <is>
          <t>מיוער</t>
        </is>
      </c>
      <c r="D100" s="17" t="inlineStr">
        <is>
          <t>מיוער</t>
        </is>
      </c>
      <c r="E100" s="17" t="n"/>
      <c r="F100" s="18" t="n"/>
      <c r="G100" s="18" t="n">
        <v>1</v>
      </c>
      <c r="H100" s="18" t="n">
        <v>1</v>
      </c>
      <c r="I100" s="8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8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8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8">
        <f>IF(OR(F100="",A100=""),"",MAX(0,F100-I100))</f>
        <v/>
      </c>
      <c r="M100" s="8">
        <f>IF(OR(G100="",A100=""),"",MAX(0,G100-J100))</f>
        <v/>
      </c>
      <c r="N100" s="8">
        <f>IF(OR(H100="",A100=""),"",MAX(0,H100-K100))</f>
        <v/>
      </c>
      <c r="O100" s="17" t="n"/>
    </row>
    <row r="101">
      <c r="A101" s="19" t="inlineStr">
        <is>
          <t>HS Floor</t>
        </is>
      </c>
      <c r="B101" s="19" t="n"/>
      <c r="C101" s="19" t="inlineStr">
        <is>
          <t>מיוער</t>
        </is>
      </c>
      <c r="D101" s="19" t="inlineStr">
        <is>
          <t>מיוער</t>
        </is>
      </c>
      <c r="E101" s="19" t="n"/>
      <c r="F101" s="20" t="n">
        <v>1</v>
      </c>
      <c r="G101" s="20" t="n">
        <v>1</v>
      </c>
      <c r="H101" s="20" t="n">
        <v>1</v>
      </c>
      <c r="I101" s="9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9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9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9">
        <f>IF(OR(F101="",A101=""),"",MAX(0,F101-I101))</f>
        <v/>
      </c>
      <c r="M101" s="9">
        <f>IF(OR(G101="",A101=""),"",MAX(0,G101-J101))</f>
        <v/>
      </c>
      <c r="N101" s="9">
        <f>IF(OR(H101="",A101=""),"",MAX(0,H101-K101))</f>
        <v/>
      </c>
      <c r="O101" s="19" t="n"/>
    </row>
    <row r="102">
      <c r="A102" s="17" t="inlineStr">
        <is>
          <t>חלקים של עמדות</t>
        </is>
      </c>
      <c r="B102" s="17" t="n"/>
      <c r="C102" s="17" t="inlineStr">
        <is>
          <t>מיוער</t>
        </is>
      </c>
      <c r="D102" s="17" t="inlineStr">
        <is>
          <t>מיוער</t>
        </is>
      </c>
      <c r="E102" s="17" t="n"/>
      <c r="F102" s="18" t="n">
        <v>1</v>
      </c>
      <c r="G102" s="18" t="n">
        <v>2</v>
      </c>
      <c r="H102" s="18" t="n">
        <v>2</v>
      </c>
      <c r="I102" s="8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8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8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8">
        <f>IF(OR(F102="",A102=""),"",MAX(0,F102-I102))</f>
        <v/>
      </c>
      <c r="M102" s="8">
        <f>IF(OR(G102="",A102=""),"",MAX(0,G102-J102))</f>
        <v/>
      </c>
      <c r="N102" s="8">
        <f>IF(OR(H102="",A102=""),"",MAX(0,H102-K102))</f>
        <v/>
      </c>
      <c r="O102" s="17" t="n"/>
    </row>
    <row r="103">
      <c r="A103" s="19" t="inlineStr">
        <is>
          <t>GMV</t>
        </is>
      </c>
      <c r="B103" s="19" t="n"/>
      <c r="C103" s="19" t="inlineStr">
        <is>
          <t>מיוער</t>
        </is>
      </c>
      <c r="D103" s="19" t="inlineStr">
        <is>
          <t>הכל</t>
        </is>
      </c>
      <c r="E103" s="19" t="n"/>
      <c r="F103" s="20" t="n"/>
      <c r="G103" s="20" t="n">
        <v>1</v>
      </c>
      <c r="H103" s="20" t="n">
        <v>1</v>
      </c>
      <c r="I103" s="9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9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9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9">
        <f>IF(OR(F103="",A103=""),"",MAX(0,F103-I103))</f>
        <v/>
      </c>
      <c r="M103" s="9">
        <f>IF(OR(G103="",A103=""),"",MAX(0,G103-J103))</f>
        <v/>
      </c>
      <c r="N103" s="9">
        <f>IF(OR(H103="",A103=""),"",MAX(0,H103-K103))</f>
        <v/>
      </c>
      <c r="O103" s="19" t="n"/>
    </row>
    <row r="104">
      <c r="A104" s="17" t="n"/>
      <c r="B104" s="17" t="n"/>
      <c r="C104" s="17" t="n"/>
      <c r="D104" s="17" t="n"/>
      <c r="E104" s="17" t="n"/>
      <c r="F104" s="18" t="n"/>
      <c r="G104" s="18" t="n"/>
      <c r="H104" s="18" t="n"/>
      <c r="I104" s="8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8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8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8">
        <f>IF(OR(F104="",A104=""),"",MAX(0,F104-I104))</f>
        <v/>
      </c>
      <c r="M104" s="8">
        <f>IF(OR(G104="",A104=""),"",MAX(0,G104-J104))</f>
        <v/>
      </c>
      <c r="N104" s="8">
        <f>IF(OR(H104="",A104=""),"",MAX(0,H104-K104))</f>
        <v/>
      </c>
      <c r="O104" s="17" t="n"/>
    </row>
    <row r="105">
      <c r="A105" s="19" t="n"/>
      <c r="B105" s="19" t="n"/>
      <c r="C105" s="19" t="n"/>
      <c r="D105" s="19" t="n"/>
      <c r="E105" s="19" t="n"/>
      <c r="F105" s="20" t="n"/>
      <c r="G105" s="20" t="n"/>
      <c r="H105" s="20" t="n"/>
      <c r="I105" s="9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9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9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9">
        <f>IF(OR(F105="",A105=""),"",MAX(0,F105-I105))</f>
        <v/>
      </c>
      <c r="M105" s="9">
        <f>IF(OR(G105="",A105=""),"",MAX(0,G105-J105))</f>
        <v/>
      </c>
      <c r="N105" s="9">
        <f>IF(OR(H105="",A105=""),"",MAX(0,H105-K105))</f>
        <v/>
      </c>
      <c r="O105" s="19" t="n"/>
    </row>
    <row r="106">
      <c r="A106" s="17" t="n"/>
      <c r="B106" s="17" t="n"/>
      <c r="C106" s="17" t="n"/>
      <c r="D106" s="17" t="n"/>
      <c r="E106" s="17" t="n"/>
      <c r="F106" s="18" t="n"/>
      <c r="G106" s="18" t="n"/>
      <c r="H106" s="18" t="n"/>
      <c r="I106" s="8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8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8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8">
        <f>IF(OR(F106="",A106=""),"",MAX(0,F106-I106))</f>
        <v/>
      </c>
      <c r="M106" s="8">
        <f>IF(OR(G106="",A106=""),"",MAX(0,G106-J106))</f>
        <v/>
      </c>
      <c r="N106" s="8">
        <f>IF(OR(H106="",A106=""),"",MAX(0,H106-K106))</f>
        <v/>
      </c>
      <c r="O106" s="17" t="n"/>
    </row>
    <row r="107">
      <c r="A107" s="19" t="n"/>
      <c r="B107" s="19" t="n"/>
      <c r="C107" s="19" t="n"/>
      <c r="D107" s="19" t="n"/>
      <c r="E107" s="19" t="n"/>
      <c r="F107" s="20" t="n"/>
      <c r="G107" s="20" t="n"/>
      <c r="H107" s="20" t="n"/>
      <c r="I107" s="9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9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9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9">
        <f>IF(OR(F107="",A107=""),"",MAX(0,F107-I107))</f>
        <v/>
      </c>
      <c r="M107" s="9">
        <f>IF(OR(G107="",A107=""),"",MAX(0,G107-J107))</f>
        <v/>
      </c>
      <c r="N107" s="9">
        <f>IF(OR(H107="",A107=""),"",MAX(0,H107-K107))</f>
        <v/>
      </c>
      <c r="O107" s="19" t="n"/>
    </row>
    <row r="108">
      <c r="A108" s="17" t="n"/>
      <c r="B108" s="17" t="n"/>
      <c r="C108" s="17" t="n"/>
      <c r="D108" s="17" t="n"/>
      <c r="E108" s="17" t="n"/>
      <c r="F108" s="18" t="n"/>
      <c r="G108" s="18" t="n"/>
      <c r="H108" s="18" t="n"/>
      <c r="I108" s="8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8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8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8">
        <f>IF(OR(F108="",A108=""),"",MAX(0,F108-I108))</f>
        <v/>
      </c>
      <c r="M108" s="8">
        <f>IF(OR(G108="",A108=""),"",MAX(0,G108-J108))</f>
        <v/>
      </c>
      <c r="N108" s="8">
        <f>IF(OR(H108="",A108=""),"",MAX(0,H108-K108))</f>
        <v/>
      </c>
      <c r="O108" s="17" t="n"/>
    </row>
    <row r="109">
      <c r="A109" s="19" t="n"/>
      <c r="B109" s="19" t="n"/>
      <c r="C109" s="19" t="n"/>
      <c r="D109" s="19" t="n"/>
      <c r="E109" s="19" t="n"/>
      <c r="F109" s="20" t="n"/>
      <c r="G109" s="20" t="n"/>
      <c r="H109" s="20" t="n"/>
      <c r="I109" s="9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9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9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9">
        <f>IF(OR(F109="",A109=""),"",MAX(0,F109-I109))</f>
        <v/>
      </c>
      <c r="M109" s="9">
        <f>IF(OR(G109="",A109=""),"",MAX(0,G109-J109))</f>
        <v/>
      </c>
      <c r="N109" s="9">
        <f>IF(OR(H109="",A109=""),"",MAX(0,H109-K109))</f>
        <v/>
      </c>
      <c r="O109" s="19" t="n"/>
    </row>
    <row r="110">
      <c r="A110" s="17" t="n"/>
      <c r="B110" s="17" t="n"/>
      <c r="C110" s="17" t="n"/>
      <c r="D110" s="17" t="n"/>
      <c r="E110" s="17" t="n"/>
      <c r="F110" s="18" t="n"/>
      <c r="G110" s="18" t="n"/>
      <c r="H110" s="18" t="n"/>
      <c r="I110" s="8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8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8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8">
        <f>IF(OR(F110="",A110=""),"",MAX(0,F110-I110))</f>
        <v/>
      </c>
      <c r="M110" s="8">
        <f>IF(OR(G110="",A110=""),"",MAX(0,G110-J110))</f>
        <v/>
      </c>
      <c r="N110" s="8">
        <f>IF(OR(H110="",A110=""),"",MAX(0,H110-K110))</f>
        <v/>
      </c>
      <c r="O110" s="17" t="n"/>
    </row>
    <row r="111">
      <c r="A111" s="19" t="n"/>
      <c r="B111" s="19" t="n"/>
      <c r="C111" s="19" t="n"/>
      <c r="D111" s="19" t="n"/>
      <c r="E111" s="19" t="n"/>
      <c r="F111" s="20" t="n"/>
      <c r="G111" s="20" t="n"/>
      <c r="H111" s="20" t="n"/>
      <c r="I111" s="9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9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9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9">
        <f>IF(OR(F111="",A111=""),"",MAX(0,F111-I111))</f>
        <v/>
      </c>
      <c r="M111" s="9">
        <f>IF(OR(G111="",A111=""),"",MAX(0,G111-J111))</f>
        <v/>
      </c>
      <c r="N111" s="9">
        <f>IF(OR(H111="",A111=""),"",MAX(0,H111-K111))</f>
        <v/>
      </c>
      <c r="O111" s="19" t="n"/>
    </row>
    <row r="112">
      <c r="A112" s="17" t="n"/>
      <c r="B112" s="17" t="n"/>
      <c r="C112" s="17" t="n"/>
      <c r="D112" s="17" t="n"/>
      <c r="E112" s="17" t="n"/>
      <c r="F112" s="18" t="n"/>
      <c r="G112" s="18" t="n"/>
      <c r="H112" s="18" t="n"/>
      <c r="I112" s="8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8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8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8">
        <f>IF(OR(F112="",A112=""),"",MAX(0,F112-I112))</f>
        <v/>
      </c>
      <c r="M112" s="8">
        <f>IF(OR(G112="",A112=""),"",MAX(0,G112-J112))</f>
        <v/>
      </c>
      <c r="N112" s="8">
        <f>IF(OR(H112="",A112=""),"",MAX(0,H112-K112))</f>
        <v/>
      </c>
      <c r="O112" s="17" t="n"/>
    </row>
    <row r="113">
      <c r="A113" s="19" t="n"/>
      <c r="B113" s="19" t="n"/>
      <c r="C113" s="19" t="n"/>
      <c r="D113" s="19" t="n"/>
      <c r="E113" s="19" t="n"/>
      <c r="F113" s="20" t="n"/>
      <c r="G113" s="20" t="n"/>
      <c r="H113" s="20" t="n"/>
      <c r="I113" s="9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9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9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9">
        <f>IF(OR(F113="",A113=""),"",MAX(0,F113-I113))</f>
        <v/>
      </c>
      <c r="M113" s="9">
        <f>IF(OR(G113="",A113=""),"",MAX(0,G113-J113))</f>
        <v/>
      </c>
      <c r="N113" s="9">
        <f>IF(OR(H113="",A113=""),"",MAX(0,H113-K113))</f>
        <v/>
      </c>
      <c r="O113" s="19" t="n"/>
    </row>
    <row r="114">
      <c r="A114" s="17" t="n"/>
      <c r="B114" s="17" t="n"/>
      <c r="C114" s="17" t="n"/>
      <c r="D114" s="17" t="n"/>
      <c r="E114" s="17" t="n"/>
      <c r="F114" s="18" t="n"/>
      <c r="G114" s="18" t="n"/>
      <c r="H114" s="18" t="n"/>
      <c r="I114" s="8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8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8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8">
        <f>IF(OR(F114="",A114=""),"",MAX(0,F114-I114))</f>
        <v/>
      </c>
      <c r="M114" s="8">
        <f>IF(OR(G114="",A114=""),"",MAX(0,G114-J114))</f>
        <v/>
      </c>
      <c r="N114" s="8">
        <f>IF(OR(H114="",A114=""),"",MAX(0,H114-K114))</f>
        <v/>
      </c>
      <c r="O114" s="17" t="n"/>
    </row>
    <row r="115">
      <c r="A115" s="19" t="n"/>
      <c r="B115" s="19" t="n"/>
      <c r="C115" s="19" t="n"/>
      <c r="D115" s="19" t="n"/>
      <c r="E115" s="19" t="n"/>
      <c r="F115" s="20" t="n"/>
      <c r="G115" s="20" t="n"/>
      <c r="H115" s="20" t="n"/>
      <c r="I115" s="9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9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9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9">
        <f>IF(OR(F115="",A115=""),"",MAX(0,F115-I115))</f>
        <v/>
      </c>
      <c r="M115" s="9">
        <f>IF(OR(G115="",A115=""),"",MAX(0,G115-J115))</f>
        <v/>
      </c>
      <c r="N115" s="9">
        <f>IF(OR(H115="",A115=""),"",MAX(0,H115-K115))</f>
        <v/>
      </c>
      <c r="O115" s="19" t="n"/>
    </row>
    <row r="116">
      <c r="A116" s="17" t="n"/>
      <c r="B116" s="17" t="n"/>
      <c r="C116" s="17" t="n"/>
      <c r="D116" s="17" t="n"/>
      <c r="E116" s="17" t="n"/>
      <c r="F116" s="18" t="n"/>
      <c r="G116" s="18" t="n"/>
      <c r="H116" s="18" t="n"/>
      <c r="I116" s="8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8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8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8">
        <f>IF(OR(F116="",A116=""),"",MAX(0,F116-I116))</f>
        <v/>
      </c>
      <c r="M116" s="8">
        <f>IF(OR(G116="",A116=""),"",MAX(0,G116-J116))</f>
        <v/>
      </c>
      <c r="N116" s="8">
        <f>IF(OR(H116="",A116=""),"",MAX(0,H116-K116))</f>
        <v/>
      </c>
      <c r="O116" s="17" t="n"/>
    </row>
    <row r="117">
      <c r="A117" s="19" t="n"/>
      <c r="B117" s="19" t="n"/>
      <c r="C117" s="19" t="n"/>
      <c r="D117" s="19" t="n"/>
      <c r="E117" s="19" t="n"/>
      <c r="F117" s="20" t="n"/>
      <c r="G117" s="20" t="n"/>
      <c r="H117" s="20" t="n"/>
      <c r="I117" s="9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9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9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9">
        <f>IF(OR(F117="",A117=""),"",MAX(0,F117-I117))</f>
        <v/>
      </c>
      <c r="M117" s="9">
        <f>IF(OR(G117="",A117=""),"",MAX(0,G117-J117))</f>
        <v/>
      </c>
      <c r="N117" s="9">
        <f>IF(OR(H117="",A117=""),"",MAX(0,H117-K117))</f>
        <v/>
      </c>
      <c r="O117" s="19" t="n"/>
    </row>
    <row r="118">
      <c r="A118" s="17" t="n"/>
      <c r="B118" s="17" t="n"/>
      <c r="C118" s="17" t="n"/>
      <c r="D118" s="17" t="n"/>
      <c r="E118" s="17" t="n"/>
      <c r="F118" s="18" t="n"/>
      <c r="G118" s="18" t="n"/>
      <c r="H118" s="18" t="n"/>
      <c r="I118" s="8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8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8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8">
        <f>IF(OR(F118="",A118=""),"",MAX(0,F118-I118))</f>
        <v/>
      </c>
      <c r="M118" s="8">
        <f>IF(OR(G118="",A118=""),"",MAX(0,G118-J118))</f>
        <v/>
      </c>
      <c r="N118" s="8">
        <f>IF(OR(H118="",A118=""),"",MAX(0,H118-K118))</f>
        <v/>
      </c>
      <c r="O118" s="17" t="n"/>
    </row>
    <row r="119">
      <c r="A119" s="19" t="n"/>
      <c r="B119" s="19" t="n"/>
      <c r="C119" s="19" t="n"/>
      <c r="D119" s="19" t="n"/>
      <c r="E119" s="19" t="n"/>
      <c r="F119" s="20" t="n"/>
      <c r="G119" s="20" t="n"/>
      <c r="H119" s="20" t="n"/>
      <c r="I119" s="9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9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9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9">
        <f>IF(OR(F119="",A119=""),"",MAX(0,F119-I119))</f>
        <v/>
      </c>
      <c r="M119" s="9">
        <f>IF(OR(G119="",A119=""),"",MAX(0,G119-J119))</f>
        <v/>
      </c>
      <c r="N119" s="9">
        <f>IF(OR(H119="",A119=""),"",MAX(0,H119-K119))</f>
        <v/>
      </c>
      <c r="O119" s="19" t="n"/>
    </row>
    <row r="120">
      <c r="A120" s="17" t="n"/>
      <c r="B120" s="17" t="n"/>
      <c r="C120" s="17" t="n"/>
      <c r="D120" s="17" t="n"/>
      <c r="E120" s="17" t="n"/>
      <c r="F120" s="18" t="n"/>
      <c r="G120" s="18" t="n"/>
      <c r="H120" s="18" t="n"/>
      <c r="I120" s="8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8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8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8">
        <f>IF(OR(F120="",A120=""),"",MAX(0,F120-I120))</f>
        <v/>
      </c>
      <c r="M120" s="8">
        <f>IF(OR(G120="",A120=""),"",MAX(0,G120-J120))</f>
        <v/>
      </c>
      <c r="N120" s="8">
        <f>IF(OR(H120="",A120=""),"",MAX(0,H120-K120))</f>
        <v/>
      </c>
      <c r="O120" s="17" t="n"/>
    </row>
    <row r="121">
      <c r="A121" s="19" t="n"/>
      <c r="B121" s="19" t="n"/>
      <c r="C121" s="19" t="n"/>
      <c r="D121" s="19" t="n"/>
      <c r="E121" s="19" t="n"/>
      <c r="F121" s="20" t="n"/>
      <c r="G121" s="20" t="n"/>
      <c r="H121" s="20" t="n"/>
      <c r="I121" s="9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9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9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9">
        <f>IF(OR(F121="",A121=""),"",MAX(0,F121-I121))</f>
        <v/>
      </c>
      <c r="M121" s="9">
        <f>IF(OR(G121="",A121=""),"",MAX(0,G121-J121))</f>
        <v/>
      </c>
      <c r="N121" s="9">
        <f>IF(OR(H121="",A121=""),"",MAX(0,H121-K121))</f>
        <v/>
      </c>
      <c r="O121" s="1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0">
      <formula>L2&gt;0</formula>
    </cfRule>
  </conditionalFormatting>
  <conditionalFormatting sqref="M2:M121">
    <cfRule type="expression" priority="2" dxfId="0">
      <formula>M2&gt;0</formula>
    </cfRule>
  </conditionalFormatting>
  <conditionalFormatting sqref="N2:N121">
    <cfRule type="expression" priority="3" dxfId="0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23" t="inlineStr">
        <is>
          <t>ריכוז רצוי מול מצוי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</row>
    <row r="3">
      <c r="A3" s="24" t="inlineStr">
        <is>
          <t>שורות:</t>
        </is>
      </c>
      <c r="B3" s="25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</f>
        <v/>
      </c>
      <c r="C3" s="12" t="n"/>
      <c r="D3" s="24" t="inlineStr">
        <is>
          <t>סה"כ יעדים:</t>
        </is>
      </c>
      <c r="E3" s="25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רצוי'!$F$2:$F$121)+SUMPRODUCT(('מלאי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רצוי'!$G$2:$G$121)+SUMPRODUCT(('מלאי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רצוי'!$H$2:$H$121)</f>
        <v/>
      </c>
      <c r="F3" s="12" t="n"/>
      <c r="G3" s="26" t="inlineStr">
        <is>
          <t>סה"כ פערים:</t>
        </is>
      </c>
      <c r="H3" s="27">
        <f>SUMPRODUCT((A6:A125&lt;&gt;"")*L6:L125)+SUMPRODUCT((A6:A125&lt;&gt;"")*M6:M125)+SUMPRODUCT((A6:A125&lt;&gt;"")*N6:N125)</f>
        <v/>
      </c>
      <c r="I3" s="12" t="n"/>
      <c r="J3" s="24" t="inlineStr">
        <is>
          <t>% מילוי:</t>
        </is>
      </c>
      <c r="K3" s="11">
        <f>IF(E3=0,"—",TEXT(1-H3/E3,"0%"))</f>
        <v/>
      </c>
      <c r="L3" s="12" t="n"/>
      <c r="M3" s="12" t="n"/>
      <c r="N3" s="12" t="n"/>
      <c r="O3" s="12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>
      <c r="A5" s="7" t="inlineStr">
        <is>
          <t>שם מוצר</t>
        </is>
      </c>
      <c r="B5" s="7" t="inlineStr">
        <is>
          <t>סביבה</t>
        </is>
      </c>
      <c r="C5" s="7" t="inlineStr">
        <is>
          <t>סביבה צד שני</t>
        </is>
      </c>
      <c r="D5" s="7" t="inlineStr">
        <is>
          <t>סוג בד</t>
        </is>
      </c>
      <c r="E5" s="7" t="inlineStr">
        <is>
          <t>יעד תצוגה</t>
        </is>
      </c>
      <c r="F5" s="7" t="inlineStr">
        <is>
          <t>יעד תיק</t>
        </is>
      </c>
      <c r="G5" s="7" t="inlineStr">
        <is>
          <t>יעד השאלות</t>
        </is>
      </c>
      <c r="H5" s="7" t="inlineStr">
        <is>
          <t>מצוי תצוגה</t>
        </is>
      </c>
      <c r="I5" s="7" t="inlineStr">
        <is>
          <t>מצוי תיק</t>
        </is>
      </c>
      <c r="J5" s="7" t="inlineStr">
        <is>
          <t>מצוי השאלות</t>
        </is>
      </c>
      <c r="K5" s="7" t="inlineStr">
        <is>
          <t>מצוי סה"כ</t>
        </is>
      </c>
      <c r="L5" s="7" t="inlineStr">
        <is>
          <t>פער תצוגה</t>
        </is>
      </c>
      <c r="M5" s="7" t="inlineStr">
        <is>
          <t>פער תיק</t>
        </is>
      </c>
      <c r="N5" s="7" t="inlineStr">
        <is>
          <t>פער השאלות</t>
        </is>
      </c>
      <c r="O5" s="7" t="inlineStr">
        <is>
          <t>הערות</t>
        </is>
      </c>
      <c r="P5" s="7" t="inlineStr">
        <is>
          <t>row_ref</t>
        </is>
      </c>
    </row>
    <row r="6">
      <c r="A6" s="8">
        <f>IF($P6="","",INDEX('מלאי רצוי'!$A$2:$A$121,$P6))</f>
        <v/>
      </c>
      <c r="B6" s="8">
        <f>IF($P6="","",INDEX('מלאי רצוי'!$C$2:$C$121,$P6))</f>
        <v/>
      </c>
      <c r="C6" s="8">
        <f>IF($P6="","",INDEX('מלאי רצוי'!$D$2:$D$121,$P6))</f>
        <v/>
      </c>
      <c r="D6" s="8">
        <f>IF($P6="","",INDEX('מלאי רצוי'!$E$2:$E$121,$P6))</f>
        <v/>
      </c>
      <c r="E6" s="29">
        <f>IF($P6="","",INDEX('מלאי רצוי'!$F$2:$F$121,$P6))</f>
        <v/>
      </c>
      <c r="F6" s="29">
        <f>IF($P6="","",INDEX('מלאי רצוי'!$G$2:$G$121,$P6))</f>
        <v/>
      </c>
      <c r="G6" s="29">
        <f>IF($P6="","",INDEX('מלאי רצוי'!$H$2:$H$121,$P6))</f>
        <v/>
      </c>
      <c r="H6" s="29">
        <f>IF($A6="","",IF($D6&lt;&gt;"",COUNTIFS(מלאי!$B$2:$B$500,$A6,מלאי!$G$2:$G$500,$D6,מלאי!$X$2:$X$500,"בחדר תצוגה"),COUNTIFS(מלאי!$B$2:$B$500,$A6,מלאי!$X$2:$X$500,"בחדר תצוגה")))</f>
        <v/>
      </c>
      <c r="I6" s="29">
        <f>IF($A6="","",IF($D6&lt;&gt;"",COUNTIFS(מלאי!$B$2:$B$500,$A6,מלאי!$G$2:$G$500,$D6,מלאי!$X$2:$X$500,"בתיק הדגמה"),COUNTIFS(מלאי!$B$2:$B$500,$A6,מלאי!$X$2:$X$500,"בתיק הדגמה")))</f>
        <v/>
      </c>
      <c r="J6" s="29">
        <f>IF($A6="","",IF($D6&lt;&gt;"",COUNTIFS(מלאי!$B$2:$B$500,$A6,מלאי!$G$2:$G$500,$D6,מלאי!$X$2:$X$500,"מושאל"),COUNTIFS(מלאי!$B$2:$B$500,$A6,מלאי!$X$2:$X$500,"מושאל")))</f>
        <v/>
      </c>
      <c r="K6" s="29">
        <f>IF($A6="","",IF($D6&lt;&gt;"",COUNTIFS(מלאי!$B$2:$B$500,$A6,מלאי!$G$2:$G$500,$D6,מלאי!$D$2:$D$500,"&lt;&gt;"),COUNTIFS(מלאי!$B$2:$B$500,$A6,מלאי!$D$2:$D$500,"&lt;&gt;")))</f>
        <v/>
      </c>
      <c r="L6" s="29">
        <f>IF(OR($A6="",$E6=""),"",MAX(0,E6-H6))</f>
        <v/>
      </c>
      <c r="M6" s="29">
        <f>IF(OR($A6="",$E6=""),"",MAX(0,F6-I6))</f>
        <v/>
      </c>
      <c r="N6" s="29">
        <f>IF(OR($A6="",$E6=""),"",MAX(0,G6-J6))</f>
        <v/>
      </c>
      <c r="O6" s="8">
        <f>IF($P6="","",INDEX('מלאי רצוי'!$O$2:$O$121,$P6))</f>
        <v/>
      </c>
      <c r="P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רצוי'!$A$2)+1,""),1),"")</f>
        <v/>
      </c>
    </row>
    <row r="7">
      <c r="A7" s="9">
        <f>IF($P7="","",INDEX('מלאי רצוי'!$A$2:$A$121,$P7))</f>
        <v/>
      </c>
      <c r="B7" s="9">
        <f>IF($P7="","",INDEX('מלאי רצוי'!$C$2:$C$121,$P7))</f>
        <v/>
      </c>
      <c r="C7" s="9">
        <f>IF($P7="","",INDEX('מלאי רצוי'!$D$2:$D$121,$P7))</f>
        <v/>
      </c>
      <c r="D7" s="9">
        <f>IF($P7="","",INDEX('מלאי רצוי'!$E$2:$E$121,$P7))</f>
        <v/>
      </c>
      <c r="E7" s="30">
        <f>IF($P7="","",INDEX('מלאי רצוי'!$F$2:$F$121,$P7))</f>
        <v/>
      </c>
      <c r="F7" s="30">
        <f>IF($P7="","",INDEX('מלאי רצוי'!$G$2:$G$121,$P7))</f>
        <v/>
      </c>
      <c r="G7" s="30">
        <f>IF($P7="","",INDEX('מלאי רצוי'!$H$2:$H$121,$P7))</f>
        <v/>
      </c>
      <c r="H7" s="30">
        <f>IF($A7="","",IF($D7&lt;&gt;"",COUNTIFS(מלאי!$B$2:$B$500,$A7,מלאי!$G$2:$G$500,$D7,מלאי!$X$2:$X$500,"בחדר תצוגה"),COUNTIFS(מלאי!$B$2:$B$500,$A7,מלאי!$X$2:$X$500,"בחדר תצוגה")))</f>
        <v/>
      </c>
      <c r="I7" s="30">
        <f>IF($A7="","",IF($D7&lt;&gt;"",COUNTIFS(מלאי!$B$2:$B$500,$A7,מלאי!$G$2:$G$500,$D7,מלאי!$X$2:$X$500,"בתיק הדגמה"),COUNTIFS(מלאי!$B$2:$B$500,$A7,מלאי!$X$2:$X$500,"בתיק הדגמה")))</f>
        <v/>
      </c>
      <c r="J7" s="30">
        <f>IF($A7="","",IF($D7&lt;&gt;"",COUNTIFS(מלאי!$B$2:$B$500,$A7,מלאי!$G$2:$G$500,$D7,מלאי!$X$2:$X$500,"מושאל"),COUNTIFS(מלאי!$B$2:$B$500,$A7,מלאי!$X$2:$X$500,"מושאל")))</f>
        <v/>
      </c>
      <c r="K7" s="30">
        <f>IF($A7="","",IF($D7&lt;&gt;"",COUNTIFS(מלאי!$B$2:$B$500,$A7,מלאי!$G$2:$G$500,$D7,מלאי!$D$2:$D$500,"&lt;&gt;"),COUNTIFS(מלאי!$B$2:$B$500,$A7,מלאי!$D$2:$D$500,"&lt;&gt;")))</f>
        <v/>
      </c>
      <c r="L7" s="30">
        <f>IF(OR($A7="",$E7=""),"",MAX(0,E7-H7))</f>
        <v/>
      </c>
      <c r="M7" s="30">
        <f>IF(OR($A7="",$E7=""),"",MAX(0,F7-I7))</f>
        <v/>
      </c>
      <c r="N7" s="30">
        <f>IF(OR($A7="",$E7=""),"",MAX(0,G7-J7))</f>
        <v/>
      </c>
      <c r="O7" s="9">
        <f>IF($P7="","",INDEX('מלאי רצוי'!$O$2:$O$121,$P7))</f>
        <v/>
      </c>
      <c r="P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רצוי'!$A$2)+1,""),2),"")</f>
        <v/>
      </c>
    </row>
    <row r="8">
      <c r="A8" s="8">
        <f>IF($P8="","",INDEX('מלאי רצוי'!$A$2:$A$121,$P8))</f>
        <v/>
      </c>
      <c r="B8" s="8">
        <f>IF($P8="","",INDEX('מלאי רצוי'!$C$2:$C$121,$P8))</f>
        <v/>
      </c>
      <c r="C8" s="8">
        <f>IF($P8="","",INDEX('מלאי רצוי'!$D$2:$D$121,$P8))</f>
        <v/>
      </c>
      <c r="D8" s="8">
        <f>IF($P8="","",INDEX('מלאי רצוי'!$E$2:$E$121,$P8))</f>
        <v/>
      </c>
      <c r="E8" s="29">
        <f>IF($P8="","",INDEX('מלאי רצוי'!$F$2:$F$121,$P8))</f>
        <v/>
      </c>
      <c r="F8" s="29">
        <f>IF($P8="","",INDEX('מלאי רצוי'!$G$2:$G$121,$P8))</f>
        <v/>
      </c>
      <c r="G8" s="29">
        <f>IF($P8="","",INDEX('מלאי רצוי'!$H$2:$H$121,$P8))</f>
        <v/>
      </c>
      <c r="H8" s="29">
        <f>IF($A8="","",IF($D8&lt;&gt;"",COUNTIFS(מלאי!$B$2:$B$500,$A8,מלאי!$G$2:$G$500,$D8,מלאי!$X$2:$X$500,"בחדר תצוגה"),COUNTIFS(מלאי!$B$2:$B$500,$A8,מלאי!$X$2:$X$500,"בחדר תצוגה")))</f>
        <v/>
      </c>
      <c r="I8" s="29">
        <f>IF($A8="","",IF($D8&lt;&gt;"",COUNTIFS(מלאי!$B$2:$B$500,$A8,מלאי!$G$2:$G$500,$D8,מלאי!$X$2:$X$500,"בתיק הדגמה"),COUNTIFS(מלאי!$B$2:$B$500,$A8,מלאי!$X$2:$X$500,"בתיק הדגמה")))</f>
        <v/>
      </c>
      <c r="J8" s="29">
        <f>IF($A8="","",IF($D8&lt;&gt;"",COUNTIFS(מלאי!$B$2:$B$500,$A8,מלאי!$G$2:$G$500,$D8,מלאי!$X$2:$X$500,"מושאל"),COUNTIFS(מלאי!$B$2:$B$500,$A8,מלאי!$X$2:$X$500,"מושאל")))</f>
        <v/>
      </c>
      <c r="K8" s="29">
        <f>IF($A8="","",IF($D8&lt;&gt;"",COUNTIFS(מלאי!$B$2:$B$500,$A8,מלאי!$G$2:$G$500,$D8,מלאי!$D$2:$D$500,"&lt;&gt;"),COUNTIFS(מלאי!$B$2:$B$500,$A8,מלאי!$D$2:$D$500,"&lt;&gt;")))</f>
        <v/>
      </c>
      <c r="L8" s="29">
        <f>IF(OR($A8="",$E8=""),"",MAX(0,E8-H8))</f>
        <v/>
      </c>
      <c r="M8" s="29">
        <f>IF(OR($A8="",$E8=""),"",MAX(0,F8-I8))</f>
        <v/>
      </c>
      <c r="N8" s="29">
        <f>IF(OR($A8="",$E8=""),"",MAX(0,G8-J8))</f>
        <v/>
      </c>
      <c r="O8" s="8">
        <f>IF($P8="","",INDEX('מלאי רצוי'!$O$2:$O$121,$P8))</f>
        <v/>
      </c>
      <c r="P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רצוי'!$A$2)+1,""),3),"")</f>
        <v/>
      </c>
    </row>
    <row r="9">
      <c r="A9" s="9">
        <f>IF($P9="","",INDEX('מלאי רצוי'!$A$2:$A$121,$P9))</f>
        <v/>
      </c>
      <c r="B9" s="9">
        <f>IF($P9="","",INDEX('מלאי רצוי'!$C$2:$C$121,$P9))</f>
        <v/>
      </c>
      <c r="C9" s="9">
        <f>IF($P9="","",INDEX('מלאי רצוי'!$D$2:$D$121,$P9))</f>
        <v/>
      </c>
      <c r="D9" s="9">
        <f>IF($P9="","",INDEX('מלאי רצוי'!$E$2:$E$121,$P9))</f>
        <v/>
      </c>
      <c r="E9" s="30">
        <f>IF($P9="","",INDEX('מלאי רצוי'!$F$2:$F$121,$P9))</f>
        <v/>
      </c>
      <c r="F9" s="30">
        <f>IF($P9="","",INDEX('מלאי רצוי'!$G$2:$G$121,$P9))</f>
        <v/>
      </c>
      <c r="G9" s="30">
        <f>IF($P9="","",INDEX('מלאי רצוי'!$H$2:$H$121,$P9))</f>
        <v/>
      </c>
      <c r="H9" s="30">
        <f>IF($A9="","",IF($D9&lt;&gt;"",COUNTIFS(מלאי!$B$2:$B$500,$A9,מלאי!$G$2:$G$500,$D9,מלאי!$X$2:$X$500,"בחדר תצוגה"),COUNTIFS(מלאי!$B$2:$B$500,$A9,מלאי!$X$2:$X$500,"בחדר תצוגה")))</f>
        <v/>
      </c>
      <c r="I9" s="30">
        <f>IF($A9="","",IF($D9&lt;&gt;"",COUNTIFS(מלאי!$B$2:$B$500,$A9,מלאי!$G$2:$G$500,$D9,מלאי!$X$2:$X$500,"בתיק הדגמה"),COUNTIFS(מלאי!$B$2:$B$500,$A9,מלאי!$X$2:$X$500,"בתיק הדגמה")))</f>
        <v/>
      </c>
      <c r="J9" s="30">
        <f>IF($A9="","",IF($D9&lt;&gt;"",COUNTIFS(מלאי!$B$2:$B$500,$A9,מלאי!$G$2:$G$500,$D9,מלאי!$X$2:$X$500,"מושאל"),COUNTIFS(מלאי!$B$2:$B$500,$A9,מלאי!$X$2:$X$500,"מושאל")))</f>
        <v/>
      </c>
      <c r="K9" s="30">
        <f>IF($A9="","",IF($D9&lt;&gt;"",COUNTIFS(מלאי!$B$2:$B$500,$A9,מלאי!$G$2:$G$500,$D9,מלאי!$D$2:$D$500,"&lt;&gt;"),COUNTIFS(מלאי!$B$2:$B$500,$A9,מלאי!$D$2:$D$500,"&lt;&gt;")))</f>
        <v/>
      </c>
      <c r="L9" s="30">
        <f>IF(OR($A9="",$E9=""),"",MAX(0,E9-H9))</f>
        <v/>
      </c>
      <c r="M9" s="30">
        <f>IF(OR($A9="",$E9=""),"",MAX(0,F9-I9))</f>
        <v/>
      </c>
      <c r="N9" s="30">
        <f>IF(OR($A9="",$E9=""),"",MAX(0,G9-J9))</f>
        <v/>
      </c>
      <c r="O9" s="9">
        <f>IF($P9="","",INDEX('מלאי רצוי'!$O$2:$O$121,$P9))</f>
        <v/>
      </c>
      <c r="P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רצוי'!$A$2)+1,""),4),"")</f>
        <v/>
      </c>
    </row>
    <row r="10">
      <c r="A10" s="8">
        <f>IF($P10="","",INDEX('מלאי רצוי'!$A$2:$A$121,$P10))</f>
        <v/>
      </c>
      <c r="B10" s="8">
        <f>IF($P10="","",INDEX('מלאי רצוי'!$C$2:$C$121,$P10))</f>
        <v/>
      </c>
      <c r="C10" s="8">
        <f>IF($P10="","",INDEX('מלאי רצוי'!$D$2:$D$121,$P10))</f>
        <v/>
      </c>
      <c r="D10" s="8">
        <f>IF($P10="","",INDEX('מלאי רצוי'!$E$2:$E$121,$P10))</f>
        <v/>
      </c>
      <c r="E10" s="29">
        <f>IF($P10="","",INDEX('מלאי רצוי'!$F$2:$F$121,$P10))</f>
        <v/>
      </c>
      <c r="F10" s="29">
        <f>IF($P10="","",INDEX('מלאי רצוי'!$G$2:$G$121,$P10))</f>
        <v/>
      </c>
      <c r="G10" s="29">
        <f>IF($P10="","",INDEX('מלאי רצוי'!$H$2:$H$121,$P10))</f>
        <v/>
      </c>
      <c r="H10" s="29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29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29">
        <f>IF($A10="","",IF($D10&lt;&gt;"",COUNTIFS(מלאי!$B$2:$B$500,$A10,מלאי!$G$2:$G$500,$D10,מלאי!$X$2:$X$500,"מושאל"),COUNTIFS(מלאי!$B$2:$B$500,$A10,מלאי!$X$2:$X$500,"מושאל")))</f>
        <v/>
      </c>
      <c r="K10" s="29">
        <f>IF($A10="","",IF($D10&lt;&gt;"",COUNTIFS(מלאי!$B$2:$B$500,$A10,מלאי!$G$2:$G$500,$D10,מלאי!$D$2:$D$500,"&lt;&gt;"),COUNTIFS(מלאי!$B$2:$B$500,$A10,מלאי!$D$2:$D$500,"&lt;&gt;")))</f>
        <v/>
      </c>
      <c r="L10" s="29">
        <f>IF(OR($A10="",$E10=""),"",MAX(0,E10-H10))</f>
        <v/>
      </c>
      <c r="M10" s="29">
        <f>IF(OR($A10="",$E10=""),"",MAX(0,F10-I10))</f>
        <v/>
      </c>
      <c r="N10" s="29">
        <f>IF(OR($A10="",$E10=""),"",MAX(0,G10-J10))</f>
        <v/>
      </c>
      <c r="O10" s="8">
        <f>IF($P10="","",INDEX('מלאי רצוי'!$O$2:$O$121,$P10))</f>
        <v/>
      </c>
      <c r="P1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רצוי'!$A$2)+1,""),5),"")</f>
        <v/>
      </c>
    </row>
    <row r="11">
      <c r="A11" s="9">
        <f>IF($P11="","",INDEX('מלאי רצוי'!$A$2:$A$121,$P11))</f>
        <v/>
      </c>
      <c r="B11" s="9">
        <f>IF($P11="","",INDEX('מלאי רצוי'!$C$2:$C$121,$P11))</f>
        <v/>
      </c>
      <c r="C11" s="9">
        <f>IF($P11="","",INDEX('מלאי רצוי'!$D$2:$D$121,$P11))</f>
        <v/>
      </c>
      <c r="D11" s="9">
        <f>IF($P11="","",INDEX('מלאי רצוי'!$E$2:$E$121,$P11))</f>
        <v/>
      </c>
      <c r="E11" s="30">
        <f>IF($P11="","",INDEX('מלאי רצוי'!$F$2:$F$121,$P11))</f>
        <v/>
      </c>
      <c r="F11" s="30">
        <f>IF($P11="","",INDEX('מלאי רצוי'!$G$2:$G$121,$P11))</f>
        <v/>
      </c>
      <c r="G11" s="30">
        <f>IF($P11="","",INDEX('מלאי רצוי'!$H$2:$H$121,$P11))</f>
        <v/>
      </c>
      <c r="H11" s="30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0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0">
        <f>IF($A11="","",IF($D11&lt;&gt;"",COUNTIFS(מלאי!$B$2:$B$500,$A11,מלאי!$G$2:$G$500,$D11,מלאי!$X$2:$X$500,"מושאל"),COUNTIFS(מלאי!$B$2:$B$500,$A11,מלאי!$X$2:$X$500,"מושאל")))</f>
        <v/>
      </c>
      <c r="K11" s="30">
        <f>IF($A11="","",IF($D11&lt;&gt;"",COUNTIFS(מלאי!$B$2:$B$500,$A11,מלאי!$G$2:$G$500,$D11,מלאי!$D$2:$D$500,"&lt;&gt;"),COUNTIFS(מלאי!$B$2:$B$500,$A11,מלאי!$D$2:$D$500,"&lt;&gt;")))</f>
        <v/>
      </c>
      <c r="L11" s="30">
        <f>IF(OR($A11="",$E11=""),"",MAX(0,E11-H11))</f>
        <v/>
      </c>
      <c r="M11" s="30">
        <f>IF(OR($A11="",$E11=""),"",MAX(0,F11-I11))</f>
        <v/>
      </c>
      <c r="N11" s="30">
        <f>IF(OR($A11="",$E11=""),"",MAX(0,G11-J11))</f>
        <v/>
      </c>
      <c r="O11" s="9">
        <f>IF($P11="","",INDEX('מלאי רצוי'!$O$2:$O$121,$P11))</f>
        <v/>
      </c>
      <c r="P1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רצוי'!$A$2)+1,""),6),"")</f>
        <v/>
      </c>
    </row>
    <row r="12">
      <c r="A12" s="8">
        <f>IF($P12="","",INDEX('מלאי רצוי'!$A$2:$A$121,$P12))</f>
        <v/>
      </c>
      <c r="B12" s="8">
        <f>IF($P12="","",INDEX('מלאי רצוי'!$C$2:$C$121,$P12))</f>
        <v/>
      </c>
      <c r="C12" s="8">
        <f>IF($P12="","",INDEX('מלאי רצוי'!$D$2:$D$121,$P12))</f>
        <v/>
      </c>
      <c r="D12" s="8">
        <f>IF($P12="","",INDEX('מלאי רצוי'!$E$2:$E$121,$P12))</f>
        <v/>
      </c>
      <c r="E12" s="29">
        <f>IF($P12="","",INDEX('מלאי רצוי'!$F$2:$F$121,$P12))</f>
        <v/>
      </c>
      <c r="F12" s="29">
        <f>IF($P12="","",INDEX('מלאי רצוי'!$G$2:$G$121,$P12))</f>
        <v/>
      </c>
      <c r="G12" s="29">
        <f>IF($P12="","",INDEX('מלאי רצוי'!$H$2:$H$121,$P12))</f>
        <v/>
      </c>
      <c r="H12" s="29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29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29">
        <f>IF($A12="","",IF($D12&lt;&gt;"",COUNTIFS(מלאי!$B$2:$B$500,$A12,מלאי!$G$2:$G$500,$D12,מלאי!$X$2:$X$500,"מושאל"),COUNTIFS(מלאי!$B$2:$B$500,$A12,מלאי!$X$2:$X$500,"מושאל")))</f>
        <v/>
      </c>
      <c r="K12" s="29">
        <f>IF($A12="","",IF($D12&lt;&gt;"",COUNTIFS(מלאי!$B$2:$B$500,$A12,מלאי!$G$2:$G$500,$D12,מלאי!$D$2:$D$500,"&lt;&gt;"),COUNTIFS(מלאי!$B$2:$B$500,$A12,מלאי!$D$2:$D$500,"&lt;&gt;")))</f>
        <v/>
      </c>
      <c r="L12" s="29">
        <f>IF(OR($A12="",$E12=""),"",MAX(0,E12-H12))</f>
        <v/>
      </c>
      <c r="M12" s="29">
        <f>IF(OR($A12="",$E12=""),"",MAX(0,F12-I12))</f>
        <v/>
      </c>
      <c r="N12" s="29">
        <f>IF(OR($A12="",$E12=""),"",MAX(0,G12-J12))</f>
        <v/>
      </c>
      <c r="O12" s="8">
        <f>IF($P12="","",INDEX('מלאי רצוי'!$O$2:$O$121,$P12))</f>
        <v/>
      </c>
      <c r="P1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רצוי'!$A$2)+1,""),7),"")</f>
        <v/>
      </c>
    </row>
    <row r="13">
      <c r="A13" s="9">
        <f>IF($P13="","",INDEX('מלאי רצוי'!$A$2:$A$121,$P13))</f>
        <v/>
      </c>
      <c r="B13" s="9">
        <f>IF($P13="","",INDEX('מלאי רצוי'!$C$2:$C$121,$P13))</f>
        <v/>
      </c>
      <c r="C13" s="9">
        <f>IF($P13="","",INDEX('מלאי רצוי'!$D$2:$D$121,$P13))</f>
        <v/>
      </c>
      <c r="D13" s="9">
        <f>IF($P13="","",INDEX('מלאי רצוי'!$E$2:$E$121,$P13))</f>
        <v/>
      </c>
      <c r="E13" s="30">
        <f>IF($P13="","",INDEX('מלאי רצוי'!$F$2:$F$121,$P13))</f>
        <v/>
      </c>
      <c r="F13" s="30">
        <f>IF($P13="","",INDEX('מלאי רצוי'!$G$2:$G$121,$P13))</f>
        <v/>
      </c>
      <c r="G13" s="30">
        <f>IF($P13="","",INDEX('מלאי רצוי'!$H$2:$H$121,$P13))</f>
        <v/>
      </c>
      <c r="H13" s="30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0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0">
        <f>IF($A13="","",IF($D13&lt;&gt;"",COUNTIFS(מלאי!$B$2:$B$500,$A13,מלאי!$G$2:$G$500,$D13,מלאי!$X$2:$X$500,"מושאל"),COUNTIFS(מלאי!$B$2:$B$500,$A13,מלאי!$X$2:$X$500,"מושאל")))</f>
        <v/>
      </c>
      <c r="K13" s="30">
        <f>IF($A13="","",IF($D13&lt;&gt;"",COUNTIFS(מלאי!$B$2:$B$500,$A13,מלאי!$G$2:$G$500,$D13,מלאי!$D$2:$D$500,"&lt;&gt;"),COUNTIFS(מלאי!$B$2:$B$500,$A13,מלאי!$D$2:$D$500,"&lt;&gt;")))</f>
        <v/>
      </c>
      <c r="L13" s="30">
        <f>IF(OR($A13="",$E13=""),"",MAX(0,E13-H13))</f>
        <v/>
      </c>
      <c r="M13" s="30">
        <f>IF(OR($A13="",$E13=""),"",MAX(0,F13-I13))</f>
        <v/>
      </c>
      <c r="N13" s="30">
        <f>IF(OR($A13="",$E13=""),"",MAX(0,G13-J13))</f>
        <v/>
      </c>
      <c r="O13" s="9">
        <f>IF($P13="","",INDEX('מלאי רצוי'!$O$2:$O$121,$P13))</f>
        <v/>
      </c>
      <c r="P1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רצוי'!$A$2)+1,""),8),"")</f>
        <v/>
      </c>
    </row>
    <row r="14">
      <c r="A14" s="8">
        <f>IF($P14="","",INDEX('מלאי רצוי'!$A$2:$A$121,$P14))</f>
        <v/>
      </c>
      <c r="B14" s="8">
        <f>IF($P14="","",INDEX('מלאי רצוי'!$C$2:$C$121,$P14))</f>
        <v/>
      </c>
      <c r="C14" s="8">
        <f>IF($P14="","",INDEX('מלאי רצוי'!$D$2:$D$121,$P14))</f>
        <v/>
      </c>
      <c r="D14" s="8">
        <f>IF($P14="","",INDEX('מלאי רצוי'!$E$2:$E$121,$P14))</f>
        <v/>
      </c>
      <c r="E14" s="29">
        <f>IF($P14="","",INDEX('מלאי רצוי'!$F$2:$F$121,$P14))</f>
        <v/>
      </c>
      <c r="F14" s="29">
        <f>IF($P14="","",INDEX('מלאי רצוי'!$G$2:$G$121,$P14))</f>
        <v/>
      </c>
      <c r="G14" s="29">
        <f>IF($P14="","",INDEX('מלאי רצוי'!$H$2:$H$121,$P14))</f>
        <v/>
      </c>
      <c r="H14" s="29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29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29">
        <f>IF($A14="","",IF($D14&lt;&gt;"",COUNTIFS(מלאי!$B$2:$B$500,$A14,מלאי!$G$2:$G$500,$D14,מלאי!$X$2:$X$500,"מושאל"),COUNTIFS(מלאי!$B$2:$B$500,$A14,מלאי!$X$2:$X$500,"מושאל")))</f>
        <v/>
      </c>
      <c r="K14" s="29">
        <f>IF($A14="","",IF($D14&lt;&gt;"",COUNTIFS(מלאי!$B$2:$B$500,$A14,מלאי!$G$2:$G$500,$D14,מלאי!$D$2:$D$500,"&lt;&gt;"),COUNTIFS(מלאי!$B$2:$B$500,$A14,מלאי!$D$2:$D$500,"&lt;&gt;")))</f>
        <v/>
      </c>
      <c r="L14" s="29">
        <f>IF(OR($A14="",$E14=""),"",MAX(0,E14-H14))</f>
        <v/>
      </c>
      <c r="M14" s="29">
        <f>IF(OR($A14="",$E14=""),"",MAX(0,F14-I14))</f>
        <v/>
      </c>
      <c r="N14" s="29">
        <f>IF(OR($A14="",$E14=""),"",MAX(0,G14-J14))</f>
        <v/>
      </c>
      <c r="O14" s="8">
        <f>IF($P14="","",INDEX('מלאי רצוי'!$O$2:$O$121,$P14))</f>
        <v/>
      </c>
      <c r="P1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רצוי'!$A$2)+1,""),9),"")</f>
        <v/>
      </c>
    </row>
    <row r="15">
      <c r="A15" s="9">
        <f>IF($P15="","",INDEX('מלאי רצוי'!$A$2:$A$121,$P15))</f>
        <v/>
      </c>
      <c r="B15" s="9">
        <f>IF($P15="","",INDEX('מלאי רצוי'!$C$2:$C$121,$P15))</f>
        <v/>
      </c>
      <c r="C15" s="9">
        <f>IF($P15="","",INDEX('מלאי רצוי'!$D$2:$D$121,$P15))</f>
        <v/>
      </c>
      <c r="D15" s="9">
        <f>IF($P15="","",INDEX('מלאי רצוי'!$E$2:$E$121,$P15))</f>
        <v/>
      </c>
      <c r="E15" s="30">
        <f>IF($P15="","",INDEX('מלאי רצוי'!$F$2:$F$121,$P15))</f>
        <v/>
      </c>
      <c r="F15" s="30">
        <f>IF($P15="","",INDEX('מלאי רצוי'!$G$2:$G$121,$P15))</f>
        <v/>
      </c>
      <c r="G15" s="30">
        <f>IF($P15="","",INDEX('מלאי רצוי'!$H$2:$H$121,$P15))</f>
        <v/>
      </c>
      <c r="H15" s="30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0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0">
        <f>IF($A15="","",IF($D15&lt;&gt;"",COUNTIFS(מלאי!$B$2:$B$500,$A15,מלאי!$G$2:$G$500,$D15,מלאי!$X$2:$X$500,"מושאל"),COUNTIFS(מלאי!$B$2:$B$500,$A15,מלאי!$X$2:$X$500,"מושאל")))</f>
        <v/>
      </c>
      <c r="K15" s="30">
        <f>IF($A15="","",IF($D15&lt;&gt;"",COUNTIFS(מלאי!$B$2:$B$500,$A15,מלאי!$G$2:$G$500,$D15,מלאי!$D$2:$D$500,"&lt;&gt;"),COUNTIFS(מלאי!$B$2:$B$500,$A15,מלאי!$D$2:$D$500,"&lt;&gt;")))</f>
        <v/>
      </c>
      <c r="L15" s="30">
        <f>IF(OR($A15="",$E15=""),"",MAX(0,E15-H15))</f>
        <v/>
      </c>
      <c r="M15" s="30">
        <f>IF(OR($A15="",$E15=""),"",MAX(0,F15-I15))</f>
        <v/>
      </c>
      <c r="N15" s="30">
        <f>IF(OR($A15="",$E15=""),"",MAX(0,G15-J15))</f>
        <v/>
      </c>
      <c r="O15" s="9">
        <f>IF($P15="","",INDEX('מלאי רצוי'!$O$2:$O$121,$P15))</f>
        <v/>
      </c>
      <c r="P1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רצוי'!$A$2)+1,""),10),"")</f>
        <v/>
      </c>
    </row>
    <row r="16">
      <c r="A16" s="8">
        <f>IF($P16="","",INDEX('מלאי רצוי'!$A$2:$A$121,$P16))</f>
        <v/>
      </c>
      <c r="B16" s="8">
        <f>IF($P16="","",INDEX('מלאי רצוי'!$C$2:$C$121,$P16))</f>
        <v/>
      </c>
      <c r="C16" s="8">
        <f>IF($P16="","",INDEX('מלאי רצוי'!$D$2:$D$121,$P16))</f>
        <v/>
      </c>
      <c r="D16" s="8">
        <f>IF($P16="","",INDEX('מלאי רצוי'!$E$2:$E$121,$P16))</f>
        <v/>
      </c>
      <c r="E16" s="29">
        <f>IF($P16="","",INDEX('מלאי רצוי'!$F$2:$F$121,$P16))</f>
        <v/>
      </c>
      <c r="F16" s="29">
        <f>IF($P16="","",INDEX('מלאי רצוי'!$G$2:$G$121,$P16))</f>
        <v/>
      </c>
      <c r="G16" s="29">
        <f>IF($P16="","",INDEX('מלאי רצוי'!$H$2:$H$121,$P16))</f>
        <v/>
      </c>
      <c r="H16" s="29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29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29">
        <f>IF($A16="","",IF($D16&lt;&gt;"",COUNTIFS(מלאי!$B$2:$B$500,$A16,מלאי!$G$2:$G$500,$D16,מלאי!$X$2:$X$500,"מושאל"),COUNTIFS(מלאי!$B$2:$B$500,$A16,מלאי!$X$2:$X$500,"מושאל")))</f>
        <v/>
      </c>
      <c r="K16" s="29">
        <f>IF($A16="","",IF($D16&lt;&gt;"",COUNTIFS(מלאי!$B$2:$B$500,$A16,מלאי!$G$2:$G$500,$D16,מלאי!$D$2:$D$500,"&lt;&gt;"),COUNTIFS(מלאי!$B$2:$B$500,$A16,מלאי!$D$2:$D$500,"&lt;&gt;")))</f>
        <v/>
      </c>
      <c r="L16" s="29">
        <f>IF(OR($A16="",$E16=""),"",MAX(0,E16-H16))</f>
        <v/>
      </c>
      <c r="M16" s="29">
        <f>IF(OR($A16="",$E16=""),"",MAX(0,F16-I16))</f>
        <v/>
      </c>
      <c r="N16" s="29">
        <f>IF(OR($A16="",$E16=""),"",MAX(0,G16-J16))</f>
        <v/>
      </c>
      <c r="O16" s="8">
        <f>IF($P16="","",INDEX('מלאי רצוי'!$O$2:$O$121,$P16))</f>
        <v/>
      </c>
      <c r="P1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רצוי'!$A$2)+1,""),11),"")</f>
        <v/>
      </c>
    </row>
    <row r="17">
      <c r="A17" s="9">
        <f>IF($P17="","",INDEX('מלאי רצוי'!$A$2:$A$121,$P17))</f>
        <v/>
      </c>
      <c r="B17" s="9">
        <f>IF($P17="","",INDEX('מלאי רצוי'!$C$2:$C$121,$P17))</f>
        <v/>
      </c>
      <c r="C17" s="9">
        <f>IF($P17="","",INDEX('מלאי רצוי'!$D$2:$D$121,$P17))</f>
        <v/>
      </c>
      <c r="D17" s="9">
        <f>IF($P17="","",INDEX('מלאי רצוי'!$E$2:$E$121,$P17))</f>
        <v/>
      </c>
      <c r="E17" s="30">
        <f>IF($P17="","",INDEX('מלאי רצוי'!$F$2:$F$121,$P17))</f>
        <v/>
      </c>
      <c r="F17" s="30">
        <f>IF($P17="","",INDEX('מלאי רצוי'!$G$2:$G$121,$P17))</f>
        <v/>
      </c>
      <c r="G17" s="30">
        <f>IF($P17="","",INDEX('מלאי רצוי'!$H$2:$H$121,$P17))</f>
        <v/>
      </c>
      <c r="H17" s="30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0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0">
        <f>IF($A17="","",IF($D17&lt;&gt;"",COUNTIFS(מלאי!$B$2:$B$500,$A17,מלאי!$G$2:$G$500,$D17,מלאי!$X$2:$X$500,"מושאל"),COUNTIFS(מלאי!$B$2:$B$500,$A17,מלאי!$X$2:$X$500,"מושאל")))</f>
        <v/>
      </c>
      <c r="K17" s="30">
        <f>IF($A17="","",IF($D17&lt;&gt;"",COUNTIFS(מלאי!$B$2:$B$500,$A17,מלאי!$G$2:$G$500,$D17,מלאי!$D$2:$D$500,"&lt;&gt;"),COUNTIFS(מלאי!$B$2:$B$500,$A17,מלאי!$D$2:$D$500,"&lt;&gt;")))</f>
        <v/>
      </c>
      <c r="L17" s="30">
        <f>IF(OR($A17="",$E17=""),"",MAX(0,E17-H17))</f>
        <v/>
      </c>
      <c r="M17" s="30">
        <f>IF(OR($A17="",$E17=""),"",MAX(0,F17-I17))</f>
        <v/>
      </c>
      <c r="N17" s="30">
        <f>IF(OR($A17="",$E17=""),"",MAX(0,G17-J17))</f>
        <v/>
      </c>
      <c r="O17" s="9">
        <f>IF($P17="","",INDEX('מלאי רצוי'!$O$2:$O$121,$P17))</f>
        <v/>
      </c>
      <c r="P1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רצוי'!$A$2)+1,""),12),"")</f>
        <v/>
      </c>
    </row>
    <row r="18">
      <c r="A18" s="8">
        <f>IF($P18="","",INDEX('מלאי רצוי'!$A$2:$A$121,$P18))</f>
        <v/>
      </c>
      <c r="B18" s="8">
        <f>IF($P18="","",INDEX('מלאי רצוי'!$C$2:$C$121,$P18))</f>
        <v/>
      </c>
      <c r="C18" s="8">
        <f>IF($P18="","",INDEX('מלאי רצוי'!$D$2:$D$121,$P18))</f>
        <v/>
      </c>
      <c r="D18" s="8">
        <f>IF($P18="","",INDEX('מלאי רצוי'!$E$2:$E$121,$P18))</f>
        <v/>
      </c>
      <c r="E18" s="29">
        <f>IF($P18="","",INDEX('מלאי רצוי'!$F$2:$F$121,$P18))</f>
        <v/>
      </c>
      <c r="F18" s="29">
        <f>IF($P18="","",INDEX('מלאי רצוי'!$G$2:$G$121,$P18))</f>
        <v/>
      </c>
      <c r="G18" s="29">
        <f>IF($P18="","",INDEX('מלאי רצוי'!$H$2:$H$121,$P18))</f>
        <v/>
      </c>
      <c r="H18" s="29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29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29">
        <f>IF($A18="","",IF($D18&lt;&gt;"",COUNTIFS(מלאי!$B$2:$B$500,$A18,מלאי!$G$2:$G$500,$D18,מלאי!$X$2:$X$500,"מושאל"),COUNTIFS(מלאי!$B$2:$B$500,$A18,מלאי!$X$2:$X$500,"מושאל")))</f>
        <v/>
      </c>
      <c r="K18" s="29">
        <f>IF($A18="","",IF($D18&lt;&gt;"",COUNTIFS(מלאי!$B$2:$B$500,$A18,מלאי!$G$2:$G$500,$D18,מלאי!$D$2:$D$500,"&lt;&gt;"),COUNTIFS(מלאי!$B$2:$B$500,$A18,מלאי!$D$2:$D$500,"&lt;&gt;")))</f>
        <v/>
      </c>
      <c r="L18" s="29">
        <f>IF(OR($A18="",$E18=""),"",MAX(0,E18-H18))</f>
        <v/>
      </c>
      <c r="M18" s="29">
        <f>IF(OR($A18="",$E18=""),"",MAX(0,F18-I18))</f>
        <v/>
      </c>
      <c r="N18" s="29">
        <f>IF(OR($A18="",$E18=""),"",MAX(0,G18-J18))</f>
        <v/>
      </c>
      <c r="O18" s="8">
        <f>IF($P18="","",INDEX('מלאי רצוי'!$O$2:$O$121,$P18))</f>
        <v/>
      </c>
      <c r="P1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רצוי'!$A$2)+1,""),13),"")</f>
        <v/>
      </c>
    </row>
    <row r="19">
      <c r="A19" s="9">
        <f>IF($P19="","",INDEX('מלאי רצוי'!$A$2:$A$121,$P19))</f>
        <v/>
      </c>
      <c r="B19" s="9">
        <f>IF($P19="","",INDEX('מלאי רצוי'!$C$2:$C$121,$P19))</f>
        <v/>
      </c>
      <c r="C19" s="9">
        <f>IF($P19="","",INDEX('מלאי רצוי'!$D$2:$D$121,$P19))</f>
        <v/>
      </c>
      <c r="D19" s="9">
        <f>IF($P19="","",INDEX('מלאי רצוי'!$E$2:$E$121,$P19))</f>
        <v/>
      </c>
      <c r="E19" s="30">
        <f>IF($P19="","",INDEX('מלאי רצוי'!$F$2:$F$121,$P19))</f>
        <v/>
      </c>
      <c r="F19" s="30">
        <f>IF($P19="","",INDEX('מלאי רצוי'!$G$2:$G$121,$P19))</f>
        <v/>
      </c>
      <c r="G19" s="30">
        <f>IF($P19="","",INDEX('מלאי רצוי'!$H$2:$H$121,$P19))</f>
        <v/>
      </c>
      <c r="H19" s="30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0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0">
        <f>IF($A19="","",IF($D19&lt;&gt;"",COUNTIFS(מלאי!$B$2:$B$500,$A19,מלאי!$G$2:$G$500,$D19,מלאי!$X$2:$X$500,"מושאל"),COUNTIFS(מלאי!$B$2:$B$500,$A19,מלאי!$X$2:$X$500,"מושאל")))</f>
        <v/>
      </c>
      <c r="K19" s="30">
        <f>IF($A19="","",IF($D19&lt;&gt;"",COUNTIFS(מלאי!$B$2:$B$500,$A19,מלאי!$G$2:$G$500,$D19,מלאי!$D$2:$D$500,"&lt;&gt;"),COUNTIFS(מלאי!$B$2:$B$500,$A19,מלאי!$D$2:$D$500,"&lt;&gt;")))</f>
        <v/>
      </c>
      <c r="L19" s="30">
        <f>IF(OR($A19="",$E19=""),"",MAX(0,E19-H19))</f>
        <v/>
      </c>
      <c r="M19" s="30">
        <f>IF(OR($A19="",$E19=""),"",MAX(0,F19-I19))</f>
        <v/>
      </c>
      <c r="N19" s="30">
        <f>IF(OR($A19="",$E19=""),"",MAX(0,G19-J19))</f>
        <v/>
      </c>
      <c r="O19" s="9">
        <f>IF($P19="","",INDEX('מלאי רצוי'!$O$2:$O$121,$P19))</f>
        <v/>
      </c>
      <c r="P1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רצוי'!$A$2)+1,""),14),"")</f>
        <v/>
      </c>
    </row>
    <row r="20">
      <c r="A20" s="8">
        <f>IF($P20="","",INDEX('מלאי רצוי'!$A$2:$A$121,$P20))</f>
        <v/>
      </c>
      <c r="B20" s="8">
        <f>IF($P20="","",INDEX('מלאי רצוי'!$C$2:$C$121,$P20))</f>
        <v/>
      </c>
      <c r="C20" s="8">
        <f>IF($P20="","",INDEX('מלאי רצוי'!$D$2:$D$121,$P20))</f>
        <v/>
      </c>
      <c r="D20" s="8">
        <f>IF($P20="","",INDEX('מלאי רצוי'!$E$2:$E$121,$P20))</f>
        <v/>
      </c>
      <c r="E20" s="29">
        <f>IF($P20="","",INDEX('מלאי רצוי'!$F$2:$F$121,$P20))</f>
        <v/>
      </c>
      <c r="F20" s="29">
        <f>IF($P20="","",INDEX('מלאי רצוי'!$G$2:$G$121,$P20))</f>
        <v/>
      </c>
      <c r="G20" s="29">
        <f>IF($P20="","",INDEX('מלאי רצוי'!$H$2:$H$121,$P20))</f>
        <v/>
      </c>
      <c r="H20" s="29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29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29">
        <f>IF($A20="","",IF($D20&lt;&gt;"",COUNTIFS(מלאי!$B$2:$B$500,$A20,מלאי!$G$2:$G$500,$D20,מלאי!$X$2:$X$500,"מושאל"),COUNTIFS(מלאי!$B$2:$B$500,$A20,מלאי!$X$2:$X$500,"מושאל")))</f>
        <v/>
      </c>
      <c r="K20" s="29">
        <f>IF($A20="","",IF($D20&lt;&gt;"",COUNTIFS(מלאי!$B$2:$B$500,$A20,מלאי!$G$2:$G$500,$D20,מלאי!$D$2:$D$500,"&lt;&gt;"),COUNTIFS(מלאי!$B$2:$B$500,$A20,מלאי!$D$2:$D$500,"&lt;&gt;")))</f>
        <v/>
      </c>
      <c r="L20" s="29">
        <f>IF(OR($A20="",$E20=""),"",MAX(0,E20-H20))</f>
        <v/>
      </c>
      <c r="M20" s="29">
        <f>IF(OR($A20="",$E20=""),"",MAX(0,F20-I20))</f>
        <v/>
      </c>
      <c r="N20" s="29">
        <f>IF(OR($A20="",$E20=""),"",MAX(0,G20-J20))</f>
        <v/>
      </c>
      <c r="O20" s="8">
        <f>IF($P20="","",INDEX('מלאי רצוי'!$O$2:$O$121,$P20))</f>
        <v/>
      </c>
      <c r="P2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רצוי'!$A$2)+1,""),15),"")</f>
        <v/>
      </c>
    </row>
    <row r="21">
      <c r="A21" s="9">
        <f>IF($P21="","",INDEX('מלאי רצוי'!$A$2:$A$121,$P21))</f>
        <v/>
      </c>
      <c r="B21" s="9">
        <f>IF($P21="","",INDEX('מלאי רצוי'!$C$2:$C$121,$P21))</f>
        <v/>
      </c>
      <c r="C21" s="9">
        <f>IF($P21="","",INDEX('מלאי רצוי'!$D$2:$D$121,$P21))</f>
        <v/>
      </c>
      <c r="D21" s="9">
        <f>IF($P21="","",INDEX('מלאי רצוי'!$E$2:$E$121,$P21))</f>
        <v/>
      </c>
      <c r="E21" s="30">
        <f>IF($P21="","",INDEX('מלאי רצוי'!$F$2:$F$121,$P21))</f>
        <v/>
      </c>
      <c r="F21" s="30">
        <f>IF($P21="","",INDEX('מלאי רצוי'!$G$2:$G$121,$P21))</f>
        <v/>
      </c>
      <c r="G21" s="30">
        <f>IF($P21="","",INDEX('מלאי רצוי'!$H$2:$H$121,$P21))</f>
        <v/>
      </c>
      <c r="H21" s="30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0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0">
        <f>IF($A21="","",IF($D21&lt;&gt;"",COUNTIFS(מלאי!$B$2:$B$500,$A21,מלאי!$G$2:$G$500,$D21,מלאי!$X$2:$X$500,"מושאל"),COUNTIFS(מלאי!$B$2:$B$500,$A21,מלאי!$X$2:$X$500,"מושאל")))</f>
        <v/>
      </c>
      <c r="K21" s="30">
        <f>IF($A21="","",IF($D21&lt;&gt;"",COUNTIFS(מלאי!$B$2:$B$500,$A21,מלאי!$G$2:$G$500,$D21,מלאי!$D$2:$D$500,"&lt;&gt;"),COUNTIFS(מלאי!$B$2:$B$500,$A21,מלאי!$D$2:$D$500,"&lt;&gt;")))</f>
        <v/>
      </c>
      <c r="L21" s="30">
        <f>IF(OR($A21="",$E21=""),"",MAX(0,E21-H21))</f>
        <v/>
      </c>
      <c r="M21" s="30">
        <f>IF(OR($A21="",$E21=""),"",MAX(0,F21-I21))</f>
        <v/>
      </c>
      <c r="N21" s="30">
        <f>IF(OR($A21="",$E21=""),"",MAX(0,G21-J21))</f>
        <v/>
      </c>
      <c r="O21" s="9">
        <f>IF($P21="","",INDEX('מלאי רצוי'!$O$2:$O$121,$P21))</f>
        <v/>
      </c>
      <c r="P2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רצוי'!$A$2)+1,""),16),"")</f>
        <v/>
      </c>
    </row>
    <row r="22">
      <c r="A22" s="8">
        <f>IF($P22="","",INDEX('מלאי רצוי'!$A$2:$A$121,$P22))</f>
        <v/>
      </c>
      <c r="B22" s="8">
        <f>IF($P22="","",INDEX('מלאי רצוי'!$C$2:$C$121,$P22))</f>
        <v/>
      </c>
      <c r="C22" s="8">
        <f>IF($P22="","",INDEX('מלאי רצוי'!$D$2:$D$121,$P22))</f>
        <v/>
      </c>
      <c r="D22" s="8">
        <f>IF($P22="","",INDEX('מלאי רצוי'!$E$2:$E$121,$P22))</f>
        <v/>
      </c>
      <c r="E22" s="29">
        <f>IF($P22="","",INDEX('מלאי רצוי'!$F$2:$F$121,$P22))</f>
        <v/>
      </c>
      <c r="F22" s="29">
        <f>IF($P22="","",INDEX('מלאי רצוי'!$G$2:$G$121,$P22))</f>
        <v/>
      </c>
      <c r="G22" s="29">
        <f>IF($P22="","",INDEX('מלאי רצוי'!$H$2:$H$121,$P22))</f>
        <v/>
      </c>
      <c r="H22" s="29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29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29">
        <f>IF($A22="","",IF($D22&lt;&gt;"",COUNTIFS(מלאי!$B$2:$B$500,$A22,מלאי!$G$2:$G$500,$D22,מלאי!$X$2:$X$500,"מושאל"),COUNTIFS(מלאי!$B$2:$B$500,$A22,מלאי!$X$2:$X$500,"מושאל")))</f>
        <v/>
      </c>
      <c r="K22" s="29">
        <f>IF($A22="","",IF($D22&lt;&gt;"",COUNTIFS(מלאי!$B$2:$B$500,$A22,מלאי!$G$2:$G$500,$D22,מלאי!$D$2:$D$500,"&lt;&gt;"),COUNTIFS(מלאי!$B$2:$B$500,$A22,מלאי!$D$2:$D$500,"&lt;&gt;")))</f>
        <v/>
      </c>
      <c r="L22" s="29">
        <f>IF(OR($A22="",$E22=""),"",MAX(0,E22-H22))</f>
        <v/>
      </c>
      <c r="M22" s="29">
        <f>IF(OR($A22="",$E22=""),"",MAX(0,F22-I22))</f>
        <v/>
      </c>
      <c r="N22" s="29">
        <f>IF(OR($A22="",$E22=""),"",MAX(0,G22-J22))</f>
        <v/>
      </c>
      <c r="O22" s="8">
        <f>IF($P22="","",INDEX('מלאי רצוי'!$O$2:$O$121,$P22))</f>
        <v/>
      </c>
      <c r="P2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רצוי'!$A$2)+1,""),17),"")</f>
        <v/>
      </c>
    </row>
    <row r="23">
      <c r="A23" s="9">
        <f>IF($P23="","",INDEX('מלאי רצוי'!$A$2:$A$121,$P23))</f>
        <v/>
      </c>
      <c r="B23" s="9">
        <f>IF($P23="","",INDEX('מלאי רצוי'!$C$2:$C$121,$P23))</f>
        <v/>
      </c>
      <c r="C23" s="9">
        <f>IF($P23="","",INDEX('מלאי רצוי'!$D$2:$D$121,$P23))</f>
        <v/>
      </c>
      <c r="D23" s="9">
        <f>IF($P23="","",INDEX('מלאי רצוי'!$E$2:$E$121,$P23))</f>
        <v/>
      </c>
      <c r="E23" s="30">
        <f>IF($P23="","",INDEX('מלאי רצוי'!$F$2:$F$121,$P23))</f>
        <v/>
      </c>
      <c r="F23" s="30">
        <f>IF($P23="","",INDEX('מלאי רצוי'!$G$2:$G$121,$P23))</f>
        <v/>
      </c>
      <c r="G23" s="30">
        <f>IF($P23="","",INDEX('מלאי רצוי'!$H$2:$H$121,$P23))</f>
        <v/>
      </c>
      <c r="H23" s="30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0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0">
        <f>IF($A23="","",IF($D23&lt;&gt;"",COUNTIFS(מלאי!$B$2:$B$500,$A23,מלאי!$G$2:$G$500,$D23,מלאי!$X$2:$X$500,"מושאל"),COUNTIFS(מלאי!$B$2:$B$500,$A23,מלאי!$X$2:$X$500,"מושאל")))</f>
        <v/>
      </c>
      <c r="K23" s="30">
        <f>IF($A23="","",IF($D23&lt;&gt;"",COUNTIFS(מלאי!$B$2:$B$500,$A23,מלאי!$G$2:$G$500,$D23,מלאי!$D$2:$D$500,"&lt;&gt;"),COUNTIFS(מלאי!$B$2:$B$500,$A23,מלאי!$D$2:$D$500,"&lt;&gt;")))</f>
        <v/>
      </c>
      <c r="L23" s="30">
        <f>IF(OR($A23="",$E23=""),"",MAX(0,E23-H23))</f>
        <v/>
      </c>
      <c r="M23" s="30">
        <f>IF(OR($A23="",$E23=""),"",MAX(0,F23-I23))</f>
        <v/>
      </c>
      <c r="N23" s="30">
        <f>IF(OR($A23="",$E23=""),"",MAX(0,G23-J23))</f>
        <v/>
      </c>
      <c r="O23" s="9">
        <f>IF($P23="","",INDEX('מלאי רצוי'!$O$2:$O$121,$P23))</f>
        <v/>
      </c>
      <c r="P2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רצוי'!$A$2)+1,""),18),"")</f>
        <v/>
      </c>
    </row>
    <row r="24">
      <c r="A24" s="8">
        <f>IF($P24="","",INDEX('מלאי רצוי'!$A$2:$A$121,$P24))</f>
        <v/>
      </c>
      <c r="B24" s="8">
        <f>IF($P24="","",INDEX('מלאי רצוי'!$C$2:$C$121,$P24))</f>
        <v/>
      </c>
      <c r="C24" s="8">
        <f>IF($P24="","",INDEX('מלאי רצוי'!$D$2:$D$121,$P24))</f>
        <v/>
      </c>
      <c r="D24" s="8">
        <f>IF($P24="","",INDEX('מלאי רצוי'!$E$2:$E$121,$P24))</f>
        <v/>
      </c>
      <c r="E24" s="29">
        <f>IF($P24="","",INDEX('מלאי רצוי'!$F$2:$F$121,$P24))</f>
        <v/>
      </c>
      <c r="F24" s="29">
        <f>IF($P24="","",INDEX('מלאי רצוי'!$G$2:$G$121,$P24))</f>
        <v/>
      </c>
      <c r="G24" s="29">
        <f>IF($P24="","",INDEX('מלאי רצוי'!$H$2:$H$121,$P24))</f>
        <v/>
      </c>
      <c r="H24" s="29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29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29">
        <f>IF($A24="","",IF($D24&lt;&gt;"",COUNTIFS(מלאי!$B$2:$B$500,$A24,מלאי!$G$2:$G$500,$D24,מלאי!$X$2:$X$500,"מושאל"),COUNTIFS(מלאי!$B$2:$B$500,$A24,מלאי!$X$2:$X$500,"מושאל")))</f>
        <v/>
      </c>
      <c r="K24" s="29">
        <f>IF($A24="","",IF($D24&lt;&gt;"",COUNTIFS(מלאי!$B$2:$B$500,$A24,מלאי!$G$2:$G$500,$D24,מלאי!$D$2:$D$500,"&lt;&gt;"),COUNTIFS(מלאי!$B$2:$B$500,$A24,מלאי!$D$2:$D$500,"&lt;&gt;")))</f>
        <v/>
      </c>
      <c r="L24" s="29">
        <f>IF(OR($A24="",$E24=""),"",MAX(0,E24-H24))</f>
        <v/>
      </c>
      <c r="M24" s="29">
        <f>IF(OR($A24="",$E24=""),"",MAX(0,F24-I24))</f>
        <v/>
      </c>
      <c r="N24" s="29">
        <f>IF(OR($A24="",$E24=""),"",MAX(0,G24-J24))</f>
        <v/>
      </c>
      <c r="O24" s="8">
        <f>IF($P24="","",INDEX('מלאי רצוי'!$O$2:$O$121,$P24))</f>
        <v/>
      </c>
      <c r="P2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רצוי'!$A$2)+1,""),19),"")</f>
        <v/>
      </c>
    </row>
    <row r="25">
      <c r="A25" s="9">
        <f>IF($P25="","",INDEX('מלאי רצוי'!$A$2:$A$121,$P25))</f>
        <v/>
      </c>
      <c r="B25" s="9">
        <f>IF($P25="","",INDEX('מלאי רצוי'!$C$2:$C$121,$P25))</f>
        <v/>
      </c>
      <c r="C25" s="9">
        <f>IF($P25="","",INDEX('מלאי רצוי'!$D$2:$D$121,$P25))</f>
        <v/>
      </c>
      <c r="D25" s="9">
        <f>IF($P25="","",INDEX('מלאי רצוי'!$E$2:$E$121,$P25))</f>
        <v/>
      </c>
      <c r="E25" s="30">
        <f>IF($P25="","",INDEX('מלאי רצוי'!$F$2:$F$121,$P25))</f>
        <v/>
      </c>
      <c r="F25" s="30">
        <f>IF($P25="","",INDEX('מלאי רצוי'!$G$2:$G$121,$P25))</f>
        <v/>
      </c>
      <c r="G25" s="30">
        <f>IF($P25="","",INDEX('מלאי רצוי'!$H$2:$H$121,$P25))</f>
        <v/>
      </c>
      <c r="H25" s="30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0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0">
        <f>IF($A25="","",IF($D25&lt;&gt;"",COUNTIFS(מלאי!$B$2:$B$500,$A25,מלאי!$G$2:$G$500,$D25,מלאי!$X$2:$X$500,"מושאל"),COUNTIFS(מלאי!$B$2:$B$500,$A25,מלאי!$X$2:$X$500,"מושאל")))</f>
        <v/>
      </c>
      <c r="K25" s="30">
        <f>IF($A25="","",IF($D25&lt;&gt;"",COUNTIFS(מלאי!$B$2:$B$500,$A25,מלאי!$G$2:$G$500,$D25,מלאי!$D$2:$D$500,"&lt;&gt;"),COUNTIFS(מלאי!$B$2:$B$500,$A25,מלאי!$D$2:$D$500,"&lt;&gt;")))</f>
        <v/>
      </c>
      <c r="L25" s="30">
        <f>IF(OR($A25="",$E25=""),"",MAX(0,E25-H25))</f>
        <v/>
      </c>
      <c r="M25" s="30">
        <f>IF(OR($A25="",$E25=""),"",MAX(0,F25-I25))</f>
        <v/>
      </c>
      <c r="N25" s="30">
        <f>IF(OR($A25="",$E25=""),"",MAX(0,G25-J25))</f>
        <v/>
      </c>
      <c r="O25" s="9">
        <f>IF($P25="","",INDEX('מלאי רצוי'!$O$2:$O$121,$P25))</f>
        <v/>
      </c>
      <c r="P2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רצוי'!$A$2)+1,""),20),"")</f>
        <v/>
      </c>
    </row>
    <row r="26">
      <c r="A26" s="8">
        <f>IF($P26="","",INDEX('מלאי רצוי'!$A$2:$A$121,$P26))</f>
        <v/>
      </c>
      <c r="B26" s="8">
        <f>IF($P26="","",INDEX('מלאי רצוי'!$C$2:$C$121,$P26))</f>
        <v/>
      </c>
      <c r="C26" s="8">
        <f>IF($P26="","",INDEX('מלאי רצוי'!$D$2:$D$121,$P26))</f>
        <v/>
      </c>
      <c r="D26" s="8">
        <f>IF($P26="","",INDEX('מלאי רצוי'!$E$2:$E$121,$P26))</f>
        <v/>
      </c>
      <c r="E26" s="29">
        <f>IF($P26="","",INDEX('מלאי רצוי'!$F$2:$F$121,$P26))</f>
        <v/>
      </c>
      <c r="F26" s="29">
        <f>IF($P26="","",INDEX('מלאי רצוי'!$G$2:$G$121,$P26))</f>
        <v/>
      </c>
      <c r="G26" s="29">
        <f>IF($P26="","",INDEX('מלאי רצוי'!$H$2:$H$121,$P26))</f>
        <v/>
      </c>
      <c r="H26" s="29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29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29">
        <f>IF($A26="","",IF($D26&lt;&gt;"",COUNTIFS(מלאי!$B$2:$B$500,$A26,מלאי!$G$2:$G$500,$D26,מלאי!$X$2:$X$500,"מושאל"),COUNTIFS(מלאי!$B$2:$B$500,$A26,מלאי!$X$2:$X$500,"מושאל")))</f>
        <v/>
      </c>
      <c r="K26" s="29">
        <f>IF($A26="","",IF($D26&lt;&gt;"",COUNTIFS(מלאי!$B$2:$B$500,$A26,מלאי!$G$2:$G$500,$D26,מלאי!$D$2:$D$500,"&lt;&gt;"),COUNTIFS(מלאי!$B$2:$B$500,$A26,מלאי!$D$2:$D$500,"&lt;&gt;")))</f>
        <v/>
      </c>
      <c r="L26" s="29">
        <f>IF(OR($A26="",$E26=""),"",MAX(0,E26-H26))</f>
        <v/>
      </c>
      <c r="M26" s="29">
        <f>IF(OR($A26="",$E26=""),"",MAX(0,F26-I26))</f>
        <v/>
      </c>
      <c r="N26" s="29">
        <f>IF(OR($A26="",$E26=""),"",MAX(0,G26-J26))</f>
        <v/>
      </c>
      <c r="O26" s="8">
        <f>IF($P26="","",INDEX('מלאי רצוי'!$O$2:$O$121,$P26))</f>
        <v/>
      </c>
      <c r="P2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רצוי'!$A$2)+1,""),21),"")</f>
        <v/>
      </c>
    </row>
    <row r="27">
      <c r="A27" s="9">
        <f>IF($P27="","",INDEX('מלאי רצוי'!$A$2:$A$121,$P27))</f>
        <v/>
      </c>
      <c r="B27" s="9">
        <f>IF($P27="","",INDEX('מלאי רצוי'!$C$2:$C$121,$P27))</f>
        <v/>
      </c>
      <c r="C27" s="9">
        <f>IF($P27="","",INDEX('מלאי רצוי'!$D$2:$D$121,$P27))</f>
        <v/>
      </c>
      <c r="D27" s="9">
        <f>IF($P27="","",INDEX('מלאי רצוי'!$E$2:$E$121,$P27))</f>
        <v/>
      </c>
      <c r="E27" s="30">
        <f>IF($P27="","",INDEX('מלאי רצוי'!$F$2:$F$121,$P27))</f>
        <v/>
      </c>
      <c r="F27" s="30">
        <f>IF($P27="","",INDEX('מלאי רצוי'!$G$2:$G$121,$P27))</f>
        <v/>
      </c>
      <c r="G27" s="30">
        <f>IF($P27="","",INDEX('מלאי רצוי'!$H$2:$H$121,$P27))</f>
        <v/>
      </c>
      <c r="H27" s="30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0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0">
        <f>IF($A27="","",IF($D27&lt;&gt;"",COUNTIFS(מלאי!$B$2:$B$500,$A27,מלאי!$G$2:$G$500,$D27,מלאי!$X$2:$X$500,"מושאל"),COUNTIFS(מלאי!$B$2:$B$500,$A27,מלאי!$X$2:$X$500,"מושאל")))</f>
        <v/>
      </c>
      <c r="K27" s="30">
        <f>IF($A27="","",IF($D27&lt;&gt;"",COUNTIFS(מלאי!$B$2:$B$500,$A27,מלאי!$G$2:$G$500,$D27,מלאי!$D$2:$D$500,"&lt;&gt;"),COUNTIFS(מלאי!$B$2:$B$500,$A27,מלאי!$D$2:$D$500,"&lt;&gt;")))</f>
        <v/>
      </c>
      <c r="L27" s="30">
        <f>IF(OR($A27="",$E27=""),"",MAX(0,E27-H27))</f>
        <v/>
      </c>
      <c r="M27" s="30">
        <f>IF(OR($A27="",$E27=""),"",MAX(0,F27-I27))</f>
        <v/>
      </c>
      <c r="N27" s="30">
        <f>IF(OR($A27="",$E27=""),"",MAX(0,G27-J27))</f>
        <v/>
      </c>
      <c r="O27" s="9">
        <f>IF($P27="","",INDEX('מלאי רצוי'!$O$2:$O$121,$P27))</f>
        <v/>
      </c>
      <c r="P2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רצוי'!$A$2)+1,""),22),"")</f>
        <v/>
      </c>
    </row>
    <row r="28">
      <c r="A28" s="8">
        <f>IF($P28="","",INDEX('מלאי רצוי'!$A$2:$A$121,$P28))</f>
        <v/>
      </c>
      <c r="B28" s="8">
        <f>IF($P28="","",INDEX('מלאי רצוי'!$C$2:$C$121,$P28))</f>
        <v/>
      </c>
      <c r="C28" s="8">
        <f>IF($P28="","",INDEX('מלאי רצוי'!$D$2:$D$121,$P28))</f>
        <v/>
      </c>
      <c r="D28" s="8">
        <f>IF($P28="","",INDEX('מלאי רצוי'!$E$2:$E$121,$P28))</f>
        <v/>
      </c>
      <c r="E28" s="29">
        <f>IF($P28="","",INDEX('מלאי רצוי'!$F$2:$F$121,$P28))</f>
        <v/>
      </c>
      <c r="F28" s="29">
        <f>IF($P28="","",INDEX('מלאי רצוי'!$G$2:$G$121,$P28))</f>
        <v/>
      </c>
      <c r="G28" s="29">
        <f>IF($P28="","",INDEX('מלאי רצוי'!$H$2:$H$121,$P28))</f>
        <v/>
      </c>
      <c r="H28" s="29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29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29">
        <f>IF($A28="","",IF($D28&lt;&gt;"",COUNTIFS(מלאי!$B$2:$B$500,$A28,מלאי!$G$2:$G$500,$D28,מלאי!$X$2:$X$500,"מושאל"),COUNTIFS(מלאי!$B$2:$B$500,$A28,מלאי!$X$2:$X$500,"מושאל")))</f>
        <v/>
      </c>
      <c r="K28" s="29">
        <f>IF($A28="","",IF($D28&lt;&gt;"",COUNTIFS(מלאי!$B$2:$B$500,$A28,מלאי!$G$2:$G$500,$D28,מלאי!$D$2:$D$500,"&lt;&gt;"),COUNTIFS(מלאי!$B$2:$B$500,$A28,מלאי!$D$2:$D$500,"&lt;&gt;")))</f>
        <v/>
      </c>
      <c r="L28" s="29">
        <f>IF(OR($A28="",$E28=""),"",MAX(0,E28-H28))</f>
        <v/>
      </c>
      <c r="M28" s="29">
        <f>IF(OR($A28="",$E28=""),"",MAX(0,F28-I28))</f>
        <v/>
      </c>
      <c r="N28" s="29">
        <f>IF(OR($A28="",$E28=""),"",MAX(0,G28-J28))</f>
        <v/>
      </c>
      <c r="O28" s="8">
        <f>IF($P28="","",INDEX('מלאי רצוי'!$O$2:$O$121,$P28))</f>
        <v/>
      </c>
      <c r="P2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רצוי'!$A$2)+1,""),23),"")</f>
        <v/>
      </c>
    </row>
    <row r="29">
      <c r="A29" s="9">
        <f>IF($P29="","",INDEX('מלאי רצוי'!$A$2:$A$121,$P29))</f>
        <v/>
      </c>
      <c r="B29" s="9">
        <f>IF($P29="","",INDEX('מלאי רצוי'!$C$2:$C$121,$P29))</f>
        <v/>
      </c>
      <c r="C29" s="9">
        <f>IF($P29="","",INDEX('מלאי רצוי'!$D$2:$D$121,$P29))</f>
        <v/>
      </c>
      <c r="D29" s="9">
        <f>IF($P29="","",INDEX('מלאי רצוי'!$E$2:$E$121,$P29))</f>
        <v/>
      </c>
      <c r="E29" s="30">
        <f>IF($P29="","",INDEX('מלאי רצוי'!$F$2:$F$121,$P29))</f>
        <v/>
      </c>
      <c r="F29" s="30">
        <f>IF($P29="","",INDEX('מלאי רצוי'!$G$2:$G$121,$P29))</f>
        <v/>
      </c>
      <c r="G29" s="30">
        <f>IF($P29="","",INDEX('מלאי רצוי'!$H$2:$H$121,$P29))</f>
        <v/>
      </c>
      <c r="H29" s="30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0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0">
        <f>IF($A29="","",IF($D29&lt;&gt;"",COUNTIFS(מלאי!$B$2:$B$500,$A29,מלאי!$G$2:$G$500,$D29,מלאי!$X$2:$X$500,"מושאל"),COUNTIFS(מלאי!$B$2:$B$500,$A29,מלאי!$X$2:$X$500,"מושאל")))</f>
        <v/>
      </c>
      <c r="K29" s="30">
        <f>IF($A29="","",IF($D29&lt;&gt;"",COUNTIFS(מלאי!$B$2:$B$500,$A29,מלאי!$G$2:$G$500,$D29,מלאי!$D$2:$D$500,"&lt;&gt;"),COUNTIFS(מלאי!$B$2:$B$500,$A29,מלאי!$D$2:$D$500,"&lt;&gt;")))</f>
        <v/>
      </c>
      <c r="L29" s="30">
        <f>IF(OR($A29="",$E29=""),"",MAX(0,E29-H29))</f>
        <v/>
      </c>
      <c r="M29" s="30">
        <f>IF(OR($A29="",$E29=""),"",MAX(0,F29-I29))</f>
        <v/>
      </c>
      <c r="N29" s="30">
        <f>IF(OR($A29="",$E29=""),"",MAX(0,G29-J29))</f>
        <v/>
      </c>
      <c r="O29" s="9">
        <f>IF($P29="","",INDEX('מלאי רצוי'!$O$2:$O$121,$P29))</f>
        <v/>
      </c>
      <c r="P2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רצוי'!$A$2)+1,""),24),"")</f>
        <v/>
      </c>
    </row>
    <row r="30">
      <c r="A30" s="8">
        <f>IF($P30="","",INDEX('מלאי רצוי'!$A$2:$A$121,$P30))</f>
        <v/>
      </c>
      <c r="B30" s="8">
        <f>IF($P30="","",INDEX('מלאי רצוי'!$C$2:$C$121,$P30))</f>
        <v/>
      </c>
      <c r="C30" s="8">
        <f>IF($P30="","",INDEX('מלאי רצוי'!$D$2:$D$121,$P30))</f>
        <v/>
      </c>
      <c r="D30" s="8">
        <f>IF($P30="","",INDEX('מלאי רצוי'!$E$2:$E$121,$P30))</f>
        <v/>
      </c>
      <c r="E30" s="29">
        <f>IF($P30="","",INDEX('מלאי רצוי'!$F$2:$F$121,$P30))</f>
        <v/>
      </c>
      <c r="F30" s="29">
        <f>IF($P30="","",INDEX('מלאי רצוי'!$G$2:$G$121,$P30))</f>
        <v/>
      </c>
      <c r="G30" s="29">
        <f>IF($P30="","",INDEX('מלאי רצוי'!$H$2:$H$121,$P30))</f>
        <v/>
      </c>
      <c r="H30" s="29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29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29">
        <f>IF($A30="","",IF($D30&lt;&gt;"",COUNTIFS(מלאי!$B$2:$B$500,$A30,מלאי!$G$2:$G$500,$D30,מלאי!$X$2:$X$500,"מושאל"),COUNTIFS(מלאי!$B$2:$B$500,$A30,מלאי!$X$2:$X$500,"מושאל")))</f>
        <v/>
      </c>
      <c r="K30" s="29">
        <f>IF($A30="","",IF($D30&lt;&gt;"",COUNTIFS(מלאי!$B$2:$B$500,$A30,מלאי!$G$2:$G$500,$D30,מלאי!$D$2:$D$500,"&lt;&gt;"),COUNTIFS(מלאי!$B$2:$B$500,$A30,מלאי!$D$2:$D$500,"&lt;&gt;")))</f>
        <v/>
      </c>
      <c r="L30" s="29">
        <f>IF(OR($A30="",$E30=""),"",MAX(0,E30-H30))</f>
        <v/>
      </c>
      <c r="M30" s="29">
        <f>IF(OR($A30="",$E30=""),"",MAX(0,F30-I30))</f>
        <v/>
      </c>
      <c r="N30" s="29">
        <f>IF(OR($A30="",$E30=""),"",MAX(0,G30-J30))</f>
        <v/>
      </c>
      <c r="O30" s="8">
        <f>IF($P30="","",INDEX('מלאי רצוי'!$O$2:$O$121,$P30))</f>
        <v/>
      </c>
      <c r="P3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רצוי'!$A$2)+1,""),25),"")</f>
        <v/>
      </c>
    </row>
    <row r="31">
      <c r="A31" s="9">
        <f>IF($P31="","",INDEX('מלאי רצוי'!$A$2:$A$121,$P31))</f>
        <v/>
      </c>
      <c r="B31" s="9">
        <f>IF($P31="","",INDEX('מלאי רצוי'!$C$2:$C$121,$P31))</f>
        <v/>
      </c>
      <c r="C31" s="9">
        <f>IF($P31="","",INDEX('מלאי רצוי'!$D$2:$D$121,$P31))</f>
        <v/>
      </c>
      <c r="D31" s="9">
        <f>IF($P31="","",INDEX('מלאי רצוי'!$E$2:$E$121,$P31))</f>
        <v/>
      </c>
      <c r="E31" s="30">
        <f>IF($P31="","",INDEX('מלאי רצוי'!$F$2:$F$121,$P31))</f>
        <v/>
      </c>
      <c r="F31" s="30">
        <f>IF($P31="","",INDEX('מלאי רצוי'!$G$2:$G$121,$P31))</f>
        <v/>
      </c>
      <c r="G31" s="30">
        <f>IF($P31="","",INDEX('מלאי רצוי'!$H$2:$H$121,$P31))</f>
        <v/>
      </c>
      <c r="H31" s="30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0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0">
        <f>IF($A31="","",IF($D31&lt;&gt;"",COUNTIFS(מלאי!$B$2:$B$500,$A31,מלאי!$G$2:$G$500,$D31,מלאי!$X$2:$X$500,"מושאל"),COUNTIFS(מלאי!$B$2:$B$500,$A31,מלאי!$X$2:$X$500,"מושאל")))</f>
        <v/>
      </c>
      <c r="K31" s="30">
        <f>IF($A31="","",IF($D31&lt;&gt;"",COUNTIFS(מלאי!$B$2:$B$500,$A31,מלאי!$G$2:$G$500,$D31,מלאי!$D$2:$D$500,"&lt;&gt;"),COUNTIFS(מלאי!$B$2:$B$500,$A31,מלאי!$D$2:$D$500,"&lt;&gt;")))</f>
        <v/>
      </c>
      <c r="L31" s="30">
        <f>IF(OR($A31="",$E31=""),"",MAX(0,E31-H31))</f>
        <v/>
      </c>
      <c r="M31" s="30">
        <f>IF(OR($A31="",$E31=""),"",MAX(0,F31-I31))</f>
        <v/>
      </c>
      <c r="N31" s="30">
        <f>IF(OR($A31="",$E31=""),"",MAX(0,G31-J31))</f>
        <v/>
      </c>
      <c r="O31" s="9">
        <f>IF($P31="","",INDEX('מלאי רצוי'!$O$2:$O$121,$P31))</f>
        <v/>
      </c>
      <c r="P3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רצוי'!$A$2)+1,""),26),"")</f>
        <v/>
      </c>
    </row>
    <row r="32">
      <c r="A32" s="8">
        <f>IF($P32="","",INDEX('מלאי רצוי'!$A$2:$A$121,$P32))</f>
        <v/>
      </c>
      <c r="B32" s="8">
        <f>IF($P32="","",INDEX('מלאי רצוי'!$C$2:$C$121,$P32))</f>
        <v/>
      </c>
      <c r="C32" s="8">
        <f>IF($P32="","",INDEX('מלאי רצוי'!$D$2:$D$121,$P32))</f>
        <v/>
      </c>
      <c r="D32" s="8">
        <f>IF($P32="","",INDEX('מלאי רצוי'!$E$2:$E$121,$P32))</f>
        <v/>
      </c>
      <c r="E32" s="29">
        <f>IF($P32="","",INDEX('מלאי רצוי'!$F$2:$F$121,$P32))</f>
        <v/>
      </c>
      <c r="F32" s="29">
        <f>IF($P32="","",INDEX('מלאי רצוי'!$G$2:$G$121,$P32))</f>
        <v/>
      </c>
      <c r="G32" s="29">
        <f>IF($P32="","",INDEX('מלאי רצוי'!$H$2:$H$121,$P32))</f>
        <v/>
      </c>
      <c r="H32" s="29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29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29">
        <f>IF($A32="","",IF($D32&lt;&gt;"",COUNTIFS(מלאי!$B$2:$B$500,$A32,מלאי!$G$2:$G$500,$D32,מלאי!$X$2:$X$500,"מושאל"),COUNTIFS(מלאי!$B$2:$B$500,$A32,מלאי!$X$2:$X$500,"מושאל")))</f>
        <v/>
      </c>
      <c r="K32" s="29">
        <f>IF($A32="","",IF($D32&lt;&gt;"",COUNTIFS(מלאי!$B$2:$B$500,$A32,מלאי!$G$2:$G$500,$D32,מלאי!$D$2:$D$500,"&lt;&gt;"),COUNTIFS(מלאי!$B$2:$B$500,$A32,מלאי!$D$2:$D$500,"&lt;&gt;")))</f>
        <v/>
      </c>
      <c r="L32" s="29">
        <f>IF(OR($A32="",$E32=""),"",MAX(0,E32-H32))</f>
        <v/>
      </c>
      <c r="M32" s="29">
        <f>IF(OR($A32="",$E32=""),"",MAX(0,F32-I32))</f>
        <v/>
      </c>
      <c r="N32" s="29">
        <f>IF(OR($A32="",$E32=""),"",MAX(0,G32-J32))</f>
        <v/>
      </c>
      <c r="O32" s="8">
        <f>IF($P32="","",INDEX('מלאי רצוי'!$O$2:$O$121,$P32))</f>
        <v/>
      </c>
      <c r="P3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רצוי'!$A$2)+1,""),27),"")</f>
        <v/>
      </c>
    </row>
    <row r="33">
      <c r="A33" s="9">
        <f>IF($P33="","",INDEX('מלאי רצוי'!$A$2:$A$121,$P33))</f>
        <v/>
      </c>
      <c r="B33" s="9">
        <f>IF($P33="","",INDEX('מלאי רצוי'!$C$2:$C$121,$P33))</f>
        <v/>
      </c>
      <c r="C33" s="9">
        <f>IF($P33="","",INDEX('מלאי רצוי'!$D$2:$D$121,$P33))</f>
        <v/>
      </c>
      <c r="D33" s="9">
        <f>IF($P33="","",INDEX('מלאי רצוי'!$E$2:$E$121,$P33))</f>
        <v/>
      </c>
      <c r="E33" s="30">
        <f>IF($P33="","",INDEX('מלאי רצוי'!$F$2:$F$121,$P33))</f>
        <v/>
      </c>
      <c r="F33" s="30">
        <f>IF($P33="","",INDEX('מלאי רצוי'!$G$2:$G$121,$P33))</f>
        <v/>
      </c>
      <c r="G33" s="30">
        <f>IF($P33="","",INDEX('מלאי רצוי'!$H$2:$H$121,$P33))</f>
        <v/>
      </c>
      <c r="H33" s="30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0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0">
        <f>IF($A33="","",IF($D33&lt;&gt;"",COUNTIFS(מלאי!$B$2:$B$500,$A33,מלאי!$G$2:$G$500,$D33,מלאי!$X$2:$X$500,"מושאל"),COUNTIFS(מלאי!$B$2:$B$500,$A33,מלאי!$X$2:$X$500,"מושאל")))</f>
        <v/>
      </c>
      <c r="K33" s="30">
        <f>IF($A33="","",IF($D33&lt;&gt;"",COUNTIFS(מלאי!$B$2:$B$500,$A33,מלאי!$G$2:$G$500,$D33,מלאי!$D$2:$D$500,"&lt;&gt;"),COUNTIFS(מלאי!$B$2:$B$500,$A33,מלאי!$D$2:$D$500,"&lt;&gt;")))</f>
        <v/>
      </c>
      <c r="L33" s="30">
        <f>IF(OR($A33="",$E33=""),"",MAX(0,E33-H33))</f>
        <v/>
      </c>
      <c r="M33" s="30">
        <f>IF(OR($A33="",$E33=""),"",MAX(0,F33-I33))</f>
        <v/>
      </c>
      <c r="N33" s="30">
        <f>IF(OR($A33="",$E33=""),"",MAX(0,G33-J33))</f>
        <v/>
      </c>
      <c r="O33" s="9">
        <f>IF($P33="","",INDEX('מלאי רצוי'!$O$2:$O$121,$P33))</f>
        <v/>
      </c>
      <c r="P3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רצוי'!$A$2)+1,""),28),"")</f>
        <v/>
      </c>
    </row>
    <row r="34">
      <c r="A34" s="8">
        <f>IF($P34="","",INDEX('מלאי רצוי'!$A$2:$A$121,$P34))</f>
        <v/>
      </c>
      <c r="B34" s="8">
        <f>IF($P34="","",INDEX('מלאי רצוי'!$C$2:$C$121,$P34))</f>
        <v/>
      </c>
      <c r="C34" s="8">
        <f>IF($P34="","",INDEX('מלאי רצוי'!$D$2:$D$121,$P34))</f>
        <v/>
      </c>
      <c r="D34" s="8">
        <f>IF($P34="","",INDEX('מלאי רצוי'!$E$2:$E$121,$P34))</f>
        <v/>
      </c>
      <c r="E34" s="29">
        <f>IF($P34="","",INDEX('מלאי רצוי'!$F$2:$F$121,$P34))</f>
        <v/>
      </c>
      <c r="F34" s="29">
        <f>IF($P34="","",INDEX('מלאי רצוי'!$G$2:$G$121,$P34))</f>
        <v/>
      </c>
      <c r="G34" s="29">
        <f>IF($P34="","",INDEX('מלאי רצוי'!$H$2:$H$121,$P34))</f>
        <v/>
      </c>
      <c r="H34" s="29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29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29">
        <f>IF($A34="","",IF($D34&lt;&gt;"",COUNTIFS(מלאי!$B$2:$B$500,$A34,מלאי!$G$2:$G$500,$D34,מלאי!$X$2:$X$500,"מושאל"),COUNTIFS(מלאי!$B$2:$B$500,$A34,מלאי!$X$2:$X$500,"מושאל")))</f>
        <v/>
      </c>
      <c r="K34" s="29">
        <f>IF($A34="","",IF($D34&lt;&gt;"",COUNTIFS(מלאי!$B$2:$B$500,$A34,מלאי!$G$2:$G$500,$D34,מלאי!$D$2:$D$500,"&lt;&gt;"),COUNTIFS(מלאי!$B$2:$B$500,$A34,מלאי!$D$2:$D$500,"&lt;&gt;")))</f>
        <v/>
      </c>
      <c r="L34" s="29">
        <f>IF(OR($A34="",$E34=""),"",MAX(0,E34-H34))</f>
        <v/>
      </c>
      <c r="M34" s="29">
        <f>IF(OR($A34="",$E34=""),"",MAX(0,F34-I34))</f>
        <v/>
      </c>
      <c r="N34" s="29">
        <f>IF(OR($A34="",$E34=""),"",MAX(0,G34-J34))</f>
        <v/>
      </c>
      <c r="O34" s="8">
        <f>IF($P34="","",INDEX('מלאי רצוי'!$O$2:$O$121,$P34))</f>
        <v/>
      </c>
      <c r="P3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רצוי'!$A$2)+1,""),29),"")</f>
        <v/>
      </c>
    </row>
    <row r="35">
      <c r="A35" s="9">
        <f>IF($P35="","",INDEX('מלאי רצוי'!$A$2:$A$121,$P35))</f>
        <v/>
      </c>
      <c r="B35" s="9">
        <f>IF($P35="","",INDEX('מלאי רצוי'!$C$2:$C$121,$P35))</f>
        <v/>
      </c>
      <c r="C35" s="9">
        <f>IF($P35="","",INDEX('מלאי רצוי'!$D$2:$D$121,$P35))</f>
        <v/>
      </c>
      <c r="D35" s="9">
        <f>IF($P35="","",INDEX('מלאי רצוי'!$E$2:$E$121,$P35))</f>
        <v/>
      </c>
      <c r="E35" s="30">
        <f>IF($P35="","",INDEX('מלאי רצוי'!$F$2:$F$121,$P35))</f>
        <v/>
      </c>
      <c r="F35" s="30">
        <f>IF($P35="","",INDEX('מלאי רצוי'!$G$2:$G$121,$P35))</f>
        <v/>
      </c>
      <c r="G35" s="30">
        <f>IF($P35="","",INDEX('מלאי רצוי'!$H$2:$H$121,$P35))</f>
        <v/>
      </c>
      <c r="H35" s="30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0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0">
        <f>IF($A35="","",IF($D35&lt;&gt;"",COUNTIFS(מלאי!$B$2:$B$500,$A35,מלאי!$G$2:$G$500,$D35,מלאי!$X$2:$X$500,"מושאל"),COUNTIFS(מלאי!$B$2:$B$500,$A35,מלאי!$X$2:$X$500,"מושאל")))</f>
        <v/>
      </c>
      <c r="K35" s="30">
        <f>IF($A35="","",IF($D35&lt;&gt;"",COUNTIFS(מלאי!$B$2:$B$500,$A35,מלאי!$G$2:$G$500,$D35,מלאי!$D$2:$D$500,"&lt;&gt;"),COUNTIFS(מלאי!$B$2:$B$500,$A35,מלאי!$D$2:$D$500,"&lt;&gt;")))</f>
        <v/>
      </c>
      <c r="L35" s="30">
        <f>IF(OR($A35="",$E35=""),"",MAX(0,E35-H35))</f>
        <v/>
      </c>
      <c r="M35" s="30">
        <f>IF(OR($A35="",$E35=""),"",MAX(0,F35-I35))</f>
        <v/>
      </c>
      <c r="N35" s="30">
        <f>IF(OR($A35="",$E35=""),"",MAX(0,G35-J35))</f>
        <v/>
      </c>
      <c r="O35" s="9">
        <f>IF($P35="","",INDEX('מלאי רצוי'!$O$2:$O$121,$P35))</f>
        <v/>
      </c>
      <c r="P3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רצוי'!$A$2)+1,""),30),"")</f>
        <v/>
      </c>
    </row>
    <row r="36">
      <c r="A36" s="8">
        <f>IF($P36="","",INDEX('מלאי רצוי'!$A$2:$A$121,$P36))</f>
        <v/>
      </c>
      <c r="B36" s="8">
        <f>IF($P36="","",INDEX('מלאי רצוי'!$C$2:$C$121,$P36))</f>
        <v/>
      </c>
      <c r="C36" s="8">
        <f>IF($P36="","",INDEX('מלאי רצוי'!$D$2:$D$121,$P36))</f>
        <v/>
      </c>
      <c r="D36" s="8">
        <f>IF($P36="","",INDEX('מלאי רצוי'!$E$2:$E$121,$P36))</f>
        <v/>
      </c>
      <c r="E36" s="29">
        <f>IF($P36="","",INDEX('מלאי רצוי'!$F$2:$F$121,$P36))</f>
        <v/>
      </c>
      <c r="F36" s="29">
        <f>IF($P36="","",INDEX('מלאי רצוי'!$G$2:$G$121,$P36))</f>
        <v/>
      </c>
      <c r="G36" s="29">
        <f>IF($P36="","",INDEX('מלאי רצוי'!$H$2:$H$121,$P36))</f>
        <v/>
      </c>
      <c r="H36" s="29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29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29">
        <f>IF($A36="","",IF($D36&lt;&gt;"",COUNTIFS(מלאי!$B$2:$B$500,$A36,מלאי!$G$2:$G$500,$D36,מלאי!$X$2:$X$500,"מושאל"),COUNTIFS(מלאי!$B$2:$B$500,$A36,מלאי!$X$2:$X$500,"מושאל")))</f>
        <v/>
      </c>
      <c r="K36" s="29">
        <f>IF($A36="","",IF($D36&lt;&gt;"",COUNTIFS(מלאי!$B$2:$B$500,$A36,מלאי!$G$2:$G$500,$D36,מלאי!$D$2:$D$500,"&lt;&gt;"),COUNTIFS(מלאי!$B$2:$B$500,$A36,מלאי!$D$2:$D$500,"&lt;&gt;")))</f>
        <v/>
      </c>
      <c r="L36" s="29">
        <f>IF(OR($A36="",$E36=""),"",MAX(0,E36-H36))</f>
        <v/>
      </c>
      <c r="M36" s="29">
        <f>IF(OR($A36="",$E36=""),"",MAX(0,F36-I36))</f>
        <v/>
      </c>
      <c r="N36" s="29">
        <f>IF(OR($A36="",$E36=""),"",MAX(0,G36-J36))</f>
        <v/>
      </c>
      <c r="O36" s="8">
        <f>IF($P36="","",INDEX('מלאי רצוי'!$O$2:$O$121,$P36))</f>
        <v/>
      </c>
      <c r="P3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רצוי'!$A$2)+1,""),31),"")</f>
        <v/>
      </c>
    </row>
    <row r="37">
      <c r="A37" s="9">
        <f>IF($P37="","",INDEX('מלאי רצוי'!$A$2:$A$121,$P37))</f>
        <v/>
      </c>
      <c r="B37" s="9">
        <f>IF($P37="","",INDEX('מלאי רצוי'!$C$2:$C$121,$P37))</f>
        <v/>
      </c>
      <c r="C37" s="9">
        <f>IF($P37="","",INDEX('מלאי רצוי'!$D$2:$D$121,$P37))</f>
        <v/>
      </c>
      <c r="D37" s="9">
        <f>IF($P37="","",INDEX('מלאי רצוי'!$E$2:$E$121,$P37))</f>
        <v/>
      </c>
      <c r="E37" s="30">
        <f>IF($P37="","",INDEX('מלאי רצוי'!$F$2:$F$121,$P37))</f>
        <v/>
      </c>
      <c r="F37" s="30">
        <f>IF($P37="","",INDEX('מלאי רצוי'!$G$2:$G$121,$P37))</f>
        <v/>
      </c>
      <c r="G37" s="30">
        <f>IF($P37="","",INDEX('מלאי רצוי'!$H$2:$H$121,$P37))</f>
        <v/>
      </c>
      <c r="H37" s="30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0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0">
        <f>IF($A37="","",IF($D37&lt;&gt;"",COUNTIFS(מלאי!$B$2:$B$500,$A37,מלאי!$G$2:$G$500,$D37,מלאי!$X$2:$X$500,"מושאל"),COUNTIFS(מלאי!$B$2:$B$500,$A37,מלאי!$X$2:$X$500,"מושאל")))</f>
        <v/>
      </c>
      <c r="K37" s="30">
        <f>IF($A37="","",IF($D37&lt;&gt;"",COUNTIFS(מלאי!$B$2:$B$500,$A37,מלאי!$G$2:$G$500,$D37,מלאי!$D$2:$D$500,"&lt;&gt;"),COUNTIFS(מלאי!$B$2:$B$500,$A37,מלאי!$D$2:$D$500,"&lt;&gt;")))</f>
        <v/>
      </c>
      <c r="L37" s="30">
        <f>IF(OR($A37="",$E37=""),"",MAX(0,E37-H37))</f>
        <v/>
      </c>
      <c r="M37" s="30">
        <f>IF(OR($A37="",$E37=""),"",MAX(0,F37-I37))</f>
        <v/>
      </c>
      <c r="N37" s="30">
        <f>IF(OR($A37="",$E37=""),"",MAX(0,G37-J37))</f>
        <v/>
      </c>
      <c r="O37" s="9">
        <f>IF($P37="","",INDEX('מלאי רצוי'!$O$2:$O$121,$P37))</f>
        <v/>
      </c>
      <c r="P3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רצוי'!$A$2)+1,""),32),"")</f>
        <v/>
      </c>
    </row>
    <row r="38">
      <c r="A38" s="8">
        <f>IF($P38="","",INDEX('מלאי רצוי'!$A$2:$A$121,$P38))</f>
        <v/>
      </c>
      <c r="B38" s="8">
        <f>IF($P38="","",INDEX('מלאי רצוי'!$C$2:$C$121,$P38))</f>
        <v/>
      </c>
      <c r="C38" s="8">
        <f>IF($P38="","",INDEX('מלאי רצוי'!$D$2:$D$121,$P38))</f>
        <v/>
      </c>
      <c r="D38" s="8">
        <f>IF($P38="","",INDEX('מלאי רצוי'!$E$2:$E$121,$P38))</f>
        <v/>
      </c>
      <c r="E38" s="29">
        <f>IF($P38="","",INDEX('מלאי רצוי'!$F$2:$F$121,$P38))</f>
        <v/>
      </c>
      <c r="F38" s="29">
        <f>IF($P38="","",INDEX('מלאי רצוי'!$G$2:$G$121,$P38))</f>
        <v/>
      </c>
      <c r="G38" s="29">
        <f>IF($P38="","",INDEX('מלאי רצוי'!$H$2:$H$121,$P38))</f>
        <v/>
      </c>
      <c r="H38" s="29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29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29">
        <f>IF($A38="","",IF($D38&lt;&gt;"",COUNTIFS(מלאי!$B$2:$B$500,$A38,מלאי!$G$2:$G$500,$D38,מלאי!$X$2:$X$500,"מושאל"),COUNTIFS(מלאי!$B$2:$B$500,$A38,מלאי!$X$2:$X$500,"מושאל")))</f>
        <v/>
      </c>
      <c r="K38" s="29">
        <f>IF($A38="","",IF($D38&lt;&gt;"",COUNTIFS(מלאי!$B$2:$B$500,$A38,מלאי!$G$2:$G$500,$D38,מלאי!$D$2:$D$500,"&lt;&gt;"),COUNTIFS(מלאי!$B$2:$B$500,$A38,מלאי!$D$2:$D$500,"&lt;&gt;")))</f>
        <v/>
      </c>
      <c r="L38" s="29">
        <f>IF(OR($A38="",$E38=""),"",MAX(0,E38-H38))</f>
        <v/>
      </c>
      <c r="M38" s="29">
        <f>IF(OR($A38="",$E38=""),"",MAX(0,F38-I38))</f>
        <v/>
      </c>
      <c r="N38" s="29">
        <f>IF(OR($A38="",$E38=""),"",MAX(0,G38-J38))</f>
        <v/>
      </c>
      <c r="O38" s="8">
        <f>IF($P38="","",INDEX('מלאי רצוי'!$O$2:$O$121,$P38))</f>
        <v/>
      </c>
      <c r="P3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רצוי'!$A$2)+1,""),33),"")</f>
        <v/>
      </c>
    </row>
    <row r="39">
      <c r="A39" s="9">
        <f>IF($P39="","",INDEX('מלאי רצוי'!$A$2:$A$121,$P39))</f>
        <v/>
      </c>
      <c r="B39" s="9">
        <f>IF($P39="","",INDEX('מלאי רצוי'!$C$2:$C$121,$P39))</f>
        <v/>
      </c>
      <c r="C39" s="9">
        <f>IF($P39="","",INDEX('מלאי רצוי'!$D$2:$D$121,$P39))</f>
        <v/>
      </c>
      <c r="D39" s="9">
        <f>IF($P39="","",INDEX('מלאי רצוי'!$E$2:$E$121,$P39))</f>
        <v/>
      </c>
      <c r="E39" s="30">
        <f>IF($P39="","",INDEX('מלאי רצוי'!$F$2:$F$121,$P39))</f>
        <v/>
      </c>
      <c r="F39" s="30">
        <f>IF($P39="","",INDEX('מלאי רצוי'!$G$2:$G$121,$P39))</f>
        <v/>
      </c>
      <c r="G39" s="30">
        <f>IF($P39="","",INDEX('מלאי רצוי'!$H$2:$H$121,$P39))</f>
        <v/>
      </c>
      <c r="H39" s="30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0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0">
        <f>IF($A39="","",IF($D39&lt;&gt;"",COUNTIFS(מלאי!$B$2:$B$500,$A39,מלאי!$G$2:$G$500,$D39,מלאי!$X$2:$X$500,"מושאל"),COUNTIFS(מלאי!$B$2:$B$500,$A39,מלאי!$X$2:$X$500,"מושאל")))</f>
        <v/>
      </c>
      <c r="K39" s="30">
        <f>IF($A39="","",IF($D39&lt;&gt;"",COUNTIFS(מלאי!$B$2:$B$500,$A39,מלאי!$G$2:$G$500,$D39,מלאי!$D$2:$D$500,"&lt;&gt;"),COUNTIFS(מלאי!$B$2:$B$500,$A39,מלאי!$D$2:$D$500,"&lt;&gt;")))</f>
        <v/>
      </c>
      <c r="L39" s="30">
        <f>IF(OR($A39="",$E39=""),"",MAX(0,E39-H39))</f>
        <v/>
      </c>
      <c r="M39" s="30">
        <f>IF(OR($A39="",$E39=""),"",MAX(0,F39-I39))</f>
        <v/>
      </c>
      <c r="N39" s="30">
        <f>IF(OR($A39="",$E39=""),"",MAX(0,G39-J39))</f>
        <v/>
      </c>
      <c r="O39" s="9">
        <f>IF($P39="","",INDEX('מלאי רצוי'!$O$2:$O$121,$P39))</f>
        <v/>
      </c>
      <c r="P3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רצוי'!$A$2)+1,""),34),"")</f>
        <v/>
      </c>
    </row>
    <row r="40">
      <c r="A40" s="8">
        <f>IF($P40="","",INDEX('מלאי רצוי'!$A$2:$A$121,$P40))</f>
        <v/>
      </c>
      <c r="B40" s="8">
        <f>IF($P40="","",INDEX('מלאי רצוי'!$C$2:$C$121,$P40))</f>
        <v/>
      </c>
      <c r="C40" s="8">
        <f>IF($P40="","",INDEX('מלאי רצוי'!$D$2:$D$121,$P40))</f>
        <v/>
      </c>
      <c r="D40" s="8">
        <f>IF($P40="","",INDEX('מלאי רצוי'!$E$2:$E$121,$P40))</f>
        <v/>
      </c>
      <c r="E40" s="29">
        <f>IF($P40="","",INDEX('מלאי רצוי'!$F$2:$F$121,$P40))</f>
        <v/>
      </c>
      <c r="F40" s="29">
        <f>IF($P40="","",INDEX('מלאי רצוי'!$G$2:$G$121,$P40))</f>
        <v/>
      </c>
      <c r="G40" s="29">
        <f>IF($P40="","",INDEX('מלאי רצוי'!$H$2:$H$121,$P40))</f>
        <v/>
      </c>
      <c r="H40" s="29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29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29">
        <f>IF($A40="","",IF($D40&lt;&gt;"",COUNTIFS(מלאי!$B$2:$B$500,$A40,מלאי!$G$2:$G$500,$D40,מלאי!$X$2:$X$500,"מושאל"),COUNTIFS(מלאי!$B$2:$B$500,$A40,מלאי!$X$2:$X$500,"מושאל")))</f>
        <v/>
      </c>
      <c r="K40" s="29">
        <f>IF($A40="","",IF($D40&lt;&gt;"",COUNTIFS(מלאי!$B$2:$B$500,$A40,מלאי!$G$2:$G$500,$D40,מלאי!$D$2:$D$500,"&lt;&gt;"),COUNTIFS(מלאי!$B$2:$B$500,$A40,מלאי!$D$2:$D$500,"&lt;&gt;")))</f>
        <v/>
      </c>
      <c r="L40" s="29">
        <f>IF(OR($A40="",$E40=""),"",MAX(0,E40-H40))</f>
        <v/>
      </c>
      <c r="M40" s="29">
        <f>IF(OR($A40="",$E40=""),"",MAX(0,F40-I40))</f>
        <v/>
      </c>
      <c r="N40" s="29">
        <f>IF(OR($A40="",$E40=""),"",MAX(0,G40-J40))</f>
        <v/>
      </c>
      <c r="O40" s="8">
        <f>IF($P40="","",INDEX('מלאי רצוי'!$O$2:$O$121,$P40))</f>
        <v/>
      </c>
      <c r="P4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רצוי'!$A$2)+1,""),35),"")</f>
        <v/>
      </c>
    </row>
    <row r="41">
      <c r="A41" s="9">
        <f>IF($P41="","",INDEX('מלאי רצוי'!$A$2:$A$121,$P41))</f>
        <v/>
      </c>
      <c r="B41" s="9">
        <f>IF($P41="","",INDEX('מלאי רצוי'!$C$2:$C$121,$P41))</f>
        <v/>
      </c>
      <c r="C41" s="9">
        <f>IF($P41="","",INDEX('מלאי רצוי'!$D$2:$D$121,$P41))</f>
        <v/>
      </c>
      <c r="D41" s="9">
        <f>IF($P41="","",INDEX('מלאי רצוי'!$E$2:$E$121,$P41))</f>
        <v/>
      </c>
      <c r="E41" s="30">
        <f>IF($P41="","",INDEX('מלאי רצוי'!$F$2:$F$121,$P41))</f>
        <v/>
      </c>
      <c r="F41" s="30">
        <f>IF($P41="","",INDEX('מלאי רצוי'!$G$2:$G$121,$P41))</f>
        <v/>
      </c>
      <c r="G41" s="30">
        <f>IF($P41="","",INDEX('מלאי רצוי'!$H$2:$H$121,$P41))</f>
        <v/>
      </c>
      <c r="H41" s="30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0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0">
        <f>IF($A41="","",IF($D41&lt;&gt;"",COUNTIFS(מלאי!$B$2:$B$500,$A41,מלאי!$G$2:$G$500,$D41,מלאי!$X$2:$X$500,"מושאל"),COUNTIFS(מלאי!$B$2:$B$500,$A41,מלאי!$X$2:$X$500,"מושאל")))</f>
        <v/>
      </c>
      <c r="K41" s="30">
        <f>IF($A41="","",IF($D41&lt;&gt;"",COUNTIFS(מלאי!$B$2:$B$500,$A41,מלאי!$G$2:$G$500,$D41,מלאי!$D$2:$D$500,"&lt;&gt;"),COUNTIFS(מלאי!$B$2:$B$500,$A41,מלאי!$D$2:$D$500,"&lt;&gt;")))</f>
        <v/>
      </c>
      <c r="L41" s="30">
        <f>IF(OR($A41="",$E41=""),"",MAX(0,E41-H41))</f>
        <v/>
      </c>
      <c r="M41" s="30">
        <f>IF(OR($A41="",$E41=""),"",MAX(0,F41-I41))</f>
        <v/>
      </c>
      <c r="N41" s="30">
        <f>IF(OR($A41="",$E41=""),"",MAX(0,G41-J41))</f>
        <v/>
      </c>
      <c r="O41" s="9">
        <f>IF($P41="","",INDEX('מלאי רצוי'!$O$2:$O$121,$P41))</f>
        <v/>
      </c>
      <c r="P4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רצוי'!$A$2)+1,""),36),"")</f>
        <v/>
      </c>
    </row>
    <row r="42">
      <c r="A42" s="8">
        <f>IF($P42="","",INDEX('מלאי רצוי'!$A$2:$A$121,$P42))</f>
        <v/>
      </c>
      <c r="B42" s="8">
        <f>IF($P42="","",INDEX('מלאי רצוי'!$C$2:$C$121,$P42))</f>
        <v/>
      </c>
      <c r="C42" s="8">
        <f>IF($P42="","",INDEX('מלאי רצוי'!$D$2:$D$121,$P42))</f>
        <v/>
      </c>
      <c r="D42" s="8">
        <f>IF($P42="","",INDEX('מלאי רצוי'!$E$2:$E$121,$P42))</f>
        <v/>
      </c>
      <c r="E42" s="29">
        <f>IF($P42="","",INDEX('מלאי רצוי'!$F$2:$F$121,$P42))</f>
        <v/>
      </c>
      <c r="F42" s="29">
        <f>IF($P42="","",INDEX('מלאי רצוי'!$G$2:$G$121,$P42))</f>
        <v/>
      </c>
      <c r="G42" s="29">
        <f>IF($P42="","",INDEX('מלאי רצוי'!$H$2:$H$121,$P42))</f>
        <v/>
      </c>
      <c r="H42" s="29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29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29">
        <f>IF($A42="","",IF($D42&lt;&gt;"",COUNTIFS(מלאי!$B$2:$B$500,$A42,מלאי!$G$2:$G$500,$D42,מלאי!$X$2:$X$500,"מושאל"),COUNTIFS(מלאי!$B$2:$B$500,$A42,מלאי!$X$2:$X$500,"מושאל")))</f>
        <v/>
      </c>
      <c r="K42" s="29">
        <f>IF($A42="","",IF($D42&lt;&gt;"",COUNTIFS(מלאי!$B$2:$B$500,$A42,מלאי!$G$2:$G$500,$D42,מלאי!$D$2:$D$500,"&lt;&gt;"),COUNTIFS(מלאי!$B$2:$B$500,$A42,מלאי!$D$2:$D$500,"&lt;&gt;")))</f>
        <v/>
      </c>
      <c r="L42" s="29">
        <f>IF(OR($A42="",$E42=""),"",MAX(0,E42-H42))</f>
        <v/>
      </c>
      <c r="M42" s="29">
        <f>IF(OR($A42="",$E42=""),"",MAX(0,F42-I42))</f>
        <v/>
      </c>
      <c r="N42" s="29">
        <f>IF(OR($A42="",$E42=""),"",MAX(0,G42-J42))</f>
        <v/>
      </c>
      <c r="O42" s="8">
        <f>IF($P42="","",INDEX('מלאי רצוי'!$O$2:$O$121,$P42))</f>
        <v/>
      </c>
      <c r="P4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רצוי'!$A$2)+1,""),37),"")</f>
        <v/>
      </c>
    </row>
    <row r="43">
      <c r="A43" s="9">
        <f>IF($P43="","",INDEX('מלאי רצוי'!$A$2:$A$121,$P43))</f>
        <v/>
      </c>
      <c r="B43" s="9">
        <f>IF($P43="","",INDEX('מלאי רצוי'!$C$2:$C$121,$P43))</f>
        <v/>
      </c>
      <c r="C43" s="9">
        <f>IF($P43="","",INDEX('מלאי רצוי'!$D$2:$D$121,$P43))</f>
        <v/>
      </c>
      <c r="D43" s="9">
        <f>IF($P43="","",INDEX('מלאי רצוי'!$E$2:$E$121,$P43))</f>
        <v/>
      </c>
      <c r="E43" s="30">
        <f>IF($P43="","",INDEX('מלאי רצוי'!$F$2:$F$121,$P43))</f>
        <v/>
      </c>
      <c r="F43" s="30">
        <f>IF($P43="","",INDEX('מלאי רצוי'!$G$2:$G$121,$P43))</f>
        <v/>
      </c>
      <c r="G43" s="30">
        <f>IF($P43="","",INDEX('מלאי רצוי'!$H$2:$H$121,$P43))</f>
        <v/>
      </c>
      <c r="H43" s="30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0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0">
        <f>IF($A43="","",IF($D43&lt;&gt;"",COUNTIFS(מלאי!$B$2:$B$500,$A43,מלאי!$G$2:$G$500,$D43,מלאי!$X$2:$X$500,"מושאל"),COUNTIFS(מלאי!$B$2:$B$500,$A43,מלאי!$X$2:$X$500,"מושאל")))</f>
        <v/>
      </c>
      <c r="K43" s="30">
        <f>IF($A43="","",IF($D43&lt;&gt;"",COUNTIFS(מלאי!$B$2:$B$500,$A43,מלאי!$G$2:$G$500,$D43,מלאי!$D$2:$D$500,"&lt;&gt;"),COUNTIFS(מלאי!$B$2:$B$500,$A43,מלאי!$D$2:$D$500,"&lt;&gt;")))</f>
        <v/>
      </c>
      <c r="L43" s="30">
        <f>IF(OR($A43="",$E43=""),"",MAX(0,E43-H43))</f>
        <v/>
      </c>
      <c r="M43" s="30">
        <f>IF(OR($A43="",$E43=""),"",MAX(0,F43-I43))</f>
        <v/>
      </c>
      <c r="N43" s="30">
        <f>IF(OR($A43="",$E43=""),"",MAX(0,G43-J43))</f>
        <v/>
      </c>
      <c r="O43" s="9">
        <f>IF($P43="","",INDEX('מלאי רצוי'!$O$2:$O$121,$P43))</f>
        <v/>
      </c>
      <c r="P4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רצוי'!$A$2)+1,""),38),"")</f>
        <v/>
      </c>
    </row>
    <row r="44">
      <c r="A44" s="8">
        <f>IF($P44="","",INDEX('מלאי רצוי'!$A$2:$A$121,$P44))</f>
        <v/>
      </c>
      <c r="B44" s="8">
        <f>IF($P44="","",INDEX('מלאי רצוי'!$C$2:$C$121,$P44))</f>
        <v/>
      </c>
      <c r="C44" s="8">
        <f>IF($P44="","",INDEX('מלאי רצוי'!$D$2:$D$121,$P44))</f>
        <v/>
      </c>
      <c r="D44" s="8">
        <f>IF($P44="","",INDEX('מלאי רצוי'!$E$2:$E$121,$P44))</f>
        <v/>
      </c>
      <c r="E44" s="29">
        <f>IF($P44="","",INDEX('מלאי רצוי'!$F$2:$F$121,$P44))</f>
        <v/>
      </c>
      <c r="F44" s="29">
        <f>IF($P44="","",INDEX('מלאי רצוי'!$G$2:$G$121,$P44))</f>
        <v/>
      </c>
      <c r="G44" s="29">
        <f>IF($P44="","",INDEX('מלאי רצוי'!$H$2:$H$121,$P44))</f>
        <v/>
      </c>
      <c r="H44" s="29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29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29">
        <f>IF($A44="","",IF($D44&lt;&gt;"",COUNTIFS(מלאי!$B$2:$B$500,$A44,מלאי!$G$2:$G$500,$D44,מלאי!$X$2:$X$500,"מושאל"),COUNTIFS(מלאי!$B$2:$B$500,$A44,מלאי!$X$2:$X$500,"מושאל")))</f>
        <v/>
      </c>
      <c r="K44" s="29">
        <f>IF($A44="","",IF($D44&lt;&gt;"",COUNTIFS(מלאי!$B$2:$B$500,$A44,מלאי!$G$2:$G$500,$D44,מלאי!$D$2:$D$500,"&lt;&gt;"),COUNTIFS(מלאי!$B$2:$B$500,$A44,מלאי!$D$2:$D$500,"&lt;&gt;")))</f>
        <v/>
      </c>
      <c r="L44" s="29">
        <f>IF(OR($A44="",$E44=""),"",MAX(0,E44-H44))</f>
        <v/>
      </c>
      <c r="M44" s="29">
        <f>IF(OR($A44="",$E44=""),"",MAX(0,F44-I44))</f>
        <v/>
      </c>
      <c r="N44" s="29">
        <f>IF(OR($A44="",$E44=""),"",MAX(0,G44-J44))</f>
        <v/>
      </c>
      <c r="O44" s="8">
        <f>IF($P44="","",INDEX('מלאי רצוי'!$O$2:$O$121,$P44))</f>
        <v/>
      </c>
      <c r="P4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רצוי'!$A$2)+1,""),39),"")</f>
        <v/>
      </c>
    </row>
    <row r="45">
      <c r="A45" s="9">
        <f>IF($P45="","",INDEX('מלאי רצוי'!$A$2:$A$121,$P45))</f>
        <v/>
      </c>
      <c r="B45" s="9">
        <f>IF($P45="","",INDEX('מלאי רצוי'!$C$2:$C$121,$P45))</f>
        <v/>
      </c>
      <c r="C45" s="9">
        <f>IF($P45="","",INDEX('מלאי רצוי'!$D$2:$D$121,$P45))</f>
        <v/>
      </c>
      <c r="D45" s="9">
        <f>IF($P45="","",INDEX('מלאי רצוי'!$E$2:$E$121,$P45))</f>
        <v/>
      </c>
      <c r="E45" s="30">
        <f>IF($P45="","",INDEX('מלאי רצוי'!$F$2:$F$121,$P45))</f>
        <v/>
      </c>
      <c r="F45" s="30">
        <f>IF($P45="","",INDEX('מלאי רצוי'!$G$2:$G$121,$P45))</f>
        <v/>
      </c>
      <c r="G45" s="30">
        <f>IF($P45="","",INDEX('מלאי רצוי'!$H$2:$H$121,$P45))</f>
        <v/>
      </c>
      <c r="H45" s="30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0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0">
        <f>IF($A45="","",IF($D45&lt;&gt;"",COUNTIFS(מלאי!$B$2:$B$500,$A45,מלאי!$G$2:$G$500,$D45,מלאי!$X$2:$X$500,"מושאל"),COUNTIFS(מלאי!$B$2:$B$500,$A45,מלאי!$X$2:$X$500,"מושאל")))</f>
        <v/>
      </c>
      <c r="K45" s="30">
        <f>IF($A45="","",IF($D45&lt;&gt;"",COUNTIFS(מלאי!$B$2:$B$500,$A45,מלאי!$G$2:$G$500,$D45,מלאי!$D$2:$D$500,"&lt;&gt;"),COUNTIFS(מלאי!$B$2:$B$500,$A45,מלאי!$D$2:$D$500,"&lt;&gt;")))</f>
        <v/>
      </c>
      <c r="L45" s="30">
        <f>IF(OR($A45="",$E45=""),"",MAX(0,E45-H45))</f>
        <v/>
      </c>
      <c r="M45" s="30">
        <f>IF(OR($A45="",$E45=""),"",MAX(0,F45-I45))</f>
        <v/>
      </c>
      <c r="N45" s="30">
        <f>IF(OR($A45="",$E45=""),"",MAX(0,G45-J45))</f>
        <v/>
      </c>
      <c r="O45" s="9">
        <f>IF($P45="","",INDEX('מלאי רצוי'!$O$2:$O$121,$P45))</f>
        <v/>
      </c>
      <c r="P4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רצוי'!$A$2)+1,""),40),"")</f>
        <v/>
      </c>
    </row>
    <row r="46">
      <c r="A46" s="8">
        <f>IF($P46="","",INDEX('מלאי רצוי'!$A$2:$A$121,$P46))</f>
        <v/>
      </c>
      <c r="B46" s="8">
        <f>IF($P46="","",INDEX('מלאי רצוי'!$C$2:$C$121,$P46))</f>
        <v/>
      </c>
      <c r="C46" s="8">
        <f>IF($P46="","",INDEX('מלאי רצוי'!$D$2:$D$121,$P46))</f>
        <v/>
      </c>
      <c r="D46" s="8">
        <f>IF($P46="","",INDEX('מלאי רצוי'!$E$2:$E$121,$P46))</f>
        <v/>
      </c>
      <c r="E46" s="29">
        <f>IF($P46="","",INDEX('מלאי רצוי'!$F$2:$F$121,$P46))</f>
        <v/>
      </c>
      <c r="F46" s="29">
        <f>IF($P46="","",INDEX('מלאי רצוי'!$G$2:$G$121,$P46))</f>
        <v/>
      </c>
      <c r="G46" s="29">
        <f>IF($P46="","",INDEX('מלאי רצוי'!$H$2:$H$121,$P46))</f>
        <v/>
      </c>
      <c r="H46" s="29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29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29">
        <f>IF($A46="","",IF($D46&lt;&gt;"",COUNTIFS(מלאי!$B$2:$B$500,$A46,מלאי!$G$2:$G$500,$D46,מלאי!$X$2:$X$500,"מושאל"),COUNTIFS(מלאי!$B$2:$B$500,$A46,מלאי!$X$2:$X$500,"מושאל")))</f>
        <v/>
      </c>
      <c r="K46" s="29">
        <f>IF($A46="","",IF($D46&lt;&gt;"",COUNTIFS(מלאי!$B$2:$B$500,$A46,מלאי!$G$2:$G$500,$D46,מלאי!$D$2:$D$500,"&lt;&gt;"),COUNTIFS(מלאי!$B$2:$B$500,$A46,מלאי!$D$2:$D$500,"&lt;&gt;")))</f>
        <v/>
      </c>
      <c r="L46" s="29">
        <f>IF(OR($A46="",$E46=""),"",MAX(0,E46-H46))</f>
        <v/>
      </c>
      <c r="M46" s="29">
        <f>IF(OR($A46="",$E46=""),"",MAX(0,F46-I46))</f>
        <v/>
      </c>
      <c r="N46" s="29">
        <f>IF(OR($A46="",$E46=""),"",MAX(0,G46-J46))</f>
        <v/>
      </c>
      <c r="O46" s="8">
        <f>IF($P46="","",INDEX('מלאי רצוי'!$O$2:$O$121,$P46))</f>
        <v/>
      </c>
      <c r="P4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רצוי'!$A$2)+1,""),41),"")</f>
        <v/>
      </c>
    </row>
    <row r="47">
      <c r="A47" s="9">
        <f>IF($P47="","",INDEX('מלאי רצוי'!$A$2:$A$121,$P47))</f>
        <v/>
      </c>
      <c r="B47" s="9">
        <f>IF($P47="","",INDEX('מלאי רצוי'!$C$2:$C$121,$P47))</f>
        <v/>
      </c>
      <c r="C47" s="9">
        <f>IF($P47="","",INDEX('מלאי רצוי'!$D$2:$D$121,$P47))</f>
        <v/>
      </c>
      <c r="D47" s="9">
        <f>IF($P47="","",INDEX('מלאי רצוי'!$E$2:$E$121,$P47))</f>
        <v/>
      </c>
      <c r="E47" s="30">
        <f>IF($P47="","",INDEX('מלאי רצוי'!$F$2:$F$121,$P47))</f>
        <v/>
      </c>
      <c r="F47" s="30">
        <f>IF($P47="","",INDEX('מלאי רצוי'!$G$2:$G$121,$P47))</f>
        <v/>
      </c>
      <c r="G47" s="30">
        <f>IF($P47="","",INDEX('מלאי רצוי'!$H$2:$H$121,$P47))</f>
        <v/>
      </c>
      <c r="H47" s="30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0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0">
        <f>IF($A47="","",IF($D47&lt;&gt;"",COUNTIFS(מלאי!$B$2:$B$500,$A47,מלאי!$G$2:$G$500,$D47,מלאי!$X$2:$X$500,"מושאל"),COUNTIFS(מלאי!$B$2:$B$500,$A47,מלאי!$X$2:$X$500,"מושאל")))</f>
        <v/>
      </c>
      <c r="K47" s="30">
        <f>IF($A47="","",IF($D47&lt;&gt;"",COUNTIFS(מלאי!$B$2:$B$500,$A47,מלאי!$G$2:$G$500,$D47,מלאי!$D$2:$D$500,"&lt;&gt;"),COUNTIFS(מלאי!$B$2:$B$500,$A47,מלאי!$D$2:$D$500,"&lt;&gt;")))</f>
        <v/>
      </c>
      <c r="L47" s="30">
        <f>IF(OR($A47="",$E47=""),"",MAX(0,E47-H47))</f>
        <v/>
      </c>
      <c r="M47" s="30">
        <f>IF(OR($A47="",$E47=""),"",MAX(0,F47-I47))</f>
        <v/>
      </c>
      <c r="N47" s="30">
        <f>IF(OR($A47="",$E47=""),"",MAX(0,G47-J47))</f>
        <v/>
      </c>
      <c r="O47" s="9">
        <f>IF($P47="","",INDEX('מלאי רצוי'!$O$2:$O$121,$P47))</f>
        <v/>
      </c>
      <c r="P4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רצוי'!$A$2)+1,""),42),"")</f>
        <v/>
      </c>
    </row>
    <row r="48">
      <c r="A48" s="8">
        <f>IF($P48="","",INDEX('מלאי רצוי'!$A$2:$A$121,$P48))</f>
        <v/>
      </c>
      <c r="B48" s="8">
        <f>IF($P48="","",INDEX('מלאי רצוי'!$C$2:$C$121,$P48))</f>
        <v/>
      </c>
      <c r="C48" s="8">
        <f>IF($P48="","",INDEX('מלאי רצוי'!$D$2:$D$121,$P48))</f>
        <v/>
      </c>
      <c r="D48" s="8">
        <f>IF($P48="","",INDEX('מלאי רצוי'!$E$2:$E$121,$P48))</f>
        <v/>
      </c>
      <c r="E48" s="29">
        <f>IF($P48="","",INDEX('מלאי רצוי'!$F$2:$F$121,$P48))</f>
        <v/>
      </c>
      <c r="F48" s="29">
        <f>IF($P48="","",INDEX('מלאי רצוי'!$G$2:$G$121,$P48))</f>
        <v/>
      </c>
      <c r="G48" s="29">
        <f>IF($P48="","",INDEX('מלאי רצוי'!$H$2:$H$121,$P48))</f>
        <v/>
      </c>
      <c r="H48" s="29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29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29">
        <f>IF($A48="","",IF($D48&lt;&gt;"",COUNTIFS(מלאי!$B$2:$B$500,$A48,מלאי!$G$2:$G$500,$D48,מלאי!$X$2:$X$500,"מושאל"),COUNTIFS(מלאי!$B$2:$B$500,$A48,מלאי!$X$2:$X$500,"מושאל")))</f>
        <v/>
      </c>
      <c r="K48" s="29">
        <f>IF($A48="","",IF($D48&lt;&gt;"",COUNTIFS(מלאי!$B$2:$B$500,$A48,מלאי!$G$2:$G$500,$D48,מלאי!$D$2:$D$500,"&lt;&gt;"),COUNTIFS(מלאי!$B$2:$B$500,$A48,מלאי!$D$2:$D$500,"&lt;&gt;")))</f>
        <v/>
      </c>
      <c r="L48" s="29">
        <f>IF(OR($A48="",$E48=""),"",MAX(0,E48-H48))</f>
        <v/>
      </c>
      <c r="M48" s="29">
        <f>IF(OR($A48="",$E48=""),"",MAX(0,F48-I48))</f>
        <v/>
      </c>
      <c r="N48" s="29">
        <f>IF(OR($A48="",$E48=""),"",MAX(0,G48-J48))</f>
        <v/>
      </c>
      <c r="O48" s="8">
        <f>IF($P48="","",INDEX('מלאי רצוי'!$O$2:$O$121,$P48))</f>
        <v/>
      </c>
      <c r="P4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רצוי'!$A$2)+1,""),43),"")</f>
        <v/>
      </c>
    </row>
    <row r="49">
      <c r="A49" s="9">
        <f>IF($P49="","",INDEX('מלאי רצוי'!$A$2:$A$121,$P49))</f>
        <v/>
      </c>
      <c r="B49" s="9">
        <f>IF($P49="","",INDEX('מלאי רצוי'!$C$2:$C$121,$P49))</f>
        <v/>
      </c>
      <c r="C49" s="9">
        <f>IF($P49="","",INDEX('מלאי רצוי'!$D$2:$D$121,$P49))</f>
        <v/>
      </c>
      <c r="D49" s="9">
        <f>IF($P49="","",INDEX('מלאי רצוי'!$E$2:$E$121,$P49))</f>
        <v/>
      </c>
      <c r="E49" s="30">
        <f>IF($P49="","",INDEX('מלאי רצוי'!$F$2:$F$121,$P49))</f>
        <v/>
      </c>
      <c r="F49" s="30">
        <f>IF($P49="","",INDEX('מלאי רצוי'!$G$2:$G$121,$P49))</f>
        <v/>
      </c>
      <c r="G49" s="30">
        <f>IF($P49="","",INDEX('מלאי רצוי'!$H$2:$H$121,$P49))</f>
        <v/>
      </c>
      <c r="H49" s="30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0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0">
        <f>IF($A49="","",IF($D49&lt;&gt;"",COUNTIFS(מלאי!$B$2:$B$500,$A49,מלאי!$G$2:$G$500,$D49,מלאי!$X$2:$X$500,"מושאל"),COUNTIFS(מלאי!$B$2:$B$500,$A49,מלאי!$X$2:$X$500,"מושאל")))</f>
        <v/>
      </c>
      <c r="K49" s="30">
        <f>IF($A49="","",IF($D49&lt;&gt;"",COUNTIFS(מלאי!$B$2:$B$500,$A49,מלאי!$G$2:$G$500,$D49,מלאי!$D$2:$D$500,"&lt;&gt;"),COUNTIFS(מלאי!$B$2:$B$500,$A49,מלאי!$D$2:$D$500,"&lt;&gt;")))</f>
        <v/>
      </c>
      <c r="L49" s="30">
        <f>IF(OR($A49="",$E49=""),"",MAX(0,E49-H49))</f>
        <v/>
      </c>
      <c r="M49" s="30">
        <f>IF(OR($A49="",$E49=""),"",MAX(0,F49-I49))</f>
        <v/>
      </c>
      <c r="N49" s="30">
        <f>IF(OR($A49="",$E49=""),"",MAX(0,G49-J49))</f>
        <v/>
      </c>
      <c r="O49" s="9">
        <f>IF($P49="","",INDEX('מלאי רצוי'!$O$2:$O$121,$P49))</f>
        <v/>
      </c>
      <c r="P4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רצוי'!$A$2)+1,""),44),"")</f>
        <v/>
      </c>
    </row>
    <row r="50">
      <c r="A50" s="8">
        <f>IF($P50="","",INDEX('מלאי רצוי'!$A$2:$A$121,$P50))</f>
        <v/>
      </c>
      <c r="B50" s="8">
        <f>IF($P50="","",INDEX('מלאי רצוי'!$C$2:$C$121,$P50))</f>
        <v/>
      </c>
      <c r="C50" s="8">
        <f>IF($P50="","",INDEX('מלאי רצוי'!$D$2:$D$121,$P50))</f>
        <v/>
      </c>
      <c r="D50" s="8">
        <f>IF($P50="","",INDEX('מלאי רצוי'!$E$2:$E$121,$P50))</f>
        <v/>
      </c>
      <c r="E50" s="29">
        <f>IF($P50="","",INDEX('מלאי רצוי'!$F$2:$F$121,$P50))</f>
        <v/>
      </c>
      <c r="F50" s="29">
        <f>IF($P50="","",INDEX('מלאי רצוי'!$G$2:$G$121,$P50))</f>
        <v/>
      </c>
      <c r="G50" s="29">
        <f>IF($P50="","",INDEX('מלאי רצוי'!$H$2:$H$121,$P50))</f>
        <v/>
      </c>
      <c r="H50" s="29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29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29">
        <f>IF($A50="","",IF($D50&lt;&gt;"",COUNTIFS(מלאי!$B$2:$B$500,$A50,מלאי!$G$2:$G$500,$D50,מלאי!$X$2:$X$500,"מושאל"),COUNTIFS(מלאי!$B$2:$B$500,$A50,מלאי!$X$2:$X$500,"מושאל")))</f>
        <v/>
      </c>
      <c r="K50" s="29">
        <f>IF($A50="","",IF($D50&lt;&gt;"",COUNTIFS(מלאי!$B$2:$B$500,$A50,מלאי!$G$2:$G$500,$D50,מלאי!$D$2:$D$500,"&lt;&gt;"),COUNTIFS(מלאי!$B$2:$B$500,$A50,מלאי!$D$2:$D$500,"&lt;&gt;")))</f>
        <v/>
      </c>
      <c r="L50" s="29">
        <f>IF(OR($A50="",$E50=""),"",MAX(0,E50-H50))</f>
        <v/>
      </c>
      <c r="M50" s="29">
        <f>IF(OR($A50="",$E50=""),"",MAX(0,F50-I50))</f>
        <v/>
      </c>
      <c r="N50" s="29">
        <f>IF(OR($A50="",$E50=""),"",MAX(0,G50-J50))</f>
        <v/>
      </c>
      <c r="O50" s="8">
        <f>IF($P50="","",INDEX('מלאי רצוי'!$O$2:$O$121,$P50))</f>
        <v/>
      </c>
      <c r="P5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רצוי'!$A$2)+1,""),45),"")</f>
        <v/>
      </c>
    </row>
    <row r="51">
      <c r="A51" s="9">
        <f>IF($P51="","",INDEX('מלאי רצוי'!$A$2:$A$121,$P51))</f>
        <v/>
      </c>
      <c r="B51" s="9">
        <f>IF($P51="","",INDEX('מלאי רצוי'!$C$2:$C$121,$P51))</f>
        <v/>
      </c>
      <c r="C51" s="9">
        <f>IF($P51="","",INDEX('מלאי רצוי'!$D$2:$D$121,$P51))</f>
        <v/>
      </c>
      <c r="D51" s="9">
        <f>IF($P51="","",INDEX('מלאי רצוי'!$E$2:$E$121,$P51))</f>
        <v/>
      </c>
      <c r="E51" s="30">
        <f>IF($P51="","",INDEX('מלאי רצוי'!$F$2:$F$121,$P51))</f>
        <v/>
      </c>
      <c r="F51" s="30">
        <f>IF($P51="","",INDEX('מלאי רצוי'!$G$2:$G$121,$P51))</f>
        <v/>
      </c>
      <c r="G51" s="30">
        <f>IF($P51="","",INDEX('מלאי רצוי'!$H$2:$H$121,$P51))</f>
        <v/>
      </c>
      <c r="H51" s="30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0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0">
        <f>IF($A51="","",IF($D51&lt;&gt;"",COUNTIFS(מלאי!$B$2:$B$500,$A51,מלאי!$G$2:$G$500,$D51,מלאי!$X$2:$X$500,"מושאל"),COUNTIFS(מלאי!$B$2:$B$500,$A51,מלאי!$X$2:$X$500,"מושאל")))</f>
        <v/>
      </c>
      <c r="K51" s="30">
        <f>IF($A51="","",IF($D51&lt;&gt;"",COUNTIFS(מלאי!$B$2:$B$500,$A51,מלאי!$G$2:$G$500,$D51,מלאי!$D$2:$D$500,"&lt;&gt;"),COUNTIFS(מלאי!$B$2:$B$500,$A51,מלאי!$D$2:$D$500,"&lt;&gt;")))</f>
        <v/>
      </c>
      <c r="L51" s="30">
        <f>IF(OR($A51="",$E51=""),"",MAX(0,E51-H51))</f>
        <v/>
      </c>
      <c r="M51" s="30">
        <f>IF(OR($A51="",$E51=""),"",MAX(0,F51-I51))</f>
        <v/>
      </c>
      <c r="N51" s="30">
        <f>IF(OR($A51="",$E51=""),"",MAX(0,G51-J51))</f>
        <v/>
      </c>
      <c r="O51" s="9">
        <f>IF($P51="","",INDEX('מלאי רצוי'!$O$2:$O$121,$P51))</f>
        <v/>
      </c>
      <c r="P5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רצוי'!$A$2)+1,""),46),"")</f>
        <v/>
      </c>
    </row>
    <row r="52">
      <c r="A52" s="8">
        <f>IF($P52="","",INDEX('מלאי רצוי'!$A$2:$A$121,$P52))</f>
        <v/>
      </c>
      <c r="B52" s="8">
        <f>IF($P52="","",INDEX('מלאי רצוי'!$C$2:$C$121,$P52))</f>
        <v/>
      </c>
      <c r="C52" s="8">
        <f>IF($P52="","",INDEX('מלאי רצוי'!$D$2:$D$121,$P52))</f>
        <v/>
      </c>
      <c r="D52" s="8">
        <f>IF($P52="","",INDEX('מלאי רצוי'!$E$2:$E$121,$P52))</f>
        <v/>
      </c>
      <c r="E52" s="29">
        <f>IF($P52="","",INDEX('מלאי רצוי'!$F$2:$F$121,$P52))</f>
        <v/>
      </c>
      <c r="F52" s="29">
        <f>IF($P52="","",INDEX('מלאי רצוי'!$G$2:$G$121,$P52))</f>
        <v/>
      </c>
      <c r="G52" s="29">
        <f>IF($P52="","",INDEX('מלאי רצוי'!$H$2:$H$121,$P52))</f>
        <v/>
      </c>
      <c r="H52" s="29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29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29">
        <f>IF($A52="","",IF($D52&lt;&gt;"",COUNTIFS(מלאי!$B$2:$B$500,$A52,מלאי!$G$2:$G$500,$D52,מלאי!$X$2:$X$500,"מושאל"),COUNTIFS(מלאי!$B$2:$B$500,$A52,מלאי!$X$2:$X$500,"מושאל")))</f>
        <v/>
      </c>
      <c r="K52" s="29">
        <f>IF($A52="","",IF($D52&lt;&gt;"",COUNTIFS(מלאי!$B$2:$B$500,$A52,מלאי!$G$2:$G$500,$D52,מלאי!$D$2:$D$500,"&lt;&gt;"),COUNTIFS(מלאי!$B$2:$B$500,$A52,מלאי!$D$2:$D$500,"&lt;&gt;")))</f>
        <v/>
      </c>
      <c r="L52" s="29">
        <f>IF(OR($A52="",$E52=""),"",MAX(0,E52-H52))</f>
        <v/>
      </c>
      <c r="M52" s="29">
        <f>IF(OR($A52="",$E52=""),"",MAX(0,F52-I52))</f>
        <v/>
      </c>
      <c r="N52" s="29">
        <f>IF(OR($A52="",$E52=""),"",MAX(0,G52-J52))</f>
        <v/>
      </c>
      <c r="O52" s="8">
        <f>IF($P52="","",INDEX('מלאי רצוי'!$O$2:$O$121,$P52))</f>
        <v/>
      </c>
      <c r="P5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רצוי'!$A$2)+1,""),47),"")</f>
        <v/>
      </c>
    </row>
    <row r="53">
      <c r="A53" s="9">
        <f>IF($P53="","",INDEX('מלאי רצוי'!$A$2:$A$121,$P53))</f>
        <v/>
      </c>
      <c r="B53" s="9">
        <f>IF($P53="","",INDEX('מלאי רצוי'!$C$2:$C$121,$P53))</f>
        <v/>
      </c>
      <c r="C53" s="9">
        <f>IF($P53="","",INDEX('מלאי רצוי'!$D$2:$D$121,$P53))</f>
        <v/>
      </c>
      <c r="D53" s="9">
        <f>IF($P53="","",INDEX('מלאי רצוי'!$E$2:$E$121,$P53))</f>
        <v/>
      </c>
      <c r="E53" s="30">
        <f>IF($P53="","",INDEX('מלאי רצוי'!$F$2:$F$121,$P53))</f>
        <v/>
      </c>
      <c r="F53" s="30">
        <f>IF($P53="","",INDEX('מלאי רצוי'!$G$2:$G$121,$P53))</f>
        <v/>
      </c>
      <c r="G53" s="30">
        <f>IF($P53="","",INDEX('מלאי רצוי'!$H$2:$H$121,$P53))</f>
        <v/>
      </c>
      <c r="H53" s="30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0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0">
        <f>IF($A53="","",IF($D53&lt;&gt;"",COUNTIFS(מלאי!$B$2:$B$500,$A53,מלאי!$G$2:$G$500,$D53,מלאי!$X$2:$X$500,"מושאל"),COUNTIFS(מלאי!$B$2:$B$500,$A53,מלאי!$X$2:$X$500,"מושאל")))</f>
        <v/>
      </c>
      <c r="K53" s="30">
        <f>IF($A53="","",IF($D53&lt;&gt;"",COUNTIFS(מלאי!$B$2:$B$500,$A53,מלאי!$G$2:$G$500,$D53,מלאי!$D$2:$D$500,"&lt;&gt;"),COUNTIFS(מלאי!$B$2:$B$500,$A53,מלאי!$D$2:$D$500,"&lt;&gt;")))</f>
        <v/>
      </c>
      <c r="L53" s="30">
        <f>IF(OR($A53="",$E53=""),"",MAX(0,E53-H53))</f>
        <v/>
      </c>
      <c r="M53" s="30">
        <f>IF(OR($A53="",$E53=""),"",MAX(0,F53-I53))</f>
        <v/>
      </c>
      <c r="N53" s="30">
        <f>IF(OR($A53="",$E53=""),"",MAX(0,G53-J53))</f>
        <v/>
      </c>
      <c r="O53" s="9">
        <f>IF($P53="","",INDEX('מלאי רצוי'!$O$2:$O$121,$P53))</f>
        <v/>
      </c>
      <c r="P5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רצוי'!$A$2)+1,""),48),"")</f>
        <v/>
      </c>
    </row>
    <row r="54">
      <c r="A54" s="8">
        <f>IF($P54="","",INDEX('מלאי רצוי'!$A$2:$A$121,$P54))</f>
        <v/>
      </c>
      <c r="B54" s="8">
        <f>IF($P54="","",INDEX('מלאי רצוי'!$C$2:$C$121,$P54))</f>
        <v/>
      </c>
      <c r="C54" s="8">
        <f>IF($P54="","",INDEX('מלאי רצוי'!$D$2:$D$121,$P54))</f>
        <v/>
      </c>
      <c r="D54" s="8">
        <f>IF($P54="","",INDEX('מלאי רצוי'!$E$2:$E$121,$P54))</f>
        <v/>
      </c>
      <c r="E54" s="29">
        <f>IF($P54="","",INDEX('מלאי רצוי'!$F$2:$F$121,$P54))</f>
        <v/>
      </c>
      <c r="F54" s="29">
        <f>IF($P54="","",INDEX('מלאי רצוי'!$G$2:$G$121,$P54))</f>
        <v/>
      </c>
      <c r="G54" s="29">
        <f>IF($P54="","",INDEX('מלאי רצוי'!$H$2:$H$121,$P54))</f>
        <v/>
      </c>
      <c r="H54" s="29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29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29">
        <f>IF($A54="","",IF($D54&lt;&gt;"",COUNTIFS(מלאי!$B$2:$B$500,$A54,מלאי!$G$2:$G$500,$D54,מלאי!$X$2:$X$500,"מושאל"),COUNTIFS(מלאי!$B$2:$B$500,$A54,מלאי!$X$2:$X$500,"מושאל")))</f>
        <v/>
      </c>
      <c r="K54" s="29">
        <f>IF($A54="","",IF($D54&lt;&gt;"",COUNTIFS(מלאי!$B$2:$B$500,$A54,מלאי!$G$2:$G$500,$D54,מלאי!$D$2:$D$500,"&lt;&gt;"),COUNTIFS(מלאי!$B$2:$B$500,$A54,מלאי!$D$2:$D$500,"&lt;&gt;")))</f>
        <v/>
      </c>
      <c r="L54" s="29">
        <f>IF(OR($A54="",$E54=""),"",MAX(0,E54-H54))</f>
        <v/>
      </c>
      <c r="M54" s="29">
        <f>IF(OR($A54="",$E54=""),"",MAX(0,F54-I54))</f>
        <v/>
      </c>
      <c r="N54" s="29">
        <f>IF(OR($A54="",$E54=""),"",MAX(0,G54-J54))</f>
        <v/>
      </c>
      <c r="O54" s="8">
        <f>IF($P54="","",INDEX('מלאי רצוי'!$O$2:$O$121,$P54))</f>
        <v/>
      </c>
      <c r="P5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רצוי'!$A$2)+1,""),49),"")</f>
        <v/>
      </c>
    </row>
    <row r="55">
      <c r="A55" s="9">
        <f>IF($P55="","",INDEX('מלאי רצוי'!$A$2:$A$121,$P55))</f>
        <v/>
      </c>
      <c r="B55" s="9">
        <f>IF($P55="","",INDEX('מלאי רצוי'!$C$2:$C$121,$P55))</f>
        <v/>
      </c>
      <c r="C55" s="9">
        <f>IF($P55="","",INDEX('מלאי רצוי'!$D$2:$D$121,$P55))</f>
        <v/>
      </c>
      <c r="D55" s="9">
        <f>IF($P55="","",INDEX('מלאי רצוי'!$E$2:$E$121,$P55))</f>
        <v/>
      </c>
      <c r="E55" s="30">
        <f>IF($P55="","",INDEX('מלאי רצוי'!$F$2:$F$121,$P55))</f>
        <v/>
      </c>
      <c r="F55" s="30">
        <f>IF($P55="","",INDEX('מלאי רצוי'!$G$2:$G$121,$P55))</f>
        <v/>
      </c>
      <c r="G55" s="30">
        <f>IF($P55="","",INDEX('מלאי רצוי'!$H$2:$H$121,$P55))</f>
        <v/>
      </c>
      <c r="H55" s="30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0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0">
        <f>IF($A55="","",IF($D55&lt;&gt;"",COUNTIFS(מלאי!$B$2:$B$500,$A55,מלאי!$G$2:$G$500,$D55,מלאי!$X$2:$X$500,"מושאל"),COUNTIFS(מלאי!$B$2:$B$500,$A55,מלאי!$X$2:$X$500,"מושאל")))</f>
        <v/>
      </c>
      <c r="K55" s="30">
        <f>IF($A55="","",IF($D55&lt;&gt;"",COUNTIFS(מלאי!$B$2:$B$500,$A55,מלאי!$G$2:$G$500,$D55,מלאי!$D$2:$D$500,"&lt;&gt;"),COUNTIFS(מלאי!$B$2:$B$500,$A55,מלאי!$D$2:$D$500,"&lt;&gt;")))</f>
        <v/>
      </c>
      <c r="L55" s="30">
        <f>IF(OR($A55="",$E55=""),"",MAX(0,E55-H55))</f>
        <v/>
      </c>
      <c r="M55" s="30">
        <f>IF(OR($A55="",$E55=""),"",MAX(0,F55-I55))</f>
        <v/>
      </c>
      <c r="N55" s="30">
        <f>IF(OR($A55="",$E55=""),"",MAX(0,G55-J55))</f>
        <v/>
      </c>
      <c r="O55" s="9">
        <f>IF($P55="","",INDEX('מלאי רצוי'!$O$2:$O$121,$P55))</f>
        <v/>
      </c>
      <c r="P5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רצוי'!$A$2)+1,""),50),"")</f>
        <v/>
      </c>
    </row>
    <row r="56">
      <c r="A56" s="8">
        <f>IF($P56="","",INDEX('מלאי רצוי'!$A$2:$A$121,$P56))</f>
        <v/>
      </c>
      <c r="B56" s="8">
        <f>IF($P56="","",INDEX('מלאי רצוי'!$C$2:$C$121,$P56))</f>
        <v/>
      </c>
      <c r="C56" s="8">
        <f>IF($P56="","",INDEX('מלאי רצוי'!$D$2:$D$121,$P56))</f>
        <v/>
      </c>
      <c r="D56" s="8">
        <f>IF($P56="","",INDEX('מלאי רצוי'!$E$2:$E$121,$P56))</f>
        <v/>
      </c>
      <c r="E56" s="29">
        <f>IF($P56="","",INDEX('מלאי רצוי'!$F$2:$F$121,$P56))</f>
        <v/>
      </c>
      <c r="F56" s="29">
        <f>IF($P56="","",INDEX('מלאי רצוי'!$G$2:$G$121,$P56))</f>
        <v/>
      </c>
      <c r="G56" s="29">
        <f>IF($P56="","",INDEX('מלאי רצוי'!$H$2:$H$121,$P56))</f>
        <v/>
      </c>
      <c r="H56" s="29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29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29">
        <f>IF($A56="","",IF($D56&lt;&gt;"",COUNTIFS(מלאי!$B$2:$B$500,$A56,מלאי!$G$2:$G$500,$D56,מלאי!$X$2:$X$500,"מושאל"),COUNTIFS(מלאי!$B$2:$B$500,$A56,מלאי!$X$2:$X$500,"מושאל")))</f>
        <v/>
      </c>
      <c r="K56" s="29">
        <f>IF($A56="","",IF($D56&lt;&gt;"",COUNTIFS(מלאי!$B$2:$B$500,$A56,מלאי!$G$2:$G$500,$D56,מלאי!$D$2:$D$500,"&lt;&gt;"),COUNTIFS(מלאי!$B$2:$B$500,$A56,מלאי!$D$2:$D$500,"&lt;&gt;")))</f>
        <v/>
      </c>
      <c r="L56" s="29">
        <f>IF(OR($A56="",$E56=""),"",MAX(0,E56-H56))</f>
        <v/>
      </c>
      <c r="M56" s="29">
        <f>IF(OR($A56="",$E56=""),"",MAX(0,F56-I56))</f>
        <v/>
      </c>
      <c r="N56" s="29">
        <f>IF(OR($A56="",$E56=""),"",MAX(0,G56-J56))</f>
        <v/>
      </c>
      <c r="O56" s="8">
        <f>IF($P56="","",INDEX('מלאי רצוי'!$O$2:$O$121,$P56))</f>
        <v/>
      </c>
      <c r="P5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רצוי'!$A$2)+1,""),51),"")</f>
        <v/>
      </c>
    </row>
    <row r="57">
      <c r="A57" s="9">
        <f>IF($P57="","",INDEX('מלאי רצוי'!$A$2:$A$121,$P57))</f>
        <v/>
      </c>
      <c r="B57" s="9">
        <f>IF($P57="","",INDEX('מלאי רצוי'!$C$2:$C$121,$P57))</f>
        <v/>
      </c>
      <c r="C57" s="9">
        <f>IF($P57="","",INDEX('מלאי רצוי'!$D$2:$D$121,$P57))</f>
        <v/>
      </c>
      <c r="D57" s="9">
        <f>IF($P57="","",INDEX('מלאי רצוי'!$E$2:$E$121,$P57))</f>
        <v/>
      </c>
      <c r="E57" s="30">
        <f>IF($P57="","",INDEX('מלאי רצוי'!$F$2:$F$121,$P57))</f>
        <v/>
      </c>
      <c r="F57" s="30">
        <f>IF($P57="","",INDEX('מלאי רצוי'!$G$2:$G$121,$P57))</f>
        <v/>
      </c>
      <c r="G57" s="30">
        <f>IF($P57="","",INDEX('מלאי רצוי'!$H$2:$H$121,$P57))</f>
        <v/>
      </c>
      <c r="H57" s="30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0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0">
        <f>IF($A57="","",IF($D57&lt;&gt;"",COUNTIFS(מלאי!$B$2:$B$500,$A57,מלאי!$G$2:$G$500,$D57,מלאי!$X$2:$X$500,"מושאל"),COUNTIFS(מלאי!$B$2:$B$500,$A57,מלאי!$X$2:$X$500,"מושאל")))</f>
        <v/>
      </c>
      <c r="K57" s="30">
        <f>IF($A57="","",IF($D57&lt;&gt;"",COUNTIFS(מלאי!$B$2:$B$500,$A57,מלאי!$G$2:$G$500,$D57,מלאי!$D$2:$D$500,"&lt;&gt;"),COUNTIFS(מלאי!$B$2:$B$500,$A57,מלאי!$D$2:$D$500,"&lt;&gt;")))</f>
        <v/>
      </c>
      <c r="L57" s="30">
        <f>IF(OR($A57="",$E57=""),"",MAX(0,E57-H57))</f>
        <v/>
      </c>
      <c r="M57" s="30">
        <f>IF(OR($A57="",$E57=""),"",MAX(0,F57-I57))</f>
        <v/>
      </c>
      <c r="N57" s="30">
        <f>IF(OR($A57="",$E57=""),"",MAX(0,G57-J57))</f>
        <v/>
      </c>
      <c r="O57" s="9">
        <f>IF($P57="","",INDEX('מלאי רצוי'!$O$2:$O$121,$P57))</f>
        <v/>
      </c>
      <c r="P5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רצוי'!$A$2)+1,""),52),"")</f>
        <v/>
      </c>
    </row>
    <row r="58">
      <c r="A58" s="8">
        <f>IF($P58="","",INDEX('מלאי רצוי'!$A$2:$A$121,$P58))</f>
        <v/>
      </c>
      <c r="B58" s="8">
        <f>IF($P58="","",INDEX('מלאי רצוי'!$C$2:$C$121,$P58))</f>
        <v/>
      </c>
      <c r="C58" s="8">
        <f>IF($P58="","",INDEX('מלאי רצוי'!$D$2:$D$121,$P58))</f>
        <v/>
      </c>
      <c r="D58" s="8">
        <f>IF($P58="","",INDEX('מלאי רצוי'!$E$2:$E$121,$P58))</f>
        <v/>
      </c>
      <c r="E58" s="29">
        <f>IF($P58="","",INDEX('מלאי רצוי'!$F$2:$F$121,$P58))</f>
        <v/>
      </c>
      <c r="F58" s="29">
        <f>IF($P58="","",INDEX('מלאי רצוי'!$G$2:$G$121,$P58))</f>
        <v/>
      </c>
      <c r="G58" s="29">
        <f>IF($P58="","",INDEX('מלאי רצוי'!$H$2:$H$121,$P58))</f>
        <v/>
      </c>
      <c r="H58" s="29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29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29">
        <f>IF($A58="","",IF($D58&lt;&gt;"",COUNTIFS(מלאי!$B$2:$B$500,$A58,מלאי!$G$2:$G$500,$D58,מלאי!$X$2:$X$500,"מושאל"),COUNTIFS(מלאי!$B$2:$B$500,$A58,מלאי!$X$2:$X$500,"מושאל")))</f>
        <v/>
      </c>
      <c r="K58" s="29">
        <f>IF($A58="","",IF($D58&lt;&gt;"",COUNTIFS(מלאי!$B$2:$B$500,$A58,מלאי!$G$2:$G$500,$D58,מלאי!$D$2:$D$500,"&lt;&gt;"),COUNTIFS(מלאי!$B$2:$B$500,$A58,מלאי!$D$2:$D$500,"&lt;&gt;")))</f>
        <v/>
      </c>
      <c r="L58" s="29">
        <f>IF(OR($A58="",$E58=""),"",MAX(0,E58-H58))</f>
        <v/>
      </c>
      <c r="M58" s="29">
        <f>IF(OR($A58="",$E58=""),"",MAX(0,F58-I58))</f>
        <v/>
      </c>
      <c r="N58" s="29">
        <f>IF(OR($A58="",$E58=""),"",MAX(0,G58-J58))</f>
        <v/>
      </c>
      <c r="O58" s="8">
        <f>IF($P58="","",INDEX('מלאי רצוי'!$O$2:$O$121,$P58))</f>
        <v/>
      </c>
      <c r="P5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רצוי'!$A$2)+1,""),53),"")</f>
        <v/>
      </c>
    </row>
    <row r="59">
      <c r="A59" s="9">
        <f>IF($P59="","",INDEX('מלאי רצוי'!$A$2:$A$121,$P59))</f>
        <v/>
      </c>
      <c r="B59" s="9">
        <f>IF($P59="","",INDEX('מלאי רצוי'!$C$2:$C$121,$P59))</f>
        <v/>
      </c>
      <c r="C59" s="9">
        <f>IF($P59="","",INDEX('מלאי רצוי'!$D$2:$D$121,$P59))</f>
        <v/>
      </c>
      <c r="D59" s="9">
        <f>IF($P59="","",INDEX('מלאי רצוי'!$E$2:$E$121,$P59))</f>
        <v/>
      </c>
      <c r="E59" s="30">
        <f>IF($P59="","",INDEX('מלאי רצוי'!$F$2:$F$121,$P59))</f>
        <v/>
      </c>
      <c r="F59" s="30">
        <f>IF($P59="","",INDEX('מלאי רצוי'!$G$2:$G$121,$P59))</f>
        <v/>
      </c>
      <c r="G59" s="30">
        <f>IF($P59="","",INDEX('מלאי רצוי'!$H$2:$H$121,$P59))</f>
        <v/>
      </c>
      <c r="H59" s="30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0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0">
        <f>IF($A59="","",IF($D59&lt;&gt;"",COUNTIFS(מלאי!$B$2:$B$500,$A59,מלאי!$G$2:$G$500,$D59,מלאי!$X$2:$X$500,"מושאל"),COUNTIFS(מלאי!$B$2:$B$500,$A59,מלאי!$X$2:$X$500,"מושאל")))</f>
        <v/>
      </c>
      <c r="K59" s="30">
        <f>IF($A59="","",IF($D59&lt;&gt;"",COUNTIFS(מלאי!$B$2:$B$500,$A59,מלאי!$G$2:$G$500,$D59,מלאי!$D$2:$D$500,"&lt;&gt;"),COUNTIFS(מלאי!$B$2:$B$500,$A59,מלאי!$D$2:$D$500,"&lt;&gt;")))</f>
        <v/>
      </c>
      <c r="L59" s="30">
        <f>IF(OR($A59="",$E59=""),"",MAX(0,E59-H59))</f>
        <v/>
      </c>
      <c r="M59" s="30">
        <f>IF(OR($A59="",$E59=""),"",MAX(0,F59-I59))</f>
        <v/>
      </c>
      <c r="N59" s="30">
        <f>IF(OR($A59="",$E59=""),"",MAX(0,G59-J59))</f>
        <v/>
      </c>
      <c r="O59" s="9">
        <f>IF($P59="","",INDEX('מלאי רצוי'!$O$2:$O$121,$P59))</f>
        <v/>
      </c>
      <c r="P5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רצוי'!$A$2)+1,""),54),"")</f>
        <v/>
      </c>
    </row>
    <row r="60">
      <c r="A60" s="8">
        <f>IF($P60="","",INDEX('מלאי רצוי'!$A$2:$A$121,$P60))</f>
        <v/>
      </c>
      <c r="B60" s="8">
        <f>IF($P60="","",INDEX('מלאי רצוי'!$C$2:$C$121,$P60))</f>
        <v/>
      </c>
      <c r="C60" s="8">
        <f>IF($P60="","",INDEX('מלאי רצוי'!$D$2:$D$121,$P60))</f>
        <v/>
      </c>
      <c r="D60" s="8">
        <f>IF($P60="","",INDEX('מלאי רצוי'!$E$2:$E$121,$P60))</f>
        <v/>
      </c>
      <c r="E60" s="29">
        <f>IF($P60="","",INDEX('מלאי רצוי'!$F$2:$F$121,$P60))</f>
        <v/>
      </c>
      <c r="F60" s="29">
        <f>IF($P60="","",INDEX('מלאי רצוי'!$G$2:$G$121,$P60))</f>
        <v/>
      </c>
      <c r="G60" s="29">
        <f>IF($P60="","",INDEX('מלאי רצוי'!$H$2:$H$121,$P60))</f>
        <v/>
      </c>
      <c r="H60" s="29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29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29">
        <f>IF($A60="","",IF($D60&lt;&gt;"",COUNTIFS(מלאי!$B$2:$B$500,$A60,מלאי!$G$2:$G$500,$D60,מלאי!$X$2:$X$500,"מושאל"),COUNTIFS(מלאי!$B$2:$B$500,$A60,מלאי!$X$2:$X$500,"מושאל")))</f>
        <v/>
      </c>
      <c r="K60" s="29">
        <f>IF($A60="","",IF($D60&lt;&gt;"",COUNTIFS(מלאי!$B$2:$B$500,$A60,מלאי!$G$2:$G$500,$D60,מלאי!$D$2:$D$500,"&lt;&gt;"),COUNTIFS(מלאי!$B$2:$B$500,$A60,מלאי!$D$2:$D$500,"&lt;&gt;")))</f>
        <v/>
      </c>
      <c r="L60" s="29">
        <f>IF(OR($A60="",$E60=""),"",MAX(0,E60-H60))</f>
        <v/>
      </c>
      <c r="M60" s="29">
        <f>IF(OR($A60="",$E60=""),"",MAX(0,F60-I60))</f>
        <v/>
      </c>
      <c r="N60" s="29">
        <f>IF(OR($A60="",$E60=""),"",MAX(0,G60-J60))</f>
        <v/>
      </c>
      <c r="O60" s="8">
        <f>IF($P60="","",INDEX('מלאי רצוי'!$O$2:$O$121,$P60))</f>
        <v/>
      </c>
      <c r="P6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רצוי'!$A$2)+1,""),55),"")</f>
        <v/>
      </c>
    </row>
    <row r="61">
      <c r="A61" s="9">
        <f>IF($P61="","",INDEX('מלאי רצוי'!$A$2:$A$121,$P61))</f>
        <v/>
      </c>
      <c r="B61" s="9">
        <f>IF($P61="","",INDEX('מלאי רצוי'!$C$2:$C$121,$P61))</f>
        <v/>
      </c>
      <c r="C61" s="9">
        <f>IF($P61="","",INDEX('מלאי רצוי'!$D$2:$D$121,$P61))</f>
        <v/>
      </c>
      <c r="D61" s="9">
        <f>IF($P61="","",INDEX('מלאי רצוי'!$E$2:$E$121,$P61))</f>
        <v/>
      </c>
      <c r="E61" s="30">
        <f>IF($P61="","",INDEX('מלאי רצוי'!$F$2:$F$121,$P61))</f>
        <v/>
      </c>
      <c r="F61" s="30">
        <f>IF($P61="","",INDEX('מלאי רצוי'!$G$2:$G$121,$P61))</f>
        <v/>
      </c>
      <c r="G61" s="30">
        <f>IF($P61="","",INDEX('מלאי רצוי'!$H$2:$H$121,$P61))</f>
        <v/>
      </c>
      <c r="H61" s="30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0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0">
        <f>IF($A61="","",IF($D61&lt;&gt;"",COUNTIFS(מלאי!$B$2:$B$500,$A61,מלאי!$G$2:$G$500,$D61,מלאי!$X$2:$X$500,"מושאל"),COUNTIFS(מלאי!$B$2:$B$500,$A61,מלאי!$X$2:$X$500,"מושאל")))</f>
        <v/>
      </c>
      <c r="K61" s="30">
        <f>IF($A61="","",IF($D61&lt;&gt;"",COUNTIFS(מלאי!$B$2:$B$500,$A61,מלאי!$G$2:$G$500,$D61,מלאי!$D$2:$D$500,"&lt;&gt;"),COUNTIFS(מלאי!$B$2:$B$500,$A61,מלאי!$D$2:$D$500,"&lt;&gt;")))</f>
        <v/>
      </c>
      <c r="L61" s="30">
        <f>IF(OR($A61="",$E61=""),"",MAX(0,E61-H61))</f>
        <v/>
      </c>
      <c r="M61" s="30">
        <f>IF(OR($A61="",$E61=""),"",MAX(0,F61-I61))</f>
        <v/>
      </c>
      <c r="N61" s="30">
        <f>IF(OR($A61="",$E61=""),"",MAX(0,G61-J61))</f>
        <v/>
      </c>
      <c r="O61" s="9">
        <f>IF($P61="","",INDEX('מלאי רצוי'!$O$2:$O$121,$P61))</f>
        <v/>
      </c>
      <c r="P6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רצוי'!$A$2)+1,""),56),"")</f>
        <v/>
      </c>
    </row>
    <row r="62">
      <c r="A62" s="8">
        <f>IF($P62="","",INDEX('מלאי רצוי'!$A$2:$A$121,$P62))</f>
        <v/>
      </c>
      <c r="B62" s="8">
        <f>IF($P62="","",INDEX('מלאי רצוי'!$C$2:$C$121,$P62))</f>
        <v/>
      </c>
      <c r="C62" s="8">
        <f>IF($P62="","",INDEX('מלאי רצוי'!$D$2:$D$121,$P62))</f>
        <v/>
      </c>
      <c r="D62" s="8">
        <f>IF($P62="","",INDEX('מלאי רצוי'!$E$2:$E$121,$P62))</f>
        <v/>
      </c>
      <c r="E62" s="29">
        <f>IF($P62="","",INDEX('מלאי רצוי'!$F$2:$F$121,$P62))</f>
        <v/>
      </c>
      <c r="F62" s="29">
        <f>IF($P62="","",INDEX('מלאי רצוי'!$G$2:$G$121,$P62))</f>
        <v/>
      </c>
      <c r="G62" s="29">
        <f>IF($P62="","",INDEX('מלאי רצוי'!$H$2:$H$121,$P62))</f>
        <v/>
      </c>
      <c r="H62" s="29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29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29">
        <f>IF($A62="","",IF($D62&lt;&gt;"",COUNTIFS(מלאי!$B$2:$B$500,$A62,מלאי!$G$2:$G$500,$D62,מלאי!$X$2:$X$500,"מושאל"),COUNTIFS(מלאי!$B$2:$B$500,$A62,מלאי!$X$2:$X$500,"מושאל")))</f>
        <v/>
      </c>
      <c r="K62" s="29">
        <f>IF($A62="","",IF($D62&lt;&gt;"",COUNTIFS(מלאי!$B$2:$B$500,$A62,מלאי!$G$2:$G$500,$D62,מלאי!$D$2:$D$500,"&lt;&gt;"),COUNTIFS(מלאי!$B$2:$B$500,$A62,מלאי!$D$2:$D$500,"&lt;&gt;")))</f>
        <v/>
      </c>
      <c r="L62" s="29">
        <f>IF(OR($A62="",$E62=""),"",MAX(0,E62-H62))</f>
        <v/>
      </c>
      <c r="M62" s="29">
        <f>IF(OR($A62="",$E62=""),"",MAX(0,F62-I62))</f>
        <v/>
      </c>
      <c r="N62" s="29">
        <f>IF(OR($A62="",$E62=""),"",MAX(0,G62-J62))</f>
        <v/>
      </c>
      <c r="O62" s="8">
        <f>IF($P62="","",INDEX('מלאי רצוי'!$O$2:$O$121,$P62))</f>
        <v/>
      </c>
      <c r="P6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רצוי'!$A$2)+1,""),57),"")</f>
        <v/>
      </c>
    </row>
    <row r="63">
      <c r="A63" s="9">
        <f>IF($P63="","",INDEX('מלאי רצוי'!$A$2:$A$121,$P63))</f>
        <v/>
      </c>
      <c r="B63" s="9">
        <f>IF($P63="","",INDEX('מלאי רצוי'!$C$2:$C$121,$P63))</f>
        <v/>
      </c>
      <c r="C63" s="9">
        <f>IF($P63="","",INDEX('מלאי רצוי'!$D$2:$D$121,$P63))</f>
        <v/>
      </c>
      <c r="D63" s="9">
        <f>IF($P63="","",INDEX('מלאי רצוי'!$E$2:$E$121,$P63))</f>
        <v/>
      </c>
      <c r="E63" s="30">
        <f>IF($P63="","",INDEX('מלאי רצוי'!$F$2:$F$121,$P63))</f>
        <v/>
      </c>
      <c r="F63" s="30">
        <f>IF($P63="","",INDEX('מלאי רצוי'!$G$2:$G$121,$P63))</f>
        <v/>
      </c>
      <c r="G63" s="30">
        <f>IF($P63="","",INDEX('מלאי רצוי'!$H$2:$H$121,$P63))</f>
        <v/>
      </c>
      <c r="H63" s="30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0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0">
        <f>IF($A63="","",IF($D63&lt;&gt;"",COUNTIFS(מלאי!$B$2:$B$500,$A63,מלאי!$G$2:$G$500,$D63,מלאי!$X$2:$X$500,"מושאל"),COUNTIFS(מלאי!$B$2:$B$500,$A63,מלאי!$X$2:$X$500,"מושאל")))</f>
        <v/>
      </c>
      <c r="K63" s="30">
        <f>IF($A63="","",IF($D63&lt;&gt;"",COUNTIFS(מלאי!$B$2:$B$500,$A63,מלאי!$G$2:$G$500,$D63,מלאי!$D$2:$D$500,"&lt;&gt;"),COUNTIFS(מלאי!$B$2:$B$500,$A63,מלאי!$D$2:$D$500,"&lt;&gt;")))</f>
        <v/>
      </c>
      <c r="L63" s="30">
        <f>IF(OR($A63="",$E63=""),"",MAX(0,E63-H63))</f>
        <v/>
      </c>
      <c r="M63" s="30">
        <f>IF(OR($A63="",$E63=""),"",MAX(0,F63-I63))</f>
        <v/>
      </c>
      <c r="N63" s="30">
        <f>IF(OR($A63="",$E63=""),"",MAX(0,G63-J63))</f>
        <v/>
      </c>
      <c r="O63" s="9">
        <f>IF($P63="","",INDEX('מלאי רצוי'!$O$2:$O$121,$P63))</f>
        <v/>
      </c>
      <c r="P6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רצוי'!$A$2)+1,""),58),"")</f>
        <v/>
      </c>
    </row>
    <row r="64">
      <c r="A64" s="8">
        <f>IF($P64="","",INDEX('מלאי רצוי'!$A$2:$A$121,$P64))</f>
        <v/>
      </c>
      <c r="B64" s="8">
        <f>IF($P64="","",INDEX('מלאי רצוי'!$C$2:$C$121,$P64))</f>
        <v/>
      </c>
      <c r="C64" s="8">
        <f>IF($P64="","",INDEX('מלאי רצוי'!$D$2:$D$121,$P64))</f>
        <v/>
      </c>
      <c r="D64" s="8">
        <f>IF($P64="","",INDEX('מלאי רצוי'!$E$2:$E$121,$P64))</f>
        <v/>
      </c>
      <c r="E64" s="29">
        <f>IF($P64="","",INDEX('מלאי רצוי'!$F$2:$F$121,$P64))</f>
        <v/>
      </c>
      <c r="F64" s="29">
        <f>IF($P64="","",INDEX('מלאי רצוי'!$G$2:$G$121,$P64))</f>
        <v/>
      </c>
      <c r="G64" s="29">
        <f>IF($P64="","",INDEX('מלאי רצוי'!$H$2:$H$121,$P64))</f>
        <v/>
      </c>
      <c r="H64" s="29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29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29">
        <f>IF($A64="","",IF($D64&lt;&gt;"",COUNTIFS(מלאי!$B$2:$B$500,$A64,מלאי!$G$2:$G$500,$D64,מלאי!$X$2:$X$500,"מושאל"),COUNTIFS(מלאי!$B$2:$B$500,$A64,מלאי!$X$2:$X$500,"מושאל")))</f>
        <v/>
      </c>
      <c r="K64" s="29">
        <f>IF($A64="","",IF($D64&lt;&gt;"",COUNTIFS(מלאי!$B$2:$B$500,$A64,מלאי!$G$2:$G$500,$D64,מלאי!$D$2:$D$500,"&lt;&gt;"),COUNTIFS(מלאי!$B$2:$B$500,$A64,מלאי!$D$2:$D$500,"&lt;&gt;")))</f>
        <v/>
      </c>
      <c r="L64" s="29">
        <f>IF(OR($A64="",$E64=""),"",MAX(0,E64-H64))</f>
        <v/>
      </c>
      <c r="M64" s="29">
        <f>IF(OR($A64="",$E64=""),"",MAX(0,F64-I64))</f>
        <v/>
      </c>
      <c r="N64" s="29">
        <f>IF(OR($A64="",$E64=""),"",MAX(0,G64-J64))</f>
        <v/>
      </c>
      <c r="O64" s="8">
        <f>IF($P64="","",INDEX('מלאי רצוי'!$O$2:$O$121,$P64))</f>
        <v/>
      </c>
      <c r="P6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רצוי'!$A$2)+1,""),59),"")</f>
        <v/>
      </c>
    </row>
    <row r="65">
      <c r="A65" s="9">
        <f>IF($P65="","",INDEX('מלאי רצוי'!$A$2:$A$121,$P65))</f>
        <v/>
      </c>
      <c r="B65" s="9">
        <f>IF($P65="","",INDEX('מלאי רצוי'!$C$2:$C$121,$P65))</f>
        <v/>
      </c>
      <c r="C65" s="9">
        <f>IF($P65="","",INDEX('מלאי רצוי'!$D$2:$D$121,$P65))</f>
        <v/>
      </c>
      <c r="D65" s="9">
        <f>IF($P65="","",INDEX('מלאי רצוי'!$E$2:$E$121,$P65))</f>
        <v/>
      </c>
      <c r="E65" s="30">
        <f>IF($P65="","",INDEX('מלאי רצוי'!$F$2:$F$121,$P65))</f>
        <v/>
      </c>
      <c r="F65" s="30">
        <f>IF($P65="","",INDEX('מלאי רצוי'!$G$2:$G$121,$P65))</f>
        <v/>
      </c>
      <c r="G65" s="30">
        <f>IF($P65="","",INDEX('מלאי רצוי'!$H$2:$H$121,$P65))</f>
        <v/>
      </c>
      <c r="H65" s="30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0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0">
        <f>IF($A65="","",IF($D65&lt;&gt;"",COUNTIFS(מלאי!$B$2:$B$500,$A65,מלאי!$G$2:$G$500,$D65,מלאי!$X$2:$X$500,"מושאל"),COUNTIFS(מלאי!$B$2:$B$500,$A65,מלאי!$X$2:$X$500,"מושאל")))</f>
        <v/>
      </c>
      <c r="K65" s="30">
        <f>IF($A65="","",IF($D65&lt;&gt;"",COUNTIFS(מלאי!$B$2:$B$500,$A65,מלאי!$G$2:$G$500,$D65,מלאי!$D$2:$D$500,"&lt;&gt;"),COUNTIFS(מלאי!$B$2:$B$500,$A65,מלאי!$D$2:$D$500,"&lt;&gt;")))</f>
        <v/>
      </c>
      <c r="L65" s="30">
        <f>IF(OR($A65="",$E65=""),"",MAX(0,E65-H65))</f>
        <v/>
      </c>
      <c r="M65" s="30">
        <f>IF(OR($A65="",$E65=""),"",MAX(0,F65-I65))</f>
        <v/>
      </c>
      <c r="N65" s="30">
        <f>IF(OR($A65="",$E65=""),"",MAX(0,G65-J65))</f>
        <v/>
      </c>
      <c r="O65" s="9">
        <f>IF($P65="","",INDEX('מלאי רצוי'!$O$2:$O$121,$P65))</f>
        <v/>
      </c>
      <c r="P6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רצוי'!$A$2)+1,""),60),"")</f>
        <v/>
      </c>
    </row>
    <row r="66">
      <c r="A66" s="8">
        <f>IF($P66="","",INDEX('מלאי רצוי'!$A$2:$A$121,$P66))</f>
        <v/>
      </c>
      <c r="B66" s="8">
        <f>IF($P66="","",INDEX('מלאי רצוי'!$C$2:$C$121,$P66))</f>
        <v/>
      </c>
      <c r="C66" s="8">
        <f>IF($P66="","",INDEX('מלאי רצוי'!$D$2:$D$121,$P66))</f>
        <v/>
      </c>
      <c r="D66" s="8">
        <f>IF($P66="","",INDEX('מלאי רצוי'!$E$2:$E$121,$P66))</f>
        <v/>
      </c>
      <c r="E66" s="29">
        <f>IF($P66="","",INDEX('מלאי רצוי'!$F$2:$F$121,$P66))</f>
        <v/>
      </c>
      <c r="F66" s="29">
        <f>IF($P66="","",INDEX('מלאי רצוי'!$G$2:$G$121,$P66))</f>
        <v/>
      </c>
      <c r="G66" s="29">
        <f>IF($P66="","",INDEX('מלאי רצוי'!$H$2:$H$121,$P66))</f>
        <v/>
      </c>
      <c r="H66" s="29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29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29">
        <f>IF($A66="","",IF($D66&lt;&gt;"",COUNTIFS(מלאי!$B$2:$B$500,$A66,מלאי!$G$2:$G$500,$D66,מלאי!$X$2:$X$500,"מושאל"),COUNTIFS(מלאי!$B$2:$B$500,$A66,מלאי!$X$2:$X$500,"מושאל")))</f>
        <v/>
      </c>
      <c r="K66" s="29">
        <f>IF($A66="","",IF($D66&lt;&gt;"",COUNTIFS(מלאי!$B$2:$B$500,$A66,מלאי!$G$2:$G$500,$D66,מלאי!$D$2:$D$500,"&lt;&gt;"),COUNTIFS(מלאי!$B$2:$B$500,$A66,מלאי!$D$2:$D$500,"&lt;&gt;")))</f>
        <v/>
      </c>
      <c r="L66" s="29">
        <f>IF(OR($A66="",$E66=""),"",MAX(0,E66-H66))</f>
        <v/>
      </c>
      <c r="M66" s="29">
        <f>IF(OR($A66="",$E66=""),"",MAX(0,F66-I66))</f>
        <v/>
      </c>
      <c r="N66" s="29">
        <f>IF(OR($A66="",$E66=""),"",MAX(0,G66-J66))</f>
        <v/>
      </c>
      <c r="O66" s="8">
        <f>IF($P66="","",INDEX('מלאי רצוי'!$O$2:$O$121,$P66))</f>
        <v/>
      </c>
      <c r="P6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רצוי'!$A$2)+1,""),61),"")</f>
        <v/>
      </c>
    </row>
    <row r="67">
      <c r="A67" s="9">
        <f>IF($P67="","",INDEX('מלאי רצוי'!$A$2:$A$121,$P67))</f>
        <v/>
      </c>
      <c r="B67" s="9">
        <f>IF($P67="","",INDEX('מלאי רצוי'!$C$2:$C$121,$P67))</f>
        <v/>
      </c>
      <c r="C67" s="9">
        <f>IF($P67="","",INDEX('מלאי רצוי'!$D$2:$D$121,$P67))</f>
        <v/>
      </c>
      <c r="D67" s="9">
        <f>IF($P67="","",INDEX('מלאי רצוי'!$E$2:$E$121,$P67))</f>
        <v/>
      </c>
      <c r="E67" s="30">
        <f>IF($P67="","",INDEX('מלאי רצוי'!$F$2:$F$121,$P67))</f>
        <v/>
      </c>
      <c r="F67" s="30">
        <f>IF($P67="","",INDEX('מלאי רצוי'!$G$2:$G$121,$P67))</f>
        <v/>
      </c>
      <c r="G67" s="30">
        <f>IF($P67="","",INDEX('מלאי רצוי'!$H$2:$H$121,$P67))</f>
        <v/>
      </c>
      <c r="H67" s="30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0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0">
        <f>IF($A67="","",IF($D67&lt;&gt;"",COUNTIFS(מלאי!$B$2:$B$500,$A67,מלאי!$G$2:$G$500,$D67,מלאי!$X$2:$X$500,"מושאל"),COUNTIFS(מלאי!$B$2:$B$500,$A67,מלאי!$X$2:$X$500,"מושאל")))</f>
        <v/>
      </c>
      <c r="K67" s="30">
        <f>IF($A67="","",IF($D67&lt;&gt;"",COUNTIFS(מלאי!$B$2:$B$500,$A67,מלאי!$G$2:$G$500,$D67,מלאי!$D$2:$D$500,"&lt;&gt;"),COUNTIFS(מלאי!$B$2:$B$500,$A67,מלאי!$D$2:$D$500,"&lt;&gt;")))</f>
        <v/>
      </c>
      <c r="L67" s="30">
        <f>IF(OR($A67="",$E67=""),"",MAX(0,E67-H67))</f>
        <v/>
      </c>
      <c r="M67" s="30">
        <f>IF(OR($A67="",$E67=""),"",MAX(0,F67-I67))</f>
        <v/>
      </c>
      <c r="N67" s="30">
        <f>IF(OR($A67="",$E67=""),"",MAX(0,G67-J67))</f>
        <v/>
      </c>
      <c r="O67" s="9">
        <f>IF($P67="","",INDEX('מלאי רצוי'!$O$2:$O$121,$P67))</f>
        <v/>
      </c>
      <c r="P6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רצוי'!$A$2)+1,""),62),"")</f>
        <v/>
      </c>
    </row>
    <row r="68">
      <c r="A68" s="8">
        <f>IF($P68="","",INDEX('מלאי רצוי'!$A$2:$A$121,$P68))</f>
        <v/>
      </c>
      <c r="B68" s="8">
        <f>IF($P68="","",INDEX('מלאי רצוי'!$C$2:$C$121,$P68))</f>
        <v/>
      </c>
      <c r="C68" s="8">
        <f>IF($P68="","",INDEX('מלאי רצוי'!$D$2:$D$121,$P68))</f>
        <v/>
      </c>
      <c r="D68" s="8">
        <f>IF($P68="","",INDEX('מלאי רצוי'!$E$2:$E$121,$P68))</f>
        <v/>
      </c>
      <c r="E68" s="29">
        <f>IF($P68="","",INDEX('מלאי רצוי'!$F$2:$F$121,$P68))</f>
        <v/>
      </c>
      <c r="F68" s="29">
        <f>IF($P68="","",INDEX('מלאי רצוי'!$G$2:$G$121,$P68))</f>
        <v/>
      </c>
      <c r="G68" s="29">
        <f>IF($P68="","",INDEX('מלאי רצוי'!$H$2:$H$121,$P68))</f>
        <v/>
      </c>
      <c r="H68" s="29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29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29">
        <f>IF($A68="","",IF($D68&lt;&gt;"",COUNTIFS(מלאי!$B$2:$B$500,$A68,מלאי!$G$2:$G$500,$D68,מלאי!$X$2:$X$500,"מושאל"),COUNTIFS(מלאי!$B$2:$B$500,$A68,מלאי!$X$2:$X$500,"מושאל")))</f>
        <v/>
      </c>
      <c r="K68" s="29">
        <f>IF($A68="","",IF($D68&lt;&gt;"",COUNTIFS(מלאי!$B$2:$B$500,$A68,מלאי!$G$2:$G$500,$D68,מלאי!$D$2:$D$500,"&lt;&gt;"),COUNTIFS(מלאי!$B$2:$B$500,$A68,מלאי!$D$2:$D$500,"&lt;&gt;")))</f>
        <v/>
      </c>
      <c r="L68" s="29">
        <f>IF(OR($A68="",$E68=""),"",MAX(0,E68-H68))</f>
        <v/>
      </c>
      <c r="M68" s="29">
        <f>IF(OR($A68="",$E68=""),"",MAX(0,F68-I68))</f>
        <v/>
      </c>
      <c r="N68" s="29">
        <f>IF(OR($A68="",$E68=""),"",MAX(0,G68-J68))</f>
        <v/>
      </c>
      <c r="O68" s="8">
        <f>IF($P68="","",INDEX('מלאי רצוי'!$O$2:$O$121,$P68))</f>
        <v/>
      </c>
      <c r="P6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רצוי'!$A$2)+1,""),63),"")</f>
        <v/>
      </c>
    </row>
    <row r="69">
      <c r="A69" s="9">
        <f>IF($P69="","",INDEX('מלאי רצוי'!$A$2:$A$121,$P69))</f>
        <v/>
      </c>
      <c r="B69" s="9">
        <f>IF($P69="","",INDEX('מלאי רצוי'!$C$2:$C$121,$P69))</f>
        <v/>
      </c>
      <c r="C69" s="9">
        <f>IF($P69="","",INDEX('מלאי רצוי'!$D$2:$D$121,$P69))</f>
        <v/>
      </c>
      <c r="D69" s="9">
        <f>IF($P69="","",INDEX('מלאי רצוי'!$E$2:$E$121,$P69))</f>
        <v/>
      </c>
      <c r="E69" s="30">
        <f>IF($P69="","",INDEX('מלאי רצוי'!$F$2:$F$121,$P69))</f>
        <v/>
      </c>
      <c r="F69" s="30">
        <f>IF($P69="","",INDEX('מלאי רצוי'!$G$2:$G$121,$P69))</f>
        <v/>
      </c>
      <c r="G69" s="30">
        <f>IF($P69="","",INDEX('מלאי רצוי'!$H$2:$H$121,$P69))</f>
        <v/>
      </c>
      <c r="H69" s="30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0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0">
        <f>IF($A69="","",IF($D69&lt;&gt;"",COUNTIFS(מלאי!$B$2:$B$500,$A69,מלאי!$G$2:$G$500,$D69,מלאי!$X$2:$X$500,"מושאל"),COUNTIFS(מלאי!$B$2:$B$500,$A69,מלאי!$X$2:$X$500,"מושאל")))</f>
        <v/>
      </c>
      <c r="K69" s="30">
        <f>IF($A69="","",IF($D69&lt;&gt;"",COUNTIFS(מלאי!$B$2:$B$500,$A69,מלאי!$G$2:$G$500,$D69,מלאי!$D$2:$D$500,"&lt;&gt;"),COUNTIFS(מלאי!$B$2:$B$500,$A69,מלאי!$D$2:$D$500,"&lt;&gt;")))</f>
        <v/>
      </c>
      <c r="L69" s="30">
        <f>IF(OR($A69="",$E69=""),"",MAX(0,E69-H69))</f>
        <v/>
      </c>
      <c r="M69" s="30">
        <f>IF(OR($A69="",$E69=""),"",MAX(0,F69-I69))</f>
        <v/>
      </c>
      <c r="N69" s="30">
        <f>IF(OR($A69="",$E69=""),"",MAX(0,G69-J69))</f>
        <v/>
      </c>
      <c r="O69" s="9">
        <f>IF($P69="","",INDEX('מלאי רצוי'!$O$2:$O$121,$P69))</f>
        <v/>
      </c>
      <c r="P6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רצוי'!$A$2)+1,""),64),"")</f>
        <v/>
      </c>
    </row>
    <row r="70">
      <c r="A70" s="8">
        <f>IF($P70="","",INDEX('מלאי רצוי'!$A$2:$A$121,$P70))</f>
        <v/>
      </c>
      <c r="B70" s="8">
        <f>IF($P70="","",INDEX('מלאי רצוי'!$C$2:$C$121,$P70))</f>
        <v/>
      </c>
      <c r="C70" s="8">
        <f>IF($P70="","",INDEX('מלאי רצוי'!$D$2:$D$121,$P70))</f>
        <v/>
      </c>
      <c r="D70" s="8">
        <f>IF($P70="","",INDEX('מלאי רצוי'!$E$2:$E$121,$P70))</f>
        <v/>
      </c>
      <c r="E70" s="29">
        <f>IF($P70="","",INDEX('מלאי רצוי'!$F$2:$F$121,$P70))</f>
        <v/>
      </c>
      <c r="F70" s="29">
        <f>IF($P70="","",INDEX('מלאי רצוי'!$G$2:$G$121,$P70))</f>
        <v/>
      </c>
      <c r="G70" s="29">
        <f>IF($P70="","",INDEX('מלאי רצוי'!$H$2:$H$121,$P70))</f>
        <v/>
      </c>
      <c r="H70" s="29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29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29">
        <f>IF($A70="","",IF($D70&lt;&gt;"",COUNTIFS(מלאי!$B$2:$B$500,$A70,מלאי!$G$2:$G$500,$D70,מלאי!$X$2:$X$500,"מושאל"),COUNTIFS(מלאי!$B$2:$B$500,$A70,מלאי!$X$2:$X$500,"מושאל")))</f>
        <v/>
      </c>
      <c r="K70" s="29">
        <f>IF($A70="","",IF($D70&lt;&gt;"",COUNTIFS(מלאי!$B$2:$B$500,$A70,מלאי!$G$2:$G$500,$D70,מלאי!$D$2:$D$500,"&lt;&gt;"),COUNTIFS(מלאי!$B$2:$B$500,$A70,מלאי!$D$2:$D$500,"&lt;&gt;")))</f>
        <v/>
      </c>
      <c r="L70" s="29">
        <f>IF(OR($A70="",$E70=""),"",MAX(0,E70-H70))</f>
        <v/>
      </c>
      <c r="M70" s="29">
        <f>IF(OR($A70="",$E70=""),"",MAX(0,F70-I70))</f>
        <v/>
      </c>
      <c r="N70" s="29">
        <f>IF(OR($A70="",$E70=""),"",MAX(0,G70-J70))</f>
        <v/>
      </c>
      <c r="O70" s="8">
        <f>IF($P70="","",INDEX('מלאי רצוי'!$O$2:$O$121,$P70))</f>
        <v/>
      </c>
      <c r="P7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רצוי'!$A$2)+1,""),65),"")</f>
        <v/>
      </c>
    </row>
    <row r="71">
      <c r="A71" s="9">
        <f>IF($P71="","",INDEX('מלאי רצוי'!$A$2:$A$121,$P71))</f>
        <v/>
      </c>
      <c r="B71" s="9">
        <f>IF($P71="","",INDEX('מלאי רצוי'!$C$2:$C$121,$P71))</f>
        <v/>
      </c>
      <c r="C71" s="9">
        <f>IF($P71="","",INDEX('מלאי רצוי'!$D$2:$D$121,$P71))</f>
        <v/>
      </c>
      <c r="D71" s="9">
        <f>IF($P71="","",INDEX('מלאי רצוי'!$E$2:$E$121,$P71))</f>
        <v/>
      </c>
      <c r="E71" s="30">
        <f>IF($P71="","",INDEX('מלאי רצוי'!$F$2:$F$121,$P71))</f>
        <v/>
      </c>
      <c r="F71" s="30">
        <f>IF($P71="","",INDEX('מלאי רצוי'!$G$2:$G$121,$P71))</f>
        <v/>
      </c>
      <c r="G71" s="30">
        <f>IF($P71="","",INDEX('מלאי רצוי'!$H$2:$H$121,$P71))</f>
        <v/>
      </c>
      <c r="H71" s="30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0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0">
        <f>IF($A71="","",IF($D71&lt;&gt;"",COUNTIFS(מלאי!$B$2:$B$500,$A71,מלאי!$G$2:$G$500,$D71,מלאי!$X$2:$X$500,"מושאל"),COUNTIFS(מלאי!$B$2:$B$500,$A71,מלאי!$X$2:$X$500,"מושאל")))</f>
        <v/>
      </c>
      <c r="K71" s="30">
        <f>IF($A71="","",IF($D71&lt;&gt;"",COUNTIFS(מלאי!$B$2:$B$500,$A71,מלאי!$G$2:$G$500,$D71,מלאי!$D$2:$D$500,"&lt;&gt;"),COUNTIFS(מלאי!$B$2:$B$500,$A71,מלאי!$D$2:$D$500,"&lt;&gt;")))</f>
        <v/>
      </c>
      <c r="L71" s="30">
        <f>IF(OR($A71="",$E71=""),"",MAX(0,E71-H71))</f>
        <v/>
      </c>
      <c r="M71" s="30">
        <f>IF(OR($A71="",$E71=""),"",MAX(0,F71-I71))</f>
        <v/>
      </c>
      <c r="N71" s="30">
        <f>IF(OR($A71="",$E71=""),"",MAX(0,G71-J71))</f>
        <v/>
      </c>
      <c r="O71" s="9">
        <f>IF($P71="","",INDEX('מלאי רצוי'!$O$2:$O$121,$P71))</f>
        <v/>
      </c>
      <c r="P7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רצוי'!$A$2)+1,""),66),"")</f>
        <v/>
      </c>
    </row>
    <row r="72">
      <c r="A72" s="8">
        <f>IF($P72="","",INDEX('מלאי רצוי'!$A$2:$A$121,$P72))</f>
        <v/>
      </c>
      <c r="B72" s="8">
        <f>IF($P72="","",INDEX('מלאי רצוי'!$C$2:$C$121,$P72))</f>
        <v/>
      </c>
      <c r="C72" s="8">
        <f>IF($P72="","",INDEX('מלאי רצוי'!$D$2:$D$121,$P72))</f>
        <v/>
      </c>
      <c r="D72" s="8">
        <f>IF($P72="","",INDEX('מלאי רצוי'!$E$2:$E$121,$P72))</f>
        <v/>
      </c>
      <c r="E72" s="29">
        <f>IF($P72="","",INDEX('מלאי רצוי'!$F$2:$F$121,$P72))</f>
        <v/>
      </c>
      <c r="F72" s="29">
        <f>IF($P72="","",INDEX('מלאי רצוי'!$G$2:$G$121,$P72))</f>
        <v/>
      </c>
      <c r="G72" s="29">
        <f>IF($P72="","",INDEX('מלאי רצוי'!$H$2:$H$121,$P72))</f>
        <v/>
      </c>
      <c r="H72" s="29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29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29">
        <f>IF($A72="","",IF($D72&lt;&gt;"",COUNTIFS(מלאי!$B$2:$B$500,$A72,מלאי!$G$2:$G$500,$D72,מלאי!$X$2:$X$500,"מושאל"),COUNTIFS(מלאי!$B$2:$B$500,$A72,מלאי!$X$2:$X$500,"מושאל")))</f>
        <v/>
      </c>
      <c r="K72" s="29">
        <f>IF($A72="","",IF($D72&lt;&gt;"",COUNTIFS(מלאי!$B$2:$B$500,$A72,מלאי!$G$2:$G$500,$D72,מלאי!$D$2:$D$500,"&lt;&gt;"),COUNTIFS(מלאי!$B$2:$B$500,$A72,מלאי!$D$2:$D$500,"&lt;&gt;")))</f>
        <v/>
      </c>
      <c r="L72" s="29">
        <f>IF(OR($A72="",$E72=""),"",MAX(0,E72-H72))</f>
        <v/>
      </c>
      <c r="M72" s="29">
        <f>IF(OR($A72="",$E72=""),"",MAX(0,F72-I72))</f>
        <v/>
      </c>
      <c r="N72" s="29">
        <f>IF(OR($A72="",$E72=""),"",MAX(0,G72-J72))</f>
        <v/>
      </c>
      <c r="O72" s="8">
        <f>IF($P72="","",INDEX('מלאי רצוי'!$O$2:$O$121,$P72))</f>
        <v/>
      </c>
      <c r="P7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רצוי'!$A$2)+1,""),67),"")</f>
        <v/>
      </c>
    </row>
    <row r="73">
      <c r="A73" s="9">
        <f>IF($P73="","",INDEX('מלאי רצוי'!$A$2:$A$121,$P73))</f>
        <v/>
      </c>
      <c r="B73" s="9">
        <f>IF($P73="","",INDEX('מלאי רצוי'!$C$2:$C$121,$P73))</f>
        <v/>
      </c>
      <c r="C73" s="9">
        <f>IF($P73="","",INDEX('מלאי רצוי'!$D$2:$D$121,$P73))</f>
        <v/>
      </c>
      <c r="D73" s="9">
        <f>IF($P73="","",INDEX('מלאי רצוי'!$E$2:$E$121,$P73))</f>
        <v/>
      </c>
      <c r="E73" s="30">
        <f>IF($P73="","",INDEX('מלאי רצוי'!$F$2:$F$121,$P73))</f>
        <v/>
      </c>
      <c r="F73" s="30">
        <f>IF($P73="","",INDEX('מלאי רצוי'!$G$2:$G$121,$P73))</f>
        <v/>
      </c>
      <c r="G73" s="30">
        <f>IF($P73="","",INDEX('מלאי רצוי'!$H$2:$H$121,$P73))</f>
        <v/>
      </c>
      <c r="H73" s="30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0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0">
        <f>IF($A73="","",IF($D73&lt;&gt;"",COUNTIFS(מלאי!$B$2:$B$500,$A73,מלאי!$G$2:$G$500,$D73,מלאי!$X$2:$X$500,"מושאל"),COUNTIFS(מלאי!$B$2:$B$500,$A73,מלאי!$X$2:$X$500,"מושאל")))</f>
        <v/>
      </c>
      <c r="K73" s="30">
        <f>IF($A73="","",IF($D73&lt;&gt;"",COUNTIFS(מלאי!$B$2:$B$500,$A73,מלאי!$G$2:$G$500,$D73,מלאי!$D$2:$D$500,"&lt;&gt;"),COUNTIFS(מלאי!$B$2:$B$500,$A73,מלאי!$D$2:$D$500,"&lt;&gt;")))</f>
        <v/>
      </c>
      <c r="L73" s="30">
        <f>IF(OR($A73="",$E73=""),"",MAX(0,E73-H73))</f>
        <v/>
      </c>
      <c r="M73" s="30">
        <f>IF(OR($A73="",$E73=""),"",MAX(0,F73-I73))</f>
        <v/>
      </c>
      <c r="N73" s="30">
        <f>IF(OR($A73="",$E73=""),"",MAX(0,G73-J73))</f>
        <v/>
      </c>
      <c r="O73" s="9">
        <f>IF($P73="","",INDEX('מלאי רצוי'!$O$2:$O$121,$P73))</f>
        <v/>
      </c>
      <c r="P7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רצוי'!$A$2)+1,""),68),"")</f>
        <v/>
      </c>
    </row>
    <row r="74">
      <c r="A74" s="8">
        <f>IF($P74="","",INDEX('מלאי רצוי'!$A$2:$A$121,$P74))</f>
        <v/>
      </c>
      <c r="B74" s="8">
        <f>IF($P74="","",INDEX('מלאי רצוי'!$C$2:$C$121,$P74))</f>
        <v/>
      </c>
      <c r="C74" s="8">
        <f>IF($P74="","",INDEX('מלאי רצוי'!$D$2:$D$121,$P74))</f>
        <v/>
      </c>
      <c r="D74" s="8">
        <f>IF($P74="","",INDEX('מלאי רצוי'!$E$2:$E$121,$P74))</f>
        <v/>
      </c>
      <c r="E74" s="29">
        <f>IF($P74="","",INDEX('מלאי רצוי'!$F$2:$F$121,$P74))</f>
        <v/>
      </c>
      <c r="F74" s="29">
        <f>IF($P74="","",INDEX('מלאי רצוי'!$G$2:$G$121,$P74))</f>
        <v/>
      </c>
      <c r="G74" s="29">
        <f>IF($P74="","",INDEX('מלאי רצוי'!$H$2:$H$121,$P74))</f>
        <v/>
      </c>
      <c r="H74" s="29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29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29">
        <f>IF($A74="","",IF($D74&lt;&gt;"",COUNTIFS(מלאי!$B$2:$B$500,$A74,מלאי!$G$2:$G$500,$D74,מלאי!$X$2:$X$500,"מושאל"),COUNTIFS(מלאי!$B$2:$B$500,$A74,מלאי!$X$2:$X$500,"מושאל")))</f>
        <v/>
      </c>
      <c r="K74" s="29">
        <f>IF($A74="","",IF($D74&lt;&gt;"",COUNTIFS(מלאי!$B$2:$B$500,$A74,מלאי!$G$2:$G$500,$D74,מלאי!$D$2:$D$500,"&lt;&gt;"),COUNTIFS(מלאי!$B$2:$B$500,$A74,מלאי!$D$2:$D$500,"&lt;&gt;")))</f>
        <v/>
      </c>
      <c r="L74" s="29">
        <f>IF(OR($A74="",$E74=""),"",MAX(0,E74-H74))</f>
        <v/>
      </c>
      <c r="M74" s="29">
        <f>IF(OR($A74="",$E74=""),"",MAX(0,F74-I74))</f>
        <v/>
      </c>
      <c r="N74" s="29">
        <f>IF(OR($A74="",$E74=""),"",MAX(0,G74-J74))</f>
        <v/>
      </c>
      <c r="O74" s="8">
        <f>IF($P74="","",INDEX('מלאי רצוי'!$O$2:$O$121,$P74))</f>
        <v/>
      </c>
      <c r="P7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רצוי'!$A$2)+1,""),69),"")</f>
        <v/>
      </c>
    </row>
    <row r="75">
      <c r="A75" s="9">
        <f>IF($P75="","",INDEX('מלאי רצוי'!$A$2:$A$121,$P75))</f>
        <v/>
      </c>
      <c r="B75" s="9">
        <f>IF($P75="","",INDEX('מלאי רצוי'!$C$2:$C$121,$P75))</f>
        <v/>
      </c>
      <c r="C75" s="9">
        <f>IF($P75="","",INDEX('מלאי רצוי'!$D$2:$D$121,$P75))</f>
        <v/>
      </c>
      <c r="D75" s="9">
        <f>IF($P75="","",INDEX('מלאי רצוי'!$E$2:$E$121,$P75))</f>
        <v/>
      </c>
      <c r="E75" s="30">
        <f>IF($P75="","",INDEX('מלאי רצוי'!$F$2:$F$121,$P75))</f>
        <v/>
      </c>
      <c r="F75" s="30">
        <f>IF($P75="","",INDEX('מלאי רצוי'!$G$2:$G$121,$P75))</f>
        <v/>
      </c>
      <c r="G75" s="30">
        <f>IF($P75="","",INDEX('מלאי רצוי'!$H$2:$H$121,$P75))</f>
        <v/>
      </c>
      <c r="H75" s="30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0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0">
        <f>IF($A75="","",IF($D75&lt;&gt;"",COUNTIFS(מלאי!$B$2:$B$500,$A75,מלאי!$G$2:$G$500,$D75,מלאי!$X$2:$X$500,"מושאל"),COUNTIFS(מלאי!$B$2:$B$500,$A75,מלאי!$X$2:$X$500,"מושאל")))</f>
        <v/>
      </c>
      <c r="K75" s="30">
        <f>IF($A75="","",IF($D75&lt;&gt;"",COUNTIFS(מלאי!$B$2:$B$500,$A75,מלאי!$G$2:$G$500,$D75,מלאי!$D$2:$D$500,"&lt;&gt;"),COUNTIFS(מלאי!$B$2:$B$500,$A75,מלאי!$D$2:$D$500,"&lt;&gt;")))</f>
        <v/>
      </c>
      <c r="L75" s="30">
        <f>IF(OR($A75="",$E75=""),"",MAX(0,E75-H75))</f>
        <v/>
      </c>
      <c r="M75" s="30">
        <f>IF(OR($A75="",$E75=""),"",MAX(0,F75-I75))</f>
        <v/>
      </c>
      <c r="N75" s="30">
        <f>IF(OR($A75="",$E75=""),"",MAX(0,G75-J75))</f>
        <v/>
      </c>
      <c r="O75" s="9">
        <f>IF($P75="","",INDEX('מלאי רצוי'!$O$2:$O$121,$P75))</f>
        <v/>
      </c>
      <c r="P7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רצוי'!$A$2)+1,""),70),"")</f>
        <v/>
      </c>
    </row>
    <row r="76">
      <c r="A76" s="8">
        <f>IF($P76="","",INDEX('מלאי רצוי'!$A$2:$A$121,$P76))</f>
        <v/>
      </c>
      <c r="B76" s="8">
        <f>IF($P76="","",INDEX('מלאי רצוי'!$C$2:$C$121,$P76))</f>
        <v/>
      </c>
      <c r="C76" s="8">
        <f>IF($P76="","",INDEX('מלאי רצוי'!$D$2:$D$121,$P76))</f>
        <v/>
      </c>
      <c r="D76" s="8">
        <f>IF($P76="","",INDEX('מלאי רצוי'!$E$2:$E$121,$P76))</f>
        <v/>
      </c>
      <c r="E76" s="29">
        <f>IF($P76="","",INDEX('מלאי רצוי'!$F$2:$F$121,$P76))</f>
        <v/>
      </c>
      <c r="F76" s="29">
        <f>IF($P76="","",INDEX('מלאי רצוי'!$G$2:$G$121,$P76))</f>
        <v/>
      </c>
      <c r="G76" s="29">
        <f>IF($P76="","",INDEX('מלאי רצוי'!$H$2:$H$121,$P76))</f>
        <v/>
      </c>
      <c r="H76" s="29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29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29">
        <f>IF($A76="","",IF($D76&lt;&gt;"",COUNTIFS(מלאי!$B$2:$B$500,$A76,מלאי!$G$2:$G$500,$D76,מלאי!$X$2:$X$500,"מושאל"),COUNTIFS(מלאי!$B$2:$B$500,$A76,מלאי!$X$2:$X$500,"מושאל")))</f>
        <v/>
      </c>
      <c r="K76" s="29">
        <f>IF($A76="","",IF($D76&lt;&gt;"",COUNTIFS(מלאי!$B$2:$B$500,$A76,מלאי!$G$2:$G$500,$D76,מלאי!$D$2:$D$500,"&lt;&gt;"),COUNTIFS(מלאי!$B$2:$B$500,$A76,מלאי!$D$2:$D$500,"&lt;&gt;")))</f>
        <v/>
      </c>
      <c r="L76" s="29">
        <f>IF(OR($A76="",$E76=""),"",MAX(0,E76-H76))</f>
        <v/>
      </c>
      <c r="M76" s="29">
        <f>IF(OR($A76="",$E76=""),"",MAX(0,F76-I76))</f>
        <v/>
      </c>
      <c r="N76" s="29">
        <f>IF(OR($A76="",$E76=""),"",MAX(0,G76-J76))</f>
        <v/>
      </c>
      <c r="O76" s="8">
        <f>IF($P76="","",INDEX('מלאי רצוי'!$O$2:$O$121,$P76))</f>
        <v/>
      </c>
      <c r="P7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רצוי'!$A$2)+1,""),71),"")</f>
        <v/>
      </c>
    </row>
    <row r="77">
      <c r="A77" s="9">
        <f>IF($P77="","",INDEX('מלאי רצוי'!$A$2:$A$121,$P77))</f>
        <v/>
      </c>
      <c r="B77" s="9">
        <f>IF($P77="","",INDEX('מלאי רצוי'!$C$2:$C$121,$P77))</f>
        <v/>
      </c>
      <c r="C77" s="9">
        <f>IF($P77="","",INDEX('מלאי רצוי'!$D$2:$D$121,$P77))</f>
        <v/>
      </c>
      <c r="D77" s="9">
        <f>IF($P77="","",INDEX('מלאי רצוי'!$E$2:$E$121,$P77))</f>
        <v/>
      </c>
      <c r="E77" s="30">
        <f>IF($P77="","",INDEX('מלאי רצוי'!$F$2:$F$121,$P77))</f>
        <v/>
      </c>
      <c r="F77" s="30">
        <f>IF($P77="","",INDEX('מלאי רצוי'!$G$2:$G$121,$P77))</f>
        <v/>
      </c>
      <c r="G77" s="30">
        <f>IF($P77="","",INDEX('מלאי רצוי'!$H$2:$H$121,$P77))</f>
        <v/>
      </c>
      <c r="H77" s="30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0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0">
        <f>IF($A77="","",IF($D77&lt;&gt;"",COUNTIFS(מלאי!$B$2:$B$500,$A77,מלאי!$G$2:$G$500,$D77,מלאי!$X$2:$X$500,"מושאל"),COUNTIFS(מלאי!$B$2:$B$500,$A77,מלאי!$X$2:$X$500,"מושאל")))</f>
        <v/>
      </c>
      <c r="K77" s="30">
        <f>IF($A77="","",IF($D77&lt;&gt;"",COUNTIFS(מלאי!$B$2:$B$500,$A77,מלאי!$G$2:$G$500,$D77,מלאי!$D$2:$D$500,"&lt;&gt;"),COUNTIFS(מלאי!$B$2:$B$500,$A77,מלאי!$D$2:$D$500,"&lt;&gt;")))</f>
        <v/>
      </c>
      <c r="L77" s="30">
        <f>IF(OR($A77="",$E77=""),"",MAX(0,E77-H77))</f>
        <v/>
      </c>
      <c r="M77" s="30">
        <f>IF(OR($A77="",$E77=""),"",MAX(0,F77-I77))</f>
        <v/>
      </c>
      <c r="N77" s="30">
        <f>IF(OR($A77="",$E77=""),"",MAX(0,G77-J77))</f>
        <v/>
      </c>
      <c r="O77" s="9">
        <f>IF($P77="","",INDEX('מלאי רצוי'!$O$2:$O$121,$P77))</f>
        <v/>
      </c>
      <c r="P7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רצוי'!$A$2)+1,""),72),"")</f>
        <v/>
      </c>
    </row>
    <row r="78">
      <c r="A78" s="8">
        <f>IF($P78="","",INDEX('מלאי רצוי'!$A$2:$A$121,$P78))</f>
        <v/>
      </c>
      <c r="B78" s="8">
        <f>IF($P78="","",INDEX('מלאי רצוי'!$C$2:$C$121,$P78))</f>
        <v/>
      </c>
      <c r="C78" s="8">
        <f>IF($P78="","",INDEX('מלאי רצוי'!$D$2:$D$121,$P78))</f>
        <v/>
      </c>
      <c r="D78" s="8">
        <f>IF($P78="","",INDEX('מלאי רצוי'!$E$2:$E$121,$P78))</f>
        <v/>
      </c>
      <c r="E78" s="29">
        <f>IF($P78="","",INDEX('מלאי רצוי'!$F$2:$F$121,$P78))</f>
        <v/>
      </c>
      <c r="F78" s="29">
        <f>IF($P78="","",INDEX('מלאי רצוי'!$G$2:$G$121,$P78))</f>
        <v/>
      </c>
      <c r="G78" s="29">
        <f>IF($P78="","",INDEX('מלאי רצוי'!$H$2:$H$121,$P78))</f>
        <v/>
      </c>
      <c r="H78" s="29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29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29">
        <f>IF($A78="","",IF($D78&lt;&gt;"",COUNTIFS(מלאי!$B$2:$B$500,$A78,מלאי!$G$2:$G$500,$D78,מלאי!$X$2:$X$500,"מושאל"),COUNTIFS(מלאי!$B$2:$B$500,$A78,מלאי!$X$2:$X$500,"מושאל")))</f>
        <v/>
      </c>
      <c r="K78" s="29">
        <f>IF($A78="","",IF($D78&lt;&gt;"",COUNTIFS(מלאי!$B$2:$B$500,$A78,מלאי!$G$2:$G$500,$D78,מלאי!$D$2:$D$500,"&lt;&gt;"),COUNTIFS(מלאי!$B$2:$B$500,$A78,מלאי!$D$2:$D$500,"&lt;&gt;")))</f>
        <v/>
      </c>
      <c r="L78" s="29">
        <f>IF(OR($A78="",$E78=""),"",MAX(0,E78-H78))</f>
        <v/>
      </c>
      <c r="M78" s="29">
        <f>IF(OR($A78="",$E78=""),"",MAX(0,F78-I78))</f>
        <v/>
      </c>
      <c r="N78" s="29">
        <f>IF(OR($A78="",$E78=""),"",MAX(0,G78-J78))</f>
        <v/>
      </c>
      <c r="O78" s="8">
        <f>IF($P78="","",INDEX('מלאי רצוי'!$O$2:$O$121,$P78))</f>
        <v/>
      </c>
      <c r="P7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רצוי'!$A$2)+1,""),73),"")</f>
        <v/>
      </c>
    </row>
    <row r="79">
      <c r="A79" s="9">
        <f>IF($P79="","",INDEX('מלאי רצוי'!$A$2:$A$121,$P79))</f>
        <v/>
      </c>
      <c r="B79" s="9">
        <f>IF($P79="","",INDEX('מלאי רצוי'!$C$2:$C$121,$P79))</f>
        <v/>
      </c>
      <c r="C79" s="9">
        <f>IF($P79="","",INDEX('מלאי רצוי'!$D$2:$D$121,$P79))</f>
        <v/>
      </c>
      <c r="D79" s="9">
        <f>IF($P79="","",INDEX('מלאי רצוי'!$E$2:$E$121,$P79))</f>
        <v/>
      </c>
      <c r="E79" s="30">
        <f>IF($P79="","",INDEX('מלאי רצוי'!$F$2:$F$121,$P79))</f>
        <v/>
      </c>
      <c r="F79" s="30">
        <f>IF($P79="","",INDEX('מלאי רצוי'!$G$2:$G$121,$P79))</f>
        <v/>
      </c>
      <c r="G79" s="30">
        <f>IF($P79="","",INDEX('מלאי רצוי'!$H$2:$H$121,$P79))</f>
        <v/>
      </c>
      <c r="H79" s="30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0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0">
        <f>IF($A79="","",IF($D79&lt;&gt;"",COUNTIFS(מלאי!$B$2:$B$500,$A79,מלאי!$G$2:$G$500,$D79,מלאי!$X$2:$X$500,"מושאל"),COUNTIFS(מלאי!$B$2:$B$500,$A79,מלאי!$X$2:$X$500,"מושאל")))</f>
        <v/>
      </c>
      <c r="K79" s="30">
        <f>IF($A79="","",IF($D79&lt;&gt;"",COUNTIFS(מלאי!$B$2:$B$500,$A79,מלאי!$G$2:$G$500,$D79,מלאי!$D$2:$D$500,"&lt;&gt;"),COUNTIFS(מלאי!$B$2:$B$500,$A79,מלאי!$D$2:$D$500,"&lt;&gt;")))</f>
        <v/>
      </c>
      <c r="L79" s="30">
        <f>IF(OR($A79="",$E79=""),"",MAX(0,E79-H79))</f>
        <v/>
      </c>
      <c r="M79" s="30">
        <f>IF(OR($A79="",$E79=""),"",MAX(0,F79-I79))</f>
        <v/>
      </c>
      <c r="N79" s="30">
        <f>IF(OR($A79="",$E79=""),"",MAX(0,G79-J79))</f>
        <v/>
      </c>
      <c r="O79" s="9">
        <f>IF($P79="","",INDEX('מלאי רצוי'!$O$2:$O$121,$P79))</f>
        <v/>
      </c>
      <c r="P7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רצוי'!$A$2)+1,""),74),"")</f>
        <v/>
      </c>
    </row>
    <row r="80">
      <c r="A80" s="8">
        <f>IF($P80="","",INDEX('מלאי רצוי'!$A$2:$A$121,$P80))</f>
        <v/>
      </c>
      <c r="B80" s="8">
        <f>IF($P80="","",INDEX('מלאי רצוי'!$C$2:$C$121,$P80))</f>
        <v/>
      </c>
      <c r="C80" s="8">
        <f>IF($P80="","",INDEX('מלאי רצוי'!$D$2:$D$121,$P80))</f>
        <v/>
      </c>
      <c r="D80" s="8">
        <f>IF($P80="","",INDEX('מלאי רצוי'!$E$2:$E$121,$P80))</f>
        <v/>
      </c>
      <c r="E80" s="29">
        <f>IF($P80="","",INDEX('מלאי רצוי'!$F$2:$F$121,$P80))</f>
        <v/>
      </c>
      <c r="F80" s="29">
        <f>IF($P80="","",INDEX('מלאי רצוי'!$G$2:$G$121,$P80))</f>
        <v/>
      </c>
      <c r="G80" s="29">
        <f>IF($P80="","",INDEX('מלאי רצוי'!$H$2:$H$121,$P80))</f>
        <v/>
      </c>
      <c r="H80" s="29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29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29">
        <f>IF($A80="","",IF($D80&lt;&gt;"",COUNTIFS(מלאי!$B$2:$B$500,$A80,מלאי!$G$2:$G$500,$D80,מלאי!$X$2:$X$500,"מושאל"),COUNTIFS(מלאי!$B$2:$B$500,$A80,מלאי!$X$2:$X$500,"מושאל")))</f>
        <v/>
      </c>
      <c r="K80" s="29">
        <f>IF($A80="","",IF($D80&lt;&gt;"",COUNTIFS(מלאי!$B$2:$B$500,$A80,מלאי!$G$2:$G$500,$D80,מלאי!$D$2:$D$500,"&lt;&gt;"),COUNTIFS(מלאי!$B$2:$B$500,$A80,מלאי!$D$2:$D$500,"&lt;&gt;")))</f>
        <v/>
      </c>
      <c r="L80" s="29">
        <f>IF(OR($A80="",$E80=""),"",MAX(0,E80-H80))</f>
        <v/>
      </c>
      <c r="M80" s="29">
        <f>IF(OR($A80="",$E80=""),"",MAX(0,F80-I80))</f>
        <v/>
      </c>
      <c r="N80" s="29">
        <f>IF(OR($A80="",$E80=""),"",MAX(0,G80-J80))</f>
        <v/>
      </c>
      <c r="O80" s="8">
        <f>IF($P80="","",INDEX('מלאי רצוי'!$O$2:$O$121,$P80))</f>
        <v/>
      </c>
      <c r="P8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רצוי'!$A$2)+1,""),75),"")</f>
        <v/>
      </c>
    </row>
    <row r="81">
      <c r="A81" s="9">
        <f>IF($P81="","",INDEX('מלאי רצוי'!$A$2:$A$121,$P81))</f>
        <v/>
      </c>
      <c r="B81" s="9">
        <f>IF($P81="","",INDEX('מלאי רצוי'!$C$2:$C$121,$P81))</f>
        <v/>
      </c>
      <c r="C81" s="9">
        <f>IF($P81="","",INDEX('מלאי רצוי'!$D$2:$D$121,$P81))</f>
        <v/>
      </c>
      <c r="D81" s="9">
        <f>IF($P81="","",INDEX('מלאי רצוי'!$E$2:$E$121,$P81))</f>
        <v/>
      </c>
      <c r="E81" s="30">
        <f>IF($P81="","",INDEX('מלאי רצוי'!$F$2:$F$121,$P81))</f>
        <v/>
      </c>
      <c r="F81" s="30">
        <f>IF($P81="","",INDEX('מלאי רצוי'!$G$2:$G$121,$P81))</f>
        <v/>
      </c>
      <c r="G81" s="30">
        <f>IF($P81="","",INDEX('מלאי רצוי'!$H$2:$H$121,$P81))</f>
        <v/>
      </c>
      <c r="H81" s="30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0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0">
        <f>IF($A81="","",IF($D81&lt;&gt;"",COUNTIFS(מלאי!$B$2:$B$500,$A81,מלאי!$G$2:$G$500,$D81,מלאי!$X$2:$X$500,"מושאל"),COUNTIFS(מלאי!$B$2:$B$500,$A81,מלאי!$X$2:$X$500,"מושאל")))</f>
        <v/>
      </c>
      <c r="K81" s="30">
        <f>IF($A81="","",IF($D81&lt;&gt;"",COUNTIFS(מלאי!$B$2:$B$500,$A81,מלאי!$G$2:$G$500,$D81,מלאי!$D$2:$D$500,"&lt;&gt;"),COUNTIFS(מלאי!$B$2:$B$500,$A81,מלאי!$D$2:$D$500,"&lt;&gt;")))</f>
        <v/>
      </c>
      <c r="L81" s="30">
        <f>IF(OR($A81="",$E81=""),"",MAX(0,E81-H81))</f>
        <v/>
      </c>
      <c r="M81" s="30">
        <f>IF(OR($A81="",$E81=""),"",MAX(0,F81-I81))</f>
        <v/>
      </c>
      <c r="N81" s="30">
        <f>IF(OR($A81="",$E81=""),"",MAX(0,G81-J81))</f>
        <v/>
      </c>
      <c r="O81" s="9">
        <f>IF($P81="","",INDEX('מלאי רצוי'!$O$2:$O$121,$P81))</f>
        <v/>
      </c>
      <c r="P8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רצוי'!$A$2)+1,""),76),"")</f>
        <v/>
      </c>
    </row>
    <row r="82">
      <c r="A82" s="8">
        <f>IF($P82="","",INDEX('מלאי רצוי'!$A$2:$A$121,$P82))</f>
        <v/>
      </c>
      <c r="B82" s="8">
        <f>IF($P82="","",INDEX('מלאי רצוי'!$C$2:$C$121,$P82))</f>
        <v/>
      </c>
      <c r="C82" s="8">
        <f>IF($P82="","",INDEX('מלאי רצוי'!$D$2:$D$121,$P82))</f>
        <v/>
      </c>
      <c r="D82" s="8">
        <f>IF($P82="","",INDEX('מלאי רצוי'!$E$2:$E$121,$P82))</f>
        <v/>
      </c>
      <c r="E82" s="29">
        <f>IF($P82="","",INDEX('מלאי רצוי'!$F$2:$F$121,$P82))</f>
        <v/>
      </c>
      <c r="F82" s="29">
        <f>IF($P82="","",INDEX('מלאי רצוי'!$G$2:$G$121,$P82))</f>
        <v/>
      </c>
      <c r="G82" s="29">
        <f>IF($P82="","",INDEX('מלאי רצוי'!$H$2:$H$121,$P82))</f>
        <v/>
      </c>
      <c r="H82" s="29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29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29">
        <f>IF($A82="","",IF($D82&lt;&gt;"",COUNTIFS(מלאי!$B$2:$B$500,$A82,מלאי!$G$2:$G$500,$D82,מלאי!$X$2:$X$500,"מושאל"),COUNTIFS(מלאי!$B$2:$B$500,$A82,מלאי!$X$2:$X$500,"מושאל")))</f>
        <v/>
      </c>
      <c r="K82" s="29">
        <f>IF($A82="","",IF($D82&lt;&gt;"",COUNTIFS(מלאי!$B$2:$B$500,$A82,מלאי!$G$2:$G$500,$D82,מלאי!$D$2:$D$500,"&lt;&gt;"),COUNTIFS(מלאי!$B$2:$B$500,$A82,מלאי!$D$2:$D$500,"&lt;&gt;")))</f>
        <v/>
      </c>
      <c r="L82" s="29">
        <f>IF(OR($A82="",$E82=""),"",MAX(0,E82-H82))</f>
        <v/>
      </c>
      <c r="M82" s="29">
        <f>IF(OR($A82="",$E82=""),"",MAX(0,F82-I82))</f>
        <v/>
      </c>
      <c r="N82" s="29">
        <f>IF(OR($A82="",$E82=""),"",MAX(0,G82-J82))</f>
        <v/>
      </c>
      <c r="O82" s="8">
        <f>IF($P82="","",INDEX('מלאי רצוי'!$O$2:$O$121,$P82))</f>
        <v/>
      </c>
      <c r="P8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רצוי'!$A$2)+1,""),77),"")</f>
        <v/>
      </c>
    </row>
    <row r="83">
      <c r="A83" s="9">
        <f>IF($P83="","",INDEX('מלאי רצוי'!$A$2:$A$121,$P83))</f>
        <v/>
      </c>
      <c r="B83" s="9">
        <f>IF($P83="","",INDEX('מלאי רצוי'!$C$2:$C$121,$P83))</f>
        <v/>
      </c>
      <c r="C83" s="9">
        <f>IF($P83="","",INDEX('מלאי רצוי'!$D$2:$D$121,$P83))</f>
        <v/>
      </c>
      <c r="D83" s="9">
        <f>IF($P83="","",INDEX('מלאי רצוי'!$E$2:$E$121,$P83))</f>
        <v/>
      </c>
      <c r="E83" s="30">
        <f>IF($P83="","",INDEX('מלאי רצוי'!$F$2:$F$121,$P83))</f>
        <v/>
      </c>
      <c r="F83" s="30">
        <f>IF($P83="","",INDEX('מלאי רצוי'!$G$2:$G$121,$P83))</f>
        <v/>
      </c>
      <c r="G83" s="30">
        <f>IF($P83="","",INDEX('מלאי רצוי'!$H$2:$H$121,$P83))</f>
        <v/>
      </c>
      <c r="H83" s="30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0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0">
        <f>IF($A83="","",IF($D83&lt;&gt;"",COUNTIFS(מלאי!$B$2:$B$500,$A83,מלאי!$G$2:$G$500,$D83,מלאי!$X$2:$X$500,"מושאל"),COUNTIFS(מלאי!$B$2:$B$500,$A83,מלאי!$X$2:$X$500,"מושאל")))</f>
        <v/>
      </c>
      <c r="K83" s="30">
        <f>IF($A83="","",IF($D83&lt;&gt;"",COUNTIFS(מלאי!$B$2:$B$500,$A83,מלאי!$G$2:$G$500,$D83,מלאי!$D$2:$D$500,"&lt;&gt;"),COUNTIFS(מלאי!$B$2:$B$500,$A83,מלאי!$D$2:$D$500,"&lt;&gt;")))</f>
        <v/>
      </c>
      <c r="L83" s="30">
        <f>IF(OR($A83="",$E83=""),"",MAX(0,E83-H83))</f>
        <v/>
      </c>
      <c r="M83" s="30">
        <f>IF(OR($A83="",$E83=""),"",MAX(0,F83-I83))</f>
        <v/>
      </c>
      <c r="N83" s="30">
        <f>IF(OR($A83="",$E83=""),"",MAX(0,G83-J83))</f>
        <v/>
      </c>
      <c r="O83" s="9">
        <f>IF($P83="","",INDEX('מלאי רצוי'!$O$2:$O$121,$P83))</f>
        <v/>
      </c>
      <c r="P8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רצוי'!$A$2)+1,""),78),"")</f>
        <v/>
      </c>
    </row>
    <row r="84">
      <c r="A84" s="8">
        <f>IF($P84="","",INDEX('מלאי רצוי'!$A$2:$A$121,$P84))</f>
        <v/>
      </c>
      <c r="B84" s="8">
        <f>IF($P84="","",INDEX('מלאי רצוי'!$C$2:$C$121,$P84))</f>
        <v/>
      </c>
      <c r="C84" s="8">
        <f>IF($P84="","",INDEX('מלאי רצוי'!$D$2:$D$121,$P84))</f>
        <v/>
      </c>
      <c r="D84" s="8">
        <f>IF($P84="","",INDEX('מלאי רצוי'!$E$2:$E$121,$P84))</f>
        <v/>
      </c>
      <c r="E84" s="29">
        <f>IF($P84="","",INDEX('מלאי רצוי'!$F$2:$F$121,$P84))</f>
        <v/>
      </c>
      <c r="F84" s="29">
        <f>IF($P84="","",INDEX('מלאי רצוי'!$G$2:$G$121,$P84))</f>
        <v/>
      </c>
      <c r="G84" s="29">
        <f>IF($P84="","",INDEX('מלאי רצוי'!$H$2:$H$121,$P84))</f>
        <v/>
      </c>
      <c r="H84" s="29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29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29">
        <f>IF($A84="","",IF($D84&lt;&gt;"",COUNTIFS(מלאי!$B$2:$B$500,$A84,מלאי!$G$2:$G$500,$D84,מלאי!$X$2:$X$500,"מושאל"),COUNTIFS(מלאי!$B$2:$B$500,$A84,מלאי!$X$2:$X$500,"מושאל")))</f>
        <v/>
      </c>
      <c r="K84" s="29">
        <f>IF($A84="","",IF($D84&lt;&gt;"",COUNTIFS(מלאי!$B$2:$B$500,$A84,מלאי!$G$2:$G$500,$D84,מלאי!$D$2:$D$500,"&lt;&gt;"),COUNTIFS(מלאי!$B$2:$B$500,$A84,מלאי!$D$2:$D$500,"&lt;&gt;")))</f>
        <v/>
      </c>
      <c r="L84" s="29">
        <f>IF(OR($A84="",$E84=""),"",MAX(0,E84-H84))</f>
        <v/>
      </c>
      <c r="M84" s="29">
        <f>IF(OR($A84="",$E84=""),"",MAX(0,F84-I84))</f>
        <v/>
      </c>
      <c r="N84" s="29">
        <f>IF(OR($A84="",$E84=""),"",MAX(0,G84-J84))</f>
        <v/>
      </c>
      <c r="O84" s="8">
        <f>IF($P84="","",INDEX('מלאי רצוי'!$O$2:$O$121,$P84))</f>
        <v/>
      </c>
      <c r="P8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רצוי'!$A$2)+1,""),79),"")</f>
        <v/>
      </c>
    </row>
    <row r="85">
      <c r="A85" s="9">
        <f>IF($P85="","",INDEX('מלאי רצוי'!$A$2:$A$121,$P85))</f>
        <v/>
      </c>
      <c r="B85" s="9">
        <f>IF($P85="","",INDEX('מלאי רצוי'!$C$2:$C$121,$P85))</f>
        <v/>
      </c>
      <c r="C85" s="9">
        <f>IF($P85="","",INDEX('מלאי רצוי'!$D$2:$D$121,$P85))</f>
        <v/>
      </c>
      <c r="D85" s="9">
        <f>IF($P85="","",INDEX('מלאי רצוי'!$E$2:$E$121,$P85))</f>
        <v/>
      </c>
      <c r="E85" s="30">
        <f>IF($P85="","",INDEX('מלאי רצוי'!$F$2:$F$121,$P85))</f>
        <v/>
      </c>
      <c r="F85" s="30">
        <f>IF($P85="","",INDEX('מלאי רצוי'!$G$2:$G$121,$P85))</f>
        <v/>
      </c>
      <c r="G85" s="30">
        <f>IF($P85="","",INDEX('מלאי רצוי'!$H$2:$H$121,$P85))</f>
        <v/>
      </c>
      <c r="H85" s="30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0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0">
        <f>IF($A85="","",IF($D85&lt;&gt;"",COUNTIFS(מלאי!$B$2:$B$500,$A85,מלאי!$G$2:$G$500,$D85,מלאי!$X$2:$X$500,"מושאל"),COUNTIFS(מלאי!$B$2:$B$500,$A85,מלאי!$X$2:$X$500,"מושאל")))</f>
        <v/>
      </c>
      <c r="K85" s="30">
        <f>IF($A85="","",IF($D85&lt;&gt;"",COUNTIFS(מלאי!$B$2:$B$500,$A85,מלאי!$G$2:$G$500,$D85,מלאי!$D$2:$D$500,"&lt;&gt;"),COUNTIFS(מלאי!$B$2:$B$500,$A85,מלאי!$D$2:$D$500,"&lt;&gt;")))</f>
        <v/>
      </c>
      <c r="L85" s="30">
        <f>IF(OR($A85="",$E85=""),"",MAX(0,E85-H85))</f>
        <v/>
      </c>
      <c r="M85" s="30">
        <f>IF(OR($A85="",$E85=""),"",MAX(0,F85-I85))</f>
        <v/>
      </c>
      <c r="N85" s="30">
        <f>IF(OR($A85="",$E85=""),"",MAX(0,G85-J85))</f>
        <v/>
      </c>
      <c r="O85" s="9">
        <f>IF($P85="","",INDEX('מלאי רצוי'!$O$2:$O$121,$P85))</f>
        <v/>
      </c>
      <c r="P8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רצוי'!$A$2)+1,""),80),"")</f>
        <v/>
      </c>
    </row>
    <row r="86">
      <c r="A86" s="8">
        <f>IF($P86="","",INDEX('מלאי רצוי'!$A$2:$A$121,$P86))</f>
        <v/>
      </c>
      <c r="B86" s="8">
        <f>IF($P86="","",INDEX('מלאי רצוי'!$C$2:$C$121,$P86))</f>
        <v/>
      </c>
      <c r="C86" s="8">
        <f>IF($P86="","",INDEX('מלאי רצוי'!$D$2:$D$121,$P86))</f>
        <v/>
      </c>
      <c r="D86" s="8">
        <f>IF($P86="","",INDEX('מלאי רצוי'!$E$2:$E$121,$P86))</f>
        <v/>
      </c>
      <c r="E86" s="29">
        <f>IF($P86="","",INDEX('מלאי רצוי'!$F$2:$F$121,$P86))</f>
        <v/>
      </c>
      <c r="F86" s="29">
        <f>IF($P86="","",INDEX('מלאי רצוי'!$G$2:$G$121,$P86))</f>
        <v/>
      </c>
      <c r="G86" s="29">
        <f>IF($P86="","",INDEX('מלאי רצוי'!$H$2:$H$121,$P86))</f>
        <v/>
      </c>
      <c r="H86" s="29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29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29">
        <f>IF($A86="","",IF($D86&lt;&gt;"",COUNTIFS(מלאי!$B$2:$B$500,$A86,מלאי!$G$2:$G$500,$D86,מלאי!$X$2:$X$500,"מושאל"),COUNTIFS(מלאי!$B$2:$B$500,$A86,מלאי!$X$2:$X$500,"מושאל")))</f>
        <v/>
      </c>
      <c r="K86" s="29">
        <f>IF($A86="","",IF($D86&lt;&gt;"",COUNTIFS(מלאי!$B$2:$B$500,$A86,מלאי!$G$2:$G$500,$D86,מלאי!$D$2:$D$500,"&lt;&gt;"),COUNTIFS(מלאי!$B$2:$B$500,$A86,מלאי!$D$2:$D$500,"&lt;&gt;")))</f>
        <v/>
      </c>
      <c r="L86" s="29">
        <f>IF(OR($A86="",$E86=""),"",MAX(0,E86-H86))</f>
        <v/>
      </c>
      <c r="M86" s="29">
        <f>IF(OR($A86="",$E86=""),"",MAX(0,F86-I86))</f>
        <v/>
      </c>
      <c r="N86" s="29">
        <f>IF(OR($A86="",$E86=""),"",MAX(0,G86-J86))</f>
        <v/>
      </c>
      <c r="O86" s="8">
        <f>IF($P86="","",INDEX('מלאי רצוי'!$O$2:$O$121,$P86))</f>
        <v/>
      </c>
      <c r="P8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רצוי'!$A$2)+1,""),81),"")</f>
        <v/>
      </c>
    </row>
    <row r="87">
      <c r="A87" s="9">
        <f>IF($P87="","",INDEX('מלאי רצוי'!$A$2:$A$121,$P87))</f>
        <v/>
      </c>
      <c r="B87" s="9">
        <f>IF($P87="","",INDEX('מלאי רצוי'!$C$2:$C$121,$P87))</f>
        <v/>
      </c>
      <c r="C87" s="9">
        <f>IF($P87="","",INDEX('מלאי רצוי'!$D$2:$D$121,$P87))</f>
        <v/>
      </c>
      <c r="D87" s="9">
        <f>IF($P87="","",INDEX('מלאי רצוי'!$E$2:$E$121,$P87))</f>
        <v/>
      </c>
      <c r="E87" s="30">
        <f>IF($P87="","",INDEX('מלאי רצוי'!$F$2:$F$121,$P87))</f>
        <v/>
      </c>
      <c r="F87" s="30">
        <f>IF($P87="","",INDEX('מלאי רצוי'!$G$2:$G$121,$P87))</f>
        <v/>
      </c>
      <c r="G87" s="30">
        <f>IF($P87="","",INDEX('מלאי רצוי'!$H$2:$H$121,$P87))</f>
        <v/>
      </c>
      <c r="H87" s="30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0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0">
        <f>IF($A87="","",IF($D87&lt;&gt;"",COUNTIFS(מלאי!$B$2:$B$500,$A87,מלאי!$G$2:$G$500,$D87,מלאי!$X$2:$X$500,"מושאל"),COUNTIFS(מלאי!$B$2:$B$500,$A87,מלאי!$X$2:$X$500,"מושאל")))</f>
        <v/>
      </c>
      <c r="K87" s="30">
        <f>IF($A87="","",IF($D87&lt;&gt;"",COUNTIFS(מלאי!$B$2:$B$500,$A87,מלאי!$G$2:$G$500,$D87,מלאי!$D$2:$D$500,"&lt;&gt;"),COUNTIFS(מלאי!$B$2:$B$500,$A87,מלאי!$D$2:$D$500,"&lt;&gt;")))</f>
        <v/>
      </c>
      <c r="L87" s="30">
        <f>IF(OR($A87="",$E87=""),"",MAX(0,E87-H87))</f>
        <v/>
      </c>
      <c r="M87" s="30">
        <f>IF(OR($A87="",$E87=""),"",MAX(0,F87-I87))</f>
        <v/>
      </c>
      <c r="N87" s="30">
        <f>IF(OR($A87="",$E87=""),"",MAX(0,G87-J87))</f>
        <v/>
      </c>
      <c r="O87" s="9">
        <f>IF($P87="","",INDEX('מלאי רצוי'!$O$2:$O$121,$P87))</f>
        <v/>
      </c>
      <c r="P8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רצוי'!$A$2)+1,""),82),"")</f>
        <v/>
      </c>
    </row>
    <row r="88">
      <c r="A88" s="8">
        <f>IF($P88="","",INDEX('מלאי רצוי'!$A$2:$A$121,$P88))</f>
        <v/>
      </c>
      <c r="B88" s="8">
        <f>IF($P88="","",INDEX('מלאי רצוי'!$C$2:$C$121,$P88))</f>
        <v/>
      </c>
      <c r="C88" s="8">
        <f>IF($P88="","",INDEX('מלאי רצוי'!$D$2:$D$121,$P88))</f>
        <v/>
      </c>
      <c r="D88" s="8">
        <f>IF($P88="","",INDEX('מלאי רצוי'!$E$2:$E$121,$P88))</f>
        <v/>
      </c>
      <c r="E88" s="29">
        <f>IF($P88="","",INDEX('מלאי רצוי'!$F$2:$F$121,$P88))</f>
        <v/>
      </c>
      <c r="F88" s="29">
        <f>IF($P88="","",INDEX('מלאי רצוי'!$G$2:$G$121,$P88))</f>
        <v/>
      </c>
      <c r="G88" s="29">
        <f>IF($P88="","",INDEX('מלאי רצוי'!$H$2:$H$121,$P88))</f>
        <v/>
      </c>
      <c r="H88" s="29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29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29">
        <f>IF($A88="","",IF($D88&lt;&gt;"",COUNTIFS(מלאי!$B$2:$B$500,$A88,מלאי!$G$2:$G$500,$D88,מלאי!$X$2:$X$500,"מושאל"),COUNTIFS(מלאי!$B$2:$B$500,$A88,מלאי!$X$2:$X$500,"מושאל")))</f>
        <v/>
      </c>
      <c r="K88" s="29">
        <f>IF($A88="","",IF($D88&lt;&gt;"",COUNTIFS(מלאי!$B$2:$B$500,$A88,מלאי!$G$2:$G$500,$D88,מלאי!$D$2:$D$500,"&lt;&gt;"),COUNTIFS(מלאי!$B$2:$B$500,$A88,מלאי!$D$2:$D$500,"&lt;&gt;")))</f>
        <v/>
      </c>
      <c r="L88" s="29">
        <f>IF(OR($A88="",$E88=""),"",MAX(0,E88-H88))</f>
        <v/>
      </c>
      <c r="M88" s="29">
        <f>IF(OR($A88="",$E88=""),"",MAX(0,F88-I88))</f>
        <v/>
      </c>
      <c r="N88" s="29">
        <f>IF(OR($A88="",$E88=""),"",MAX(0,G88-J88))</f>
        <v/>
      </c>
      <c r="O88" s="8">
        <f>IF($P88="","",INDEX('מלאי רצוי'!$O$2:$O$121,$P88))</f>
        <v/>
      </c>
      <c r="P8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רצוי'!$A$2)+1,""),83),"")</f>
        <v/>
      </c>
    </row>
    <row r="89">
      <c r="A89" s="9">
        <f>IF($P89="","",INDEX('מלאי רצוי'!$A$2:$A$121,$P89))</f>
        <v/>
      </c>
      <c r="B89" s="9">
        <f>IF($P89="","",INDEX('מלאי רצוי'!$C$2:$C$121,$P89))</f>
        <v/>
      </c>
      <c r="C89" s="9">
        <f>IF($P89="","",INDEX('מלאי רצוי'!$D$2:$D$121,$P89))</f>
        <v/>
      </c>
      <c r="D89" s="9">
        <f>IF($P89="","",INDEX('מלאי רצוי'!$E$2:$E$121,$P89))</f>
        <v/>
      </c>
      <c r="E89" s="30">
        <f>IF($P89="","",INDEX('מלאי רצוי'!$F$2:$F$121,$P89))</f>
        <v/>
      </c>
      <c r="F89" s="30">
        <f>IF($P89="","",INDEX('מלאי רצוי'!$G$2:$G$121,$P89))</f>
        <v/>
      </c>
      <c r="G89" s="30">
        <f>IF($P89="","",INDEX('מלאי רצוי'!$H$2:$H$121,$P89))</f>
        <v/>
      </c>
      <c r="H89" s="30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0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0">
        <f>IF($A89="","",IF($D89&lt;&gt;"",COUNTIFS(מלאי!$B$2:$B$500,$A89,מלאי!$G$2:$G$500,$D89,מלאי!$X$2:$X$500,"מושאל"),COUNTIFS(מלאי!$B$2:$B$500,$A89,מלאי!$X$2:$X$500,"מושאל")))</f>
        <v/>
      </c>
      <c r="K89" s="30">
        <f>IF($A89="","",IF($D89&lt;&gt;"",COUNTIFS(מלאי!$B$2:$B$500,$A89,מלאי!$G$2:$G$500,$D89,מלאי!$D$2:$D$500,"&lt;&gt;"),COUNTIFS(מלאי!$B$2:$B$500,$A89,מלאי!$D$2:$D$500,"&lt;&gt;")))</f>
        <v/>
      </c>
      <c r="L89" s="30">
        <f>IF(OR($A89="",$E89=""),"",MAX(0,E89-H89))</f>
        <v/>
      </c>
      <c r="M89" s="30">
        <f>IF(OR($A89="",$E89=""),"",MAX(0,F89-I89))</f>
        <v/>
      </c>
      <c r="N89" s="30">
        <f>IF(OR($A89="",$E89=""),"",MAX(0,G89-J89))</f>
        <v/>
      </c>
      <c r="O89" s="9">
        <f>IF($P89="","",INDEX('מלאי רצוי'!$O$2:$O$121,$P89))</f>
        <v/>
      </c>
      <c r="P8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רצוי'!$A$2)+1,""),84),"")</f>
        <v/>
      </c>
    </row>
    <row r="90">
      <c r="A90" s="8">
        <f>IF($P90="","",INDEX('מלאי רצוי'!$A$2:$A$121,$P90))</f>
        <v/>
      </c>
      <c r="B90" s="8">
        <f>IF($P90="","",INDEX('מלאי רצוי'!$C$2:$C$121,$P90))</f>
        <v/>
      </c>
      <c r="C90" s="8">
        <f>IF($P90="","",INDEX('מלאי רצוי'!$D$2:$D$121,$P90))</f>
        <v/>
      </c>
      <c r="D90" s="8">
        <f>IF($P90="","",INDEX('מלאי רצוי'!$E$2:$E$121,$P90))</f>
        <v/>
      </c>
      <c r="E90" s="29">
        <f>IF($P90="","",INDEX('מלאי רצוי'!$F$2:$F$121,$P90))</f>
        <v/>
      </c>
      <c r="F90" s="29">
        <f>IF($P90="","",INDEX('מלאי רצוי'!$G$2:$G$121,$P90))</f>
        <v/>
      </c>
      <c r="G90" s="29">
        <f>IF($P90="","",INDEX('מלאי רצוי'!$H$2:$H$121,$P90))</f>
        <v/>
      </c>
      <c r="H90" s="29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29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29">
        <f>IF($A90="","",IF($D90&lt;&gt;"",COUNTIFS(מלאי!$B$2:$B$500,$A90,מלאי!$G$2:$G$500,$D90,מלאי!$X$2:$X$500,"מושאל"),COUNTIFS(מלאי!$B$2:$B$500,$A90,מלאי!$X$2:$X$500,"מושאל")))</f>
        <v/>
      </c>
      <c r="K90" s="29">
        <f>IF($A90="","",IF($D90&lt;&gt;"",COUNTIFS(מלאי!$B$2:$B$500,$A90,מלאי!$G$2:$G$500,$D90,מלאי!$D$2:$D$500,"&lt;&gt;"),COUNTIFS(מלאי!$B$2:$B$500,$A90,מלאי!$D$2:$D$500,"&lt;&gt;")))</f>
        <v/>
      </c>
      <c r="L90" s="29">
        <f>IF(OR($A90="",$E90=""),"",MAX(0,E90-H90))</f>
        <v/>
      </c>
      <c r="M90" s="29">
        <f>IF(OR($A90="",$E90=""),"",MAX(0,F90-I90))</f>
        <v/>
      </c>
      <c r="N90" s="29">
        <f>IF(OR($A90="",$E90=""),"",MAX(0,G90-J90))</f>
        <v/>
      </c>
      <c r="O90" s="8">
        <f>IF($P90="","",INDEX('מלאי רצוי'!$O$2:$O$121,$P90))</f>
        <v/>
      </c>
      <c r="P9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רצוי'!$A$2)+1,""),85),"")</f>
        <v/>
      </c>
    </row>
    <row r="91">
      <c r="A91" s="9">
        <f>IF($P91="","",INDEX('מלאי רצוי'!$A$2:$A$121,$P91))</f>
        <v/>
      </c>
      <c r="B91" s="9">
        <f>IF($P91="","",INDEX('מלאי רצוי'!$C$2:$C$121,$P91))</f>
        <v/>
      </c>
      <c r="C91" s="9">
        <f>IF($P91="","",INDEX('מלאי רצוי'!$D$2:$D$121,$P91))</f>
        <v/>
      </c>
      <c r="D91" s="9">
        <f>IF($P91="","",INDEX('מלאי רצוי'!$E$2:$E$121,$P91))</f>
        <v/>
      </c>
      <c r="E91" s="30">
        <f>IF($P91="","",INDEX('מלאי רצוי'!$F$2:$F$121,$P91))</f>
        <v/>
      </c>
      <c r="F91" s="30">
        <f>IF($P91="","",INDEX('מלאי רצוי'!$G$2:$G$121,$P91))</f>
        <v/>
      </c>
      <c r="G91" s="30">
        <f>IF($P91="","",INDEX('מלאי רצוי'!$H$2:$H$121,$P91))</f>
        <v/>
      </c>
      <c r="H91" s="30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0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0">
        <f>IF($A91="","",IF($D91&lt;&gt;"",COUNTIFS(מלאי!$B$2:$B$500,$A91,מלאי!$G$2:$G$500,$D91,מלאי!$X$2:$X$500,"מושאל"),COUNTIFS(מלאי!$B$2:$B$500,$A91,מלאי!$X$2:$X$500,"מושאל")))</f>
        <v/>
      </c>
      <c r="K91" s="30">
        <f>IF($A91="","",IF($D91&lt;&gt;"",COUNTIFS(מלאי!$B$2:$B$500,$A91,מלאי!$G$2:$G$500,$D91,מלאי!$D$2:$D$500,"&lt;&gt;"),COUNTIFS(מלאי!$B$2:$B$500,$A91,מלאי!$D$2:$D$500,"&lt;&gt;")))</f>
        <v/>
      </c>
      <c r="L91" s="30">
        <f>IF(OR($A91="",$E91=""),"",MAX(0,E91-H91))</f>
        <v/>
      </c>
      <c r="M91" s="30">
        <f>IF(OR($A91="",$E91=""),"",MAX(0,F91-I91))</f>
        <v/>
      </c>
      <c r="N91" s="30">
        <f>IF(OR($A91="",$E91=""),"",MAX(0,G91-J91))</f>
        <v/>
      </c>
      <c r="O91" s="9">
        <f>IF($P91="","",INDEX('מלאי רצוי'!$O$2:$O$121,$P91))</f>
        <v/>
      </c>
      <c r="P9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רצוי'!$A$2)+1,""),86),"")</f>
        <v/>
      </c>
    </row>
    <row r="92">
      <c r="A92" s="8">
        <f>IF($P92="","",INDEX('מלאי רצוי'!$A$2:$A$121,$P92))</f>
        <v/>
      </c>
      <c r="B92" s="8">
        <f>IF($P92="","",INDEX('מלאי רצוי'!$C$2:$C$121,$P92))</f>
        <v/>
      </c>
      <c r="C92" s="8">
        <f>IF($P92="","",INDEX('מלאי רצוי'!$D$2:$D$121,$P92))</f>
        <v/>
      </c>
      <c r="D92" s="8">
        <f>IF($P92="","",INDEX('מלאי רצוי'!$E$2:$E$121,$P92))</f>
        <v/>
      </c>
      <c r="E92" s="29">
        <f>IF($P92="","",INDEX('מלאי רצוי'!$F$2:$F$121,$P92))</f>
        <v/>
      </c>
      <c r="F92" s="29">
        <f>IF($P92="","",INDEX('מלאי רצוי'!$G$2:$G$121,$P92))</f>
        <v/>
      </c>
      <c r="G92" s="29">
        <f>IF($P92="","",INDEX('מלאי רצוי'!$H$2:$H$121,$P92))</f>
        <v/>
      </c>
      <c r="H92" s="29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29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29">
        <f>IF($A92="","",IF($D92&lt;&gt;"",COUNTIFS(מלאי!$B$2:$B$500,$A92,מלאי!$G$2:$G$500,$D92,מלאי!$X$2:$X$500,"מושאל"),COUNTIFS(מלאי!$B$2:$B$500,$A92,מלאי!$X$2:$X$500,"מושאל")))</f>
        <v/>
      </c>
      <c r="K92" s="29">
        <f>IF($A92="","",IF($D92&lt;&gt;"",COUNTIFS(מלאי!$B$2:$B$500,$A92,מלאי!$G$2:$G$500,$D92,מלאי!$D$2:$D$500,"&lt;&gt;"),COUNTIFS(מלאי!$B$2:$B$500,$A92,מלאי!$D$2:$D$500,"&lt;&gt;")))</f>
        <v/>
      </c>
      <c r="L92" s="29">
        <f>IF(OR($A92="",$E92=""),"",MAX(0,E92-H92))</f>
        <v/>
      </c>
      <c r="M92" s="29">
        <f>IF(OR($A92="",$E92=""),"",MAX(0,F92-I92))</f>
        <v/>
      </c>
      <c r="N92" s="29">
        <f>IF(OR($A92="",$E92=""),"",MAX(0,G92-J92))</f>
        <v/>
      </c>
      <c r="O92" s="8">
        <f>IF($P92="","",INDEX('מלאי רצוי'!$O$2:$O$121,$P92))</f>
        <v/>
      </c>
      <c r="P9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רצוי'!$A$2)+1,""),87),"")</f>
        <v/>
      </c>
    </row>
    <row r="93">
      <c r="A93" s="9">
        <f>IF($P93="","",INDEX('מלאי רצוי'!$A$2:$A$121,$P93))</f>
        <v/>
      </c>
      <c r="B93" s="9">
        <f>IF($P93="","",INDEX('מלאי רצוי'!$C$2:$C$121,$P93))</f>
        <v/>
      </c>
      <c r="C93" s="9">
        <f>IF($P93="","",INDEX('מלאי רצוי'!$D$2:$D$121,$P93))</f>
        <v/>
      </c>
      <c r="D93" s="9">
        <f>IF($P93="","",INDEX('מלאי רצוי'!$E$2:$E$121,$P93))</f>
        <v/>
      </c>
      <c r="E93" s="30">
        <f>IF($P93="","",INDEX('מלאי רצוי'!$F$2:$F$121,$P93))</f>
        <v/>
      </c>
      <c r="F93" s="30">
        <f>IF($P93="","",INDEX('מלאי רצוי'!$G$2:$G$121,$P93))</f>
        <v/>
      </c>
      <c r="G93" s="30">
        <f>IF($P93="","",INDEX('מלאי רצוי'!$H$2:$H$121,$P93))</f>
        <v/>
      </c>
      <c r="H93" s="30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0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0">
        <f>IF($A93="","",IF($D93&lt;&gt;"",COUNTIFS(מלאי!$B$2:$B$500,$A93,מלאי!$G$2:$G$500,$D93,מלאי!$X$2:$X$500,"מושאל"),COUNTIFS(מלאי!$B$2:$B$500,$A93,מלאי!$X$2:$X$500,"מושאל")))</f>
        <v/>
      </c>
      <c r="K93" s="30">
        <f>IF($A93="","",IF($D93&lt;&gt;"",COUNTIFS(מלאי!$B$2:$B$500,$A93,מלאי!$G$2:$G$500,$D93,מלאי!$D$2:$D$500,"&lt;&gt;"),COUNTIFS(מלאי!$B$2:$B$500,$A93,מלאי!$D$2:$D$500,"&lt;&gt;")))</f>
        <v/>
      </c>
      <c r="L93" s="30">
        <f>IF(OR($A93="",$E93=""),"",MAX(0,E93-H93))</f>
        <v/>
      </c>
      <c r="M93" s="30">
        <f>IF(OR($A93="",$E93=""),"",MAX(0,F93-I93))</f>
        <v/>
      </c>
      <c r="N93" s="30">
        <f>IF(OR($A93="",$E93=""),"",MAX(0,G93-J93))</f>
        <v/>
      </c>
      <c r="O93" s="9">
        <f>IF($P93="","",INDEX('מלאי רצוי'!$O$2:$O$121,$P93))</f>
        <v/>
      </c>
      <c r="P9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רצוי'!$A$2)+1,""),88),"")</f>
        <v/>
      </c>
    </row>
    <row r="94">
      <c r="A94" s="8">
        <f>IF($P94="","",INDEX('מלאי רצוי'!$A$2:$A$121,$P94))</f>
        <v/>
      </c>
      <c r="B94" s="8">
        <f>IF($P94="","",INDEX('מלאי רצוי'!$C$2:$C$121,$P94))</f>
        <v/>
      </c>
      <c r="C94" s="8">
        <f>IF($P94="","",INDEX('מלאי רצוי'!$D$2:$D$121,$P94))</f>
        <v/>
      </c>
      <c r="D94" s="8">
        <f>IF($P94="","",INDEX('מלאי רצוי'!$E$2:$E$121,$P94))</f>
        <v/>
      </c>
      <c r="E94" s="29">
        <f>IF($P94="","",INDEX('מלאי רצוי'!$F$2:$F$121,$P94))</f>
        <v/>
      </c>
      <c r="F94" s="29">
        <f>IF($P94="","",INDEX('מלאי רצוי'!$G$2:$G$121,$P94))</f>
        <v/>
      </c>
      <c r="G94" s="29">
        <f>IF($P94="","",INDEX('מלאי רצוי'!$H$2:$H$121,$P94))</f>
        <v/>
      </c>
      <c r="H94" s="29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29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29">
        <f>IF($A94="","",IF($D94&lt;&gt;"",COUNTIFS(מלאי!$B$2:$B$500,$A94,מלאי!$G$2:$G$500,$D94,מלאי!$X$2:$X$500,"מושאל"),COUNTIFS(מלאי!$B$2:$B$500,$A94,מלאי!$X$2:$X$500,"מושאל")))</f>
        <v/>
      </c>
      <c r="K94" s="29">
        <f>IF($A94="","",IF($D94&lt;&gt;"",COUNTIFS(מלאי!$B$2:$B$500,$A94,מלאי!$G$2:$G$500,$D94,מלאי!$D$2:$D$500,"&lt;&gt;"),COUNTIFS(מלאי!$B$2:$B$500,$A94,מלאי!$D$2:$D$500,"&lt;&gt;")))</f>
        <v/>
      </c>
      <c r="L94" s="29">
        <f>IF(OR($A94="",$E94=""),"",MAX(0,E94-H94))</f>
        <v/>
      </c>
      <c r="M94" s="29">
        <f>IF(OR($A94="",$E94=""),"",MAX(0,F94-I94))</f>
        <v/>
      </c>
      <c r="N94" s="29">
        <f>IF(OR($A94="",$E94=""),"",MAX(0,G94-J94))</f>
        <v/>
      </c>
      <c r="O94" s="8">
        <f>IF($P94="","",INDEX('מלאי רצוי'!$O$2:$O$121,$P94))</f>
        <v/>
      </c>
      <c r="P9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רצוי'!$A$2)+1,""),89),"")</f>
        <v/>
      </c>
    </row>
    <row r="95">
      <c r="A95" s="9">
        <f>IF($P95="","",INDEX('מלאי רצוי'!$A$2:$A$121,$P95))</f>
        <v/>
      </c>
      <c r="B95" s="9">
        <f>IF($P95="","",INDEX('מלאי רצוי'!$C$2:$C$121,$P95))</f>
        <v/>
      </c>
      <c r="C95" s="9">
        <f>IF($P95="","",INDEX('מלאי רצוי'!$D$2:$D$121,$P95))</f>
        <v/>
      </c>
      <c r="D95" s="9">
        <f>IF($P95="","",INDEX('מלאי רצוי'!$E$2:$E$121,$P95))</f>
        <v/>
      </c>
      <c r="E95" s="30">
        <f>IF($P95="","",INDEX('מלאי רצוי'!$F$2:$F$121,$P95))</f>
        <v/>
      </c>
      <c r="F95" s="30">
        <f>IF($P95="","",INDEX('מלאי רצוי'!$G$2:$G$121,$P95))</f>
        <v/>
      </c>
      <c r="G95" s="30">
        <f>IF($P95="","",INDEX('מלאי רצוי'!$H$2:$H$121,$P95))</f>
        <v/>
      </c>
      <c r="H95" s="30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0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0">
        <f>IF($A95="","",IF($D95&lt;&gt;"",COUNTIFS(מלאי!$B$2:$B$500,$A95,מלאי!$G$2:$G$500,$D95,מלאי!$X$2:$X$500,"מושאל"),COUNTIFS(מלאי!$B$2:$B$500,$A95,מלאי!$X$2:$X$500,"מושאל")))</f>
        <v/>
      </c>
      <c r="K95" s="30">
        <f>IF($A95="","",IF($D95&lt;&gt;"",COUNTIFS(מלאי!$B$2:$B$500,$A95,מלאי!$G$2:$G$500,$D95,מלאי!$D$2:$D$500,"&lt;&gt;"),COUNTIFS(מלאי!$B$2:$B$500,$A95,מלאי!$D$2:$D$500,"&lt;&gt;")))</f>
        <v/>
      </c>
      <c r="L95" s="30">
        <f>IF(OR($A95="",$E95=""),"",MAX(0,E95-H95))</f>
        <v/>
      </c>
      <c r="M95" s="30">
        <f>IF(OR($A95="",$E95=""),"",MAX(0,F95-I95))</f>
        <v/>
      </c>
      <c r="N95" s="30">
        <f>IF(OR($A95="",$E95=""),"",MAX(0,G95-J95))</f>
        <v/>
      </c>
      <c r="O95" s="9">
        <f>IF($P95="","",INDEX('מלאי רצוי'!$O$2:$O$121,$P95))</f>
        <v/>
      </c>
      <c r="P9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רצוי'!$A$2)+1,""),90),"")</f>
        <v/>
      </c>
    </row>
    <row r="96">
      <c r="A96" s="8">
        <f>IF($P96="","",INDEX('מלאי רצוי'!$A$2:$A$121,$P96))</f>
        <v/>
      </c>
      <c r="B96" s="8">
        <f>IF($P96="","",INDEX('מלאי רצוי'!$C$2:$C$121,$P96))</f>
        <v/>
      </c>
      <c r="C96" s="8">
        <f>IF($P96="","",INDEX('מלאי רצוי'!$D$2:$D$121,$P96))</f>
        <v/>
      </c>
      <c r="D96" s="8">
        <f>IF($P96="","",INDEX('מלאי רצוי'!$E$2:$E$121,$P96))</f>
        <v/>
      </c>
      <c r="E96" s="29">
        <f>IF($P96="","",INDEX('מלאי רצוי'!$F$2:$F$121,$P96))</f>
        <v/>
      </c>
      <c r="F96" s="29">
        <f>IF($P96="","",INDEX('מלאי רצוי'!$G$2:$G$121,$P96))</f>
        <v/>
      </c>
      <c r="G96" s="29">
        <f>IF($P96="","",INDEX('מלאי רצוי'!$H$2:$H$121,$P96))</f>
        <v/>
      </c>
      <c r="H96" s="29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29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29">
        <f>IF($A96="","",IF($D96&lt;&gt;"",COUNTIFS(מלאי!$B$2:$B$500,$A96,מלאי!$G$2:$G$500,$D96,מלאי!$X$2:$X$500,"מושאל"),COUNTIFS(מלאי!$B$2:$B$500,$A96,מלאי!$X$2:$X$500,"מושאל")))</f>
        <v/>
      </c>
      <c r="K96" s="29">
        <f>IF($A96="","",IF($D96&lt;&gt;"",COUNTIFS(מלאי!$B$2:$B$500,$A96,מלאי!$G$2:$G$500,$D96,מלאי!$D$2:$D$500,"&lt;&gt;"),COUNTIFS(מלאי!$B$2:$B$500,$A96,מלאי!$D$2:$D$500,"&lt;&gt;")))</f>
        <v/>
      </c>
      <c r="L96" s="29">
        <f>IF(OR($A96="",$E96=""),"",MAX(0,E96-H96))</f>
        <v/>
      </c>
      <c r="M96" s="29">
        <f>IF(OR($A96="",$E96=""),"",MAX(0,F96-I96))</f>
        <v/>
      </c>
      <c r="N96" s="29">
        <f>IF(OR($A96="",$E96=""),"",MAX(0,G96-J96))</f>
        <v/>
      </c>
      <c r="O96" s="8">
        <f>IF($P96="","",INDEX('מלאי רצוי'!$O$2:$O$121,$P96))</f>
        <v/>
      </c>
      <c r="P9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רצוי'!$A$2)+1,""),91),"")</f>
        <v/>
      </c>
    </row>
    <row r="97">
      <c r="A97" s="9">
        <f>IF($P97="","",INDEX('מלאי רצוי'!$A$2:$A$121,$P97))</f>
        <v/>
      </c>
      <c r="B97" s="9">
        <f>IF($P97="","",INDEX('מלאי רצוי'!$C$2:$C$121,$P97))</f>
        <v/>
      </c>
      <c r="C97" s="9">
        <f>IF($P97="","",INDEX('מלאי רצוי'!$D$2:$D$121,$P97))</f>
        <v/>
      </c>
      <c r="D97" s="9">
        <f>IF($P97="","",INDEX('מלאי רצוי'!$E$2:$E$121,$P97))</f>
        <v/>
      </c>
      <c r="E97" s="30">
        <f>IF($P97="","",INDEX('מלאי רצוי'!$F$2:$F$121,$P97))</f>
        <v/>
      </c>
      <c r="F97" s="30">
        <f>IF($P97="","",INDEX('מלאי רצוי'!$G$2:$G$121,$P97))</f>
        <v/>
      </c>
      <c r="G97" s="30">
        <f>IF($P97="","",INDEX('מלאי רצוי'!$H$2:$H$121,$P97))</f>
        <v/>
      </c>
      <c r="H97" s="30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0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0">
        <f>IF($A97="","",IF($D97&lt;&gt;"",COUNTIFS(מלאי!$B$2:$B$500,$A97,מלאי!$G$2:$G$500,$D97,מלאי!$X$2:$X$500,"מושאל"),COUNTIFS(מלאי!$B$2:$B$500,$A97,מלאי!$X$2:$X$500,"מושאל")))</f>
        <v/>
      </c>
      <c r="K97" s="30">
        <f>IF($A97="","",IF($D97&lt;&gt;"",COUNTIFS(מלאי!$B$2:$B$500,$A97,מלאי!$G$2:$G$500,$D97,מלאי!$D$2:$D$500,"&lt;&gt;"),COUNTIFS(מלאי!$B$2:$B$500,$A97,מלאי!$D$2:$D$500,"&lt;&gt;")))</f>
        <v/>
      </c>
      <c r="L97" s="30">
        <f>IF(OR($A97="",$E97=""),"",MAX(0,E97-H97))</f>
        <v/>
      </c>
      <c r="M97" s="30">
        <f>IF(OR($A97="",$E97=""),"",MAX(0,F97-I97))</f>
        <v/>
      </c>
      <c r="N97" s="30">
        <f>IF(OR($A97="",$E97=""),"",MAX(0,G97-J97))</f>
        <v/>
      </c>
      <c r="O97" s="9">
        <f>IF($P97="","",INDEX('מלאי רצוי'!$O$2:$O$121,$P97))</f>
        <v/>
      </c>
      <c r="P9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רצוי'!$A$2)+1,""),92),"")</f>
        <v/>
      </c>
    </row>
    <row r="98">
      <c r="A98" s="8">
        <f>IF($P98="","",INDEX('מלאי רצוי'!$A$2:$A$121,$P98))</f>
        <v/>
      </c>
      <c r="B98" s="8">
        <f>IF($P98="","",INDEX('מלאי רצוי'!$C$2:$C$121,$P98))</f>
        <v/>
      </c>
      <c r="C98" s="8">
        <f>IF($P98="","",INDEX('מלאי רצוי'!$D$2:$D$121,$P98))</f>
        <v/>
      </c>
      <c r="D98" s="8">
        <f>IF($P98="","",INDEX('מלאי רצוי'!$E$2:$E$121,$P98))</f>
        <v/>
      </c>
      <c r="E98" s="29">
        <f>IF($P98="","",INDEX('מלאי רצוי'!$F$2:$F$121,$P98))</f>
        <v/>
      </c>
      <c r="F98" s="29">
        <f>IF($P98="","",INDEX('מלאי רצוי'!$G$2:$G$121,$P98))</f>
        <v/>
      </c>
      <c r="G98" s="29">
        <f>IF($P98="","",INDEX('מלאי רצוי'!$H$2:$H$121,$P98))</f>
        <v/>
      </c>
      <c r="H98" s="29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29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29">
        <f>IF($A98="","",IF($D98&lt;&gt;"",COUNTIFS(מלאי!$B$2:$B$500,$A98,מלאי!$G$2:$G$500,$D98,מלאי!$X$2:$X$500,"מושאל"),COUNTIFS(מלאי!$B$2:$B$500,$A98,מלאי!$X$2:$X$500,"מושאל")))</f>
        <v/>
      </c>
      <c r="K98" s="29">
        <f>IF($A98="","",IF($D98&lt;&gt;"",COUNTIFS(מלאי!$B$2:$B$500,$A98,מלאי!$G$2:$G$500,$D98,מלאי!$D$2:$D$500,"&lt;&gt;"),COUNTIFS(מלאי!$B$2:$B$500,$A98,מלאי!$D$2:$D$500,"&lt;&gt;")))</f>
        <v/>
      </c>
      <c r="L98" s="29">
        <f>IF(OR($A98="",$E98=""),"",MAX(0,E98-H98))</f>
        <v/>
      </c>
      <c r="M98" s="29">
        <f>IF(OR($A98="",$E98=""),"",MAX(0,F98-I98))</f>
        <v/>
      </c>
      <c r="N98" s="29">
        <f>IF(OR($A98="",$E98=""),"",MAX(0,G98-J98))</f>
        <v/>
      </c>
      <c r="O98" s="8">
        <f>IF($P98="","",INDEX('מלאי רצוי'!$O$2:$O$121,$P98))</f>
        <v/>
      </c>
      <c r="P9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רצוי'!$A$2)+1,""),93),"")</f>
        <v/>
      </c>
    </row>
    <row r="99">
      <c r="A99" s="9">
        <f>IF($P99="","",INDEX('מלאי רצוי'!$A$2:$A$121,$P99))</f>
        <v/>
      </c>
      <c r="B99" s="9">
        <f>IF($P99="","",INDEX('מלאי רצוי'!$C$2:$C$121,$P99))</f>
        <v/>
      </c>
      <c r="C99" s="9">
        <f>IF($P99="","",INDEX('מלאי רצוי'!$D$2:$D$121,$P99))</f>
        <v/>
      </c>
      <c r="D99" s="9">
        <f>IF($P99="","",INDEX('מלאי רצוי'!$E$2:$E$121,$P99))</f>
        <v/>
      </c>
      <c r="E99" s="30">
        <f>IF($P99="","",INDEX('מלאי רצוי'!$F$2:$F$121,$P99))</f>
        <v/>
      </c>
      <c r="F99" s="30">
        <f>IF($P99="","",INDEX('מלאי רצוי'!$G$2:$G$121,$P99))</f>
        <v/>
      </c>
      <c r="G99" s="30">
        <f>IF($P99="","",INDEX('מלאי רצוי'!$H$2:$H$121,$P99))</f>
        <v/>
      </c>
      <c r="H99" s="30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0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0">
        <f>IF($A99="","",IF($D99&lt;&gt;"",COUNTIFS(מלאי!$B$2:$B$500,$A99,מלאי!$G$2:$G$500,$D99,מלאי!$X$2:$X$500,"מושאל"),COUNTIFS(מלאי!$B$2:$B$500,$A99,מלאי!$X$2:$X$500,"מושאל")))</f>
        <v/>
      </c>
      <c r="K99" s="30">
        <f>IF($A99="","",IF($D99&lt;&gt;"",COUNTIFS(מלאי!$B$2:$B$500,$A99,מלאי!$G$2:$G$500,$D99,מלאי!$D$2:$D$500,"&lt;&gt;"),COUNTIFS(מלאי!$B$2:$B$500,$A99,מלאי!$D$2:$D$500,"&lt;&gt;")))</f>
        <v/>
      </c>
      <c r="L99" s="30">
        <f>IF(OR($A99="",$E99=""),"",MAX(0,E99-H99))</f>
        <v/>
      </c>
      <c r="M99" s="30">
        <f>IF(OR($A99="",$E99=""),"",MAX(0,F99-I99))</f>
        <v/>
      </c>
      <c r="N99" s="30">
        <f>IF(OR($A99="",$E99=""),"",MAX(0,G99-J99))</f>
        <v/>
      </c>
      <c r="O99" s="9">
        <f>IF($P99="","",INDEX('מלאי רצוי'!$O$2:$O$121,$P99))</f>
        <v/>
      </c>
      <c r="P9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רצוי'!$A$2)+1,""),94),"")</f>
        <v/>
      </c>
    </row>
    <row r="100">
      <c r="A100" s="8">
        <f>IF($P100="","",INDEX('מלאי רצוי'!$A$2:$A$121,$P100))</f>
        <v/>
      </c>
      <c r="B100" s="8">
        <f>IF($P100="","",INDEX('מלאי רצוי'!$C$2:$C$121,$P100))</f>
        <v/>
      </c>
      <c r="C100" s="8">
        <f>IF($P100="","",INDEX('מלאי רצוי'!$D$2:$D$121,$P100))</f>
        <v/>
      </c>
      <c r="D100" s="8">
        <f>IF($P100="","",INDEX('מלאי רצוי'!$E$2:$E$121,$P100))</f>
        <v/>
      </c>
      <c r="E100" s="29">
        <f>IF($P100="","",INDEX('מלאי רצוי'!$F$2:$F$121,$P100))</f>
        <v/>
      </c>
      <c r="F100" s="29">
        <f>IF($P100="","",INDEX('מלאי רצוי'!$G$2:$G$121,$P100))</f>
        <v/>
      </c>
      <c r="G100" s="29">
        <f>IF($P100="","",INDEX('מלאי רצוי'!$H$2:$H$121,$P100))</f>
        <v/>
      </c>
      <c r="H100" s="29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29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29">
        <f>IF($A100="","",IF($D100&lt;&gt;"",COUNTIFS(מלאי!$B$2:$B$500,$A100,מלאי!$G$2:$G$500,$D100,מלאי!$X$2:$X$500,"מושאל"),COUNTIFS(מלאי!$B$2:$B$500,$A100,מלאי!$X$2:$X$500,"מושאל")))</f>
        <v/>
      </c>
      <c r="K100" s="29">
        <f>IF($A100="","",IF($D100&lt;&gt;"",COUNTIFS(מלאי!$B$2:$B$500,$A100,מלאי!$G$2:$G$500,$D100,מלאי!$D$2:$D$500,"&lt;&gt;"),COUNTIFS(מלאי!$B$2:$B$500,$A100,מלאי!$D$2:$D$500,"&lt;&gt;")))</f>
        <v/>
      </c>
      <c r="L100" s="29">
        <f>IF(OR($A100="",$E100=""),"",MAX(0,E100-H100))</f>
        <v/>
      </c>
      <c r="M100" s="29">
        <f>IF(OR($A100="",$E100=""),"",MAX(0,F100-I100))</f>
        <v/>
      </c>
      <c r="N100" s="29">
        <f>IF(OR($A100="",$E100=""),"",MAX(0,G100-J100))</f>
        <v/>
      </c>
      <c r="O100" s="8">
        <f>IF($P100="","",INDEX('מלאי רצוי'!$O$2:$O$121,$P100))</f>
        <v/>
      </c>
      <c r="P10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רצוי'!$A$2)+1,""),95),"")</f>
        <v/>
      </c>
    </row>
    <row r="101">
      <c r="A101" s="9">
        <f>IF($P101="","",INDEX('מלאי רצוי'!$A$2:$A$121,$P101))</f>
        <v/>
      </c>
      <c r="B101" s="9">
        <f>IF($P101="","",INDEX('מלאי רצוי'!$C$2:$C$121,$P101))</f>
        <v/>
      </c>
      <c r="C101" s="9">
        <f>IF($P101="","",INDEX('מלאי רצוי'!$D$2:$D$121,$P101))</f>
        <v/>
      </c>
      <c r="D101" s="9">
        <f>IF($P101="","",INDEX('מלאי רצוי'!$E$2:$E$121,$P101))</f>
        <v/>
      </c>
      <c r="E101" s="30">
        <f>IF($P101="","",INDEX('מלאי רצוי'!$F$2:$F$121,$P101))</f>
        <v/>
      </c>
      <c r="F101" s="30">
        <f>IF($P101="","",INDEX('מלאי רצוי'!$G$2:$G$121,$P101))</f>
        <v/>
      </c>
      <c r="G101" s="30">
        <f>IF($P101="","",INDEX('מלאי רצוי'!$H$2:$H$121,$P101))</f>
        <v/>
      </c>
      <c r="H101" s="30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0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0">
        <f>IF($A101="","",IF($D101&lt;&gt;"",COUNTIFS(מלאי!$B$2:$B$500,$A101,מלאי!$G$2:$G$500,$D101,מלאי!$X$2:$X$500,"מושאל"),COUNTIFS(מלאי!$B$2:$B$500,$A101,מלאי!$X$2:$X$500,"מושאל")))</f>
        <v/>
      </c>
      <c r="K101" s="30">
        <f>IF($A101="","",IF($D101&lt;&gt;"",COUNTIFS(מלאי!$B$2:$B$500,$A101,מלאי!$G$2:$G$500,$D101,מלאי!$D$2:$D$500,"&lt;&gt;"),COUNTIFS(מלאי!$B$2:$B$500,$A101,מלאי!$D$2:$D$500,"&lt;&gt;")))</f>
        <v/>
      </c>
      <c r="L101" s="30">
        <f>IF(OR($A101="",$E101=""),"",MAX(0,E101-H101))</f>
        <v/>
      </c>
      <c r="M101" s="30">
        <f>IF(OR($A101="",$E101=""),"",MAX(0,F101-I101))</f>
        <v/>
      </c>
      <c r="N101" s="30">
        <f>IF(OR($A101="",$E101=""),"",MAX(0,G101-J101))</f>
        <v/>
      </c>
      <c r="O101" s="9">
        <f>IF($P101="","",INDEX('מלאי רצוי'!$O$2:$O$121,$P101))</f>
        <v/>
      </c>
      <c r="P10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רצוי'!$A$2)+1,""),96),"")</f>
        <v/>
      </c>
    </row>
    <row r="102">
      <c r="A102" s="8">
        <f>IF($P102="","",INDEX('מלאי רצוי'!$A$2:$A$121,$P102))</f>
        <v/>
      </c>
      <c r="B102" s="8">
        <f>IF($P102="","",INDEX('מלאי רצוי'!$C$2:$C$121,$P102))</f>
        <v/>
      </c>
      <c r="C102" s="8">
        <f>IF($P102="","",INDEX('מלאי רצוי'!$D$2:$D$121,$P102))</f>
        <v/>
      </c>
      <c r="D102" s="8">
        <f>IF($P102="","",INDEX('מלאי רצוי'!$E$2:$E$121,$P102))</f>
        <v/>
      </c>
      <c r="E102" s="29">
        <f>IF($P102="","",INDEX('מלאי רצוי'!$F$2:$F$121,$P102))</f>
        <v/>
      </c>
      <c r="F102" s="29">
        <f>IF($P102="","",INDEX('מלאי רצוי'!$G$2:$G$121,$P102))</f>
        <v/>
      </c>
      <c r="G102" s="29">
        <f>IF($P102="","",INDEX('מלאי רצוי'!$H$2:$H$121,$P102))</f>
        <v/>
      </c>
      <c r="H102" s="29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29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29">
        <f>IF($A102="","",IF($D102&lt;&gt;"",COUNTIFS(מלאי!$B$2:$B$500,$A102,מלאי!$G$2:$G$500,$D102,מלאי!$X$2:$X$500,"מושאל"),COUNTIFS(מלאי!$B$2:$B$500,$A102,מלאי!$X$2:$X$500,"מושאל")))</f>
        <v/>
      </c>
      <c r="K102" s="29">
        <f>IF($A102="","",IF($D102&lt;&gt;"",COUNTIFS(מלאי!$B$2:$B$500,$A102,מלאי!$G$2:$G$500,$D102,מלאי!$D$2:$D$500,"&lt;&gt;"),COUNTIFS(מלאי!$B$2:$B$500,$A102,מלאי!$D$2:$D$500,"&lt;&gt;")))</f>
        <v/>
      </c>
      <c r="L102" s="29">
        <f>IF(OR($A102="",$E102=""),"",MAX(0,E102-H102))</f>
        <v/>
      </c>
      <c r="M102" s="29">
        <f>IF(OR($A102="",$E102=""),"",MAX(0,F102-I102))</f>
        <v/>
      </c>
      <c r="N102" s="29">
        <f>IF(OR($A102="",$E102=""),"",MAX(0,G102-J102))</f>
        <v/>
      </c>
      <c r="O102" s="8">
        <f>IF($P102="","",INDEX('מלאי רצוי'!$O$2:$O$121,$P102))</f>
        <v/>
      </c>
      <c r="P10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רצוי'!$A$2)+1,""),97),"")</f>
        <v/>
      </c>
    </row>
    <row r="103">
      <c r="A103" s="9">
        <f>IF($P103="","",INDEX('מלאי רצוי'!$A$2:$A$121,$P103))</f>
        <v/>
      </c>
      <c r="B103" s="9">
        <f>IF($P103="","",INDEX('מלאי רצוי'!$C$2:$C$121,$P103))</f>
        <v/>
      </c>
      <c r="C103" s="9">
        <f>IF($P103="","",INDEX('מלאי רצוי'!$D$2:$D$121,$P103))</f>
        <v/>
      </c>
      <c r="D103" s="9">
        <f>IF($P103="","",INDEX('מלאי רצוי'!$E$2:$E$121,$P103))</f>
        <v/>
      </c>
      <c r="E103" s="30">
        <f>IF($P103="","",INDEX('מלאי רצוי'!$F$2:$F$121,$P103))</f>
        <v/>
      </c>
      <c r="F103" s="30">
        <f>IF($P103="","",INDEX('מלאי רצוי'!$G$2:$G$121,$P103))</f>
        <v/>
      </c>
      <c r="G103" s="30">
        <f>IF($P103="","",INDEX('מלאי רצוי'!$H$2:$H$121,$P103))</f>
        <v/>
      </c>
      <c r="H103" s="30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0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0">
        <f>IF($A103="","",IF($D103&lt;&gt;"",COUNTIFS(מלאי!$B$2:$B$500,$A103,מלאי!$G$2:$G$500,$D103,מלאי!$X$2:$X$500,"מושאל"),COUNTIFS(מלאי!$B$2:$B$500,$A103,מלאי!$X$2:$X$500,"מושאל")))</f>
        <v/>
      </c>
      <c r="K103" s="30">
        <f>IF($A103="","",IF($D103&lt;&gt;"",COUNTIFS(מלאי!$B$2:$B$500,$A103,מלאי!$G$2:$G$500,$D103,מלאי!$D$2:$D$500,"&lt;&gt;"),COUNTIFS(מלאי!$B$2:$B$500,$A103,מלאי!$D$2:$D$500,"&lt;&gt;")))</f>
        <v/>
      </c>
      <c r="L103" s="30">
        <f>IF(OR($A103="",$E103=""),"",MAX(0,E103-H103))</f>
        <v/>
      </c>
      <c r="M103" s="30">
        <f>IF(OR($A103="",$E103=""),"",MAX(0,F103-I103))</f>
        <v/>
      </c>
      <c r="N103" s="30">
        <f>IF(OR($A103="",$E103=""),"",MAX(0,G103-J103))</f>
        <v/>
      </c>
      <c r="O103" s="9">
        <f>IF($P103="","",INDEX('מלאי רצוי'!$O$2:$O$121,$P103))</f>
        <v/>
      </c>
      <c r="P10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רצוי'!$A$2)+1,""),98),"")</f>
        <v/>
      </c>
    </row>
    <row r="104">
      <c r="A104" s="8">
        <f>IF($P104="","",INDEX('מלאי רצוי'!$A$2:$A$121,$P104))</f>
        <v/>
      </c>
      <c r="B104" s="8">
        <f>IF($P104="","",INDEX('מלאי רצוי'!$C$2:$C$121,$P104))</f>
        <v/>
      </c>
      <c r="C104" s="8">
        <f>IF($P104="","",INDEX('מלאי רצוי'!$D$2:$D$121,$P104))</f>
        <v/>
      </c>
      <c r="D104" s="8">
        <f>IF($P104="","",INDEX('מלאי רצוי'!$E$2:$E$121,$P104))</f>
        <v/>
      </c>
      <c r="E104" s="29">
        <f>IF($P104="","",INDEX('מלאי רצוי'!$F$2:$F$121,$P104))</f>
        <v/>
      </c>
      <c r="F104" s="29">
        <f>IF($P104="","",INDEX('מלאי רצוי'!$G$2:$G$121,$P104))</f>
        <v/>
      </c>
      <c r="G104" s="29">
        <f>IF($P104="","",INDEX('מלאי רצוי'!$H$2:$H$121,$P104))</f>
        <v/>
      </c>
      <c r="H104" s="29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29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29">
        <f>IF($A104="","",IF($D104&lt;&gt;"",COUNTIFS(מלאי!$B$2:$B$500,$A104,מלאי!$G$2:$G$500,$D104,מלאי!$X$2:$X$500,"מושאל"),COUNTIFS(מלאי!$B$2:$B$500,$A104,מלאי!$X$2:$X$500,"מושאל")))</f>
        <v/>
      </c>
      <c r="K104" s="29">
        <f>IF($A104="","",IF($D104&lt;&gt;"",COUNTIFS(מלאי!$B$2:$B$500,$A104,מלאי!$G$2:$G$500,$D104,מלאי!$D$2:$D$500,"&lt;&gt;"),COUNTIFS(מלאי!$B$2:$B$500,$A104,מלאי!$D$2:$D$500,"&lt;&gt;")))</f>
        <v/>
      </c>
      <c r="L104" s="29">
        <f>IF(OR($A104="",$E104=""),"",MAX(0,E104-H104))</f>
        <v/>
      </c>
      <c r="M104" s="29">
        <f>IF(OR($A104="",$E104=""),"",MAX(0,F104-I104))</f>
        <v/>
      </c>
      <c r="N104" s="29">
        <f>IF(OR($A104="",$E104=""),"",MAX(0,G104-J104))</f>
        <v/>
      </c>
      <c r="O104" s="8">
        <f>IF($P104="","",INDEX('מלאי רצוי'!$O$2:$O$121,$P104))</f>
        <v/>
      </c>
      <c r="P10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רצוי'!$A$2)+1,""),99),"")</f>
        <v/>
      </c>
    </row>
    <row r="105">
      <c r="A105" s="9">
        <f>IF($P105="","",INDEX('מלאי רצוי'!$A$2:$A$121,$P105))</f>
        <v/>
      </c>
      <c r="B105" s="9">
        <f>IF($P105="","",INDEX('מלאי רצוי'!$C$2:$C$121,$P105))</f>
        <v/>
      </c>
      <c r="C105" s="9">
        <f>IF($P105="","",INDEX('מלאי רצוי'!$D$2:$D$121,$P105))</f>
        <v/>
      </c>
      <c r="D105" s="9">
        <f>IF($P105="","",INDEX('מלאי רצוי'!$E$2:$E$121,$P105))</f>
        <v/>
      </c>
      <c r="E105" s="30">
        <f>IF($P105="","",INDEX('מלאי רצוי'!$F$2:$F$121,$P105))</f>
        <v/>
      </c>
      <c r="F105" s="30">
        <f>IF($P105="","",INDEX('מלאי רצוי'!$G$2:$G$121,$P105))</f>
        <v/>
      </c>
      <c r="G105" s="30">
        <f>IF($P105="","",INDEX('מלאי רצוי'!$H$2:$H$121,$P105))</f>
        <v/>
      </c>
      <c r="H105" s="30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0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0">
        <f>IF($A105="","",IF($D105&lt;&gt;"",COUNTIFS(מלאי!$B$2:$B$500,$A105,מלאי!$G$2:$G$500,$D105,מלאי!$X$2:$X$500,"מושאל"),COUNTIFS(מלאי!$B$2:$B$500,$A105,מלאי!$X$2:$X$500,"מושאל")))</f>
        <v/>
      </c>
      <c r="K105" s="30">
        <f>IF($A105="","",IF($D105&lt;&gt;"",COUNTIFS(מלאי!$B$2:$B$500,$A105,מלאי!$G$2:$G$500,$D105,מלאי!$D$2:$D$500,"&lt;&gt;"),COUNTIFS(מלאי!$B$2:$B$500,$A105,מלאי!$D$2:$D$500,"&lt;&gt;")))</f>
        <v/>
      </c>
      <c r="L105" s="30">
        <f>IF(OR($A105="",$E105=""),"",MAX(0,E105-H105))</f>
        <v/>
      </c>
      <c r="M105" s="30">
        <f>IF(OR($A105="",$E105=""),"",MAX(0,F105-I105))</f>
        <v/>
      </c>
      <c r="N105" s="30">
        <f>IF(OR($A105="",$E105=""),"",MAX(0,G105-J105))</f>
        <v/>
      </c>
      <c r="O105" s="9">
        <f>IF($P105="","",INDEX('מלאי רצוי'!$O$2:$O$121,$P105))</f>
        <v/>
      </c>
      <c r="P10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רצוי'!$A$2)+1,""),100),"")</f>
        <v/>
      </c>
    </row>
    <row r="106">
      <c r="A106" s="8">
        <f>IF($P106="","",INDEX('מלאי רצוי'!$A$2:$A$121,$P106))</f>
        <v/>
      </c>
      <c r="B106" s="8">
        <f>IF($P106="","",INDEX('מלאי רצוי'!$C$2:$C$121,$P106))</f>
        <v/>
      </c>
      <c r="C106" s="8">
        <f>IF($P106="","",INDEX('מלאי רצוי'!$D$2:$D$121,$P106))</f>
        <v/>
      </c>
      <c r="D106" s="8">
        <f>IF($P106="","",INDEX('מלאי רצוי'!$E$2:$E$121,$P106))</f>
        <v/>
      </c>
      <c r="E106" s="29">
        <f>IF($P106="","",INDEX('מלאי רצוי'!$F$2:$F$121,$P106))</f>
        <v/>
      </c>
      <c r="F106" s="29">
        <f>IF($P106="","",INDEX('מלאי רצוי'!$G$2:$G$121,$P106))</f>
        <v/>
      </c>
      <c r="G106" s="29">
        <f>IF($P106="","",INDEX('מלאי רצוי'!$H$2:$H$121,$P106))</f>
        <v/>
      </c>
      <c r="H106" s="29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29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29">
        <f>IF($A106="","",IF($D106&lt;&gt;"",COUNTIFS(מלאי!$B$2:$B$500,$A106,מלאי!$G$2:$G$500,$D106,מלאי!$X$2:$X$500,"מושאל"),COUNTIFS(מלאי!$B$2:$B$500,$A106,מלאי!$X$2:$X$500,"מושאל")))</f>
        <v/>
      </c>
      <c r="K106" s="29">
        <f>IF($A106="","",IF($D106&lt;&gt;"",COUNTIFS(מלאי!$B$2:$B$500,$A106,מלאי!$G$2:$G$500,$D106,מלאי!$D$2:$D$500,"&lt;&gt;"),COUNTIFS(מלאי!$B$2:$B$500,$A106,מלאי!$D$2:$D$500,"&lt;&gt;")))</f>
        <v/>
      </c>
      <c r="L106" s="29">
        <f>IF(OR($A106="",$E106=""),"",MAX(0,E106-H106))</f>
        <v/>
      </c>
      <c r="M106" s="29">
        <f>IF(OR($A106="",$E106=""),"",MAX(0,F106-I106))</f>
        <v/>
      </c>
      <c r="N106" s="29">
        <f>IF(OR($A106="",$E106=""),"",MAX(0,G106-J106))</f>
        <v/>
      </c>
      <c r="O106" s="8">
        <f>IF($P106="","",INDEX('מלאי רצוי'!$O$2:$O$121,$P106))</f>
        <v/>
      </c>
      <c r="P10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רצוי'!$A$2)+1,""),101),"")</f>
        <v/>
      </c>
    </row>
    <row r="107">
      <c r="A107" s="9">
        <f>IF($P107="","",INDEX('מלאי רצוי'!$A$2:$A$121,$P107))</f>
        <v/>
      </c>
      <c r="B107" s="9">
        <f>IF($P107="","",INDEX('מלאי רצוי'!$C$2:$C$121,$P107))</f>
        <v/>
      </c>
      <c r="C107" s="9">
        <f>IF($P107="","",INDEX('מלאי רצוי'!$D$2:$D$121,$P107))</f>
        <v/>
      </c>
      <c r="D107" s="9">
        <f>IF($P107="","",INDEX('מלאי רצוי'!$E$2:$E$121,$P107))</f>
        <v/>
      </c>
      <c r="E107" s="30">
        <f>IF($P107="","",INDEX('מלאי רצוי'!$F$2:$F$121,$P107))</f>
        <v/>
      </c>
      <c r="F107" s="30">
        <f>IF($P107="","",INDEX('מלאי רצוי'!$G$2:$G$121,$P107))</f>
        <v/>
      </c>
      <c r="G107" s="30">
        <f>IF($P107="","",INDEX('מלאי רצוי'!$H$2:$H$121,$P107))</f>
        <v/>
      </c>
      <c r="H107" s="30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0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0">
        <f>IF($A107="","",IF($D107&lt;&gt;"",COUNTIFS(מלאי!$B$2:$B$500,$A107,מלאי!$G$2:$G$500,$D107,מלאי!$X$2:$X$500,"מושאל"),COUNTIFS(מלאי!$B$2:$B$500,$A107,מלאי!$X$2:$X$500,"מושאל")))</f>
        <v/>
      </c>
      <c r="K107" s="30">
        <f>IF($A107="","",IF($D107&lt;&gt;"",COUNTIFS(מלאי!$B$2:$B$500,$A107,מלאי!$G$2:$G$500,$D107,מלאי!$D$2:$D$500,"&lt;&gt;"),COUNTIFS(מלאי!$B$2:$B$500,$A107,מלאי!$D$2:$D$500,"&lt;&gt;")))</f>
        <v/>
      </c>
      <c r="L107" s="30">
        <f>IF(OR($A107="",$E107=""),"",MAX(0,E107-H107))</f>
        <v/>
      </c>
      <c r="M107" s="30">
        <f>IF(OR($A107="",$E107=""),"",MAX(0,F107-I107))</f>
        <v/>
      </c>
      <c r="N107" s="30">
        <f>IF(OR($A107="",$E107=""),"",MAX(0,G107-J107))</f>
        <v/>
      </c>
      <c r="O107" s="9">
        <f>IF($P107="","",INDEX('מלאי רצוי'!$O$2:$O$121,$P107))</f>
        <v/>
      </c>
      <c r="P10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רצוי'!$A$2)+1,""),102),"")</f>
        <v/>
      </c>
    </row>
    <row r="108">
      <c r="A108" s="8">
        <f>IF($P108="","",INDEX('מלאי רצוי'!$A$2:$A$121,$P108))</f>
        <v/>
      </c>
      <c r="B108" s="8">
        <f>IF($P108="","",INDEX('מלאי רצוי'!$C$2:$C$121,$P108))</f>
        <v/>
      </c>
      <c r="C108" s="8">
        <f>IF($P108="","",INDEX('מלאי רצוי'!$D$2:$D$121,$P108))</f>
        <v/>
      </c>
      <c r="D108" s="8">
        <f>IF($P108="","",INDEX('מלאי רצוי'!$E$2:$E$121,$P108))</f>
        <v/>
      </c>
      <c r="E108" s="29">
        <f>IF($P108="","",INDEX('מלאי רצוי'!$F$2:$F$121,$P108))</f>
        <v/>
      </c>
      <c r="F108" s="29">
        <f>IF($P108="","",INDEX('מלאי רצוי'!$G$2:$G$121,$P108))</f>
        <v/>
      </c>
      <c r="G108" s="29">
        <f>IF($P108="","",INDEX('מלאי רצוי'!$H$2:$H$121,$P108))</f>
        <v/>
      </c>
      <c r="H108" s="29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29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29">
        <f>IF($A108="","",IF($D108&lt;&gt;"",COUNTIFS(מלאי!$B$2:$B$500,$A108,מלאי!$G$2:$G$500,$D108,מלאי!$X$2:$X$500,"מושאל"),COUNTIFS(מלאי!$B$2:$B$500,$A108,מלאי!$X$2:$X$500,"מושאל")))</f>
        <v/>
      </c>
      <c r="K108" s="29">
        <f>IF($A108="","",IF($D108&lt;&gt;"",COUNTIFS(מלאי!$B$2:$B$500,$A108,מלאי!$G$2:$G$500,$D108,מלאי!$D$2:$D$500,"&lt;&gt;"),COUNTIFS(מלאי!$B$2:$B$500,$A108,מלאי!$D$2:$D$500,"&lt;&gt;")))</f>
        <v/>
      </c>
      <c r="L108" s="29">
        <f>IF(OR($A108="",$E108=""),"",MAX(0,E108-H108))</f>
        <v/>
      </c>
      <c r="M108" s="29">
        <f>IF(OR($A108="",$E108=""),"",MAX(0,F108-I108))</f>
        <v/>
      </c>
      <c r="N108" s="29">
        <f>IF(OR($A108="",$E108=""),"",MAX(0,G108-J108))</f>
        <v/>
      </c>
      <c r="O108" s="8">
        <f>IF($P108="","",INDEX('מלאי רצוי'!$O$2:$O$121,$P108))</f>
        <v/>
      </c>
      <c r="P10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רצוי'!$A$2)+1,""),103),"")</f>
        <v/>
      </c>
    </row>
    <row r="109">
      <c r="A109" s="9">
        <f>IF($P109="","",INDEX('מלאי רצוי'!$A$2:$A$121,$P109))</f>
        <v/>
      </c>
      <c r="B109" s="9">
        <f>IF($P109="","",INDEX('מלאי רצוי'!$C$2:$C$121,$P109))</f>
        <v/>
      </c>
      <c r="C109" s="9">
        <f>IF($P109="","",INDEX('מלאי רצוי'!$D$2:$D$121,$P109))</f>
        <v/>
      </c>
      <c r="D109" s="9">
        <f>IF($P109="","",INDEX('מלאי רצוי'!$E$2:$E$121,$P109))</f>
        <v/>
      </c>
      <c r="E109" s="30">
        <f>IF($P109="","",INDEX('מלאי רצוי'!$F$2:$F$121,$P109))</f>
        <v/>
      </c>
      <c r="F109" s="30">
        <f>IF($P109="","",INDEX('מלאי רצוי'!$G$2:$G$121,$P109))</f>
        <v/>
      </c>
      <c r="G109" s="30">
        <f>IF($P109="","",INDEX('מלאי רצוי'!$H$2:$H$121,$P109))</f>
        <v/>
      </c>
      <c r="H109" s="30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0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0">
        <f>IF($A109="","",IF($D109&lt;&gt;"",COUNTIFS(מלאי!$B$2:$B$500,$A109,מלאי!$G$2:$G$500,$D109,מלאי!$X$2:$X$500,"מושאל"),COUNTIFS(מלאי!$B$2:$B$500,$A109,מלאי!$X$2:$X$500,"מושאל")))</f>
        <v/>
      </c>
      <c r="K109" s="30">
        <f>IF($A109="","",IF($D109&lt;&gt;"",COUNTIFS(מלאי!$B$2:$B$500,$A109,מלאי!$G$2:$G$500,$D109,מלאי!$D$2:$D$500,"&lt;&gt;"),COUNTIFS(מלאי!$B$2:$B$500,$A109,מלאי!$D$2:$D$500,"&lt;&gt;")))</f>
        <v/>
      </c>
      <c r="L109" s="30">
        <f>IF(OR($A109="",$E109=""),"",MAX(0,E109-H109))</f>
        <v/>
      </c>
      <c r="M109" s="30">
        <f>IF(OR($A109="",$E109=""),"",MAX(0,F109-I109))</f>
        <v/>
      </c>
      <c r="N109" s="30">
        <f>IF(OR($A109="",$E109=""),"",MAX(0,G109-J109))</f>
        <v/>
      </c>
      <c r="O109" s="9">
        <f>IF($P109="","",INDEX('מלאי רצוי'!$O$2:$O$121,$P109))</f>
        <v/>
      </c>
      <c r="P10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רצוי'!$A$2)+1,""),104),"")</f>
        <v/>
      </c>
    </row>
    <row r="110">
      <c r="A110" s="8">
        <f>IF($P110="","",INDEX('מלאי רצוי'!$A$2:$A$121,$P110))</f>
        <v/>
      </c>
      <c r="B110" s="8">
        <f>IF($P110="","",INDEX('מלאי רצוי'!$C$2:$C$121,$P110))</f>
        <v/>
      </c>
      <c r="C110" s="8">
        <f>IF($P110="","",INDEX('מלאי רצוי'!$D$2:$D$121,$P110))</f>
        <v/>
      </c>
      <c r="D110" s="8">
        <f>IF($P110="","",INDEX('מלאי רצוי'!$E$2:$E$121,$P110))</f>
        <v/>
      </c>
      <c r="E110" s="29">
        <f>IF($P110="","",INDEX('מלאי רצוי'!$F$2:$F$121,$P110))</f>
        <v/>
      </c>
      <c r="F110" s="29">
        <f>IF($P110="","",INDEX('מלאי רצוי'!$G$2:$G$121,$P110))</f>
        <v/>
      </c>
      <c r="G110" s="29">
        <f>IF($P110="","",INDEX('מלאי רצוי'!$H$2:$H$121,$P110))</f>
        <v/>
      </c>
      <c r="H110" s="29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29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29">
        <f>IF($A110="","",IF($D110&lt;&gt;"",COUNTIFS(מלאי!$B$2:$B$500,$A110,מלאי!$G$2:$G$500,$D110,מלאי!$X$2:$X$500,"מושאל"),COUNTIFS(מלאי!$B$2:$B$500,$A110,מלאי!$X$2:$X$500,"מושאל")))</f>
        <v/>
      </c>
      <c r="K110" s="29">
        <f>IF($A110="","",IF($D110&lt;&gt;"",COUNTIFS(מלאי!$B$2:$B$500,$A110,מלאי!$G$2:$G$500,$D110,מלאי!$D$2:$D$500,"&lt;&gt;"),COUNTIFS(מלאי!$B$2:$B$500,$A110,מלאי!$D$2:$D$500,"&lt;&gt;")))</f>
        <v/>
      </c>
      <c r="L110" s="29">
        <f>IF(OR($A110="",$E110=""),"",MAX(0,E110-H110))</f>
        <v/>
      </c>
      <c r="M110" s="29">
        <f>IF(OR($A110="",$E110=""),"",MAX(0,F110-I110))</f>
        <v/>
      </c>
      <c r="N110" s="29">
        <f>IF(OR($A110="",$E110=""),"",MAX(0,G110-J110))</f>
        <v/>
      </c>
      <c r="O110" s="8">
        <f>IF($P110="","",INDEX('מלאי רצוי'!$O$2:$O$121,$P110))</f>
        <v/>
      </c>
      <c r="P11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רצוי'!$A$2)+1,""),105),"")</f>
        <v/>
      </c>
    </row>
    <row r="111">
      <c r="A111" s="9">
        <f>IF($P111="","",INDEX('מלאי רצוי'!$A$2:$A$121,$P111))</f>
        <v/>
      </c>
      <c r="B111" s="9">
        <f>IF($P111="","",INDEX('מלאי רצוי'!$C$2:$C$121,$P111))</f>
        <v/>
      </c>
      <c r="C111" s="9">
        <f>IF($P111="","",INDEX('מלאי רצוי'!$D$2:$D$121,$P111))</f>
        <v/>
      </c>
      <c r="D111" s="9">
        <f>IF($P111="","",INDEX('מלאי רצוי'!$E$2:$E$121,$P111))</f>
        <v/>
      </c>
      <c r="E111" s="30">
        <f>IF($P111="","",INDEX('מלאי רצוי'!$F$2:$F$121,$P111))</f>
        <v/>
      </c>
      <c r="F111" s="30">
        <f>IF($P111="","",INDEX('מלאי רצוי'!$G$2:$G$121,$P111))</f>
        <v/>
      </c>
      <c r="G111" s="30">
        <f>IF($P111="","",INDEX('מלאי רצוי'!$H$2:$H$121,$P111))</f>
        <v/>
      </c>
      <c r="H111" s="30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0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0">
        <f>IF($A111="","",IF($D111&lt;&gt;"",COUNTIFS(מלאי!$B$2:$B$500,$A111,מלאי!$G$2:$G$500,$D111,מלאי!$X$2:$X$500,"מושאל"),COUNTIFS(מלאי!$B$2:$B$500,$A111,מלאי!$X$2:$X$500,"מושאל")))</f>
        <v/>
      </c>
      <c r="K111" s="30">
        <f>IF($A111="","",IF($D111&lt;&gt;"",COUNTIFS(מלאי!$B$2:$B$500,$A111,מלאי!$G$2:$G$500,$D111,מלאי!$D$2:$D$500,"&lt;&gt;"),COUNTIFS(מלאי!$B$2:$B$500,$A111,מלאי!$D$2:$D$500,"&lt;&gt;")))</f>
        <v/>
      </c>
      <c r="L111" s="30">
        <f>IF(OR($A111="",$E111=""),"",MAX(0,E111-H111))</f>
        <v/>
      </c>
      <c r="M111" s="30">
        <f>IF(OR($A111="",$E111=""),"",MAX(0,F111-I111))</f>
        <v/>
      </c>
      <c r="N111" s="30">
        <f>IF(OR($A111="",$E111=""),"",MAX(0,G111-J111))</f>
        <v/>
      </c>
      <c r="O111" s="9">
        <f>IF($P111="","",INDEX('מלאי רצוי'!$O$2:$O$121,$P111))</f>
        <v/>
      </c>
      <c r="P11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רצוי'!$A$2)+1,""),106),"")</f>
        <v/>
      </c>
    </row>
    <row r="112">
      <c r="A112" s="8">
        <f>IF($P112="","",INDEX('מלאי רצוי'!$A$2:$A$121,$P112))</f>
        <v/>
      </c>
      <c r="B112" s="8">
        <f>IF($P112="","",INDEX('מלאי רצוי'!$C$2:$C$121,$P112))</f>
        <v/>
      </c>
      <c r="C112" s="8">
        <f>IF($P112="","",INDEX('מלאי רצוי'!$D$2:$D$121,$P112))</f>
        <v/>
      </c>
      <c r="D112" s="8">
        <f>IF($P112="","",INDEX('מלאי רצוי'!$E$2:$E$121,$P112))</f>
        <v/>
      </c>
      <c r="E112" s="29">
        <f>IF($P112="","",INDEX('מלאי רצוי'!$F$2:$F$121,$P112))</f>
        <v/>
      </c>
      <c r="F112" s="29">
        <f>IF($P112="","",INDEX('מלאי רצוי'!$G$2:$G$121,$P112))</f>
        <v/>
      </c>
      <c r="G112" s="29">
        <f>IF($P112="","",INDEX('מלאי רצוי'!$H$2:$H$121,$P112))</f>
        <v/>
      </c>
      <c r="H112" s="29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29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29">
        <f>IF($A112="","",IF($D112&lt;&gt;"",COUNTIFS(מלאי!$B$2:$B$500,$A112,מלאי!$G$2:$G$500,$D112,מלאי!$X$2:$X$500,"מושאל"),COUNTIFS(מלאי!$B$2:$B$500,$A112,מלאי!$X$2:$X$500,"מושאל")))</f>
        <v/>
      </c>
      <c r="K112" s="29">
        <f>IF($A112="","",IF($D112&lt;&gt;"",COUNTIFS(מלאי!$B$2:$B$500,$A112,מלאי!$G$2:$G$500,$D112,מלאי!$D$2:$D$500,"&lt;&gt;"),COUNTIFS(מלאי!$B$2:$B$500,$A112,מלאי!$D$2:$D$500,"&lt;&gt;")))</f>
        <v/>
      </c>
      <c r="L112" s="29">
        <f>IF(OR($A112="",$E112=""),"",MAX(0,E112-H112))</f>
        <v/>
      </c>
      <c r="M112" s="29">
        <f>IF(OR($A112="",$E112=""),"",MAX(0,F112-I112))</f>
        <v/>
      </c>
      <c r="N112" s="29">
        <f>IF(OR($A112="",$E112=""),"",MAX(0,G112-J112))</f>
        <v/>
      </c>
      <c r="O112" s="8">
        <f>IF($P112="","",INDEX('מלאי רצוי'!$O$2:$O$121,$P112))</f>
        <v/>
      </c>
      <c r="P11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רצוי'!$A$2)+1,""),107),"")</f>
        <v/>
      </c>
    </row>
    <row r="113">
      <c r="A113" s="9">
        <f>IF($P113="","",INDEX('מלאי רצוי'!$A$2:$A$121,$P113))</f>
        <v/>
      </c>
      <c r="B113" s="9">
        <f>IF($P113="","",INDEX('מלאי רצוי'!$C$2:$C$121,$P113))</f>
        <v/>
      </c>
      <c r="C113" s="9">
        <f>IF($P113="","",INDEX('מלאי רצוי'!$D$2:$D$121,$P113))</f>
        <v/>
      </c>
      <c r="D113" s="9">
        <f>IF($P113="","",INDEX('מלאי רצוי'!$E$2:$E$121,$P113))</f>
        <v/>
      </c>
      <c r="E113" s="30">
        <f>IF($P113="","",INDEX('מלאי רצוי'!$F$2:$F$121,$P113))</f>
        <v/>
      </c>
      <c r="F113" s="30">
        <f>IF($P113="","",INDEX('מלאי רצוי'!$G$2:$G$121,$P113))</f>
        <v/>
      </c>
      <c r="G113" s="30">
        <f>IF($P113="","",INDEX('מלאי רצוי'!$H$2:$H$121,$P113))</f>
        <v/>
      </c>
      <c r="H113" s="30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0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0">
        <f>IF($A113="","",IF($D113&lt;&gt;"",COUNTIFS(מלאי!$B$2:$B$500,$A113,מלאי!$G$2:$G$500,$D113,מלאי!$X$2:$X$500,"מושאל"),COUNTIFS(מלאי!$B$2:$B$500,$A113,מלאי!$X$2:$X$500,"מושאל")))</f>
        <v/>
      </c>
      <c r="K113" s="30">
        <f>IF($A113="","",IF($D113&lt;&gt;"",COUNTIFS(מלאי!$B$2:$B$500,$A113,מלאי!$G$2:$G$500,$D113,מלאי!$D$2:$D$500,"&lt;&gt;"),COUNTIFS(מלאי!$B$2:$B$500,$A113,מלאי!$D$2:$D$500,"&lt;&gt;")))</f>
        <v/>
      </c>
      <c r="L113" s="30">
        <f>IF(OR($A113="",$E113=""),"",MAX(0,E113-H113))</f>
        <v/>
      </c>
      <c r="M113" s="30">
        <f>IF(OR($A113="",$E113=""),"",MAX(0,F113-I113))</f>
        <v/>
      </c>
      <c r="N113" s="30">
        <f>IF(OR($A113="",$E113=""),"",MAX(0,G113-J113))</f>
        <v/>
      </c>
      <c r="O113" s="9">
        <f>IF($P113="","",INDEX('מלאי רצוי'!$O$2:$O$121,$P113))</f>
        <v/>
      </c>
      <c r="P11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רצוי'!$A$2)+1,""),108),"")</f>
        <v/>
      </c>
    </row>
    <row r="114">
      <c r="A114" s="8">
        <f>IF($P114="","",INDEX('מלאי רצוי'!$A$2:$A$121,$P114))</f>
        <v/>
      </c>
      <c r="B114" s="8">
        <f>IF($P114="","",INDEX('מלאי רצוי'!$C$2:$C$121,$P114))</f>
        <v/>
      </c>
      <c r="C114" s="8">
        <f>IF($P114="","",INDEX('מלאי רצוי'!$D$2:$D$121,$P114))</f>
        <v/>
      </c>
      <c r="D114" s="8">
        <f>IF($P114="","",INDEX('מלאי רצוי'!$E$2:$E$121,$P114))</f>
        <v/>
      </c>
      <c r="E114" s="29">
        <f>IF($P114="","",INDEX('מלאי רצוי'!$F$2:$F$121,$P114))</f>
        <v/>
      </c>
      <c r="F114" s="29">
        <f>IF($P114="","",INDEX('מלאי רצוי'!$G$2:$G$121,$P114))</f>
        <v/>
      </c>
      <c r="G114" s="29">
        <f>IF($P114="","",INDEX('מלאי רצוי'!$H$2:$H$121,$P114))</f>
        <v/>
      </c>
      <c r="H114" s="29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29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29">
        <f>IF($A114="","",IF($D114&lt;&gt;"",COUNTIFS(מלאי!$B$2:$B$500,$A114,מלאי!$G$2:$G$500,$D114,מלאי!$X$2:$X$500,"מושאל"),COUNTIFS(מלאי!$B$2:$B$500,$A114,מלאי!$X$2:$X$500,"מושאל")))</f>
        <v/>
      </c>
      <c r="K114" s="29">
        <f>IF($A114="","",IF($D114&lt;&gt;"",COUNTIFS(מלאי!$B$2:$B$500,$A114,מלאי!$G$2:$G$500,$D114,מלאי!$D$2:$D$500,"&lt;&gt;"),COUNTIFS(מלאי!$B$2:$B$500,$A114,מלאי!$D$2:$D$500,"&lt;&gt;")))</f>
        <v/>
      </c>
      <c r="L114" s="29">
        <f>IF(OR($A114="",$E114=""),"",MAX(0,E114-H114))</f>
        <v/>
      </c>
      <c r="M114" s="29">
        <f>IF(OR($A114="",$E114=""),"",MAX(0,F114-I114))</f>
        <v/>
      </c>
      <c r="N114" s="29">
        <f>IF(OR($A114="",$E114=""),"",MAX(0,G114-J114))</f>
        <v/>
      </c>
      <c r="O114" s="8">
        <f>IF($P114="","",INDEX('מלאי רצוי'!$O$2:$O$121,$P114))</f>
        <v/>
      </c>
      <c r="P11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רצוי'!$A$2)+1,""),109),"")</f>
        <v/>
      </c>
    </row>
    <row r="115">
      <c r="A115" s="9">
        <f>IF($P115="","",INDEX('מלאי רצוי'!$A$2:$A$121,$P115))</f>
        <v/>
      </c>
      <c r="B115" s="9">
        <f>IF($P115="","",INDEX('מלאי רצוי'!$C$2:$C$121,$P115))</f>
        <v/>
      </c>
      <c r="C115" s="9">
        <f>IF($P115="","",INDEX('מלאי רצוי'!$D$2:$D$121,$P115))</f>
        <v/>
      </c>
      <c r="D115" s="9">
        <f>IF($P115="","",INDEX('מלאי רצוי'!$E$2:$E$121,$P115))</f>
        <v/>
      </c>
      <c r="E115" s="30">
        <f>IF($P115="","",INDEX('מלאי רצוי'!$F$2:$F$121,$P115))</f>
        <v/>
      </c>
      <c r="F115" s="30">
        <f>IF($P115="","",INDEX('מלאי רצוי'!$G$2:$G$121,$P115))</f>
        <v/>
      </c>
      <c r="G115" s="30">
        <f>IF($P115="","",INDEX('מלאי רצוי'!$H$2:$H$121,$P115))</f>
        <v/>
      </c>
      <c r="H115" s="30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0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0">
        <f>IF($A115="","",IF($D115&lt;&gt;"",COUNTIFS(מלאי!$B$2:$B$500,$A115,מלאי!$G$2:$G$500,$D115,מלאי!$X$2:$X$500,"מושאל"),COUNTIFS(מלאי!$B$2:$B$500,$A115,מלאי!$X$2:$X$500,"מושאל")))</f>
        <v/>
      </c>
      <c r="K115" s="30">
        <f>IF($A115="","",IF($D115&lt;&gt;"",COUNTIFS(מלאי!$B$2:$B$500,$A115,מלאי!$G$2:$G$500,$D115,מלאי!$D$2:$D$500,"&lt;&gt;"),COUNTIFS(מלאי!$B$2:$B$500,$A115,מלאי!$D$2:$D$500,"&lt;&gt;")))</f>
        <v/>
      </c>
      <c r="L115" s="30">
        <f>IF(OR($A115="",$E115=""),"",MAX(0,E115-H115))</f>
        <v/>
      </c>
      <c r="M115" s="30">
        <f>IF(OR($A115="",$E115=""),"",MAX(0,F115-I115))</f>
        <v/>
      </c>
      <c r="N115" s="30">
        <f>IF(OR($A115="",$E115=""),"",MAX(0,G115-J115))</f>
        <v/>
      </c>
      <c r="O115" s="9">
        <f>IF($P115="","",INDEX('מלאי רצוי'!$O$2:$O$121,$P115))</f>
        <v/>
      </c>
      <c r="P11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רצוי'!$A$2)+1,""),110),"")</f>
        <v/>
      </c>
    </row>
    <row r="116">
      <c r="A116" s="8">
        <f>IF($P116="","",INDEX('מלאי רצוי'!$A$2:$A$121,$P116))</f>
        <v/>
      </c>
      <c r="B116" s="8">
        <f>IF($P116="","",INDEX('מלאי רצוי'!$C$2:$C$121,$P116))</f>
        <v/>
      </c>
      <c r="C116" s="8">
        <f>IF($P116="","",INDEX('מלאי רצוי'!$D$2:$D$121,$P116))</f>
        <v/>
      </c>
      <c r="D116" s="8">
        <f>IF($P116="","",INDEX('מלאי רצוי'!$E$2:$E$121,$P116))</f>
        <v/>
      </c>
      <c r="E116" s="29">
        <f>IF($P116="","",INDEX('מלאי רצוי'!$F$2:$F$121,$P116))</f>
        <v/>
      </c>
      <c r="F116" s="29">
        <f>IF($P116="","",INDEX('מלאי רצוי'!$G$2:$G$121,$P116))</f>
        <v/>
      </c>
      <c r="G116" s="29">
        <f>IF($P116="","",INDEX('מלאי רצוי'!$H$2:$H$121,$P116))</f>
        <v/>
      </c>
      <c r="H116" s="29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29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29">
        <f>IF($A116="","",IF($D116&lt;&gt;"",COUNTIFS(מלאי!$B$2:$B$500,$A116,מלאי!$G$2:$G$500,$D116,מלאי!$X$2:$X$500,"מושאל"),COUNTIFS(מלאי!$B$2:$B$500,$A116,מלאי!$X$2:$X$500,"מושאל")))</f>
        <v/>
      </c>
      <c r="K116" s="29">
        <f>IF($A116="","",IF($D116&lt;&gt;"",COUNTIFS(מלאי!$B$2:$B$500,$A116,מלאי!$G$2:$G$500,$D116,מלאי!$D$2:$D$500,"&lt;&gt;"),COUNTIFS(מלאי!$B$2:$B$500,$A116,מלאי!$D$2:$D$500,"&lt;&gt;")))</f>
        <v/>
      </c>
      <c r="L116" s="29">
        <f>IF(OR($A116="",$E116=""),"",MAX(0,E116-H116))</f>
        <v/>
      </c>
      <c r="M116" s="29">
        <f>IF(OR($A116="",$E116=""),"",MAX(0,F116-I116))</f>
        <v/>
      </c>
      <c r="N116" s="29">
        <f>IF(OR($A116="",$E116=""),"",MAX(0,G116-J116))</f>
        <v/>
      </c>
      <c r="O116" s="8">
        <f>IF($P116="","",INDEX('מלאי רצוי'!$O$2:$O$121,$P116))</f>
        <v/>
      </c>
      <c r="P116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רצוי'!$A$2)+1,""),111),"")</f>
        <v/>
      </c>
    </row>
    <row r="117">
      <c r="A117" s="9">
        <f>IF($P117="","",INDEX('מלאי רצוי'!$A$2:$A$121,$P117))</f>
        <v/>
      </c>
      <c r="B117" s="9">
        <f>IF($P117="","",INDEX('מלאי רצוי'!$C$2:$C$121,$P117))</f>
        <v/>
      </c>
      <c r="C117" s="9">
        <f>IF($P117="","",INDEX('מלאי רצוי'!$D$2:$D$121,$P117))</f>
        <v/>
      </c>
      <c r="D117" s="9">
        <f>IF($P117="","",INDEX('מלאי רצוי'!$E$2:$E$121,$P117))</f>
        <v/>
      </c>
      <c r="E117" s="30">
        <f>IF($P117="","",INDEX('מלאי רצוי'!$F$2:$F$121,$P117))</f>
        <v/>
      </c>
      <c r="F117" s="30">
        <f>IF($P117="","",INDEX('מלאי רצוי'!$G$2:$G$121,$P117))</f>
        <v/>
      </c>
      <c r="G117" s="30">
        <f>IF($P117="","",INDEX('מלאי רצוי'!$H$2:$H$121,$P117))</f>
        <v/>
      </c>
      <c r="H117" s="30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0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0">
        <f>IF($A117="","",IF($D117&lt;&gt;"",COUNTIFS(מלאי!$B$2:$B$500,$A117,מלאי!$G$2:$G$500,$D117,מלאי!$X$2:$X$500,"מושאל"),COUNTIFS(מלאי!$B$2:$B$500,$A117,מלאי!$X$2:$X$500,"מושאל")))</f>
        <v/>
      </c>
      <c r="K117" s="30">
        <f>IF($A117="","",IF($D117&lt;&gt;"",COUNTIFS(מלאי!$B$2:$B$500,$A117,מלאי!$G$2:$G$500,$D117,מלאי!$D$2:$D$500,"&lt;&gt;"),COUNTIFS(מלאי!$B$2:$B$500,$A117,מלאי!$D$2:$D$500,"&lt;&gt;")))</f>
        <v/>
      </c>
      <c r="L117" s="30">
        <f>IF(OR($A117="",$E117=""),"",MAX(0,E117-H117))</f>
        <v/>
      </c>
      <c r="M117" s="30">
        <f>IF(OR($A117="",$E117=""),"",MAX(0,F117-I117))</f>
        <v/>
      </c>
      <c r="N117" s="30">
        <f>IF(OR($A117="",$E117=""),"",MAX(0,G117-J117))</f>
        <v/>
      </c>
      <c r="O117" s="9">
        <f>IF($P117="","",INDEX('מלאי רצוי'!$O$2:$O$121,$P117))</f>
        <v/>
      </c>
      <c r="P117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רצוי'!$A$2)+1,""),112),"")</f>
        <v/>
      </c>
    </row>
    <row r="118">
      <c r="A118" s="8">
        <f>IF($P118="","",INDEX('מלאי רצוי'!$A$2:$A$121,$P118))</f>
        <v/>
      </c>
      <c r="B118" s="8">
        <f>IF($P118="","",INDEX('מלאי רצוי'!$C$2:$C$121,$P118))</f>
        <v/>
      </c>
      <c r="C118" s="8">
        <f>IF($P118="","",INDEX('מלאי רצוי'!$D$2:$D$121,$P118))</f>
        <v/>
      </c>
      <c r="D118" s="8">
        <f>IF($P118="","",INDEX('מלאי רצוי'!$E$2:$E$121,$P118))</f>
        <v/>
      </c>
      <c r="E118" s="29">
        <f>IF($P118="","",INDEX('מלאי רצוי'!$F$2:$F$121,$P118))</f>
        <v/>
      </c>
      <c r="F118" s="29">
        <f>IF($P118="","",INDEX('מלאי רצוי'!$G$2:$G$121,$P118))</f>
        <v/>
      </c>
      <c r="G118" s="29">
        <f>IF($P118="","",INDEX('מלאי רצוי'!$H$2:$H$121,$P118))</f>
        <v/>
      </c>
      <c r="H118" s="29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29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29">
        <f>IF($A118="","",IF($D118&lt;&gt;"",COUNTIFS(מלאי!$B$2:$B$500,$A118,מלאי!$G$2:$G$500,$D118,מלאי!$X$2:$X$500,"מושאל"),COUNTIFS(מלאי!$B$2:$B$500,$A118,מלאי!$X$2:$X$500,"מושאל")))</f>
        <v/>
      </c>
      <c r="K118" s="29">
        <f>IF($A118="","",IF($D118&lt;&gt;"",COUNTIFS(מלאי!$B$2:$B$500,$A118,מלאי!$G$2:$G$500,$D118,מלאי!$D$2:$D$500,"&lt;&gt;"),COUNTIFS(מלאי!$B$2:$B$500,$A118,מלאי!$D$2:$D$500,"&lt;&gt;")))</f>
        <v/>
      </c>
      <c r="L118" s="29">
        <f>IF(OR($A118="",$E118=""),"",MAX(0,E118-H118))</f>
        <v/>
      </c>
      <c r="M118" s="29">
        <f>IF(OR($A118="",$E118=""),"",MAX(0,F118-I118))</f>
        <v/>
      </c>
      <c r="N118" s="29">
        <f>IF(OR($A118="",$E118=""),"",MAX(0,G118-J118))</f>
        <v/>
      </c>
      <c r="O118" s="8">
        <f>IF($P118="","",INDEX('מלאי רצוי'!$O$2:$O$121,$P118))</f>
        <v/>
      </c>
      <c r="P118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רצוי'!$A$2)+1,""),113),"")</f>
        <v/>
      </c>
    </row>
    <row r="119">
      <c r="A119" s="9">
        <f>IF($P119="","",INDEX('מלאי רצוי'!$A$2:$A$121,$P119))</f>
        <v/>
      </c>
      <c r="B119" s="9">
        <f>IF($P119="","",INDEX('מלאי רצוי'!$C$2:$C$121,$P119))</f>
        <v/>
      </c>
      <c r="C119" s="9">
        <f>IF($P119="","",INDEX('מלאי רצוי'!$D$2:$D$121,$P119))</f>
        <v/>
      </c>
      <c r="D119" s="9">
        <f>IF($P119="","",INDEX('מלאי רצוי'!$E$2:$E$121,$P119))</f>
        <v/>
      </c>
      <c r="E119" s="30">
        <f>IF($P119="","",INDEX('מלאי רצוי'!$F$2:$F$121,$P119))</f>
        <v/>
      </c>
      <c r="F119" s="30">
        <f>IF($P119="","",INDEX('מלאי רצוי'!$G$2:$G$121,$P119))</f>
        <v/>
      </c>
      <c r="G119" s="30">
        <f>IF($P119="","",INDEX('מלאי רצוי'!$H$2:$H$121,$P119))</f>
        <v/>
      </c>
      <c r="H119" s="30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0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0">
        <f>IF($A119="","",IF($D119&lt;&gt;"",COUNTIFS(מלאי!$B$2:$B$500,$A119,מלאי!$G$2:$G$500,$D119,מלאי!$X$2:$X$500,"מושאל"),COUNTIFS(מלאי!$B$2:$B$500,$A119,מלאי!$X$2:$X$500,"מושאל")))</f>
        <v/>
      </c>
      <c r="K119" s="30">
        <f>IF($A119="","",IF($D119&lt;&gt;"",COUNTIFS(מלאי!$B$2:$B$500,$A119,מלאי!$G$2:$G$500,$D119,מלאי!$D$2:$D$500,"&lt;&gt;"),COUNTIFS(מלאי!$B$2:$B$500,$A119,מלאי!$D$2:$D$500,"&lt;&gt;")))</f>
        <v/>
      </c>
      <c r="L119" s="30">
        <f>IF(OR($A119="",$E119=""),"",MAX(0,E119-H119))</f>
        <v/>
      </c>
      <c r="M119" s="30">
        <f>IF(OR($A119="",$E119=""),"",MAX(0,F119-I119))</f>
        <v/>
      </c>
      <c r="N119" s="30">
        <f>IF(OR($A119="",$E119=""),"",MAX(0,G119-J119))</f>
        <v/>
      </c>
      <c r="O119" s="9">
        <f>IF($P119="","",INDEX('מלאי רצוי'!$O$2:$O$121,$P119))</f>
        <v/>
      </c>
      <c r="P119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רצוי'!$A$2)+1,""),114),"")</f>
        <v/>
      </c>
    </row>
    <row r="120">
      <c r="A120" s="8">
        <f>IF($P120="","",INDEX('מלאי רצוי'!$A$2:$A$121,$P120))</f>
        <v/>
      </c>
      <c r="B120" s="8">
        <f>IF($P120="","",INDEX('מלאי רצוי'!$C$2:$C$121,$P120))</f>
        <v/>
      </c>
      <c r="C120" s="8">
        <f>IF($P120="","",INDEX('מלאי רצוי'!$D$2:$D$121,$P120))</f>
        <v/>
      </c>
      <c r="D120" s="8">
        <f>IF($P120="","",INDEX('מלאי רצוי'!$E$2:$E$121,$P120))</f>
        <v/>
      </c>
      <c r="E120" s="29">
        <f>IF($P120="","",INDEX('מלאי רצוי'!$F$2:$F$121,$P120))</f>
        <v/>
      </c>
      <c r="F120" s="29">
        <f>IF($P120="","",INDEX('מלאי רצוי'!$G$2:$G$121,$P120))</f>
        <v/>
      </c>
      <c r="G120" s="29">
        <f>IF($P120="","",INDEX('מלאי רצוי'!$H$2:$H$121,$P120))</f>
        <v/>
      </c>
      <c r="H120" s="29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29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29">
        <f>IF($A120="","",IF($D120&lt;&gt;"",COUNTIFS(מלאי!$B$2:$B$500,$A120,מלאי!$G$2:$G$500,$D120,מלאי!$X$2:$X$500,"מושאל"),COUNTIFS(מלאי!$B$2:$B$500,$A120,מלאי!$X$2:$X$500,"מושאל")))</f>
        <v/>
      </c>
      <c r="K120" s="29">
        <f>IF($A120="","",IF($D120&lt;&gt;"",COUNTIFS(מלאי!$B$2:$B$500,$A120,מלאי!$G$2:$G$500,$D120,מלאי!$D$2:$D$500,"&lt;&gt;"),COUNTIFS(מלאי!$B$2:$B$500,$A120,מלאי!$D$2:$D$500,"&lt;&gt;")))</f>
        <v/>
      </c>
      <c r="L120" s="29">
        <f>IF(OR($A120="",$E120=""),"",MAX(0,E120-H120))</f>
        <v/>
      </c>
      <c r="M120" s="29">
        <f>IF(OR($A120="",$E120=""),"",MAX(0,F120-I120))</f>
        <v/>
      </c>
      <c r="N120" s="29">
        <f>IF(OR($A120="",$E120=""),"",MAX(0,G120-J120))</f>
        <v/>
      </c>
      <c r="O120" s="8">
        <f>IF($P120="","",INDEX('מלאי רצוי'!$O$2:$O$121,$P120))</f>
        <v/>
      </c>
      <c r="P120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רצוי'!$A$2)+1,""),115),"")</f>
        <v/>
      </c>
    </row>
    <row r="121">
      <c r="A121" s="9">
        <f>IF($P121="","",INDEX('מלאי רצוי'!$A$2:$A$121,$P121))</f>
        <v/>
      </c>
      <c r="B121" s="9">
        <f>IF($P121="","",INDEX('מלאי רצוי'!$C$2:$C$121,$P121))</f>
        <v/>
      </c>
      <c r="C121" s="9">
        <f>IF($P121="","",INDEX('מלאי רצוי'!$D$2:$D$121,$P121))</f>
        <v/>
      </c>
      <c r="D121" s="9">
        <f>IF($P121="","",INDEX('מלאי רצוי'!$E$2:$E$121,$P121))</f>
        <v/>
      </c>
      <c r="E121" s="30">
        <f>IF($P121="","",INDEX('מלאי רצוי'!$F$2:$F$121,$P121))</f>
        <v/>
      </c>
      <c r="F121" s="30">
        <f>IF($P121="","",INDEX('מלאי רצוי'!$G$2:$G$121,$P121))</f>
        <v/>
      </c>
      <c r="G121" s="30">
        <f>IF($P121="","",INDEX('מלאי רצוי'!$H$2:$H$121,$P121))</f>
        <v/>
      </c>
      <c r="H121" s="30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0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0">
        <f>IF($A121="","",IF($D121&lt;&gt;"",COUNTIFS(מלאי!$B$2:$B$500,$A121,מלאי!$G$2:$G$500,$D121,מלאי!$X$2:$X$500,"מושאל"),COUNTIFS(מלאי!$B$2:$B$500,$A121,מלאי!$X$2:$X$500,"מושאל")))</f>
        <v/>
      </c>
      <c r="K121" s="30">
        <f>IF($A121="","",IF($D121&lt;&gt;"",COUNTIFS(מלאי!$B$2:$B$500,$A121,מלאי!$G$2:$G$500,$D121,מלאי!$D$2:$D$500,"&lt;&gt;"),COUNTIFS(מלאי!$B$2:$B$500,$A121,מלאי!$D$2:$D$500,"&lt;&gt;")))</f>
        <v/>
      </c>
      <c r="L121" s="30">
        <f>IF(OR($A121="",$E121=""),"",MAX(0,E121-H121))</f>
        <v/>
      </c>
      <c r="M121" s="30">
        <f>IF(OR($A121="",$E121=""),"",MAX(0,F121-I121))</f>
        <v/>
      </c>
      <c r="N121" s="30">
        <f>IF(OR($A121="",$E121=""),"",MAX(0,G121-J121))</f>
        <v/>
      </c>
      <c r="O121" s="9">
        <f>IF($P121="","",INDEX('מלאי רצוי'!$O$2:$O$121,$P121))</f>
        <v/>
      </c>
      <c r="P121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רצוי'!$A$2)+1,""),116),"")</f>
        <v/>
      </c>
    </row>
    <row r="122">
      <c r="A122" s="8">
        <f>IF($P122="","",INDEX('מלאי רצוי'!$A$2:$A$121,$P122))</f>
        <v/>
      </c>
      <c r="B122" s="8">
        <f>IF($P122="","",INDEX('מלאי רצוי'!$C$2:$C$121,$P122))</f>
        <v/>
      </c>
      <c r="C122" s="8">
        <f>IF($P122="","",INDEX('מלאי רצוי'!$D$2:$D$121,$P122))</f>
        <v/>
      </c>
      <c r="D122" s="8">
        <f>IF($P122="","",INDEX('מלאי רצוי'!$E$2:$E$121,$P122))</f>
        <v/>
      </c>
      <c r="E122" s="29">
        <f>IF($P122="","",INDEX('מלאי רצוי'!$F$2:$F$121,$P122))</f>
        <v/>
      </c>
      <c r="F122" s="29">
        <f>IF($P122="","",INDEX('מלאי רצוי'!$G$2:$G$121,$P122))</f>
        <v/>
      </c>
      <c r="G122" s="29">
        <f>IF($P122="","",INDEX('מלאי רצוי'!$H$2:$H$121,$P122))</f>
        <v/>
      </c>
      <c r="H122" s="29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29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29">
        <f>IF($A122="","",IF($D122&lt;&gt;"",COUNTIFS(מלאי!$B$2:$B$500,$A122,מלאי!$G$2:$G$500,$D122,מלאי!$X$2:$X$500,"מושאל"),COUNTIFS(מלאי!$B$2:$B$500,$A122,מלאי!$X$2:$X$500,"מושאל")))</f>
        <v/>
      </c>
      <c r="K122" s="29">
        <f>IF($A122="","",IF($D122&lt;&gt;"",COUNTIFS(מלאי!$B$2:$B$500,$A122,מלאי!$G$2:$G$500,$D122,מלאי!$D$2:$D$500,"&lt;&gt;"),COUNTIFS(מלאי!$B$2:$B$500,$A122,מלאי!$D$2:$D$500,"&lt;&gt;")))</f>
        <v/>
      </c>
      <c r="L122" s="29">
        <f>IF(OR($A122="",$E122=""),"",MAX(0,E122-H122))</f>
        <v/>
      </c>
      <c r="M122" s="29">
        <f>IF(OR($A122="",$E122=""),"",MAX(0,F122-I122))</f>
        <v/>
      </c>
      <c r="N122" s="29">
        <f>IF(OR($A122="",$E122=""),"",MAX(0,G122-J122))</f>
        <v/>
      </c>
      <c r="O122" s="8">
        <f>IF($P122="","",INDEX('מלאי רצוי'!$O$2:$O$121,$P122))</f>
        <v/>
      </c>
      <c r="P122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רצוי'!$A$2)+1,""),117),"")</f>
        <v/>
      </c>
    </row>
    <row r="123">
      <c r="A123" s="9">
        <f>IF($P123="","",INDEX('מלאי רצוי'!$A$2:$A$121,$P123))</f>
        <v/>
      </c>
      <c r="B123" s="9">
        <f>IF($P123="","",INDEX('מלאי רצוי'!$C$2:$C$121,$P123))</f>
        <v/>
      </c>
      <c r="C123" s="9">
        <f>IF($P123="","",INDEX('מלאי רצוי'!$D$2:$D$121,$P123))</f>
        <v/>
      </c>
      <c r="D123" s="9">
        <f>IF($P123="","",INDEX('מלאי רצוי'!$E$2:$E$121,$P123))</f>
        <v/>
      </c>
      <c r="E123" s="30">
        <f>IF($P123="","",INDEX('מלאי רצוי'!$F$2:$F$121,$P123))</f>
        <v/>
      </c>
      <c r="F123" s="30">
        <f>IF($P123="","",INDEX('מלאי רצוי'!$G$2:$G$121,$P123))</f>
        <v/>
      </c>
      <c r="G123" s="30">
        <f>IF($P123="","",INDEX('מלאי רצוי'!$H$2:$H$121,$P123))</f>
        <v/>
      </c>
      <c r="H123" s="30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0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0">
        <f>IF($A123="","",IF($D123&lt;&gt;"",COUNTIFS(מלאי!$B$2:$B$500,$A123,מלאי!$G$2:$G$500,$D123,מלאי!$X$2:$X$500,"מושאל"),COUNTIFS(מלאי!$B$2:$B$500,$A123,מלאי!$X$2:$X$500,"מושאל")))</f>
        <v/>
      </c>
      <c r="K123" s="30">
        <f>IF($A123="","",IF($D123&lt;&gt;"",COUNTIFS(מלאי!$B$2:$B$500,$A123,מלאי!$G$2:$G$500,$D123,מלאי!$D$2:$D$500,"&lt;&gt;"),COUNTIFS(מלאי!$B$2:$B$500,$A123,מלאי!$D$2:$D$500,"&lt;&gt;")))</f>
        <v/>
      </c>
      <c r="L123" s="30">
        <f>IF(OR($A123="",$E123=""),"",MAX(0,E123-H123))</f>
        <v/>
      </c>
      <c r="M123" s="30">
        <f>IF(OR($A123="",$E123=""),"",MAX(0,F123-I123))</f>
        <v/>
      </c>
      <c r="N123" s="30">
        <f>IF(OR($A123="",$E123=""),"",MAX(0,G123-J123))</f>
        <v/>
      </c>
      <c r="O123" s="9">
        <f>IF($P123="","",INDEX('מלאי רצוי'!$O$2:$O$121,$P123))</f>
        <v/>
      </c>
      <c r="P123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רצוי'!$A$2)+1,""),118),"")</f>
        <v/>
      </c>
    </row>
    <row r="124">
      <c r="A124" s="8">
        <f>IF($P124="","",INDEX('מלאי רצוי'!$A$2:$A$121,$P124))</f>
        <v/>
      </c>
      <c r="B124" s="8">
        <f>IF($P124="","",INDEX('מלאי רצוי'!$C$2:$C$121,$P124))</f>
        <v/>
      </c>
      <c r="C124" s="8">
        <f>IF($P124="","",INDEX('מלאי רצוי'!$D$2:$D$121,$P124))</f>
        <v/>
      </c>
      <c r="D124" s="8">
        <f>IF($P124="","",INDEX('מלאי רצוי'!$E$2:$E$121,$P124))</f>
        <v/>
      </c>
      <c r="E124" s="29">
        <f>IF($P124="","",INDEX('מלאי רצוי'!$F$2:$F$121,$P124))</f>
        <v/>
      </c>
      <c r="F124" s="29">
        <f>IF($P124="","",INDEX('מלאי רצוי'!$G$2:$G$121,$P124))</f>
        <v/>
      </c>
      <c r="G124" s="29">
        <f>IF($P124="","",INDEX('מלאי רצוי'!$H$2:$H$121,$P124))</f>
        <v/>
      </c>
      <c r="H124" s="29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29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29">
        <f>IF($A124="","",IF($D124&lt;&gt;"",COUNTIFS(מלאי!$B$2:$B$500,$A124,מלאי!$G$2:$G$500,$D124,מלאי!$X$2:$X$500,"מושאל"),COUNTIFS(מלאי!$B$2:$B$500,$A124,מלאי!$X$2:$X$500,"מושאל")))</f>
        <v/>
      </c>
      <c r="K124" s="29">
        <f>IF($A124="","",IF($D124&lt;&gt;"",COUNTIFS(מלאי!$B$2:$B$500,$A124,מלאי!$G$2:$G$500,$D124,מלאי!$D$2:$D$500,"&lt;&gt;"),COUNTIFS(מלאי!$B$2:$B$500,$A124,מלאי!$D$2:$D$500,"&lt;&gt;")))</f>
        <v/>
      </c>
      <c r="L124" s="29">
        <f>IF(OR($A124="",$E124=""),"",MAX(0,E124-H124))</f>
        <v/>
      </c>
      <c r="M124" s="29">
        <f>IF(OR($A124="",$E124=""),"",MAX(0,F124-I124))</f>
        <v/>
      </c>
      <c r="N124" s="29">
        <f>IF(OR($A124="",$E124=""),"",MAX(0,G124-J124))</f>
        <v/>
      </c>
      <c r="O124" s="8">
        <f>IF($P124="","",INDEX('מלאי רצוי'!$O$2:$O$121,$P124))</f>
        <v/>
      </c>
      <c r="P124" s="8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רצוי'!$A$2)+1,""),119),"")</f>
        <v/>
      </c>
    </row>
    <row r="125">
      <c r="A125" s="9">
        <f>IF($P125="","",INDEX('מלאי רצוי'!$A$2:$A$121,$P125))</f>
        <v/>
      </c>
      <c r="B125" s="9">
        <f>IF($P125="","",INDEX('מלאי רצוי'!$C$2:$C$121,$P125))</f>
        <v/>
      </c>
      <c r="C125" s="9">
        <f>IF($P125="","",INDEX('מלאי רצוי'!$D$2:$D$121,$P125))</f>
        <v/>
      </c>
      <c r="D125" s="9">
        <f>IF($P125="","",INDEX('מלאי רצוי'!$E$2:$E$121,$P125))</f>
        <v/>
      </c>
      <c r="E125" s="30">
        <f>IF($P125="","",INDEX('מלאי רצוי'!$F$2:$F$121,$P125))</f>
        <v/>
      </c>
      <c r="F125" s="30">
        <f>IF($P125="","",INDEX('מלאי רצוי'!$G$2:$G$121,$P125))</f>
        <v/>
      </c>
      <c r="G125" s="30">
        <f>IF($P125="","",INDEX('מלאי רצוי'!$H$2:$H$121,$P125))</f>
        <v/>
      </c>
      <c r="H125" s="30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0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0">
        <f>IF($A125="","",IF($D125&lt;&gt;"",COUNTIFS(מלאי!$B$2:$B$500,$A125,מלאי!$G$2:$G$500,$D125,מלאי!$X$2:$X$500,"מושאל"),COUNTIFS(מלאי!$B$2:$B$500,$A125,מלאי!$X$2:$X$500,"מושאל")))</f>
        <v/>
      </c>
      <c r="K125" s="30">
        <f>IF($A125="","",IF($D125&lt;&gt;"",COUNTIFS(מלאי!$B$2:$B$500,$A125,מלאי!$G$2:$G$500,$D125,מלאי!$D$2:$D$500,"&lt;&gt;"),COUNTIFS(מלאי!$B$2:$B$500,$A125,מלאי!$D$2:$D$500,"&lt;&gt;")))</f>
        <v/>
      </c>
      <c r="L125" s="30">
        <f>IF(OR($A125="",$E125=""),"",MAX(0,E125-H125))</f>
        <v/>
      </c>
      <c r="M125" s="30">
        <f>IF(OR($A125="",$E125=""),"",MAX(0,F125-I125))</f>
        <v/>
      </c>
      <c r="N125" s="30">
        <f>IF(OR($A125="",$E125=""),"",MAX(0,G125-J125))</f>
        <v/>
      </c>
      <c r="O125" s="9">
        <f>IF($P125="","",INDEX('מלאי רצוי'!$O$2:$O$121,$P125))</f>
        <v/>
      </c>
      <c r="P125" s="9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0">
      <formula>L6&gt;0</formula>
    </cfRule>
    <cfRule type="expression" priority="4" dxfId="3">
      <formula>AND(L6=0,E6&gt;0)</formula>
    </cfRule>
  </conditionalFormatting>
  <conditionalFormatting sqref="M6:M125">
    <cfRule type="expression" priority="2" dxfId="0">
      <formula>M6&gt;0</formula>
    </cfRule>
    <cfRule type="expression" priority="5" dxfId="3">
      <formula>AND(M6=0,F6&gt;0)</formula>
    </cfRule>
  </conditionalFormatting>
  <conditionalFormatting sqref="N6:N125">
    <cfRule type="expression" priority="3" dxfId="0">
      <formula>N6&gt;0</formula>
    </cfRule>
    <cfRule type="expression" priority="6" dxfId="3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2026-04-20T09:49:44Z</dcterms:created>
  <dcterms:modified xsi:type="dcterms:W3CDTF">2026-04-20T09:49:46Z</dcterms:modified>
</cp:coreProperties>
</file>
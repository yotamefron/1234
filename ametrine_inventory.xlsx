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לאי" sheetId="1" state="visible" r:id="rId1"/>
    <sheet name="הגדרות" sheetId="2" state="visible" r:id="rId2"/>
    <sheet name="השאלות" sheetId="3" state="visible" r:id="rId3"/>
    <sheet name="ערכים טכנולוגיים" sheetId="4" state="visible" r:id="rId4"/>
    <sheet name="תכולה" sheetId="5" state="visible" r:id="rId5"/>
    <sheet name="לוח בקרה" sheetId="6" state="visible" r:id="rId6"/>
    <sheet name="טכנו" sheetId="7" state="visible" r:id="rId7"/>
  </sheets>
  <definedNames>
    <definedName name="PrintsTable">'הגדרות'!$A$2:$D$18</definedName>
    <definedName name="EnvList">'הגדרות'!$F$2:$F$8</definedName>
    <definedName name="LineList">'הגדרות'!$G$2:$G$10</definedName>
    <definedName name="ProductsTable">'הגדרות'!$H$2:$J$54</definedName>
    <definedName name="ProductsName">'הגדרות'!$H$2:$H$54</definedName>
    <definedName name="ProductsSKU">'הגדרות'!$I$2:$I$54</definedName>
    <definedName name="FabricList">'הגדרות'!$L$2:$L$18</definedName>
    <definedName name="PrintsList">'הגדרות'!$M$2:$M$19</definedName>
    <definedName name="StatusList">'הגדרות'!$N$2:$N$6</definedName>
    <definedName name="YesNoList">'הגדרות'!$O$2:$O$4</definedName>
    <definedName name="SizesList">'הגדרות'!$P$2:$P$9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b val="1"/>
      <color rgb="001B4332"/>
      <sz val="14"/>
    </font>
    <font>
      <i val="1"/>
      <color rgb="00666666"/>
      <sz val="9"/>
    </font>
    <font>
      <b val="1"/>
      <color rgb="001B4332"/>
      <sz val="16"/>
    </font>
    <font>
      <b val="1"/>
      <color rgb="002D6A4F"/>
      <sz val="11"/>
    </font>
    <font>
      <b val="1"/>
      <sz val="10"/>
    </font>
    <font>
      <sz val="10"/>
    </font>
    <font>
      <b val="1"/>
      <color rgb="001B4332"/>
      <sz val="11"/>
    </font>
    <font>
      <b val="1"/>
      <color rgb="002D6A4F"/>
      <sz val="10"/>
    </font>
  </fonts>
  <fills count="5">
    <fill>
      <patternFill/>
    </fill>
    <fill>
      <patternFill patternType="gray125"/>
    </fill>
    <fill>
      <patternFill patternType="solid">
        <fgColor rgb="001B4332"/>
      </patternFill>
    </fill>
    <fill>
      <patternFill patternType="solid">
        <fgColor rgb="002D6A4F"/>
      </patternFill>
    </fill>
    <fill>
      <patternFill patternType="solid">
        <fgColor rgb="00D8F3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4" borderId="0" applyAlignment="1" pivotButton="0" quotePrefix="0" xfId="0">
      <alignment horizontal="center" vertical="center"/>
    </xf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5" customWidth="1" min="4" max="4"/>
    <col hidden="1" width="11" customWidth="1" min="5" max="5"/>
    <col width="14" customWidth="1" min="6" max="6"/>
    <col width="14" customWidth="1" min="7" max="7"/>
    <col width="15" customWidth="1" min="8" max="8"/>
    <col width="1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20" customWidth="1" min="16" max="16"/>
    <col width="12" customWidth="1" min="17" max="17"/>
    <col width="7" customWidth="1" min="18" max="18"/>
    <col width="7" customWidth="1" min="19" max="19"/>
    <col width="14" customWidth="1" min="20" max="20"/>
    <col width="18" customWidth="1" min="21" max="21"/>
    <col width="15" customWidth="1" min="22" max="22"/>
    <col width="11" customWidth="1" min="23" max="23"/>
    <col width="15" customWidth="1" min="24" max="24"/>
    <col width="13" customWidth="1" min="25" max="25"/>
    <col hidden="1" width="11" customWidth="1" min="26" max="26"/>
    <col hidden="1" width="14" customWidth="1" min="27" max="27"/>
    <col hidden="1" width="11" customWidth="1" min="28" max="28"/>
    <col hidden="1" width="14" customWidth="1" min="29" max="29"/>
    <col hidden="1" width="4" customWidth="1" min="30" max="30"/>
    <col hidden="1" width="4" customWidth="1" min="31" max="31"/>
  </cols>
  <sheetData>
    <row r="1" ht="22" customHeight="1">
      <c r="A1" s="1" t="inlineStr">
        <is>
          <t>זיהוי מוצר</t>
        </is>
      </c>
      <c r="F1" s="2" t="inlineStr">
        <is>
          <t>בד</t>
        </is>
      </c>
      <c r="H1" s="2" t="inlineStr">
        <is>
          <t>הדפסים</t>
        </is>
      </c>
      <c r="J1" s="1" t="inlineStr">
        <is>
          <t>תקינות ומאפיינים</t>
        </is>
      </c>
      <c r="P1" s="2" t="inlineStr">
        <is>
          <t>הערות</t>
        </is>
      </c>
      <c r="T1" s="1" t="inlineStr">
        <is>
          <t>סטטוס</t>
        </is>
      </c>
      <c r="U1" s="1" t="inlineStr">
        <is>
          <t>הערות</t>
        </is>
      </c>
      <c r="V1" s="2" t="inlineStr">
        <is>
          <t>השאלה</t>
        </is>
      </c>
    </row>
    <row r="2" ht="36" customHeight="1">
      <c r="A2" s="3" t="inlineStr">
        <is>
          <t>קו מוצר</t>
        </is>
      </c>
      <c r="B2" s="3" t="inlineStr">
        <is>
          <t>שם מוצר</t>
        </is>
      </c>
      <c r="C2" s="3" t="inlineStr">
        <is>
          <t>גרסה</t>
        </is>
      </c>
      <c r="D2" s="3" t="inlineStr">
        <is>
          <t>מזהה ייחודי</t>
        </is>
      </c>
      <c r="E2" s="3" t="inlineStr">
        <is>
          <t>מק"ט (אוטומטי)</t>
        </is>
      </c>
      <c r="F2" s="3" t="inlineStr">
        <is>
          <t>סוג בד 1</t>
        </is>
      </c>
      <c r="G2" s="3" t="inlineStr">
        <is>
          <t>סוג בד 2</t>
        </is>
      </c>
      <c r="H2" s="3" t="inlineStr">
        <is>
          <t>הדפס צד A'</t>
        </is>
      </c>
      <c r="I2" s="3" t="inlineStr">
        <is>
          <t>הדפס צד ב'</t>
        </is>
      </c>
      <c r="J2" s="3" t="inlineStr">
        <is>
          <t>תקין ויזואלית א'</t>
        </is>
      </c>
      <c r="K2" s="3" t="inlineStr">
        <is>
          <t>תקין ויזואלית ב'</t>
        </is>
      </c>
      <c r="L2" s="3" t="inlineStr">
        <is>
          <t>תקין תרמית צד א'</t>
        </is>
      </c>
      <c r="M2" s="3" t="inlineStr">
        <is>
          <t>תקין תרמית צד ב'</t>
        </is>
      </c>
      <c r="N2" s="3" t="inlineStr">
        <is>
          <t>פיצ'רים תקינים</t>
        </is>
      </c>
      <c r="O2" s="3" t="inlineStr">
        <is>
          <t>גרסה סופית</t>
        </is>
      </c>
      <c r="P2" s="3" t="inlineStr">
        <is>
          <t>הערות גרסה/פיצ'רים</t>
        </is>
      </c>
      <c r="Q2" s="3" t="inlineStr">
        <is>
          <t>גרסה מיוחדת(פיתוח)</t>
        </is>
      </c>
      <c r="R2" s="3" t="inlineStr">
        <is>
          <t>מידה</t>
        </is>
      </c>
      <c r="S2" s="3" t="inlineStr">
        <is>
          <t>פער בתכולה</t>
        </is>
      </c>
      <c r="T2" s="3" t="inlineStr">
        <is>
          <t>סטטוס</t>
        </is>
      </c>
      <c r="U2" s="3" t="inlineStr">
        <is>
          <t>הערות</t>
        </is>
      </c>
      <c r="V2" s="3" t="inlineStr">
        <is>
          <t>מושאל ל</t>
        </is>
      </c>
      <c r="W2" s="3" t="inlineStr">
        <is>
          <t>מדינה</t>
        </is>
      </c>
      <c r="X2" s="3" t="inlineStr">
        <is>
          <t>אחראי מהחברה</t>
        </is>
      </c>
      <c r="Y2" s="3" t="inlineStr">
        <is>
          <t>החזרה משוערת</t>
        </is>
      </c>
      <c r="Z2" s="3" t="inlineStr">
        <is>
          <t>סביבה A'</t>
        </is>
      </c>
      <c r="AA2" s="3" t="inlineStr">
        <is>
          <t>סביבה משנית A'</t>
        </is>
      </c>
      <c r="AB2" s="3" t="inlineStr">
        <is>
          <t>סביבה ב'</t>
        </is>
      </c>
      <c r="AC2" s="3" t="inlineStr">
        <is>
          <t>סביבה משנית ב'</t>
        </is>
      </c>
      <c r="AD2" s="3" t="inlineStr">
        <is>
          <t>מסנן בקרה</t>
        </is>
      </c>
      <c r="AE2" s="3" t="inlineStr">
        <is>
          <t>מסנן טכנו</t>
        </is>
      </c>
    </row>
    <row r="3">
      <c r="E3">
        <f>IFERROR(INDEX('הגדרות'!$I:$I,MATCH(B3,'הגדרות'!$H:$H,0)),"")</f>
        <v/>
      </c>
      <c r="Z3">
        <f>IFERROR(VLOOKUP(H3,'הגדרות'!$A:$D,2,FALSE),"")</f>
        <v/>
      </c>
      <c r="AA3">
        <f>IFERROR(VLOOKUP(H3,'הגדרות'!$A:$D,3,FALSE),"")</f>
        <v/>
      </c>
      <c r="AB3">
        <f>IFERROR(VLOOKUP(I3,'הגדרות'!$A:$D,2,FALSE),"")</f>
        <v/>
      </c>
      <c r="AC3">
        <f>IFERROR(VLOOKUP(I3,'הגדרות'!$A:$D,3,FALSE),"")</f>
        <v/>
      </c>
      <c r="AD3">
        <f>IF(AND(OR('לוח בקרה'!$C$3="הכל",Z3='לוח בקרה'!$C$3,AA3='לוח בקרה'!$C$3,AB3='לוח בקרה'!$C$3,AC3='לוח בקרה'!$C$3),OR('לוח בקרה'!$C$4="הכל",A3='לוח בקרה'!$C$4),OR('לוח בקרה'!$C$5="הכל",T3='לוח בקרה'!$C$5),OR('לוח בקרה'!$C$6="הכל",H3='לוח בקרה'!$C$6,I3='לוח בקרה'!$C$6),OR('לוח בקרה'!$C$7="הכל",J3='לוח בקרה'!$C$7),OR('לוח בקרה'!$C$8="הכל",L3='לוח בקרה'!$C$8),OR('לוח בקרה'!$C$9="הכל",Q3='לוח בקרה'!$C$9),OR('לוח בקרה'!$C$10="הכל",F3='לוח בקרה'!$C$10,G3='לוח בקרה'!$C$10),D3&lt;&gt;""),ROW()-2,"")</f>
        <v/>
      </c>
      <c r="AE3">
        <f>IF(AND(OR('טכנו'!$C$3="הכל",Z3='טכנו'!$C$3,AA3='טכנו'!$C$3,AB3='טכנו'!$C$3,AC3='טכנו'!$C$3),OR('טכנו'!$C$4="הכל",A3='טכנו'!$C$4),D3&lt;&gt;""),ROW()-2,"")</f>
        <v/>
      </c>
    </row>
    <row r="4">
      <c r="E4">
        <f>IFERROR(INDEX('הגדרות'!$I:$I,MATCH(B4,'הגדרות'!$H:$H,0)),"")</f>
        <v/>
      </c>
      <c r="Z4">
        <f>IFERROR(VLOOKUP(H4,'הגדרות'!$A:$D,2,FALSE),"")</f>
        <v/>
      </c>
      <c r="AA4">
        <f>IFERROR(VLOOKUP(H4,'הגדרות'!$A:$D,3,FALSE),"")</f>
        <v/>
      </c>
      <c r="AB4">
        <f>IFERROR(VLOOKUP(I4,'הגדרות'!$A:$D,2,FALSE),"")</f>
        <v/>
      </c>
      <c r="AC4">
        <f>IFERROR(VLOOKUP(I4,'הגדרות'!$A:$D,3,FALSE),"")</f>
        <v/>
      </c>
      <c r="AD4">
        <f>IF(AND(OR('לוח בקרה'!$C$3="הכל",Z4='לוח בקרה'!$C$3,AA4='לוח בקרה'!$C$3,AB4='לוח בקרה'!$C$3,AC4='לוח בקרה'!$C$3),OR('לוח בקרה'!$C$4="הכל",A4='לוח בקרה'!$C$4),OR('לוח בקרה'!$C$5="הכל",T4='לוח בקרה'!$C$5),OR('לוח בקרה'!$C$6="הכל",H4='לוח בקרה'!$C$6,I4='לוח בקרה'!$C$6),OR('לוח בקרה'!$C$7="הכל",J4='לוח בקרה'!$C$7),OR('לוח בקרה'!$C$8="הכל",L4='לוח בקרה'!$C$8),OR('לוח בקרה'!$C$9="הכל",Q4='לוח בקרה'!$C$9),OR('לוח בקרה'!$C$10="הכל",F4='לוח בקרה'!$C$10,G4='לוח בקרה'!$C$10),D4&lt;&gt;""),ROW()-2,"")</f>
        <v/>
      </c>
      <c r="AE4">
        <f>IF(AND(OR('טכנו'!$C$3="הכל",Z4='טכנו'!$C$3,AA4='טכנו'!$C$3,AB4='טכנו'!$C$3,AC4='טכנו'!$C$3),OR('טכנו'!$C$4="הכל",A4='טכנו'!$C$4),D4&lt;&gt;""),ROW()-2,"")</f>
        <v/>
      </c>
    </row>
    <row r="5">
      <c r="E5">
        <f>IFERROR(INDEX('הגדרות'!$I:$I,MATCH(B5,'הגדרות'!$H:$H,0)),"")</f>
        <v/>
      </c>
      <c r="Z5">
        <f>IFERROR(VLOOKUP(H5,'הגדרות'!$A:$D,2,FALSE),"")</f>
        <v/>
      </c>
      <c r="AA5">
        <f>IFERROR(VLOOKUP(H5,'הגדרות'!$A:$D,3,FALSE),"")</f>
        <v/>
      </c>
      <c r="AB5">
        <f>IFERROR(VLOOKUP(I5,'הגדרות'!$A:$D,2,FALSE),"")</f>
        <v/>
      </c>
      <c r="AC5">
        <f>IFERROR(VLOOKUP(I5,'הגדרות'!$A:$D,3,FALSE),"")</f>
        <v/>
      </c>
      <c r="AD5">
        <f>IF(AND(OR('לוח בקרה'!$C$3="הכל",Z5='לוח בקרה'!$C$3,AA5='לוח בקרה'!$C$3,AB5='לוח בקרה'!$C$3,AC5='לוח בקרה'!$C$3),OR('לוח בקרה'!$C$4="הכל",A5='לוח בקרה'!$C$4),OR('לוח בקרה'!$C$5="הכל",T5='לוח בקרה'!$C$5),OR('לוח בקרה'!$C$6="הכל",H5='לוח בקרה'!$C$6,I5='לוח בקרה'!$C$6),OR('לוח בקרה'!$C$7="הכל",J5='לוח בקרה'!$C$7),OR('לוח בקרה'!$C$8="הכל",L5='לוח בקרה'!$C$8),OR('לוח בקרה'!$C$9="הכל",Q5='לוח בקרה'!$C$9),OR('לוח בקרה'!$C$10="הכל",F5='לוח בקרה'!$C$10,G5='לוח בקרה'!$C$10),D5&lt;&gt;""),ROW()-2,"")</f>
        <v/>
      </c>
      <c r="AE5">
        <f>IF(AND(OR('טכנו'!$C$3="הכל",Z5='טכנו'!$C$3,AA5='טכנו'!$C$3,AB5='טכנו'!$C$3,AC5='טכנו'!$C$3),OR('טכנו'!$C$4="הכל",A5='טכנו'!$C$4),D5&lt;&gt;""),ROW()-2,"")</f>
        <v/>
      </c>
    </row>
    <row r="6">
      <c r="E6">
        <f>IFERROR(INDEX('הגדרות'!$I:$I,MATCH(B6,'הגדרות'!$H:$H,0)),"")</f>
        <v/>
      </c>
      <c r="Z6">
        <f>IFERROR(VLOOKUP(H6,'הגדרות'!$A:$D,2,FALSE),"")</f>
        <v/>
      </c>
      <c r="AA6">
        <f>IFERROR(VLOOKUP(H6,'הגדרות'!$A:$D,3,FALSE),"")</f>
        <v/>
      </c>
      <c r="AB6">
        <f>IFERROR(VLOOKUP(I6,'הגדרות'!$A:$D,2,FALSE),"")</f>
        <v/>
      </c>
      <c r="AC6">
        <f>IFERROR(VLOOKUP(I6,'הגדרות'!$A:$D,3,FALSE),"")</f>
        <v/>
      </c>
      <c r="AD6">
        <f>IF(AND(OR('לוח בקרה'!$C$3="הכל",Z6='לוח בקרה'!$C$3,AA6='לוח בקרה'!$C$3,AB6='לוח בקרה'!$C$3,AC6='לוח בקרה'!$C$3),OR('לוח בקרה'!$C$4="הכל",A6='לוח בקרה'!$C$4),OR('לוח בקרה'!$C$5="הכל",T6='לוח בקרה'!$C$5),OR('לוח בקרה'!$C$6="הכל",H6='לוח בקרה'!$C$6,I6='לוח בקרה'!$C$6),OR('לוח בקרה'!$C$7="הכל",J6='לוח בקרה'!$C$7),OR('לוח בקרה'!$C$8="הכל",L6='לוח בקרה'!$C$8),OR('לוח בקרה'!$C$9="הכל",Q6='לוח בקרה'!$C$9),OR('לוח בקרה'!$C$10="הכל",F6='לוח בקרה'!$C$10,G6='לוח בקרה'!$C$10),D6&lt;&gt;""),ROW()-2,"")</f>
        <v/>
      </c>
      <c r="AE6">
        <f>IF(AND(OR('טכנו'!$C$3="הכל",Z6='טכנו'!$C$3,AA6='טכנו'!$C$3,AB6='טכנו'!$C$3,AC6='טכנו'!$C$3),OR('טכנו'!$C$4="הכל",A6='טכנו'!$C$4),D6&lt;&gt;""),ROW()-2,"")</f>
        <v/>
      </c>
    </row>
    <row r="7">
      <c r="E7">
        <f>IFERROR(INDEX('הגדרות'!$I:$I,MATCH(B7,'הגדרות'!$H:$H,0)),"")</f>
        <v/>
      </c>
      <c r="Z7">
        <f>IFERROR(VLOOKUP(H7,'הגדרות'!$A:$D,2,FALSE),"")</f>
        <v/>
      </c>
      <c r="AA7">
        <f>IFERROR(VLOOKUP(H7,'הגדרות'!$A:$D,3,FALSE),"")</f>
        <v/>
      </c>
      <c r="AB7">
        <f>IFERROR(VLOOKUP(I7,'הגדרות'!$A:$D,2,FALSE),"")</f>
        <v/>
      </c>
      <c r="AC7">
        <f>IFERROR(VLOOKUP(I7,'הגדרות'!$A:$D,3,FALSE),"")</f>
        <v/>
      </c>
      <c r="AD7">
        <f>IF(AND(OR('לוח בקרה'!$C$3="הכל",Z7='לוח בקרה'!$C$3,AA7='לוח בקרה'!$C$3,AB7='לוח בקרה'!$C$3,AC7='לוח בקרה'!$C$3),OR('לוח בקרה'!$C$4="הכל",A7='לוח בקרה'!$C$4),OR('לוח בקרה'!$C$5="הכל",T7='לוח בקרה'!$C$5),OR('לוח בקרה'!$C$6="הכל",H7='לוח בקרה'!$C$6,I7='לוח בקרה'!$C$6),OR('לוח בקרה'!$C$7="הכל",J7='לוח בקרה'!$C$7),OR('לוח בקרה'!$C$8="הכל",L7='לוח בקרה'!$C$8),OR('לוח בקרה'!$C$9="הכל",Q7='לוח בקרה'!$C$9),OR('לוח בקרה'!$C$10="הכל",F7='לוח בקרה'!$C$10,G7='לוח בקרה'!$C$10),D7&lt;&gt;""),ROW()-2,"")</f>
        <v/>
      </c>
      <c r="AE7">
        <f>IF(AND(OR('טכנו'!$C$3="הכל",Z7='טכנו'!$C$3,AA7='טכנו'!$C$3,AB7='טכנו'!$C$3,AC7='טכנו'!$C$3),OR('טכנו'!$C$4="הכל",A7='טכנו'!$C$4),D7&lt;&gt;""),ROW()-2,"")</f>
        <v/>
      </c>
    </row>
    <row r="8">
      <c r="E8">
        <f>IFERROR(INDEX('הגדרות'!$I:$I,MATCH(B8,'הגדרות'!$H:$H,0)),"")</f>
        <v/>
      </c>
      <c r="Z8">
        <f>IFERROR(VLOOKUP(H8,'הגדרות'!$A:$D,2,FALSE),"")</f>
        <v/>
      </c>
      <c r="AA8">
        <f>IFERROR(VLOOKUP(H8,'הגדרות'!$A:$D,3,FALSE),"")</f>
        <v/>
      </c>
      <c r="AB8">
        <f>IFERROR(VLOOKUP(I8,'הגדרות'!$A:$D,2,FALSE),"")</f>
        <v/>
      </c>
      <c r="AC8">
        <f>IFERROR(VLOOKUP(I8,'הגדרות'!$A:$D,3,FALSE),"")</f>
        <v/>
      </c>
      <c r="AD8">
        <f>IF(AND(OR('לוח בקרה'!$C$3="הכל",Z8='לוח בקרה'!$C$3,AA8='לוח בקרה'!$C$3,AB8='לוח בקרה'!$C$3,AC8='לוח בקרה'!$C$3),OR('לוח בקרה'!$C$4="הכל",A8='לוח בקרה'!$C$4),OR('לוח בקרה'!$C$5="הכל",T8='לוח בקרה'!$C$5),OR('לוח בקרה'!$C$6="הכל",H8='לוח בקרה'!$C$6,I8='לוח בקרה'!$C$6),OR('לוח בקרה'!$C$7="הכל",J8='לוח בקרה'!$C$7),OR('לוח בקרה'!$C$8="הכל",L8='לוח בקרה'!$C$8),OR('לוח בקרה'!$C$9="הכל",Q8='לוח בקרה'!$C$9),OR('לוח בקרה'!$C$10="הכל",F8='לוח בקרה'!$C$10,G8='לוח בקרה'!$C$10),D8&lt;&gt;""),ROW()-2,"")</f>
        <v/>
      </c>
      <c r="AE8">
        <f>IF(AND(OR('טכנו'!$C$3="הכל",Z8='טכנו'!$C$3,AA8='טכנו'!$C$3,AB8='טכנו'!$C$3,AC8='טכנו'!$C$3),OR('טכנו'!$C$4="הכל",A8='טכנו'!$C$4),D8&lt;&gt;""),ROW()-2,"")</f>
        <v/>
      </c>
    </row>
    <row r="9">
      <c r="E9">
        <f>IFERROR(INDEX('הגדרות'!$I:$I,MATCH(B9,'הגדרות'!$H:$H,0)),"")</f>
        <v/>
      </c>
      <c r="Z9">
        <f>IFERROR(VLOOKUP(H9,'הגדרות'!$A:$D,2,FALSE),"")</f>
        <v/>
      </c>
      <c r="AA9">
        <f>IFERROR(VLOOKUP(H9,'הגדרות'!$A:$D,3,FALSE),"")</f>
        <v/>
      </c>
      <c r="AB9">
        <f>IFERROR(VLOOKUP(I9,'הגדרות'!$A:$D,2,FALSE),"")</f>
        <v/>
      </c>
      <c r="AC9">
        <f>IFERROR(VLOOKUP(I9,'הגדרות'!$A:$D,3,FALSE),"")</f>
        <v/>
      </c>
      <c r="AD9">
        <f>IF(AND(OR('לוח בקרה'!$C$3="הכל",Z9='לוח בקרה'!$C$3,AA9='לוח בקרה'!$C$3,AB9='לוח בקרה'!$C$3,AC9='לוח בקרה'!$C$3),OR('לוח בקרה'!$C$4="הכל",A9='לוח בקרה'!$C$4),OR('לוח בקרה'!$C$5="הכל",T9='לוח בקרה'!$C$5),OR('לוח בקרה'!$C$6="הכל",H9='לוח בקרה'!$C$6,I9='לוח בקרה'!$C$6),OR('לוח בקרה'!$C$7="הכל",J9='לוח בקרה'!$C$7),OR('לוח בקרה'!$C$8="הכל",L9='לוח בקרה'!$C$8),OR('לוח בקרה'!$C$9="הכל",Q9='לוח בקרה'!$C$9),OR('לוח בקרה'!$C$10="הכל",F9='לוח בקרה'!$C$10,G9='לוח בקרה'!$C$10),D9&lt;&gt;""),ROW()-2,"")</f>
        <v/>
      </c>
      <c r="AE9">
        <f>IF(AND(OR('טכנו'!$C$3="הכל",Z9='טכנו'!$C$3,AA9='טכנו'!$C$3,AB9='טכנו'!$C$3,AC9='טכנו'!$C$3),OR('טכנו'!$C$4="הכל",A9='טכנו'!$C$4),D9&lt;&gt;""),ROW()-2,"")</f>
        <v/>
      </c>
    </row>
    <row r="10">
      <c r="E10">
        <f>IFERROR(INDEX('הגדרות'!$I:$I,MATCH(B10,'הגדרות'!$H:$H,0)),"")</f>
        <v/>
      </c>
      <c r="Z10">
        <f>IFERROR(VLOOKUP(H10,'הגדרות'!$A:$D,2,FALSE),"")</f>
        <v/>
      </c>
      <c r="AA10">
        <f>IFERROR(VLOOKUP(H10,'הגדרות'!$A:$D,3,FALSE),"")</f>
        <v/>
      </c>
      <c r="AB10">
        <f>IFERROR(VLOOKUP(I10,'הגדרות'!$A:$D,2,FALSE),"")</f>
        <v/>
      </c>
      <c r="AC10">
        <f>IFERROR(VLOOKUP(I10,'הגדרות'!$A:$D,3,FALSE),"")</f>
        <v/>
      </c>
      <c r="AD10">
        <f>IF(AND(OR('לוח בקרה'!$C$3="הכל",Z10='לוח בקרה'!$C$3,AA10='לוח בקרה'!$C$3,AB10='לוח בקרה'!$C$3,AC10='לוח בקרה'!$C$3),OR('לוח בקרה'!$C$4="הכל",A10='לוח בקרה'!$C$4),OR('לוח בקרה'!$C$5="הכל",T10='לוח בקרה'!$C$5),OR('לוח בקרה'!$C$6="הכל",H10='לוח בקרה'!$C$6,I10='לוח בקרה'!$C$6),OR('לוח בקרה'!$C$7="הכל",J10='לוח בקרה'!$C$7),OR('לוח בקרה'!$C$8="הכל",L10='לוח בקרה'!$C$8),OR('לוח בקרה'!$C$9="הכל",Q10='לוח בקרה'!$C$9),OR('לוח בקרה'!$C$10="הכל",F10='לוח בקרה'!$C$10,G10='לוח בקרה'!$C$10),D10&lt;&gt;""),ROW()-2,"")</f>
        <v/>
      </c>
      <c r="AE10">
        <f>IF(AND(OR('טכנו'!$C$3="הכל",Z10='טכנו'!$C$3,AA10='טכנו'!$C$3,AB10='טכנו'!$C$3,AC10='טכנו'!$C$3),OR('טכנו'!$C$4="הכל",A10='טכנו'!$C$4),D10&lt;&gt;""),ROW()-2,"")</f>
        <v/>
      </c>
    </row>
    <row r="11">
      <c r="E11">
        <f>IFERROR(INDEX('הגדרות'!$I:$I,MATCH(B11,'הגדרות'!$H:$H,0)),"")</f>
        <v/>
      </c>
      <c r="Z11">
        <f>IFERROR(VLOOKUP(H11,'הגדרות'!$A:$D,2,FALSE),"")</f>
        <v/>
      </c>
      <c r="AA11">
        <f>IFERROR(VLOOKUP(H11,'הגדרות'!$A:$D,3,FALSE),"")</f>
        <v/>
      </c>
      <c r="AB11">
        <f>IFERROR(VLOOKUP(I11,'הגדרות'!$A:$D,2,FALSE),"")</f>
        <v/>
      </c>
      <c r="AC11">
        <f>IFERROR(VLOOKUP(I11,'הגדרות'!$A:$D,3,FALSE),"")</f>
        <v/>
      </c>
      <c r="AD11">
        <f>IF(AND(OR('לוח בקרה'!$C$3="הכל",Z11='לוח בקרה'!$C$3,AA11='לוח בקרה'!$C$3,AB11='לוח בקרה'!$C$3,AC11='לוח בקרה'!$C$3),OR('לוח בקרה'!$C$4="הכל",A11='לוח בקרה'!$C$4),OR('לוח בקרה'!$C$5="הכל",T11='לוח בקרה'!$C$5),OR('לוח בקרה'!$C$6="הכל",H11='לוח בקרה'!$C$6,I11='לוח בקרה'!$C$6),OR('לוח בקרה'!$C$7="הכל",J11='לוח בקרה'!$C$7),OR('לוח בקרה'!$C$8="הכל",L11='לוח בקרה'!$C$8),OR('לוח בקרה'!$C$9="הכל",Q11='לוח בקרה'!$C$9),OR('לוח בקרה'!$C$10="הכל",F11='לוח בקרה'!$C$10,G11='לוח בקרה'!$C$10),D11&lt;&gt;""),ROW()-2,"")</f>
        <v/>
      </c>
      <c r="AE11">
        <f>IF(AND(OR('טכנו'!$C$3="הכל",Z11='טכנו'!$C$3,AA11='טכנו'!$C$3,AB11='טכנו'!$C$3,AC11='טכנו'!$C$3),OR('טכנו'!$C$4="הכל",A11='טכנו'!$C$4),D11&lt;&gt;""),ROW()-2,"")</f>
        <v/>
      </c>
    </row>
    <row r="12">
      <c r="E12">
        <f>IFERROR(INDEX('הגדרות'!$I:$I,MATCH(B12,'הגדרות'!$H:$H,0)),"")</f>
        <v/>
      </c>
      <c r="Z12">
        <f>IFERROR(VLOOKUP(H12,'הגדרות'!$A:$D,2,FALSE),"")</f>
        <v/>
      </c>
      <c r="AA12">
        <f>IFERROR(VLOOKUP(H12,'הגדרות'!$A:$D,3,FALSE),"")</f>
        <v/>
      </c>
      <c r="AB12">
        <f>IFERROR(VLOOKUP(I12,'הגדרות'!$A:$D,2,FALSE),"")</f>
        <v/>
      </c>
      <c r="AC12">
        <f>IFERROR(VLOOKUP(I12,'הגדרות'!$A:$D,3,FALSE),"")</f>
        <v/>
      </c>
      <c r="AD12">
        <f>IF(AND(OR('לוח בקרה'!$C$3="הכל",Z12='לוח בקרה'!$C$3,AA12='לוח בקרה'!$C$3,AB12='לוח בקרה'!$C$3,AC12='לוח בקרה'!$C$3),OR('לוח בקרה'!$C$4="הכל",A12='לוח בקרה'!$C$4),OR('לוח בקרה'!$C$5="הכל",T12='לוח בקרה'!$C$5),OR('לוח בקרה'!$C$6="הכל",H12='לוח בקרה'!$C$6,I12='לוח בקרה'!$C$6),OR('לוח בקרה'!$C$7="הכל",J12='לוח בקרה'!$C$7),OR('לוח בקרה'!$C$8="הכל",L12='לוח בקרה'!$C$8),OR('לוח בקרה'!$C$9="הכל",Q12='לוח בקרה'!$C$9),OR('לוח בקרה'!$C$10="הכל",F12='לוח בקרה'!$C$10,G12='לוח בקרה'!$C$10),D12&lt;&gt;""),ROW()-2,"")</f>
        <v/>
      </c>
      <c r="AE12">
        <f>IF(AND(OR('טכנו'!$C$3="הכל",Z12='טכנו'!$C$3,AA12='טכנו'!$C$3,AB12='טכנו'!$C$3,AC12='טכנו'!$C$3),OR('טכנו'!$C$4="הכל",A12='טכנו'!$C$4),D12&lt;&gt;""),ROW()-2,"")</f>
        <v/>
      </c>
    </row>
    <row r="13">
      <c r="E13">
        <f>IFERROR(INDEX('הגדרות'!$I:$I,MATCH(B13,'הגדרות'!$H:$H,0)),"")</f>
        <v/>
      </c>
      <c r="Z13">
        <f>IFERROR(VLOOKUP(H13,'הגדרות'!$A:$D,2,FALSE),"")</f>
        <v/>
      </c>
      <c r="AA13">
        <f>IFERROR(VLOOKUP(H13,'הגדרות'!$A:$D,3,FALSE),"")</f>
        <v/>
      </c>
      <c r="AB13">
        <f>IFERROR(VLOOKUP(I13,'הגדרות'!$A:$D,2,FALSE),"")</f>
        <v/>
      </c>
      <c r="AC13">
        <f>IFERROR(VLOOKUP(I13,'הגדרות'!$A:$D,3,FALSE),"")</f>
        <v/>
      </c>
      <c r="AD13">
        <f>IF(AND(OR('לוח בקרה'!$C$3="הכל",Z13='לוח בקרה'!$C$3,AA13='לוח בקרה'!$C$3,AB13='לוח בקרה'!$C$3,AC13='לוח בקרה'!$C$3),OR('לוח בקרה'!$C$4="הכל",A13='לוח בקרה'!$C$4),OR('לוח בקרה'!$C$5="הכל",T13='לוח בקרה'!$C$5),OR('לוח בקרה'!$C$6="הכל",H13='לוח בקרה'!$C$6,I13='לוח בקרה'!$C$6),OR('לוח בקרה'!$C$7="הכל",J13='לוח בקרה'!$C$7),OR('לוח בקרה'!$C$8="הכל",L13='לוח בקרה'!$C$8),OR('לוח בקרה'!$C$9="הכל",Q13='לוח בקרה'!$C$9),OR('לוח בקרה'!$C$10="הכל",F13='לוח בקרה'!$C$10,G13='לוח בקרה'!$C$10),D13&lt;&gt;""),ROW()-2,"")</f>
        <v/>
      </c>
      <c r="AE13">
        <f>IF(AND(OR('טכנו'!$C$3="הכל",Z13='טכנו'!$C$3,AA13='טכנו'!$C$3,AB13='טכנו'!$C$3,AC13='טכנו'!$C$3),OR('טכנו'!$C$4="הכל",A13='טכנו'!$C$4),D13&lt;&gt;""),ROW()-2,"")</f>
        <v/>
      </c>
    </row>
    <row r="14">
      <c r="E14">
        <f>IFERROR(INDEX('הגדרות'!$I:$I,MATCH(B14,'הגדרות'!$H:$H,0)),"")</f>
        <v/>
      </c>
      <c r="Z14">
        <f>IFERROR(VLOOKUP(H14,'הגדרות'!$A:$D,2,FALSE),"")</f>
        <v/>
      </c>
      <c r="AA14">
        <f>IFERROR(VLOOKUP(H14,'הגדרות'!$A:$D,3,FALSE),"")</f>
        <v/>
      </c>
      <c r="AB14">
        <f>IFERROR(VLOOKUP(I14,'הגדרות'!$A:$D,2,FALSE),"")</f>
        <v/>
      </c>
      <c r="AC14">
        <f>IFERROR(VLOOKUP(I14,'הגדרות'!$A:$D,3,FALSE),"")</f>
        <v/>
      </c>
      <c r="AD14">
        <f>IF(AND(OR('לוח בקרה'!$C$3="הכל",Z14='לוח בקרה'!$C$3,AA14='לוח בקרה'!$C$3,AB14='לוח בקרה'!$C$3,AC14='לוח בקרה'!$C$3),OR('לוח בקרה'!$C$4="הכל",A14='לוח בקרה'!$C$4),OR('לוח בקרה'!$C$5="הכל",T14='לוח בקרה'!$C$5),OR('לוח בקרה'!$C$6="הכל",H14='לוח בקרה'!$C$6,I14='לוח בקרה'!$C$6),OR('לוח בקרה'!$C$7="הכל",J14='לוח בקרה'!$C$7),OR('לוח בקרה'!$C$8="הכל",L14='לוח בקרה'!$C$8),OR('לוח בקרה'!$C$9="הכל",Q14='לוח בקרה'!$C$9),OR('לוח בקרה'!$C$10="הכל",F14='לוח בקרה'!$C$10,G14='לוח בקרה'!$C$10),D14&lt;&gt;""),ROW()-2,"")</f>
        <v/>
      </c>
      <c r="AE14">
        <f>IF(AND(OR('טכנו'!$C$3="הכל",Z14='טכנו'!$C$3,AA14='טכנו'!$C$3,AB14='טכנו'!$C$3,AC14='טכנו'!$C$3),OR('טכנו'!$C$4="הכל",A14='טכנו'!$C$4),D14&lt;&gt;""),ROW()-2,"")</f>
        <v/>
      </c>
    </row>
    <row r="15">
      <c r="E15">
        <f>IFERROR(INDEX('הגדרות'!$I:$I,MATCH(B15,'הגדרות'!$H:$H,0)),"")</f>
        <v/>
      </c>
      <c r="Z15">
        <f>IFERROR(VLOOKUP(H15,'הגדרות'!$A:$D,2,FALSE),"")</f>
        <v/>
      </c>
      <c r="AA15">
        <f>IFERROR(VLOOKUP(H15,'הגדרות'!$A:$D,3,FALSE),"")</f>
        <v/>
      </c>
      <c r="AB15">
        <f>IFERROR(VLOOKUP(I15,'הגדרות'!$A:$D,2,FALSE),"")</f>
        <v/>
      </c>
      <c r="AC15">
        <f>IFERROR(VLOOKUP(I15,'הגדרות'!$A:$D,3,FALSE),"")</f>
        <v/>
      </c>
      <c r="AD15">
        <f>IF(AND(OR('לוח בקרה'!$C$3="הכל",Z15='לוח בקרה'!$C$3,AA15='לוח בקרה'!$C$3,AB15='לוח בקרה'!$C$3,AC15='לוח בקרה'!$C$3),OR('לוח בקרה'!$C$4="הכל",A15='לוח בקרה'!$C$4),OR('לוח בקרה'!$C$5="הכל",T15='לוח בקרה'!$C$5),OR('לוח בקרה'!$C$6="הכל",H15='לוח בקרה'!$C$6,I15='לוח בקרה'!$C$6),OR('לוח בקרה'!$C$7="הכל",J15='לוח בקרה'!$C$7),OR('לוח בקרה'!$C$8="הכל",L15='לוח בקרה'!$C$8),OR('לוח בקרה'!$C$9="הכל",Q15='לוח בקרה'!$C$9),OR('לוח בקרה'!$C$10="הכל",F15='לוח בקרה'!$C$10,G15='לוח בקרה'!$C$10),D15&lt;&gt;""),ROW()-2,"")</f>
        <v/>
      </c>
      <c r="AE15">
        <f>IF(AND(OR('טכנו'!$C$3="הכל",Z15='טכנו'!$C$3,AA15='טכנו'!$C$3,AB15='טכנו'!$C$3,AC15='טכנו'!$C$3),OR('טכנו'!$C$4="הכל",A15='טכנו'!$C$4),D15&lt;&gt;""),ROW()-2,"")</f>
        <v/>
      </c>
    </row>
    <row r="16">
      <c r="E16">
        <f>IFERROR(INDEX('הגדרות'!$I:$I,MATCH(B16,'הגדרות'!$H:$H,0)),"")</f>
        <v/>
      </c>
      <c r="Z16">
        <f>IFERROR(VLOOKUP(H16,'הגדרות'!$A:$D,2,FALSE),"")</f>
        <v/>
      </c>
      <c r="AA16">
        <f>IFERROR(VLOOKUP(H16,'הגדרות'!$A:$D,3,FALSE),"")</f>
        <v/>
      </c>
      <c r="AB16">
        <f>IFERROR(VLOOKUP(I16,'הגדרות'!$A:$D,2,FALSE),"")</f>
        <v/>
      </c>
      <c r="AC16">
        <f>IFERROR(VLOOKUP(I16,'הגדרות'!$A:$D,3,FALSE),"")</f>
        <v/>
      </c>
      <c r="AD16">
        <f>IF(AND(OR('לוח בקרה'!$C$3="הכל",Z16='לוח בקרה'!$C$3,AA16='לוח בקרה'!$C$3,AB16='לוח בקרה'!$C$3,AC16='לוח בקרה'!$C$3),OR('לוח בקרה'!$C$4="הכל",A16='לוח בקרה'!$C$4),OR('לוח בקרה'!$C$5="הכל",T16='לוח בקרה'!$C$5),OR('לוח בקרה'!$C$6="הכל",H16='לוח בקרה'!$C$6,I16='לוח בקרה'!$C$6),OR('לוח בקרה'!$C$7="הכל",J16='לוח בקרה'!$C$7),OR('לוח בקרה'!$C$8="הכל",L16='לוח בקרה'!$C$8),OR('לוח בקרה'!$C$9="הכל",Q16='לוח בקרה'!$C$9),OR('לוח בקרה'!$C$10="הכל",F16='לוח בקרה'!$C$10,G16='לוח בקרה'!$C$10),D16&lt;&gt;""),ROW()-2,"")</f>
        <v/>
      </c>
      <c r="AE16">
        <f>IF(AND(OR('טכנו'!$C$3="הכל",Z16='טכנו'!$C$3,AA16='טכנו'!$C$3,AB16='טכנו'!$C$3,AC16='טכנו'!$C$3),OR('טכנו'!$C$4="הכל",A16='טכנו'!$C$4),D16&lt;&gt;""),ROW()-2,"")</f>
        <v/>
      </c>
    </row>
    <row r="17">
      <c r="E17">
        <f>IFERROR(INDEX('הגדרות'!$I:$I,MATCH(B17,'הגדרות'!$H:$H,0)),"")</f>
        <v/>
      </c>
      <c r="Z17">
        <f>IFERROR(VLOOKUP(H17,'הגדרות'!$A:$D,2,FALSE),"")</f>
        <v/>
      </c>
      <c r="AA17">
        <f>IFERROR(VLOOKUP(H17,'הגדרות'!$A:$D,3,FALSE),"")</f>
        <v/>
      </c>
      <c r="AB17">
        <f>IFERROR(VLOOKUP(I17,'הגדרות'!$A:$D,2,FALSE),"")</f>
        <v/>
      </c>
      <c r="AC17">
        <f>IFERROR(VLOOKUP(I17,'הגדרות'!$A:$D,3,FALSE),"")</f>
        <v/>
      </c>
      <c r="AD17">
        <f>IF(AND(OR('לוח בקרה'!$C$3="הכל",Z17='לוח בקרה'!$C$3,AA17='לוח בקרה'!$C$3,AB17='לוח בקרה'!$C$3,AC17='לוח בקרה'!$C$3),OR('לוח בקרה'!$C$4="הכל",A17='לוח בקרה'!$C$4),OR('לוח בקרה'!$C$5="הכל",T17='לוח בקרה'!$C$5),OR('לוח בקרה'!$C$6="הכל",H17='לוח בקרה'!$C$6,I17='לוח בקרה'!$C$6),OR('לוח בקרה'!$C$7="הכל",J17='לוח בקרה'!$C$7),OR('לוח בקרה'!$C$8="הכל",L17='לוח בקרה'!$C$8),OR('לוח בקרה'!$C$9="הכל",Q17='לוח בקרה'!$C$9),OR('לוח בקרה'!$C$10="הכל",F17='לוח בקרה'!$C$10,G17='לוח בקרה'!$C$10),D17&lt;&gt;""),ROW()-2,"")</f>
        <v/>
      </c>
      <c r="AE17">
        <f>IF(AND(OR('טכנו'!$C$3="הכל",Z17='טכנו'!$C$3,AA17='טכנו'!$C$3,AB17='טכנו'!$C$3,AC17='טכנו'!$C$3),OR('טכנו'!$C$4="הכל",A17='טכנו'!$C$4),D17&lt;&gt;""),ROW()-2,"")</f>
        <v/>
      </c>
    </row>
    <row r="18">
      <c r="E18">
        <f>IFERROR(INDEX('הגדרות'!$I:$I,MATCH(B18,'הגדרות'!$H:$H,0)),"")</f>
        <v/>
      </c>
      <c r="Z18">
        <f>IFERROR(VLOOKUP(H18,'הגדרות'!$A:$D,2,FALSE),"")</f>
        <v/>
      </c>
      <c r="AA18">
        <f>IFERROR(VLOOKUP(H18,'הגדרות'!$A:$D,3,FALSE),"")</f>
        <v/>
      </c>
      <c r="AB18">
        <f>IFERROR(VLOOKUP(I18,'הגדרות'!$A:$D,2,FALSE),"")</f>
        <v/>
      </c>
      <c r="AC18">
        <f>IFERROR(VLOOKUP(I18,'הגדרות'!$A:$D,3,FALSE),"")</f>
        <v/>
      </c>
      <c r="AD18">
        <f>IF(AND(OR('לוח בקרה'!$C$3="הכל",Z18='לוח בקרה'!$C$3,AA18='לוח בקרה'!$C$3,AB18='לוח בקרה'!$C$3,AC18='לוח בקרה'!$C$3),OR('לוח בקרה'!$C$4="הכל",A18='לוח בקרה'!$C$4),OR('לוח בקרה'!$C$5="הכל",T18='לוח בקרה'!$C$5),OR('לוח בקרה'!$C$6="הכל",H18='לוח בקרה'!$C$6,I18='לוח בקרה'!$C$6),OR('לוח בקרה'!$C$7="הכל",J18='לוח בקרה'!$C$7),OR('לוח בקרה'!$C$8="הכל",L18='לוח בקרה'!$C$8),OR('לוח בקרה'!$C$9="הכל",Q18='לוח בקרה'!$C$9),OR('לוח בקרה'!$C$10="הכל",F18='לוח בקרה'!$C$10,G18='לוח בקרה'!$C$10),D18&lt;&gt;""),ROW()-2,"")</f>
        <v/>
      </c>
      <c r="AE18">
        <f>IF(AND(OR('טכנו'!$C$3="הכל",Z18='טכנו'!$C$3,AA18='טכנו'!$C$3,AB18='טכנו'!$C$3,AC18='טכנו'!$C$3),OR('טכנו'!$C$4="הכל",A18='טכנו'!$C$4),D18&lt;&gt;""),ROW()-2,"")</f>
        <v/>
      </c>
    </row>
    <row r="19">
      <c r="E19">
        <f>IFERROR(INDEX('הגדרות'!$I:$I,MATCH(B19,'הגדרות'!$H:$H,0)),"")</f>
        <v/>
      </c>
      <c r="Z19">
        <f>IFERROR(VLOOKUP(H19,'הגדרות'!$A:$D,2,FALSE),"")</f>
        <v/>
      </c>
      <c r="AA19">
        <f>IFERROR(VLOOKUP(H19,'הגדרות'!$A:$D,3,FALSE),"")</f>
        <v/>
      </c>
      <c r="AB19">
        <f>IFERROR(VLOOKUP(I19,'הגדרות'!$A:$D,2,FALSE),"")</f>
        <v/>
      </c>
      <c r="AC19">
        <f>IFERROR(VLOOKUP(I19,'הגדרות'!$A:$D,3,FALSE),"")</f>
        <v/>
      </c>
      <c r="AD19">
        <f>IF(AND(OR('לוח בקרה'!$C$3="הכל",Z19='לוח בקרה'!$C$3,AA19='לוח בקרה'!$C$3,AB19='לוח בקרה'!$C$3,AC19='לוח בקרה'!$C$3),OR('לוח בקרה'!$C$4="הכל",A19='לוח בקרה'!$C$4),OR('לוח בקרה'!$C$5="הכל",T19='לוח בקרה'!$C$5),OR('לוח בקרה'!$C$6="הכל",H19='לוח בקרה'!$C$6,I19='לוח בקרה'!$C$6),OR('לוח בקרה'!$C$7="הכל",J19='לוח בקרה'!$C$7),OR('לוח בקרה'!$C$8="הכל",L19='לוח בקרה'!$C$8),OR('לוח בקרה'!$C$9="הכל",Q19='לוח בקרה'!$C$9),OR('לוח בקרה'!$C$10="הכל",F19='לוח בקרה'!$C$10,G19='לוח בקרה'!$C$10),D19&lt;&gt;""),ROW()-2,"")</f>
        <v/>
      </c>
      <c r="AE19">
        <f>IF(AND(OR('טכנו'!$C$3="הכל",Z19='טכנו'!$C$3,AA19='טכנו'!$C$3,AB19='טכנו'!$C$3,AC19='טכנו'!$C$3),OR('טכנו'!$C$4="הכל",A19='טכנו'!$C$4),D19&lt;&gt;""),ROW()-2,"")</f>
        <v/>
      </c>
    </row>
    <row r="20">
      <c r="E20">
        <f>IFERROR(INDEX('הגדרות'!$I:$I,MATCH(B20,'הגדרות'!$H:$H,0)),"")</f>
        <v/>
      </c>
      <c r="Z20">
        <f>IFERROR(VLOOKUP(H20,'הגדרות'!$A:$D,2,FALSE),"")</f>
        <v/>
      </c>
      <c r="AA20">
        <f>IFERROR(VLOOKUP(H20,'הגדרות'!$A:$D,3,FALSE),"")</f>
        <v/>
      </c>
      <c r="AB20">
        <f>IFERROR(VLOOKUP(I20,'הגדרות'!$A:$D,2,FALSE),"")</f>
        <v/>
      </c>
      <c r="AC20">
        <f>IFERROR(VLOOKUP(I20,'הגדרות'!$A:$D,3,FALSE),"")</f>
        <v/>
      </c>
      <c r="AD20">
        <f>IF(AND(OR('לוח בקרה'!$C$3="הכל",Z20='לוח בקרה'!$C$3,AA20='לוח בקרה'!$C$3,AB20='לוח בקרה'!$C$3,AC20='לוח בקרה'!$C$3),OR('לוח בקרה'!$C$4="הכל",A20='לוח בקרה'!$C$4),OR('לוח בקרה'!$C$5="הכל",T20='לוח בקרה'!$C$5),OR('לוח בקרה'!$C$6="הכל",H20='לוח בקרה'!$C$6,I20='לוח בקרה'!$C$6),OR('לוח בקרה'!$C$7="הכל",J20='לוח בקרה'!$C$7),OR('לוח בקרה'!$C$8="הכל",L20='לוח בקרה'!$C$8),OR('לוח בקרה'!$C$9="הכל",Q20='לוח בקרה'!$C$9),OR('לוח בקרה'!$C$10="הכל",F20='לוח בקרה'!$C$10,G20='לוח בקרה'!$C$10),D20&lt;&gt;""),ROW()-2,"")</f>
        <v/>
      </c>
      <c r="AE20">
        <f>IF(AND(OR('טכנו'!$C$3="הכל",Z20='טכנו'!$C$3,AA20='טכנו'!$C$3,AB20='טכנו'!$C$3,AC20='טכנו'!$C$3),OR('טכנו'!$C$4="הכל",A20='טכנו'!$C$4),D20&lt;&gt;""),ROW()-2,"")</f>
        <v/>
      </c>
    </row>
    <row r="21">
      <c r="E21">
        <f>IFERROR(INDEX('הגדרות'!$I:$I,MATCH(B21,'הגדרות'!$H:$H,0)),"")</f>
        <v/>
      </c>
      <c r="Z21">
        <f>IFERROR(VLOOKUP(H21,'הגדרות'!$A:$D,2,FALSE),"")</f>
        <v/>
      </c>
      <c r="AA21">
        <f>IFERROR(VLOOKUP(H21,'הגדרות'!$A:$D,3,FALSE),"")</f>
        <v/>
      </c>
      <c r="AB21">
        <f>IFERROR(VLOOKUP(I21,'הגדרות'!$A:$D,2,FALSE),"")</f>
        <v/>
      </c>
      <c r="AC21">
        <f>IFERROR(VLOOKUP(I21,'הגדרות'!$A:$D,3,FALSE),"")</f>
        <v/>
      </c>
      <c r="AD21">
        <f>IF(AND(OR('לוח בקרה'!$C$3="הכל",Z21='לוח בקרה'!$C$3,AA21='לוח בקרה'!$C$3,AB21='לוח בקרה'!$C$3,AC21='לוח בקרה'!$C$3),OR('לוח בקרה'!$C$4="הכל",A21='לוח בקרה'!$C$4),OR('לוח בקרה'!$C$5="הכל",T21='לוח בקרה'!$C$5),OR('לוח בקרה'!$C$6="הכל",H21='לוח בקרה'!$C$6,I21='לוח בקרה'!$C$6),OR('לוח בקרה'!$C$7="הכל",J21='לוח בקרה'!$C$7),OR('לוח בקרה'!$C$8="הכל",L21='לוח בקרה'!$C$8),OR('לוח בקרה'!$C$9="הכל",Q21='לוח בקרה'!$C$9),OR('לוח בקרה'!$C$10="הכל",F21='לוח בקרה'!$C$10,G21='לוח בקרה'!$C$10),D21&lt;&gt;""),ROW()-2,"")</f>
        <v/>
      </c>
      <c r="AE21">
        <f>IF(AND(OR('טכנו'!$C$3="הכל",Z21='טכנו'!$C$3,AA21='טכנו'!$C$3,AB21='טכנו'!$C$3,AC21='טכנו'!$C$3),OR('טכנו'!$C$4="הכל",A21='טכנו'!$C$4),D21&lt;&gt;""),ROW()-2,"")</f>
        <v/>
      </c>
    </row>
    <row r="22">
      <c r="E22">
        <f>IFERROR(INDEX('הגדרות'!$I:$I,MATCH(B22,'הגדרות'!$H:$H,0)),"")</f>
        <v/>
      </c>
      <c r="Z22">
        <f>IFERROR(VLOOKUP(H22,'הגדרות'!$A:$D,2,FALSE),"")</f>
        <v/>
      </c>
      <c r="AA22">
        <f>IFERROR(VLOOKUP(H22,'הגדרות'!$A:$D,3,FALSE),"")</f>
        <v/>
      </c>
      <c r="AB22">
        <f>IFERROR(VLOOKUP(I22,'הגדרות'!$A:$D,2,FALSE),"")</f>
        <v/>
      </c>
      <c r="AC22">
        <f>IFERROR(VLOOKUP(I22,'הגדרות'!$A:$D,3,FALSE),"")</f>
        <v/>
      </c>
      <c r="AD22">
        <f>IF(AND(OR('לוח בקרה'!$C$3="הכל",Z22='לוח בקרה'!$C$3,AA22='לוח בקרה'!$C$3,AB22='לוח בקרה'!$C$3,AC22='לוח בקרה'!$C$3),OR('לוח בקרה'!$C$4="הכל",A22='לוח בקרה'!$C$4),OR('לוח בקרה'!$C$5="הכל",T22='לוח בקרה'!$C$5),OR('לוח בקרה'!$C$6="הכל",H22='לוח בקרה'!$C$6,I22='לוח בקרה'!$C$6),OR('לוח בקרה'!$C$7="הכל",J22='לוח בקרה'!$C$7),OR('לוח בקרה'!$C$8="הכל",L22='לוח בקרה'!$C$8),OR('לוח בקרה'!$C$9="הכל",Q22='לוח בקרה'!$C$9),OR('לוח בקרה'!$C$10="הכל",F22='לוח בקרה'!$C$10,G22='לוח בקרה'!$C$10),D22&lt;&gt;""),ROW()-2,"")</f>
        <v/>
      </c>
      <c r="AE22">
        <f>IF(AND(OR('טכנו'!$C$3="הכל",Z22='טכנו'!$C$3,AA22='טכנו'!$C$3,AB22='טכנו'!$C$3,AC22='טכנו'!$C$3),OR('טכנו'!$C$4="הכל",A22='טכנו'!$C$4),D22&lt;&gt;""),ROW()-2,"")</f>
        <v/>
      </c>
    </row>
    <row r="23">
      <c r="E23">
        <f>IFERROR(INDEX('הגדרות'!$I:$I,MATCH(B23,'הגדרות'!$H:$H,0)),"")</f>
        <v/>
      </c>
      <c r="Z23">
        <f>IFERROR(VLOOKUP(H23,'הגדרות'!$A:$D,2,FALSE),"")</f>
        <v/>
      </c>
      <c r="AA23">
        <f>IFERROR(VLOOKUP(H23,'הגדרות'!$A:$D,3,FALSE),"")</f>
        <v/>
      </c>
      <c r="AB23">
        <f>IFERROR(VLOOKUP(I23,'הגדרות'!$A:$D,2,FALSE),"")</f>
        <v/>
      </c>
      <c r="AC23">
        <f>IFERROR(VLOOKUP(I23,'הגדרות'!$A:$D,3,FALSE),"")</f>
        <v/>
      </c>
      <c r="AD23">
        <f>IF(AND(OR('לוח בקרה'!$C$3="הכל",Z23='לוח בקרה'!$C$3,AA23='לוח בקרה'!$C$3,AB23='לוח בקרה'!$C$3,AC23='לוח בקרה'!$C$3),OR('לוח בקרה'!$C$4="הכל",A23='לוח בקרה'!$C$4),OR('לוח בקרה'!$C$5="הכל",T23='לוח בקרה'!$C$5),OR('לוח בקרה'!$C$6="הכל",H23='לוח בקרה'!$C$6,I23='לוח בקרה'!$C$6),OR('לוח בקרה'!$C$7="הכל",J23='לוח בקרה'!$C$7),OR('לוח בקרה'!$C$8="הכל",L23='לוח בקרה'!$C$8),OR('לוח בקרה'!$C$9="הכל",Q23='לוח בקרה'!$C$9),OR('לוח בקרה'!$C$10="הכל",F23='לוח בקרה'!$C$10,G23='לוח בקרה'!$C$10),D23&lt;&gt;""),ROW()-2,"")</f>
        <v/>
      </c>
      <c r="AE23">
        <f>IF(AND(OR('טכנו'!$C$3="הכל",Z23='טכנו'!$C$3,AA23='טכנו'!$C$3,AB23='טכנו'!$C$3,AC23='טכנו'!$C$3),OR('טכנו'!$C$4="הכל",A23='טכנו'!$C$4),D23&lt;&gt;""),ROW()-2,"")</f>
        <v/>
      </c>
    </row>
    <row r="24">
      <c r="E24">
        <f>IFERROR(INDEX('הגדרות'!$I:$I,MATCH(B24,'הגדרות'!$H:$H,0)),"")</f>
        <v/>
      </c>
      <c r="Z24">
        <f>IFERROR(VLOOKUP(H24,'הגדרות'!$A:$D,2,FALSE),"")</f>
        <v/>
      </c>
      <c r="AA24">
        <f>IFERROR(VLOOKUP(H24,'הגדרות'!$A:$D,3,FALSE),"")</f>
        <v/>
      </c>
      <c r="AB24">
        <f>IFERROR(VLOOKUP(I24,'הגדרות'!$A:$D,2,FALSE),"")</f>
        <v/>
      </c>
      <c r="AC24">
        <f>IFERROR(VLOOKUP(I24,'הגדרות'!$A:$D,3,FALSE),"")</f>
        <v/>
      </c>
      <c r="AD24">
        <f>IF(AND(OR('לוח בקרה'!$C$3="הכל",Z24='לוח בקרה'!$C$3,AA24='לוח בקרה'!$C$3,AB24='לוח בקרה'!$C$3,AC24='לוח בקרה'!$C$3),OR('לוח בקרה'!$C$4="הכל",A24='לוח בקרה'!$C$4),OR('לוח בקרה'!$C$5="הכל",T24='לוח בקרה'!$C$5),OR('לוח בקרה'!$C$6="הכל",H24='לוח בקרה'!$C$6,I24='לוח בקרה'!$C$6),OR('לוח בקרה'!$C$7="הכל",J24='לוח בקרה'!$C$7),OR('לוח בקרה'!$C$8="הכל",L24='לוח בקרה'!$C$8),OR('לוח בקרה'!$C$9="הכל",Q24='לוח בקרה'!$C$9),OR('לוח בקרה'!$C$10="הכל",F24='לוח בקרה'!$C$10,G24='לוח בקרה'!$C$10),D24&lt;&gt;""),ROW()-2,"")</f>
        <v/>
      </c>
      <c r="AE24">
        <f>IF(AND(OR('טכנו'!$C$3="הכל",Z24='טכנו'!$C$3,AA24='טכנו'!$C$3,AB24='טכנו'!$C$3,AC24='טכנו'!$C$3),OR('טכנו'!$C$4="הכל",A24='טכנו'!$C$4),D24&lt;&gt;""),ROW()-2,"")</f>
        <v/>
      </c>
    </row>
    <row r="25">
      <c r="E25">
        <f>IFERROR(INDEX('הגדרות'!$I:$I,MATCH(B25,'הגדרות'!$H:$H,0)),"")</f>
        <v/>
      </c>
      <c r="Z25">
        <f>IFERROR(VLOOKUP(H25,'הגדרות'!$A:$D,2,FALSE),"")</f>
        <v/>
      </c>
      <c r="AA25">
        <f>IFERROR(VLOOKUP(H25,'הגדרות'!$A:$D,3,FALSE),"")</f>
        <v/>
      </c>
      <c r="AB25">
        <f>IFERROR(VLOOKUP(I25,'הגדרות'!$A:$D,2,FALSE),"")</f>
        <v/>
      </c>
      <c r="AC25">
        <f>IFERROR(VLOOKUP(I25,'הגדרות'!$A:$D,3,FALSE),"")</f>
        <v/>
      </c>
      <c r="AD25">
        <f>IF(AND(OR('לוח בקרה'!$C$3="הכל",Z25='לוח בקרה'!$C$3,AA25='לוח בקרה'!$C$3,AB25='לוח בקרה'!$C$3,AC25='לוח בקרה'!$C$3),OR('לוח בקרה'!$C$4="הכל",A25='לוח בקרה'!$C$4),OR('לוח בקרה'!$C$5="הכל",T25='לוח בקרה'!$C$5),OR('לוח בקרה'!$C$6="הכל",H25='לוח בקרה'!$C$6,I25='לוח בקרה'!$C$6),OR('לוח בקרה'!$C$7="הכל",J25='לוח בקרה'!$C$7),OR('לוח בקרה'!$C$8="הכל",L25='לוח בקרה'!$C$8),OR('לוח בקרה'!$C$9="הכל",Q25='לוח בקרה'!$C$9),OR('לוח בקרה'!$C$10="הכל",F25='לוח בקרה'!$C$10,G25='לוח בקרה'!$C$10),D25&lt;&gt;""),ROW()-2,"")</f>
        <v/>
      </c>
      <c r="AE25">
        <f>IF(AND(OR('טכנו'!$C$3="הכל",Z25='טכנו'!$C$3,AA25='טכנו'!$C$3,AB25='טכנו'!$C$3,AC25='טכנו'!$C$3),OR('טכנו'!$C$4="הכל",A25='טכנו'!$C$4),D25&lt;&gt;""),ROW()-2,"")</f>
        <v/>
      </c>
    </row>
    <row r="26">
      <c r="E26">
        <f>IFERROR(INDEX('הגדרות'!$I:$I,MATCH(B26,'הגדרות'!$H:$H,0)),"")</f>
        <v/>
      </c>
      <c r="Z26">
        <f>IFERROR(VLOOKUP(H26,'הגדרות'!$A:$D,2,FALSE),"")</f>
        <v/>
      </c>
      <c r="AA26">
        <f>IFERROR(VLOOKUP(H26,'הגדרות'!$A:$D,3,FALSE),"")</f>
        <v/>
      </c>
      <c r="AB26">
        <f>IFERROR(VLOOKUP(I26,'הגדרות'!$A:$D,2,FALSE),"")</f>
        <v/>
      </c>
      <c r="AC26">
        <f>IFERROR(VLOOKUP(I26,'הגדרות'!$A:$D,3,FALSE),"")</f>
        <v/>
      </c>
      <c r="AD26">
        <f>IF(AND(OR('לוח בקרה'!$C$3="הכל",Z26='לוח בקרה'!$C$3,AA26='לוח בקרה'!$C$3,AB26='לוח בקרה'!$C$3,AC26='לוח בקרה'!$C$3),OR('לוח בקרה'!$C$4="הכל",A26='לוח בקרה'!$C$4),OR('לוח בקרה'!$C$5="הכל",T26='לוח בקרה'!$C$5),OR('לוח בקרה'!$C$6="הכל",H26='לוח בקרה'!$C$6,I26='לוח בקרה'!$C$6),OR('לוח בקרה'!$C$7="הכל",J26='לוח בקרה'!$C$7),OR('לוח בקרה'!$C$8="הכל",L26='לוח בקרה'!$C$8),OR('לוח בקרה'!$C$9="הכל",Q26='לוח בקרה'!$C$9),OR('לוח בקרה'!$C$10="הכל",F26='לוח בקרה'!$C$10,G26='לוח בקרה'!$C$10),D26&lt;&gt;""),ROW()-2,"")</f>
        <v/>
      </c>
      <c r="AE26">
        <f>IF(AND(OR('טכנו'!$C$3="הכל",Z26='טכנו'!$C$3,AA26='טכנו'!$C$3,AB26='טכנו'!$C$3,AC26='טכנו'!$C$3),OR('טכנו'!$C$4="הכל",A26='טכנו'!$C$4),D26&lt;&gt;""),ROW()-2,"")</f>
        <v/>
      </c>
    </row>
    <row r="27">
      <c r="E27">
        <f>IFERROR(INDEX('הגדרות'!$I:$I,MATCH(B27,'הגדרות'!$H:$H,0)),"")</f>
        <v/>
      </c>
      <c r="Z27">
        <f>IFERROR(VLOOKUP(H27,'הגדרות'!$A:$D,2,FALSE),"")</f>
        <v/>
      </c>
      <c r="AA27">
        <f>IFERROR(VLOOKUP(H27,'הגדרות'!$A:$D,3,FALSE),"")</f>
        <v/>
      </c>
      <c r="AB27">
        <f>IFERROR(VLOOKUP(I27,'הגדרות'!$A:$D,2,FALSE),"")</f>
        <v/>
      </c>
      <c r="AC27">
        <f>IFERROR(VLOOKUP(I27,'הגדרות'!$A:$D,3,FALSE),"")</f>
        <v/>
      </c>
      <c r="AD27">
        <f>IF(AND(OR('לוח בקרה'!$C$3="הכל",Z27='לוח בקרה'!$C$3,AA27='לוח בקרה'!$C$3,AB27='לוח בקרה'!$C$3,AC27='לוח בקרה'!$C$3),OR('לוח בקרה'!$C$4="הכל",A27='לוח בקרה'!$C$4),OR('לוח בקרה'!$C$5="הכל",T27='לוח בקרה'!$C$5),OR('לוח בקרה'!$C$6="הכל",H27='לוח בקרה'!$C$6,I27='לוח בקרה'!$C$6),OR('לוח בקרה'!$C$7="הכל",J27='לוח בקרה'!$C$7),OR('לוח בקרה'!$C$8="הכל",L27='לוח בקרה'!$C$8),OR('לוח בקרה'!$C$9="הכל",Q27='לוח בקרה'!$C$9),OR('לוח בקרה'!$C$10="הכל",F27='לוח בקרה'!$C$10,G27='לוח בקרה'!$C$10),D27&lt;&gt;""),ROW()-2,"")</f>
        <v/>
      </c>
      <c r="AE27">
        <f>IF(AND(OR('טכנו'!$C$3="הכל",Z27='טכנו'!$C$3,AA27='טכנו'!$C$3,AB27='טכנו'!$C$3,AC27='טכנו'!$C$3),OR('טכנו'!$C$4="הכל",A27='טכנו'!$C$4),D27&lt;&gt;""),ROW()-2,"")</f>
        <v/>
      </c>
    </row>
    <row r="28">
      <c r="E28">
        <f>IFERROR(INDEX('הגדרות'!$I:$I,MATCH(B28,'הגדרות'!$H:$H,0)),"")</f>
        <v/>
      </c>
      <c r="Z28">
        <f>IFERROR(VLOOKUP(H28,'הגדרות'!$A:$D,2,FALSE),"")</f>
        <v/>
      </c>
      <c r="AA28">
        <f>IFERROR(VLOOKUP(H28,'הגדרות'!$A:$D,3,FALSE),"")</f>
        <v/>
      </c>
      <c r="AB28">
        <f>IFERROR(VLOOKUP(I28,'הגדרות'!$A:$D,2,FALSE),"")</f>
        <v/>
      </c>
      <c r="AC28">
        <f>IFERROR(VLOOKUP(I28,'הגדרות'!$A:$D,3,FALSE),"")</f>
        <v/>
      </c>
      <c r="AD28">
        <f>IF(AND(OR('לוח בקרה'!$C$3="הכל",Z28='לוח בקרה'!$C$3,AA28='לוח בקרה'!$C$3,AB28='לוח בקרה'!$C$3,AC28='לוח בקרה'!$C$3),OR('לוח בקרה'!$C$4="הכל",A28='לוח בקרה'!$C$4),OR('לוח בקרה'!$C$5="הכל",T28='לוח בקרה'!$C$5),OR('לוח בקרה'!$C$6="הכל",H28='לוח בקרה'!$C$6,I28='לוח בקרה'!$C$6),OR('לוח בקרה'!$C$7="הכל",J28='לוח בקרה'!$C$7),OR('לוח בקרה'!$C$8="הכל",L28='לוח בקרה'!$C$8),OR('לוח בקרה'!$C$9="הכל",Q28='לוח בקרה'!$C$9),OR('לוח בקרה'!$C$10="הכל",F28='לוח בקרה'!$C$10,G28='לוח בקרה'!$C$10),D28&lt;&gt;""),ROW()-2,"")</f>
        <v/>
      </c>
      <c r="AE28">
        <f>IF(AND(OR('טכנו'!$C$3="הכל",Z28='טכנו'!$C$3,AA28='טכנו'!$C$3,AB28='טכנו'!$C$3,AC28='טכנו'!$C$3),OR('טכנו'!$C$4="הכל",A28='טכנו'!$C$4),D28&lt;&gt;""),ROW()-2,"")</f>
        <v/>
      </c>
    </row>
    <row r="29">
      <c r="E29">
        <f>IFERROR(INDEX('הגדרות'!$I:$I,MATCH(B29,'הגדרות'!$H:$H,0)),"")</f>
        <v/>
      </c>
      <c r="Z29">
        <f>IFERROR(VLOOKUP(H29,'הגדרות'!$A:$D,2,FALSE),"")</f>
        <v/>
      </c>
      <c r="AA29">
        <f>IFERROR(VLOOKUP(H29,'הגדרות'!$A:$D,3,FALSE),"")</f>
        <v/>
      </c>
      <c r="AB29">
        <f>IFERROR(VLOOKUP(I29,'הגדרות'!$A:$D,2,FALSE),"")</f>
        <v/>
      </c>
      <c r="AC29">
        <f>IFERROR(VLOOKUP(I29,'הגדרות'!$A:$D,3,FALSE),"")</f>
        <v/>
      </c>
      <c r="AD29">
        <f>IF(AND(OR('לוח בקרה'!$C$3="הכל",Z29='לוח בקרה'!$C$3,AA29='לוח בקרה'!$C$3,AB29='לוח בקרה'!$C$3,AC29='לוח בקרה'!$C$3),OR('לוח בקרה'!$C$4="הכל",A29='לוח בקרה'!$C$4),OR('לוח בקרה'!$C$5="הכל",T29='לוח בקרה'!$C$5),OR('לוח בקרה'!$C$6="הכל",H29='לוח בקרה'!$C$6,I29='לוח בקרה'!$C$6),OR('לוח בקרה'!$C$7="הכל",J29='לוח בקרה'!$C$7),OR('לוח בקרה'!$C$8="הכל",L29='לוח בקרה'!$C$8),OR('לוח בקרה'!$C$9="הכל",Q29='לוח בקרה'!$C$9),OR('לוח בקרה'!$C$10="הכל",F29='לוח בקרה'!$C$10,G29='לוח בקרה'!$C$10),D29&lt;&gt;""),ROW()-2,"")</f>
        <v/>
      </c>
      <c r="AE29">
        <f>IF(AND(OR('טכנו'!$C$3="הכל",Z29='טכנו'!$C$3,AA29='טכנו'!$C$3,AB29='טכנו'!$C$3,AC29='טכנו'!$C$3),OR('טכנו'!$C$4="הכל",A29='טכנו'!$C$4),D29&lt;&gt;""),ROW()-2,"")</f>
        <v/>
      </c>
    </row>
    <row r="30">
      <c r="E30">
        <f>IFERROR(INDEX('הגדרות'!$I:$I,MATCH(B30,'הגדרות'!$H:$H,0)),"")</f>
        <v/>
      </c>
      <c r="Z30">
        <f>IFERROR(VLOOKUP(H30,'הגדרות'!$A:$D,2,FALSE),"")</f>
        <v/>
      </c>
      <c r="AA30">
        <f>IFERROR(VLOOKUP(H30,'הגדרות'!$A:$D,3,FALSE),"")</f>
        <v/>
      </c>
      <c r="AB30">
        <f>IFERROR(VLOOKUP(I30,'הגדרות'!$A:$D,2,FALSE),"")</f>
        <v/>
      </c>
      <c r="AC30">
        <f>IFERROR(VLOOKUP(I30,'הגדרות'!$A:$D,3,FALSE),"")</f>
        <v/>
      </c>
      <c r="AD30">
        <f>IF(AND(OR('לוח בקרה'!$C$3="הכל",Z30='לוח בקרה'!$C$3,AA30='לוח בקרה'!$C$3,AB30='לוח בקרה'!$C$3,AC30='לוח בקרה'!$C$3),OR('לוח בקרה'!$C$4="הכל",A30='לוח בקרה'!$C$4),OR('לוח בקרה'!$C$5="הכל",T30='לוח בקרה'!$C$5),OR('לוח בקרה'!$C$6="הכל",H30='לוח בקרה'!$C$6,I30='לוח בקרה'!$C$6),OR('לוח בקרה'!$C$7="הכל",J30='לוח בקרה'!$C$7),OR('לוח בקרה'!$C$8="הכל",L30='לוח בקרה'!$C$8),OR('לוח בקרה'!$C$9="הכל",Q30='לוח בקרה'!$C$9),OR('לוח בקרה'!$C$10="הכל",F30='לוח בקרה'!$C$10,G30='לוח בקרה'!$C$10),D30&lt;&gt;""),ROW()-2,"")</f>
        <v/>
      </c>
      <c r="AE30">
        <f>IF(AND(OR('טכנו'!$C$3="הכל",Z30='טכנו'!$C$3,AA30='טכנו'!$C$3,AB30='טכנו'!$C$3,AC30='טכנו'!$C$3),OR('טכנו'!$C$4="הכל",A30='טכנו'!$C$4),D30&lt;&gt;""),ROW()-2,"")</f>
        <v/>
      </c>
    </row>
    <row r="31">
      <c r="E31">
        <f>IFERROR(INDEX('הגדרות'!$I:$I,MATCH(B31,'הגדרות'!$H:$H,0)),"")</f>
        <v/>
      </c>
      <c r="Z31">
        <f>IFERROR(VLOOKUP(H31,'הגדרות'!$A:$D,2,FALSE),"")</f>
        <v/>
      </c>
      <c r="AA31">
        <f>IFERROR(VLOOKUP(H31,'הגדרות'!$A:$D,3,FALSE),"")</f>
        <v/>
      </c>
      <c r="AB31">
        <f>IFERROR(VLOOKUP(I31,'הגדרות'!$A:$D,2,FALSE),"")</f>
        <v/>
      </c>
      <c r="AC31">
        <f>IFERROR(VLOOKUP(I31,'הגדרות'!$A:$D,3,FALSE),"")</f>
        <v/>
      </c>
      <c r="AD31">
        <f>IF(AND(OR('לוח בקרה'!$C$3="הכל",Z31='לוח בקרה'!$C$3,AA31='לוח בקרה'!$C$3,AB31='לוח בקרה'!$C$3,AC31='לוח בקרה'!$C$3),OR('לוח בקרה'!$C$4="הכל",A31='לוח בקרה'!$C$4),OR('לוח בקרה'!$C$5="הכל",T31='לוח בקרה'!$C$5),OR('לוח בקרה'!$C$6="הכל",H31='לוח בקרה'!$C$6,I31='לוח בקרה'!$C$6),OR('לוח בקרה'!$C$7="הכל",J31='לוח בקרה'!$C$7),OR('לוח בקרה'!$C$8="הכל",L31='לוח בקרה'!$C$8),OR('לוח בקרה'!$C$9="הכל",Q31='לוח בקרה'!$C$9),OR('לוח בקרה'!$C$10="הכל",F31='לוח בקרה'!$C$10,G31='לוח בקרה'!$C$10),D31&lt;&gt;""),ROW()-2,"")</f>
        <v/>
      </c>
      <c r="AE31">
        <f>IF(AND(OR('טכנו'!$C$3="הכל",Z31='טכנו'!$C$3,AA31='טכנו'!$C$3,AB31='טכנו'!$C$3,AC31='טכנו'!$C$3),OR('טכנו'!$C$4="הכל",A31='טכנו'!$C$4),D31&lt;&gt;""),ROW()-2,"")</f>
        <v/>
      </c>
    </row>
    <row r="32">
      <c r="E32">
        <f>IFERROR(INDEX('הגדרות'!$I:$I,MATCH(B32,'הגדרות'!$H:$H,0)),"")</f>
        <v/>
      </c>
      <c r="Z32">
        <f>IFERROR(VLOOKUP(H32,'הגדרות'!$A:$D,2,FALSE),"")</f>
        <v/>
      </c>
      <c r="AA32">
        <f>IFERROR(VLOOKUP(H32,'הגדרות'!$A:$D,3,FALSE),"")</f>
        <v/>
      </c>
      <c r="AB32">
        <f>IFERROR(VLOOKUP(I32,'הגדרות'!$A:$D,2,FALSE),"")</f>
        <v/>
      </c>
      <c r="AC32">
        <f>IFERROR(VLOOKUP(I32,'הגדרות'!$A:$D,3,FALSE),"")</f>
        <v/>
      </c>
      <c r="AD32">
        <f>IF(AND(OR('לוח בקרה'!$C$3="הכל",Z32='לוח בקרה'!$C$3,AA32='לוח בקרה'!$C$3,AB32='לוח בקרה'!$C$3,AC32='לוח בקרה'!$C$3),OR('לוח בקרה'!$C$4="הכל",A32='לוח בקרה'!$C$4),OR('לוח בקרה'!$C$5="הכל",T32='לוח בקרה'!$C$5),OR('לוח בקרה'!$C$6="הכל",H32='לוח בקרה'!$C$6,I32='לוח בקרה'!$C$6),OR('לוח בקרה'!$C$7="הכל",J32='לוח בקרה'!$C$7),OR('לוח בקרה'!$C$8="הכל",L32='לוח בקרה'!$C$8),OR('לוח בקרה'!$C$9="הכל",Q32='לוח בקרה'!$C$9),OR('לוח בקרה'!$C$10="הכל",F32='לוח בקרה'!$C$10,G32='לוח בקרה'!$C$10),D32&lt;&gt;""),ROW()-2,"")</f>
        <v/>
      </c>
      <c r="AE32">
        <f>IF(AND(OR('טכנו'!$C$3="הכל",Z32='טכנו'!$C$3,AA32='טכנו'!$C$3,AB32='טכנו'!$C$3,AC32='טכנו'!$C$3),OR('טכנו'!$C$4="הכל",A32='טכנו'!$C$4),D32&lt;&gt;""),ROW()-2,"")</f>
        <v/>
      </c>
    </row>
    <row r="33">
      <c r="E33">
        <f>IFERROR(INDEX('הגדרות'!$I:$I,MATCH(B33,'הגדרות'!$H:$H,0)),"")</f>
        <v/>
      </c>
      <c r="Z33">
        <f>IFERROR(VLOOKUP(H33,'הגדרות'!$A:$D,2,FALSE),"")</f>
        <v/>
      </c>
      <c r="AA33">
        <f>IFERROR(VLOOKUP(H33,'הגדרות'!$A:$D,3,FALSE),"")</f>
        <v/>
      </c>
      <c r="AB33">
        <f>IFERROR(VLOOKUP(I33,'הגדרות'!$A:$D,2,FALSE),"")</f>
        <v/>
      </c>
      <c r="AC33">
        <f>IFERROR(VLOOKUP(I33,'הגדרות'!$A:$D,3,FALSE),"")</f>
        <v/>
      </c>
      <c r="AD33">
        <f>IF(AND(OR('לוח בקרה'!$C$3="הכל",Z33='לוח בקרה'!$C$3,AA33='לוח בקרה'!$C$3,AB33='לוח בקרה'!$C$3,AC33='לוח בקרה'!$C$3),OR('לוח בקרה'!$C$4="הכל",A33='לוח בקרה'!$C$4),OR('לוח בקרה'!$C$5="הכל",T33='לוח בקרה'!$C$5),OR('לוח בקרה'!$C$6="הכל",H33='לוח בקרה'!$C$6,I33='לוח בקרה'!$C$6),OR('לוח בקרה'!$C$7="הכל",J33='לוח בקרה'!$C$7),OR('לוח בקרה'!$C$8="הכל",L33='לוח בקרה'!$C$8),OR('לוח בקרה'!$C$9="הכל",Q33='לוח בקרה'!$C$9),OR('לוח בקרה'!$C$10="הכל",F33='לוח בקרה'!$C$10,G33='לוח בקרה'!$C$10),D33&lt;&gt;""),ROW()-2,"")</f>
        <v/>
      </c>
      <c r="AE33">
        <f>IF(AND(OR('טכנו'!$C$3="הכל",Z33='טכנו'!$C$3,AA33='טכנו'!$C$3,AB33='טכנו'!$C$3,AC33='טכנו'!$C$3),OR('טכנו'!$C$4="הכל",A33='טכנו'!$C$4),D33&lt;&gt;""),ROW()-2,"")</f>
        <v/>
      </c>
    </row>
    <row r="34">
      <c r="E34">
        <f>IFERROR(INDEX('הגדרות'!$I:$I,MATCH(B34,'הגדרות'!$H:$H,0)),"")</f>
        <v/>
      </c>
      <c r="Z34">
        <f>IFERROR(VLOOKUP(H34,'הגדרות'!$A:$D,2,FALSE),"")</f>
        <v/>
      </c>
      <c r="AA34">
        <f>IFERROR(VLOOKUP(H34,'הגדרות'!$A:$D,3,FALSE),"")</f>
        <v/>
      </c>
      <c r="AB34">
        <f>IFERROR(VLOOKUP(I34,'הגדרות'!$A:$D,2,FALSE),"")</f>
        <v/>
      </c>
      <c r="AC34">
        <f>IFERROR(VLOOKUP(I34,'הגדרות'!$A:$D,3,FALSE),"")</f>
        <v/>
      </c>
      <c r="AD34">
        <f>IF(AND(OR('לוח בקרה'!$C$3="הכל",Z34='לוח בקרה'!$C$3,AA34='לוח בקרה'!$C$3,AB34='לוח בקרה'!$C$3,AC34='לוח בקרה'!$C$3),OR('לוח בקרה'!$C$4="הכל",A34='לוח בקרה'!$C$4),OR('לוח בקרה'!$C$5="הכל",T34='לוח בקרה'!$C$5),OR('לוח בקרה'!$C$6="הכל",H34='לוח בקרה'!$C$6,I34='לוח בקרה'!$C$6),OR('לוח בקרה'!$C$7="הכל",J34='לוח בקרה'!$C$7),OR('לוח בקרה'!$C$8="הכל",L34='לוח בקרה'!$C$8),OR('לוח בקרה'!$C$9="הכל",Q34='לוח בקרה'!$C$9),OR('לוח בקרה'!$C$10="הכל",F34='לוח בקרה'!$C$10,G34='לוח בקרה'!$C$10),D34&lt;&gt;""),ROW()-2,"")</f>
        <v/>
      </c>
      <c r="AE34">
        <f>IF(AND(OR('טכנו'!$C$3="הכל",Z34='טכנו'!$C$3,AA34='טכנו'!$C$3,AB34='טכנו'!$C$3,AC34='טכנו'!$C$3),OR('טכנו'!$C$4="הכל",A34='טכנו'!$C$4),D34&lt;&gt;""),ROW()-2,"")</f>
        <v/>
      </c>
    </row>
    <row r="35">
      <c r="E35">
        <f>IFERROR(INDEX('הגדרות'!$I:$I,MATCH(B35,'הגדרות'!$H:$H,0)),"")</f>
        <v/>
      </c>
      <c r="Z35">
        <f>IFERROR(VLOOKUP(H35,'הגדרות'!$A:$D,2,FALSE),"")</f>
        <v/>
      </c>
      <c r="AA35">
        <f>IFERROR(VLOOKUP(H35,'הגדרות'!$A:$D,3,FALSE),"")</f>
        <v/>
      </c>
      <c r="AB35">
        <f>IFERROR(VLOOKUP(I35,'הגדרות'!$A:$D,2,FALSE),"")</f>
        <v/>
      </c>
      <c r="AC35">
        <f>IFERROR(VLOOKUP(I35,'הגדרות'!$A:$D,3,FALSE),"")</f>
        <v/>
      </c>
      <c r="AD35">
        <f>IF(AND(OR('לוח בקרה'!$C$3="הכל",Z35='לוח בקרה'!$C$3,AA35='לוח בקרה'!$C$3,AB35='לוח בקרה'!$C$3,AC35='לוח בקרה'!$C$3),OR('לוח בקרה'!$C$4="הכל",A35='לוח בקרה'!$C$4),OR('לוח בקרה'!$C$5="הכל",T35='לוח בקרה'!$C$5),OR('לוח בקרה'!$C$6="הכל",H35='לוח בקרה'!$C$6,I35='לוח בקרה'!$C$6),OR('לוח בקרה'!$C$7="הכל",J35='לוח בקרה'!$C$7),OR('לוח בקרה'!$C$8="הכל",L35='לוח בקרה'!$C$8),OR('לוח בקרה'!$C$9="הכל",Q35='לוח בקרה'!$C$9),OR('לוח בקרה'!$C$10="הכל",F35='לוח בקרה'!$C$10,G35='לוח בקרה'!$C$10),D35&lt;&gt;""),ROW()-2,"")</f>
        <v/>
      </c>
      <c r="AE35">
        <f>IF(AND(OR('טכנו'!$C$3="הכל",Z35='טכנו'!$C$3,AA35='טכנו'!$C$3,AB35='טכנו'!$C$3,AC35='טכנו'!$C$3),OR('טכנו'!$C$4="הכל",A35='טכנו'!$C$4),D35&lt;&gt;""),ROW()-2,"")</f>
        <v/>
      </c>
    </row>
    <row r="36">
      <c r="E36">
        <f>IFERROR(INDEX('הגדרות'!$I:$I,MATCH(B36,'הגדרות'!$H:$H,0)),"")</f>
        <v/>
      </c>
      <c r="Z36">
        <f>IFERROR(VLOOKUP(H36,'הגדרות'!$A:$D,2,FALSE),"")</f>
        <v/>
      </c>
      <c r="AA36">
        <f>IFERROR(VLOOKUP(H36,'הגדרות'!$A:$D,3,FALSE),"")</f>
        <v/>
      </c>
      <c r="AB36">
        <f>IFERROR(VLOOKUP(I36,'הגדרות'!$A:$D,2,FALSE),"")</f>
        <v/>
      </c>
      <c r="AC36">
        <f>IFERROR(VLOOKUP(I36,'הגדרות'!$A:$D,3,FALSE),"")</f>
        <v/>
      </c>
      <c r="AD36">
        <f>IF(AND(OR('לוח בקרה'!$C$3="הכל",Z36='לוח בקרה'!$C$3,AA36='לוח בקרה'!$C$3,AB36='לוח בקרה'!$C$3,AC36='לוח בקרה'!$C$3),OR('לוח בקרה'!$C$4="הכל",A36='לוח בקרה'!$C$4),OR('לוח בקרה'!$C$5="הכל",T36='לוח בקרה'!$C$5),OR('לוח בקרה'!$C$6="הכל",H36='לוח בקרה'!$C$6,I36='לוח בקרה'!$C$6),OR('לוח בקרה'!$C$7="הכל",J36='לוח בקרה'!$C$7),OR('לוח בקרה'!$C$8="הכל",L36='לוח בקרה'!$C$8),OR('לוח בקרה'!$C$9="הכל",Q36='לוח בקרה'!$C$9),OR('לוח בקרה'!$C$10="הכל",F36='לוח בקרה'!$C$10,G36='לוח בקרה'!$C$10),D36&lt;&gt;""),ROW()-2,"")</f>
        <v/>
      </c>
      <c r="AE36">
        <f>IF(AND(OR('טכנו'!$C$3="הכל",Z36='טכנו'!$C$3,AA36='טכנו'!$C$3,AB36='טכנו'!$C$3,AC36='טכנו'!$C$3),OR('טכנו'!$C$4="הכל",A36='טכנו'!$C$4),D36&lt;&gt;""),ROW()-2,"")</f>
        <v/>
      </c>
    </row>
    <row r="37">
      <c r="E37">
        <f>IFERROR(INDEX('הגדרות'!$I:$I,MATCH(B37,'הגדרות'!$H:$H,0)),"")</f>
        <v/>
      </c>
      <c r="Z37">
        <f>IFERROR(VLOOKUP(H37,'הגדרות'!$A:$D,2,FALSE),"")</f>
        <v/>
      </c>
      <c r="AA37">
        <f>IFERROR(VLOOKUP(H37,'הגדרות'!$A:$D,3,FALSE),"")</f>
        <v/>
      </c>
      <c r="AB37">
        <f>IFERROR(VLOOKUP(I37,'הגדרות'!$A:$D,2,FALSE),"")</f>
        <v/>
      </c>
      <c r="AC37">
        <f>IFERROR(VLOOKUP(I37,'הגדרות'!$A:$D,3,FALSE),"")</f>
        <v/>
      </c>
      <c r="AD37">
        <f>IF(AND(OR('לוח בקרה'!$C$3="הכל",Z37='לוח בקרה'!$C$3,AA37='לוח בקרה'!$C$3,AB37='לוח בקרה'!$C$3,AC37='לוח בקרה'!$C$3),OR('לוח בקרה'!$C$4="הכל",A37='לוח בקרה'!$C$4),OR('לוח בקרה'!$C$5="הכל",T37='לוח בקרה'!$C$5),OR('לוח בקרה'!$C$6="הכל",H37='לוח בקרה'!$C$6,I37='לוח בקרה'!$C$6),OR('לוח בקרה'!$C$7="הכל",J37='לוח בקרה'!$C$7),OR('לוח בקרה'!$C$8="הכל",L37='לוח בקרה'!$C$8),OR('לוח בקרה'!$C$9="הכל",Q37='לוח בקרה'!$C$9),OR('לוח בקרה'!$C$10="הכל",F37='לוח בקרה'!$C$10,G37='לוח בקרה'!$C$10),D37&lt;&gt;""),ROW()-2,"")</f>
        <v/>
      </c>
      <c r="AE37">
        <f>IF(AND(OR('טכנו'!$C$3="הכל",Z37='טכנו'!$C$3,AA37='טכנו'!$C$3,AB37='טכנו'!$C$3,AC37='טכנו'!$C$3),OR('טכנו'!$C$4="הכל",A37='טכנו'!$C$4),D37&lt;&gt;""),ROW()-2,"")</f>
        <v/>
      </c>
    </row>
    <row r="38">
      <c r="E38">
        <f>IFERROR(INDEX('הגדרות'!$I:$I,MATCH(B38,'הגדרות'!$H:$H,0)),"")</f>
        <v/>
      </c>
      <c r="Z38">
        <f>IFERROR(VLOOKUP(H38,'הגדרות'!$A:$D,2,FALSE),"")</f>
        <v/>
      </c>
      <c r="AA38">
        <f>IFERROR(VLOOKUP(H38,'הגדרות'!$A:$D,3,FALSE),"")</f>
        <v/>
      </c>
      <c r="AB38">
        <f>IFERROR(VLOOKUP(I38,'הגדרות'!$A:$D,2,FALSE),"")</f>
        <v/>
      </c>
      <c r="AC38">
        <f>IFERROR(VLOOKUP(I38,'הגדרות'!$A:$D,3,FALSE),"")</f>
        <v/>
      </c>
      <c r="AD38">
        <f>IF(AND(OR('לוח בקרה'!$C$3="הכל",Z38='לוח בקרה'!$C$3,AA38='לוח בקרה'!$C$3,AB38='לוח בקרה'!$C$3,AC38='לוח בקרה'!$C$3),OR('לוח בקרה'!$C$4="הכל",A38='לוח בקרה'!$C$4),OR('לוח בקרה'!$C$5="הכל",T38='לוח בקרה'!$C$5),OR('לוח בקרה'!$C$6="הכל",H38='לוח בקרה'!$C$6,I38='לוח בקרה'!$C$6),OR('לוח בקרה'!$C$7="הכל",J38='לוח בקרה'!$C$7),OR('לוח בקרה'!$C$8="הכל",L38='לוח בקרה'!$C$8),OR('לוח בקרה'!$C$9="הכל",Q38='לוח בקרה'!$C$9),OR('לוח בקרה'!$C$10="הכל",F38='לוח בקרה'!$C$10,G38='לוח בקרה'!$C$10),D38&lt;&gt;""),ROW()-2,"")</f>
        <v/>
      </c>
      <c r="AE38">
        <f>IF(AND(OR('טכנו'!$C$3="הכל",Z38='טכנו'!$C$3,AA38='טכנו'!$C$3,AB38='טכנו'!$C$3,AC38='טכנו'!$C$3),OR('טכנו'!$C$4="הכל",A38='טכנו'!$C$4),D38&lt;&gt;""),ROW()-2,"")</f>
        <v/>
      </c>
    </row>
    <row r="39">
      <c r="E39">
        <f>IFERROR(INDEX('הגדרות'!$I:$I,MATCH(B39,'הגדרות'!$H:$H,0)),"")</f>
        <v/>
      </c>
      <c r="Z39">
        <f>IFERROR(VLOOKUP(H39,'הגדרות'!$A:$D,2,FALSE),"")</f>
        <v/>
      </c>
      <c r="AA39">
        <f>IFERROR(VLOOKUP(H39,'הגדרות'!$A:$D,3,FALSE),"")</f>
        <v/>
      </c>
      <c r="AB39">
        <f>IFERROR(VLOOKUP(I39,'הגדרות'!$A:$D,2,FALSE),"")</f>
        <v/>
      </c>
      <c r="AC39">
        <f>IFERROR(VLOOKUP(I39,'הגדרות'!$A:$D,3,FALSE),"")</f>
        <v/>
      </c>
      <c r="AD39">
        <f>IF(AND(OR('לוח בקרה'!$C$3="הכל",Z39='לוח בקרה'!$C$3,AA39='לוח בקרה'!$C$3,AB39='לוח בקרה'!$C$3,AC39='לוח בקרה'!$C$3),OR('לוח בקרה'!$C$4="הכל",A39='לוח בקרה'!$C$4),OR('לוח בקרה'!$C$5="הכל",T39='לוח בקרה'!$C$5),OR('לוח בקרה'!$C$6="הכל",H39='לוח בקרה'!$C$6,I39='לוח בקרה'!$C$6),OR('לוח בקרה'!$C$7="הכל",J39='לוח בקרה'!$C$7),OR('לוח בקרה'!$C$8="הכל",L39='לוח בקרה'!$C$8),OR('לוח בקרה'!$C$9="הכל",Q39='לוח בקרה'!$C$9),OR('לוח בקרה'!$C$10="הכל",F39='לוח בקרה'!$C$10,G39='לוח בקרה'!$C$10),D39&lt;&gt;""),ROW()-2,"")</f>
        <v/>
      </c>
      <c r="AE39">
        <f>IF(AND(OR('טכנו'!$C$3="הכל",Z39='טכנו'!$C$3,AA39='טכנו'!$C$3,AB39='טכנו'!$C$3,AC39='טכנו'!$C$3),OR('טכנו'!$C$4="הכל",A39='טכנו'!$C$4),D39&lt;&gt;""),ROW()-2,"")</f>
        <v/>
      </c>
    </row>
    <row r="40">
      <c r="E40">
        <f>IFERROR(INDEX('הגדרות'!$I:$I,MATCH(B40,'הגדרות'!$H:$H,0)),"")</f>
        <v/>
      </c>
      <c r="Z40">
        <f>IFERROR(VLOOKUP(H40,'הגדרות'!$A:$D,2,FALSE),"")</f>
        <v/>
      </c>
      <c r="AA40">
        <f>IFERROR(VLOOKUP(H40,'הגדרות'!$A:$D,3,FALSE),"")</f>
        <v/>
      </c>
      <c r="AB40">
        <f>IFERROR(VLOOKUP(I40,'הגדרות'!$A:$D,2,FALSE),"")</f>
        <v/>
      </c>
      <c r="AC40">
        <f>IFERROR(VLOOKUP(I40,'הגדרות'!$A:$D,3,FALSE),"")</f>
        <v/>
      </c>
      <c r="AD40">
        <f>IF(AND(OR('לוח בקרה'!$C$3="הכל",Z40='לוח בקרה'!$C$3,AA40='לוח בקרה'!$C$3,AB40='לוח בקרה'!$C$3,AC40='לוח בקרה'!$C$3),OR('לוח בקרה'!$C$4="הכל",A40='לוח בקרה'!$C$4),OR('לוח בקרה'!$C$5="הכל",T40='לוח בקרה'!$C$5),OR('לוח בקרה'!$C$6="הכל",H40='לוח בקרה'!$C$6,I40='לוח בקרה'!$C$6),OR('לוח בקרה'!$C$7="הכל",J40='לוח בקרה'!$C$7),OR('לוח בקרה'!$C$8="הכל",L40='לוח בקרה'!$C$8),OR('לוח בקרה'!$C$9="הכל",Q40='לוח בקרה'!$C$9),OR('לוח בקרה'!$C$10="הכל",F40='לוח בקרה'!$C$10,G40='לוח בקרה'!$C$10),D40&lt;&gt;""),ROW()-2,"")</f>
        <v/>
      </c>
      <c r="AE40">
        <f>IF(AND(OR('טכנו'!$C$3="הכל",Z40='טכנו'!$C$3,AA40='טכנו'!$C$3,AB40='טכנו'!$C$3,AC40='טכנו'!$C$3),OR('טכנו'!$C$4="הכל",A40='טכנו'!$C$4),D40&lt;&gt;""),ROW()-2,"")</f>
        <v/>
      </c>
    </row>
    <row r="41">
      <c r="E41">
        <f>IFERROR(INDEX('הגדרות'!$I:$I,MATCH(B41,'הגדרות'!$H:$H,0)),"")</f>
        <v/>
      </c>
      <c r="Z41">
        <f>IFERROR(VLOOKUP(H41,'הגדרות'!$A:$D,2,FALSE),"")</f>
        <v/>
      </c>
      <c r="AA41">
        <f>IFERROR(VLOOKUP(H41,'הגדרות'!$A:$D,3,FALSE),"")</f>
        <v/>
      </c>
      <c r="AB41">
        <f>IFERROR(VLOOKUP(I41,'הגדרות'!$A:$D,2,FALSE),"")</f>
        <v/>
      </c>
      <c r="AC41">
        <f>IFERROR(VLOOKUP(I41,'הגדרות'!$A:$D,3,FALSE),"")</f>
        <v/>
      </c>
      <c r="AD41">
        <f>IF(AND(OR('לוח בקרה'!$C$3="הכל",Z41='לוח בקרה'!$C$3,AA41='לוח בקרה'!$C$3,AB41='לוח בקרה'!$C$3,AC41='לוח בקרה'!$C$3),OR('לוח בקרה'!$C$4="הכל",A41='לוח בקרה'!$C$4),OR('לוח בקרה'!$C$5="הכל",T41='לוח בקרה'!$C$5),OR('לוח בקרה'!$C$6="הכל",H41='לוח בקרה'!$C$6,I41='לוח בקרה'!$C$6),OR('לוח בקרה'!$C$7="הכל",J41='לוח בקרה'!$C$7),OR('לוח בקרה'!$C$8="הכל",L41='לוח בקרה'!$C$8),OR('לוח בקרה'!$C$9="הכל",Q41='לוח בקרה'!$C$9),OR('לוח בקרה'!$C$10="הכל",F41='לוח בקרה'!$C$10,G41='לוח בקרה'!$C$10),D41&lt;&gt;""),ROW()-2,"")</f>
        <v/>
      </c>
      <c r="AE41">
        <f>IF(AND(OR('טכנו'!$C$3="הכל",Z41='טכנו'!$C$3,AA41='טכנו'!$C$3,AB41='טכנו'!$C$3,AC41='טכנו'!$C$3),OR('טכנו'!$C$4="הכל",A41='טכנו'!$C$4),D41&lt;&gt;""),ROW()-2,"")</f>
        <v/>
      </c>
    </row>
    <row r="42">
      <c r="E42">
        <f>IFERROR(INDEX('הגדרות'!$I:$I,MATCH(B42,'הגדרות'!$H:$H,0)),"")</f>
        <v/>
      </c>
      <c r="Z42">
        <f>IFERROR(VLOOKUP(H42,'הגדרות'!$A:$D,2,FALSE),"")</f>
        <v/>
      </c>
      <c r="AA42">
        <f>IFERROR(VLOOKUP(H42,'הגדרות'!$A:$D,3,FALSE),"")</f>
        <v/>
      </c>
      <c r="AB42">
        <f>IFERROR(VLOOKUP(I42,'הגדרות'!$A:$D,2,FALSE),"")</f>
        <v/>
      </c>
      <c r="AC42">
        <f>IFERROR(VLOOKUP(I42,'הגדרות'!$A:$D,3,FALSE),"")</f>
        <v/>
      </c>
      <c r="AD42">
        <f>IF(AND(OR('לוח בקרה'!$C$3="הכל",Z42='לוח בקרה'!$C$3,AA42='לוח בקרה'!$C$3,AB42='לוח בקרה'!$C$3,AC42='לוח בקרה'!$C$3),OR('לוח בקרה'!$C$4="הכל",A42='לוח בקרה'!$C$4),OR('לוח בקרה'!$C$5="הכל",T42='לוח בקרה'!$C$5),OR('לוח בקרה'!$C$6="הכל",H42='לוח בקרה'!$C$6,I42='לוח בקרה'!$C$6),OR('לוח בקרה'!$C$7="הכל",J42='לוח בקרה'!$C$7),OR('לוח בקרה'!$C$8="הכל",L42='לוח בקרה'!$C$8),OR('לוח בקרה'!$C$9="הכל",Q42='לוח בקרה'!$C$9),OR('לוח בקרה'!$C$10="הכל",F42='לוח בקרה'!$C$10,G42='לוח בקרה'!$C$10),D42&lt;&gt;""),ROW()-2,"")</f>
        <v/>
      </c>
      <c r="AE42">
        <f>IF(AND(OR('טכנו'!$C$3="הכל",Z42='טכנו'!$C$3,AA42='טכנו'!$C$3,AB42='טכנו'!$C$3,AC42='טכנו'!$C$3),OR('טכנו'!$C$4="הכל",A42='טכנו'!$C$4),D42&lt;&gt;""),ROW()-2,"")</f>
        <v/>
      </c>
    </row>
    <row r="43">
      <c r="E43">
        <f>IFERROR(INDEX('הגדרות'!$I:$I,MATCH(B43,'הגדרות'!$H:$H,0)),"")</f>
        <v/>
      </c>
      <c r="Z43">
        <f>IFERROR(VLOOKUP(H43,'הגדרות'!$A:$D,2,FALSE),"")</f>
        <v/>
      </c>
      <c r="AA43">
        <f>IFERROR(VLOOKUP(H43,'הגדרות'!$A:$D,3,FALSE),"")</f>
        <v/>
      </c>
      <c r="AB43">
        <f>IFERROR(VLOOKUP(I43,'הגדרות'!$A:$D,2,FALSE),"")</f>
        <v/>
      </c>
      <c r="AC43">
        <f>IFERROR(VLOOKUP(I43,'הגדרות'!$A:$D,3,FALSE),"")</f>
        <v/>
      </c>
      <c r="AD43">
        <f>IF(AND(OR('לוח בקרה'!$C$3="הכל",Z43='לוח בקרה'!$C$3,AA43='לוח בקרה'!$C$3,AB43='לוח בקרה'!$C$3,AC43='לוח בקרה'!$C$3),OR('לוח בקרה'!$C$4="הכל",A43='לוח בקרה'!$C$4),OR('לוח בקרה'!$C$5="הכל",T43='לוח בקרה'!$C$5),OR('לוח בקרה'!$C$6="הכל",H43='לוח בקרה'!$C$6,I43='לוח בקרה'!$C$6),OR('לוח בקרה'!$C$7="הכל",J43='לוח בקרה'!$C$7),OR('לוח בקרה'!$C$8="הכל",L43='לוח בקרה'!$C$8),OR('לוח בקרה'!$C$9="הכל",Q43='לוח בקרה'!$C$9),OR('לוח בקרה'!$C$10="הכל",F43='לוח בקרה'!$C$10,G43='לוח בקרה'!$C$10),D43&lt;&gt;""),ROW()-2,"")</f>
        <v/>
      </c>
      <c r="AE43">
        <f>IF(AND(OR('טכנו'!$C$3="הכל",Z43='טכנו'!$C$3,AA43='טכנו'!$C$3,AB43='טכנו'!$C$3,AC43='טכנו'!$C$3),OR('טכנו'!$C$4="הכל",A43='טכנו'!$C$4),D43&lt;&gt;""),ROW()-2,"")</f>
        <v/>
      </c>
    </row>
    <row r="44">
      <c r="E44">
        <f>IFERROR(INDEX('הגדרות'!$I:$I,MATCH(B44,'הגדרות'!$H:$H,0)),"")</f>
        <v/>
      </c>
      <c r="Z44">
        <f>IFERROR(VLOOKUP(H44,'הגדרות'!$A:$D,2,FALSE),"")</f>
        <v/>
      </c>
      <c r="AA44">
        <f>IFERROR(VLOOKUP(H44,'הגדרות'!$A:$D,3,FALSE),"")</f>
        <v/>
      </c>
      <c r="AB44">
        <f>IFERROR(VLOOKUP(I44,'הגדרות'!$A:$D,2,FALSE),"")</f>
        <v/>
      </c>
      <c r="AC44">
        <f>IFERROR(VLOOKUP(I44,'הגדרות'!$A:$D,3,FALSE),"")</f>
        <v/>
      </c>
      <c r="AD44">
        <f>IF(AND(OR('לוח בקרה'!$C$3="הכל",Z44='לוח בקרה'!$C$3,AA44='לוח בקרה'!$C$3,AB44='לוח בקרה'!$C$3,AC44='לוח בקרה'!$C$3),OR('לוח בקרה'!$C$4="הכל",A44='לוח בקרה'!$C$4),OR('לוח בקרה'!$C$5="הכל",T44='לוח בקרה'!$C$5),OR('לוח בקרה'!$C$6="הכל",H44='לוח בקרה'!$C$6,I44='לוח בקרה'!$C$6),OR('לוח בקרה'!$C$7="הכל",J44='לוח בקרה'!$C$7),OR('לוח בקרה'!$C$8="הכל",L44='לוח בקרה'!$C$8),OR('לוח בקרה'!$C$9="הכל",Q44='לוח בקרה'!$C$9),OR('לוח בקרה'!$C$10="הכל",F44='לוח בקרה'!$C$10,G44='לוח בקרה'!$C$10),D44&lt;&gt;""),ROW()-2,"")</f>
        <v/>
      </c>
      <c r="AE44">
        <f>IF(AND(OR('טכנו'!$C$3="הכל",Z44='טכנו'!$C$3,AA44='טכנו'!$C$3,AB44='טכנו'!$C$3,AC44='טכנו'!$C$3),OR('טכנו'!$C$4="הכל",A44='טכנו'!$C$4),D44&lt;&gt;""),ROW()-2,"")</f>
        <v/>
      </c>
    </row>
    <row r="45">
      <c r="E45">
        <f>IFERROR(INDEX('הגדרות'!$I:$I,MATCH(B45,'הגדרות'!$H:$H,0)),"")</f>
        <v/>
      </c>
      <c r="Z45">
        <f>IFERROR(VLOOKUP(H45,'הגדרות'!$A:$D,2,FALSE),"")</f>
        <v/>
      </c>
      <c r="AA45">
        <f>IFERROR(VLOOKUP(H45,'הגדרות'!$A:$D,3,FALSE),"")</f>
        <v/>
      </c>
      <c r="AB45">
        <f>IFERROR(VLOOKUP(I45,'הגדרות'!$A:$D,2,FALSE),"")</f>
        <v/>
      </c>
      <c r="AC45">
        <f>IFERROR(VLOOKUP(I45,'הגדרות'!$A:$D,3,FALSE),"")</f>
        <v/>
      </c>
      <c r="AD45">
        <f>IF(AND(OR('לוח בקרה'!$C$3="הכל",Z45='לוח בקרה'!$C$3,AA45='לוח בקרה'!$C$3,AB45='לוח בקרה'!$C$3,AC45='לוח בקרה'!$C$3),OR('לוח בקרה'!$C$4="הכל",A45='לוח בקרה'!$C$4),OR('לוח בקרה'!$C$5="הכל",T45='לוח בקרה'!$C$5),OR('לוח בקרה'!$C$6="הכל",H45='לוח בקרה'!$C$6,I45='לוח בקרה'!$C$6),OR('לוח בקרה'!$C$7="הכל",J45='לוח בקרה'!$C$7),OR('לוח בקרה'!$C$8="הכל",L45='לוח בקרה'!$C$8),OR('לוח בקרה'!$C$9="הכל",Q45='לוח בקרה'!$C$9),OR('לוח בקרה'!$C$10="הכל",F45='לוח בקרה'!$C$10,G45='לוח בקרה'!$C$10),D45&lt;&gt;""),ROW()-2,"")</f>
        <v/>
      </c>
      <c r="AE45">
        <f>IF(AND(OR('טכנו'!$C$3="הכל",Z45='טכנו'!$C$3,AA45='טכנו'!$C$3,AB45='טכנו'!$C$3,AC45='טכנו'!$C$3),OR('טכנו'!$C$4="הכל",A45='טכנו'!$C$4),D45&lt;&gt;""),ROW()-2,"")</f>
        <v/>
      </c>
    </row>
    <row r="46">
      <c r="E46">
        <f>IFERROR(INDEX('הגדרות'!$I:$I,MATCH(B46,'הגדרות'!$H:$H,0)),"")</f>
        <v/>
      </c>
      <c r="Z46">
        <f>IFERROR(VLOOKUP(H46,'הגדרות'!$A:$D,2,FALSE),"")</f>
        <v/>
      </c>
      <c r="AA46">
        <f>IFERROR(VLOOKUP(H46,'הגדרות'!$A:$D,3,FALSE),"")</f>
        <v/>
      </c>
      <c r="AB46">
        <f>IFERROR(VLOOKUP(I46,'הגדרות'!$A:$D,2,FALSE),"")</f>
        <v/>
      </c>
      <c r="AC46">
        <f>IFERROR(VLOOKUP(I46,'הגדרות'!$A:$D,3,FALSE),"")</f>
        <v/>
      </c>
      <c r="AD46">
        <f>IF(AND(OR('לוח בקרה'!$C$3="הכל",Z46='לוח בקרה'!$C$3,AA46='לוח בקרה'!$C$3,AB46='לוח בקרה'!$C$3,AC46='לוח בקרה'!$C$3),OR('לוח בקרה'!$C$4="הכל",A46='לוח בקרה'!$C$4),OR('לוח בקרה'!$C$5="הכל",T46='לוח בקרה'!$C$5),OR('לוח בקרה'!$C$6="הכל",H46='לוח בקרה'!$C$6,I46='לוח בקרה'!$C$6),OR('לוח בקרה'!$C$7="הכל",J46='לוח בקרה'!$C$7),OR('לוח בקרה'!$C$8="הכל",L46='לוח בקרה'!$C$8),OR('לוח בקרה'!$C$9="הכל",Q46='לוח בקרה'!$C$9),OR('לוח בקרה'!$C$10="הכל",F46='לוח בקרה'!$C$10,G46='לוח בקרה'!$C$10),D46&lt;&gt;""),ROW()-2,"")</f>
        <v/>
      </c>
      <c r="AE46">
        <f>IF(AND(OR('טכנו'!$C$3="הכל",Z46='טכנו'!$C$3,AA46='טכנו'!$C$3,AB46='טכנו'!$C$3,AC46='טכנו'!$C$3),OR('טכנו'!$C$4="הכל",A46='טכנו'!$C$4),D46&lt;&gt;""),ROW()-2,"")</f>
        <v/>
      </c>
    </row>
    <row r="47">
      <c r="E47">
        <f>IFERROR(INDEX('הגדרות'!$I:$I,MATCH(B47,'הגדרות'!$H:$H,0)),"")</f>
        <v/>
      </c>
      <c r="Z47">
        <f>IFERROR(VLOOKUP(H47,'הגדרות'!$A:$D,2,FALSE),"")</f>
        <v/>
      </c>
      <c r="AA47">
        <f>IFERROR(VLOOKUP(H47,'הגדרות'!$A:$D,3,FALSE),"")</f>
        <v/>
      </c>
      <c r="AB47">
        <f>IFERROR(VLOOKUP(I47,'הגדרות'!$A:$D,2,FALSE),"")</f>
        <v/>
      </c>
      <c r="AC47">
        <f>IFERROR(VLOOKUP(I47,'הגדרות'!$A:$D,3,FALSE),"")</f>
        <v/>
      </c>
      <c r="AD47">
        <f>IF(AND(OR('לוח בקרה'!$C$3="הכל",Z47='לוח בקרה'!$C$3,AA47='לוח בקרה'!$C$3,AB47='לוח בקרה'!$C$3,AC47='לוח בקרה'!$C$3),OR('לוח בקרה'!$C$4="הכל",A47='לוח בקרה'!$C$4),OR('לוח בקרה'!$C$5="הכל",T47='לוח בקרה'!$C$5),OR('לוח בקרה'!$C$6="הכל",H47='לוח בקרה'!$C$6,I47='לוח בקרה'!$C$6),OR('לוח בקרה'!$C$7="הכל",J47='לוח בקרה'!$C$7),OR('לוח בקרה'!$C$8="הכל",L47='לוח בקרה'!$C$8),OR('לוח בקרה'!$C$9="הכל",Q47='לוח בקרה'!$C$9),OR('לוח בקרה'!$C$10="הכל",F47='לוח בקרה'!$C$10,G47='לוח בקרה'!$C$10),D47&lt;&gt;""),ROW()-2,"")</f>
        <v/>
      </c>
      <c r="AE47">
        <f>IF(AND(OR('טכנו'!$C$3="הכל",Z47='טכנו'!$C$3,AA47='טכנו'!$C$3,AB47='טכנו'!$C$3,AC47='טכנו'!$C$3),OR('טכנו'!$C$4="הכל",A47='טכנו'!$C$4),D47&lt;&gt;""),ROW()-2,"")</f>
        <v/>
      </c>
    </row>
    <row r="48">
      <c r="E48">
        <f>IFERROR(INDEX('הגדרות'!$I:$I,MATCH(B48,'הגדרות'!$H:$H,0)),"")</f>
        <v/>
      </c>
      <c r="Z48">
        <f>IFERROR(VLOOKUP(H48,'הגדרות'!$A:$D,2,FALSE),"")</f>
        <v/>
      </c>
      <c r="AA48">
        <f>IFERROR(VLOOKUP(H48,'הגדרות'!$A:$D,3,FALSE),"")</f>
        <v/>
      </c>
      <c r="AB48">
        <f>IFERROR(VLOOKUP(I48,'הגדרות'!$A:$D,2,FALSE),"")</f>
        <v/>
      </c>
      <c r="AC48">
        <f>IFERROR(VLOOKUP(I48,'הגדרות'!$A:$D,3,FALSE),"")</f>
        <v/>
      </c>
      <c r="AD48">
        <f>IF(AND(OR('לוח בקרה'!$C$3="הכל",Z48='לוח בקרה'!$C$3,AA48='לוח בקרה'!$C$3,AB48='לוח בקרה'!$C$3,AC48='לוח בקרה'!$C$3),OR('לוח בקרה'!$C$4="הכל",A48='לוח בקרה'!$C$4),OR('לוח בקרה'!$C$5="הכל",T48='לוח בקרה'!$C$5),OR('לוח בקרה'!$C$6="הכל",H48='לוח בקרה'!$C$6,I48='לוח בקרה'!$C$6),OR('לוח בקרה'!$C$7="הכל",J48='לוח בקרה'!$C$7),OR('לוח בקרה'!$C$8="הכל",L48='לוח בקרה'!$C$8),OR('לוח בקרה'!$C$9="הכל",Q48='לוח בקרה'!$C$9),OR('לוח בקרה'!$C$10="הכל",F48='לוח בקרה'!$C$10,G48='לוח בקרה'!$C$10),D48&lt;&gt;""),ROW()-2,"")</f>
        <v/>
      </c>
      <c r="AE48">
        <f>IF(AND(OR('טכנו'!$C$3="הכל",Z48='טכנו'!$C$3,AA48='טכנו'!$C$3,AB48='טכנו'!$C$3,AC48='טכנו'!$C$3),OR('טכנו'!$C$4="הכל",A48='טכנו'!$C$4),D48&lt;&gt;""),ROW()-2,"")</f>
        <v/>
      </c>
    </row>
    <row r="49">
      <c r="E49">
        <f>IFERROR(INDEX('הגדרות'!$I:$I,MATCH(B49,'הגדרות'!$H:$H,0)),"")</f>
        <v/>
      </c>
      <c r="Z49">
        <f>IFERROR(VLOOKUP(H49,'הגדרות'!$A:$D,2,FALSE),"")</f>
        <v/>
      </c>
      <c r="AA49">
        <f>IFERROR(VLOOKUP(H49,'הגדרות'!$A:$D,3,FALSE),"")</f>
        <v/>
      </c>
      <c r="AB49">
        <f>IFERROR(VLOOKUP(I49,'הגדרות'!$A:$D,2,FALSE),"")</f>
        <v/>
      </c>
      <c r="AC49">
        <f>IFERROR(VLOOKUP(I49,'הגדרות'!$A:$D,3,FALSE),"")</f>
        <v/>
      </c>
      <c r="AD49">
        <f>IF(AND(OR('לוח בקרה'!$C$3="הכל",Z49='לוח בקרה'!$C$3,AA49='לוח בקרה'!$C$3,AB49='לוח בקרה'!$C$3,AC49='לוח בקרה'!$C$3),OR('לוח בקרה'!$C$4="הכל",A49='לוח בקרה'!$C$4),OR('לוח בקרה'!$C$5="הכל",T49='לוח בקרה'!$C$5),OR('לוח בקרה'!$C$6="הכל",H49='לוח בקרה'!$C$6,I49='לוח בקרה'!$C$6),OR('לוח בקרה'!$C$7="הכל",J49='לוח בקרה'!$C$7),OR('לוח בקרה'!$C$8="הכל",L49='לוח בקרה'!$C$8),OR('לוח בקרה'!$C$9="הכל",Q49='לוח בקרה'!$C$9),OR('לוח בקרה'!$C$10="הכל",F49='לוח בקרה'!$C$10,G49='לוח בקרה'!$C$10),D49&lt;&gt;""),ROW()-2,"")</f>
        <v/>
      </c>
      <c r="AE49">
        <f>IF(AND(OR('טכנו'!$C$3="הכל",Z49='טכנו'!$C$3,AA49='טכנו'!$C$3,AB49='טכנו'!$C$3,AC49='טכנו'!$C$3),OR('טכנו'!$C$4="הכל",A49='טכנו'!$C$4),D49&lt;&gt;""),ROW()-2,"")</f>
        <v/>
      </c>
    </row>
    <row r="50">
      <c r="E50">
        <f>IFERROR(INDEX('הגדרות'!$I:$I,MATCH(B50,'הגדרות'!$H:$H,0)),"")</f>
        <v/>
      </c>
      <c r="Z50">
        <f>IFERROR(VLOOKUP(H50,'הגדרות'!$A:$D,2,FALSE),"")</f>
        <v/>
      </c>
      <c r="AA50">
        <f>IFERROR(VLOOKUP(H50,'הגדרות'!$A:$D,3,FALSE),"")</f>
        <v/>
      </c>
      <c r="AB50">
        <f>IFERROR(VLOOKUP(I50,'הגדרות'!$A:$D,2,FALSE),"")</f>
        <v/>
      </c>
      <c r="AC50">
        <f>IFERROR(VLOOKUP(I50,'הגדרות'!$A:$D,3,FALSE),"")</f>
        <v/>
      </c>
      <c r="AD50">
        <f>IF(AND(OR('לוח בקרה'!$C$3="הכל",Z50='לוח בקרה'!$C$3,AA50='לוח בקרה'!$C$3,AB50='לוח בקרה'!$C$3,AC50='לוח בקרה'!$C$3),OR('לוח בקרה'!$C$4="הכל",A50='לוח בקרה'!$C$4),OR('לוח בקרה'!$C$5="הכל",T50='לוח בקרה'!$C$5),OR('לוח בקרה'!$C$6="הכל",H50='לוח בקרה'!$C$6,I50='לוח בקרה'!$C$6),OR('לוח בקרה'!$C$7="הכל",J50='לוח בקרה'!$C$7),OR('לוח בקרה'!$C$8="הכל",L50='לוח בקרה'!$C$8),OR('לוח בקרה'!$C$9="הכל",Q50='לוח בקרה'!$C$9),OR('לוח בקרה'!$C$10="הכל",F50='לוח בקרה'!$C$10,G50='לוח בקרה'!$C$10),D50&lt;&gt;""),ROW()-2,"")</f>
        <v/>
      </c>
      <c r="AE50">
        <f>IF(AND(OR('טכנו'!$C$3="הכל",Z50='טכנו'!$C$3,AA50='טכנו'!$C$3,AB50='טכנו'!$C$3,AC50='טכנו'!$C$3),OR('טכנו'!$C$4="הכל",A50='טכנו'!$C$4),D50&lt;&gt;""),ROW()-2,"")</f>
        <v/>
      </c>
    </row>
    <row r="51">
      <c r="E51">
        <f>IFERROR(INDEX('הגדרות'!$I:$I,MATCH(B51,'הגדרות'!$H:$H,0)),"")</f>
        <v/>
      </c>
      <c r="Z51">
        <f>IFERROR(VLOOKUP(H51,'הגדרות'!$A:$D,2,FALSE),"")</f>
        <v/>
      </c>
      <c r="AA51">
        <f>IFERROR(VLOOKUP(H51,'הגדרות'!$A:$D,3,FALSE),"")</f>
        <v/>
      </c>
      <c r="AB51">
        <f>IFERROR(VLOOKUP(I51,'הגדרות'!$A:$D,2,FALSE),"")</f>
        <v/>
      </c>
      <c r="AC51">
        <f>IFERROR(VLOOKUP(I51,'הגדרות'!$A:$D,3,FALSE),"")</f>
        <v/>
      </c>
      <c r="AD51">
        <f>IF(AND(OR('לוח בקרה'!$C$3="הכל",Z51='לוח בקרה'!$C$3,AA51='לוח בקרה'!$C$3,AB51='לוח בקרה'!$C$3,AC51='לוח בקרה'!$C$3),OR('לוח בקרה'!$C$4="הכל",A51='לוח בקרה'!$C$4),OR('לוח בקרה'!$C$5="הכל",T51='לוח בקרה'!$C$5),OR('לוח בקרה'!$C$6="הכל",H51='לוח בקרה'!$C$6,I51='לוח בקרה'!$C$6),OR('לוח בקרה'!$C$7="הכל",J51='לוח בקרה'!$C$7),OR('לוח בקרה'!$C$8="הכל",L51='לוח בקרה'!$C$8),OR('לוח בקרה'!$C$9="הכל",Q51='לוח בקרה'!$C$9),OR('לוח בקרה'!$C$10="הכל",F51='לוח בקרה'!$C$10,G51='לוח בקרה'!$C$10),D51&lt;&gt;""),ROW()-2,"")</f>
        <v/>
      </c>
      <c r="AE51">
        <f>IF(AND(OR('טכנו'!$C$3="הכל",Z51='טכנו'!$C$3,AA51='טכנו'!$C$3,AB51='טכנו'!$C$3,AC51='טכנו'!$C$3),OR('טכנו'!$C$4="הכל",A51='טכנו'!$C$4),D51&lt;&gt;""),ROW()-2,"")</f>
        <v/>
      </c>
    </row>
    <row r="52">
      <c r="E52">
        <f>IFERROR(INDEX('הגדרות'!$I:$I,MATCH(B52,'הגדרות'!$H:$H,0)),"")</f>
        <v/>
      </c>
      <c r="Z52">
        <f>IFERROR(VLOOKUP(H52,'הגדרות'!$A:$D,2,FALSE),"")</f>
        <v/>
      </c>
      <c r="AA52">
        <f>IFERROR(VLOOKUP(H52,'הגדרות'!$A:$D,3,FALSE),"")</f>
        <v/>
      </c>
      <c r="AB52">
        <f>IFERROR(VLOOKUP(I52,'הגדרות'!$A:$D,2,FALSE),"")</f>
        <v/>
      </c>
      <c r="AC52">
        <f>IFERROR(VLOOKUP(I52,'הגדרות'!$A:$D,3,FALSE),"")</f>
        <v/>
      </c>
      <c r="AD52">
        <f>IF(AND(OR('לוח בקרה'!$C$3="הכל",Z52='לוח בקרה'!$C$3,AA52='לוח בקרה'!$C$3,AB52='לוח בקרה'!$C$3,AC52='לוח בקרה'!$C$3),OR('לוח בקרה'!$C$4="הכל",A52='לוח בקרה'!$C$4),OR('לוח בקרה'!$C$5="הכל",T52='לוח בקרה'!$C$5),OR('לוח בקרה'!$C$6="הכל",H52='לוח בקרה'!$C$6,I52='לוח בקרה'!$C$6),OR('לוח בקרה'!$C$7="הכל",J52='לוח בקרה'!$C$7),OR('לוח בקרה'!$C$8="הכל",L52='לוח בקרה'!$C$8),OR('לוח בקרה'!$C$9="הכל",Q52='לוח בקרה'!$C$9),OR('לוח בקרה'!$C$10="הכל",F52='לוח בקרה'!$C$10,G52='לוח בקרה'!$C$10),D52&lt;&gt;""),ROW()-2,"")</f>
        <v/>
      </c>
      <c r="AE52">
        <f>IF(AND(OR('טכנו'!$C$3="הכל",Z52='טכנו'!$C$3,AA52='טכנו'!$C$3,AB52='טכנו'!$C$3,AC52='טכנו'!$C$3),OR('טכנו'!$C$4="הכל",A52='טכנו'!$C$4),D52&lt;&gt;""),ROW()-2,"")</f>
        <v/>
      </c>
    </row>
    <row r="53">
      <c r="E53">
        <f>IFERROR(INDEX('הגדרות'!$I:$I,MATCH(B53,'הגדרות'!$H:$H,0)),"")</f>
        <v/>
      </c>
      <c r="Z53">
        <f>IFERROR(VLOOKUP(H53,'הגדרות'!$A:$D,2,FALSE),"")</f>
        <v/>
      </c>
      <c r="AA53">
        <f>IFERROR(VLOOKUP(H53,'הגדרות'!$A:$D,3,FALSE),"")</f>
        <v/>
      </c>
      <c r="AB53">
        <f>IFERROR(VLOOKUP(I53,'הגדרות'!$A:$D,2,FALSE),"")</f>
        <v/>
      </c>
      <c r="AC53">
        <f>IFERROR(VLOOKUP(I53,'הגדרות'!$A:$D,3,FALSE),"")</f>
        <v/>
      </c>
      <c r="AD53">
        <f>IF(AND(OR('לוח בקרה'!$C$3="הכל",Z53='לוח בקרה'!$C$3,AA53='לוח בקרה'!$C$3,AB53='לוח בקרה'!$C$3,AC53='לוח בקרה'!$C$3),OR('לוח בקרה'!$C$4="הכל",A53='לוח בקרה'!$C$4),OR('לוח בקרה'!$C$5="הכל",T53='לוח בקרה'!$C$5),OR('לוח בקרה'!$C$6="הכל",H53='לוח בקרה'!$C$6,I53='לוח בקרה'!$C$6),OR('לוח בקרה'!$C$7="הכל",J53='לוח בקרה'!$C$7),OR('לוח בקרה'!$C$8="הכל",L53='לוח בקרה'!$C$8),OR('לוח בקרה'!$C$9="הכל",Q53='לוח בקרה'!$C$9),OR('לוח בקרה'!$C$10="הכל",F53='לוח בקרה'!$C$10,G53='לוח בקרה'!$C$10),D53&lt;&gt;""),ROW()-2,"")</f>
        <v/>
      </c>
      <c r="AE53">
        <f>IF(AND(OR('טכנו'!$C$3="הכל",Z53='טכנו'!$C$3,AA53='טכנו'!$C$3,AB53='טכנו'!$C$3,AC53='טכנו'!$C$3),OR('טכנו'!$C$4="הכל",A53='טכנו'!$C$4),D53&lt;&gt;""),ROW()-2,"")</f>
        <v/>
      </c>
    </row>
    <row r="54">
      <c r="E54">
        <f>IFERROR(INDEX('הגדרות'!$I:$I,MATCH(B54,'הגדרות'!$H:$H,0)),"")</f>
        <v/>
      </c>
      <c r="Z54">
        <f>IFERROR(VLOOKUP(H54,'הגדרות'!$A:$D,2,FALSE),"")</f>
        <v/>
      </c>
      <c r="AA54">
        <f>IFERROR(VLOOKUP(H54,'הגדרות'!$A:$D,3,FALSE),"")</f>
        <v/>
      </c>
      <c r="AB54">
        <f>IFERROR(VLOOKUP(I54,'הגדרות'!$A:$D,2,FALSE),"")</f>
        <v/>
      </c>
      <c r="AC54">
        <f>IFERROR(VLOOKUP(I54,'הגדרות'!$A:$D,3,FALSE),"")</f>
        <v/>
      </c>
      <c r="AD54">
        <f>IF(AND(OR('לוח בקרה'!$C$3="הכל",Z54='לוח בקרה'!$C$3,AA54='לוח בקרה'!$C$3,AB54='לוח בקרה'!$C$3,AC54='לוח בקרה'!$C$3),OR('לוח בקרה'!$C$4="הכל",A54='לוח בקרה'!$C$4),OR('לוח בקרה'!$C$5="הכל",T54='לוח בקרה'!$C$5),OR('לוח בקרה'!$C$6="הכל",H54='לוח בקרה'!$C$6,I54='לוח בקרה'!$C$6),OR('לוח בקרה'!$C$7="הכל",J54='לוח בקרה'!$C$7),OR('לוח בקרה'!$C$8="הכל",L54='לוח בקרה'!$C$8),OR('לוח בקרה'!$C$9="הכל",Q54='לוח בקרה'!$C$9),OR('לוח בקרה'!$C$10="הכל",F54='לוח בקרה'!$C$10,G54='לוח בקרה'!$C$10),D54&lt;&gt;""),ROW()-2,"")</f>
        <v/>
      </c>
      <c r="AE54">
        <f>IF(AND(OR('טכנו'!$C$3="הכל",Z54='טכנו'!$C$3,AA54='טכנו'!$C$3,AB54='טכנו'!$C$3,AC54='טכנו'!$C$3),OR('טכנו'!$C$4="הכל",A54='טכנו'!$C$4),D54&lt;&gt;""),ROW()-2,"")</f>
        <v/>
      </c>
    </row>
    <row r="55">
      <c r="E55">
        <f>IFERROR(INDEX('הגדרות'!$I:$I,MATCH(B55,'הגדרות'!$H:$H,0)),"")</f>
        <v/>
      </c>
      <c r="Z55">
        <f>IFERROR(VLOOKUP(H55,'הגדרות'!$A:$D,2,FALSE),"")</f>
        <v/>
      </c>
      <c r="AA55">
        <f>IFERROR(VLOOKUP(H55,'הגדרות'!$A:$D,3,FALSE),"")</f>
        <v/>
      </c>
      <c r="AB55">
        <f>IFERROR(VLOOKUP(I55,'הגדרות'!$A:$D,2,FALSE),"")</f>
        <v/>
      </c>
      <c r="AC55">
        <f>IFERROR(VLOOKUP(I55,'הגדרות'!$A:$D,3,FALSE),"")</f>
        <v/>
      </c>
      <c r="AD55">
        <f>IF(AND(OR('לוח בקרה'!$C$3="הכל",Z55='לוח בקרה'!$C$3,AA55='לוח בקרה'!$C$3,AB55='לוח בקרה'!$C$3,AC55='לוח בקרה'!$C$3),OR('לוח בקרה'!$C$4="הכל",A55='לוח בקרה'!$C$4),OR('לוח בקרה'!$C$5="הכל",T55='לוח בקרה'!$C$5),OR('לוח בקרה'!$C$6="הכל",H55='לוח בקרה'!$C$6,I55='לוח בקרה'!$C$6),OR('לוח בקרה'!$C$7="הכל",J55='לוח בקרה'!$C$7),OR('לוח בקרה'!$C$8="הכל",L55='לוח בקרה'!$C$8),OR('לוח בקרה'!$C$9="הכל",Q55='לוח בקרה'!$C$9),OR('לוח בקרה'!$C$10="הכל",F55='לוח בקרה'!$C$10,G55='לוח בקרה'!$C$10),D55&lt;&gt;""),ROW()-2,"")</f>
        <v/>
      </c>
      <c r="AE55">
        <f>IF(AND(OR('טכנו'!$C$3="הכל",Z55='טכנו'!$C$3,AA55='טכנו'!$C$3,AB55='טכנו'!$C$3,AC55='טכנו'!$C$3),OR('טכנו'!$C$4="הכל",A55='טכנו'!$C$4),D55&lt;&gt;""),ROW()-2,"")</f>
        <v/>
      </c>
    </row>
    <row r="56">
      <c r="E56">
        <f>IFERROR(INDEX('הגדרות'!$I:$I,MATCH(B56,'הגדרות'!$H:$H,0)),"")</f>
        <v/>
      </c>
      <c r="Z56">
        <f>IFERROR(VLOOKUP(H56,'הגדרות'!$A:$D,2,FALSE),"")</f>
        <v/>
      </c>
      <c r="AA56">
        <f>IFERROR(VLOOKUP(H56,'הגדרות'!$A:$D,3,FALSE),"")</f>
        <v/>
      </c>
      <c r="AB56">
        <f>IFERROR(VLOOKUP(I56,'הגדרות'!$A:$D,2,FALSE),"")</f>
        <v/>
      </c>
      <c r="AC56">
        <f>IFERROR(VLOOKUP(I56,'הגדרות'!$A:$D,3,FALSE),"")</f>
        <v/>
      </c>
      <c r="AD56">
        <f>IF(AND(OR('לוח בקרה'!$C$3="הכל",Z56='לוח בקרה'!$C$3,AA56='לוח בקרה'!$C$3,AB56='לוח בקרה'!$C$3,AC56='לוח בקרה'!$C$3),OR('לוח בקרה'!$C$4="הכל",A56='לוח בקרה'!$C$4),OR('לוח בקרה'!$C$5="הכל",T56='לוח בקרה'!$C$5),OR('לוח בקרה'!$C$6="הכל",H56='לוח בקרה'!$C$6,I56='לוח בקרה'!$C$6),OR('לוח בקרה'!$C$7="הכל",J56='לוח בקרה'!$C$7),OR('לוח בקרה'!$C$8="הכל",L56='לוח בקרה'!$C$8),OR('לוח בקרה'!$C$9="הכל",Q56='לוח בקרה'!$C$9),OR('לוח בקרה'!$C$10="הכל",F56='לוח בקרה'!$C$10,G56='לוח בקרה'!$C$10),D56&lt;&gt;""),ROW()-2,"")</f>
        <v/>
      </c>
      <c r="AE56">
        <f>IF(AND(OR('טכנו'!$C$3="הכל",Z56='טכנו'!$C$3,AA56='טכנו'!$C$3,AB56='טכנו'!$C$3,AC56='טכנו'!$C$3),OR('טכנו'!$C$4="הכל",A56='טכנו'!$C$4),D56&lt;&gt;""),ROW()-2,"")</f>
        <v/>
      </c>
    </row>
    <row r="57">
      <c r="E57">
        <f>IFERROR(INDEX('הגדרות'!$I:$I,MATCH(B57,'הגדרות'!$H:$H,0)),"")</f>
        <v/>
      </c>
      <c r="Z57">
        <f>IFERROR(VLOOKUP(H57,'הגדרות'!$A:$D,2,FALSE),"")</f>
        <v/>
      </c>
      <c r="AA57">
        <f>IFERROR(VLOOKUP(H57,'הגדרות'!$A:$D,3,FALSE),"")</f>
        <v/>
      </c>
      <c r="AB57">
        <f>IFERROR(VLOOKUP(I57,'הגדרות'!$A:$D,2,FALSE),"")</f>
        <v/>
      </c>
      <c r="AC57">
        <f>IFERROR(VLOOKUP(I57,'הגדרות'!$A:$D,3,FALSE),"")</f>
        <v/>
      </c>
      <c r="AD57">
        <f>IF(AND(OR('לוח בקרה'!$C$3="הכל",Z57='לוח בקרה'!$C$3,AA57='לוח בקרה'!$C$3,AB57='לוח בקרה'!$C$3,AC57='לוח בקרה'!$C$3),OR('לוח בקרה'!$C$4="הכל",A57='לוח בקרה'!$C$4),OR('לוח בקרה'!$C$5="הכל",T57='לוח בקרה'!$C$5),OR('לוח בקרה'!$C$6="הכל",H57='לוח בקרה'!$C$6,I57='לוח בקרה'!$C$6),OR('לוח בקרה'!$C$7="הכל",J57='לוח בקרה'!$C$7),OR('לוח בקרה'!$C$8="הכל",L57='לוח בקרה'!$C$8),OR('לוח בקרה'!$C$9="הכל",Q57='לוח בקרה'!$C$9),OR('לוח בקרה'!$C$10="הכל",F57='לוח בקרה'!$C$10,G57='לוח בקרה'!$C$10),D57&lt;&gt;""),ROW()-2,"")</f>
        <v/>
      </c>
      <c r="AE57">
        <f>IF(AND(OR('טכנו'!$C$3="הכל",Z57='טכנו'!$C$3,AA57='טכנו'!$C$3,AB57='טכנו'!$C$3,AC57='טכנו'!$C$3),OR('טכנו'!$C$4="הכל",A57='טכנו'!$C$4),D57&lt;&gt;""),ROW()-2,"")</f>
        <v/>
      </c>
    </row>
    <row r="58">
      <c r="E58">
        <f>IFERROR(INDEX('הגדרות'!$I:$I,MATCH(B58,'הגדרות'!$H:$H,0)),"")</f>
        <v/>
      </c>
      <c r="Z58">
        <f>IFERROR(VLOOKUP(H58,'הגדרות'!$A:$D,2,FALSE),"")</f>
        <v/>
      </c>
      <c r="AA58">
        <f>IFERROR(VLOOKUP(H58,'הגדרות'!$A:$D,3,FALSE),"")</f>
        <v/>
      </c>
      <c r="AB58">
        <f>IFERROR(VLOOKUP(I58,'הגדרות'!$A:$D,2,FALSE),"")</f>
        <v/>
      </c>
      <c r="AC58">
        <f>IFERROR(VLOOKUP(I58,'הגדרות'!$A:$D,3,FALSE),"")</f>
        <v/>
      </c>
      <c r="AD58">
        <f>IF(AND(OR('לוח בקרה'!$C$3="הכל",Z58='לוח בקרה'!$C$3,AA58='לוח בקרה'!$C$3,AB58='לוח בקרה'!$C$3,AC58='לוח בקרה'!$C$3),OR('לוח בקרה'!$C$4="הכל",A58='לוח בקרה'!$C$4),OR('לוח בקרה'!$C$5="הכל",T58='לוח בקרה'!$C$5),OR('לוח בקרה'!$C$6="הכל",H58='לוח בקרה'!$C$6,I58='לוח בקרה'!$C$6),OR('לוח בקרה'!$C$7="הכל",J58='לוח בקרה'!$C$7),OR('לוח בקרה'!$C$8="הכל",L58='לוח בקרה'!$C$8),OR('לוח בקרה'!$C$9="הכל",Q58='לוח בקרה'!$C$9),OR('לוח בקרה'!$C$10="הכל",F58='לוח בקרה'!$C$10,G58='לוח בקרה'!$C$10),D58&lt;&gt;""),ROW()-2,"")</f>
        <v/>
      </c>
      <c r="AE58">
        <f>IF(AND(OR('טכנו'!$C$3="הכל",Z58='טכנו'!$C$3,AA58='טכנו'!$C$3,AB58='טכנו'!$C$3,AC58='טכנו'!$C$3),OR('טכנו'!$C$4="הכל",A58='טכנו'!$C$4),D58&lt;&gt;""),ROW()-2,"")</f>
        <v/>
      </c>
    </row>
    <row r="59">
      <c r="E59">
        <f>IFERROR(INDEX('הגדרות'!$I:$I,MATCH(B59,'הגדרות'!$H:$H,0)),"")</f>
        <v/>
      </c>
      <c r="Z59">
        <f>IFERROR(VLOOKUP(H59,'הגדרות'!$A:$D,2,FALSE),"")</f>
        <v/>
      </c>
      <c r="AA59">
        <f>IFERROR(VLOOKUP(H59,'הגדרות'!$A:$D,3,FALSE),"")</f>
        <v/>
      </c>
      <c r="AB59">
        <f>IFERROR(VLOOKUP(I59,'הגדרות'!$A:$D,2,FALSE),"")</f>
        <v/>
      </c>
      <c r="AC59">
        <f>IFERROR(VLOOKUP(I59,'הגדרות'!$A:$D,3,FALSE),"")</f>
        <v/>
      </c>
      <c r="AD59">
        <f>IF(AND(OR('לוח בקרה'!$C$3="הכל",Z59='לוח בקרה'!$C$3,AA59='לוח בקרה'!$C$3,AB59='לוח בקרה'!$C$3,AC59='לוח בקרה'!$C$3),OR('לוח בקרה'!$C$4="הכל",A59='לוח בקרה'!$C$4),OR('לוח בקרה'!$C$5="הכל",T59='לוח בקרה'!$C$5),OR('לוח בקרה'!$C$6="הכל",H59='לוח בקרה'!$C$6,I59='לוח בקרה'!$C$6),OR('לוח בקרה'!$C$7="הכל",J59='לוח בקרה'!$C$7),OR('לוח בקרה'!$C$8="הכל",L59='לוח בקרה'!$C$8),OR('לוח בקרה'!$C$9="הכל",Q59='לוח בקרה'!$C$9),OR('לוח בקרה'!$C$10="הכל",F59='לוח בקרה'!$C$10,G59='לוח בקרה'!$C$10),D59&lt;&gt;""),ROW()-2,"")</f>
        <v/>
      </c>
      <c r="AE59">
        <f>IF(AND(OR('טכנו'!$C$3="הכל",Z59='טכנו'!$C$3,AA59='טכנו'!$C$3,AB59='טכנו'!$C$3,AC59='טכנו'!$C$3),OR('טכנו'!$C$4="הכל",A59='טכנו'!$C$4),D59&lt;&gt;""),ROW()-2,"")</f>
        <v/>
      </c>
    </row>
    <row r="60">
      <c r="E60">
        <f>IFERROR(INDEX('הגדרות'!$I:$I,MATCH(B60,'הגדרות'!$H:$H,0)),"")</f>
        <v/>
      </c>
      <c r="Z60">
        <f>IFERROR(VLOOKUP(H60,'הגדרות'!$A:$D,2,FALSE),"")</f>
        <v/>
      </c>
      <c r="AA60">
        <f>IFERROR(VLOOKUP(H60,'הגדרות'!$A:$D,3,FALSE),"")</f>
        <v/>
      </c>
      <c r="AB60">
        <f>IFERROR(VLOOKUP(I60,'הגדרות'!$A:$D,2,FALSE),"")</f>
        <v/>
      </c>
      <c r="AC60">
        <f>IFERROR(VLOOKUP(I60,'הגדרות'!$A:$D,3,FALSE),"")</f>
        <v/>
      </c>
      <c r="AD60">
        <f>IF(AND(OR('לוח בקרה'!$C$3="הכל",Z60='לוח בקרה'!$C$3,AA60='לוח בקרה'!$C$3,AB60='לוח בקרה'!$C$3,AC60='לוח בקרה'!$C$3),OR('לוח בקרה'!$C$4="הכל",A60='לוח בקרה'!$C$4),OR('לוח בקרה'!$C$5="הכל",T60='לוח בקרה'!$C$5),OR('לוח בקרה'!$C$6="הכל",H60='לוח בקרה'!$C$6,I60='לוח בקרה'!$C$6),OR('לוח בקרה'!$C$7="הכל",J60='לוח בקרה'!$C$7),OR('לוח בקרה'!$C$8="הכל",L60='לוח בקרה'!$C$8),OR('לוח בקרה'!$C$9="הכל",Q60='לוח בקרה'!$C$9),OR('לוח בקרה'!$C$10="הכל",F60='לוח בקרה'!$C$10,G60='לוח בקרה'!$C$10),D60&lt;&gt;""),ROW()-2,"")</f>
        <v/>
      </c>
      <c r="AE60">
        <f>IF(AND(OR('טכנו'!$C$3="הכל",Z60='טכנו'!$C$3,AA60='טכנו'!$C$3,AB60='טכנו'!$C$3,AC60='טכנו'!$C$3),OR('טכנו'!$C$4="הכל",A60='טכנו'!$C$4),D60&lt;&gt;""),ROW()-2,"")</f>
        <v/>
      </c>
    </row>
    <row r="61">
      <c r="E61">
        <f>IFERROR(INDEX('הגדרות'!$I:$I,MATCH(B61,'הגדרות'!$H:$H,0)),"")</f>
        <v/>
      </c>
      <c r="Z61">
        <f>IFERROR(VLOOKUP(H61,'הגדרות'!$A:$D,2,FALSE),"")</f>
        <v/>
      </c>
      <c r="AA61">
        <f>IFERROR(VLOOKUP(H61,'הגדרות'!$A:$D,3,FALSE),"")</f>
        <v/>
      </c>
      <c r="AB61">
        <f>IFERROR(VLOOKUP(I61,'הגדרות'!$A:$D,2,FALSE),"")</f>
        <v/>
      </c>
      <c r="AC61">
        <f>IFERROR(VLOOKUP(I61,'הגדרות'!$A:$D,3,FALSE),"")</f>
        <v/>
      </c>
      <c r="AD61">
        <f>IF(AND(OR('לוח בקרה'!$C$3="הכל",Z61='לוח בקרה'!$C$3,AA61='לוח בקרה'!$C$3,AB61='לוח בקרה'!$C$3,AC61='לוח בקרה'!$C$3),OR('לוח בקרה'!$C$4="הכל",A61='לוח בקרה'!$C$4),OR('לוח בקרה'!$C$5="הכל",T61='לוח בקרה'!$C$5),OR('לוח בקרה'!$C$6="הכל",H61='לוח בקרה'!$C$6,I61='לוח בקרה'!$C$6),OR('לוח בקרה'!$C$7="הכל",J61='לוח בקרה'!$C$7),OR('לוח בקרה'!$C$8="הכל",L61='לוח בקרה'!$C$8),OR('לוח בקרה'!$C$9="הכל",Q61='לוח בקרה'!$C$9),OR('לוח בקרה'!$C$10="הכל",F61='לוח בקרה'!$C$10,G61='לוח בקרה'!$C$10),D61&lt;&gt;""),ROW()-2,"")</f>
        <v/>
      </c>
      <c r="AE61">
        <f>IF(AND(OR('טכנו'!$C$3="הכל",Z61='טכנו'!$C$3,AA61='טכנו'!$C$3,AB61='טכנו'!$C$3,AC61='טכנו'!$C$3),OR('טכנו'!$C$4="הכל",A61='טכנו'!$C$4),D61&lt;&gt;""),ROW()-2,"")</f>
        <v/>
      </c>
    </row>
    <row r="62">
      <c r="E62">
        <f>IFERROR(INDEX('הגדרות'!$I:$I,MATCH(B62,'הגדרות'!$H:$H,0)),"")</f>
        <v/>
      </c>
      <c r="Z62">
        <f>IFERROR(VLOOKUP(H62,'הגדרות'!$A:$D,2,FALSE),"")</f>
        <v/>
      </c>
      <c r="AA62">
        <f>IFERROR(VLOOKUP(H62,'הגדרות'!$A:$D,3,FALSE),"")</f>
        <v/>
      </c>
      <c r="AB62">
        <f>IFERROR(VLOOKUP(I62,'הגדרות'!$A:$D,2,FALSE),"")</f>
        <v/>
      </c>
      <c r="AC62">
        <f>IFERROR(VLOOKUP(I62,'הגדרות'!$A:$D,3,FALSE),"")</f>
        <v/>
      </c>
      <c r="AD62">
        <f>IF(AND(OR('לוח בקרה'!$C$3="הכל",Z62='לוח בקרה'!$C$3,AA62='לוח בקרה'!$C$3,AB62='לוח בקרה'!$C$3,AC62='לוח בקרה'!$C$3),OR('לוח בקרה'!$C$4="הכל",A62='לוח בקרה'!$C$4),OR('לוח בקרה'!$C$5="הכל",T62='לוח בקרה'!$C$5),OR('לוח בקרה'!$C$6="הכל",H62='לוח בקרה'!$C$6,I62='לוח בקרה'!$C$6),OR('לוח בקרה'!$C$7="הכל",J62='לוח בקרה'!$C$7),OR('לוח בקרה'!$C$8="הכל",L62='לוח בקרה'!$C$8),OR('לוח בקרה'!$C$9="הכל",Q62='לוח בקרה'!$C$9),OR('לוח בקרה'!$C$10="הכל",F62='לוח בקרה'!$C$10,G62='לוח בקרה'!$C$10),D62&lt;&gt;""),ROW()-2,"")</f>
        <v/>
      </c>
      <c r="AE62">
        <f>IF(AND(OR('טכנו'!$C$3="הכל",Z62='טכנו'!$C$3,AA62='טכנו'!$C$3,AB62='טכנו'!$C$3,AC62='טכנו'!$C$3),OR('טכנו'!$C$4="הכל",A62='טכנו'!$C$4),D62&lt;&gt;""),ROW()-2,"")</f>
        <v/>
      </c>
    </row>
    <row r="63">
      <c r="E63">
        <f>IFERROR(INDEX('הגדרות'!$I:$I,MATCH(B63,'הגדרות'!$H:$H,0)),"")</f>
        <v/>
      </c>
      <c r="Z63">
        <f>IFERROR(VLOOKUP(H63,'הגדרות'!$A:$D,2,FALSE),"")</f>
        <v/>
      </c>
      <c r="AA63">
        <f>IFERROR(VLOOKUP(H63,'הגדרות'!$A:$D,3,FALSE),"")</f>
        <v/>
      </c>
      <c r="AB63">
        <f>IFERROR(VLOOKUP(I63,'הגדרות'!$A:$D,2,FALSE),"")</f>
        <v/>
      </c>
      <c r="AC63">
        <f>IFERROR(VLOOKUP(I63,'הגדרות'!$A:$D,3,FALSE),"")</f>
        <v/>
      </c>
      <c r="AD63">
        <f>IF(AND(OR('לוח בקרה'!$C$3="הכל",Z63='לוח בקרה'!$C$3,AA63='לוח בקרה'!$C$3,AB63='לוח בקרה'!$C$3,AC63='לוח בקרה'!$C$3),OR('לוח בקרה'!$C$4="הכל",A63='לוח בקרה'!$C$4),OR('לוח בקרה'!$C$5="הכל",T63='לוח בקרה'!$C$5),OR('לוח בקרה'!$C$6="הכל",H63='לוח בקרה'!$C$6,I63='לוח בקרה'!$C$6),OR('לוח בקרה'!$C$7="הכל",J63='לוח בקרה'!$C$7),OR('לוח בקרה'!$C$8="הכל",L63='לוח בקרה'!$C$8),OR('לוח בקרה'!$C$9="הכל",Q63='לוח בקרה'!$C$9),OR('לוח בקרה'!$C$10="הכל",F63='לוח בקרה'!$C$10,G63='לוח בקרה'!$C$10),D63&lt;&gt;""),ROW()-2,"")</f>
        <v/>
      </c>
      <c r="AE63">
        <f>IF(AND(OR('טכנו'!$C$3="הכל",Z63='טכנו'!$C$3,AA63='טכנו'!$C$3,AB63='טכנו'!$C$3,AC63='טכנו'!$C$3),OR('טכנו'!$C$4="הכל",A63='טכנו'!$C$4),D63&lt;&gt;""),ROW()-2,"")</f>
        <v/>
      </c>
    </row>
    <row r="64">
      <c r="E64">
        <f>IFERROR(INDEX('הגדרות'!$I:$I,MATCH(B64,'הגדרות'!$H:$H,0)),"")</f>
        <v/>
      </c>
      <c r="Z64">
        <f>IFERROR(VLOOKUP(H64,'הגדרות'!$A:$D,2,FALSE),"")</f>
        <v/>
      </c>
      <c r="AA64">
        <f>IFERROR(VLOOKUP(H64,'הגדרות'!$A:$D,3,FALSE),"")</f>
        <v/>
      </c>
      <c r="AB64">
        <f>IFERROR(VLOOKUP(I64,'הגדרות'!$A:$D,2,FALSE),"")</f>
        <v/>
      </c>
      <c r="AC64">
        <f>IFERROR(VLOOKUP(I64,'הגדרות'!$A:$D,3,FALSE),"")</f>
        <v/>
      </c>
      <c r="AD64">
        <f>IF(AND(OR('לוח בקרה'!$C$3="הכל",Z64='לוח בקרה'!$C$3,AA64='לוח בקרה'!$C$3,AB64='לוח בקרה'!$C$3,AC64='לוח בקרה'!$C$3),OR('לוח בקרה'!$C$4="הכל",A64='לוח בקרה'!$C$4),OR('לוח בקרה'!$C$5="הכל",T64='לוח בקרה'!$C$5),OR('לוח בקרה'!$C$6="הכל",H64='לוח בקרה'!$C$6,I64='לוח בקרה'!$C$6),OR('לוח בקרה'!$C$7="הכל",J64='לוח בקרה'!$C$7),OR('לוח בקרה'!$C$8="הכל",L64='לוח בקרה'!$C$8),OR('לוח בקרה'!$C$9="הכל",Q64='לוח בקרה'!$C$9),OR('לוח בקרה'!$C$10="הכל",F64='לוח בקרה'!$C$10,G64='לוח בקרה'!$C$10),D64&lt;&gt;""),ROW()-2,"")</f>
        <v/>
      </c>
      <c r="AE64">
        <f>IF(AND(OR('טכנו'!$C$3="הכל",Z64='טכנו'!$C$3,AA64='טכנו'!$C$3,AB64='טכנו'!$C$3,AC64='טכנו'!$C$3),OR('טכנו'!$C$4="הכל",A64='טכנו'!$C$4),D64&lt;&gt;""),ROW()-2,"")</f>
        <v/>
      </c>
    </row>
    <row r="65">
      <c r="E65">
        <f>IFERROR(INDEX('הגדרות'!$I:$I,MATCH(B65,'הגדרות'!$H:$H,0)),"")</f>
        <v/>
      </c>
      <c r="Z65">
        <f>IFERROR(VLOOKUP(H65,'הגדרות'!$A:$D,2,FALSE),"")</f>
        <v/>
      </c>
      <c r="AA65">
        <f>IFERROR(VLOOKUP(H65,'הגדרות'!$A:$D,3,FALSE),"")</f>
        <v/>
      </c>
      <c r="AB65">
        <f>IFERROR(VLOOKUP(I65,'הגדרות'!$A:$D,2,FALSE),"")</f>
        <v/>
      </c>
      <c r="AC65">
        <f>IFERROR(VLOOKUP(I65,'הגדרות'!$A:$D,3,FALSE),"")</f>
        <v/>
      </c>
      <c r="AD65">
        <f>IF(AND(OR('לוח בקרה'!$C$3="הכל",Z65='לוח בקרה'!$C$3,AA65='לוח בקרה'!$C$3,AB65='לוח בקרה'!$C$3,AC65='לוח בקרה'!$C$3),OR('לוח בקרה'!$C$4="הכל",A65='לוח בקרה'!$C$4),OR('לוח בקרה'!$C$5="הכל",T65='לוח בקרה'!$C$5),OR('לוח בקרה'!$C$6="הכל",H65='לוח בקרה'!$C$6,I65='לוח בקרה'!$C$6),OR('לוח בקרה'!$C$7="הכל",J65='לוח בקרה'!$C$7),OR('לוח בקרה'!$C$8="הכל",L65='לוח בקרה'!$C$8),OR('לוח בקרה'!$C$9="הכל",Q65='לוח בקרה'!$C$9),OR('לוח בקרה'!$C$10="הכל",F65='לוח בקרה'!$C$10,G65='לוח בקרה'!$C$10),D65&lt;&gt;""),ROW()-2,"")</f>
        <v/>
      </c>
      <c r="AE65">
        <f>IF(AND(OR('טכנו'!$C$3="הכל",Z65='טכנו'!$C$3,AA65='טכנו'!$C$3,AB65='טכנו'!$C$3,AC65='טכנו'!$C$3),OR('טכנו'!$C$4="הכל",A65='טכנו'!$C$4),D65&lt;&gt;""),ROW()-2,"")</f>
        <v/>
      </c>
    </row>
    <row r="66">
      <c r="E66">
        <f>IFERROR(INDEX('הגדרות'!$I:$I,MATCH(B66,'הגדרות'!$H:$H,0)),"")</f>
        <v/>
      </c>
      <c r="Z66">
        <f>IFERROR(VLOOKUP(H66,'הגדרות'!$A:$D,2,FALSE),"")</f>
        <v/>
      </c>
      <c r="AA66">
        <f>IFERROR(VLOOKUP(H66,'הגדרות'!$A:$D,3,FALSE),"")</f>
        <v/>
      </c>
      <c r="AB66">
        <f>IFERROR(VLOOKUP(I66,'הגדרות'!$A:$D,2,FALSE),"")</f>
        <v/>
      </c>
      <c r="AC66">
        <f>IFERROR(VLOOKUP(I66,'הגדרות'!$A:$D,3,FALSE),"")</f>
        <v/>
      </c>
      <c r="AD66">
        <f>IF(AND(OR('לוח בקרה'!$C$3="הכל",Z66='לוח בקרה'!$C$3,AA66='לוח בקרה'!$C$3,AB66='לוח בקרה'!$C$3,AC66='לוח בקרה'!$C$3),OR('לוח בקרה'!$C$4="הכל",A66='לוח בקרה'!$C$4),OR('לוח בקרה'!$C$5="הכל",T66='לוח בקרה'!$C$5),OR('לוח בקרה'!$C$6="הכל",H66='לוח בקרה'!$C$6,I66='לוח בקרה'!$C$6),OR('לוח בקרה'!$C$7="הכל",J66='לוח בקרה'!$C$7),OR('לוח בקרה'!$C$8="הכל",L66='לוח בקרה'!$C$8),OR('לוח בקרה'!$C$9="הכל",Q66='לוח בקרה'!$C$9),OR('לוח בקרה'!$C$10="הכל",F66='לוח בקרה'!$C$10,G66='לוח בקרה'!$C$10),D66&lt;&gt;""),ROW()-2,"")</f>
        <v/>
      </c>
      <c r="AE66">
        <f>IF(AND(OR('טכנו'!$C$3="הכל",Z66='טכנו'!$C$3,AA66='טכנו'!$C$3,AB66='טכנו'!$C$3,AC66='טכנו'!$C$3),OR('טכנו'!$C$4="הכל",A66='טכנו'!$C$4),D66&lt;&gt;""),ROW()-2,"")</f>
        <v/>
      </c>
    </row>
    <row r="67">
      <c r="E67">
        <f>IFERROR(INDEX('הגדרות'!$I:$I,MATCH(B67,'הגדרות'!$H:$H,0)),"")</f>
        <v/>
      </c>
      <c r="Z67">
        <f>IFERROR(VLOOKUP(H67,'הגדרות'!$A:$D,2,FALSE),"")</f>
        <v/>
      </c>
      <c r="AA67">
        <f>IFERROR(VLOOKUP(H67,'הגדרות'!$A:$D,3,FALSE),"")</f>
        <v/>
      </c>
      <c r="AB67">
        <f>IFERROR(VLOOKUP(I67,'הגדרות'!$A:$D,2,FALSE),"")</f>
        <v/>
      </c>
      <c r="AC67">
        <f>IFERROR(VLOOKUP(I67,'הגדרות'!$A:$D,3,FALSE),"")</f>
        <v/>
      </c>
      <c r="AD67">
        <f>IF(AND(OR('לוח בקרה'!$C$3="הכל",Z67='לוח בקרה'!$C$3,AA67='לוח בקרה'!$C$3,AB67='לוח בקרה'!$C$3,AC67='לוח בקרה'!$C$3),OR('לוח בקרה'!$C$4="הכל",A67='לוח בקרה'!$C$4),OR('לוח בקרה'!$C$5="הכל",T67='לוח בקרה'!$C$5),OR('לוח בקרה'!$C$6="הכל",H67='לוח בקרה'!$C$6,I67='לוח בקרה'!$C$6),OR('לוח בקרה'!$C$7="הכל",J67='לוח בקרה'!$C$7),OR('לוח בקרה'!$C$8="הכל",L67='לוח בקרה'!$C$8),OR('לוח בקרה'!$C$9="הכל",Q67='לוח בקרה'!$C$9),OR('לוח בקרה'!$C$10="הכל",F67='לוח בקרה'!$C$10,G67='לוח בקרה'!$C$10),D67&lt;&gt;""),ROW()-2,"")</f>
        <v/>
      </c>
      <c r="AE67">
        <f>IF(AND(OR('טכנו'!$C$3="הכל",Z67='טכנו'!$C$3,AA67='טכנו'!$C$3,AB67='טכנו'!$C$3,AC67='טכנו'!$C$3),OR('טכנו'!$C$4="הכל",A67='טכנו'!$C$4),D67&lt;&gt;""),ROW()-2,"")</f>
        <v/>
      </c>
    </row>
    <row r="68">
      <c r="E68">
        <f>IFERROR(INDEX('הגדרות'!$I:$I,MATCH(B68,'הגדרות'!$H:$H,0)),"")</f>
        <v/>
      </c>
      <c r="Z68">
        <f>IFERROR(VLOOKUP(H68,'הגדרות'!$A:$D,2,FALSE),"")</f>
        <v/>
      </c>
      <c r="AA68">
        <f>IFERROR(VLOOKUP(H68,'הגדרות'!$A:$D,3,FALSE),"")</f>
        <v/>
      </c>
      <c r="AB68">
        <f>IFERROR(VLOOKUP(I68,'הגדרות'!$A:$D,2,FALSE),"")</f>
        <v/>
      </c>
      <c r="AC68">
        <f>IFERROR(VLOOKUP(I68,'הגדרות'!$A:$D,3,FALSE),"")</f>
        <v/>
      </c>
      <c r="AD68">
        <f>IF(AND(OR('לוח בקרה'!$C$3="הכל",Z68='לוח בקרה'!$C$3,AA68='לוח בקרה'!$C$3,AB68='לוח בקרה'!$C$3,AC68='לוח בקרה'!$C$3),OR('לוח בקרה'!$C$4="הכל",A68='לוח בקרה'!$C$4),OR('לוח בקרה'!$C$5="הכל",T68='לוח בקרה'!$C$5),OR('לוח בקרה'!$C$6="הכל",H68='לוח בקרה'!$C$6,I68='לוח בקרה'!$C$6),OR('לוח בקרה'!$C$7="הכל",J68='לוח בקרה'!$C$7),OR('לוח בקרה'!$C$8="הכל",L68='לוח בקרה'!$C$8),OR('לוח בקרה'!$C$9="הכל",Q68='לוח בקרה'!$C$9),OR('לוח בקרה'!$C$10="הכל",F68='לוח בקרה'!$C$10,G68='לוח בקרה'!$C$10),D68&lt;&gt;""),ROW()-2,"")</f>
        <v/>
      </c>
      <c r="AE68">
        <f>IF(AND(OR('טכנו'!$C$3="הכל",Z68='טכנו'!$C$3,AA68='טכנו'!$C$3,AB68='טכנו'!$C$3,AC68='טכנו'!$C$3),OR('טכנו'!$C$4="הכל",A68='טכנו'!$C$4),D68&lt;&gt;""),ROW()-2,"")</f>
        <v/>
      </c>
    </row>
    <row r="69">
      <c r="E69">
        <f>IFERROR(INDEX('הגדרות'!$I:$I,MATCH(B69,'הגדרות'!$H:$H,0)),"")</f>
        <v/>
      </c>
      <c r="Z69">
        <f>IFERROR(VLOOKUP(H69,'הגדרות'!$A:$D,2,FALSE),"")</f>
        <v/>
      </c>
      <c r="AA69">
        <f>IFERROR(VLOOKUP(H69,'הגדרות'!$A:$D,3,FALSE),"")</f>
        <v/>
      </c>
      <c r="AB69">
        <f>IFERROR(VLOOKUP(I69,'הגדרות'!$A:$D,2,FALSE),"")</f>
        <v/>
      </c>
      <c r="AC69">
        <f>IFERROR(VLOOKUP(I69,'הגדרות'!$A:$D,3,FALSE),"")</f>
        <v/>
      </c>
      <c r="AD69">
        <f>IF(AND(OR('לוח בקרה'!$C$3="הכל",Z69='לוח בקרה'!$C$3,AA69='לוח בקרה'!$C$3,AB69='לוח בקרה'!$C$3,AC69='לוח בקרה'!$C$3),OR('לוח בקרה'!$C$4="הכל",A69='לוח בקרה'!$C$4),OR('לוח בקרה'!$C$5="הכל",T69='לוח בקרה'!$C$5),OR('לוח בקרה'!$C$6="הכל",H69='לוח בקרה'!$C$6,I69='לוח בקרה'!$C$6),OR('לוח בקרה'!$C$7="הכל",J69='לוח בקרה'!$C$7),OR('לוח בקרה'!$C$8="הכל",L69='לוח בקרה'!$C$8),OR('לוח בקרה'!$C$9="הכל",Q69='לוח בקרה'!$C$9),OR('לוח בקרה'!$C$10="הכל",F69='לוח בקרה'!$C$10,G69='לוח בקרה'!$C$10),D69&lt;&gt;""),ROW()-2,"")</f>
        <v/>
      </c>
      <c r="AE69">
        <f>IF(AND(OR('טכנו'!$C$3="הכל",Z69='טכנו'!$C$3,AA69='טכנו'!$C$3,AB69='טכנו'!$C$3,AC69='טכנו'!$C$3),OR('טכנו'!$C$4="הכל",A69='טכנו'!$C$4),D69&lt;&gt;""),ROW()-2,"")</f>
        <v/>
      </c>
    </row>
    <row r="70">
      <c r="E70">
        <f>IFERROR(INDEX('הגדרות'!$I:$I,MATCH(B70,'הגדרות'!$H:$H,0)),"")</f>
        <v/>
      </c>
      <c r="Z70">
        <f>IFERROR(VLOOKUP(H70,'הגדרות'!$A:$D,2,FALSE),"")</f>
        <v/>
      </c>
      <c r="AA70">
        <f>IFERROR(VLOOKUP(H70,'הגדרות'!$A:$D,3,FALSE),"")</f>
        <v/>
      </c>
      <c r="AB70">
        <f>IFERROR(VLOOKUP(I70,'הגדרות'!$A:$D,2,FALSE),"")</f>
        <v/>
      </c>
      <c r="AC70">
        <f>IFERROR(VLOOKUP(I70,'הגדרות'!$A:$D,3,FALSE),"")</f>
        <v/>
      </c>
      <c r="AD70">
        <f>IF(AND(OR('לוח בקרה'!$C$3="הכל",Z70='לוח בקרה'!$C$3,AA70='לוח בקרה'!$C$3,AB70='לוח בקרה'!$C$3,AC70='לוח בקרה'!$C$3),OR('לוח בקרה'!$C$4="הכל",A70='לוח בקרה'!$C$4),OR('לוח בקרה'!$C$5="הכל",T70='לוח בקרה'!$C$5),OR('לוח בקרה'!$C$6="הכל",H70='לוח בקרה'!$C$6,I70='לוח בקרה'!$C$6),OR('לוח בקרה'!$C$7="הכל",J70='לוח בקרה'!$C$7),OR('לוח בקרה'!$C$8="הכל",L70='לוח בקרה'!$C$8),OR('לוח בקרה'!$C$9="הכל",Q70='לוח בקרה'!$C$9),OR('לוח בקרה'!$C$10="הכל",F70='לוח בקרה'!$C$10,G70='לוח בקרה'!$C$10),D70&lt;&gt;""),ROW()-2,"")</f>
        <v/>
      </c>
      <c r="AE70">
        <f>IF(AND(OR('טכנו'!$C$3="הכל",Z70='טכנו'!$C$3,AA70='טכנו'!$C$3,AB70='טכנו'!$C$3,AC70='טכנו'!$C$3),OR('טכנו'!$C$4="הכל",A70='טכנו'!$C$4),D70&lt;&gt;""),ROW()-2,"")</f>
        <v/>
      </c>
    </row>
    <row r="71">
      <c r="E71">
        <f>IFERROR(INDEX('הגדרות'!$I:$I,MATCH(B71,'הגדרות'!$H:$H,0)),"")</f>
        <v/>
      </c>
      <c r="Z71">
        <f>IFERROR(VLOOKUP(H71,'הגדרות'!$A:$D,2,FALSE),"")</f>
        <v/>
      </c>
      <c r="AA71">
        <f>IFERROR(VLOOKUP(H71,'הגדרות'!$A:$D,3,FALSE),"")</f>
        <v/>
      </c>
      <c r="AB71">
        <f>IFERROR(VLOOKUP(I71,'הגדרות'!$A:$D,2,FALSE),"")</f>
        <v/>
      </c>
      <c r="AC71">
        <f>IFERROR(VLOOKUP(I71,'הגדרות'!$A:$D,3,FALSE),"")</f>
        <v/>
      </c>
      <c r="AD71">
        <f>IF(AND(OR('לוח בקרה'!$C$3="הכל",Z71='לוח בקרה'!$C$3,AA71='לוח בקרה'!$C$3,AB71='לוח בקרה'!$C$3,AC71='לוח בקרה'!$C$3),OR('לוח בקרה'!$C$4="הכל",A71='לוח בקרה'!$C$4),OR('לוח בקרה'!$C$5="הכל",T71='לוח בקרה'!$C$5),OR('לוח בקרה'!$C$6="הכל",H71='לוח בקרה'!$C$6,I71='לוח בקרה'!$C$6),OR('לוח בקרה'!$C$7="הכל",J71='לוח בקרה'!$C$7),OR('לוח בקרה'!$C$8="הכל",L71='לוח בקרה'!$C$8),OR('לוח בקרה'!$C$9="הכל",Q71='לוח בקרה'!$C$9),OR('לוח בקרה'!$C$10="הכל",F71='לוח בקרה'!$C$10,G71='לוח בקרה'!$C$10),D71&lt;&gt;""),ROW()-2,"")</f>
        <v/>
      </c>
      <c r="AE71">
        <f>IF(AND(OR('טכנו'!$C$3="הכל",Z71='טכנו'!$C$3,AA71='טכנו'!$C$3,AB71='טכנו'!$C$3,AC71='טכנו'!$C$3),OR('טכנו'!$C$4="הכל",A71='טכנו'!$C$4),D71&lt;&gt;""),ROW()-2,"")</f>
        <v/>
      </c>
    </row>
    <row r="72">
      <c r="E72">
        <f>IFERROR(INDEX('הגדרות'!$I:$I,MATCH(B72,'הגדרות'!$H:$H,0)),"")</f>
        <v/>
      </c>
      <c r="Z72">
        <f>IFERROR(VLOOKUP(H72,'הגדרות'!$A:$D,2,FALSE),"")</f>
        <v/>
      </c>
      <c r="AA72">
        <f>IFERROR(VLOOKUP(H72,'הגדרות'!$A:$D,3,FALSE),"")</f>
        <v/>
      </c>
      <c r="AB72">
        <f>IFERROR(VLOOKUP(I72,'הגדרות'!$A:$D,2,FALSE),"")</f>
        <v/>
      </c>
      <c r="AC72">
        <f>IFERROR(VLOOKUP(I72,'הגדרות'!$A:$D,3,FALSE),"")</f>
        <v/>
      </c>
      <c r="AD72">
        <f>IF(AND(OR('לוח בקרה'!$C$3="הכל",Z72='לוח בקרה'!$C$3,AA72='לוח בקרה'!$C$3,AB72='לוח בקרה'!$C$3,AC72='לוח בקרה'!$C$3),OR('לוח בקרה'!$C$4="הכל",A72='לוח בקרה'!$C$4),OR('לוח בקרה'!$C$5="הכל",T72='לוח בקרה'!$C$5),OR('לוח בקרה'!$C$6="הכל",H72='לוח בקרה'!$C$6,I72='לוח בקרה'!$C$6),OR('לוח בקרה'!$C$7="הכל",J72='לוח בקרה'!$C$7),OR('לוח בקרה'!$C$8="הכל",L72='לוח בקרה'!$C$8),OR('לוח בקרה'!$C$9="הכל",Q72='לוח בקרה'!$C$9),OR('לוח בקרה'!$C$10="הכל",F72='לוח בקרה'!$C$10,G72='לוח בקרה'!$C$10),D72&lt;&gt;""),ROW()-2,"")</f>
        <v/>
      </c>
      <c r="AE72">
        <f>IF(AND(OR('טכנו'!$C$3="הכל",Z72='טכנו'!$C$3,AA72='טכנו'!$C$3,AB72='טכנו'!$C$3,AC72='טכנו'!$C$3),OR('טכנו'!$C$4="הכל",A72='טכנו'!$C$4),D72&lt;&gt;""),ROW()-2,"")</f>
        <v/>
      </c>
    </row>
    <row r="73">
      <c r="E73">
        <f>IFERROR(INDEX('הגדרות'!$I:$I,MATCH(B73,'הגדרות'!$H:$H,0)),"")</f>
        <v/>
      </c>
      <c r="Z73">
        <f>IFERROR(VLOOKUP(H73,'הגדרות'!$A:$D,2,FALSE),"")</f>
        <v/>
      </c>
      <c r="AA73">
        <f>IFERROR(VLOOKUP(H73,'הגדרות'!$A:$D,3,FALSE),"")</f>
        <v/>
      </c>
      <c r="AB73">
        <f>IFERROR(VLOOKUP(I73,'הגדרות'!$A:$D,2,FALSE),"")</f>
        <v/>
      </c>
      <c r="AC73">
        <f>IFERROR(VLOOKUP(I73,'הגדרות'!$A:$D,3,FALSE),"")</f>
        <v/>
      </c>
      <c r="AD73">
        <f>IF(AND(OR('לוח בקרה'!$C$3="הכל",Z73='לוח בקרה'!$C$3,AA73='לוח בקרה'!$C$3,AB73='לוח בקרה'!$C$3,AC73='לוח בקרה'!$C$3),OR('לוח בקרה'!$C$4="הכל",A73='לוח בקרה'!$C$4),OR('לוח בקרה'!$C$5="הכל",T73='לוח בקרה'!$C$5),OR('לוח בקרה'!$C$6="הכל",H73='לוח בקרה'!$C$6,I73='לוח בקרה'!$C$6),OR('לוח בקרה'!$C$7="הכל",J73='לוח בקרה'!$C$7),OR('לוח בקרה'!$C$8="הכל",L73='לוח בקרה'!$C$8),OR('לוח בקרה'!$C$9="הכל",Q73='לוח בקרה'!$C$9),OR('לוח בקרה'!$C$10="הכל",F73='לוח בקרה'!$C$10,G73='לוח בקרה'!$C$10),D73&lt;&gt;""),ROW()-2,"")</f>
        <v/>
      </c>
      <c r="AE73">
        <f>IF(AND(OR('טכנו'!$C$3="הכל",Z73='טכנו'!$C$3,AA73='טכנו'!$C$3,AB73='טכנו'!$C$3,AC73='טכנו'!$C$3),OR('טכנו'!$C$4="הכל",A73='טכנו'!$C$4),D73&lt;&gt;""),ROW()-2,"")</f>
        <v/>
      </c>
    </row>
    <row r="74">
      <c r="E74">
        <f>IFERROR(INDEX('הגדרות'!$I:$I,MATCH(B74,'הגדרות'!$H:$H,0)),"")</f>
        <v/>
      </c>
      <c r="Z74">
        <f>IFERROR(VLOOKUP(H74,'הגדרות'!$A:$D,2,FALSE),"")</f>
        <v/>
      </c>
      <c r="AA74">
        <f>IFERROR(VLOOKUP(H74,'הגדרות'!$A:$D,3,FALSE),"")</f>
        <v/>
      </c>
      <c r="AB74">
        <f>IFERROR(VLOOKUP(I74,'הגדרות'!$A:$D,2,FALSE),"")</f>
        <v/>
      </c>
      <c r="AC74">
        <f>IFERROR(VLOOKUP(I74,'הגדרות'!$A:$D,3,FALSE),"")</f>
        <v/>
      </c>
      <c r="AD74">
        <f>IF(AND(OR('לוח בקרה'!$C$3="הכל",Z74='לוח בקרה'!$C$3,AA74='לוח בקרה'!$C$3,AB74='לוח בקרה'!$C$3,AC74='לוח בקרה'!$C$3),OR('לוח בקרה'!$C$4="הכל",A74='לוח בקרה'!$C$4),OR('לוח בקרה'!$C$5="הכל",T74='לוח בקרה'!$C$5),OR('לוח בקרה'!$C$6="הכל",H74='לוח בקרה'!$C$6,I74='לוח בקרה'!$C$6),OR('לוח בקרה'!$C$7="הכל",J74='לוח בקרה'!$C$7),OR('לוח בקרה'!$C$8="הכל",L74='לוח בקרה'!$C$8),OR('לוח בקרה'!$C$9="הכל",Q74='לוח בקרה'!$C$9),OR('לוח בקרה'!$C$10="הכל",F74='לוח בקרה'!$C$10,G74='לוח בקרה'!$C$10),D74&lt;&gt;""),ROW()-2,"")</f>
        <v/>
      </c>
      <c r="AE74">
        <f>IF(AND(OR('טכנו'!$C$3="הכל",Z74='טכנו'!$C$3,AA74='טכנו'!$C$3,AB74='טכנו'!$C$3,AC74='טכנו'!$C$3),OR('טכנו'!$C$4="הכל",A74='טכנו'!$C$4),D74&lt;&gt;""),ROW()-2,"")</f>
        <v/>
      </c>
    </row>
    <row r="75">
      <c r="E75">
        <f>IFERROR(INDEX('הגדרות'!$I:$I,MATCH(B75,'הגדרות'!$H:$H,0)),"")</f>
        <v/>
      </c>
      <c r="Z75">
        <f>IFERROR(VLOOKUP(H75,'הגדרות'!$A:$D,2,FALSE),"")</f>
        <v/>
      </c>
      <c r="AA75">
        <f>IFERROR(VLOOKUP(H75,'הגדרות'!$A:$D,3,FALSE),"")</f>
        <v/>
      </c>
      <c r="AB75">
        <f>IFERROR(VLOOKUP(I75,'הגדרות'!$A:$D,2,FALSE),"")</f>
        <v/>
      </c>
      <c r="AC75">
        <f>IFERROR(VLOOKUP(I75,'הגדרות'!$A:$D,3,FALSE),"")</f>
        <v/>
      </c>
      <c r="AD75">
        <f>IF(AND(OR('לוח בקרה'!$C$3="הכל",Z75='לוח בקרה'!$C$3,AA75='לוח בקרה'!$C$3,AB75='לוח בקרה'!$C$3,AC75='לוח בקרה'!$C$3),OR('לוח בקרה'!$C$4="הכל",A75='לוח בקרה'!$C$4),OR('לוח בקרה'!$C$5="הכל",T75='לוח בקרה'!$C$5),OR('לוח בקרה'!$C$6="הכל",H75='לוח בקרה'!$C$6,I75='לוח בקרה'!$C$6),OR('לוח בקרה'!$C$7="הכל",J75='לוח בקרה'!$C$7),OR('לוח בקרה'!$C$8="הכל",L75='לוח בקרה'!$C$8),OR('לוח בקרה'!$C$9="הכל",Q75='לוח בקרה'!$C$9),OR('לוח בקרה'!$C$10="הכל",F75='לוח בקרה'!$C$10,G75='לוח בקרה'!$C$10),D75&lt;&gt;""),ROW()-2,"")</f>
        <v/>
      </c>
      <c r="AE75">
        <f>IF(AND(OR('טכנו'!$C$3="הכל",Z75='טכנו'!$C$3,AA75='טכנו'!$C$3,AB75='טכנו'!$C$3,AC75='טכנו'!$C$3),OR('טכנו'!$C$4="הכל",A75='טכנו'!$C$4),D75&lt;&gt;""),ROW()-2,"")</f>
        <v/>
      </c>
    </row>
    <row r="76">
      <c r="E76">
        <f>IFERROR(INDEX('הגדרות'!$I:$I,MATCH(B76,'הגדרות'!$H:$H,0)),"")</f>
        <v/>
      </c>
      <c r="Z76">
        <f>IFERROR(VLOOKUP(H76,'הגדרות'!$A:$D,2,FALSE),"")</f>
        <v/>
      </c>
      <c r="AA76">
        <f>IFERROR(VLOOKUP(H76,'הגדרות'!$A:$D,3,FALSE),"")</f>
        <v/>
      </c>
      <c r="AB76">
        <f>IFERROR(VLOOKUP(I76,'הגדרות'!$A:$D,2,FALSE),"")</f>
        <v/>
      </c>
      <c r="AC76">
        <f>IFERROR(VLOOKUP(I76,'הגדרות'!$A:$D,3,FALSE),"")</f>
        <v/>
      </c>
      <c r="AD76">
        <f>IF(AND(OR('לוח בקרה'!$C$3="הכל",Z76='לוח בקרה'!$C$3,AA76='לוח בקרה'!$C$3,AB76='לוח בקרה'!$C$3,AC76='לוח בקרה'!$C$3),OR('לוח בקרה'!$C$4="הכל",A76='לוח בקרה'!$C$4),OR('לוח בקרה'!$C$5="הכל",T76='לוח בקרה'!$C$5),OR('לוח בקרה'!$C$6="הכל",H76='לוח בקרה'!$C$6,I76='לוח בקרה'!$C$6),OR('לוח בקרה'!$C$7="הכל",J76='לוח בקרה'!$C$7),OR('לוח בקרה'!$C$8="הכל",L76='לוח בקרה'!$C$8),OR('לוח בקרה'!$C$9="הכל",Q76='לוח בקרה'!$C$9),OR('לוח בקרה'!$C$10="הכל",F76='לוח בקרה'!$C$10,G76='לוח בקרה'!$C$10),D76&lt;&gt;""),ROW()-2,"")</f>
        <v/>
      </c>
      <c r="AE76">
        <f>IF(AND(OR('טכנו'!$C$3="הכל",Z76='טכנו'!$C$3,AA76='טכנו'!$C$3,AB76='טכנו'!$C$3,AC76='טכנו'!$C$3),OR('טכנו'!$C$4="הכל",A76='טכנו'!$C$4),D76&lt;&gt;""),ROW()-2,"")</f>
        <v/>
      </c>
    </row>
    <row r="77">
      <c r="E77">
        <f>IFERROR(INDEX('הגדרות'!$I:$I,MATCH(B77,'הגדרות'!$H:$H,0)),"")</f>
        <v/>
      </c>
      <c r="Z77">
        <f>IFERROR(VLOOKUP(H77,'הגדרות'!$A:$D,2,FALSE),"")</f>
        <v/>
      </c>
      <c r="AA77">
        <f>IFERROR(VLOOKUP(H77,'הגדרות'!$A:$D,3,FALSE),"")</f>
        <v/>
      </c>
      <c r="AB77">
        <f>IFERROR(VLOOKUP(I77,'הגדרות'!$A:$D,2,FALSE),"")</f>
        <v/>
      </c>
      <c r="AC77">
        <f>IFERROR(VLOOKUP(I77,'הגדרות'!$A:$D,3,FALSE),"")</f>
        <v/>
      </c>
      <c r="AD77">
        <f>IF(AND(OR('לוח בקרה'!$C$3="הכל",Z77='לוח בקרה'!$C$3,AA77='לוח בקרה'!$C$3,AB77='לוח בקרה'!$C$3,AC77='לוח בקרה'!$C$3),OR('לוח בקרה'!$C$4="הכל",A77='לוח בקרה'!$C$4),OR('לוח בקרה'!$C$5="הכל",T77='לוח בקרה'!$C$5),OR('לוח בקרה'!$C$6="הכל",H77='לוח בקרה'!$C$6,I77='לוח בקרה'!$C$6),OR('לוח בקרה'!$C$7="הכל",J77='לוח בקרה'!$C$7),OR('לוח בקרה'!$C$8="הכל",L77='לוח בקרה'!$C$8),OR('לוח בקרה'!$C$9="הכל",Q77='לוח בקרה'!$C$9),OR('לוח בקרה'!$C$10="הכל",F77='לוח בקרה'!$C$10,G77='לוח בקרה'!$C$10),D77&lt;&gt;""),ROW()-2,"")</f>
        <v/>
      </c>
      <c r="AE77">
        <f>IF(AND(OR('טכנו'!$C$3="הכל",Z77='טכנו'!$C$3,AA77='טכנו'!$C$3,AB77='טכנו'!$C$3,AC77='טכנו'!$C$3),OR('טכנו'!$C$4="הכל",A77='טכנו'!$C$4),D77&lt;&gt;""),ROW()-2,"")</f>
        <v/>
      </c>
    </row>
    <row r="78">
      <c r="E78">
        <f>IFERROR(INDEX('הגדרות'!$I:$I,MATCH(B78,'הגדרות'!$H:$H,0)),"")</f>
        <v/>
      </c>
      <c r="Z78">
        <f>IFERROR(VLOOKUP(H78,'הגדרות'!$A:$D,2,FALSE),"")</f>
        <v/>
      </c>
      <c r="AA78">
        <f>IFERROR(VLOOKUP(H78,'הגדרות'!$A:$D,3,FALSE),"")</f>
        <v/>
      </c>
      <c r="AB78">
        <f>IFERROR(VLOOKUP(I78,'הגדרות'!$A:$D,2,FALSE),"")</f>
        <v/>
      </c>
      <c r="AC78">
        <f>IFERROR(VLOOKUP(I78,'הגדרות'!$A:$D,3,FALSE),"")</f>
        <v/>
      </c>
      <c r="AD78">
        <f>IF(AND(OR('לוח בקרה'!$C$3="הכל",Z78='לוח בקרה'!$C$3,AA78='לוח בקרה'!$C$3,AB78='לוח בקרה'!$C$3,AC78='לוח בקרה'!$C$3),OR('לוח בקרה'!$C$4="הכל",A78='לוח בקרה'!$C$4),OR('לוח בקרה'!$C$5="הכל",T78='לוח בקרה'!$C$5),OR('לוח בקרה'!$C$6="הכל",H78='לוח בקרה'!$C$6,I78='לוח בקרה'!$C$6),OR('לוח בקרה'!$C$7="הכל",J78='לוח בקרה'!$C$7),OR('לוח בקרה'!$C$8="הכל",L78='לוח בקרה'!$C$8),OR('לוח בקרה'!$C$9="הכל",Q78='לוח בקרה'!$C$9),OR('לוח בקרה'!$C$10="הכל",F78='לוח בקרה'!$C$10,G78='לוח בקרה'!$C$10),D78&lt;&gt;""),ROW()-2,"")</f>
        <v/>
      </c>
      <c r="AE78">
        <f>IF(AND(OR('טכנו'!$C$3="הכל",Z78='טכנו'!$C$3,AA78='טכנו'!$C$3,AB78='טכנו'!$C$3,AC78='טכנו'!$C$3),OR('טכנו'!$C$4="הכל",A78='טכנו'!$C$4),D78&lt;&gt;""),ROW()-2,"")</f>
        <v/>
      </c>
    </row>
    <row r="79">
      <c r="E79">
        <f>IFERROR(INDEX('הגדרות'!$I:$I,MATCH(B79,'הגדרות'!$H:$H,0)),"")</f>
        <v/>
      </c>
      <c r="Z79">
        <f>IFERROR(VLOOKUP(H79,'הגדרות'!$A:$D,2,FALSE),"")</f>
        <v/>
      </c>
      <c r="AA79">
        <f>IFERROR(VLOOKUP(H79,'הגדרות'!$A:$D,3,FALSE),"")</f>
        <v/>
      </c>
      <c r="AB79">
        <f>IFERROR(VLOOKUP(I79,'הגדרות'!$A:$D,2,FALSE),"")</f>
        <v/>
      </c>
      <c r="AC79">
        <f>IFERROR(VLOOKUP(I79,'הגדרות'!$A:$D,3,FALSE),"")</f>
        <v/>
      </c>
      <c r="AD79">
        <f>IF(AND(OR('לוח בקרה'!$C$3="הכל",Z79='לוח בקרה'!$C$3,AA79='לוח בקרה'!$C$3,AB79='לוח בקרה'!$C$3,AC79='לוח בקרה'!$C$3),OR('לוח בקרה'!$C$4="הכל",A79='לוח בקרה'!$C$4),OR('לוח בקרה'!$C$5="הכל",T79='לוח בקרה'!$C$5),OR('לוח בקרה'!$C$6="הכל",H79='לוח בקרה'!$C$6,I79='לוח בקרה'!$C$6),OR('לוח בקרה'!$C$7="הכל",J79='לוח בקרה'!$C$7),OR('לוח בקרה'!$C$8="הכל",L79='לוח בקרה'!$C$8),OR('לוח בקרה'!$C$9="הכל",Q79='לוח בקרה'!$C$9),OR('לוח בקרה'!$C$10="הכל",F79='לוח בקרה'!$C$10,G79='לוח בקרה'!$C$10),D79&lt;&gt;""),ROW()-2,"")</f>
        <v/>
      </c>
      <c r="AE79">
        <f>IF(AND(OR('טכנו'!$C$3="הכל",Z79='טכנו'!$C$3,AA79='טכנו'!$C$3,AB79='טכנו'!$C$3,AC79='טכנו'!$C$3),OR('טכנו'!$C$4="הכל",A79='טכנו'!$C$4),D79&lt;&gt;""),ROW()-2,"")</f>
        <v/>
      </c>
    </row>
    <row r="80">
      <c r="E80">
        <f>IFERROR(INDEX('הגדרות'!$I:$I,MATCH(B80,'הגדרות'!$H:$H,0)),"")</f>
        <v/>
      </c>
      <c r="Z80">
        <f>IFERROR(VLOOKUP(H80,'הגדרות'!$A:$D,2,FALSE),"")</f>
        <v/>
      </c>
      <c r="AA80">
        <f>IFERROR(VLOOKUP(H80,'הגדרות'!$A:$D,3,FALSE),"")</f>
        <v/>
      </c>
      <c r="AB80">
        <f>IFERROR(VLOOKUP(I80,'הגדרות'!$A:$D,2,FALSE),"")</f>
        <v/>
      </c>
      <c r="AC80">
        <f>IFERROR(VLOOKUP(I80,'הגדרות'!$A:$D,3,FALSE),"")</f>
        <v/>
      </c>
      <c r="AD80">
        <f>IF(AND(OR('לוח בקרה'!$C$3="הכל",Z80='לוח בקרה'!$C$3,AA80='לוח בקרה'!$C$3,AB80='לוח בקרה'!$C$3,AC80='לוח בקרה'!$C$3),OR('לוח בקרה'!$C$4="הכל",A80='לוח בקרה'!$C$4),OR('לוח בקרה'!$C$5="הכל",T80='לוח בקרה'!$C$5),OR('לוח בקרה'!$C$6="הכל",H80='לוח בקרה'!$C$6,I80='לוח בקרה'!$C$6),OR('לוח בקרה'!$C$7="הכל",J80='לוח בקרה'!$C$7),OR('לוח בקרה'!$C$8="הכל",L80='לוח בקרה'!$C$8),OR('לוח בקרה'!$C$9="הכל",Q80='לוח בקרה'!$C$9),OR('לוח בקרה'!$C$10="הכל",F80='לוח בקרה'!$C$10,G80='לוח בקרה'!$C$10),D80&lt;&gt;""),ROW()-2,"")</f>
        <v/>
      </c>
      <c r="AE80">
        <f>IF(AND(OR('טכנו'!$C$3="הכל",Z80='טכנו'!$C$3,AA80='טכנו'!$C$3,AB80='טכנו'!$C$3,AC80='טכנו'!$C$3),OR('טכנו'!$C$4="הכל",A80='טכנו'!$C$4),D80&lt;&gt;""),ROW()-2,"")</f>
        <v/>
      </c>
    </row>
    <row r="81">
      <c r="E81">
        <f>IFERROR(INDEX('הגדרות'!$I:$I,MATCH(B81,'הגדרות'!$H:$H,0)),"")</f>
        <v/>
      </c>
      <c r="Z81">
        <f>IFERROR(VLOOKUP(H81,'הגדרות'!$A:$D,2,FALSE),"")</f>
        <v/>
      </c>
      <c r="AA81">
        <f>IFERROR(VLOOKUP(H81,'הגדרות'!$A:$D,3,FALSE),"")</f>
        <v/>
      </c>
      <c r="AB81">
        <f>IFERROR(VLOOKUP(I81,'הגדרות'!$A:$D,2,FALSE),"")</f>
        <v/>
      </c>
      <c r="AC81">
        <f>IFERROR(VLOOKUP(I81,'הגדרות'!$A:$D,3,FALSE),"")</f>
        <v/>
      </c>
      <c r="AD81">
        <f>IF(AND(OR('לוח בקרה'!$C$3="הכל",Z81='לוח בקרה'!$C$3,AA81='לוח בקרה'!$C$3,AB81='לוח בקרה'!$C$3,AC81='לוח בקרה'!$C$3),OR('לוח בקרה'!$C$4="הכל",A81='לוח בקרה'!$C$4),OR('לוח בקרה'!$C$5="הכל",T81='לוח בקרה'!$C$5),OR('לוח בקרה'!$C$6="הכל",H81='לוח בקרה'!$C$6,I81='לוח בקרה'!$C$6),OR('לוח בקרה'!$C$7="הכל",J81='לוח בקרה'!$C$7),OR('לוח בקרה'!$C$8="הכל",L81='לוח בקרה'!$C$8),OR('לוח בקרה'!$C$9="הכל",Q81='לוח בקרה'!$C$9),OR('לוח בקרה'!$C$10="הכל",F81='לוח בקרה'!$C$10,G81='לוח בקרה'!$C$10),D81&lt;&gt;""),ROW()-2,"")</f>
        <v/>
      </c>
      <c r="AE81">
        <f>IF(AND(OR('טכנו'!$C$3="הכל",Z81='טכנו'!$C$3,AA81='טכנו'!$C$3,AB81='טכנו'!$C$3,AC81='טכנו'!$C$3),OR('טכנו'!$C$4="הכל",A81='טכנו'!$C$4),D81&lt;&gt;""),ROW()-2,"")</f>
        <v/>
      </c>
    </row>
    <row r="82">
      <c r="E82">
        <f>IFERROR(INDEX('הגדרות'!$I:$I,MATCH(B82,'הגדרות'!$H:$H,0)),"")</f>
        <v/>
      </c>
      <c r="Z82">
        <f>IFERROR(VLOOKUP(H82,'הגדרות'!$A:$D,2,FALSE),"")</f>
        <v/>
      </c>
      <c r="AA82">
        <f>IFERROR(VLOOKUP(H82,'הגדרות'!$A:$D,3,FALSE),"")</f>
        <v/>
      </c>
      <c r="AB82">
        <f>IFERROR(VLOOKUP(I82,'הגדרות'!$A:$D,2,FALSE),"")</f>
        <v/>
      </c>
      <c r="AC82">
        <f>IFERROR(VLOOKUP(I82,'הגדרות'!$A:$D,3,FALSE),"")</f>
        <v/>
      </c>
      <c r="AD82">
        <f>IF(AND(OR('לוח בקרה'!$C$3="הכל",Z82='לוח בקרה'!$C$3,AA82='לוח בקרה'!$C$3,AB82='לוח בקרה'!$C$3,AC82='לוח בקרה'!$C$3),OR('לוח בקרה'!$C$4="הכל",A82='לוח בקרה'!$C$4),OR('לוח בקרה'!$C$5="הכל",T82='לוח בקרה'!$C$5),OR('לוח בקרה'!$C$6="הכל",H82='לוח בקרה'!$C$6,I82='לוח בקרה'!$C$6),OR('לוח בקרה'!$C$7="הכל",J82='לוח בקרה'!$C$7),OR('לוח בקרה'!$C$8="הכל",L82='לוח בקרה'!$C$8),OR('לוח בקרה'!$C$9="הכל",Q82='לוח בקרה'!$C$9),OR('לוח בקרה'!$C$10="הכל",F82='לוח בקרה'!$C$10,G82='לוח בקרה'!$C$10),D82&lt;&gt;""),ROW()-2,"")</f>
        <v/>
      </c>
      <c r="AE82">
        <f>IF(AND(OR('טכנו'!$C$3="הכל",Z82='טכנו'!$C$3,AA82='טכנו'!$C$3,AB82='טכנו'!$C$3,AC82='טכנו'!$C$3),OR('טכנו'!$C$4="הכל",A82='טכנו'!$C$4),D82&lt;&gt;""),ROW()-2,"")</f>
        <v/>
      </c>
    </row>
    <row r="83">
      <c r="E83">
        <f>IFERROR(INDEX('הגדרות'!$I:$I,MATCH(B83,'הגדרות'!$H:$H,0)),"")</f>
        <v/>
      </c>
      <c r="Z83">
        <f>IFERROR(VLOOKUP(H83,'הגדרות'!$A:$D,2,FALSE),"")</f>
        <v/>
      </c>
      <c r="AA83">
        <f>IFERROR(VLOOKUP(H83,'הגדרות'!$A:$D,3,FALSE),"")</f>
        <v/>
      </c>
      <c r="AB83">
        <f>IFERROR(VLOOKUP(I83,'הגדרות'!$A:$D,2,FALSE),"")</f>
        <v/>
      </c>
      <c r="AC83">
        <f>IFERROR(VLOOKUP(I83,'הגדרות'!$A:$D,3,FALSE),"")</f>
        <v/>
      </c>
      <c r="AD83">
        <f>IF(AND(OR('לוח בקרה'!$C$3="הכל",Z83='לוח בקרה'!$C$3,AA83='לוח בקרה'!$C$3,AB83='לוח בקרה'!$C$3,AC83='לוח בקרה'!$C$3),OR('לוח בקרה'!$C$4="הכל",A83='לוח בקרה'!$C$4),OR('לוח בקרה'!$C$5="הכל",T83='לוח בקרה'!$C$5),OR('לוח בקרה'!$C$6="הכל",H83='לוח בקרה'!$C$6,I83='לוח בקרה'!$C$6),OR('לוח בקרה'!$C$7="הכל",J83='לוח בקרה'!$C$7),OR('לוח בקרה'!$C$8="הכל",L83='לוח בקרה'!$C$8),OR('לוח בקרה'!$C$9="הכל",Q83='לוח בקרה'!$C$9),OR('לוח בקרה'!$C$10="הכל",F83='לוח בקרה'!$C$10,G83='לוח בקרה'!$C$10),D83&lt;&gt;""),ROW()-2,"")</f>
        <v/>
      </c>
      <c r="AE83">
        <f>IF(AND(OR('טכנו'!$C$3="הכל",Z83='טכנו'!$C$3,AA83='טכנו'!$C$3,AB83='טכנו'!$C$3,AC83='טכנו'!$C$3),OR('טכנו'!$C$4="הכל",A83='טכנו'!$C$4),D83&lt;&gt;""),ROW()-2,"")</f>
        <v/>
      </c>
    </row>
    <row r="84">
      <c r="E84">
        <f>IFERROR(INDEX('הגדרות'!$I:$I,MATCH(B84,'הגדרות'!$H:$H,0)),"")</f>
        <v/>
      </c>
      <c r="Z84">
        <f>IFERROR(VLOOKUP(H84,'הגדרות'!$A:$D,2,FALSE),"")</f>
        <v/>
      </c>
      <c r="AA84">
        <f>IFERROR(VLOOKUP(H84,'הגדרות'!$A:$D,3,FALSE),"")</f>
        <v/>
      </c>
      <c r="AB84">
        <f>IFERROR(VLOOKUP(I84,'הגדרות'!$A:$D,2,FALSE),"")</f>
        <v/>
      </c>
      <c r="AC84">
        <f>IFERROR(VLOOKUP(I84,'הגדרות'!$A:$D,3,FALSE),"")</f>
        <v/>
      </c>
      <c r="AD84">
        <f>IF(AND(OR('לוח בקרה'!$C$3="הכל",Z84='לוח בקרה'!$C$3,AA84='לוח בקרה'!$C$3,AB84='לוח בקרה'!$C$3,AC84='לוח בקרה'!$C$3),OR('לוח בקרה'!$C$4="הכל",A84='לוח בקרה'!$C$4),OR('לוח בקרה'!$C$5="הכל",T84='לוח בקרה'!$C$5),OR('לוח בקרה'!$C$6="הכל",H84='לוח בקרה'!$C$6,I84='לוח בקרה'!$C$6),OR('לוח בקרה'!$C$7="הכל",J84='לוח בקרה'!$C$7),OR('לוח בקרה'!$C$8="הכל",L84='לוח בקרה'!$C$8),OR('לוח בקרה'!$C$9="הכל",Q84='לוח בקרה'!$C$9),OR('לוח בקרה'!$C$10="הכל",F84='לוח בקרה'!$C$10,G84='לוח בקרה'!$C$10),D84&lt;&gt;""),ROW()-2,"")</f>
        <v/>
      </c>
      <c r="AE84">
        <f>IF(AND(OR('טכנו'!$C$3="הכל",Z84='טכנו'!$C$3,AA84='טכנו'!$C$3,AB84='טכנו'!$C$3,AC84='טכנו'!$C$3),OR('טכנו'!$C$4="הכל",A84='טכנו'!$C$4),D84&lt;&gt;""),ROW()-2,"")</f>
        <v/>
      </c>
    </row>
    <row r="85">
      <c r="E85">
        <f>IFERROR(INDEX('הגדרות'!$I:$I,MATCH(B85,'הגדרות'!$H:$H,0)),"")</f>
        <v/>
      </c>
      <c r="Z85">
        <f>IFERROR(VLOOKUP(H85,'הגדרות'!$A:$D,2,FALSE),"")</f>
        <v/>
      </c>
      <c r="AA85">
        <f>IFERROR(VLOOKUP(H85,'הגדרות'!$A:$D,3,FALSE),"")</f>
        <v/>
      </c>
      <c r="AB85">
        <f>IFERROR(VLOOKUP(I85,'הגדרות'!$A:$D,2,FALSE),"")</f>
        <v/>
      </c>
      <c r="AC85">
        <f>IFERROR(VLOOKUP(I85,'הגדרות'!$A:$D,3,FALSE),"")</f>
        <v/>
      </c>
      <c r="AD85">
        <f>IF(AND(OR('לוח בקרה'!$C$3="הכל",Z85='לוח בקרה'!$C$3,AA85='לוח בקרה'!$C$3,AB85='לוח בקרה'!$C$3,AC85='לוח בקרה'!$C$3),OR('לוח בקרה'!$C$4="הכל",A85='לוח בקרה'!$C$4),OR('לוח בקרה'!$C$5="הכל",T85='לוח בקרה'!$C$5),OR('לוח בקרה'!$C$6="הכל",H85='לוח בקרה'!$C$6,I85='לוח בקרה'!$C$6),OR('לוח בקרה'!$C$7="הכל",J85='לוח בקרה'!$C$7),OR('לוח בקרה'!$C$8="הכל",L85='לוח בקרה'!$C$8),OR('לוח בקרה'!$C$9="הכל",Q85='לוח בקרה'!$C$9),OR('לוח בקרה'!$C$10="הכל",F85='לוח בקרה'!$C$10,G85='לוח בקרה'!$C$10),D85&lt;&gt;""),ROW()-2,"")</f>
        <v/>
      </c>
      <c r="AE85">
        <f>IF(AND(OR('טכנו'!$C$3="הכל",Z85='טכנו'!$C$3,AA85='טכנו'!$C$3,AB85='טכנו'!$C$3,AC85='טכנו'!$C$3),OR('טכנו'!$C$4="הכל",A85='טכנו'!$C$4),D85&lt;&gt;""),ROW()-2,"")</f>
        <v/>
      </c>
    </row>
    <row r="86">
      <c r="E86">
        <f>IFERROR(INDEX('הגדרות'!$I:$I,MATCH(B86,'הגדרות'!$H:$H,0)),"")</f>
        <v/>
      </c>
      <c r="Z86">
        <f>IFERROR(VLOOKUP(H86,'הגדרות'!$A:$D,2,FALSE),"")</f>
        <v/>
      </c>
      <c r="AA86">
        <f>IFERROR(VLOOKUP(H86,'הגדרות'!$A:$D,3,FALSE),"")</f>
        <v/>
      </c>
      <c r="AB86">
        <f>IFERROR(VLOOKUP(I86,'הגדרות'!$A:$D,2,FALSE),"")</f>
        <v/>
      </c>
      <c r="AC86">
        <f>IFERROR(VLOOKUP(I86,'הגדרות'!$A:$D,3,FALSE),"")</f>
        <v/>
      </c>
      <c r="AD86">
        <f>IF(AND(OR('לוח בקרה'!$C$3="הכל",Z86='לוח בקרה'!$C$3,AA86='לוח בקרה'!$C$3,AB86='לוח בקרה'!$C$3,AC86='לוח בקרה'!$C$3),OR('לוח בקרה'!$C$4="הכל",A86='לוח בקרה'!$C$4),OR('לוח בקרה'!$C$5="הכל",T86='לוח בקרה'!$C$5),OR('לוח בקרה'!$C$6="הכל",H86='לוח בקרה'!$C$6,I86='לוח בקרה'!$C$6),OR('לוח בקרה'!$C$7="הכל",J86='לוח בקרה'!$C$7),OR('לוח בקרה'!$C$8="הכל",L86='לוח בקרה'!$C$8),OR('לוח בקרה'!$C$9="הכל",Q86='לוח בקרה'!$C$9),OR('לוח בקרה'!$C$10="הכל",F86='לוח בקרה'!$C$10,G86='לוח בקרה'!$C$10),D86&lt;&gt;""),ROW()-2,"")</f>
        <v/>
      </c>
      <c r="AE86">
        <f>IF(AND(OR('טכנו'!$C$3="הכל",Z86='טכנו'!$C$3,AA86='טכנו'!$C$3,AB86='טכנו'!$C$3,AC86='טכנו'!$C$3),OR('טכנו'!$C$4="הכל",A86='טכנו'!$C$4),D86&lt;&gt;""),ROW()-2,"")</f>
        <v/>
      </c>
    </row>
    <row r="87">
      <c r="E87">
        <f>IFERROR(INDEX('הגדרות'!$I:$I,MATCH(B87,'הגדרות'!$H:$H,0)),"")</f>
        <v/>
      </c>
      <c r="Z87">
        <f>IFERROR(VLOOKUP(H87,'הגדרות'!$A:$D,2,FALSE),"")</f>
        <v/>
      </c>
      <c r="AA87">
        <f>IFERROR(VLOOKUP(H87,'הגדרות'!$A:$D,3,FALSE),"")</f>
        <v/>
      </c>
      <c r="AB87">
        <f>IFERROR(VLOOKUP(I87,'הגדרות'!$A:$D,2,FALSE),"")</f>
        <v/>
      </c>
      <c r="AC87">
        <f>IFERROR(VLOOKUP(I87,'הגדרות'!$A:$D,3,FALSE),"")</f>
        <v/>
      </c>
      <c r="AD87">
        <f>IF(AND(OR('לוח בקרה'!$C$3="הכל",Z87='לוח בקרה'!$C$3,AA87='לוח בקרה'!$C$3,AB87='לוח בקרה'!$C$3,AC87='לוח בקרה'!$C$3),OR('לוח בקרה'!$C$4="הכל",A87='לוח בקרה'!$C$4),OR('לוח בקרה'!$C$5="הכל",T87='לוח בקרה'!$C$5),OR('לוח בקרה'!$C$6="הכל",H87='לוח בקרה'!$C$6,I87='לוח בקרה'!$C$6),OR('לוח בקרה'!$C$7="הכל",J87='לוח בקרה'!$C$7),OR('לוח בקרה'!$C$8="הכל",L87='לוח בקרה'!$C$8),OR('לוח בקרה'!$C$9="הכל",Q87='לוח בקרה'!$C$9),OR('לוח בקרה'!$C$10="הכל",F87='לוח בקרה'!$C$10,G87='לוח בקרה'!$C$10),D87&lt;&gt;""),ROW()-2,"")</f>
        <v/>
      </c>
      <c r="AE87">
        <f>IF(AND(OR('טכנו'!$C$3="הכל",Z87='טכנו'!$C$3,AA87='טכנו'!$C$3,AB87='טכנו'!$C$3,AC87='טכנו'!$C$3),OR('טכנו'!$C$4="הכל",A87='טכנו'!$C$4),D87&lt;&gt;""),ROW()-2,"")</f>
        <v/>
      </c>
    </row>
    <row r="88">
      <c r="E88">
        <f>IFERROR(INDEX('הגדרות'!$I:$I,MATCH(B88,'הגדרות'!$H:$H,0)),"")</f>
        <v/>
      </c>
      <c r="Z88">
        <f>IFERROR(VLOOKUP(H88,'הגדרות'!$A:$D,2,FALSE),"")</f>
        <v/>
      </c>
      <c r="AA88">
        <f>IFERROR(VLOOKUP(H88,'הגדרות'!$A:$D,3,FALSE),"")</f>
        <v/>
      </c>
      <c r="AB88">
        <f>IFERROR(VLOOKUP(I88,'הגדרות'!$A:$D,2,FALSE),"")</f>
        <v/>
      </c>
      <c r="AC88">
        <f>IFERROR(VLOOKUP(I88,'הגדרות'!$A:$D,3,FALSE),"")</f>
        <v/>
      </c>
      <c r="AD88">
        <f>IF(AND(OR('לוח בקרה'!$C$3="הכל",Z88='לוח בקרה'!$C$3,AA88='לוח בקרה'!$C$3,AB88='לוח בקרה'!$C$3,AC88='לוח בקרה'!$C$3),OR('לוח בקרה'!$C$4="הכל",A88='לוח בקרה'!$C$4),OR('לוח בקרה'!$C$5="הכל",T88='לוח בקרה'!$C$5),OR('לוח בקרה'!$C$6="הכל",H88='לוח בקרה'!$C$6,I88='לוח בקרה'!$C$6),OR('לוח בקרה'!$C$7="הכל",J88='לוח בקרה'!$C$7),OR('לוח בקרה'!$C$8="הכל",L88='לוח בקרה'!$C$8),OR('לוח בקרה'!$C$9="הכל",Q88='לוח בקרה'!$C$9),OR('לוח בקרה'!$C$10="הכל",F88='לוח בקרה'!$C$10,G88='לוח בקרה'!$C$10),D88&lt;&gt;""),ROW()-2,"")</f>
        <v/>
      </c>
      <c r="AE88">
        <f>IF(AND(OR('טכנו'!$C$3="הכל",Z88='טכנו'!$C$3,AA88='טכנו'!$C$3,AB88='טכנו'!$C$3,AC88='טכנו'!$C$3),OR('טכנו'!$C$4="הכל",A88='טכנו'!$C$4),D88&lt;&gt;""),ROW()-2,"")</f>
        <v/>
      </c>
    </row>
    <row r="89">
      <c r="E89">
        <f>IFERROR(INDEX('הגדרות'!$I:$I,MATCH(B89,'הגדרות'!$H:$H,0)),"")</f>
        <v/>
      </c>
      <c r="Z89">
        <f>IFERROR(VLOOKUP(H89,'הגדרות'!$A:$D,2,FALSE),"")</f>
        <v/>
      </c>
      <c r="AA89">
        <f>IFERROR(VLOOKUP(H89,'הגדרות'!$A:$D,3,FALSE),"")</f>
        <v/>
      </c>
      <c r="AB89">
        <f>IFERROR(VLOOKUP(I89,'הגדרות'!$A:$D,2,FALSE),"")</f>
        <v/>
      </c>
      <c r="AC89">
        <f>IFERROR(VLOOKUP(I89,'הגדרות'!$A:$D,3,FALSE),"")</f>
        <v/>
      </c>
      <c r="AD89">
        <f>IF(AND(OR('לוח בקרה'!$C$3="הכל",Z89='לוח בקרה'!$C$3,AA89='לוח בקרה'!$C$3,AB89='לוח בקרה'!$C$3,AC89='לוח בקרה'!$C$3),OR('לוח בקרה'!$C$4="הכל",A89='לוח בקרה'!$C$4),OR('לוח בקרה'!$C$5="הכל",T89='לוח בקרה'!$C$5),OR('לוח בקרה'!$C$6="הכל",H89='לוח בקרה'!$C$6,I89='לוח בקרה'!$C$6),OR('לוח בקרה'!$C$7="הכל",J89='לוח בקרה'!$C$7),OR('לוח בקרה'!$C$8="הכל",L89='לוח בקרה'!$C$8),OR('לוח בקרה'!$C$9="הכל",Q89='לוח בקרה'!$C$9),OR('לוח בקרה'!$C$10="הכל",F89='לוח בקרה'!$C$10,G89='לוח בקרה'!$C$10),D89&lt;&gt;""),ROW()-2,"")</f>
        <v/>
      </c>
      <c r="AE89">
        <f>IF(AND(OR('טכנו'!$C$3="הכל",Z89='טכנו'!$C$3,AA89='טכנו'!$C$3,AB89='טכנו'!$C$3,AC89='טכנו'!$C$3),OR('טכנו'!$C$4="הכל",A89='טכנו'!$C$4),D89&lt;&gt;""),ROW()-2,"")</f>
        <v/>
      </c>
    </row>
    <row r="90">
      <c r="E90">
        <f>IFERROR(INDEX('הגדרות'!$I:$I,MATCH(B90,'הגדרות'!$H:$H,0)),"")</f>
        <v/>
      </c>
      <c r="Z90">
        <f>IFERROR(VLOOKUP(H90,'הגדרות'!$A:$D,2,FALSE),"")</f>
        <v/>
      </c>
      <c r="AA90">
        <f>IFERROR(VLOOKUP(H90,'הגדרות'!$A:$D,3,FALSE),"")</f>
        <v/>
      </c>
      <c r="AB90">
        <f>IFERROR(VLOOKUP(I90,'הגדרות'!$A:$D,2,FALSE),"")</f>
        <v/>
      </c>
      <c r="AC90">
        <f>IFERROR(VLOOKUP(I90,'הגדרות'!$A:$D,3,FALSE),"")</f>
        <v/>
      </c>
      <c r="AD90">
        <f>IF(AND(OR('לוח בקרה'!$C$3="הכל",Z90='לוח בקרה'!$C$3,AA90='לוח בקרה'!$C$3,AB90='לוח בקרה'!$C$3,AC90='לוח בקרה'!$C$3),OR('לוח בקרה'!$C$4="הכל",A90='לוח בקרה'!$C$4),OR('לוח בקרה'!$C$5="הכל",T90='לוח בקרה'!$C$5),OR('לוח בקרה'!$C$6="הכל",H90='לוח בקרה'!$C$6,I90='לוח בקרה'!$C$6),OR('לוח בקרה'!$C$7="הכל",J90='לוח בקרה'!$C$7),OR('לוח בקרה'!$C$8="הכל",L90='לוח בקרה'!$C$8),OR('לוח בקרה'!$C$9="הכל",Q90='לוח בקרה'!$C$9),OR('לוח בקרה'!$C$10="הכל",F90='לוח בקרה'!$C$10,G90='לוח בקרה'!$C$10),D90&lt;&gt;""),ROW()-2,"")</f>
        <v/>
      </c>
      <c r="AE90">
        <f>IF(AND(OR('טכנו'!$C$3="הכל",Z90='טכנו'!$C$3,AA90='טכנו'!$C$3,AB90='טכנו'!$C$3,AC90='טכנו'!$C$3),OR('טכנו'!$C$4="הכל",A90='טכנו'!$C$4),D90&lt;&gt;""),ROW()-2,"")</f>
        <v/>
      </c>
    </row>
    <row r="91">
      <c r="E91">
        <f>IFERROR(INDEX('הגדרות'!$I:$I,MATCH(B91,'הגדרות'!$H:$H,0)),"")</f>
        <v/>
      </c>
      <c r="Z91">
        <f>IFERROR(VLOOKUP(H91,'הגדרות'!$A:$D,2,FALSE),"")</f>
        <v/>
      </c>
      <c r="AA91">
        <f>IFERROR(VLOOKUP(H91,'הגדרות'!$A:$D,3,FALSE),"")</f>
        <v/>
      </c>
      <c r="AB91">
        <f>IFERROR(VLOOKUP(I91,'הגדרות'!$A:$D,2,FALSE),"")</f>
        <v/>
      </c>
      <c r="AC91">
        <f>IFERROR(VLOOKUP(I91,'הגדרות'!$A:$D,3,FALSE),"")</f>
        <v/>
      </c>
      <c r="AD91">
        <f>IF(AND(OR('לוח בקרה'!$C$3="הכל",Z91='לוח בקרה'!$C$3,AA91='לוח בקרה'!$C$3,AB91='לוח בקרה'!$C$3,AC91='לוח בקרה'!$C$3),OR('לוח בקרה'!$C$4="הכל",A91='לוח בקרה'!$C$4),OR('לוח בקרה'!$C$5="הכל",T91='לוח בקרה'!$C$5),OR('לוח בקרה'!$C$6="הכל",H91='לוח בקרה'!$C$6,I91='לוח בקרה'!$C$6),OR('לוח בקרה'!$C$7="הכל",J91='לוח בקרה'!$C$7),OR('לוח בקרה'!$C$8="הכל",L91='לוח בקרה'!$C$8),OR('לוח בקרה'!$C$9="הכל",Q91='לוח בקרה'!$C$9),OR('לוח בקרה'!$C$10="הכל",F91='לוח בקרה'!$C$10,G91='לוח בקרה'!$C$10),D91&lt;&gt;""),ROW()-2,"")</f>
        <v/>
      </c>
      <c r="AE91">
        <f>IF(AND(OR('טכנו'!$C$3="הכל",Z91='טכנו'!$C$3,AA91='טכנו'!$C$3,AB91='טכנו'!$C$3,AC91='טכנו'!$C$3),OR('טכנו'!$C$4="הכל",A91='טכנו'!$C$4),D91&lt;&gt;""),ROW()-2,"")</f>
        <v/>
      </c>
    </row>
    <row r="92">
      <c r="E92">
        <f>IFERROR(INDEX('הגדרות'!$I:$I,MATCH(B92,'הגדרות'!$H:$H,0)),"")</f>
        <v/>
      </c>
      <c r="Z92">
        <f>IFERROR(VLOOKUP(H92,'הגדרות'!$A:$D,2,FALSE),"")</f>
        <v/>
      </c>
      <c r="AA92">
        <f>IFERROR(VLOOKUP(H92,'הגדרות'!$A:$D,3,FALSE),"")</f>
        <v/>
      </c>
      <c r="AB92">
        <f>IFERROR(VLOOKUP(I92,'הגדרות'!$A:$D,2,FALSE),"")</f>
        <v/>
      </c>
      <c r="AC92">
        <f>IFERROR(VLOOKUP(I92,'הגדרות'!$A:$D,3,FALSE),"")</f>
        <v/>
      </c>
      <c r="AD92">
        <f>IF(AND(OR('לוח בקרה'!$C$3="הכל",Z92='לוח בקרה'!$C$3,AA92='לוח בקרה'!$C$3,AB92='לוח בקרה'!$C$3,AC92='לוח בקרה'!$C$3),OR('לוח בקרה'!$C$4="הכל",A92='לוח בקרה'!$C$4),OR('לוח בקרה'!$C$5="הכל",T92='לוח בקרה'!$C$5),OR('לוח בקרה'!$C$6="הכל",H92='לוח בקרה'!$C$6,I92='לוח בקרה'!$C$6),OR('לוח בקרה'!$C$7="הכל",J92='לוח בקרה'!$C$7),OR('לוח בקרה'!$C$8="הכל",L92='לוח בקרה'!$C$8),OR('לוח בקרה'!$C$9="הכל",Q92='לוח בקרה'!$C$9),OR('לוח בקרה'!$C$10="הכל",F92='לוח בקרה'!$C$10,G92='לוח בקרה'!$C$10),D92&lt;&gt;""),ROW()-2,"")</f>
        <v/>
      </c>
      <c r="AE92">
        <f>IF(AND(OR('טכנו'!$C$3="הכל",Z92='טכנו'!$C$3,AA92='טכנו'!$C$3,AB92='טכנו'!$C$3,AC92='טכנו'!$C$3),OR('טכנו'!$C$4="הכל",A92='טכנו'!$C$4),D92&lt;&gt;""),ROW()-2,"")</f>
        <v/>
      </c>
    </row>
    <row r="93">
      <c r="E93">
        <f>IFERROR(INDEX('הגדרות'!$I:$I,MATCH(B93,'הגדרות'!$H:$H,0)),"")</f>
        <v/>
      </c>
      <c r="Z93">
        <f>IFERROR(VLOOKUP(H93,'הגדרות'!$A:$D,2,FALSE),"")</f>
        <v/>
      </c>
      <c r="AA93">
        <f>IFERROR(VLOOKUP(H93,'הגדרות'!$A:$D,3,FALSE),"")</f>
        <v/>
      </c>
      <c r="AB93">
        <f>IFERROR(VLOOKUP(I93,'הגדרות'!$A:$D,2,FALSE),"")</f>
        <v/>
      </c>
      <c r="AC93">
        <f>IFERROR(VLOOKUP(I93,'הגדרות'!$A:$D,3,FALSE),"")</f>
        <v/>
      </c>
      <c r="AD93">
        <f>IF(AND(OR('לוח בקרה'!$C$3="הכל",Z93='לוח בקרה'!$C$3,AA93='לוח בקרה'!$C$3,AB93='לוח בקרה'!$C$3,AC93='לוח בקרה'!$C$3),OR('לוח בקרה'!$C$4="הכל",A93='לוח בקרה'!$C$4),OR('לוח בקרה'!$C$5="הכל",T93='לוח בקרה'!$C$5),OR('לוח בקרה'!$C$6="הכל",H93='לוח בקרה'!$C$6,I93='לוח בקרה'!$C$6),OR('לוח בקרה'!$C$7="הכל",J93='לוח בקרה'!$C$7),OR('לוח בקרה'!$C$8="הכל",L93='לוח בקרה'!$C$8),OR('לוח בקרה'!$C$9="הכל",Q93='לוח בקרה'!$C$9),OR('לוח בקרה'!$C$10="הכל",F93='לוח בקרה'!$C$10,G93='לוח בקרה'!$C$10),D93&lt;&gt;""),ROW()-2,"")</f>
        <v/>
      </c>
      <c r="AE93">
        <f>IF(AND(OR('טכנו'!$C$3="הכל",Z93='טכנו'!$C$3,AA93='טכנו'!$C$3,AB93='טכנו'!$C$3,AC93='טכנו'!$C$3),OR('טכנו'!$C$4="הכל",A93='טכנו'!$C$4),D93&lt;&gt;""),ROW()-2,"")</f>
        <v/>
      </c>
    </row>
    <row r="94">
      <c r="E94">
        <f>IFERROR(INDEX('הגדרות'!$I:$I,MATCH(B94,'הגדרות'!$H:$H,0)),"")</f>
        <v/>
      </c>
      <c r="Z94">
        <f>IFERROR(VLOOKUP(H94,'הגדרות'!$A:$D,2,FALSE),"")</f>
        <v/>
      </c>
      <c r="AA94">
        <f>IFERROR(VLOOKUP(H94,'הגדרות'!$A:$D,3,FALSE),"")</f>
        <v/>
      </c>
      <c r="AB94">
        <f>IFERROR(VLOOKUP(I94,'הגדרות'!$A:$D,2,FALSE),"")</f>
        <v/>
      </c>
      <c r="AC94">
        <f>IFERROR(VLOOKUP(I94,'הגדרות'!$A:$D,3,FALSE),"")</f>
        <v/>
      </c>
      <c r="AD94">
        <f>IF(AND(OR('לוח בקרה'!$C$3="הכל",Z94='לוח בקרה'!$C$3,AA94='לוח בקרה'!$C$3,AB94='לוח בקרה'!$C$3,AC94='לוח בקרה'!$C$3),OR('לוח בקרה'!$C$4="הכל",A94='לוח בקרה'!$C$4),OR('לוח בקרה'!$C$5="הכל",T94='לוח בקרה'!$C$5),OR('לוח בקרה'!$C$6="הכל",H94='לוח בקרה'!$C$6,I94='לוח בקרה'!$C$6),OR('לוח בקרה'!$C$7="הכל",J94='לוח בקרה'!$C$7),OR('לוח בקרה'!$C$8="הכל",L94='לוח בקרה'!$C$8),OR('לוח בקרה'!$C$9="הכל",Q94='לוח בקרה'!$C$9),OR('לוח בקרה'!$C$10="הכל",F94='לוח בקרה'!$C$10,G94='לוח בקרה'!$C$10),D94&lt;&gt;""),ROW()-2,"")</f>
        <v/>
      </c>
      <c r="AE94">
        <f>IF(AND(OR('טכנו'!$C$3="הכל",Z94='טכנו'!$C$3,AA94='טכנו'!$C$3,AB94='טכנו'!$C$3,AC94='טכנו'!$C$3),OR('טכנו'!$C$4="הכל",A94='טכנו'!$C$4),D94&lt;&gt;""),ROW()-2,"")</f>
        <v/>
      </c>
    </row>
    <row r="95">
      <c r="E95">
        <f>IFERROR(INDEX('הגדרות'!$I:$I,MATCH(B95,'הגדרות'!$H:$H,0)),"")</f>
        <v/>
      </c>
      <c r="Z95">
        <f>IFERROR(VLOOKUP(H95,'הגדרות'!$A:$D,2,FALSE),"")</f>
        <v/>
      </c>
      <c r="AA95">
        <f>IFERROR(VLOOKUP(H95,'הגדרות'!$A:$D,3,FALSE),"")</f>
        <v/>
      </c>
      <c r="AB95">
        <f>IFERROR(VLOOKUP(I95,'הגדרות'!$A:$D,2,FALSE),"")</f>
        <v/>
      </c>
      <c r="AC95">
        <f>IFERROR(VLOOKUP(I95,'הגדרות'!$A:$D,3,FALSE),"")</f>
        <v/>
      </c>
      <c r="AD95">
        <f>IF(AND(OR('לוח בקרה'!$C$3="הכל",Z95='לוח בקרה'!$C$3,AA95='לוח בקרה'!$C$3,AB95='לוח בקרה'!$C$3,AC95='לוח בקרה'!$C$3),OR('לוח בקרה'!$C$4="הכל",A95='לוח בקרה'!$C$4),OR('לוח בקרה'!$C$5="הכל",T95='לוח בקרה'!$C$5),OR('לוח בקרה'!$C$6="הכל",H95='לוח בקרה'!$C$6,I95='לוח בקרה'!$C$6),OR('לוח בקרה'!$C$7="הכל",J95='לוח בקרה'!$C$7),OR('לוח בקרה'!$C$8="הכל",L95='לוח בקרה'!$C$8),OR('לוח בקרה'!$C$9="הכל",Q95='לוח בקרה'!$C$9),OR('לוח בקרה'!$C$10="הכל",F95='לוח בקרה'!$C$10,G95='לוח בקרה'!$C$10),D95&lt;&gt;""),ROW()-2,"")</f>
        <v/>
      </c>
      <c r="AE95">
        <f>IF(AND(OR('טכנו'!$C$3="הכל",Z95='טכנו'!$C$3,AA95='טכנו'!$C$3,AB95='טכנו'!$C$3,AC95='טכנו'!$C$3),OR('טכנו'!$C$4="הכל",A95='טכנו'!$C$4),D95&lt;&gt;""),ROW()-2,"")</f>
        <v/>
      </c>
    </row>
    <row r="96">
      <c r="E96">
        <f>IFERROR(INDEX('הגדרות'!$I:$I,MATCH(B96,'הגדרות'!$H:$H,0)),"")</f>
        <v/>
      </c>
      <c r="Z96">
        <f>IFERROR(VLOOKUP(H96,'הגדרות'!$A:$D,2,FALSE),"")</f>
        <v/>
      </c>
      <c r="AA96">
        <f>IFERROR(VLOOKUP(H96,'הגדרות'!$A:$D,3,FALSE),"")</f>
        <v/>
      </c>
      <c r="AB96">
        <f>IFERROR(VLOOKUP(I96,'הגדרות'!$A:$D,2,FALSE),"")</f>
        <v/>
      </c>
      <c r="AC96">
        <f>IFERROR(VLOOKUP(I96,'הגדרות'!$A:$D,3,FALSE),"")</f>
        <v/>
      </c>
      <c r="AD96">
        <f>IF(AND(OR('לוח בקרה'!$C$3="הכל",Z96='לוח בקרה'!$C$3,AA96='לוח בקרה'!$C$3,AB96='לוח בקרה'!$C$3,AC96='לוח בקרה'!$C$3),OR('לוח בקרה'!$C$4="הכל",A96='לוח בקרה'!$C$4),OR('לוח בקרה'!$C$5="הכל",T96='לוח בקרה'!$C$5),OR('לוח בקרה'!$C$6="הכל",H96='לוח בקרה'!$C$6,I96='לוח בקרה'!$C$6),OR('לוח בקרה'!$C$7="הכל",J96='לוח בקרה'!$C$7),OR('לוח בקרה'!$C$8="הכל",L96='לוח בקרה'!$C$8),OR('לוח בקרה'!$C$9="הכל",Q96='לוח בקרה'!$C$9),OR('לוח בקרה'!$C$10="הכל",F96='לוח בקרה'!$C$10,G96='לוח בקרה'!$C$10),D96&lt;&gt;""),ROW()-2,"")</f>
        <v/>
      </c>
      <c r="AE96">
        <f>IF(AND(OR('טכנו'!$C$3="הכל",Z96='טכנו'!$C$3,AA96='טכנו'!$C$3,AB96='טכנו'!$C$3,AC96='טכנו'!$C$3),OR('טכנו'!$C$4="הכל",A96='טכנו'!$C$4),D96&lt;&gt;""),ROW()-2,"")</f>
        <v/>
      </c>
    </row>
    <row r="97">
      <c r="E97">
        <f>IFERROR(INDEX('הגדרות'!$I:$I,MATCH(B97,'הגדרות'!$H:$H,0)),"")</f>
        <v/>
      </c>
      <c r="Z97">
        <f>IFERROR(VLOOKUP(H97,'הגדרות'!$A:$D,2,FALSE),"")</f>
        <v/>
      </c>
      <c r="AA97">
        <f>IFERROR(VLOOKUP(H97,'הגדרות'!$A:$D,3,FALSE),"")</f>
        <v/>
      </c>
      <c r="AB97">
        <f>IFERROR(VLOOKUP(I97,'הגדרות'!$A:$D,2,FALSE),"")</f>
        <v/>
      </c>
      <c r="AC97">
        <f>IFERROR(VLOOKUP(I97,'הגדרות'!$A:$D,3,FALSE),"")</f>
        <v/>
      </c>
      <c r="AD97">
        <f>IF(AND(OR('לוח בקרה'!$C$3="הכל",Z97='לוח בקרה'!$C$3,AA97='לוח בקרה'!$C$3,AB97='לוח בקרה'!$C$3,AC97='לוח בקרה'!$C$3),OR('לוח בקרה'!$C$4="הכל",A97='לוח בקרה'!$C$4),OR('לוח בקרה'!$C$5="הכל",T97='לוח בקרה'!$C$5),OR('לוח בקרה'!$C$6="הכל",H97='לוח בקרה'!$C$6,I97='לוח בקרה'!$C$6),OR('לוח בקרה'!$C$7="הכל",J97='לוח בקרה'!$C$7),OR('לוח בקרה'!$C$8="הכל",L97='לוח בקרה'!$C$8),OR('לוח בקרה'!$C$9="הכל",Q97='לוח בקרה'!$C$9),OR('לוח בקרה'!$C$10="הכל",F97='לוח בקרה'!$C$10,G97='לוח בקרה'!$C$10),D97&lt;&gt;""),ROW()-2,"")</f>
        <v/>
      </c>
      <c r="AE97">
        <f>IF(AND(OR('טכנו'!$C$3="הכל",Z97='טכנו'!$C$3,AA97='טכנו'!$C$3,AB97='טכנו'!$C$3,AC97='טכנו'!$C$3),OR('טכנו'!$C$4="הכל",A97='טכנו'!$C$4),D97&lt;&gt;""),ROW()-2,"")</f>
        <v/>
      </c>
    </row>
    <row r="98">
      <c r="E98">
        <f>IFERROR(INDEX('הגדרות'!$I:$I,MATCH(B98,'הגדרות'!$H:$H,0)),"")</f>
        <v/>
      </c>
      <c r="Z98">
        <f>IFERROR(VLOOKUP(H98,'הגדרות'!$A:$D,2,FALSE),"")</f>
        <v/>
      </c>
      <c r="AA98">
        <f>IFERROR(VLOOKUP(H98,'הגדרות'!$A:$D,3,FALSE),"")</f>
        <v/>
      </c>
      <c r="AB98">
        <f>IFERROR(VLOOKUP(I98,'הגדרות'!$A:$D,2,FALSE),"")</f>
        <v/>
      </c>
      <c r="AC98">
        <f>IFERROR(VLOOKUP(I98,'הגדרות'!$A:$D,3,FALSE),"")</f>
        <v/>
      </c>
      <c r="AD98">
        <f>IF(AND(OR('לוח בקרה'!$C$3="הכל",Z98='לוח בקרה'!$C$3,AA98='לוח בקרה'!$C$3,AB98='לוח בקרה'!$C$3,AC98='לוח בקרה'!$C$3),OR('לוח בקרה'!$C$4="הכל",A98='לוח בקרה'!$C$4),OR('לוח בקרה'!$C$5="הכל",T98='לוח בקרה'!$C$5),OR('לוח בקרה'!$C$6="הכל",H98='לוח בקרה'!$C$6,I98='לוח בקרה'!$C$6),OR('לוח בקרה'!$C$7="הכל",J98='לוח בקרה'!$C$7),OR('לוח בקרה'!$C$8="הכל",L98='לוח בקרה'!$C$8),OR('לוח בקרה'!$C$9="הכל",Q98='לוח בקרה'!$C$9),OR('לוח בקרה'!$C$10="הכל",F98='לוח בקרה'!$C$10,G98='לוח בקרה'!$C$10),D98&lt;&gt;""),ROW()-2,"")</f>
        <v/>
      </c>
      <c r="AE98">
        <f>IF(AND(OR('טכנו'!$C$3="הכל",Z98='טכנו'!$C$3,AA98='טכנו'!$C$3,AB98='טכנו'!$C$3,AC98='טכנו'!$C$3),OR('טכנו'!$C$4="הכל",A98='טכנו'!$C$4),D98&lt;&gt;""),ROW()-2,"")</f>
        <v/>
      </c>
    </row>
    <row r="99">
      <c r="E99">
        <f>IFERROR(INDEX('הגדרות'!$I:$I,MATCH(B99,'הגדרות'!$H:$H,0)),"")</f>
        <v/>
      </c>
      <c r="Z99">
        <f>IFERROR(VLOOKUP(H99,'הגדרות'!$A:$D,2,FALSE),"")</f>
        <v/>
      </c>
      <c r="AA99">
        <f>IFERROR(VLOOKUP(H99,'הגדרות'!$A:$D,3,FALSE),"")</f>
        <v/>
      </c>
      <c r="AB99">
        <f>IFERROR(VLOOKUP(I99,'הגדרות'!$A:$D,2,FALSE),"")</f>
        <v/>
      </c>
      <c r="AC99">
        <f>IFERROR(VLOOKUP(I99,'הגדרות'!$A:$D,3,FALSE),"")</f>
        <v/>
      </c>
      <c r="AD99">
        <f>IF(AND(OR('לוח בקרה'!$C$3="הכל",Z99='לוח בקרה'!$C$3,AA99='לוח בקרה'!$C$3,AB99='לוח בקרה'!$C$3,AC99='לוח בקרה'!$C$3),OR('לוח בקרה'!$C$4="הכל",A99='לוח בקרה'!$C$4),OR('לוח בקרה'!$C$5="הכל",T99='לוח בקרה'!$C$5),OR('לוח בקרה'!$C$6="הכל",H99='לוח בקרה'!$C$6,I99='לוח בקרה'!$C$6),OR('לוח בקרה'!$C$7="הכל",J99='לוח בקרה'!$C$7),OR('לוח בקרה'!$C$8="הכל",L99='לוח בקרה'!$C$8),OR('לוח בקרה'!$C$9="הכל",Q99='לוח בקרה'!$C$9),OR('לוח בקרה'!$C$10="הכל",F99='לוח בקרה'!$C$10,G99='לוח בקרה'!$C$10),D99&lt;&gt;""),ROW()-2,"")</f>
        <v/>
      </c>
      <c r="AE99">
        <f>IF(AND(OR('טכנו'!$C$3="הכל",Z99='טכנו'!$C$3,AA99='טכנו'!$C$3,AB99='טכנו'!$C$3,AC99='טכנו'!$C$3),OR('טכנו'!$C$4="הכל",A99='טכנו'!$C$4),D99&lt;&gt;""),ROW()-2,"")</f>
        <v/>
      </c>
    </row>
    <row r="100">
      <c r="E100">
        <f>IFERROR(INDEX('הגדרות'!$I:$I,MATCH(B100,'הגדרות'!$H:$H,0)),"")</f>
        <v/>
      </c>
      <c r="Z100">
        <f>IFERROR(VLOOKUP(H100,'הגדרות'!$A:$D,2,FALSE),"")</f>
        <v/>
      </c>
      <c r="AA100">
        <f>IFERROR(VLOOKUP(H100,'הגדרות'!$A:$D,3,FALSE),"")</f>
        <v/>
      </c>
      <c r="AB100">
        <f>IFERROR(VLOOKUP(I100,'הגדרות'!$A:$D,2,FALSE),"")</f>
        <v/>
      </c>
      <c r="AC100">
        <f>IFERROR(VLOOKUP(I100,'הגדרות'!$A:$D,3,FALSE),"")</f>
        <v/>
      </c>
      <c r="AD100">
        <f>IF(AND(OR('לוח בקרה'!$C$3="הכל",Z100='לוח בקרה'!$C$3,AA100='לוח בקרה'!$C$3,AB100='לוח בקרה'!$C$3,AC100='לוח בקרה'!$C$3),OR('לוח בקרה'!$C$4="הכל",A100='לוח בקרה'!$C$4),OR('לוח בקרה'!$C$5="הכל",T100='לוח בקרה'!$C$5),OR('לוח בקרה'!$C$6="הכל",H100='לוח בקרה'!$C$6,I100='לוח בקרה'!$C$6),OR('לוח בקרה'!$C$7="הכל",J100='לוח בקרה'!$C$7),OR('לוח בקרה'!$C$8="הכל",L100='לוח בקרה'!$C$8),OR('לוח בקרה'!$C$9="הכל",Q100='לוח בקרה'!$C$9),OR('לוח בקרה'!$C$10="הכל",F100='לוח בקרה'!$C$10,G100='לוח בקרה'!$C$10),D100&lt;&gt;""),ROW()-2,"")</f>
        <v/>
      </c>
      <c r="AE100">
        <f>IF(AND(OR('טכנו'!$C$3="הכל",Z100='טכנו'!$C$3,AA100='טכנו'!$C$3,AB100='טכנו'!$C$3,AC100='טכנו'!$C$3),OR('טכנו'!$C$4="הכל",A100='טכנו'!$C$4),D100&lt;&gt;""),ROW()-2,"")</f>
        <v/>
      </c>
    </row>
    <row r="101">
      <c r="E101">
        <f>IFERROR(INDEX('הגדרות'!$I:$I,MATCH(B101,'הגדרות'!$H:$H,0)),"")</f>
        <v/>
      </c>
      <c r="Z101">
        <f>IFERROR(VLOOKUP(H101,'הגדרות'!$A:$D,2,FALSE),"")</f>
        <v/>
      </c>
      <c r="AA101">
        <f>IFERROR(VLOOKUP(H101,'הגדרות'!$A:$D,3,FALSE),"")</f>
        <v/>
      </c>
      <c r="AB101">
        <f>IFERROR(VLOOKUP(I101,'הגדרות'!$A:$D,2,FALSE),"")</f>
        <v/>
      </c>
      <c r="AC101">
        <f>IFERROR(VLOOKUP(I101,'הגדרות'!$A:$D,3,FALSE),"")</f>
        <v/>
      </c>
      <c r="AD101">
        <f>IF(AND(OR('לוח בקרה'!$C$3="הכל",Z101='לוח בקרה'!$C$3,AA101='לוח בקרה'!$C$3,AB101='לוח בקרה'!$C$3,AC101='לוח בקרה'!$C$3),OR('לוח בקרה'!$C$4="הכל",A101='לוח בקרה'!$C$4),OR('לוח בקרה'!$C$5="הכל",T101='לוח בקרה'!$C$5),OR('לוח בקרה'!$C$6="הכל",H101='לוח בקרה'!$C$6,I101='לוח בקרה'!$C$6),OR('לוח בקרה'!$C$7="הכל",J101='לוח בקרה'!$C$7),OR('לוח בקרה'!$C$8="הכל",L101='לוח בקרה'!$C$8),OR('לוח בקרה'!$C$9="הכל",Q101='לוח בקרה'!$C$9),OR('לוח בקרה'!$C$10="הכל",F101='לוח בקרה'!$C$10,G101='לוח בקרה'!$C$10),D101&lt;&gt;""),ROW()-2,"")</f>
        <v/>
      </c>
      <c r="AE101">
        <f>IF(AND(OR('טכנו'!$C$3="הכל",Z101='טכנו'!$C$3,AA101='טכנו'!$C$3,AB101='טכנו'!$C$3,AC101='טכנו'!$C$3),OR('טכנו'!$C$4="הכל",A101='טכנו'!$C$4),D101&lt;&gt;""),ROW()-2,"")</f>
        <v/>
      </c>
    </row>
    <row r="102">
      <c r="E102">
        <f>IFERROR(INDEX('הגדרות'!$I:$I,MATCH(B102,'הגדרות'!$H:$H,0)),"")</f>
        <v/>
      </c>
      <c r="Z102">
        <f>IFERROR(VLOOKUP(H102,'הגדרות'!$A:$D,2,FALSE),"")</f>
        <v/>
      </c>
      <c r="AA102">
        <f>IFERROR(VLOOKUP(H102,'הגדרות'!$A:$D,3,FALSE),"")</f>
        <v/>
      </c>
      <c r="AB102">
        <f>IFERROR(VLOOKUP(I102,'הגדרות'!$A:$D,2,FALSE),"")</f>
        <v/>
      </c>
      <c r="AC102">
        <f>IFERROR(VLOOKUP(I102,'הגדרות'!$A:$D,3,FALSE),"")</f>
        <v/>
      </c>
      <c r="AD102">
        <f>IF(AND(OR('לוח בקרה'!$C$3="הכל",Z102='לוח בקרה'!$C$3,AA102='לוח בקרה'!$C$3,AB102='לוח בקרה'!$C$3,AC102='לוח בקרה'!$C$3),OR('לוח בקרה'!$C$4="הכל",A102='לוח בקרה'!$C$4),OR('לוח בקרה'!$C$5="הכל",T102='לוח בקרה'!$C$5),OR('לוח בקרה'!$C$6="הכל",H102='לוח בקרה'!$C$6,I102='לוח בקרה'!$C$6),OR('לוח בקרה'!$C$7="הכל",J102='לוח בקרה'!$C$7),OR('לוח בקרה'!$C$8="הכל",L102='לוח בקרה'!$C$8),OR('לוח בקרה'!$C$9="הכל",Q102='לוח בקרה'!$C$9),OR('לוח בקרה'!$C$10="הכל",F102='לוח בקרה'!$C$10,G102='לוח בקרה'!$C$10),D102&lt;&gt;""),ROW()-2,"")</f>
        <v/>
      </c>
      <c r="AE102">
        <f>IF(AND(OR('טכנו'!$C$3="הכל",Z102='טכנו'!$C$3,AA102='טכנו'!$C$3,AB102='טכנו'!$C$3,AC102='טכנו'!$C$3),OR('טכנו'!$C$4="הכל",A102='טכנו'!$C$4),D102&lt;&gt;""),ROW()-2,"")</f>
        <v/>
      </c>
    </row>
    <row r="103">
      <c r="E103">
        <f>IFERROR(INDEX('הגדרות'!$I:$I,MATCH(B103,'הגדרות'!$H:$H,0)),"")</f>
        <v/>
      </c>
      <c r="Z103">
        <f>IFERROR(VLOOKUP(H103,'הגדרות'!$A:$D,2,FALSE),"")</f>
        <v/>
      </c>
      <c r="AA103">
        <f>IFERROR(VLOOKUP(H103,'הגדרות'!$A:$D,3,FALSE),"")</f>
        <v/>
      </c>
      <c r="AB103">
        <f>IFERROR(VLOOKUP(I103,'הגדרות'!$A:$D,2,FALSE),"")</f>
        <v/>
      </c>
      <c r="AC103">
        <f>IFERROR(VLOOKUP(I103,'הגדרות'!$A:$D,3,FALSE),"")</f>
        <v/>
      </c>
      <c r="AD103">
        <f>IF(AND(OR('לוח בקרה'!$C$3="הכל",Z103='לוח בקרה'!$C$3,AA103='לוח בקרה'!$C$3,AB103='לוח בקרה'!$C$3,AC103='לוח בקרה'!$C$3),OR('לוח בקרה'!$C$4="הכל",A103='לוח בקרה'!$C$4),OR('לוח בקרה'!$C$5="הכל",T103='לוח בקרה'!$C$5),OR('לוח בקרה'!$C$6="הכל",H103='לוח בקרה'!$C$6,I103='לוח בקרה'!$C$6),OR('לוח בקרה'!$C$7="הכל",J103='לוח בקרה'!$C$7),OR('לוח בקרה'!$C$8="הכל",L103='לוח בקרה'!$C$8),OR('לוח בקרה'!$C$9="הכל",Q103='לוח בקרה'!$C$9),OR('לוח בקרה'!$C$10="הכל",F103='לוח בקרה'!$C$10,G103='לוח בקרה'!$C$10),D103&lt;&gt;""),ROW()-2,"")</f>
        <v/>
      </c>
      <c r="AE103">
        <f>IF(AND(OR('טכנו'!$C$3="הכל",Z103='טכנו'!$C$3,AA103='טכנו'!$C$3,AB103='טכנו'!$C$3,AC103='טכנו'!$C$3),OR('טכנו'!$C$4="הכל",A103='טכנו'!$C$4),D103&lt;&gt;""),ROW()-2,"")</f>
        <v/>
      </c>
    </row>
    <row r="104">
      <c r="E104">
        <f>IFERROR(INDEX('הגדרות'!$I:$I,MATCH(B104,'הגדרות'!$H:$H,0)),"")</f>
        <v/>
      </c>
      <c r="Z104">
        <f>IFERROR(VLOOKUP(H104,'הגדרות'!$A:$D,2,FALSE),"")</f>
        <v/>
      </c>
      <c r="AA104">
        <f>IFERROR(VLOOKUP(H104,'הגדרות'!$A:$D,3,FALSE),"")</f>
        <v/>
      </c>
      <c r="AB104">
        <f>IFERROR(VLOOKUP(I104,'הגדרות'!$A:$D,2,FALSE),"")</f>
        <v/>
      </c>
      <c r="AC104">
        <f>IFERROR(VLOOKUP(I104,'הגדרות'!$A:$D,3,FALSE),"")</f>
        <v/>
      </c>
      <c r="AD104">
        <f>IF(AND(OR('לוח בקרה'!$C$3="הכל",Z104='לוח בקרה'!$C$3,AA104='לוח בקרה'!$C$3,AB104='לוח בקרה'!$C$3,AC104='לוח בקרה'!$C$3),OR('לוח בקרה'!$C$4="הכל",A104='לוח בקרה'!$C$4),OR('לוח בקרה'!$C$5="הכל",T104='לוח בקרה'!$C$5),OR('לוח בקרה'!$C$6="הכל",H104='לוח בקרה'!$C$6,I104='לוח בקרה'!$C$6),OR('לוח בקרה'!$C$7="הכל",J104='לוח בקרה'!$C$7),OR('לוח בקרה'!$C$8="הכל",L104='לוח בקרה'!$C$8),OR('לוח בקרה'!$C$9="הכל",Q104='לוח בקרה'!$C$9),OR('לוח בקרה'!$C$10="הכל",F104='לוח בקרה'!$C$10,G104='לוח בקרה'!$C$10),D104&lt;&gt;""),ROW()-2,"")</f>
        <v/>
      </c>
      <c r="AE104">
        <f>IF(AND(OR('טכנו'!$C$3="הכל",Z104='טכנו'!$C$3,AA104='טכנו'!$C$3,AB104='טכנו'!$C$3,AC104='טכנו'!$C$3),OR('טכנו'!$C$4="הכל",A104='טכנו'!$C$4),D104&lt;&gt;""),ROW()-2,"")</f>
        <v/>
      </c>
    </row>
    <row r="105">
      <c r="E105">
        <f>IFERROR(INDEX('הגדרות'!$I:$I,MATCH(B105,'הגדרות'!$H:$H,0)),"")</f>
        <v/>
      </c>
      <c r="Z105">
        <f>IFERROR(VLOOKUP(H105,'הגדרות'!$A:$D,2,FALSE),"")</f>
        <v/>
      </c>
      <c r="AA105">
        <f>IFERROR(VLOOKUP(H105,'הגדרות'!$A:$D,3,FALSE),"")</f>
        <v/>
      </c>
      <c r="AB105">
        <f>IFERROR(VLOOKUP(I105,'הגדרות'!$A:$D,2,FALSE),"")</f>
        <v/>
      </c>
      <c r="AC105">
        <f>IFERROR(VLOOKUP(I105,'הגדרות'!$A:$D,3,FALSE),"")</f>
        <v/>
      </c>
      <c r="AD105">
        <f>IF(AND(OR('לוח בקרה'!$C$3="הכל",Z105='לוח בקרה'!$C$3,AA105='לוח בקרה'!$C$3,AB105='לוח בקרה'!$C$3,AC105='לוח בקרה'!$C$3),OR('לוח בקרה'!$C$4="הכל",A105='לוח בקרה'!$C$4),OR('לוח בקרה'!$C$5="הכל",T105='לוח בקרה'!$C$5),OR('לוח בקרה'!$C$6="הכל",H105='לוח בקרה'!$C$6,I105='לוח בקרה'!$C$6),OR('לוח בקרה'!$C$7="הכל",J105='לוח בקרה'!$C$7),OR('לוח בקרה'!$C$8="הכל",L105='לוח בקרה'!$C$8),OR('לוח בקרה'!$C$9="הכל",Q105='לוח בקרה'!$C$9),OR('לוח בקרה'!$C$10="הכל",F105='לוח בקרה'!$C$10,G105='לוח בקרה'!$C$10),D105&lt;&gt;""),ROW()-2,"")</f>
        <v/>
      </c>
      <c r="AE105">
        <f>IF(AND(OR('טכנו'!$C$3="הכל",Z105='טכנו'!$C$3,AA105='טכנו'!$C$3,AB105='טכנו'!$C$3,AC105='טכנו'!$C$3),OR('טכנו'!$C$4="הכל",A105='טכנו'!$C$4),D105&lt;&gt;""),ROW()-2,"")</f>
        <v/>
      </c>
    </row>
    <row r="106">
      <c r="E106">
        <f>IFERROR(INDEX('הגדרות'!$I:$I,MATCH(B106,'הגדרות'!$H:$H,0)),"")</f>
        <v/>
      </c>
      <c r="Z106">
        <f>IFERROR(VLOOKUP(H106,'הגדרות'!$A:$D,2,FALSE),"")</f>
        <v/>
      </c>
      <c r="AA106">
        <f>IFERROR(VLOOKUP(H106,'הגדרות'!$A:$D,3,FALSE),"")</f>
        <v/>
      </c>
      <c r="AB106">
        <f>IFERROR(VLOOKUP(I106,'הגדרות'!$A:$D,2,FALSE),"")</f>
        <v/>
      </c>
      <c r="AC106">
        <f>IFERROR(VLOOKUP(I106,'הגדרות'!$A:$D,3,FALSE),"")</f>
        <v/>
      </c>
      <c r="AD106">
        <f>IF(AND(OR('לוח בקרה'!$C$3="הכל",Z106='לוח בקרה'!$C$3,AA106='לוח בקרה'!$C$3,AB106='לוח בקרה'!$C$3,AC106='לוח בקרה'!$C$3),OR('לוח בקרה'!$C$4="הכל",A106='לוח בקרה'!$C$4),OR('לוח בקרה'!$C$5="הכל",T106='לוח בקרה'!$C$5),OR('לוח בקרה'!$C$6="הכל",H106='לוח בקרה'!$C$6,I106='לוח בקרה'!$C$6),OR('לוח בקרה'!$C$7="הכל",J106='לוח בקרה'!$C$7),OR('לוח בקרה'!$C$8="הכל",L106='לוח בקרה'!$C$8),OR('לוח בקרה'!$C$9="הכל",Q106='לוח בקרה'!$C$9),OR('לוח בקרה'!$C$10="הכל",F106='לוח בקרה'!$C$10,G106='לוח בקרה'!$C$10),D106&lt;&gt;""),ROW()-2,"")</f>
        <v/>
      </c>
      <c r="AE106">
        <f>IF(AND(OR('טכנו'!$C$3="הכל",Z106='טכנו'!$C$3,AA106='טכנו'!$C$3,AB106='טכנו'!$C$3,AC106='טכנו'!$C$3),OR('טכנו'!$C$4="הכל",A106='טכנו'!$C$4),D106&lt;&gt;""),ROW()-2,"")</f>
        <v/>
      </c>
    </row>
    <row r="107">
      <c r="E107">
        <f>IFERROR(INDEX('הגדרות'!$I:$I,MATCH(B107,'הגדרות'!$H:$H,0)),"")</f>
        <v/>
      </c>
      <c r="Z107">
        <f>IFERROR(VLOOKUP(H107,'הגדרות'!$A:$D,2,FALSE),"")</f>
        <v/>
      </c>
      <c r="AA107">
        <f>IFERROR(VLOOKUP(H107,'הגדרות'!$A:$D,3,FALSE),"")</f>
        <v/>
      </c>
      <c r="AB107">
        <f>IFERROR(VLOOKUP(I107,'הגדרות'!$A:$D,2,FALSE),"")</f>
        <v/>
      </c>
      <c r="AC107">
        <f>IFERROR(VLOOKUP(I107,'הגדרות'!$A:$D,3,FALSE),"")</f>
        <v/>
      </c>
      <c r="AD107">
        <f>IF(AND(OR('לוח בקרה'!$C$3="הכל",Z107='לוח בקרה'!$C$3,AA107='לוח בקרה'!$C$3,AB107='לוח בקרה'!$C$3,AC107='לוח בקרה'!$C$3),OR('לוח בקרה'!$C$4="הכל",A107='לוח בקרה'!$C$4),OR('לוח בקרה'!$C$5="הכל",T107='לוח בקרה'!$C$5),OR('לוח בקרה'!$C$6="הכל",H107='לוח בקרה'!$C$6,I107='לוח בקרה'!$C$6),OR('לוח בקרה'!$C$7="הכל",J107='לוח בקרה'!$C$7),OR('לוח בקרה'!$C$8="הכל",L107='לוח בקרה'!$C$8),OR('לוח בקרה'!$C$9="הכל",Q107='לוח בקרה'!$C$9),OR('לוח בקרה'!$C$10="הכל",F107='לוח בקרה'!$C$10,G107='לוח בקרה'!$C$10),D107&lt;&gt;""),ROW()-2,"")</f>
        <v/>
      </c>
      <c r="AE107">
        <f>IF(AND(OR('טכנו'!$C$3="הכל",Z107='טכנו'!$C$3,AA107='טכנו'!$C$3,AB107='טכנו'!$C$3,AC107='טכנו'!$C$3),OR('טכנו'!$C$4="הכל",A107='טכנו'!$C$4),D107&lt;&gt;""),ROW()-2,"")</f>
        <v/>
      </c>
    </row>
    <row r="108">
      <c r="E108">
        <f>IFERROR(INDEX('הגדרות'!$I:$I,MATCH(B108,'הגדרות'!$H:$H,0)),"")</f>
        <v/>
      </c>
      <c r="Z108">
        <f>IFERROR(VLOOKUP(H108,'הגדרות'!$A:$D,2,FALSE),"")</f>
        <v/>
      </c>
      <c r="AA108">
        <f>IFERROR(VLOOKUP(H108,'הגדרות'!$A:$D,3,FALSE),"")</f>
        <v/>
      </c>
      <c r="AB108">
        <f>IFERROR(VLOOKUP(I108,'הגדרות'!$A:$D,2,FALSE),"")</f>
        <v/>
      </c>
      <c r="AC108">
        <f>IFERROR(VLOOKUP(I108,'הגדרות'!$A:$D,3,FALSE),"")</f>
        <v/>
      </c>
      <c r="AD108">
        <f>IF(AND(OR('לוח בקרה'!$C$3="הכל",Z108='לוח בקרה'!$C$3,AA108='לוח בקרה'!$C$3,AB108='לוח בקרה'!$C$3,AC108='לוח בקרה'!$C$3),OR('לוח בקרה'!$C$4="הכל",A108='לוח בקרה'!$C$4),OR('לוח בקרה'!$C$5="הכל",T108='לוח בקרה'!$C$5),OR('לוח בקרה'!$C$6="הכל",H108='לוח בקרה'!$C$6,I108='לוח בקרה'!$C$6),OR('לוח בקרה'!$C$7="הכל",J108='לוח בקרה'!$C$7),OR('לוח בקרה'!$C$8="הכל",L108='לוח בקרה'!$C$8),OR('לוח בקרה'!$C$9="הכל",Q108='לוח בקרה'!$C$9),OR('לוח בקרה'!$C$10="הכל",F108='לוח בקרה'!$C$10,G108='לוח בקרה'!$C$10),D108&lt;&gt;""),ROW()-2,"")</f>
        <v/>
      </c>
      <c r="AE108">
        <f>IF(AND(OR('טכנו'!$C$3="הכל",Z108='טכנו'!$C$3,AA108='טכנו'!$C$3,AB108='טכנו'!$C$3,AC108='טכנו'!$C$3),OR('טכנו'!$C$4="הכל",A108='טכנו'!$C$4),D108&lt;&gt;""),ROW()-2,"")</f>
        <v/>
      </c>
    </row>
    <row r="109">
      <c r="E109">
        <f>IFERROR(INDEX('הגדרות'!$I:$I,MATCH(B109,'הגדרות'!$H:$H,0)),"")</f>
        <v/>
      </c>
      <c r="Z109">
        <f>IFERROR(VLOOKUP(H109,'הגדרות'!$A:$D,2,FALSE),"")</f>
        <v/>
      </c>
      <c r="AA109">
        <f>IFERROR(VLOOKUP(H109,'הגדרות'!$A:$D,3,FALSE),"")</f>
        <v/>
      </c>
      <c r="AB109">
        <f>IFERROR(VLOOKUP(I109,'הגדרות'!$A:$D,2,FALSE),"")</f>
        <v/>
      </c>
      <c r="AC109">
        <f>IFERROR(VLOOKUP(I109,'הגדרות'!$A:$D,3,FALSE),"")</f>
        <v/>
      </c>
      <c r="AD109">
        <f>IF(AND(OR('לוח בקרה'!$C$3="הכל",Z109='לוח בקרה'!$C$3,AA109='לוח בקרה'!$C$3,AB109='לוח בקרה'!$C$3,AC109='לוח בקרה'!$C$3),OR('לוח בקרה'!$C$4="הכל",A109='לוח בקרה'!$C$4),OR('לוח בקרה'!$C$5="הכל",T109='לוח בקרה'!$C$5),OR('לוח בקרה'!$C$6="הכל",H109='לוח בקרה'!$C$6,I109='לוח בקרה'!$C$6),OR('לוח בקרה'!$C$7="הכל",J109='לוח בקרה'!$C$7),OR('לוח בקרה'!$C$8="הכל",L109='לוח בקרה'!$C$8),OR('לוח בקרה'!$C$9="הכל",Q109='לוח בקרה'!$C$9),OR('לוח בקרה'!$C$10="הכל",F109='לוח בקרה'!$C$10,G109='לוח בקרה'!$C$10),D109&lt;&gt;""),ROW()-2,"")</f>
        <v/>
      </c>
      <c r="AE109">
        <f>IF(AND(OR('טכנו'!$C$3="הכל",Z109='טכנו'!$C$3,AA109='טכנו'!$C$3,AB109='טכנו'!$C$3,AC109='טכנו'!$C$3),OR('טכנו'!$C$4="הכל",A109='טכנו'!$C$4),D109&lt;&gt;""),ROW()-2,"")</f>
        <v/>
      </c>
    </row>
    <row r="110">
      <c r="E110">
        <f>IFERROR(INDEX('הגדרות'!$I:$I,MATCH(B110,'הגדרות'!$H:$H,0)),"")</f>
        <v/>
      </c>
      <c r="Z110">
        <f>IFERROR(VLOOKUP(H110,'הגדרות'!$A:$D,2,FALSE),"")</f>
        <v/>
      </c>
      <c r="AA110">
        <f>IFERROR(VLOOKUP(H110,'הגדרות'!$A:$D,3,FALSE),"")</f>
        <v/>
      </c>
      <c r="AB110">
        <f>IFERROR(VLOOKUP(I110,'הגדרות'!$A:$D,2,FALSE),"")</f>
        <v/>
      </c>
      <c r="AC110">
        <f>IFERROR(VLOOKUP(I110,'הגדרות'!$A:$D,3,FALSE),"")</f>
        <v/>
      </c>
      <c r="AD110">
        <f>IF(AND(OR('לוח בקרה'!$C$3="הכל",Z110='לוח בקרה'!$C$3,AA110='לוח בקרה'!$C$3,AB110='לוח בקרה'!$C$3,AC110='לוח בקרה'!$C$3),OR('לוח בקרה'!$C$4="הכל",A110='לוח בקרה'!$C$4),OR('לוח בקרה'!$C$5="הכל",T110='לוח בקרה'!$C$5),OR('לוח בקרה'!$C$6="הכל",H110='לוח בקרה'!$C$6,I110='לוח בקרה'!$C$6),OR('לוח בקרה'!$C$7="הכל",J110='לוח בקרה'!$C$7),OR('לוח בקרה'!$C$8="הכל",L110='לוח בקרה'!$C$8),OR('לוח בקרה'!$C$9="הכל",Q110='לוח בקרה'!$C$9),OR('לוח בקרה'!$C$10="הכל",F110='לוח בקרה'!$C$10,G110='לוח בקרה'!$C$10),D110&lt;&gt;""),ROW()-2,"")</f>
        <v/>
      </c>
      <c r="AE110">
        <f>IF(AND(OR('טכנו'!$C$3="הכל",Z110='טכנו'!$C$3,AA110='טכנו'!$C$3,AB110='טכנו'!$C$3,AC110='טכנו'!$C$3),OR('טכנו'!$C$4="הכל",A110='טכנו'!$C$4),D110&lt;&gt;""),ROW()-2,"")</f>
        <v/>
      </c>
    </row>
    <row r="111">
      <c r="E111">
        <f>IFERROR(INDEX('הגדרות'!$I:$I,MATCH(B111,'הגדרות'!$H:$H,0)),"")</f>
        <v/>
      </c>
      <c r="Z111">
        <f>IFERROR(VLOOKUP(H111,'הגדרות'!$A:$D,2,FALSE),"")</f>
        <v/>
      </c>
      <c r="AA111">
        <f>IFERROR(VLOOKUP(H111,'הגדרות'!$A:$D,3,FALSE),"")</f>
        <v/>
      </c>
      <c r="AB111">
        <f>IFERROR(VLOOKUP(I111,'הגדרות'!$A:$D,2,FALSE),"")</f>
        <v/>
      </c>
      <c r="AC111">
        <f>IFERROR(VLOOKUP(I111,'הגדרות'!$A:$D,3,FALSE),"")</f>
        <v/>
      </c>
      <c r="AD111">
        <f>IF(AND(OR('לוח בקרה'!$C$3="הכל",Z111='לוח בקרה'!$C$3,AA111='לוח בקרה'!$C$3,AB111='לוח בקרה'!$C$3,AC111='לוח בקרה'!$C$3),OR('לוח בקרה'!$C$4="הכל",A111='לוח בקרה'!$C$4),OR('לוח בקרה'!$C$5="הכל",T111='לוח בקרה'!$C$5),OR('לוח בקרה'!$C$6="הכל",H111='לוח בקרה'!$C$6,I111='לוח בקרה'!$C$6),OR('לוח בקרה'!$C$7="הכל",J111='לוח בקרה'!$C$7),OR('לוח בקרה'!$C$8="הכל",L111='לוח בקרה'!$C$8),OR('לוח בקרה'!$C$9="הכל",Q111='לוח בקרה'!$C$9),OR('לוח בקרה'!$C$10="הכל",F111='לוח בקרה'!$C$10,G111='לוח בקרה'!$C$10),D111&lt;&gt;""),ROW()-2,"")</f>
        <v/>
      </c>
      <c r="AE111">
        <f>IF(AND(OR('טכנו'!$C$3="הכל",Z111='טכנו'!$C$3,AA111='טכנו'!$C$3,AB111='טכנו'!$C$3,AC111='טכנו'!$C$3),OR('טכנו'!$C$4="הכל",A111='טכנו'!$C$4),D111&lt;&gt;""),ROW()-2,"")</f>
        <v/>
      </c>
    </row>
    <row r="112">
      <c r="E112">
        <f>IFERROR(INDEX('הגדרות'!$I:$I,MATCH(B112,'הגדרות'!$H:$H,0)),"")</f>
        <v/>
      </c>
      <c r="Z112">
        <f>IFERROR(VLOOKUP(H112,'הגדרות'!$A:$D,2,FALSE),"")</f>
        <v/>
      </c>
      <c r="AA112">
        <f>IFERROR(VLOOKUP(H112,'הגדרות'!$A:$D,3,FALSE),"")</f>
        <v/>
      </c>
      <c r="AB112">
        <f>IFERROR(VLOOKUP(I112,'הגדרות'!$A:$D,2,FALSE),"")</f>
        <v/>
      </c>
      <c r="AC112">
        <f>IFERROR(VLOOKUP(I112,'הגדרות'!$A:$D,3,FALSE),"")</f>
        <v/>
      </c>
      <c r="AD112">
        <f>IF(AND(OR('לוח בקרה'!$C$3="הכל",Z112='לוח בקרה'!$C$3,AA112='לוח בקרה'!$C$3,AB112='לוח בקרה'!$C$3,AC112='לוח בקרה'!$C$3),OR('לוח בקרה'!$C$4="הכל",A112='לוח בקרה'!$C$4),OR('לוח בקרה'!$C$5="הכל",T112='לוח בקרה'!$C$5),OR('לוח בקרה'!$C$6="הכל",H112='לוח בקרה'!$C$6,I112='לוח בקרה'!$C$6),OR('לוח בקרה'!$C$7="הכל",J112='לוח בקרה'!$C$7),OR('לוח בקרה'!$C$8="הכל",L112='לוח בקרה'!$C$8),OR('לוח בקרה'!$C$9="הכל",Q112='לוח בקרה'!$C$9),OR('לוח בקרה'!$C$10="הכל",F112='לוח בקרה'!$C$10,G112='לוח בקרה'!$C$10),D112&lt;&gt;""),ROW()-2,"")</f>
        <v/>
      </c>
      <c r="AE112">
        <f>IF(AND(OR('טכנו'!$C$3="הכל",Z112='טכנו'!$C$3,AA112='טכנו'!$C$3,AB112='טכנו'!$C$3,AC112='טכנו'!$C$3),OR('טכנו'!$C$4="הכל",A112='טכנו'!$C$4),D112&lt;&gt;""),ROW()-2,"")</f>
        <v/>
      </c>
    </row>
    <row r="113">
      <c r="E113">
        <f>IFERROR(INDEX('הגדרות'!$I:$I,MATCH(B113,'הגדרות'!$H:$H,0)),"")</f>
        <v/>
      </c>
      <c r="Z113">
        <f>IFERROR(VLOOKUP(H113,'הגדרות'!$A:$D,2,FALSE),"")</f>
        <v/>
      </c>
      <c r="AA113">
        <f>IFERROR(VLOOKUP(H113,'הגדרות'!$A:$D,3,FALSE),"")</f>
        <v/>
      </c>
      <c r="AB113">
        <f>IFERROR(VLOOKUP(I113,'הגדרות'!$A:$D,2,FALSE),"")</f>
        <v/>
      </c>
      <c r="AC113">
        <f>IFERROR(VLOOKUP(I113,'הגדרות'!$A:$D,3,FALSE),"")</f>
        <v/>
      </c>
      <c r="AD113">
        <f>IF(AND(OR('לוח בקרה'!$C$3="הכל",Z113='לוח בקרה'!$C$3,AA113='לוח בקרה'!$C$3,AB113='לוח בקרה'!$C$3,AC113='לוח בקרה'!$C$3),OR('לוח בקרה'!$C$4="הכל",A113='לוח בקרה'!$C$4),OR('לוח בקרה'!$C$5="הכל",T113='לוח בקרה'!$C$5),OR('לוח בקרה'!$C$6="הכל",H113='לוח בקרה'!$C$6,I113='לוח בקרה'!$C$6),OR('לוח בקרה'!$C$7="הכל",J113='לוח בקרה'!$C$7),OR('לוח בקרה'!$C$8="הכל",L113='לוח בקרה'!$C$8),OR('לוח בקרה'!$C$9="הכל",Q113='לוח בקרה'!$C$9),OR('לוח בקרה'!$C$10="הכל",F113='לוח בקרה'!$C$10,G113='לוח בקרה'!$C$10),D113&lt;&gt;""),ROW()-2,"")</f>
        <v/>
      </c>
      <c r="AE113">
        <f>IF(AND(OR('טכנו'!$C$3="הכל",Z113='טכנו'!$C$3,AA113='טכנו'!$C$3,AB113='טכנו'!$C$3,AC113='טכנו'!$C$3),OR('טכנו'!$C$4="הכל",A113='טכנו'!$C$4),D113&lt;&gt;""),ROW()-2,"")</f>
        <v/>
      </c>
    </row>
    <row r="114">
      <c r="E114">
        <f>IFERROR(INDEX('הגדרות'!$I:$I,MATCH(B114,'הגדרות'!$H:$H,0)),"")</f>
        <v/>
      </c>
      <c r="Z114">
        <f>IFERROR(VLOOKUP(H114,'הגדרות'!$A:$D,2,FALSE),"")</f>
        <v/>
      </c>
      <c r="AA114">
        <f>IFERROR(VLOOKUP(H114,'הגדרות'!$A:$D,3,FALSE),"")</f>
        <v/>
      </c>
      <c r="AB114">
        <f>IFERROR(VLOOKUP(I114,'הגדרות'!$A:$D,2,FALSE),"")</f>
        <v/>
      </c>
      <c r="AC114">
        <f>IFERROR(VLOOKUP(I114,'הגדרות'!$A:$D,3,FALSE),"")</f>
        <v/>
      </c>
      <c r="AD114">
        <f>IF(AND(OR('לוח בקרה'!$C$3="הכל",Z114='לוח בקרה'!$C$3,AA114='לוח בקרה'!$C$3,AB114='לוח בקרה'!$C$3,AC114='לוח בקרה'!$C$3),OR('לוח בקרה'!$C$4="הכל",A114='לוח בקרה'!$C$4),OR('לוח בקרה'!$C$5="הכל",T114='לוח בקרה'!$C$5),OR('לוח בקרה'!$C$6="הכל",H114='לוח בקרה'!$C$6,I114='לוח בקרה'!$C$6),OR('לוח בקרה'!$C$7="הכל",J114='לוח בקרה'!$C$7),OR('לוח בקרה'!$C$8="הכל",L114='לוח בקרה'!$C$8),OR('לוח בקרה'!$C$9="הכל",Q114='לוח בקרה'!$C$9),OR('לוח בקרה'!$C$10="הכל",F114='לוח בקרה'!$C$10,G114='לוח בקרה'!$C$10),D114&lt;&gt;""),ROW()-2,"")</f>
        <v/>
      </c>
      <c r="AE114">
        <f>IF(AND(OR('טכנו'!$C$3="הכל",Z114='טכנו'!$C$3,AA114='טכנו'!$C$3,AB114='טכנו'!$C$3,AC114='טכנו'!$C$3),OR('טכנו'!$C$4="הכל",A114='טכנו'!$C$4),D114&lt;&gt;""),ROW()-2,"")</f>
        <v/>
      </c>
    </row>
    <row r="115">
      <c r="E115">
        <f>IFERROR(INDEX('הגדרות'!$I:$I,MATCH(B115,'הגדרות'!$H:$H,0)),"")</f>
        <v/>
      </c>
      <c r="Z115">
        <f>IFERROR(VLOOKUP(H115,'הגדרות'!$A:$D,2,FALSE),"")</f>
        <v/>
      </c>
      <c r="AA115">
        <f>IFERROR(VLOOKUP(H115,'הגדרות'!$A:$D,3,FALSE),"")</f>
        <v/>
      </c>
      <c r="AB115">
        <f>IFERROR(VLOOKUP(I115,'הגדרות'!$A:$D,2,FALSE),"")</f>
        <v/>
      </c>
      <c r="AC115">
        <f>IFERROR(VLOOKUP(I115,'הגדרות'!$A:$D,3,FALSE),"")</f>
        <v/>
      </c>
      <c r="AD115">
        <f>IF(AND(OR('לוח בקרה'!$C$3="הכל",Z115='לוח בקרה'!$C$3,AA115='לוח בקרה'!$C$3,AB115='לוח בקרה'!$C$3,AC115='לוח בקרה'!$C$3),OR('לוח בקרה'!$C$4="הכל",A115='לוח בקרה'!$C$4),OR('לוח בקרה'!$C$5="הכל",T115='לוח בקרה'!$C$5),OR('לוח בקרה'!$C$6="הכל",H115='לוח בקרה'!$C$6,I115='לוח בקרה'!$C$6),OR('לוח בקרה'!$C$7="הכל",J115='לוח בקרה'!$C$7),OR('לוח בקרה'!$C$8="הכל",L115='לוח בקרה'!$C$8),OR('לוח בקרה'!$C$9="הכל",Q115='לוח בקרה'!$C$9),OR('לוח בקרה'!$C$10="הכל",F115='לוח בקרה'!$C$10,G115='לוח בקרה'!$C$10),D115&lt;&gt;""),ROW()-2,"")</f>
        <v/>
      </c>
      <c r="AE115">
        <f>IF(AND(OR('טכנו'!$C$3="הכל",Z115='טכנו'!$C$3,AA115='טכנו'!$C$3,AB115='טכנו'!$C$3,AC115='טכנו'!$C$3),OR('טכנו'!$C$4="הכל",A115='טכנו'!$C$4),D115&lt;&gt;""),ROW()-2,"")</f>
        <v/>
      </c>
    </row>
    <row r="116">
      <c r="E116">
        <f>IFERROR(INDEX('הגדרות'!$I:$I,MATCH(B116,'הגדרות'!$H:$H,0)),"")</f>
        <v/>
      </c>
      <c r="Z116">
        <f>IFERROR(VLOOKUP(H116,'הגדרות'!$A:$D,2,FALSE),"")</f>
        <v/>
      </c>
      <c r="AA116">
        <f>IFERROR(VLOOKUP(H116,'הגדרות'!$A:$D,3,FALSE),"")</f>
        <v/>
      </c>
      <c r="AB116">
        <f>IFERROR(VLOOKUP(I116,'הגדרות'!$A:$D,2,FALSE),"")</f>
        <v/>
      </c>
      <c r="AC116">
        <f>IFERROR(VLOOKUP(I116,'הגדרות'!$A:$D,3,FALSE),"")</f>
        <v/>
      </c>
      <c r="AD116">
        <f>IF(AND(OR('לוח בקרה'!$C$3="הכל",Z116='לוח בקרה'!$C$3,AA116='לוח בקרה'!$C$3,AB116='לוח בקרה'!$C$3,AC116='לוח בקרה'!$C$3),OR('לוח בקרה'!$C$4="הכל",A116='לוח בקרה'!$C$4),OR('לוח בקרה'!$C$5="הכל",T116='לוח בקרה'!$C$5),OR('לוח בקרה'!$C$6="הכל",H116='לוח בקרה'!$C$6,I116='לוח בקרה'!$C$6),OR('לוח בקרה'!$C$7="הכל",J116='לוח בקרה'!$C$7),OR('לוח בקרה'!$C$8="הכל",L116='לוח בקרה'!$C$8),OR('לוח בקרה'!$C$9="הכל",Q116='לוח בקרה'!$C$9),OR('לוח בקרה'!$C$10="הכל",F116='לוח בקרה'!$C$10,G116='לוח בקרה'!$C$10),D116&lt;&gt;""),ROW()-2,"")</f>
        <v/>
      </c>
      <c r="AE116">
        <f>IF(AND(OR('טכנו'!$C$3="הכל",Z116='טכנו'!$C$3,AA116='טכנו'!$C$3,AB116='טכנו'!$C$3,AC116='טכנו'!$C$3),OR('טכנו'!$C$4="הכל",A116='טכנו'!$C$4),D116&lt;&gt;""),ROW()-2,"")</f>
        <v/>
      </c>
    </row>
    <row r="117">
      <c r="E117">
        <f>IFERROR(INDEX('הגדרות'!$I:$I,MATCH(B117,'הגדרות'!$H:$H,0)),"")</f>
        <v/>
      </c>
      <c r="Z117">
        <f>IFERROR(VLOOKUP(H117,'הגדרות'!$A:$D,2,FALSE),"")</f>
        <v/>
      </c>
      <c r="AA117">
        <f>IFERROR(VLOOKUP(H117,'הגדרות'!$A:$D,3,FALSE),"")</f>
        <v/>
      </c>
      <c r="AB117">
        <f>IFERROR(VLOOKUP(I117,'הגדרות'!$A:$D,2,FALSE),"")</f>
        <v/>
      </c>
      <c r="AC117">
        <f>IFERROR(VLOOKUP(I117,'הגדרות'!$A:$D,3,FALSE),"")</f>
        <v/>
      </c>
      <c r="AD117">
        <f>IF(AND(OR('לוח בקרה'!$C$3="הכל",Z117='לוח בקרה'!$C$3,AA117='לוח בקרה'!$C$3,AB117='לוח בקרה'!$C$3,AC117='לוח בקרה'!$C$3),OR('לוח בקרה'!$C$4="הכל",A117='לוח בקרה'!$C$4),OR('לוח בקרה'!$C$5="הכל",T117='לוח בקרה'!$C$5),OR('לוח בקרה'!$C$6="הכל",H117='לוח בקרה'!$C$6,I117='לוח בקרה'!$C$6),OR('לוח בקרה'!$C$7="הכל",J117='לוח בקרה'!$C$7),OR('לוח בקרה'!$C$8="הכל",L117='לוח בקרה'!$C$8),OR('לוח בקרה'!$C$9="הכל",Q117='לוח בקרה'!$C$9),OR('לוח בקרה'!$C$10="הכל",F117='לוח בקרה'!$C$10,G117='לוח בקרה'!$C$10),D117&lt;&gt;""),ROW()-2,"")</f>
        <v/>
      </c>
      <c r="AE117">
        <f>IF(AND(OR('טכנו'!$C$3="הכל",Z117='טכנו'!$C$3,AA117='טכנו'!$C$3,AB117='טכנו'!$C$3,AC117='טכנו'!$C$3),OR('טכנו'!$C$4="הכל",A117='טכנו'!$C$4),D117&lt;&gt;""),ROW()-2,"")</f>
        <v/>
      </c>
    </row>
    <row r="118">
      <c r="E118">
        <f>IFERROR(INDEX('הגדרות'!$I:$I,MATCH(B118,'הגדרות'!$H:$H,0)),"")</f>
        <v/>
      </c>
      <c r="Z118">
        <f>IFERROR(VLOOKUP(H118,'הגדרות'!$A:$D,2,FALSE),"")</f>
        <v/>
      </c>
      <c r="AA118">
        <f>IFERROR(VLOOKUP(H118,'הגדרות'!$A:$D,3,FALSE),"")</f>
        <v/>
      </c>
      <c r="AB118">
        <f>IFERROR(VLOOKUP(I118,'הגדרות'!$A:$D,2,FALSE),"")</f>
        <v/>
      </c>
      <c r="AC118">
        <f>IFERROR(VLOOKUP(I118,'הגדרות'!$A:$D,3,FALSE),"")</f>
        <v/>
      </c>
      <c r="AD118">
        <f>IF(AND(OR('לוח בקרה'!$C$3="הכל",Z118='לוח בקרה'!$C$3,AA118='לוח בקרה'!$C$3,AB118='לוח בקרה'!$C$3,AC118='לוח בקרה'!$C$3),OR('לוח בקרה'!$C$4="הכל",A118='לוח בקרה'!$C$4),OR('לוח בקרה'!$C$5="הכל",T118='לוח בקרה'!$C$5),OR('לוח בקרה'!$C$6="הכל",H118='לוח בקרה'!$C$6,I118='לוח בקרה'!$C$6),OR('לוח בקרה'!$C$7="הכל",J118='לוח בקרה'!$C$7),OR('לוח בקרה'!$C$8="הכל",L118='לוח בקרה'!$C$8),OR('לוח בקרה'!$C$9="הכל",Q118='לוח בקרה'!$C$9),OR('לוח בקרה'!$C$10="הכל",F118='לוח בקרה'!$C$10,G118='לוח בקרה'!$C$10),D118&lt;&gt;""),ROW()-2,"")</f>
        <v/>
      </c>
      <c r="AE118">
        <f>IF(AND(OR('טכנו'!$C$3="הכל",Z118='טכנו'!$C$3,AA118='טכנו'!$C$3,AB118='טכנו'!$C$3,AC118='טכנו'!$C$3),OR('טכנו'!$C$4="הכל",A118='טכנו'!$C$4),D118&lt;&gt;""),ROW()-2,"")</f>
        <v/>
      </c>
    </row>
    <row r="119">
      <c r="E119">
        <f>IFERROR(INDEX('הגדרות'!$I:$I,MATCH(B119,'הגדרות'!$H:$H,0)),"")</f>
        <v/>
      </c>
      <c r="Z119">
        <f>IFERROR(VLOOKUP(H119,'הגדרות'!$A:$D,2,FALSE),"")</f>
        <v/>
      </c>
      <c r="AA119">
        <f>IFERROR(VLOOKUP(H119,'הגדרות'!$A:$D,3,FALSE),"")</f>
        <v/>
      </c>
      <c r="AB119">
        <f>IFERROR(VLOOKUP(I119,'הגדרות'!$A:$D,2,FALSE),"")</f>
        <v/>
      </c>
      <c r="AC119">
        <f>IFERROR(VLOOKUP(I119,'הגדרות'!$A:$D,3,FALSE),"")</f>
        <v/>
      </c>
      <c r="AD119">
        <f>IF(AND(OR('לוח בקרה'!$C$3="הכל",Z119='לוח בקרה'!$C$3,AA119='לוח בקרה'!$C$3,AB119='לוח בקרה'!$C$3,AC119='לוח בקרה'!$C$3),OR('לוח בקרה'!$C$4="הכל",A119='לוח בקרה'!$C$4),OR('לוח בקרה'!$C$5="הכל",T119='לוח בקרה'!$C$5),OR('לוח בקרה'!$C$6="הכל",H119='לוח בקרה'!$C$6,I119='לוח בקרה'!$C$6),OR('לוח בקרה'!$C$7="הכל",J119='לוח בקרה'!$C$7),OR('לוח בקרה'!$C$8="הכל",L119='לוח בקרה'!$C$8),OR('לוח בקרה'!$C$9="הכל",Q119='לוח בקרה'!$C$9),OR('לוח בקרה'!$C$10="הכל",F119='לוח בקרה'!$C$10,G119='לוח בקרה'!$C$10),D119&lt;&gt;""),ROW()-2,"")</f>
        <v/>
      </c>
      <c r="AE119">
        <f>IF(AND(OR('טכנו'!$C$3="הכל",Z119='טכנו'!$C$3,AA119='טכנו'!$C$3,AB119='טכנו'!$C$3,AC119='טכנו'!$C$3),OR('טכנו'!$C$4="הכל",A119='טכנו'!$C$4),D119&lt;&gt;""),ROW()-2,"")</f>
        <v/>
      </c>
    </row>
    <row r="120">
      <c r="E120">
        <f>IFERROR(INDEX('הגדרות'!$I:$I,MATCH(B120,'הגדרות'!$H:$H,0)),"")</f>
        <v/>
      </c>
      <c r="Z120">
        <f>IFERROR(VLOOKUP(H120,'הגדרות'!$A:$D,2,FALSE),"")</f>
        <v/>
      </c>
      <c r="AA120">
        <f>IFERROR(VLOOKUP(H120,'הגדרות'!$A:$D,3,FALSE),"")</f>
        <v/>
      </c>
      <c r="AB120">
        <f>IFERROR(VLOOKUP(I120,'הגדרות'!$A:$D,2,FALSE),"")</f>
        <v/>
      </c>
      <c r="AC120">
        <f>IFERROR(VLOOKUP(I120,'הגדרות'!$A:$D,3,FALSE),"")</f>
        <v/>
      </c>
      <c r="AD120">
        <f>IF(AND(OR('לוח בקרה'!$C$3="הכל",Z120='לוח בקרה'!$C$3,AA120='לוח בקרה'!$C$3,AB120='לוח בקרה'!$C$3,AC120='לוח בקרה'!$C$3),OR('לוח בקרה'!$C$4="הכל",A120='לוח בקרה'!$C$4),OR('לוח בקרה'!$C$5="הכל",T120='לוח בקרה'!$C$5),OR('לוח בקרה'!$C$6="הכל",H120='לוח בקרה'!$C$6,I120='לוח בקרה'!$C$6),OR('לוח בקרה'!$C$7="הכל",J120='לוח בקרה'!$C$7),OR('לוח בקרה'!$C$8="הכל",L120='לוח בקרה'!$C$8),OR('לוח בקרה'!$C$9="הכל",Q120='לוח בקרה'!$C$9),OR('לוח בקרה'!$C$10="הכל",F120='לוח בקרה'!$C$10,G120='לוח בקרה'!$C$10),D120&lt;&gt;""),ROW()-2,"")</f>
        <v/>
      </c>
      <c r="AE120">
        <f>IF(AND(OR('טכנו'!$C$3="הכל",Z120='טכנו'!$C$3,AA120='טכנו'!$C$3,AB120='טכנו'!$C$3,AC120='טכנו'!$C$3),OR('טכנו'!$C$4="הכל",A120='טכנו'!$C$4),D120&lt;&gt;""),ROW()-2,"")</f>
        <v/>
      </c>
    </row>
    <row r="121">
      <c r="E121">
        <f>IFERROR(INDEX('הגדרות'!$I:$I,MATCH(B121,'הגדרות'!$H:$H,0)),"")</f>
        <v/>
      </c>
      <c r="Z121">
        <f>IFERROR(VLOOKUP(H121,'הגדרות'!$A:$D,2,FALSE),"")</f>
        <v/>
      </c>
      <c r="AA121">
        <f>IFERROR(VLOOKUP(H121,'הגדרות'!$A:$D,3,FALSE),"")</f>
        <v/>
      </c>
      <c r="AB121">
        <f>IFERROR(VLOOKUP(I121,'הגדרות'!$A:$D,2,FALSE),"")</f>
        <v/>
      </c>
      <c r="AC121">
        <f>IFERROR(VLOOKUP(I121,'הגדרות'!$A:$D,3,FALSE),"")</f>
        <v/>
      </c>
      <c r="AD121">
        <f>IF(AND(OR('לוח בקרה'!$C$3="הכל",Z121='לוח בקרה'!$C$3,AA121='לוח בקרה'!$C$3,AB121='לוח בקרה'!$C$3,AC121='לוח בקרה'!$C$3),OR('לוח בקרה'!$C$4="הכל",A121='לוח בקרה'!$C$4),OR('לוח בקרה'!$C$5="הכל",T121='לוח בקרה'!$C$5),OR('לוח בקרה'!$C$6="הכל",H121='לוח בקרה'!$C$6,I121='לוח בקרה'!$C$6),OR('לוח בקרה'!$C$7="הכל",J121='לוח בקרה'!$C$7),OR('לוח בקרה'!$C$8="הכל",L121='לוח בקרה'!$C$8),OR('לוח בקרה'!$C$9="הכל",Q121='לוח בקרה'!$C$9),OR('לוח בקרה'!$C$10="הכל",F121='לוח בקרה'!$C$10,G121='לוח בקרה'!$C$10),D121&lt;&gt;""),ROW()-2,"")</f>
        <v/>
      </c>
      <c r="AE121">
        <f>IF(AND(OR('טכנו'!$C$3="הכל",Z121='טכנו'!$C$3,AA121='טכנו'!$C$3,AB121='טכנו'!$C$3,AC121='טכנו'!$C$3),OR('טכנו'!$C$4="הכל",A121='טכנו'!$C$4),D121&lt;&gt;""),ROW()-2,"")</f>
        <v/>
      </c>
    </row>
    <row r="122">
      <c r="E122">
        <f>IFERROR(INDEX('הגדרות'!$I:$I,MATCH(B122,'הגדרות'!$H:$H,0)),"")</f>
        <v/>
      </c>
      <c r="Z122">
        <f>IFERROR(VLOOKUP(H122,'הגדרות'!$A:$D,2,FALSE),"")</f>
        <v/>
      </c>
      <c r="AA122">
        <f>IFERROR(VLOOKUP(H122,'הגדרות'!$A:$D,3,FALSE),"")</f>
        <v/>
      </c>
      <c r="AB122">
        <f>IFERROR(VLOOKUP(I122,'הגדרות'!$A:$D,2,FALSE),"")</f>
        <v/>
      </c>
      <c r="AC122">
        <f>IFERROR(VLOOKUP(I122,'הגדרות'!$A:$D,3,FALSE),"")</f>
        <v/>
      </c>
      <c r="AD122">
        <f>IF(AND(OR('לוח בקרה'!$C$3="הכל",Z122='לוח בקרה'!$C$3,AA122='לוח בקרה'!$C$3,AB122='לוח בקרה'!$C$3,AC122='לוח בקרה'!$C$3),OR('לוח בקרה'!$C$4="הכל",A122='לוח בקרה'!$C$4),OR('לוח בקרה'!$C$5="הכל",T122='לוח בקרה'!$C$5),OR('לוח בקרה'!$C$6="הכל",H122='לוח בקרה'!$C$6,I122='לוח בקרה'!$C$6),OR('לוח בקרה'!$C$7="הכל",J122='לוח בקרה'!$C$7),OR('לוח בקרה'!$C$8="הכל",L122='לוח בקרה'!$C$8),OR('לוח בקרה'!$C$9="הכל",Q122='לוח בקרה'!$C$9),OR('לוח בקרה'!$C$10="הכל",F122='לוח בקרה'!$C$10,G122='לוח בקרה'!$C$10),D122&lt;&gt;""),ROW()-2,"")</f>
        <v/>
      </c>
      <c r="AE122">
        <f>IF(AND(OR('טכנו'!$C$3="הכל",Z122='טכנו'!$C$3,AA122='טכנו'!$C$3,AB122='טכנו'!$C$3,AC122='טכנו'!$C$3),OR('טכנו'!$C$4="הכל",A122='טכנו'!$C$4),D122&lt;&gt;""),ROW()-2,"")</f>
        <v/>
      </c>
    </row>
    <row r="123">
      <c r="E123">
        <f>IFERROR(INDEX('הגדרות'!$I:$I,MATCH(B123,'הגדרות'!$H:$H,0)),"")</f>
        <v/>
      </c>
      <c r="Z123">
        <f>IFERROR(VLOOKUP(H123,'הגדרות'!$A:$D,2,FALSE),"")</f>
        <v/>
      </c>
      <c r="AA123">
        <f>IFERROR(VLOOKUP(H123,'הגדרות'!$A:$D,3,FALSE),"")</f>
        <v/>
      </c>
      <c r="AB123">
        <f>IFERROR(VLOOKUP(I123,'הגדרות'!$A:$D,2,FALSE),"")</f>
        <v/>
      </c>
      <c r="AC123">
        <f>IFERROR(VLOOKUP(I123,'הגדרות'!$A:$D,3,FALSE),"")</f>
        <v/>
      </c>
      <c r="AD123">
        <f>IF(AND(OR('לוח בקרה'!$C$3="הכל",Z123='לוח בקרה'!$C$3,AA123='לוח בקרה'!$C$3,AB123='לוח בקרה'!$C$3,AC123='לוח בקרה'!$C$3),OR('לוח בקרה'!$C$4="הכל",A123='לוח בקרה'!$C$4),OR('לוח בקרה'!$C$5="הכל",T123='לוח בקרה'!$C$5),OR('לוח בקרה'!$C$6="הכל",H123='לוח בקרה'!$C$6,I123='לוח בקרה'!$C$6),OR('לוח בקרה'!$C$7="הכל",J123='לוח בקרה'!$C$7),OR('לוח בקרה'!$C$8="הכל",L123='לוח בקרה'!$C$8),OR('לוח בקרה'!$C$9="הכל",Q123='לוח בקרה'!$C$9),OR('לוח בקרה'!$C$10="הכל",F123='לוח בקרה'!$C$10,G123='לוח בקרה'!$C$10),D123&lt;&gt;""),ROW()-2,"")</f>
        <v/>
      </c>
      <c r="AE123">
        <f>IF(AND(OR('טכנו'!$C$3="הכל",Z123='טכנו'!$C$3,AA123='טכנו'!$C$3,AB123='טכנו'!$C$3,AC123='טכנו'!$C$3),OR('טכנו'!$C$4="הכל",A123='טכנו'!$C$4),D123&lt;&gt;""),ROW()-2,"")</f>
        <v/>
      </c>
    </row>
    <row r="124">
      <c r="E124">
        <f>IFERROR(INDEX('הגדרות'!$I:$I,MATCH(B124,'הגדרות'!$H:$H,0)),"")</f>
        <v/>
      </c>
      <c r="Z124">
        <f>IFERROR(VLOOKUP(H124,'הגדרות'!$A:$D,2,FALSE),"")</f>
        <v/>
      </c>
      <c r="AA124">
        <f>IFERROR(VLOOKUP(H124,'הגדרות'!$A:$D,3,FALSE),"")</f>
        <v/>
      </c>
      <c r="AB124">
        <f>IFERROR(VLOOKUP(I124,'הגדרות'!$A:$D,2,FALSE),"")</f>
        <v/>
      </c>
      <c r="AC124">
        <f>IFERROR(VLOOKUP(I124,'הגדרות'!$A:$D,3,FALSE),"")</f>
        <v/>
      </c>
      <c r="AD124">
        <f>IF(AND(OR('לוח בקרה'!$C$3="הכל",Z124='לוח בקרה'!$C$3,AA124='לוח בקרה'!$C$3,AB124='לוח בקרה'!$C$3,AC124='לוח בקרה'!$C$3),OR('לוח בקרה'!$C$4="הכל",A124='לוח בקרה'!$C$4),OR('לוח בקרה'!$C$5="הכל",T124='לוח בקרה'!$C$5),OR('לוח בקרה'!$C$6="הכל",H124='לוח בקרה'!$C$6,I124='לוח בקרה'!$C$6),OR('לוח בקרה'!$C$7="הכל",J124='לוח בקרה'!$C$7),OR('לוח בקרה'!$C$8="הכל",L124='לוח בקרה'!$C$8),OR('לוח בקרה'!$C$9="הכל",Q124='לוח בקרה'!$C$9),OR('לוח בקרה'!$C$10="הכל",F124='לוח בקרה'!$C$10,G124='לוח בקרה'!$C$10),D124&lt;&gt;""),ROW()-2,"")</f>
        <v/>
      </c>
      <c r="AE124">
        <f>IF(AND(OR('טכנו'!$C$3="הכל",Z124='טכנו'!$C$3,AA124='טכנו'!$C$3,AB124='טכנו'!$C$3,AC124='טכנו'!$C$3),OR('טכנו'!$C$4="הכל",A124='טכנו'!$C$4),D124&lt;&gt;""),ROW()-2,"")</f>
        <v/>
      </c>
    </row>
    <row r="125">
      <c r="E125">
        <f>IFERROR(INDEX('הגדרות'!$I:$I,MATCH(B125,'הגדרות'!$H:$H,0)),"")</f>
        <v/>
      </c>
      <c r="Z125">
        <f>IFERROR(VLOOKUP(H125,'הגדרות'!$A:$D,2,FALSE),"")</f>
        <v/>
      </c>
      <c r="AA125">
        <f>IFERROR(VLOOKUP(H125,'הגדרות'!$A:$D,3,FALSE),"")</f>
        <v/>
      </c>
      <c r="AB125">
        <f>IFERROR(VLOOKUP(I125,'הגדרות'!$A:$D,2,FALSE),"")</f>
        <v/>
      </c>
      <c r="AC125">
        <f>IFERROR(VLOOKUP(I125,'הגדרות'!$A:$D,3,FALSE),"")</f>
        <v/>
      </c>
      <c r="AD125">
        <f>IF(AND(OR('לוח בקרה'!$C$3="הכל",Z125='לוח בקרה'!$C$3,AA125='לוח בקרה'!$C$3,AB125='לוח בקרה'!$C$3,AC125='לוח בקרה'!$C$3),OR('לוח בקרה'!$C$4="הכל",A125='לוח בקרה'!$C$4),OR('לוח בקרה'!$C$5="הכל",T125='לוח בקרה'!$C$5),OR('לוח בקרה'!$C$6="הכל",H125='לוח בקרה'!$C$6,I125='לוח בקרה'!$C$6),OR('לוח בקרה'!$C$7="הכל",J125='לוח בקרה'!$C$7),OR('לוח בקרה'!$C$8="הכל",L125='לוח בקרה'!$C$8),OR('לוח בקרה'!$C$9="הכל",Q125='לוח בקרה'!$C$9),OR('לוח בקרה'!$C$10="הכל",F125='לוח בקרה'!$C$10,G125='לוח בקרה'!$C$10),D125&lt;&gt;""),ROW()-2,"")</f>
        <v/>
      </c>
      <c r="AE125">
        <f>IF(AND(OR('טכנו'!$C$3="הכל",Z125='טכנו'!$C$3,AA125='טכנו'!$C$3,AB125='טכנו'!$C$3,AC125='טכנו'!$C$3),OR('טכנו'!$C$4="הכל",A125='טכנו'!$C$4),D125&lt;&gt;""),ROW()-2,"")</f>
        <v/>
      </c>
    </row>
    <row r="126">
      <c r="E126">
        <f>IFERROR(INDEX('הגדרות'!$I:$I,MATCH(B126,'הגדרות'!$H:$H,0)),"")</f>
        <v/>
      </c>
      <c r="Z126">
        <f>IFERROR(VLOOKUP(H126,'הגדרות'!$A:$D,2,FALSE),"")</f>
        <v/>
      </c>
      <c r="AA126">
        <f>IFERROR(VLOOKUP(H126,'הגדרות'!$A:$D,3,FALSE),"")</f>
        <v/>
      </c>
      <c r="AB126">
        <f>IFERROR(VLOOKUP(I126,'הגדרות'!$A:$D,2,FALSE),"")</f>
        <v/>
      </c>
      <c r="AC126">
        <f>IFERROR(VLOOKUP(I126,'הגדרות'!$A:$D,3,FALSE),"")</f>
        <v/>
      </c>
      <c r="AD126">
        <f>IF(AND(OR('לוח בקרה'!$C$3="הכל",Z126='לוח בקרה'!$C$3,AA126='לוח בקרה'!$C$3,AB126='לוח בקרה'!$C$3,AC126='לוח בקרה'!$C$3),OR('לוח בקרה'!$C$4="הכל",A126='לוח בקרה'!$C$4),OR('לוח בקרה'!$C$5="הכל",T126='לוח בקרה'!$C$5),OR('לוח בקרה'!$C$6="הכל",H126='לוח בקרה'!$C$6,I126='לוח בקרה'!$C$6),OR('לוח בקרה'!$C$7="הכל",J126='לוח בקרה'!$C$7),OR('לוח בקרה'!$C$8="הכל",L126='לוח בקרה'!$C$8),OR('לוח בקרה'!$C$9="הכל",Q126='לוח בקרה'!$C$9),OR('לוח בקרה'!$C$10="הכל",F126='לוח בקרה'!$C$10,G126='לוח בקרה'!$C$10),D126&lt;&gt;""),ROW()-2,"")</f>
        <v/>
      </c>
      <c r="AE126">
        <f>IF(AND(OR('טכנו'!$C$3="הכל",Z126='טכנו'!$C$3,AA126='טכנו'!$C$3,AB126='טכנו'!$C$3,AC126='טכנו'!$C$3),OR('טכנו'!$C$4="הכל",A126='טכנו'!$C$4),D126&lt;&gt;""),ROW()-2,"")</f>
        <v/>
      </c>
    </row>
    <row r="127">
      <c r="E127">
        <f>IFERROR(INDEX('הגדרות'!$I:$I,MATCH(B127,'הגדרות'!$H:$H,0)),"")</f>
        <v/>
      </c>
      <c r="Z127">
        <f>IFERROR(VLOOKUP(H127,'הגדרות'!$A:$D,2,FALSE),"")</f>
        <v/>
      </c>
      <c r="AA127">
        <f>IFERROR(VLOOKUP(H127,'הגדרות'!$A:$D,3,FALSE),"")</f>
        <v/>
      </c>
      <c r="AB127">
        <f>IFERROR(VLOOKUP(I127,'הגדרות'!$A:$D,2,FALSE),"")</f>
        <v/>
      </c>
      <c r="AC127">
        <f>IFERROR(VLOOKUP(I127,'הגדרות'!$A:$D,3,FALSE),"")</f>
        <v/>
      </c>
      <c r="AD127">
        <f>IF(AND(OR('לוח בקרה'!$C$3="הכל",Z127='לוח בקרה'!$C$3,AA127='לוח בקרה'!$C$3,AB127='לוח בקרה'!$C$3,AC127='לוח בקרה'!$C$3),OR('לוח בקרה'!$C$4="הכל",A127='לוח בקרה'!$C$4),OR('לוח בקרה'!$C$5="הכל",T127='לוח בקרה'!$C$5),OR('לוח בקרה'!$C$6="הכל",H127='לוח בקרה'!$C$6,I127='לוח בקרה'!$C$6),OR('לוח בקרה'!$C$7="הכל",J127='לוח בקרה'!$C$7),OR('לוח בקרה'!$C$8="הכל",L127='לוח בקרה'!$C$8),OR('לוח בקרה'!$C$9="הכל",Q127='לוח בקרה'!$C$9),OR('לוח בקרה'!$C$10="הכל",F127='לוח בקרה'!$C$10,G127='לוח בקרה'!$C$10),D127&lt;&gt;""),ROW()-2,"")</f>
        <v/>
      </c>
      <c r="AE127">
        <f>IF(AND(OR('טכנו'!$C$3="הכל",Z127='טכנו'!$C$3,AA127='טכנו'!$C$3,AB127='טכנו'!$C$3,AC127='טכנו'!$C$3),OR('טכנו'!$C$4="הכל",A127='טכנו'!$C$4),D127&lt;&gt;""),ROW()-2,"")</f>
        <v/>
      </c>
    </row>
    <row r="128">
      <c r="E128">
        <f>IFERROR(INDEX('הגדרות'!$I:$I,MATCH(B128,'הגדרות'!$H:$H,0)),"")</f>
        <v/>
      </c>
      <c r="Z128">
        <f>IFERROR(VLOOKUP(H128,'הגדרות'!$A:$D,2,FALSE),"")</f>
        <v/>
      </c>
      <c r="AA128">
        <f>IFERROR(VLOOKUP(H128,'הגדרות'!$A:$D,3,FALSE),"")</f>
        <v/>
      </c>
      <c r="AB128">
        <f>IFERROR(VLOOKUP(I128,'הגדרות'!$A:$D,2,FALSE),"")</f>
        <v/>
      </c>
      <c r="AC128">
        <f>IFERROR(VLOOKUP(I128,'הגדרות'!$A:$D,3,FALSE),"")</f>
        <v/>
      </c>
      <c r="AD128">
        <f>IF(AND(OR('לוח בקרה'!$C$3="הכל",Z128='לוח בקרה'!$C$3,AA128='לוח בקרה'!$C$3,AB128='לוח בקרה'!$C$3,AC128='לוח בקרה'!$C$3),OR('לוח בקרה'!$C$4="הכל",A128='לוח בקרה'!$C$4),OR('לוח בקרה'!$C$5="הכל",T128='לוח בקרה'!$C$5),OR('לוח בקרה'!$C$6="הכל",H128='לוח בקרה'!$C$6,I128='לוח בקרה'!$C$6),OR('לוח בקרה'!$C$7="הכל",J128='לוח בקרה'!$C$7),OR('לוח בקרה'!$C$8="הכל",L128='לוח בקרה'!$C$8),OR('לוח בקרה'!$C$9="הכל",Q128='לוח בקרה'!$C$9),OR('לוח בקרה'!$C$10="הכל",F128='לוח בקרה'!$C$10,G128='לוח בקרה'!$C$10),D128&lt;&gt;""),ROW()-2,"")</f>
        <v/>
      </c>
      <c r="AE128">
        <f>IF(AND(OR('טכנו'!$C$3="הכל",Z128='טכנו'!$C$3,AA128='טכנו'!$C$3,AB128='טכנו'!$C$3,AC128='טכנו'!$C$3),OR('טכנו'!$C$4="הכל",A128='טכנו'!$C$4),D128&lt;&gt;""),ROW()-2,"")</f>
        <v/>
      </c>
    </row>
    <row r="129">
      <c r="E129">
        <f>IFERROR(INDEX('הגדרות'!$I:$I,MATCH(B129,'הגדרות'!$H:$H,0)),"")</f>
        <v/>
      </c>
      <c r="Z129">
        <f>IFERROR(VLOOKUP(H129,'הגדרות'!$A:$D,2,FALSE),"")</f>
        <v/>
      </c>
      <c r="AA129">
        <f>IFERROR(VLOOKUP(H129,'הגדרות'!$A:$D,3,FALSE),"")</f>
        <v/>
      </c>
      <c r="AB129">
        <f>IFERROR(VLOOKUP(I129,'הגדרות'!$A:$D,2,FALSE),"")</f>
        <v/>
      </c>
      <c r="AC129">
        <f>IFERROR(VLOOKUP(I129,'הגדרות'!$A:$D,3,FALSE),"")</f>
        <v/>
      </c>
      <c r="AD129">
        <f>IF(AND(OR('לוח בקרה'!$C$3="הכל",Z129='לוח בקרה'!$C$3,AA129='לוח בקרה'!$C$3,AB129='לוח בקרה'!$C$3,AC129='לוח בקרה'!$C$3),OR('לוח בקרה'!$C$4="הכל",A129='לוח בקרה'!$C$4),OR('לוח בקרה'!$C$5="הכל",T129='לוח בקרה'!$C$5),OR('לוח בקרה'!$C$6="הכל",H129='לוח בקרה'!$C$6,I129='לוח בקרה'!$C$6),OR('לוח בקרה'!$C$7="הכל",J129='לוח בקרה'!$C$7),OR('לוח בקרה'!$C$8="הכל",L129='לוח בקרה'!$C$8),OR('לוח בקרה'!$C$9="הכל",Q129='לוח בקרה'!$C$9),OR('לוח בקרה'!$C$10="הכל",F129='לוח בקרה'!$C$10,G129='לוח בקרה'!$C$10),D129&lt;&gt;""),ROW()-2,"")</f>
        <v/>
      </c>
      <c r="AE129">
        <f>IF(AND(OR('טכנו'!$C$3="הכל",Z129='טכנו'!$C$3,AA129='טכנו'!$C$3,AB129='טכנו'!$C$3,AC129='טכנו'!$C$3),OR('טכנו'!$C$4="הכל",A129='טכנו'!$C$4),D129&lt;&gt;""),ROW()-2,"")</f>
        <v/>
      </c>
    </row>
    <row r="130">
      <c r="E130">
        <f>IFERROR(INDEX('הגדרות'!$I:$I,MATCH(B130,'הגדרות'!$H:$H,0)),"")</f>
        <v/>
      </c>
      <c r="Z130">
        <f>IFERROR(VLOOKUP(H130,'הגדרות'!$A:$D,2,FALSE),"")</f>
        <v/>
      </c>
      <c r="AA130">
        <f>IFERROR(VLOOKUP(H130,'הגדרות'!$A:$D,3,FALSE),"")</f>
        <v/>
      </c>
      <c r="AB130">
        <f>IFERROR(VLOOKUP(I130,'הגדרות'!$A:$D,2,FALSE),"")</f>
        <v/>
      </c>
      <c r="AC130">
        <f>IFERROR(VLOOKUP(I130,'הגדרות'!$A:$D,3,FALSE),"")</f>
        <v/>
      </c>
      <c r="AD130">
        <f>IF(AND(OR('לוח בקרה'!$C$3="הכל",Z130='לוח בקרה'!$C$3,AA130='לוח בקרה'!$C$3,AB130='לוח בקרה'!$C$3,AC130='לוח בקרה'!$C$3),OR('לוח בקרה'!$C$4="הכל",A130='לוח בקרה'!$C$4),OR('לוח בקרה'!$C$5="הכל",T130='לוח בקרה'!$C$5),OR('לוח בקרה'!$C$6="הכל",H130='לוח בקרה'!$C$6,I130='לוח בקרה'!$C$6),OR('לוח בקרה'!$C$7="הכל",J130='לוח בקרה'!$C$7),OR('לוח בקרה'!$C$8="הכל",L130='לוח בקרה'!$C$8),OR('לוח בקרה'!$C$9="הכל",Q130='לוח בקרה'!$C$9),OR('לוח בקרה'!$C$10="הכל",F130='לוח בקרה'!$C$10,G130='לוח בקרה'!$C$10),D130&lt;&gt;""),ROW()-2,"")</f>
        <v/>
      </c>
      <c r="AE130">
        <f>IF(AND(OR('טכנו'!$C$3="הכל",Z130='טכנו'!$C$3,AA130='טכנו'!$C$3,AB130='טכנו'!$C$3,AC130='טכנו'!$C$3),OR('טכנו'!$C$4="הכל",A130='טכנו'!$C$4),D130&lt;&gt;""),ROW()-2,"")</f>
        <v/>
      </c>
    </row>
    <row r="131">
      <c r="E131">
        <f>IFERROR(INDEX('הגדרות'!$I:$I,MATCH(B131,'הגדרות'!$H:$H,0)),"")</f>
        <v/>
      </c>
      <c r="Z131">
        <f>IFERROR(VLOOKUP(H131,'הגדרות'!$A:$D,2,FALSE),"")</f>
        <v/>
      </c>
      <c r="AA131">
        <f>IFERROR(VLOOKUP(H131,'הגדרות'!$A:$D,3,FALSE),"")</f>
        <v/>
      </c>
      <c r="AB131">
        <f>IFERROR(VLOOKUP(I131,'הגדרות'!$A:$D,2,FALSE),"")</f>
        <v/>
      </c>
      <c r="AC131">
        <f>IFERROR(VLOOKUP(I131,'הגדרות'!$A:$D,3,FALSE),"")</f>
        <v/>
      </c>
      <c r="AD131">
        <f>IF(AND(OR('לוח בקרה'!$C$3="הכל",Z131='לוח בקרה'!$C$3,AA131='לוח בקרה'!$C$3,AB131='לוח בקרה'!$C$3,AC131='לוח בקרה'!$C$3),OR('לוח בקרה'!$C$4="הכל",A131='לוח בקרה'!$C$4),OR('לוח בקרה'!$C$5="הכל",T131='לוח בקרה'!$C$5),OR('לוח בקרה'!$C$6="הכל",H131='לוח בקרה'!$C$6,I131='לוח בקרה'!$C$6),OR('לוח בקרה'!$C$7="הכל",J131='לוח בקרה'!$C$7),OR('לוח בקרה'!$C$8="הכל",L131='לוח בקרה'!$C$8),OR('לוח בקרה'!$C$9="הכל",Q131='לוח בקרה'!$C$9),OR('לוח בקרה'!$C$10="הכל",F131='לוח בקרה'!$C$10,G131='לוח בקרה'!$C$10),D131&lt;&gt;""),ROW()-2,"")</f>
        <v/>
      </c>
      <c r="AE131">
        <f>IF(AND(OR('טכנו'!$C$3="הכל",Z131='טכנו'!$C$3,AA131='טכנו'!$C$3,AB131='טכנו'!$C$3,AC131='טכנו'!$C$3),OR('טכנו'!$C$4="הכל",A131='טכנו'!$C$4),D131&lt;&gt;""),ROW()-2,"")</f>
        <v/>
      </c>
    </row>
    <row r="132">
      <c r="E132">
        <f>IFERROR(INDEX('הגדרות'!$I:$I,MATCH(B132,'הגדרות'!$H:$H,0)),"")</f>
        <v/>
      </c>
      <c r="Z132">
        <f>IFERROR(VLOOKUP(H132,'הגדרות'!$A:$D,2,FALSE),"")</f>
        <v/>
      </c>
      <c r="AA132">
        <f>IFERROR(VLOOKUP(H132,'הגדרות'!$A:$D,3,FALSE),"")</f>
        <v/>
      </c>
      <c r="AB132">
        <f>IFERROR(VLOOKUP(I132,'הגדרות'!$A:$D,2,FALSE),"")</f>
        <v/>
      </c>
      <c r="AC132">
        <f>IFERROR(VLOOKUP(I132,'הגדרות'!$A:$D,3,FALSE),"")</f>
        <v/>
      </c>
      <c r="AD132">
        <f>IF(AND(OR('לוח בקרה'!$C$3="הכל",Z132='לוח בקרה'!$C$3,AA132='לוח בקרה'!$C$3,AB132='לוח בקרה'!$C$3,AC132='לוח בקרה'!$C$3),OR('לוח בקרה'!$C$4="הכל",A132='לוח בקרה'!$C$4),OR('לוח בקרה'!$C$5="הכל",T132='לוח בקרה'!$C$5),OR('לוח בקרה'!$C$6="הכל",H132='לוח בקרה'!$C$6,I132='לוח בקרה'!$C$6),OR('לוח בקרה'!$C$7="הכל",J132='לוח בקרה'!$C$7),OR('לוח בקרה'!$C$8="הכל",L132='לוח בקרה'!$C$8),OR('לוח בקרה'!$C$9="הכל",Q132='לוח בקרה'!$C$9),OR('לוח בקרה'!$C$10="הכל",F132='לוח בקרה'!$C$10,G132='לוח בקרה'!$C$10),D132&lt;&gt;""),ROW()-2,"")</f>
        <v/>
      </c>
      <c r="AE132">
        <f>IF(AND(OR('טכנו'!$C$3="הכל",Z132='טכנו'!$C$3,AA132='טכנו'!$C$3,AB132='טכנו'!$C$3,AC132='טכנו'!$C$3),OR('טכנו'!$C$4="הכל",A132='טכנו'!$C$4),D132&lt;&gt;""),ROW()-2,"")</f>
        <v/>
      </c>
    </row>
    <row r="133">
      <c r="E133">
        <f>IFERROR(INDEX('הגדרות'!$I:$I,MATCH(B133,'הגדרות'!$H:$H,0)),"")</f>
        <v/>
      </c>
      <c r="Z133">
        <f>IFERROR(VLOOKUP(H133,'הגדרות'!$A:$D,2,FALSE),"")</f>
        <v/>
      </c>
      <c r="AA133">
        <f>IFERROR(VLOOKUP(H133,'הגדרות'!$A:$D,3,FALSE),"")</f>
        <v/>
      </c>
      <c r="AB133">
        <f>IFERROR(VLOOKUP(I133,'הגדרות'!$A:$D,2,FALSE),"")</f>
        <v/>
      </c>
      <c r="AC133">
        <f>IFERROR(VLOOKUP(I133,'הגדרות'!$A:$D,3,FALSE),"")</f>
        <v/>
      </c>
      <c r="AD133">
        <f>IF(AND(OR('לוח בקרה'!$C$3="הכל",Z133='לוח בקרה'!$C$3,AA133='לוח בקרה'!$C$3,AB133='לוח בקרה'!$C$3,AC133='לוח בקרה'!$C$3),OR('לוח בקרה'!$C$4="הכל",A133='לוח בקרה'!$C$4),OR('לוח בקרה'!$C$5="הכל",T133='לוח בקרה'!$C$5),OR('לוח בקרה'!$C$6="הכל",H133='לוח בקרה'!$C$6,I133='לוח בקרה'!$C$6),OR('לוח בקרה'!$C$7="הכל",J133='לוח בקרה'!$C$7),OR('לוח בקרה'!$C$8="הכל",L133='לוח בקרה'!$C$8),OR('לוח בקרה'!$C$9="הכל",Q133='לוח בקרה'!$C$9),OR('לוח בקרה'!$C$10="הכל",F133='לוח בקרה'!$C$10,G133='לוח בקרה'!$C$10),D133&lt;&gt;""),ROW()-2,"")</f>
        <v/>
      </c>
      <c r="AE133">
        <f>IF(AND(OR('טכנו'!$C$3="הכל",Z133='טכנו'!$C$3,AA133='טכנו'!$C$3,AB133='טכנו'!$C$3,AC133='טכנו'!$C$3),OR('טכנו'!$C$4="הכל",A133='טכנו'!$C$4),D133&lt;&gt;""),ROW()-2,"")</f>
        <v/>
      </c>
    </row>
    <row r="134">
      <c r="E134">
        <f>IFERROR(INDEX('הגדרות'!$I:$I,MATCH(B134,'הגדרות'!$H:$H,0)),"")</f>
        <v/>
      </c>
      <c r="Z134">
        <f>IFERROR(VLOOKUP(H134,'הגדרות'!$A:$D,2,FALSE),"")</f>
        <v/>
      </c>
      <c r="AA134">
        <f>IFERROR(VLOOKUP(H134,'הגדרות'!$A:$D,3,FALSE),"")</f>
        <v/>
      </c>
      <c r="AB134">
        <f>IFERROR(VLOOKUP(I134,'הגדרות'!$A:$D,2,FALSE),"")</f>
        <v/>
      </c>
      <c r="AC134">
        <f>IFERROR(VLOOKUP(I134,'הגדרות'!$A:$D,3,FALSE),"")</f>
        <v/>
      </c>
      <c r="AD134">
        <f>IF(AND(OR('לוח בקרה'!$C$3="הכל",Z134='לוח בקרה'!$C$3,AA134='לוח בקרה'!$C$3,AB134='לוח בקרה'!$C$3,AC134='לוח בקרה'!$C$3),OR('לוח בקרה'!$C$4="הכל",A134='לוח בקרה'!$C$4),OR('לוח בקרה'!$C$5="הכל",T134='לוח בקרה'!$C$5),OR('לוח בקרה'!$C$6="הכל",H134='לוח בקרה'!$C$6,I134='לוח בקרה'!$C$6),OR('לוח בקרה'!$C$7="הכל",J134='לוח בקרה'!$C$7),OR('לוח בקרה'!$C$8="הכל",L134='לוח בקרה'!$C$8),OR('לוח בקרה'!$C$9="הכל",Q134='לוח בקרה'!$C$9),OR('לוח בקרה'!$C$10="הכל",F134='לוח בקרה'!$C$10,G134='לוח בקרה'!$C$10),D134&lt;&gt;""),ROW()-2,"")</f>
        <v/>
      </c>
      <c r="AE134">
        <f>IF(AND(OR('טכנו'!$C$3="הכל",Z134='טכנו'!$C$3,AA134='טכנו'!$C$3,AB134='טכנו'!$C$3,AC134='טכנו'!$C$3),OR('טכנו'!$C$4="הכל",A134='טכנו'!$C$4),D134&lt;&gt;""),ROW()-2,"")</f>
        <v/>
      </c>
    </row>
    <row r="135">
      <c r="E135">
        <f>IFERROR(INDEX('הגדרות'!$I:$I,MATCH(B135,'הגדרות'!$H:$H,0)),"")</f>
        <v/>
      </c>
      <c r="Z135">
        <f>IFERROR(VLOOKUP(H135,'הגדרות'!$A:$D,2,FALSE),"")</f>
        <v/>
      </c>
      <c r="AA135">
        <f>IFERROR(VLOOKUP(H135,'הגדרות'!$A:$D,3,FALSE),"")</f>
        <v/>
      </c>
      <c r="AB135">
        <f>IFERROR(VLOOKUP(I135,'הגדרות'!$A:$D,2,FALSE),"")</f>
        <v/>
      </c>
      <c r="AC135">
        <f>IFERROR(VLOOKUP(I135,'הגדרות'!$A:$D,3,FALSE),"")</f>
        <v/>
      </c>
      <c r="AD135">
        <f>IF(AND(OR('לוח בקרה'!$C$3="הכל",Z135='לוח בקרה'!$C$3,AA135='לוח בקרה'!$C$3,AB135='לוח בקרה'!$C$3,AC135='לוח בקרה'!$C$3),OR('לוח בקרה'!$C$4="הכל",A135='לוח בקרה'!$C$4),OR('לוח בקרה'!$C$5="הכל",T135='לוח בקרה'!$C$5),OR('לוח בקרה'!$C$6="הכל",H135='לוח בקרה'!$C$6,I135='לוח בקרה'!$C$6),OR('לוח בקרה'!$C$7="הכל",J135='לוח בקרה'!$C$7),OR('לוח בקרה'!$C$8="הכל",L135='לוח בקרה'!$C$8),OR('לוח בקרה'!$C$9="הכל",Q135='לוח בקרה'!$C$9),OR('לוח בקרה'!$C$10="הכל",F135='לוח בקרה'!$C$10,G135='לוח בקרה'!$C$10),D135&lt;&gt;""),ROW()-2,"")</f>
        <v/>
      </c>
      <c r="AE135">
        <f>IF(AND(OR('טכנו'!$C$3="הכל",Z135='טכנו'!$C$3,AA135='טכנו'!$C$3,AB135='טכנו'!$C$3,AC135='טכנו'!$C$3),OR('טכנו'!$C$4="הכל",A135='טכנו'!$C$4),D135&lt;&gt;""),ROW()-2,"")</f>
        <v/>
      </c>
    </row>
    <row r="136">
      <c r="E136">
        <f>IFERROR(INDEX('הגדרות'!$I:$I,MATCH(B136,'הגדרות'!$H:$H,0)),"")</f>
        <v/>
      </c>
      <c r="Z136">
        <f>IFERROR(VLOOKUP(H136,'הגדרות'!$A:$D,2,FALSE),"")</f>
        <v/>
      </c>
      <c r="AA136">
        <f>IFERROR(VLOOKUP(H136,'הגדרות'!$A:$D,3,FALSE),"")</f>
        <v/>
      </c>
      <c r="AB136">
        <f>IFERROR(VLOOKUP(I136,'הגדרות'!$A:$D,2,FALSE),"")</f>
        <v/>
      </c>
      <c r="AC136">
        <f>IFERROR(VLOOKUP(I136,'הגדרות'!$A:$D,3,FALSE),"")</f>
        <v/>
      </c>
      <c r="AD136">
        <f>IF(AND(OR('לוח בקרה'!$C$3="הכל",Z136='לוח בקרה'!$C$3,AA136='לוח בקרה'!$C$3,AB136='לוח בקרה'!$C$3,AC136='לוח בקרה'!$C$3),OR('לוח בקרה'!$C$4="הכל",A136='לוח בקרה'!$C$4),OR('לוח בקרה'!$C$5="הכל",T136='לוח בקרה'!$C$5),OR('לוח בקרה'!$C$6="הכל",H136='לוח בקרה'!$C$6,I136='לוח בקרה'!$C$6),OR('לוח בקרה'!$C$7="הכל",J136='לוח בקרה'!$C$7),OR('לוח בקרה'!$C$8="הכל",L136='לוח בקרה'!$C$8),OR('לוח בקרה'!$C$9="הכל",Q136='לוח בקרה'!$C$9),OR('לוח בקרה'!$C$10="הכל",F136='לוח בקרה'!$C$10,G136='לוח בקרה'!$C$10),D136&lt;&gt;""),ROW()-2,"")</f>
        <v/>
      </c>
      <c r="AE136">
        <f>IF(AND(OR('טכנו'!$C$3="הכל",Z136='טכנו'!$C$3,AA136='טכנו'!$C$3,AB136='טכנו'!$C$3,AC136='טכנו'!$C$3),OR('טכנו'!$C$4="הכל",A136='טכנו'!$C$4),D136&lt;&gt;""),ROW()-2,"")</f>
        <v/>
      </c>
    </row>
    <row r="137">
      <c r="E137">
        <f>IFERROR(INDEX('הגדרות'!$I:$I,MATCH(B137,'הגדרות'!$H:$H,0)),"")</f>
        <v/>
      </c>
      <c r="Z137">
        <f>IFERROR(VLOOKUP(H137,'הגדרות'!$A:$D,2,FALSE),"")</f>
        <v/>
      </c>
      <c r="AA137">
        <f>IFERROR(VLOOKUP(H137,'הגדרות'!$A:$D,3,FALSE),"")</f>
        <v/>
      </c>
      <c r="AB137">
        <f>IFERROR(VLOOKUP(I137,'הגדרות'!$A:$D,2,FALSE),"")</f>
        <v/>
      </c>
      <c r="AC137">
        <f>IFERROR(VLOOKUP(I137,'הגדרות'!$A:$D,3,FALSE),"")</f>
        <v/>
      </c>
      <c r="AD137">
        <f>IF(AND(OR('לוח בקרה'!$C$3="הכל",Z137='לוח בקרה'!$C$3,AA137='לוח בקרה'!$C$3,AB137='לוח בקרה'!$C$3,AC137='לוח בקרה'!$C$3),OR('לוח בקרה'!$C$4="הכל",A137='לוח בקרה'!$C$4),OR('לוח בקרה'!$C$5="הכל",T137='לוח בקרה'!$C$5),OR('לוח בקרה'!$C$6="הכל",H137='לוח בקרה'!$C$6,I137='לוח בקרה'!$C$6),OR('לוח בקרה'!$C$7="הכל",J137='לוח בקרה'!$C$7),OR('לוח בקרה'!$C$8="הכל",L137='לוח בקרה'!$C$8),OR('לוח בקרה'!$C$9="הכל",Q137='לוח בקרה'!$C$9),OR('לוח בקרה'!$C$10="הכל",F137='לוח בקרה'!$C$10,G137='לוח בקרה'!$C$10),D137&lt;&gt;""),ROW()-2,"")</f>
        <v/>
      </c>
      <c r="AE137">
        <f>IF(AND(OR('טכנו'!$C$3="הכל",Z137='טכנו'!$C$3,AA137='טכנו'!$C$3,AB137='טכנו'!$C$3,AC137='טכנו'!$C$3),OR('טכנו'!$C$4="הכל",A137='טכנו'!$C$4),D137&lt;&gt;""),ROW()-2,"")</f>
        <v/>
      </c>
    </row>
    <row r="138">
      <c r="E138">
        <f>IFERROR(INDEX('הגדרות'!$I:$I,MATCH(B138,'הגדרות'!$H:$H,0)),"")</f>
        <v/>
      </c>
      <c r="Z138">
        <f>IFERROR(VLOOKUP(H138,'הגדרות'!$A:$D,2,FALSE),"")</f>
        <v/>
      </c>
      <c r="AA138">
        <f>IFERROR(VLOOKUP(H138,'הגדרות'!$A:$D,3,FALSE),"")</f>
        <v/>
      </c>
      <c r="AB138">
        <f>IFERROR(VLOOKUP(I138,'הגדרות'!$A:$D,2,FALSE),"")</f>
        <v/>
      </c>
      <c r="AC138">
        <f>IFERROR(VLOOKUP(I138,'הגדרות'!$A:$D,3,FALSE),"")</f>
        <v/>
      </c>
      <c r="AD138">
        <f>IF(AND(OR('לוח בקרה'!$C$3="הכל",Z138='לוח בקרה'!$C$3,AA138='לוח בקרה'!$C$3,AB138='לוח בקרה'!$C$3,AC138='לוח בקרה'!$C$3),OR('לוח בקרה'!$C$4="הכל",A138='לוח בקרה'!$C$4),OR('לוח בקרה'!$C$5="הכל",T138='לוח בקרה'!$C$5),OR('לוח בקרה'!$C$6="הכל",H138='לוח בקרה'!$C$6,I138='לוח בקרה'!$C$6),OR('לוח בקרה'!$C$7="הכל",J138='לוח בקרה'!$C$7),OR('לוח בקרה'!$C$8="הכל",L138='לוח בקרה'!$C$8),OR('לוח בקרה'!$C$9="הכל",Q138='לוח בקרה'!$C$9),OR('לוח בקרה'!$C$10="הכל",F138='לוח בקרה'!$C$10,G138='לוח בקרה'!$C$10),D138&lt;&gt;""),ROW()-2,"")</f>
        <v/>
      </c>
      <c r="AE138">
        <f>IF(AND(OR('טכנו'!$C$3="הכל",Z138='טכנו'!$C$3,AA138='טכנו'!$C$3,AB138='טכנו'!$C$3,AC138='טכנו'!$C$3),OR('טכנו'!$C$4="הכל",A138='טכנו'!$C$4),D138&lt;&gt;""),ROW()-2,"")</f>
        <v/>
      </c>
    </row>
    <row r="139">
      <c r="E139">
        <f>IFERROR(INDEX('הגדרות'!$I:$I,MATCH(B139,'הגדרות'!$H:$H,0)),"")</f>
        <v/>
      </c>
      <c r="Z139">
        <f>IFERROR(VLOOKUP(H139,'הגדרות'!$A:$D,2,FALSE),"")</f>
        <v/>
      </c>
      <c r="AA139">
        <f>IFERROR(VLOOKUP(H139,'הגדרות'!$A:$D,3,FALSE),"")</f>
        <v/>
      </c>
      <c r="AB139">
        <f>IFERROR(VLOOKUP(I139,'הגדרות'!$A:$D,2,FALSE),"")</f>
        <v/>
      </c>
      <c r="AC139">
        <f>IFERROR(VLOOKUP(I139,'הגדרות'!$A:$D,3,FALSE),"")</f>
        <v/>
      </c>
      <c r="AD139">
        <f>IF(AND(OR('לוח בקרה'!$C$3="הכל",Z139='לוח בקרה'!$C$3,AA139='לוח בקרה'!$C$3,AB139='לוח בקרה'!$C$3,AC139='לוח בקרה'!$C$3),OR('לוח בקרה'!$C$4="הכל",A139='לוח בקרה'!$C$4),OR('לוח בקרה'!$C$5="הכל",T139='לוח בקרה'!$C$5),OR('לוח בקרה'!$C$6="הכל",H139='לוח בקרה'!$C$6,I139='לוח בקרה'!$C$6),OR('לוח בקרה'!$C$7="הכל",J139='לוח בקרה'!$C$7),OR('לוח בקרה'!$C$8="הכל",L139='לוח בקרה'!$C$8),OR('לוח בקרה'!$C$9="הכל",Q139='לוח בקרה'!$C$9),OR('לוח בקרה'!$C$10="הכל",F139='לוח בקרה'!$C$10,G139='לוח בקרה'!$C$10),D139&lt;&gt;""),ROW()-2,"")</f>
        <v/>
      </c>
      <c r="AE139">
        <f>IF(AND(OR('טכנו'!$C$3="הכל",Z139='טכנו'!$C$3,AA139='טכנו'!$C$3,AB139='טכנו'!$C$3,AC139='טכנו'!$C$3),OR('טכנו'!$C$4="הכל",A139='טכנו'!$C$4),D139&lt;&gt;""),ROW()-2,"")</f>
        <v/>
      </c>
    </row>
    <row r="140">
      <c r="E140">
        <f>IFERROR(INDEX('הגדרות'!$I:$I,MATCH(B140,'הגדרות'!$H:$H,0)),"")</f>
        <v/>
      </c>
      <c r="Z140">
        <f>IFERROR(VLOOKUP(H140,'הגדרות'!$A:$D,2,FALSE),"")</f>
        <v/>
      </c>
      <c r="AA140">
        <f>IFERROR(VLOOKUP(H140,'הגדרות'!$A:$D,3,FALSE),"")</f>
        <v/>
      </c>
      <c r="AB140">
        <f>IFERROR(VLOOKUP(I140,'הגדרות'!$A:$D,2,FALSE),"")</f>
        <v/>
      </c>
      <c r="AC140">
        <f>IFERROR(VLOOKUP(I140,'הגדרות'!$A:$D,3,FALSE),"")</f>
        <v/>
      </c>
      <c r="AD140">
        <f>IF(AND(OR('לוח בקרה'!$C$3="הכל",Z140='לוח בקרה'!$C$3,AA140='לוח בקרה'!$C$3,AB140='לוח בקרה'!$C$3,AC140='לוח בקרה'!$C$3),OR('לוח בקרה'!$C$4="הכל",A140='לוח בקרה'!$C$4),OR('לוח בקרה'!$C$5="הכל",T140='לוח בקרה'!$C$5),OR('לוח בקרה'!$C$6="הכל",H140='לוח בקרה'!$C$6,I140='לוח בקרה'!$C$6),OR('לוח בקרה'!$C$7="הכל",J140='לוח בקרה'!$C$7),OR('לוח בקרה'!$C$8="הכל",L140='לוח בקרה'!$C$8),OR('לוח בקרה'!$C$9="הכל",Q140='לוח בקרה'!$C$9),OR('לוח בקרה'!$C$10="הכל",F140='לוח בקרה'!$C$10,G140='לוח בקרה'!$C$10),D140&lt;&gt;""),ROW()-2,"")</f>
        <v/>
      </c>
      <c r="AE140">
        <f>IF(AND(OR('טכנו'!$C$3="הכל",Z140='טכנו'!$C$3,AA140='טכנו'!$C$3,AB140='טכנו'!$C$3,AC140='טכנו'!$C$3),OR('טכנו'!$C$4="הכל",A140='טכנו'!$C$4),D140&lt;&gt;""),ROW()-2,"")</f>
        <v/>
      </c>
    </row>
    <row r="141">
      <c r="E141">
        <f>IFERROR(INDEX('הגדרות'!$I:$I,MATCH(B141,'הגדרות'!$H:$H,0)),"")</f>
        <v/>
      </c>
      <c r="Z141">
        <f>IFERROR(VLOOKUP(H141,'הגדרות'!$A:$D,2,FALSE),"")</f>
        <v/>
      </c>
      <c r="AA141">
        <f>IFERROR(VLOOKUP(H141,'הגדרות'!$A:$D,3,FALSE),"")</f>
        <v/>
      </c>
      <c r="AB141">
        <f>IFERROR(VLOOKUP(I141,'הגדרות'!$A:$D,2,FALSE),"")</f>
        <v/>
      </c>
      <c r="AC141">
        <f>IFERROR(VLOOKUP(I141,'הגדרות'!$A:$D,3,FALSE),"")</f>
        <v/>
      </c>
      <c r="AD141">
        <f>IF(AND(OR('לוח בקרה'!$C$3="הכל",Z141='לוח בקרה'!$C$3,AA141='לוח בקרה'!$C$3,AB141='לוח בקרה'!$C$3,AC141='לוח בקרה'!$C$3),OR('לוח בקרה'!$C$4="הכל",A141='לוח בקרה'!$C$4),OR('לוח בקרה'!$C$5="הכל",T141='לוח בקרה'!$C$5),OR('לוח בקרה'!$C$6="הכל",H141='לוח בקרה'!$C$6,I141='לוח בקרה'!$C$6),OR('לוח בקרה'!$C$7="הכל",J141='לוח בקרה'!$C$7),OR('לוח בקרה'!$C$8="הכל",L141='לוח בקרה'!$C$8),OR('לוח בקרה'!$C$9="הכל",Q141='לוח בקרה'!$C$9),OR('לוח בקרה'!$C$10="הכל",F141='לוח בקרה'!$C$10,G141='לוח בקרה'!$C$10),D141&lt;&gt;""),ROW()-2,"")</f>
        <v/>
      </c>
      <c r="AE141">
        <f>IF(AND(OR('טכנו'!$C$3="הכל",Z141='טכנו'!$C$3,AA141='טכנו'!$C$3,AB141='טכנו'!$C$3,AC141='טכנו'!$C$3),OR('טכנו'!$C$4="הכל",A141='טכנו'!$C$4),D141&lt;&gt;""),ROW()-2,"")</f>
        <v/>
      </c>
    </row>
    <row r="142">
      <c r="E142">
        <f>IFERROR(INDEX('הגדרות'!$I:$I,MATCH(B142,'הגדרות'!$H:$H,0)),"")</f>
        <v/>
      </c>
      <c r="Z142">
        <f>IFERROR(VLOOKUP(H142,'הגדרות'!$A:$D,2,FALSE),"")</f>
        <v/>
      </c>
      <c r="AA142">
        <f>IFERROR(VLOOKUP(H142,'הגדרות'!$A:$D,3,FALSE),"")</f>
        <v/>
      </c>
      <c r="AB142">
        <f>IFERROR(VLOOKUP(I142,'הגדרות'!$A:$D,2,FALSE),"")</f>
        <v/>
      </c>
      <c r="AC142">
        <f>IFERROR(VLOOKUP(I142,'הגדרות'!$A:$D,3,FALSE),"")</f>
        <v/>
      </c>
      <c r="AD142">
        <f>IF(AND(OR('לוח בקרה'!$C$3="הכל",Z142='לוח בקרה'!$C$3,AA142='לוח בקרה'!$C$3,AB142='לוח בקרה'!$C$3,AC142='לוח בקרה'!$C$3),OR('לוח בקרה'!$C$4="הכל",A142='לוח בקרה'!$C$4),OR('לוח בקרה'!$C$5="הכל",T142='לוח בקרה'!$C$5),OR('לוח בקרה'!$C$6="הכל",H142='לוח בקרה'!$C$6,I142='לוח בקרה'!$C$6),OR('לוח בקרה'!$C$7="הכל",J142='לוח בקרה'!$C$7),OR('לוח בקרה'!$C$8="הכל",L142='לוח בקרה'!$C$8),OR('לוח בקרה'!$C$9="הכל",Q142='לוח בקרה'!$C$9),OR('לוח בקרה'!$C$10="הכל",F142='לוח בקרה'!$C$10,G142='לוח בקרה'!$C$10),D142&lt;&gt;""),ROW()-2,"")</f>
        <v/>
      </c>
      <c r="AE142">
        <f>IF(AND(OR('טכנו'!$C$3="הכל",Z142='טכנו'!$C$3,AA142='טכנו'!$C$3,AB142='טכנו'!$C$3,AC142='טכנו'!$C$3),OR('טכנו'!$C$4="הכל",A142='טכנו'!$C$4),D142&lt;&gt;""),ROW()-2,"")</f>
        <v/>
      </c>
    </row>
    <row r="143">
      <c r="E143">
        <f>IFERROR(INDEX('הגדרות'!$I:$I,MATCH(B143,'הגדרות'!$H:$H,0)),"")</f>
        <v/>
      </c>
      <c r="Z143">
        <f>IFERROR(VLOOKUP(H143,'הגדרות'!$A:$D,2,FALSE),"")</f>
        <v/>
      </c>
      <c r="AA143">
        <f>IFERROR(VLOOKUP(H143,'הגדרות'!$A:$D,3,FALSE),"")</f>
        <v/>
      </c>
      <c r="AB143">
        <f>IFERROR(VLOOKUP(I143,'הגדרות'!$A:$D,2,FALSE),"")</f>
        <v/>
      </c>
      <c r="AC143">
        <f>IFERROR(VLOOKUP(I143,'הגדרות'!$A:$D,3,FALSE),"")</f>
        <v/>
      </c>
      <c r="AD143">
        <f>IF(AND(OR('לוח בקרה'!$C$3="הכל",Z143='לוח בקרה'!$C$3,AA143='לוח בקרה'!$C$3,AB143='לוח בקרה'!$C$3,AC143='לוח בקרה'!$C$3),OR('לוח בקרה'!$C$4="הכל",A143='לוח בקרה'!$C$4),OR('לוח בקרה'!$C$5="הכל",T143='לוח בקרה'!$C$5),OR('לוח בקרה'!$C$6="הכל",H143='לוח בקרה'!$C$6,I143='לוח בקרה'!$C$6),OR('לוח בקרה'!$C$7="הכל",J143='לוח בקרה'!$C$7),OR('לוח בקרה'!$C$8="הכל",L143='לוח בקרה'!$C$8),OR('לוח בקרה'!$C$9="הכל",Q143='לוח בקרה'!$C$9),OR('לוח בקרה'!$C$10="הכל",F143='לוח בקרה'!$C$10,G143='לוח בקרה'!$C$10),D143&lt;&gt;""),ROW()-2,"")</f>
        <v/>
      </c>
      <c r="AE143">
        <f>IF(AND(OR('טכנו'!$C$3="הכל",Z143='טכנו'!$C$3,AA143='טכנו'!$C$3,AB143='טכנו'!$C$3,AC143='טכנו'!$C$3),OR('טכנו'!$C$4="הכל",A143='טכנו'!$C$4),D143&lt;&gt;""),ROW()-2,"")</f>
        <v/>
      </c>
    </row>
    <row r="144">
      <c r="E144">
        <f>IFERROR(INDEX('הגדרות'!$I:$I,MATCH(B144,'הגדרות'!$H:$H,0)),"")</f>
        <v/>
      </c>
      <c r="Z144">
        <f>IFERROR(VLOOKUP(H144,'הגדרות'!$A:$D,2,FALSE),"")</f>
        <v/>
      </c>
      <c r="AA144">
        <f>IFERROR(VLOOKUP(H144,'הגדרות'!$A:$D,3,FALSE),"")</f>
        <v/>
      </c>
      <c r="AB144">
        <f>IFERROR(VLOOKUP(I144,'הגדרות'!$A:$D,2,FALSE),"")</f>
        <v/>
      </c>
      <c r="AC144">
        <f>IFERROR(VLOOKUP(I144,'הגדרות'!$A:$D,3,FALSE),"")</f>
        <v/>
      </c>
      <c r="AD144">
        <f>IF(AND(OR('לוח בקרה'!$C$3="הכל",Z144='לוח בקרה'!$C$3,AA144='לוח בקרה'!$C$3,AB144='לוח בקרה'!$C$3,AC144='לוח בקרה'!$C$3),OR('לוח בקרה'!$C$4="הכל",A144='לוח בקרה'!$C$4),OR('לוח בקרה'!$C$5="הכל",T144='לוח בקרה'!$C$5),OR('לוח בקרה'!$C$6="הכל",H144='לוח בקרה'!$C$6,I144='לוח בקרה'!$C$6),OR('לוח בקרה'!$C$7="הכל",J144='לוח בקרה'!$C$7),OR('לוח בקרה'!$C$8="הכל",L144='לוח בקרה'!$C$8),OR('לוח בקרה'!$C$9="הכל",Q144='לוח בקרה'!$C$9),OR('לוח בקרה'!$C$10="הכל",F144='לוח בקרה'!$C$10,G144='לוח בקרה'!$C$10),D144&lt;&gt;""),ROW()-2,"")</f>
        <v/>
      </c>
      <c r="AE144">
        <f>IF(AND(OR('טכנו'!$C$3="הכל",Z144='טכנו'!$C$3,AA144='טכנו'!$C$3,AB144='טכנו'!$C$3,AC144='טכנו'!$C$3),OR('טכנו'!$C$4="הכל",A144='טכנו'!$C$4),D144&lt;&gt;""),ROW()-2,"")</f>
        <v/>
      </c>
    </row>
    <row r="145">
      <c r="E145">
        <f>IFERROR(INDEX('הגדרות'!$I:$I,MATCH(B145,'הגדרות'!$H:$H,0)),"")</f>
        <v/>
      </c>
      <c r="Z145">
        <f>IFERROR(VLOOKUP(H145,'הגדרות'!$A:$D,2,FALSE),"")</f>
        <v/>
      </c>
      <c r="AA145">
        <f>IFERROR(VLOOKUP(H145,'הגדרות'!$A:$D,3,FALSE),"")</f>
        <v/>
      </c>
      <c r="AB145">
        <f>IFERROR(VLOOKUP(I145,'הגדרות'!$A:$D,2,FALSE),"")</f>
        <v/>
      </c>
      <c r="AC145">
        <f>IFERROR(VLOOKUP(I145,'הגדרות'!$A:$D,3,FALSE),"")</f>
        <v/>
      </c>
      <c r="AD145">
        <f>IF(AND(OR('לוח בקרה'!$C$3="הכל",Z145='לוח בקרה'!$C$3,AA145='לוח בקרה'!$C$3,AB145='לוח בקרה'!$C$3,AC145='לוח בקרה'!$C$3),OR('לוח בקרה'!$C$4="הכל",A145='לוח בקרה'!$C$4),OR('לוח בקרה'!$C$5="הכל",T145='לוח בקרה'!$C$5),OR('לוח בקרה'!$C$6="הכל",H145='לוח בקרה'!$C$6,I145='לוח בקרה'!$C$6),OR('לוח בקרה'!$C$7="הכל",J145='לוח בקרה'!$C$7),OR('לוח בקרה'!$C$8="הכל",L145='לוח בקרה'!$C$8),OR('לוח בקרה'!$C$9="הכל",Q145='לוח בקרה'!$C$9),OR('לוח בקרה'!$C$10="הכל",F145='לוח בקרה'!$C$10,G145='לוח בקרה'!$C$10),D145&lt;&gt;""),ROW()-2,"")</f>
        <v/>
      </c>
      <c r="AE145">
        <f>IF(AND(OR('טכנו'!$C$3="הכל",Z145='טכנו'!$C$3,AA145='טכנו'!$C$3,AB145='טכנו'!$C$3,AC145='טכנו'!$C$3),OR('טכנו'!$C$4="הכל",A145='טכנו'!$C$4),D145&lt;&gt;""),ROW()-2,"")</f>
        <v/>
      </c>
    </row>
    <row r="146">
      <c r="E146">
        <f>IFERROR(INDEX('הגדרות'!$I:$I,MATCH(B146,'הגדרות'!$H:$H,0)),"")</f>
        <v/>
      </c>
      <c r="Z146">
        <f>IFERROR(VLOOKUP(H146,'הגדרות'!$A:$D,2,FALSE),"")</f>
        <v/>
      </c>
      <c r="AA146">
        <f>IFERROR(VLOOKUP(H146,'הגדרות'!$A:$D,3,FALSE),"")</f>
        <v/>
      </c>
      <c r="AB146">
        <f>IFERROR(VLOOKUP(I146,'הגדרות'!$A:$D,2,FALSE),"")</f>
        <v/>
      </c>
      <c r="AC146">
        <f>IFERROR(VLOOKUP(I146,'הגדרות'!$A:$D,3,FALSE),"")</f>
        <v/>
      </c>
      <c r="AD146">
        <f>IF(AND(OR('לוח בקרה'!$C$3="הכל",Z146='לוח בקרה'!$C$3,AA146='לוח בקרה'!$C$3,AB146='לוח בקרה'!$C$3,AC146='לוח בקרה'!$C$3),OR('לוח בקרה'!$C$4="הכל",A146='לוח בקרה'!$C$4),OR('לוח בקרה'!$C$5="הכל",T146='לוח בקרה'!$C$5),OR('לוח בקרה'!$C$6="הכל",H146='לוח בקרה'!$C$6,I146='לוח בקרה'!$C$6),OR('לוח בקרה'!$C$7="הכל",J146='לוח בקרה'!$C$7),OR('לוח בקרה'!$C$8="הכל",L146='לוח בקרה'!$C$8),OR('לוח בקרה'!$C$9="הכל",Q146='לוח בקרה'!$C$9),OR('לוח בקרה'!$C$10="הכל",F146='לוח בקרה'!$C$10,G146='לוח בקרה'!$C$10),D146&lt;&gt;""),ROW()-2,"")</f>
        <v/>
      </c>
      <c r="AE146">
        <f>IF(AND(OR('טכנו'!$C$3="הכל",Z146='טכנו'!$C$3,AA146='טכנו'!$C$3,AB146='טכנו'!$C$3,AC146='טכנו'!$C$3),OR('טכנו'!$C$4="הכל",A146='טכנו'!$C$4),D146&lt;&gt;""),ROW()-2,"")</f>
        <v/>
      </c>
    </row>
    <row r="147">
      <c r="E147">
        <f>IFERROR(INDEX('הגדרות'!$I:$I,MATCH(B147,'הגדרות'!$H:$H,0)),"")</f>
        <v/>
      </c>
      <c r="Z147">
        <f>IFERROR(VLOOKUP(H147,'הגדרות'!$A:$D,2,FALSE),"")</f>
        <v/>
      </c>
      <c r="AA147">
        <f>IFERROR(VLOOKUP(H147,'הגדרות'!$A:$D,3,FALSE),"")</f>
        <v/>
      </c>
      <c r="AB147">
        <f>IFERROR(VLOOKUP(I147,'הגדרות'!$A:$D,2,FALSE),"")</f>
        <v/>
      </c>
      <c r="AC147">
        <f>IFERROR(VLOOKUP(I147,'הגדרות'!$A:$D,3,FALSE),"")</f>
        <v/>
      </c>
      <c r="AD147">
        <f>IF(AND(OR('לוח בקרה'!$C$3="הכל",Z147='לוח בקרה'!$C$3,AA147='לוח בקרה'!$C$3,AB147='לוח בקרה'!$C$3,AC147='לוח בקרה'!$C$3),OR('לוח בקרה'!$C$4="הכל",A147='לוח בקרה'!$C$4),OR('לוח בקרה'!$C$5="הכל",T147='לוח בקרה'!$C$5),OR('לוח בקרה'!$C$6="הכל",H147='לוח בקרה'!$C$6,I147='לוח בקרה'!$C$6),OR('לוח בקרה'!$C$7="הכל",J147='לוח בקרה'!$C$7),OR('לוח בקרה'!$C$8="הכל",L147='לוח בקרה'!$C$8),OR('לוח בקרה'!$C$9="הכל",Q147='לוח בקרה'!$C$9),OR('לוח בקרה'!$C$10="הכל",F147='לוח בקרה'!$C$10,G147='לוח בקרה'!$C$10),D147&lt;&gt;""),ROW()-2,"")</f>
        <v/>
      </c>
      <c r="AE147">
        <f>IF(AND(OR('טכנו'!$C$3="הכל",Z147='טכנו'!$C$3,AA147='טכנו'!$C$3,AB147='טכנו'!$C$3,AC147='טכנו'!$C$3),OR('טכנו'!$C$4="הכל",A147='טכנו'!$C$4),D147&lt;&gt;""),ROW()-2,"")</f>
        <v/>
      </c>
    </row>
    <row r="148">
      <c r="E148">
        <f>IFERROR(INDEX('הגדרות'!$I:$I,MATCH(B148,'הגדרות'!$H:$H,0)),"")</f>
        <v/>
      </c>
      <c r="Z148">
        <f>IFERROR(VLOOKUP(H148,'הגדרות'!$A:$D,2,FALSE),"")</f>
        <v/>
      </c>
      <c r="AA148">
        <f>IFERROR(VLOOKUP(H148,'הגדרות'!$A:$D,3,FALSE),"")</f>
        <v/>
      </c>
      <c r="AB148">
        <f>IFERROR(VLOOKUP(I148,'הגדרות'!$A:$D,2,FALSE),"")</f>
        <v/>
      </c>
      <c r="AC148">
        <f>IFERROR(VLOOKUP(I148,'הגדרות'!$A:$D,3,FALSE),"")</f>
        <v/>
      </c>
      <c r="AD148">
        <f>IF(AND(OR('לוח בקרה'!$C$3="הכל",Z148='לוח בקרה'!$C$3,AA148='לוח בקרה'!$C$3,AB148='לוח בקרה'!$C$3,AC148='לוח בקרה'!$C$3),OR('לוח בקרה'!$C$4="הכל",A148='לוח בקרה'!$C$4),OR('לוח בקרה'!$C$5="הכל",T148='לוח בקרה'!$C$5),OR('לוח בקרה'!$C$6="הכל",H148='לוח בקרה'!$C$6,I148='לוח בקרה'!$C$6),OR('לוח בקרה'!$C$7="הכל",J148='לוח בקרה'!$C$7),OR('לוח בקרה'!$C$8="הכל",L148='לוח בקרה'!$C$8),OR('לוח בקרה'!$C$9="הכל",Q148='לוח בקרה'!$C$9),OR('לוח בקרה'!$C$10="הכל",F148='לוח בקרה'!$C$10,G148='לוח בקרה'!$C$10),D148&lt;&gt;""),ROW()-2,"")</f>
        <v/>
      </c>
      <c r="AE148">
        <f>IF(AND(OR('טכנו'!$C$3="הכל",Z148='טכנו'!$C$3,AA148='טכנו'!$C$3,AB148='טכנו'!$C$3,AC148='טכנו'!$C$3),OR('טכנו'!$C$4="הכל",A148='טכנו'!$C$4),D148&lt;&gt;""),ROW()-2,"")</f>
        <v/>
      </c>
    </row>
    <row r="149">
      <c r="E149">
        <f>IFERROR(INDEX('הגדרות'!$I:$I,MATCH(B149,'הגדרות'!$H:$H,0)),"")</f>
        <v/>
      </c>
      <c r="Z149">
        <f>IFERROR(VLOOKUP(H149,'הגדרות'!$A:$D,2,FALSE),"")</f>
        <v/>
      </c>
      <c r="AA149">
        <f>IFERROR(VLOOKUP(H149,'הגדרות'!$A:$D,3,FALSE),"")</f>
        <v/>
      </c>
      <c r="AB149">
        <f>IFERROR(VLOOKUP(I149,'הגדרות'!$A:$D,2,FALSE),"")</f>
        <v/>
      </c>
      <c r="AC149">
        <f>IFERROR(VLOOKUP(I149,'הגדרות'!$A:$D,3,FALSE),"")</f>
        <v/>
      </c>
      <c r="AD149">
        <f>IF(AND(OR('לוח בקרה'!$C$3="הכל",Z149='לוח בקרה'!$C$3,AA149='לוח בקרה'!$C$3,AB149='לוח בקרה'!$C$3,AC149='לוח בקרה'!$C$3),OR('לוח בקרה'!$C$4="הכל",A149='לוח בקרה'!$C$4),OR('לוח בקרה'!$C$5="הכל",T149='לוח בקרה'!$C$5),OR('לוח בקרה'!$C$6="הכל",H149='לוח בקרה'!$C$6,I149='לוח בקרה'!$C$6),OR('לוח בקרה'!$C$7="הכל",J149='לוח בקרה'!$C$7),OR('לוח בקרה'!$C$8="הכל",L149='לוח בקרה'!$C$8),OR('לוח בקרה'!$C$9="הכל",Q149='לוח בקרה'!$C$9),OR('לוח בקרה'!$C$10="הכל",F149='לוח בקרה'!$C$10,G149='לוח בקרה'!$C$10),D149&lt;&gt;""),ROW()-2,"")</f>
        <v/>
      </c>
      <c r="AE149">
        <f>IF(AND(OR('טכנו'!$C$3="הכל",Z149='טכנו'!$C$3,AA149='טכנו'!$C$3,AB149='טכנו'!$C$3,AC149='טכנו'!$C$3),OR('טכנו'!$C$4="הכל",A149='טכנו'!$C$4),D149&lt;&gt;""),ROW()-2,"")</f>
        <v/>
      </c>
    </row>
    <row r="150">
      <c r="E150">
        <f>IFERROR(INDEX('הגדרות'!$I:$I,MATCH(B150,'הגדרות'!$H:$H,0)),"")</f>
        <v/>
      </c>
      <c r="Z150">
        <f>IFERROR(VLOOKUP(H150,'הגדרות'!$A:$D,2,FALSE),"")</f>
        <v/>
      </c>
      <c r="AA150">
        <f>IFERROR(VLOOKUP(H150,'הגדרות'!$A:$D,3,FALSE),"")</f>
        <v/>
      </c>
      <c r="AB150">
        <f>IFERROR(VLOOKUP(I150,'הגדרות'!$A:$D,2,FALSE),"")</f>
        <v/>
      </c>
      <c r="AC150">
        <f>IFERROR(VLOOKUP(I150,'הגדרות'!$A:$D,3,FALSE),"")</f>
        <v/>
      </c>
      <c r="AD150">
        <f>IF(AND(OR('לוח בקרה'!$C$3="הכל",Z150='לוח בקרה'!$C$3,AA150='לוח בקרה'!$C$3,AB150='לוח בקרה'!$C$3,AC150='לוח בקרה'!$C$3),OR('לוח בקרה'!$C$4="הכל",A150='לוח בקרה'!$C$4),OR('לוח בקרה'!$C$5="הכל",T150='לוח בקרה'!$C$5),OR('לוח בקרה'!$C$6="הכל",H150='לוח בקרה'!$C$6,I150='לוח בקרה'!$C$6),OR('לוח בקרה'!$C$7="הכל",J150='לוח בקרה'!$C$7),OR('לוח בקרה'!$C$8="הכל",L150='לוח בקרה'!$C$8),OR('לוח בקרה'!$C$9="הכל",Q150='לוח בקרה'!$C$9),OR('לוח בקרה'!$C$10="הכל",F150='לוח בקרה'!$C$10,G150='לוח בקרה'!$C$10),D150&lt;&gt;""),ROW()-2,"")</f>
        <v/>
      </c>
      <c r="AE150">
        <f>IF(AND(OR('טכנו'!$C$3="הכל",Z150='טכנו'!$C$3,AA150='טכנו'!$C$3,AB150='טכנו'!$C$3,AC150='טכנו'!$C$3),OR('טכנו'!$C$4="הכל",A150='טכנו'!$C$4),D150&lt;&gt;""),ROW()-2,"")</f>
        <v/>
      </c>
    </row>
    <row r="151">
      <c r="E151">
        <f>IFERROR(INDEX('הגדרות'!$I:$I,MATCH(B151,'הגדרות'!$H:$H,0)),"")</f>
        <v/>
      </c>
      <c r="Z151">
        <f>IFERROR(VLOOKUP(H151,'הגדרות'!$A:$D,2,FALSE),"")</f>
        <v/>
      </c>
      <c r="AA151">
        <f>IFERROR(VLOOKUP(H151,'הגדרות'!$A:$D,3,FALSE),"")</f>
        <v/>
      </c>
      <c r="AB151">
        <f>IFERROR(VLOOKUP(I151,'הגדרות'!$A:$D,2,FALSE),"")</f>
        <v/>
      </c>
      <c r="AC151">
        <f>IFERROR(VLOOKUP(I151,'הגדרות'!$A:$D,3,FALSE),"")</f>
        <v/>
      </c>
      <c r="AD151">
        <f>IF(AND(OR('לוח בקרה'!$C$3="הכל",Z151='לוח בקרה'!$C$3,AA151='לוח בקרה'!$C$3,AB151='לוח בקרה'!$C$3,AC151='לוח בקרה'!$C$3),OR('לוח בקרה'!$C$4="הכל",A151='לוח בקרה'!$C$4),OR('לוח בקרה'!$C$5="הכל",T151='לוח בקרה'!$C$5),OR('לוח בקרה'!$C$6="הכל",H151='לוח בקרה'!$C$6,I151='לוח בקרה'!$C$6),OR('לוח בקרה'!$C$7="הכל",J151='לוח בקרה'!$C$7),OR('לוח בקרה'!$C$8="הכל",L151='לוח בקרה'!$C$8),OR('לוח בקרה'!$C$9="הכל",Q151='לוח בקרה'!$C$9),OR('לוח בקרה'!$C$10="הכל",F151='לוח בקרה'!$C$10,G151='לוח בקרה'!$C$10),D151&lt;&gt;""),ROW()-2,"")</f>
        <v/>
      </c>
      <c r="AE151">
        <f>IF(AND(OR('טכנו'!$C$3="הכל",Z151='טכנו'!$C$3,AA151='טכנו'!$C$3,AB151='טכנו'!$C$3,AC151='טכנו'!$C$3),OR('טכנו'!$C$4="הכל",A151='טכנו'!$C$4),D151&lt;&gt;""),ROW()-2,"")</f>
        <v/>
      </c>
    </row>
    <row r="152">
      <c r="E152">
        <f>IFERROR(INDEX('הגדרות'!$I:$I,MATCH(B152,'הגדרות'!$H:$H,0)),"")</f>
        <v/>
      </c>
      <c r="Z152">
        <f>IFERROR(VLOOKUP(H152,'הגדרות'!$A:$D,2,FALSE),"")</f>
        <v/>
      </c>
      <c r="AA152">
        <f>IFERROR(VLOOKUP(H152,'הגדרות'!$A:$D,3,FALSE),"")</f>
        <v/>
      </c>
      <c r="AB152">
        <f>IFERROR(VLOOKUP(I152,'הגדרות'!$A:$D,2,FALSE),"")</f>
        <v/>
      </c>
      <c r="AC152">
        <f>IFERROR(VLOOKUP(I152,'הגדרות'!$A:$D,3,FALSE),"")</f>
        <v/>
      </c>
      <c r="AD152">
        <f>IF(AND(OR('לוח בקרה'!$C$3="הכל",Z152='לוח בקרה'!$C$3,AA152='לוח בקרה'!$C$3,AB152='לוח בקרה'!$C$3,AC152='לוח בקרה'!$C$3),OR('לוח בקרה'!$C$4="הכל",A152='לוח בקרה'!$C$4),OR('לוח בקרה'!$C$5="הכל",T152='לוח בקרה'!$C$5),OR('לוח בקרה'!$C$6="הכל",H152='לוח בקרה'!$C$6,I152='לוח בקרה'!$C$6),OR('לוח בקרה'!$C$7="הכל",J152='לוח בקרה'!$C$7),OR('לוח בקרה'!$C$8="הכל",L152='לוח בקרה'!$C$8),OR('לוח בקרה'!$C$9="הכל",Q152='לוח בקרה'!$C$9),OR('לוח בקרה'!$C$10="הכל",F152='לוח בקרה'!$C$10,G152='לוח בקרה'!$C$10),D152&lt;&gt;""),ROW()-2,"")</f>
        <v/>
      </c>
      <c r="AE152">
        <f>IF(AND(OR('טכנו'!$C$3="הכל",Z152='טכנו'!$C$3,AA152='טכנו'!$C$3,AB152='טכנו'!$C$3,AC152='טכנו'!$C$3),OR('טכנו'!$C$4="הכל",A152='טכנו'!$C$4),D152&lt;&gt;""),ROW()-2,"")</f>
        <v/>
      </c>
    </row>
    <row r="153">
      <c r="E153">
        <f>IFERROR(INDEX('הגדרות'!$I:$I,MATCH(B153,'הגדרות'!$H:$H,0)),"")</f>
        <v/>
      </c>
      <c r="Z153">
        <f>IFERROR(VLOOKUP(H153,'הגדרות'!$A:$D,2,FALSE),"")</f>
        <v/>
      </c>
      <c r="AA153">
        <f>IFERROR(VLOOKUP(H153,'הגדרות'!$A:$D,3,FALSE),"")</f>
        <v/>
      </c>
      <c r="AB153">
        <f>IFERROR(VLOOKUP(I153,'הגדרות'!$A:$D,2,FALSE),"")</f>
        <v/>
      </c>
      <c r="AC153">
        <f>IFERROR(VLOOKUP(I153,'הגדרות'!$A:$D,3,FALSE),"")</f>
        <v/>
      </c>
      <c r="AD153">
        <f>IF(AND(OR('לוח בקרה'!$C$3="הכל",Z153='לוח בקרה'!$C$3,AA153='לוח בקרה'!$C$3,AB153='לוח בקרה'!$C$3,AC153='לוח בקרה'!$C$3),OR('לוח בקרה'!$C$4="הכל",A153='לוח בקרה'!$C$4),OR('לוח בקרה'!$C$5="הכל",T153='לוח בקרה'!$C$5),OR('לוח בקרה'!$C$6="הכל",H153='לוח בקרה'!$C$6,I153='לוח בקרה'!$C$6),OR('לוח בקרה'!$C$7="הכל",J153='לוח בקרה'!$C$7),OR('לוח בקרה'!$C$8="הכל",L153='לוח בקרה'!$C$8),OR('לוח בקרה'!$C$9="הכל",Q153='לוח בקרה'!$C$9),OR('לוח בקרה'!$C$10="הכל",F153='לוח בקרה'!$C$10,G153='לוח בקרה'!$C$10),D153&lt;&gt;""),ROW()-2,"")</f>
        <v/>
      </c>
      <c r="AE153">
        <f>IF(AND(OR('טכנו'!$C$3="הכל",Z153='טכנו'!$C$3,AA153='טכנו'!$C$3,AB153='טכנו'!$C$3,AC153='טכנו'!$C$3),OR('טכנו'!$C$4="הכל",A153='טכנו'!$C$4),D153&lt;&gt;""),ROW()-2,"")</f>
        <v/>
      </c>
    </row>
    <row r="154">
      <c r="E154">
        <f>IFERROR(INDEX('הגדרות'!$I:$I,MATCH(B154,'הגדרות'!$H:$H,0)),"")</f>
        <v/>
      </c>
      <c r="Z154">
        <f>IFERROR(VLOOKUP(H154,'הגדרות'!$A:$D,2,FALSE),"")</f>
        <v/>
      </c>
      <c r="AA154">
        <f>IFERROR(VLOOKUP(H154,'הגדרות'!$A:$D,3,FALSE),"")</f>
        <v/>
      </c>
      <c r="AB154">
        <f>IFERROR(VLOOKUP(I154,'הגדרות'!$A:$D,2,FALSE),"")</f>
        <v/>
      </c>
      <c r="AC154">
        <f>IFERROR(VLOOKUP(I154,'הגדרות'!$A:$D,3,FALSE),"")</f>
        <v/>
      </c>
      <c r="AD154">
        <f>IF(AND(OR('לוח בקרה'!$C$3="הכל",Z154='לוח בקרה'!$C$3,AA154='לוח בקרה'!$C$3,AB154='לוח בקרה'!$C$3,AC154='לוח בקרה'!$C$3),OR('לוח בקרה'!$C$4="הכל",A154='לוח בקרה'!$C$4),OR('לוח בקרה'!$C$5="הכל",T154='לוח בקרה'!$C$5),OR('לוח בקרה'!$C$6="הכל",H154='לוח בקרה'!$C$6,I154='לוח בקרה'!$C$6),OR('לוח בקרה'!$C$7="הכל",J154='לוח בקרה'!$C$7),OR('לוח בקרה'!$C$8="הכל",L154='לוח בקרה'!$C$8),OR('לוח בקרה'!$C$9="הכל",Q154='לוח בקרה'!$C$9),OR('לוח בקרה'!$C$10="הכל",F154='לוח בקרה'!$C$10,G154='לוח בקרה'!$C$10),D154&lt;&gt;""),ROW()-2,"")</f>
        <v/>
      </c>
      <c r="AE154">
        <f>IF(AND(OR('טכנו'!$C$3="הכל",Z154='טכנו'!$C$3,AA154='טכנו'!$C$3,AB154='טכנו'!$C$3,AC154='טכנו'!$C$3),OR('טכנו'!$C$4="הכל",A154='טכנו'!$C$4),D154&lt;&gt;""),ROW()-2,"")</f>
        <v/>
      </c>
    </row>
    <row r="155">
      <c r="E155">
        <f>IFERROR(INDEX('הגדרות'!$I:$I,MATCH(B155,'הגדרות'!$H:$H,0)),"")</f>
        <v/>
      </c>
      <c r="Z155">
        <f>IFERROR(VLOOKUP(H155,'הגדרות'!$A:$D,2,FALSE),"")</f>
        <v/>
      </c>
      <c r="AA155">
        <f>IFERROR(VLOOKUP(H155,'הגדרות'!$A:$D,3,FALSE),"")</f>
        <v/>
      </c>
      <c r="AB155">
        <f>IFERROR(VLOOKUP(I155,'הגדרות'!$A:$D,2,FALSE),"")</f>
        <v/>
      </c>
      <c r="AC155">
        <f>IFERROR(VLOOKUP(I155,'הגדרות'!$A:$D,3,FALSE),"")</f>
        <v/>
      </c>
      <c r="AD155">
        <f>IF(AND(OR('לוח בקרה'!$C$3="הכל",Z155='לוח בקרה'!$C$3,AA155='לוח בקרה'!$C$3,AB155='לוח בקרה'!$C$3,AC155='לוח בקרה'!$C$3),OR('לוח בקרה'!$C$4="הכל",A155='לוח בקרה'!$C$4),OR('לוח בקרה'!$C$5="הכל",T155='לוח בקרה'!$C$5),OR('לוח בקרה'!$C$6="הכל",H155='לוח בקרה'!$C$6,I155='לוח בקרה'!$C$6),OR('לוח בקרה'!$C$7="הכל",J155='לוח בקרה'!$C$7),OR('לוח בקרה'!$C$8="הכל",L155='לוח בקרה'!$C$8),OR('לוח בקרה'!$C$9="הכל",Q155='לוח בקרה'!$C$9),OR('לוח בקרה'!$C$10="הכל",F155='לוח בקרה'!$C$10,G155='לוח בקרה'!$C$10),D155&lt;&gt;""),ROW()-2,"")</f>
        <v/>
      </c>
      <c r="AE155">
        <f>IF(AND(OR('טכנו'!$C$3="הכל",Z155='טכנו'!$C$3,AA155='טכנו'!$C$3,AB155='טכנו'!$C$3,AC155='טכנו'!$C$3),OR('טכנו'!$C$4="הכל",A155='טכנו'!$C$4),D155&lt;&gt;""),ROW()-2,"")</f>
        <v/>
      </c>
    </row>
    <row r="156">
      <c r="E156">
        <f>IFERROR(INDEX('הגדרות'!$I:$I,MATCH(B156,'הגדרות'!$H:$H,0)),"")</f>
        <v/>
      </c>
      <c r="Z156">
        <f>IFERROR(VLOOKUP(H156,'הגדרות'!$A:$D,2,FALSE),"")</f>
        <v/>
      </c>
      <c r="AA156">
        <f>IFERROR(VLOOKUP(H156,'הגדרות'!$A:$D,3,FALSE),"")</f>
        <v/>
      </c>
      <c r="AB156">
        <f>IFERROR(VLOOKUP(I156,'הגדרות'!$A:$D,2,FALSE),"")</f>
        <v/>
      </c>
      <c r="AC156">
        <f>IFERROR(VLOOKUP(I156,'הגדרות'!$A:$D,3,FALSE),"")</f>
        <v/>
      </c>
      <c r="AD156">
        <f>IF(AND(OR('לוח בקרה'!$C$3="הכל",Z156='לוח בקרה'!$C$3,AA156='לוח בקרה'!$C$3,AB156='לוח בקרה'!$C$3,AC156='לוח בקרה'!$C$3),OR('לוח בקרה'!$C$4="הכל",A156='לוח בקרה'!$C$4),OR('לוח בקרה'!$C$5="הכל",T156='לוח בקרה'!$C$5),OR('לוח בקרה'!$C$6="הכל",H156='לוח בקרה'!$C$6,I156='לוח בקרה'!$C$6),OR('לוח בקרה'!$C$7="הכל",J156='לוח בקרה'!$C$7),OR('לוח בקרה'!$C$8="הכל",L156='לוח בקרה'!$C$8),OR('לוח בקרה'!$C$9="הכל",Q156='לוח בקרה'!$C$9),OR('לוח בקרה'!$C$10="הכל",F156='לוח בקרה'!$C$10,G156='לוח בקרה'!$C$10),D156&lt;&gt;""),ROW()-2,"")</f>
        <v/>
      </c>
      <c r="AE156">
        <f>IF(AND(OR('טכנו'!$C$3="הכל",Z156='טכנו'!$C$3,AA156='טכנו'!$C$3,AB156='טכנו'!$C$3,AC156='טכנו'!$C$3),OR('טכנו'!$C$4="הכל",A156='טכנו'!$C$4),D156&lt;&gt;""),ROW()-2,"")</f>
        <v/>
      </c>
    </row>
    <row r="157">
      <c r="E157">
        <f>IFERROR(INDEX('הגדרות'!$I:$I,MATCH(B157,'הגדרות'!$H:$H,0)),"")</f>
        <v/>
      </c>
      <c r="Z157">
        <f>IFERROR(VLOOKUP(H157,'הגדרות'!$A:$D,2,FALSE),"")</f>
        <v/>
      </c>
      <c r="AA157">
        <f>IFERROR(VLOOKUP(H157,'הגדרות'!$A:$D,3,FALSE),"")</f>
        <v/>
      </c>
      <c r="AB157">
        <f>IFERROR(VLOOKUP(I157,'הגדרות'!$A:$D,2,FALSE),"")</f>
        <v/>
      </c>
      <c r="AC157">
        <f>IFERROR(VLOOKUP(I157,'הגדרות'!$A:$D,3,FALSE),"")</f>
        <v/>
      </c>
      <c r="AD157">
        <f>IF(AND(OR('לוח בקרה'!$C$3="הכל",Z157='לוח בקרה'!$C$3,AA157='לוח בקרה'!$C$3,AB157='לוח בקרה'!$C$3,AC157='לוח בקרה'!$C$3),OR('לוח בקרה'!$C$4="הכל",A157='לוח בקרה'!$C$4),OR('לוח בקרה'!$C$5="הכל",T157='לוח בקרה'!$C$5),OR('לוח בקרה'!$C$6="הכל",H157='לוח בקרה'!$C$6,I157='לוח בקרה'!$C$6),OR('לוח בקרה'!$C$7="הכל",J157='לוח בקרה'!$C$7),OR('לוח בקרה'!$C$8="הכל",L157='לוח בקרה'!$C$8),OR('לוח בקרה'!$C$9="הכל",Q157='לוח בקרה'!$C$9),OR('לוח בקרה'!$C$10="הכל",F157='לוח בקרה'!$C$10,G157='לוח בקרה'!$C$10),D157&lt;&gt;""),ROW()-2,"")</f>
        <v/>
      </c>
      <c r="AE157">
        <f>IF(AND(OR('טכנו'!$C$3="הכל",Z157='טכנו'!$C$3,AA157='טכנו'!$C$3,AB157='טכנו'!$C$3,AC157='טכנו'!$C$3),OR('טכנו'!$C$4="הכל",A157='טכנו'!$C$4),D157&lt;&gt;""),ROW()-2,"")</f>
        <v/>
      </c>
    </row>
    <row r="158">
      <c r="E158">
        <f>IFERROR(INDEX('הגדרות'!$I:$I,MATCH(B158,'הגדרות'!$H:$H,0)),"")</f>
        <v/>
      </c>
      <c r="Z158">
        <f>IFERROR(VLOOKUP(H158,'הגדרות'!$A:$D,2,FALSE),"")</f>
        <v/>
      </c>
      <c r="AA158">
        <f>IFERROR(VLOOKUP(H158,'הגדרות'!$A:$D,3,FALSE),"")</f>
        <v/>
      </c>
      <c r="AB158">
        <f>IFERROR(VLOOKUP(I158,'הגדרות'!$A:$D,2,FALSE),"")</f>
        <v/>
      </c>
      <c r="AC158">
        <f>IFERROR(VLOOKUP(I158,'הגדרות'!$A:$D,3,FALSE),"")</f>
        <v/>
      </c>
      <c r="AD158">
        <f>IF(AND(OR('לוח בקרה'!$C$3="הכל",Z158='לוח בקרה'!$C$3,AA158='לוח בקרה'!$C$3,AB158='לוח בקרה'!$C$3,AC158='לוח בקרה'!$C$3),OR('לוח בקרה'!$C$4="הכל",A158='לוח בקרה'!$C$4),OR('לוח בקרה'!$C$5="הכל",T158='לוח בקרה'!$C$5),OR('לוח בקרה'!$C$6="הכל",H158='לוח בקרה'!$C$6,I158='לוח בקרה'!$C$6),OR('לוח בקרה'!$C$7="הכל",J158='לוח בקרה'!$C$7),OR('לוח בקרה'!$C$8="הכל",L158='לוח בקרה'!$C$8),OR('לוח בקרה'!$C$9="הכל",Q158='לוח בקרה'!$C$9),OR('לוח בקרה'!$C$10="הכל",F158='לוח בקרה'!$C$10,G158='לוח בקרה'!$C$10),D158&lt;&gt;""),ROW()-2,"")</f>
        <v/>
      </c>
      <c r="AE158">
        <f>IF(AND(OR('טכנו'!$C$3="הכל",Z158='טכנו'!$C$3,AA158='טכנו'!$C$3,AB158='טכנו'!$C$3,AC158='טכנו'!$C$3),OR('טכנו'!$C$4="הכל",A158='טכנו'!$C$4),D158&lt;&gt;""),ROW()-2,"")</f>
        <v/>
      </c>
    </row>
    <row r="159">
      <c r="E159">
        <f>IFERROR(INDEX('הגדרות'!$I:$I,MATCH(B159,'הגדרות'!$H:$H,0)),"")</f>
        <v/>
      </c>
      <c r="Z159">
        <f>IFERROR(VLOOKUP(H159,'הגדרות'!$A:$D,2,FALSE),"")</f>
        <v/>
      </c>
      <c r="AA159">
        <f>IFERROR(VLOOKUP(H159,'הגדרות'!$A:$D,3,FALSE),"")</f>
        <v/>
      </c>
      <c r="AB159">
        <f>IFERROR(VLOOKUP(I159,'הגדרות'!$A:$D,2,FALSE),"")</f>
        <v/>
      </c>
      <c r="AC159">
        <f>IFERROR(VLOOKUP(I159,'הגדרות'!$A:$D,3,FALSE),"")</f>
        <v/>
      </c>
      <c r="AD159">
        <f>IF(AND(OR('לוח בקרה'!$C$3="הכל",Z159='לוח בקרה'!$C$3,AA159='לוח בקרה'!$C$3,AB159='לוח בקרה'!$C$3,AC159='לוח בקרה'!$C$3),OR('לוח בקרה'!$C$4="הכל",A159='לוח בקרה'!$C$4),OR('לוח בקרה'!$C$5="הכל",T159='לוח בקרה'!$C$5),OR('לוח בקרה'!$C$6="הכל",H159='לוח בקרה'!$C$6,I159='לוח בקרה'!$C$6),OR('לוח בקרה'!$C$7="הכל",J159='לוח בקרה'!$C$7),OR('לוח בקרה'!$C$8="הכל",L159='לוח בקרה'!$C$8),OR('לוח בקרה'!$C$9="הכל",Q159='לוח בקרה'!$C$9),OR('לוח בקרה'!$C$10="הכל",F159='לוח בקרה'!$C$10,G159='לוח בקרה'!$C$10),D159&lt;&gt;""),ROW()-2,"")</f>
        <v/>
      </c>
      <c r="AE159">
        <f>IF(AND(OR('טכנו'!$C$3="הכל",Z159='טכנו'!$C$3,AA159='טכנו'!$C$3,AB159='טכנו'!$C$3,AC159='טכנו'!$C$3),OR('טכנו'!$C$4="הכל",A159='טכנו'!$C$4),D159&lt;&gt;""),ROW()-2,"")</f>
        <v/>
      </c>
    </row>
    <row r="160">
      <c r="E160">
        <f>IFERROR(INDEX('הגדרות'!$I:$I,MATCH(B160,'הגדרות'!$H:$H,0)),"")</f>
        <v/>
      </c>
      <c r="Z160">
        <f>IFERROR(VLOOKUP(H160,'הגדרות'!$A:$D,2,FALSE),"")</f>
        <v/>
      </c>
      <c r="AA160">
        <f>IFERROR(VLOOKUP(H160,'הגדרות'!$A:$D,3,FALSE),"")</f>
        <v/>
      </c>
      <c r="AB160">
        <f>IFERROR(VLOOKUP(I160,'הגדרות'!$A:$D,2,FALSE),"")</f>
        <v/>
      </c>
      <c r="AC160">
        <f>IFERROR(VLOOKUP(I160,'הגדרות'!$A:$D,3,FALSE),"")</f>
        <v/>
      </c>
      <c r="AD160">
        <f>IF(AND(OR('לוח בקרה'!$C$3="הכל",Z160='לוח בקרה'!$C$3,AA160='לוח בקרה'!$C$3,AB160='לוח בקרה'!$C$3,AC160='לוח בקרה'!$C$3),OR('לוח בקרה'!$C$4="הכל",A160='לוח בקרה'!$C$4),OR('לוח בקרה'!$C$5="הכל",T160='לוח בקרה'!$C$5),OR('לוח בקרה'!$C$6="הכל",H160='לוח בקרה'!$C$6,I160='לוח בקרה'!$C$6),OR('לוח בקרה'!$C$7="הכל",J160='לוח בקרה'!$C$7),OR('לוח בקרה'!$C$8="הכל",L160='לוח בקרה'!$C$8),OR('לוח בקרה'!$C$9="הכל",Q160='לוח בקרה'!$C$9),OR('לוח בקרה'!$C$10="הכל",F160='לוח בקרה'!$C$10,G160='לוח בקרה'!$C$10),D160&lt;&gt;""),ROW()-2,"")</f>
        <v/>
      </c>
      <c r="AE160">
        <f>IF(AND(OR('טכנו'!$C$3="הכל",Z160='טכנו'!$C$3,AA160='טכנו'!$C$3,AB160='טכנו'!$C$3,AC160='טכנו'!$C$3),OR('טכנו'!$C$4="הכל",A160='טכנו'!$C$4),D160&lt;&gt;""),ROW()-2,"")</f>
        <v/>
      </c>
    </row>
    <row r="161">
      <c r="E161">
        <f>IFERROR(INDEX('הגדרות'!$I:$I,MATCH(B161,'הגדרות'!$H:$H,0)),"")</f>
        <v/>
      </c>
      <c r="Z161">
        <f>IFERROR(VLOOKUP(H161,'הגדרות'!$A:$D,2,FALSE),"")</f>
        <v/>
      </c>
      <c r="AA161">
        <f>IFERROR(VLOOKUP(H161,'הגדרות'!$A:$D,3,FALSE),"")</f>
        <v/>
      </c>
      <c r="AB161">
        <f>IFERROR(VLOOKUP(I161,'הגדרות'!$A:$D,2,FALSE),"")</f>
        <v/>
      </c>
      <c r="AC161">
        <f>IFERROR(VLOOKUP(I161,'הגדרות'!$A:$D,3,FALSE),"")</f>
        <v/>
      </c>
      <c r="AD161">
        <f>IF(AND(OR('לוח בקרה'!$C$3="הכל",Z161='לוח בקרה'!$C$3,AA161='לוח בקרה'!$C$3,AB161='לוח בקרה'!$C$3,AC161='לוח בקרה'!$C$3),OR('לוח בקרה'!$C$4="הכל",A161='לוח בקרה'!$C$4),OR('לוח בקרה'!$C$5="הכל",T161='לוח בקרה'!$C$5),OR('לוח בקרה'!$C$6="הכל",H161='לוח בקרה'!$C$6,I161='לוח בקרה'!$C$6),OR('לוח בקרה'!$C$7="הכל",J161='לוח בקרה'!$C$7),OR('לוח בקרה'!$C$8="הכל",L161='לוח בקרה'!$C$8),OR('לוח בקרה'!$C$9="הכל",Q161='לוח בקרה'!$C$9),OR('לוח בקרה'!$C$10="הכל",F161='לוח בקרה'!$C$10,G161='לוח בקרה'!$C$10),D161&lt;&gt;""),ROW()-2,"")</f>
        <v/>
      </c>
      <c r="AE161">
        <f>IF(AND(OR('טכנו'!$C$3="הכל",Z161='טכנו'!$C$3,AA161='טכנו'!$C$3,AB161='טכנו'!$C$3,AC161='טכנו'!$C$3),OR('טכנו'!$C$4="הכל",A161='טכנו'!$C$4),D161&lt;&gt;""),ROW()-2,"")</f>
        <v/>
      </c>
    </row>
    <row r="162">
      <c r="E162">
        <f>IFERROR(INDEX('הגדרות'!$I:$I,MATCH(B162,'הגדרות'!$H:$H,0)),"")</f>
        <v/>
      </c>
      <c r="Z162">
        <f>IFERROR(VLOOKUP(H162,'הגדרות'!$A:$D,2,FALSE),"")</f>
        <v/>
      </c>
      <c r="AA162">
        <f>IFERROR(VLOOKUP(H162,'הגדרות'!$A:$D,3,FALSE),"")</f>
        <v/>
      </c>
      <c r="AB162">
        <f>IFERROR(VLOOKUP(I162,'הגדרות'!$A:$D,2,FALSE),"")</f>
        <v/>
      </c>
      <c r="AC162">
        <f>IFERROR(VLOOKUP(I162,'הגדרות'!$A:$D,3,FALSE),"")</f>
        <v/>
      </c>
      <c r="AD162">
        <f>IF(AND(OR('לוח בקרה'!$C$3="הכל",Z162='לוח בקרה'!$C$3,AA162='לוח בקרה'!$C$3,AB162='לוח בקרה'!$C$3,AC162='לוח בקרה'!$C$3),OR('לוח בקרה'!$C$4="הכל",A162='לוח בקרה'!$C$4),OR('לוח בקרה'!$C$5="הכל",T162='לוח בקרה'!$C$5),OR('לוח בקרה'!$C$6="הכל",H162='לוח בקרה'!$C$6,I162='לוח בקרה'!$C$6),OR('לוח בקרה'!$C$7="הכל",J162='לוח בקרה'!$C$7),OR('לוח בקרה'!$C$8="הכל",L162='לוח בקרה'!$C$8),OR('לוח בקרה'!$C$9="הכל",Q162='לוח בקרה'!$C$9),OR('לוח בקרה'!$C$10="הכל",F162='לוח בקרה'!$C$10,G162='לוח בקרה'!$C$10),D162&lt;&gt;""),ROW()-2,"")</f>
        <v/>
      </c>
      <c r="AE162">
        <f>IF(AND(OR('טכנו'!$C$3="הכל",Z162='טכנו'!$C$3,AA162='טכנו'!$C$3,AB162='טכנו'!$C$3,AC162='טכנו'!$C$3),OR('טכנו'!$C$4="הכל",A162='טכנו'!$C$4),D162&lt;&gt;""),ROW()-2,"")</f>
        <v/>
      </c>
    </row>
    <row r="163">
      <c r="E163">
        <f>IFERROR(INDEX('הגדרות'!$I:$I,MATCH(B163,'הגדרות'!$H:$H,0)),"")</f>
        <v/>
      </c>
      <c r="Z163">
        <f>IFERROR(VLOOKUP(H163,'הגדרות'!$A:$D,2,FALSE),"")</f>
        <v/>
      </c>
      <c r="AA163">
        <f>IFERROR(VLOOKUP(H163,'הגדרות'!$A:$D,3,FALSE),"")</f>
        <v/>
      </c>
      <c r="AB163">
        <f>IFERROR(VLOOKUP(I163,'הגדרות'!$A:$D,2,FALSE),"")</f>
        <v/>
      </c>
      <c r="AC163">
        <f>IFERROR(VLOOKUP(I163,'הגדרות'!$A:$D,3,FALSE),"")</f>
        <v/>
      </c>
      <c r="AD163">
        <f>IF(AND(OR('לוח בקרה'!$C$3="הכל",Z163='לוח בקרה'!$C$3,AA163='לוח בקרה'!$C$3,AB163='לוח בקרה'!$C$3,AC163='לוח בקרה'!$C$3),OR('לוח בקרה'!$C$4="הכל",A163='לוח בקרה'!$C$4),OR('לוח בקרה'!$C$5="הכל",T163='לוח בקרה'!$C$5),OR('לוח בקרה'!$C$6="הכל",H163='לוח בקרה'!$C$6,I163='לוח בקרה'!$C$6),OR('לוח בקרה'!$C$7="הכל",J163='לוח בקרה'!$C$7),OR('לוח בקרה'!$C$8="הכל",L163='לוח בקרה'!$C$8),OR('לוח בקרה'!$C$9="הכל",Q163='לוח בקרה'!$C$9),OR('לוח בקרה'!$C$10="הכל",F163='לוח בקרה'!$C$10,G163='לוח בקרה'!$C$10),D163&lt;&gt;""),ROW()-2,"")</f>
        <v/>
      </c>
      <c r="AE163">
        <f>IF(AND(OR('טכנו'!$C$3="הכל",Z163='טכנו'!$C$3,AA163='טכנו'!$C$3,AB163='טכנו'!$C$3,AC163='טכנו'!$C$3),OR('טכנו'!$C$4="הכל",A163='טכנו'!$C$4),D163&lt;&gt;""),ROW()-2,"")</f>
        <v/>
      </c>
    </row>
    <row r="164">
      <c r="E164">
        <f>IFERROR(INDEX('הגדרות'!$I:$I,MATCH(B164,'הגדרות'!$H:$H,0)),"")</f>
        <v/>
      </c>
      <c r="Z164">
        <f>IFERROR(VLOOKUP(H164,'הגדרות'!$A:$D,2,FALSE),"")</f>
        <v/>
      </c>
      <c r="AA164">
        <f>IFERROR(VLOOKUP(H164,'הגדרות'!$A:$D,3,FALSE),"")</f>
        <v/>
      </c>
      <c r="AB164">
        <f>IFERROR(VLOOKUP(I164,'הגדרות'!$A:$D,2,FALSE),"")</f>
        <v/>
      </c>
      <c r="AC164">
        <f>IFERROR(VLOOKUP(I164,'הגדרות'!$A:$D,3,FALSE),"")</f>
        <v/>
      </c>
      <c r="AD164">
        <f>IF(AND(OR('לוח בקרה'!$C$3="הכל",Z164='לוח בקרה'!$C$3,AA164='לוח בקרה'!$C$3,AB164='לוח בקרה'!$C$3,AC164='לוח בקרה'!$C$3),OR('לוח בקרה'!$C$4="הכל",A164='לוח בקרה'!$C$4),OR('לוח בקרה'!$C$5="הכל",T164='לוח בקרה'!$C$5),OR('לוח בקרה'!$C$6="הכל",H164='לוח בקרה'!$C$6,I164='לוח בקרה'!$C$6),OR('לוח בקרה'!$C$7="הכל",J164='לוח בקרה'!$C$7),OR('לוח בקרה'!$C$8="הכל",L164='לוח בקרה'!$C$8),OR('לוח בקרה'!$C$9="הכל",Q164='לוח בקרה'!$C$9),OR('לוח בקרה'!$C$10="הכל",F164='לוח בקרה'!$C$10,G164='לוח בקרה'!$C$10),D164&lt;&gt;""),ROW()-2,"")</f>
        <v/>
      </c>
      <c r="AE164">
        <f>IF(AND(OR('טכנו'!$C$3="הכל",Z164='טכנו'!$C$3,AA164='טכנו'!$C$3,AB164='טכנו'!$C$3,AC164='טכנו'!$C$3),OR('טכנו'!$C$4="הכל",A164='טכנו'!$C$4),D164&lt;&gt;""),ROW()-2,"")</f>
        <v/>
      </c>
    </row>
    <row r="165">
      <c r="E165">
        <f>IFERROR(INDEX('הגדרות'!$I:$I,MATCH(B165,'הגדרות'!$H:$H,0)),"")</f>
        <v/>
      </c>
      <c r="Z165">
        <f>IFERROR(VLOOKUP(H165,'הגדרות'!$A:$D,2,FALSE),"")</f>
        <v/>
      </c>
      <c r="AA165">
        <f>IFERROR(VLOOKUP(H165,'הגדרות'!$A:$D,3,FALSE),"")</f>
        <v/>
      </c>
      <c r="AB165">
        <f>IFERROR(VLOOKUP(I165,'הגדרות'!$A:$D,2,FALSE),"")</f>
        <v/>
      </c>
      <c r="AC165">
        <f>IFERROR(VLOOKUP(I165,'הגדרות'!$A:$D,3,FALSE),"")</f>
        <v/>
      </c>
      <c r="AD165">
        <f>IF(AND(OR('לוח בקרה'!$C$3="הכל",Z165='לוח בקרה'!$C$3,AA165='לוח בקרה'!$C$3,AB165='לוח בקרה'!$C$3,AC165='לוח בקרה'!$C$3),OR('לוח בקרה'!$C$4="הכל",A165='לוח בקרה'!$C$4),OR('לוח בקרה'!$C$5="הכל",T165='לוח בקרה'!$C$5),OR('לוח בקרה'!$C$6="הכל",H165='לוח בקרה'!$C$6,I165='לוח בקרה'!$C$6),OR('לוח בקרה'!$C$7="הכל",J165='לוח בקרה'!$C$7),OR('לוח בקרה'!$C$8="הכל",L165='לוח בקרה'!$C$8),OR('לוח בקרה'!$C$9="הכל",Q165='לוח בקרה'!$C$9),OR('לוח בקרה'!$C$10="הכל",F165='לוח בקרה'!$C$10,G165='לוח בקרה'!$C$10),D165&lt;&gt;""),ROW()-2,"")</f>
        <v/>
      </c>
      <c r="AE165">
        <f>IF(AND(OR('טכנו'!$C$3="הכל",Z165='טכנו'!$C$3,AA165='טכנו'!$C$3,AB165='טכנו'!$C$3,AC165='טכנו'!$C$3),OR('טכנו'!$C$4="הכל",A165='טכנו'!$C$4),D165&lt;&gt;""),ROW()-2,"")</f>
        <v/>
      </c>
    </row>
    <row r="166">
      <c r="E166">
        <f>IFERROR(INDEX('הגדרות'!$I:$I,MATCH(B166,'הגדרות'!$H:$H,0)),"")</f>
        <v/>
      </c>
      <c r="Z166">
        <f>IFERROR(VLOOKUP(H166,'הגדרות'!$A:$D,2,FALSE),"")</f>
        <v/>
      </c>
      <c r="AA166">
        <f>IFERROR(VLOOKUP(H166,'הגדרות'!$A:$D,3,FALSE),"")</f>
        <v/>
      </c>
      <c r="AB166">
        <f>IFERROR(VLOOKUP(I166,'הגדרות'!$A:$D,2,FALSE),"")</f>
        <v/>
      </c>
      <c r="AC166">
        <f>IFERROR(VLOOKUP(I166,'הגדרות'!$A:$D,3,FALSE),"")</f>
        <v/>
      </c>
      <c r="AD166">
        <f>IF(AND(OR('לוח בקרה'!$C$3="הכל",Z166='לוח בקרה'!$C$3,AA166='לוח בקרה'!$C$3,AB166='לוח בקרה'!$C$3,AC166='לוח בקרה'!$C$3),OR('לוח בקרה'!$C$4="הכל",A166='לוח בקרה'!$C$4),OR('לוח בקרה'!$C$5="הכל",T166='לוח בקרה'!$C$5),OR('לוח בקרה'!$C$6="הכל",H166='לוח בקרה'!$C$6,I166='לוח בקרה'!$C$6),OR('לוח בקרה'!$C$7="הכל",J166='לוח בקרה'!$C$7),OR('לוח בקרה'!$C$8="הכל",L166='לוח בקרה'!$C$8),OR('לוח בקרה'!$C$9="הכל",Q166='לוח בקרה'!$C$9),OR('לוח בקרה'!$C$10="הכל",F166='לוח בקרה'!$C$10,G166='לוח בקרה'!$C$10),D166&lt;&gt;""),ROW()-2,"")</f>
        <v/>
      </c>
      <c r="AE166">
        <f>IF(AND(OR('טכנו'!$C$3="הכל",Z166='טכנו'!$C$3,AA166='טכנו'!$C$3,AB166='טכנו'!$C$3,AC166='טכנו'!$C$3),OR('טכנו'!$C$4="הכל",A166='טכנו'!$C$4),D166&lt;&gt;""),ROW()-2,"")</f>
        <v/>
      </c>
    </row>
    <row r="167">
      <c r="E167">
        <f>IFERROR(INDEX('הגדרות'!$I:$I,MATCH(B167,'הגדרות'!$H:$H,0)),"")</f>
        <v/>
      </c>
      <c r="Z167">
        <f>IFERROR(VLOOKUP(H167,'הגדרות'!$A:$D,2,FALSE),"")</f>
        <v/>
      </c>
      <c r="AA167">
        <f>IFERROR(VLOOKUP(H167,'הגדרות'!$A:$D,3,FALSE),"")</f>
        <v/>
      </c>
      <c r="AB167">
        <f>IFERROR(VLOOKUP(I167,'הגדרות'!$A:$D,2,FALSE),"")</f>
        <v/>
      </c>
      <c r="AC167">
        <f>IFERROR(VLOOKUP(I167,'הגדרות'!$A:$D,3,FALSE),"")</f>
        <v/>
      </c>
      <c r="AD167">
        <f>IF(AND(OR('לוח בקרה'!$C$3="הכל",Z167='לוח בקרה'!$C$3,AA167='לוח בקרה'!$C$3,AB167='לוח בקרה'!$C$3,AC167='לוח בקרה'!$C$3),OR('לוח בקרה'!$C$4="הכל",A167='לוח בקרה'!$C$4),OR('לוח בקרה'!$C$5="הכל",T167='לוח בקרה'!$C$5),OR('לוח בקרה'!$C$6="הכל",H167='לוח בקרה'!$C$6,I167='לוח בקרה'!$C$6),OR('לוח בקרה'!$C$7="הכל",J167='לוח בקרה'!$C$7),OR('לוח בקרה'!$C$8="הכל",L167='לוח בקרה'!$C$8),OR('לוח בקרה'!$C$9="הכל",Q167='לוח בקרה'!$C$9),OR('לוח בקרה'!$C$10="הכל",F167='לוח בקרה'!$C$10,G167='לוח בקרה'!$C$10),D167&lt;&gt;""),ROW()-2,"")</f>
        <v/>
      </c>
      <c r="AE167">
        <f>IF(AND(OR('טכנו'!$C$3="הכל",Z167='טכנו'!$C$3,AA167='טכנו'!$C$3,AB167='טכנו'!$C$3,AC167='טכנו'!$C$3),OR('טכנו'!$C$4="הכל",A167='טכנו'!$C$4),D167&lt;&gt;""),ROW()-2,"")</f>
        <v/>
      </c>
    </row>
    <row r="168">
      <c r="E168">
        <f>IFERROR(INDEX('הגדרות'!$I:$I,MATCH(B168,'הגדרות'!$H:$H,0)),"")</f>
        <v/>
      </c>
      <c r="Z168">
        <f>IFERROR(VLOOKUP(H168,'הגדרות'!$A:$D,2,FALSE),"")</f>
        <v/>
      </c>
      <c r="AA168">
        <f>IFERROR(VLOOKUP(H168,'הגדרות'!$A:$D,3,FALSE),"")</f>
        <v/>
      </c>
      <c r="AB168">
        <f>IFERROR(VLOOKUP(I168,'הגדרות'!$A:$D,2,FALSE),"")</f>
        <v/>
      </c>
      <c r="AC168">
        <f>IFERROR(VLOOKUP(I168,'הגדרות'!$A:$D,3,FALSE),"")</f>
        <v/>
      </c>
      <c r="AD168">
        <f>IF(AND(OR('לוח בקרה'!$C$3="הכל",Z168='לוח בקרה'!$C$3,AA168='לוח בקרה'!$C$3,AB168='לוח בקרה'!$C$3,AC168='לוח בקרה'!$C$3),OR('לוח בקרה'!$C$4="הכל",A168='לוח בקרה'!$C$4),OR('לוח בקרה'!$C$5="הכל",T168='לוח בקרה'!$C$5),OR('לוח בקרה'!$C$6="הכל",H168='לוח בקרה'!$C$6,I168='לוח בקרה'!$C$6),OR('לוח בקרה'!$C$7="הכל",J168='לוח בקרה'!$C$7),OR('לוח בקרה'!$C$8="הכל",L168='לוח בקרה'!$C$8),OR('לוח בקרה'!$C$9="הכל",Q168='לוח בקרה'!$C$9),OR('לוח בקרה'!$C$10="הכל",F168='לוח בקרה'!$C$10,G168='לוח בקרה'!$C$10),D168&lt;&gt;""),ROW()-2,"")</f>
        <v/>
      </c>
      <c r="AE168">
        <f>IF(AND(OR('טכנו'!$C$3="הכל",Z168='טכנו'!$C$3,AA168='טכנו'!$C$3,AB168='טכנו'!$C$3,AC168='טכנו'!$C$3),OR('טכנו'!$C$4="הכל",A168='טכנו'!$C$4),D168&lt;&gt;""),ROW()-2,"")</f>
        <v/>
      </c>
    </row>
    <row r="169">
      <c r="E169">
        <f>IFERROR(INDEX('הגדרות'!$I:$I,MATCH(B169,'הגדרות'!$H:$H,0)),"")</f>
        <v/>
      </c>
      <c r="Z169">
        <f>IFERROR(VLOOKUP(H169,'הגדרות'!$A:$D,2,FALSE),"")</f>
        <v/>
      </c>
      <c r="AA169">
        <f>IFERROR(VLOOKUP(H169,'הגדרות'!$A:$D,3,FALSE),"")</f>
        <v/>
      </c>
      <c r="AB169">
        <f>IFERROR(VLOOKUP(I169,'הגדרות'!$A:$D,2,FALSE),"")</f>
        <v/>
      </c>
      <c r="AC169">
        <f>IFERROR(VLOOKUP(I169,'הגדרות'!$A:$D,3,FALSE),"")</f>
        <v/>
      </c>
      <c r="AD169">
        <f>IF(AND(OR('לוח בקרה'!$C$3="הכל",Z169='לוח בקרה'!$C$3,AA169='לוח בקרה'!$C$3,AB169='לוח בקרה'!$C$3,AC169='לוח בקרה'!$C$3),OR('לוח בקרה'!$C$4="הכל",A169='לוח בקרה'!$C$4),OR('לוח בקרה'!$C$5="הכל",T169='לוח בקרה'!$C$5),OR('לוח בקרה'!$C$6="הכל",H169='לוח בקרה'!$C$6,I169='לוח בקרה'!$C$6),OR('לוח בקרה'!$C$7="הכל",J169='לוח בקרה'!$C$7),OR('לוח בקרה'!$C$8="הכל",L169='לוח בקרה'!$C$8),OR('לוח בקרה'!$C$9="הכל",Q169='לוח בקרה'!$C$9),OR('לוח בקרה'!$C$10="הכל",F169='לוח בקרה'!$C$10,G169='לוח בקרה'!$C$10),D169&lt;&gt;""),ROW()-2,"")</f>
        <v/>
      </c>
      <c r="AE169">
        <f>IF(AND(OR('טכנו'!$C$3="הכל",Z169='טכנו'!$C$3,AA169='טכנו'!$C$3,AB169='טכנו'!$C$3,AC169='טכנו'!$C$3),OR('טכנו'!$C$4="הכל",A169='טכנו'!$C$4),D169&lt;&gt;""),ROW()-2,"")</f>
        <v/>
      </c>
    </row>
    <row r="170">
      <c r="E170">
        <f>IFERROR(INDEX('הגדרות'!$I:$I,MATCH(B170,'הגדרות'!$H:$H,0)),"")</f>
        <v/>
      </c>
      <c r="Z170">
        <f>IFERROR(VLOOKUP(H170,'הגדרות'!$A:$D,2,FALSE),"")</f>
        <v/>
      </c>
      <c r="AA170">
        <f>IFERROR(VLOOKUP(H170,'הגדרות'!$A:$D,3,FALSE),"")</f>
        <v/>
      </c>
      <c r="AB170">
        <f>IFERROR(VLOOKUP(I170,'הגדרות'!$A:$D,2,FALSE),"")</f>
        <v/>
      </c>
      <c r="AC170">
        <f>IFERROR(VLOOKUP(I170,'הגדרות'!$A:$D,3,FALSE),"")</f>
        <v/>
      </c>
      <c r="AD170">
        <f>IF(AND(OR('לוח בקרה'!$C$3="הכל",Z170='לוח בקרה'!$C$3,AA170='לוח בקרה'!$C$3,AB170='לוח בקרה'!$C$3,AC170='לוח בקרה'!$C$3),OR('לוח בקרה'!$C$4="הכל",A170='לוח בקרה'!$C$4),OR('לוח בקרה'!$C$5="הכל",T170='לוח בקרה'!$C$5),OR('לוח בקרה'!$C$6="הכל",H170='לוח בקרה'!$C$6,I170='לוח בקרה'!$C$6),OR('לוח בקרה'!$C$7="הכל",J170='לוח בקרה'!$C$7),OR('לוח בקרה'!$C$8="הכל",L170='לוח בקרה'!$C$8),OR('לוח בקרה'!$C$9="הכל",Q170='לוח בקרה'!$C$9),OR('לוח בקרה'!$C$10="הכל",F170='לוח בקרה'!$C$10,G170='לוח בקרה'!$C$10),D170&lt;&gt;""),ROW()-2,"")</f>
        <v/>
      </c>
      <c r="AE170">
        <f>IF(AND(OR('טכנו'!$C$3="הכל",Z170='טכנו'!$C$3,AA170='טכנו'!$C$3,AB170='טכנו'!$C$3,AC170='טכנו'!$C$3),OR('טכנו'!$C$4="הכל",A170='טכנו'!$C$4),D170&lt;&gt;""),ROW()-2,"")</f>
        <v/>
      </c>
    </row>
    <row r="171">
      <c r="E171">
        <f>IFERROR(INDEX('הגדרות'!$I:$I,MATCH(B171,'הגדרות'!$H:$H,0)),"")</f>
        <v/>
      </c>
      <c r="Z171">
        <f>IFERROR(VLOOKUP(H171,'הגדרות'!$A:$D,2,FALSE),"")</f>
        <v/>
      </c>
      <c r="AA171">
        <f>IFERROR(VLOOKUP(H171,'הגדרות'!$A:$D,3,FALSE),"")</f>
        <v/>
      </c>
      <c r="AB171">
        <f>IFERROR(VLOOKUP(I171,'הגדרות'!$A:$D,2,FALSE),"")</f>
        <v/>
      </c>
      <c r="AC171">
        <f>IFERROR(VLOOKUP(I171,'הגדרות'!$A:$D,3,FALSE),"")</f>
        <v/>
      </c>
      <c r="AD171">
        <f>IF(AND(OR('לוח בקרה'!$C$3="הכל",Z171='לוח בקרה'!$C$3,AA171='לוח בקרה'!$C$3,AB171='לוח בקרה'!$C$3,AC171='לוח בקרה'!$C$3),OR('לוח בקרה'!$C$4="הכל",A171='לוח בקרה'!$C$4),OR('לוח בקרה'!$C$5="הכל",T171='לוח בקרה'!$C$5),OR('לוח בקרה'!$C$6="הכל",H171='לוח בקרה'!$C$6,I171='לוח בקרה'!$C$6),OR('לוח בקרה'!$C$7="הכל",J171='לוח בקרה'!$C$7),OR('לוח בקרה'!$C$8="הכל",L171='לוח בקרה'!$C$8),OR('לוח בקרה'!$C$9="הכל",Q171='לוח בקרה'!$C$9),OR('לוח בקרה'!$C$10="הכל",F171='לוח בקרה'!$C$10,G171='לוח בקרה'!$C$10),D171&lt;&gt;""),ROW()-2,"")</f>
        <v/>
      </c>
      <c r="AE171">
        <f>IF(AND(OR('טכנו'!$C$3="הכל",Z171='טכנו'!$C$3,AA171='טכנו'!$C$3,AB171='טכנו'!$C$3,AC171='טכנו'!$C$3),OR('טכנו'!$C$4="הכל",A171='טכנו'!$C$4),D171&lt;&gt;""),ROW()-2,"")</f>
        <v/>
      </c>
    </row>
    <row r="172">
      <c r="E172">
        <f>IFERROR(INDEX('הגדרות'!$I:$I,MATCH(B172,'הגדרות'!$H:$H,0)),"")</f>
        <v/>
      </c>
      <c r="Z172">
        <f>IFERROR(VLOOKUP(H172,'הגדרות'!$A:$D,2,FALSE),"")</f>
        <v/>
      </c>
      <c r="AA172">
        <f>IFERROR(VLOOKUP(H172,'הגדרות'!$A:$D,3,FALSE),"")</f>
        <v/>
      </c>
      <c r="AB172">
        <f>IFERROR(VLOOKUP(I172,'הגדרות'!$A:$D,2,FALSE),"")</f>
        <v/>
      </c>
      <c r="AC172">
        <f>IFERROR(VLOOKUP(I172,'הגדרות'!$A:$D,3,FALSE),"")</f>
        <v/>
      </c>
      <c r="AD172">
        <f>IF(AND(OR('לוח בקרה'!$C$3="הכל",Z172='לוח בקרה'!$C$3,AA172='לוח בקרה'!$C$3,AB172='לוח בקרה'!$C$3,AC172='לוח בקרה'!$C$3),OR('לוח בקרה'!$C$4="הכל",A172='לוח בקרה'!$C$4),OR('לוח בקרה'!$C$5="הכל",T172='לוח בקרה'!$C$5),OR('לוח בקרה'!$C$6="הכל",H172='לוח בקרה'!$C$6,I172='לוח בקרה'!$C$6),OR('לוח בקרה'!$C$7="הכל",J172='לוח בקרה'!$C$7),OR('לוח בקרה'!$C$8="הכל",L172='לוח בקרה'!$C$8),OR('לוח בקרה'!$C$9="הכל",Q172='לוח בקרה'!$C$9),OR('לוח בקרה'!$C$10="הכל",F172='לוח בקרה'!$C$10,G172='לוח בקרה'!$C$10),D172&lt;&gt;""),ROW()-2,"")</f>
        <v/>
      </c>
      <c r="AE172">
        <f>IF(AND(OR('טכנו'!$C$3="הכל",Z172='טכנו'!$C$3,AA172='טכנו'!$C$3,AB172='טכנו'!$C$3,AC172='טכנו'!$C$3),OR('טכנו'!$C$4="הכל",A172='טכנו'!$C$4),D172&lt;&gt;""),ROW()-2,"")</f>
        <v/>
      </c>
    </row>
    <row r="173">
      <c r="E173">
        <f>IFERROR(INDEX('הגדרות'!$I:$I,MATCH(B173,'הגדרות'!$H:$H,0)),"")</f>
        <v/>
      </c>
      <c r="Z173">
        <f>IFERROR(VLOOKUP(H173,'הגדרות'!$A:$D,2,FALSE),"")</f>
        <v/>
      </c>
      <c r="AA173">
        <f>IFERROR(VLOOKUP(H173,'הגדרות'!$A:$D,3,FALSE),"")</f>
        <v/>
      </c>
      <c r="AB173">
        <f>IFERROR(VLOOKUP(I173,'הגדרות'!$A:$D,2,FALSE),"")</f>
        <v/>
      </c>
      <c r="AC173">
        <f>IFERROR(VLOOKUP(I173,'הגדרות'!$A:$D,3,FALSE),"")</f>
        <v/>
      </c>
      <c r="AD173">
        <f>IF(AND(OR('לוח בקרה'!$C$3="הכל",Z173='לוח בקרה'!$C$3,AA173='לוח בקרה'!$C$3,AB173='לוח בקרה'!$C$3,AC173='לוח בקרה'!$C$3),OR('לוח בקרה'!$C$4="הכל",A173='לוח בקרה'!$C$4),OR('לוח בקרה'!$C$5="הכל",T173='לוח בקרה'!$C$5),OR('לוח בקרה'!$C$6="הכל",H173='לוח בקרה'!$C$6,I173='לוח בקרה'!$C$6),OR('לוח בקרה'!$C$7="הכל",J173='לוח בקרה'!$C$7),OR('לוח בקרה'!$C$8="הכל",L173='לוח בקרה'!$C$8),OR('לוח בקרה'!$C$9="הכל",Q173='לוח בקרה'!$C$9),OR('לוח בקרה'!$C$10="הכל",F173='לוח בקרה'!$C$10,G173='לוח בקרה'!$C$10),D173&lt;&gt;""),ROW()-2,"")</f>
        <v/>
      </c>
      <c r="AE173">
        <f>IF(AND(OR('טכנו'!$C$3="הכל",Z173='טכנו'!$C$3,AA173='טכנו'!$C$3,AB173='טכנו'!$C$3,AC173='טכנו'!$C$3),OR('טכנו'!$C$4="הכל",A173='טכנו'!$C$4),D173&lt;&gt;""),ROW()-2,"")</f>
        <v/>
      </c>
    </row>
    <row r="174">
      <c r="E174">
        <f>IFERROR(INDEX('הגדרות'!$I:$I,MATCH(B174,'הגדרות'!$H:$H,0)),"")</f>
        <v/>
      </c>
      <c r="Z174">
        <f>IFERROR(VLOOKUP(H174,'הגדרות'!$A:$D,2,FALSE),"")</f>
        <v/>
      </c>
      <c r="AA174">
        <f>IFERROR(VLOOKUP(H174,'הגדרות'!$A:$D,3,FALSE),"")</f>
        <v/>
      </c>
      <c r="AB174">
        <f>IFERROR(VLOOKUP(I174,'הגדרות'!$A:$D,2,FALSE),"")</f>
        <v/>
      </c>
      <c r="AC174">
        <f>IFERROR(VLOOKUP(I174,'הגדרות'!$A:$D,3,FALSE),"")</f>
        <v/>
      </c>
      <c r="AD174">
        <f>IF(AND(OR('לוח בקרה'!$C$3="הכל",Z174='לוח בקרה'!$C$3,AA174='לוח בקרה'!$C$3,AB174='לוח בקרה'!$C$3,AC174='לוח בקרה'!$C$3),OR('לוח בקרה'!$C$4="הכל",A174='לוח בקרה'!$C$4),OR('לוח בקרה'!$C$5="הכל",T174='לוח בקרה'!$C$5),OR('לוח בקרה'!$C$6="הכל",H174='לוח בקרה'!$C$6,I174='לוח בקרה'!$C$6),OR('לוח בקרה'!$C$7="הכל",J174='לוח בקרה'!$C$7),OR('לוח בקרה'!$C$8="הכל",L174='לוח בקרה'!$C$8),OR('לוח בקרה'!$C$9="הכל",Q174='לוח בקרה'!$C$9),OR('לוח בקרה'!$C$10="הכל",F174='לוח בקרה'!$C$10,G174='לוח בקרה'!$C$10),D174&lt;&gt;""),ROW()-2,"")</f>
        <v/>
      </c>
      <c r="AE174">
        <f>IF(AND(OR('טכנו'!$C$3="הכל",Z174='טכנו'!$C$3,AA174='טכנו'!$C$3,AB174='טכנו'!$C$3,AC174='טכנו'!$C$3),OR('טכנו'!$C$4="הכל",A174='טכנו'!$C$4),D174&lt;&gt;""),ROW()-2,"")</f>
        <v/>
      </c>
    </row>
    <row r="175">
      <c r="E175">
        <f>IFERROR(INDEX('הגדרות'!$I:$I,MATCH(B175,'הגדרות'!$H:$H,0)),"")</f>
        <v/>
      </c>
      <c r="Z175">
        <f>IFERROR(VLOOKUP(H175,'הגדרות'!$A:$D,2,FALSE),"")</f>
        <v/>
      </c>
      <c r="AA175">
        <f>IFERROR(VLOOKUP(H175,'הגדרות'!$A:$D,3,FALSE),"")</f>
        <v/>
      </c>
      <c r="AB175">
        <f>IFERROR(VLOOKUP(I175,'הגדרות'!$A:$D,2,FALSE),"")</f>
        <v/>
      </c>
      <c r="AC175">
        <f>IFERROR(VLOOKUP(I175,'הגדרות'!$A:$D,3,FALSE),"")</f>
        <v/>
      </c>
      <c r="AD175">
        <f>IF(AND(OR('לוח בקרה'!$C$3="הכל",Z175='לוח בקרה'!$C$3,AA175='לוח בקרה'!$C$3,AB175='לוח בקרה'!$C$3,AC175='לוח בקרה'!$C$3),OR('לוח בקרה'!$C$4="הכל",A175='לוח בקרה'!$C$4),OR('לוח בקרה'!$C$5="הכל",T175='לוח בקרה'!$C$5),OR('לוח בקרה'!$C$6="הכל",H175='לוח בקרה'!$C$6,I175='לוח בקרה'!$C$6),OR('לוח בקרה'!$C$7="הכל",J175='לוח בקרה'!$C$7),OR('לוח בקרה'!$C$8="הכל",L175='לוח בקרה'!$C$8),OR('לוח בקרה'!$C$9="הכל",Q175='לוח בקרה'!$C$9),OR('לוח בקרה'!$C$10="הכל",F175='לוח בקרה'!$C$10,G175='לוח בקרה'!$C$10),D175&lt;&gt;""),ROW()-2,"")</f>
        <v/>
      </c>
      <c r="AE175">
        <f>IF(AND(OR('טכנו'!$C$3="הכל",Z175='טכנו'!$C$3,AA175='טכנו'!$C$3,AB175='טכנו'!$C$3,AC175='טכנו'!$C$3),OR('טכנו'!$C$4="הכל",A175='טכנו'!$C$4),D175&lt;&gt;""),ROW()-2,"")</f>
        <v/>
      </c>
    </row>
    <row r="176">
      <c r="E176">
        <f>IFERROR(INDEX('הגדרות'!$I:$I,MATCH(B176,'הגדרות'!$H:$H,0)),"")</f>
        <v/>
      </c>
      <c r="Z176">
        <f>IFERROR(VLOOKUP(H176,'הגדרות'!$A:$D,2,FALSE),"")</f>
        <v/>
      </c>
      <c r="AA176">
        <f>IFERROR(VLOOKUP(H176,'הגדרות'!$A:$D,3,FALSE),"")</f>
        <v/>
      </c>
      <c r="AB176">
        <f>IFERROR(VLOOKUP(I176,'הגדרות'!$A:$D,2,FALSE),"")</f>
        <v/>
      </c>
      <c r="AC176">
        <f>IFERROR(VLOOKUP(I176,'הגדרות'!$A:$D,3,FALSE),"")</f>
        <v/>
      </c>
      <c r="AD176">
        <f>IF(AND(OR('לוח בקרה'!$C$3="הכל",Z176='לוח בקרה'!$C$3,AA176='לוח בקרה'!$C$3,AB176='לוח בקרה'!$C$3,AC176='לוח בקרה'!$C$3),OR('לוח בקרה'!$C$4="הכל",A176='לוח בקרה'!$C$4),OR('לוח בקרה'!$C$5="הכל",T176='לוח בקרה'!$C$5),OR('לוח בקרה'!$C$6="הכל",H176='לוח בקרה'!$C$6,I176='לוח בקרה'!$C$6),OR('לוח בקרה'!$C$7="הכל",J176='לוח בקרה'!$C$7),OR('לוח בקרה'!$C$8="הכל",L176='לוח בקרה'!$C$8),OR('לוח בקרה'!$C$9="הכל",Q176='לוח בקרה'!$C$9),OR('לוח בקרה'!$C$10="הכל",F176='לוח בקרה'!$C$10,G176='לוח בקרה'!$C$10),D176&lt;&gt;""),ROW()-2,"")</f>
        <v/>
      </c>
      <c r="AE176">
        <f>IF(AND(OR('טכנו'!$C$3="הכל",Z176='טכנו'!$C$3,AA176='טכנו'!$C$3,AB176='טכנו'!$C$3,AC176='טכנו'!$C$3),OR('טכנו'!$C$4="הכל",A176='טכנו'!$C$4),D176&lt;&gt;""),ROW()-2,"")</f>
        <v/>
      </c>
    </row>
    <row r="177">
      <c r="E177">
        <f>IFERROR(INDEX('הגדרות'!$I:$I,MATCH(B177,'הגדרות'!$H:$H,0)),"")</f>
        <v/>
      </c>
      <c r="Z177">
        <f>IFERROR(VLOOKUP(H177,'הגדרות'!$A:$D,2,FALSE),"")</f>
        <v/>
      </c>
      <c r="AA177">
        <f>IFERROR(VLOOKUP(H177,'הגדרות'!$A:$D,3,FALSE),"")</f>
        <v/>
      </c>
      <c r="AB177">
        <f>IFERROR(VLOOKUP(I177,'הגדרות'!$A:$D,2,FALSE),"")</f>
        <v/>
      </c>
      <c r="AC177">
        <f>IFERROR(VLOOKUP(I177,'הגדרות'!$A:$D,3,FALSE),"")</f>
        <v/>
      </c>
      <c r="AD177">
        <f>IF(AND(OR('לוח בקרה'!$C$3="הכל",Z177='לוח בקרה'!$C$3,AA177='לוח בקרה'!$C$3,AB177='לוח בקרה'!$C$3,AC177='לוח בקרה'!$C$3),OR('לוח בקרה'!$C$4="הכל",A177='לוח בקרה'!$C$4),OR('לוח בקרה'!$C$5="הכל",T177='לוח בקרה'!$C$5),OR('לוח בקרה'!$C$6="הכל",H177='לוח בקרה'!$C$6,I177='לוח בקרה'!$C$6),OR('לוח בקרה'!$C$7="הכל",J177='לוח בקרה'!$C$7),OR('לוח בקרה'!$C$8="הכל",L177='לוח בקרה'!$C$8),OR('לוח בקרה'!$C$9="הכל",Q177='לוח בקרה'!$C$9),OR('לוח בקרה'!$C$10="הכל",F177='לוח בקרה'!$C$10,G177='לוח בקרה'!$C$10),D177&lt;&gt;""),ROW()-2,"")</f>
        <v/>
      </c>
      <c r="AE177">
        <f>IF(AND(OR('טכנו'!$C$3="הכל",Z177='טכנו'!$C$3,AA177='טכנו'!$C$3,AB177='טכנו'!$C$3,AC177='טכנו'!$C$3),OR('טכנו'!$C$4="הכל",A177='טכנו'!$C$4),D177&lt;&gt;""),ROW()-2,"")</f>
        <v/>
      </c>
    </row>
    <row r="178">
      <c r="E178">
        <f>IFERROR(INDEX('הגדרות'!$I:$I,MATCH(B178,'הגדרות'!$H:$H,0)),"")</f>
        <v/>
      </c>
      <c r="Z178">
        <f>IFERROR(VLOOKUP(H178,'הגדרות'!$A:$D,2,FALSE),"")</f>
        <v/>
      </c>
      <c r="AA178">
        <f>IFERROR(VLOOKUP(H178,'הגדרות'!$A:$D,3,FALSE),"")</f>
        <v/>
      </c>
      <c r="AB178">
        <f>IFERROR(VLOOKUP(I178,'הגדרות'!$A:$D,2,FALSE),"")</f>
        <v/>
      </c>
      <c r="AC178">
        <f>IFERROR(VLOOKUP(I178,'הגדרות'!$A:$D,3,FALSE),"")</f>
        <v/>
      </c>
      <c r="AD178">
        <f>IF(AND(OR('לוח בקרה'!$C$3="הכל",Z178='לוח בקרה'!$C$3,AA178='לוח בקרה'!$C$3,AB178='לוח בקרה'!$C$3,AC178='לוח בקרה'!$C$3),OR('לוח בקרה'!$C$4="הכל",A178='לוח בקרה'!$C$4),OR('לוח בקרה'!$C$5="הכל",T178='לוח בקרה'!$C$5),OR('לוח בקרה'!$C$6="הכל",H178='לוח בקרה'!$C$6,I178='לוח בקרה'!$C$6),OR('לוח בקרה'!$C$7="הכל",J178='לוח בקרה'!$C$7),OR('לוח בקרה'!$C$8="הכל",L178='לוח בקרה'!$C$8),OR('לוח בקרה'!$C$9="הכל",Q178='לוח בקרה'!$C$9),OR('לוח בקרה'!$C$10="הכל",F178='לוח בקרה'!$C$10,G178='לוח בקרה'!$C$10),D178&lt;&gt;""),ROW()-2,"")</f>
        <v/>
      </c>
      <c r="AE178">
        <f>IF(AND(OR('טכנו'!$C$3="הכל",Z178='טכנו'!$C$3,AA178='טכנו'!$C$3,AB178='טכנו'!$C$3,AC178='טכנו'!$C$3),OR('טכנו'!$C$4="הכל",A178='טכנו'!$C$4),D178&lt;&gt;""),ROW()-2,"")</f>
        <v/>
      </c>
    </row>
    <row r="179">
      <c r="E179">
        <f>IFERROR(INDEX('הגדרות'!$I:$I,MATCH(B179,'הגדרות'!$H:$H,0)),"")</f>
        <v/>
      </c>
      <c r="Z179">
        <f>IFERROR(VLOOKUP(H179,'הגדרות'!$A:$D,2,FALSE),"")</f>
        <v/>
      </c>
      <c r="AA179">
        <f>IFERROR(VLOOKUP(H179,'הגדרות'!$A:$D,3,FALSE),"")</f>
        <v/>
      </c>
      <c r="AB179">
        <f>IFERROR(VLOOKUP(I179,'הגדרות'!$A:$D,2,FALSE),"")</f>
        <v/>
      </c>
      <c r="AC179">
        <f>IFERROR(VLOOKUP(I179,'הגדרות'!$A:$D,3,FALSE),"")</f>
        <v/>
      </c>
      <c r="AD179">
        <f>IF(AND(OR('לוח בקרה'!$C$3="הכל",Z179='לוח בקרה'!$C$3,AA179='לוח בקרה'!$C$3,AB179='לוח בקרה'!$C$3,AC179='לוח בקרה'!$C$3),OR('לוח בקרה'!$C$4="הכל",A179='לוח בקרה'!$C$4),OR('לוח בקרה'!$C$5="הכל",T179='לוח בקרה'!$C$5),OR('לוח בקרה'!$C$6="הכל",H179='לוח בקרה'!$C$6,I179='לוח בקרה'!$C$6),OR('לוח בקרה'!$C$7="הכל",J179='לוח בקרה'!$C$7),OR('לוח בקרה'!$C$8="הכל",L179='לוח בקרה'!$C$8),OR('לוח בקרה'!$C$9="הכל",Q179='לוח בקרה'!$C$9),OR('לוח בקרה'!$C$10="הכל",F179='לוח בקרה'!$C$10,G179='לוח בקרה'!$C$10),D179&lt;&gt;""),ROW()-2,"")</f>
        <v/>
      </c>
      <c r="AE179">
        <f>IF(AND(OR('טכנו'!$C$3="הכל",Z179='טכנו'!$C$3,AA179='טכנו'!$C$3,AB179='טכנו'!$C$3,AC179='טכנו'!$C$3),OR('טכנו'!$C$4="הכל",A179='טכנו'!$C$4),D179&lt;&gt;""),ROW()-2,"")</f>
        <v/>
      </c>
    </row>
    <row r="180">
      <c r="E180">
        <f>IFERROR(INDEX('הגדרות'!$I:$I,MATCH(B180,'הגדרות'!$H:$H,0)),"")</f>
        <v/>
      </c>
      <c r="Z180">
        <f>IFERROR(VLOOKUP(H180,'הגדרות'!$A:$D,2,FALSE),"")</f>
        <v/>
      </c>
      <c r="AA180">
        <f>IFERROR(VLOOKUP(H180,'הגדרות'!$A:$D,3,FALSE),"")</f>
        <v/>
      </c>
      <c r="AB180">
        <f>IFERROR(VLOOKUP(I180,'הגדרות'!$A:$D,2,FALSE),"")</f>
        <v/>
      </c>
      <c r="AC180">
        <f>IFERROR(VLOOKUP(I180,'הגדרות'!$A:$D,3,FALSE),"")</f>
        <v/>
      </c>
      <c r="AD180">
        <f>IF(AND(OR('לוח בקרה'!$C$3="הכל",Z180='לוח בקרה'!$C$3,AA180='לוח בקרה'!$C$3,AB180='לוח בקרה'!$C$3,AC180='לוח בקרה'!$C$3),OR('לוח בקרה'!$C$4="הכל",A180='לוח בקרה'!$C$4),OR('לוח בקרה'!$C$5="הכל",T180='לוח בקרה'!$C$5),OR('לוח בקרה'!$C$6="הכל",H180='לוח בקרה'!$C$6,I180='לוח בקרה'!$C$6),OR('לוח בקרה'!$C$7="הכל",J180='לוח בקרה'!$C$7),OR('לוח בקרה'!$C$8="הכל",L180='לוח בקרה'!$C$8),OR('לוח בקרה'!$C$9="הכל",Q180='לוח בקרה'!$C$9),OR('לוח בקרה'!$C$10="הכל",F180='לוח בקרה'!$C$10,G180='לוח בקרה'!$C$10),D180&lt;&gt;""),ROW()-2,"")</f>
        <v/>
      </c>
      <c r="AE180">
        <f>IF(AND(OR('טכנו'!$C$3="הכל",Z180='טכנו'!$C$3,AA180='טכנו'!$C$3,AB180='טכנו'!$C$3,AC180='טכנו'!$C$3),OR('טכנו'!$C$4="הכל",A180='טכנו'!$C$4),D180&lt;&gt;""),ROW()-2,"")</f>
        <v/>
      </c>
    </row>
    <row r="181">
      <c r="E181">
        <f>IFERROR(INDEX('הגדרות'!$I:$I,MATCH(B181,'הגדרות'!$H:$H,0)),"")</f>
        <v/>
      </c>
      <c r="Z181">
        <f>IFERROR(VLOOKUP(H181,'הגדרות'!$A:$D,2,FALSE),"")</f>
        <v/>
      </c>
      <c r="AA181">
        <f>IFERROR(VLOOKUP(H181,'הגדרות'!$A:$D,3,FALSE),"")</f>
        <v/>
      </c>
      <c r="AB181">
        <f>IFERROR(VLOOKUP(I181,'הגדרות'!$A:$D,2,FALSE),"")</f>
        <v/>
      </c>
      <c r="AC181">
        <f>IFERROR(VLOOKUP(I181,'הגדרות'!$A:$D,3,FALSE),"")</f>
        <v/>
      </c>
      <c r="AD181">
        <f>IF(AND(OR('לוח בקרה'!$C$3="הכל",Z181='לוח בקרה'!$C$3,AA181='לוח בקרה'!$C$3,AB181='לוח בקרה'!$C$3,AC181='לוח בקרה'!$C$3),OR('לוח בקרה'!$C$4="הכל",A181='לוח בקרה'!$C$4),OR('לוח בקרה'!$C$5="הכל",T181='לוח בקרה'!$C$5),OR('לוח בקרה'!$C$6="הכל",H181='לוח בקרה'!$C$6,I181='לוח בקרה'!$C$6),OR('לוח בקרה'!$C$7="הכל",J181='לוח בקרה'!$C$7),OR('לוח בקרה'!$C$8="הכל",L181='לוח בקרה'!$C$8),OR('לוח בקרה'!$C$9="הכל",Q181='לוח בקרה'!$C$9),OR('לוח בקרה'!$C$10="הכל",F181='לוח בקרה'!$C$10,G181='לוח בקרה'!$C$10),D181&lt;&gt;""),ROW()-2,"")</f>
        <v/>
      </c>
      <c r="AE181">
        <f>IF(AND(OR('טכנו'!$C$3="הכל",Z181='טכנו'!$C$3,AA181='טכנו'!$C$3,AB181='טכנו'!$C$3,AC181='טכנו'!$C$3),OR('טכנו'!$C$4="הכל",A181='טכנו'!$C$4),D181&lt;&gt;""),ROW()-2,"")</f>
        <v/>
      </c>
    </row>
    <row r="182">
      <c r="E182">
        <f>IFERROR(INDEX('הגדרות'!$I:$I,MATCH(B182,'הגדרות'!$H:$H,0)),"")</f>
        <v/>
      </c>
      <c r="Z182">
        <f>IFERROR(VLOOKUP(H182,'הגדרות'!$A:$D,2,FALSE),"")</f>
        <v/>
      </c>
      <c r="AA182">
        <f>IFERROR(VLOOKUP(H182,'הגדרות'!$A:$D,3,FALSE),"")</f>
        <v/>
      </c>
      <c r="AB182">
        <f>IFERROR(VLOOKUP(I182,'הגדרות'!$A:$D,2,FALSE),"")</f>
        <v/>
      </c>
      <c r="AC182">
        <f>IFERROR(VLOOKUP(I182,'הגדרות'!$A:$D,3,FALSE),"")</f>
        <v/>
      </c>
      <c r="AD182">
        <f>IF(AND(OR('לוח בקרה'!$C$3="הכל",Z182='לוח בקרה'!$C$3,AA182='לוח בקרה'!$C$3,AB182='לוח בקרה'!$C$3,AC182='לוח בקרה'!$C$3),OR('לוח בקרה'!$C$4="הכל",A182='לוח בקרה'!$C$4),OR('לוח בקרה'!$C$5="הכל",T182='לוח בקרה'!$C$5),OR('לוח בקרה'!$C$6="הכל",H182='לוח בקרה'!$C$6,I182='לוח בקרה'!$C$6),OR('לוח בקרה'!$C$7="הכל",J182='לוח בקרה'!$C$7),OR('לוח בקרה'!$C$8="הכל",L182='לוח בקרה'!$C$8),OR('לוח בקרה'!$C$9="הכל",Q182='לוח בקרה'!$C$9),OR('לוח בקרה'!$C$10="הכל",F182='לוח בקרה'!$C$10,G182='לוח בקרה'!$C$10),D182&lt;&gt;""),ROW()-2,"")</f>
        <v/>
      </c>
      <c r="AE182">
        <f>IF(AND(OR('טכנו'!$C$3="הכל",Z182='טכנו'!$C$3,AA182='טכנו'!$C$3,AB182='טכנו'!$C$3,AC182='טכנו'!$C$3),OR('טכנו'!$C$4="הכל",A182='טכנו'!$C$4),D182&lt;&gt;""),ROW()-2,"")</f>
        <v/>
      </c>
    </row>
    <row r="183">
      <c r="E183">
        <f>IFERROR(INDEX('הגדרות'!$I:$I,MATCH(B183,'הגדרות'!$H:$H,0)),"")</f>
        <v/>
      </c>
      <c r="Z183">
        <f>IFERROR(VLOOKUP(H183,'הגדרות'!$A:$D,2,FALSE),"")</f>
        <v/>
      </c>
      <c r="AA183">
        <f>IFERROR(VLOOKUP(H183,'הגדרות'!$A:$D,3,FALSE),"")</f>
        <v/>
      </c>
      <c r="AB183">
        <f>IFERROR(VLOOKUP(I183,'הגדרות'!$A:$D,2,FALSE),"")</f>
        <v/>
      </c>
      <c r="AC183">
        <f>IFERROR(VLOOKUP(I183,'הגדרות'!$A:$D,3,FALSE),"")</f>
        <v/>
      </c>
      <c r="AD183">
        <f>IF(AND(OR('לוח בקרה'!$C$3="הכל",Z183='לוח בקרה'!$C$3,AA183='לוח בקרה'!$C$3,AB183='לוח בקרה'!$C$3,AC183='לוח בקרה'!$C$3),OR('לוח בקרה'!$C$4="הכל",A183='לוח בקרה'!$C$4),OR('לוח בקרה'!$C$5="הכל",T183='לוח בקרה'!$C$5),OR('לוח בקרה'!$C$6="הכל",H183='לוח בקרה'!$C$6,I183='לוח בקרה'!$C$6),OR('לוח בקרה'!$C$7="הכל",J183='לוח בקרה'!$C$7),OR('לוח בקרה'!$C$8="הכל",L183='לוח בקרה'!$C$8),OR('לוח בקרה'!$C$9="הכל",Q183='לוח בקרה'!$C$9),OR('לוח בקרה'!$C$10="הכל",F183='לוח בקרה'!$C$10,G183='לוח בקרה'!$C$10),D183&lt;&gt;""),ROW()-2,"")</f>
        <v/>
      </c>
      <c r="AE183">
        <f>IF(AND(OR('טכנו'!$C$3="הכל",Z183='טכנו'!$C$3,AA183='טכנו'!$C$3,AB183='טכנו'!$C$3,AC183='טכנו'!$C$3),OR('טכנו'!$C$4="הכל",A183='טכנו'!$C$4),D183&lt;&gt;""),ROW()-2,"")</f>
        <v/>
      </c>
    </row>
    <row r="184">
      <c r="E184">
        <f>IFERROR(INDEX('הגדרות'!$I:$I,MATCH(B184,'הגדרות'!$H:$H,0)),"")</f>
        <v/>
      </c>
      <c r="Z184">
        <f>IFERROR(VLOOKUP(H184,'הגדרות'!$A:$D,2,FALSE),"")</f>
        <v/>
      </c>
      <c r="AA184">
        <f>IFERROR(VLOOKUP(H184,'הגדרות'!$A:$D,3,FALSE),"")</f>
        <v/>
      </c>
      <c r="AB184">
        <f>IFERROR(VLOOKUP(I184,'הגדרות'!$A:$D,2,FALSE),"")</f>
        <v/>
      </c>
      <c r="AC184">
        <f>IFERROR(VLOOKUP(I184,'הגדרות'!$A:$D,3,FALSE),"")</f>
        <v/>
      </c>
      <c r="AD184">
        <f>IF(AND(OR('לוח בקרה'!$C$3="הכל",Z184='לוח בקרה'!$C$3,AA184='לוח בקרה'!$C$3,AB184='לוח בקרה'!$C$3,AC184='לוח בקרה'!$C$3),OR('לוח בקרה'!$C$4="הכל",A184='לוח בקרה'!$C$4),OR('לוח בקרה'!$C$5="הכל",T184='לוח בקרה'!$C$5),OR('לוח בקרה'!$C$6="הכל",H184='לוח בקרה'!$C$6,I184='לוח בקרה'!$C$6),OR('לוח בקרה'!$C$7="הכל",J184='לוח בקרה'!$C$7),OR('לוח בקרה'!$C$8="הכל",L184='לוח בקרה'!$C$8),OR('לוח בקרה'!$C$9="הכל",Q184='לוח בקרה'!$C$9),OR('לוח בקרה'!$C$10="הכל",F184='לוח בקרה'!$C$10,G184='לוח בקרה'!$C$10),D184&lt;&gt;""),ROW()-2,"")</f>
        <v/>
      </c>
      <c r="AE184">
        <f>IF(AND(OR('טכנו'!$C$3="הכל",Z184='טכנו'!$C$3,AA184='טכנו'!$C$3,AB184='טכנו'!$C$3,AC184='טכנו'!$C$3),OR('טכנו'!$C$4="הכל",A184='טכנו'!$C$4),D184&lt;&gt;""),ROW()-2,"")</f>
        <v/>
      </c>
    </row>
    <row r="185">
      <c r="E185">
        <f>IFERROR(INDEX('הגדרות'!$I:$I,MATCH(B185,'הגדרות'!$H:$H,0)),"")</f>
        <v/>
      </c>
      <c r="Z185">
        <f>IFERROR(VLOOKUP(H185,'הגדרות'!$A:$D,2,FALSE),"")</f>
        <v/>
      </c>
      <c r="AA185">
        <f>IFERROR(VLOOKUP(H185,'הגדרות'!$A:$D,3,FALSE),"")</f>
        <v/>
      </c>
      <c r="AB185">
        <f>IFERROR(VLOOKUP(I185,'הגדרות'!$A:$D,2,FALSE),"")</f>
        <v/>
      </c>
      <c r="AC185">
        <f>IFERROR(VLOOKUP(I185,'הגדרות'!$A:$D,3,FALSE),"")</f>
        <v/>
      </c>
      <c r="AD185">
        <f>IF(AND(OR('לוח בקרה'!$C$3="הכל",Z185='לוח בקרה'!$C$3,AA185='לוח בקרה'!$C$3,AB185='לוח בקרה'!$C$3,AC185='לוח בקרה'!$C$3),OR('לוח בקרה'!$C$4="הכל",A185='לוח בקרה'!$C$4),OR('לוח בקרה'!$C$5="הכל",T185='לוח בקרה'!$C$5),OR('לוח בקרה'!$C$6="הכל",H185='לוח בקרה'!$C$6,I185='לוח בקרה'!$C$6),OR('לוח בקרה'!$C$7="הכל",J185='לוח בקרה'!$C$7),OR('לוח בקרה'!$C$8="הכל",L185='לוח בקרה'!$C$8),OR('לוח בקרה'!$C$9="הכל",Q185='לוח בקרה'!$C$9),OR('לוח בקרה'!$C$10="הכל",F185='לוח בקרה'!$C$10,G185='לוח בקרה'!$C$10),D185&lt;&gt;""),ROW()-2,"")</f>
        <v/>
      </c>
      <c r="AE185">
        <f>IF(AND(OR('טכנו'!$C$3="הכל",Z185='טכנו'!$C$3,AA185='טכנו'!$C$3,AB185='טכנו'!$C$3,AC185='טכנו'!$C$3),OR('טכנו'!$C$4="הכל",A185='טכנו'!$C$4),D185&lt;&gt;""),ROW()-2,"")</f>
        <v/>
      </c>
    </row>
    <row r="186">
      <c r="E186">
        <f>IFERROR(INDEX('הגדרות'!$I:$I,MATCH(B186,'הגדרות'!$H:$H,0)),"")</f>
        <v/>
      </c>
      <c r="Z186">
        <f>IFERROR(VLOOKUP(H186,'הגדרות'!$A:$D,2,FALSE),"")</f>
        <v/>
      </c>
      <c r="AA186">
        <f>IFERROR(VLOOKUP(H186,'הגדרות'!$A:$D,3,FALSE),"")</f>
        <v/>
      </c>
      <c r="AB186">
        <f>IFERROR(VLOOKUP(I186,'הגדרות'!$A:$D,2,FALSE),"")</f>
        <v/>
      </c>
      <c r="AC186">
        <f>IFERROR(VLOOKUP(I186,'הגדרות'!$A:$D,3,FALSE),"")</f>
        <v/>
      </c>
      <c r="AD186">
        <f>IF(AND(OR('לוח בקרה'!$C$3="הכל",Z186='לוח בקרה'!$C$3,AA186='לוח בקרה'!$C$3,AB186='לוח בקרה'!$C$3,AC186='לוח בקרה'!$C$3),OR('לוח בקרה'!$C$4="הכל",A186='לוח בקרה'!$C$4),OR('לוח בקרה'!$C$5="הכל",T186='לוח בקרה'!$C$5),OR('לוח בקרה'!$C$6="הכל",H186='לוח בקרה'!$C$6,I186='לוח בקרה'!$C$6),OR('לוח בקרה'!$C$7="הכל",J186='לוח בקרה'!$C$7),OR('לוח בקרה'!$C$8="הכל",L186='לוח בקרה'!$C$8),OR('לוח בקרה'!$C$9="הכל",Q186='לוח בקרה'!$C$9),OR('לוח בקרה'!$C$10="הכל",F186='לוח בקרה'!$C$10,G186='לוח בקרה'!$C$10),D186&lt;&gt;""),ROW()-2,"")</f>
        <v/>
      </c>
      <c r="AE186">
        <f>IF(AND(OR('טכנו'!$C$3="הכל",Z186='טכנו'!$C$3,AA186='טכנו'!$C$3,AB186='טכנו'!$C$3,AC186='טכנו'!$C$3),OR('טכנו'!$C$4="הכל",A186='טכנו'!$C$4),D186&lt;&gt;""),ROW()-2,"")</f>
        <v/>
      </c>
    </row>
    <row r="187">
      <c r="E187">
        <f>IFERROR(INDEX('הגדרות'!$I:$I,MATCH(B187,'הגדרות'!$H:$H,0)),"")</f>
        <v/>
      </c>
      <c r="Z187">
        <f>IFERROR(VLOOKUP(H187,'הגדרות'!$A:$D,2,FALSE),"")</f>
        <v/>
      </c>
      <c r="AA187">
        <f>IFERROR(VLOOKUP(H187,'הגדרות'!$A:$D,3,FALSE),"")</f>
        <v/>
      </c>
      <c r="AB187">
        <f>IFERROR(VLOOKUP(I187,'הגדרות'!$A:$D,2,FALSE),"")</f>
        <v/>
      </c>
      <c r="AC187">
        <f>IFERROR(VLOOKUP(I187,'הגדרות'!$A:$D,3,FALSE),"")</f>
        <v/>
      </c>
      <c r="AD187">
        <f>IF(AND(OR('לוח בקרה'!$C$3="הכל",Z187='לוח בקרה'!$C$3,AA187='לוח בקרה'!$C$3,AB187='לוח בקרה'!$C$3,AC187='לוח בקרה'!$C$3),OR('לוח בקרה'!$C$4="הכל",A187='לוח בקרה'!$C$4),OR('לוח בקרה'!$C$5="הכל",T187='לוח בקרה'!$C$5),OR('לוח בקרה'!$C$6="הכל",H187='לוח בקרה'!$C$6,I187='לוח בקרה'!$C$6),OR('לוח בקרה'!$C$7="הכל",J187='לוח בקרה'!$C$7),OR('לוח בקרה'!$C$8="הכל",L187='לוח בקרה'!$C$8),OR('לוח בקרה'!$C$9="הכל",Q187='לוח בקרה'!$C$9),OR('לוח בקרה'!$C$10="הכל",F187='לוח בקרה'!$C$10,G187='לוח בקרה'!$C$10),D187&lt;&gt;""),ROW()-2,"")</f>
        <v/>
      </c>
      <c r="AE187">
        <f>IF(AND(OR('טכנו'!$C$3="הכל",Z187='טכנו'!$C$3,AA187='טכנו'!$C$3,AB187='טכנו'!$C$3,AC187='טכנו'!$C$3),OR('טכנו'!$C$4="הכל",A187='טכנו'!$C$4),D187&lt;&gt;""),ROW()-2,"")</f>
        <v/>
      </c>
    </row>
    <row r="188">
      <c r="E188">
        <f>IFERROR(INDEX('הגדרות'!$I:$I,MATCH(B188,'הגדרות'!$H:$H,0)),"")</f>
        <v/>
      </c>
      <c r="Z188">
        <f>IFERROR(VLOOKUP(H188,'הגדרות'!$A:$D,2,FALSE),"")</f>
        <v/>
      </c>
      <c r="AA188">
        <f>IFERROR(VLOOKUP(H188,'הגדרות'!$A:$D,3,FALSE),"")</f>
        <v/>
      </c>
      <c r="AB188">
        <f>IFERROR(VLOOKUP(I188,'הגדרות'!$A:$D,2,FALSE),"")</f>
        <v/>
      </c>
      <c r="AC188">
        <f>IFERROR(VLOOKUP(I188,'הגדרות'!$A:$D,3,FALSE),"")</f>
        <v/>
      </c>
      <c r="AD188">
        <f>IF(AND(OR('לוח בקרה'!$C$3="הכל",Z188='לוח בקרה'!$C$3,AA188='לוח בקרה'!$C$3,AB188='לוח בקרה'!$C$3,AC188='לוח בקרה'!$C$3),OR('לוח בקרה'!$C$4="הכל",A188='לוח בקרה'!$C$4),OR('לוח בקרה'!$C$5="הכל",T188='לוח בקרה'!$C$5),OR('לוח בקרה'!$C$6="הכל",H188='לוח בקרה'!$C$6,I188='לוח בקרה'!$C$6),OR('לוח בקרה'!$C$7="הכל",J188='לוח בקרה'!$C$7),OR('לוח בקרה'!$C$8="הכל",L188='לוח בקרה'!$C$8),OR('לוח בקרה'!$C$9="הכל",Q188='לוח בקרה'!$C$9),OR('לוח בקרה'!$C$10="הכל",F188='לוח בקרה'!$C$10,G188='לוח בקרה'!$C$10),D188&lt;&gt;""),ROW()-2,"")</f>
        <v/>
      </c>
      <c r="AE188">
        <f>IF(AND(OR('טכנו'!$C$3="הכל",Z188='טכנו'!$C$3,AA188='טכנו'!$C$3,AB188='טכנו'!$C$3,AC188='טכנו'!$C$3),OR('טכנו'!$C$4="הכל",A188='טכנו'!$C$4),D188&lt;&gt;""),ROW()-2,"")</f>
        <v/>
      </c>
    </row>
    <row r="189">
      <c r="E189">
        <f>IFERROR(INDEX('הגדרות'!$I:$I,MATCH(B189,'הגדרות'!$H:$H,0)),"")</f>
        <v/>
      </c>
      <c r="Z189">
        <f>IFERROR(VLOOKUP(H189,'הגדרות'!$A:$D,2,FALSE),"")</f>
        <v/>
      </c>
      <c r="AA189">
        <f>IFERROR(VLOOKUP(H189,'הגדרות'!$A:$D,3,FALSE),"")</f>
        <v/>
      </c>
      <c r="AB189">
        <f>IFERROR(VLOOKUP(I189,'הגדרות'!$A:$D,2,FALSE),"")</f>
        <v/>
      </c>
      <c r="AC189">
        <f>IFERROR(VLOOKUP(I189,'הגדרות'!$A:$D,3,FALSE),"")</f>
        <v/>
      </c>
      <c r="AD189">
        <f>IF(AND(OR('לוח בקרה'!$C$3="הכל",Z189='לוח בקרה'!$C$3,AA189='לוח בקרה'!$C$3,AB189='לוח בקרה'!$C$3,AC189='לוח בקרה'!$C$3),OR('לוח בקרה'!$C$4="הכל",A189='לוח בקרה'!$C$4),OR('לוח בקרה'!$C$5="הכל",T189='לוח בקרה'!$C$5),OR('לוח בקרה'!$C$6="הכל",H189='לוח בקרה'!$C$6,I189='לוח בקרה'!$C$6),OR('לוח בקרה'!$C$7="הכל",J189='לוח בקרה'!$C$7),OR('לוח בקרה'!$C$8="הכל",L189='לוח בקרה'!$C$8),OR('לוח בקרה'!$C$9="הכל",Q189='לוח בקרה'!$C$9),OR('לוח בקרה'!$C$10="הכל",F189='לוח בקרה'!$C$10,G189='לוח בקרה'!$C$10),D189&lt;&gt;""),ROW()-2,"")</f>
        <v/>
      </c>
      <c r="AE189">
        <f>IF(AND(OR('טכנו'!$C$3="הכל",Z189='טכנו'!$C$3,AA189='טכנו'!$C$3,AB189='טכנו'!$C$3,AC189='טכנו'!$C$3),OR('טכנו'!$C$4="הכל",A189='טכנו'!$C$4),D189&lt;&gt;""),ROW()-2,"")</f>
        <v/>
      </c>
    </row>
    <row r="190">
      <c r="E190">
        <f>IFERROR(INDEX('הגדרות'!$I:$I,MATCH(B190,'הגדרות'!$H:$H,0)),"")</f>
        <v/>
      </c>
      <c r="Z190">
        <f>IFERROR(VLOOKUP(H190,'הגדרות'!$A:$D,2,FALSE),"")</f>
        <v/>
      </c>
      <c r="AA190">
        <f>IFERROR(VLOOKUP(H190,'הגדרות'!$A:$D,3,FALSE),"")</f>
        <v/>
      </c>
      <c r="AB190">
        <f>IFERROR(VLOOKUP(I190,'הגדרות'!$A:$D,2,FALSE),"")</f>
        <v/>
      </c>
      <c r="AC190">
        <f>IFERROR(VLOOKUP(I190,'הגדרות'!$A:$D,3,FALSE),"")</f>
        <v/>
      </c>
      <c r="AD190">
        <f>IF(AND(OR('לוח בקרה'!$C$3="הכל",Z190='לוח בקרה'!$C$3,AA190='לוח בקרה'!$C$3,AB190='לוח בקרה'!$C$3,AC190='לוח בקרה'!$C$3),OR('לוח בקרה'!$C$4="הכל",A190='לוח בקרה'!$C$4),OR('לוח בקרה'!$C$5="הכל",T190='לוח בקרה'!$C$5),OR('לוח בקרה'!$C$6="הכל",H190='לוח בקרה'!$C$6,I190='לוח בקרה'!$C$6),OR('לוח בקרה'!$C$7="הכל",J190='לוח בקרה'!$C$7),OR('לוח בקרה'!$C$8="הכל",L190='לוח בקרה'!$C$8),OR('לוח בקרה'!$C$9="הכל",Q190='לוח בקרה'!$C$9),OR('לוח בקרה'!$C$10="הכל",F190='לוח בקרה'!$C$10,G190='לוח בקרה'!$C$10),D190&lt;&gt;""),ROW()-2,"")</f>
        <v/>
      </c>
      <c r="AE190">
        <f>IF(AND(OR('טכנו'!$C$3="הכל",Z190='טכנו'!$C$3,AA190='טכנו'!$C$3,AB190='טכנו'!$C$3,AC190='טכנו'!$C$3),OR('טכנו'!$C$4="הכל",A190='טכנו'!$C$4),D190&lt;&gt;""),ROW()-2,"")</f>
        <v/>
      </c>
    </row>
    <row r="191">
      <c r="E191">
        <f>IFERROR(INDEX('הגדרות'!$I:$I,MATCH(B191,'הגדרות'!$H:$H,0)),"")</f>
        <v/>
      </c>
      <c r="Z191">
        <f>IFERROR(VLOOKUP(H191,'הגדרות'!$A:$D,2,FALSE),"")</f>
        <v/>
      </c>
      <c r="AA191">
        <f>IFERROR(VLOOKUP(H191,'הגדרות'!$A:$D,3,FALSE),"")</f>
        <v/>
      </c>
      <c r="AB191">
        <f>IFERROR(VLOOKUP(I191,'הגדרות'!$A:$D,2,FALSE),"")</f>
        <v/>
      </c>
      <c r="AC191">
        <f>IFERROR(VLOOKUP(I191,'הגדרות'!$A:$D,3,FALSE),"")</f>
        <v/>
      </c>
      <c r="AD191">
        <f>IF(AND(OR('לוח בקרה'!$C$3="הכל",Z191='לוח בקרה'!$C$3,AA191='לוח בקרה'!$C$3,AB191='לוח בקרה'!$C$3,AC191='לוח בקרה'!$C$3),OR('לוח בקרה'!$C$4="הכל",A191='לוח בקרה'!$C$4),OR('לוח בקרה'!$C$5="הכל",T191='לוח בקרה'!$C$5),OR('לוח בקרה'!$C$6="הכל",H191='לוח בקרה'!$C$6,I191='לוח בקרה'!$C$6),OR('לוח בקרה'!$C$7="הכל",J191='לוח בקרה'!$C$7),OR('לוח בקרה'!$C$8="הכל",L191='לוח בקרה'!$C$8),OR('לוח בקרה'!$C$9="הכל",Q191='לוח בקרה'!$C$9),OR('לוח בקרה'!$C$10="הכל",F191='לוח בקרה'!$C$10,G191='לוח בקרה'!$C$10),D191&lt;&gt;""),ROW()-2,"")</f>
        <v/>
      </c>
      <c r="AE191">
        <f>IF(AND(OR('טכנו'!$C$3="הכל",Z191='טכנו'!$C$3,AA191='טכנו'!$C$3,AB191='טכנו'!$C$3,AC191='טכנו'!$C$3),OR('טכנו'!$C$4="הכל",A191='טכנו'!$C$4),D191&lt;&gt;""),ROW()-2,"")</f>
        <v/>
      </c>
    </row>
    <row r="192">
      <c r="E192">
        <f>IFERROR(INDEX('הגדרות'!$I:$I,MATCH(B192,'הגדרות'!$H:$H,0)),"")</f>
        <v/>
      </c>
      <c r="Z192">
        <f>IFERROR(VLOOKUP(H192,'הגדרות'!$A:$D,2,FALSE),"")</f>
        <v/>
      </c>
      <c r="AA192">
        <f>IFERROR(VLOOKUP(H192,'הגדרות'!$A:$D,3,FALSE),"")</f>
        <v/>
      </c>
      <c r="AB192">
        <f>IFERROR(VLOOKUP(I192,'הגדרות'!$A:$D,2,FALSE),"")</f>
        <v/>
      </c>
      <c r="AC192">
        <f>IFERROR(VLOOKUP(I192,'הגדרות'!$A:$D,3,FALSE),"")</f>
        <v/>
      </c>
      <c r="AD192">
        <f>IF(AND(OR('לוח בקרה'!$C$3="הכל",Z192='לוח בקרה'!$C$3,AA192='לוח בקרה'!$C$3,AB192='לוח בקרה'!$C$3,AC192='לוח בקרה'!$C$3),OR('לוח בקרה'!$C$4="הכל",A192='לוח בקרה'!$C$4),OR('לוח בקרה'!$C$5="הכל",T192='לוח בקרה'!$C$5),OR('לוח בקרה'!$C$6="הכל",H192='לוח בקרה'!$C$6,I192='לוח בקרה'!$C$6),OR('לוח בקרה'!$C$7="הכל",J192='לוח בקרה'!$C$7),OR('לוח בקרה'!$C$8="הכל",L192='לוח בקרה'!$C$8),OR('לוח בקרה'!$C$9="הכל",Q192='לוח בקרה'!$C$9),OR('לוח בקרה'!$C$10="הכל",F192='לוח בקרה'!$C$10,G192='לוח בקרה'!$C$10),D192&lt;&gt;""),ROW()-2,"")</f>
        <v/>
      </c>
      <c r="AE192">
        <f>IF(AND(OR('טכנו'!$C$3="הכל",Z192='טכנו'!$C$3,AA192='טכנו'!$C$3,AB192='טכנו'!$C$3,AC192='טכנו'!$C$3),OR('טכנו'!$C$4="הכל",A192='טכנו'!$C$4),D192&lt;&gt;""),ROW()-2,"")</f>
        <v/>
      </c>
    </row>
    <row r="193">
      <c r="E193">
        <f>IFERROR(INDEX('הגדרות'!$I:$I,MATCH(B193,'הגדרות'!$H:$H,0)),"")</f>
        <v/>
      </c>
      <c r="Z193">
        <f>IFERROR(VLOOKUP(H193,'הגדרות'!$A:$D,2,FALSE),"")</f>
        <v/>
      </c>
      <c r="AA193">
        <f>IFERROR(VLOOKUP(H193,'הגדרות'!$A:$D,3,FALSE),"")</f>
        <v/>
      </c>
      <c r="AB193">
        <f>IFERROR(VLOOKUP(I193,'הגדרות'!$A:$D,2,FALSE),"")</f>
        <v/>
      </c>
      <c r="AC193">
        <f>IFERROR(VLOOKUP(I193,'הגדרות'!$A:$D,3,FALSE),"")</f>
        <v/>
      </c>
      <c r="AD193">
        <f>IF(AND(OR('לוח בקרה'!$C$3="הכל",Z193='לוח בקרה'!$C$3,AA193='לוח בקרה'!$C$3,AB193='לוח בקרה'!$C$3,AC193='לוח בקרה'!$C$3),OR('לוח בקרה'!$C$4="הכל",A193='לוח בקרה'!$C$4),OR('לוח בקרה'!$C$5="הכל",T193='לוח בקרה'!$C$5),OR('לוח בקרה'!$C$6="הכל",H193='לוח בקרה'!$C$6,I193='לוח בקרה'!$C$6),OR('לוח בקרה'!$C$7="הכל",J193='לוח בקרה'!$C$7),OR('לוח בקרה'!$C$8="הכל",L193='לוח בקרה'!$C$8),OR('לוח בקרה'!$C$9="הכל",Q193='לוח בקרה'!$C$9),OR('לוח בקרה'!$C$10="הכל",F193='לוח בקרה'!$C$10,G193='לוח בקרה'!$C$10),D193&lt;&gt;""),ROW()-2,"")</f>
        <v/>
      </c>
      <c r="AE193">
        <f>IF(AND(OR('טכנו'!$C$3="הכל",Z193='טכנו'!$C$3,AA193='טכנו'!$C$3,AB193='טכנו'!$C$3,AC193='טכנו'!$C$3),OR('טכנו'!$C$4="הכל",A193='טכנו'!$C$4),D193&lt;&gt;""),ROW()-2,"")</f>
        <v/>
      </c>
    </row>
    <row r="194">
      <c r="E194">
        <f>IFERROR(INDEX('הגדרות'!$I:$I,MATCH(B194,'הגדרות'!$H:$H,0)),"")</f>
        <v/>
      </c>
      <c r="Z194">
        <f>IFERROR(VLOOKUP(H194,'הגדרות'!$A:$D,2,FALSE),"")</f>
        <v/>
      </c>
      <c r="AA194">
        <f>IFERROR(VLOOKUP(H194,'הגדרות'!$A:$D,3,FALSE),"")</f>
        <v/>
      </c>
      <c r="AB194">
        <f>IFERROR(VLOOKUP(I194,'הגדרות'!$A:$D,2,FALSE),"")</f>
        <v/>
      </c>
      <c r="AC194">
        <f>IFERROR(VLOOKUP(I194,'הגדרות'!$A:$D,3,FALSE),"")</f>
        <v/>
      </c>
      <c r="AD194">
        <f>IF(AND(OR('לוח בקרה'!$C$3="הכל",Z194='לוח בקרה'!$C$3,AA194='לוח בקרה'!$C$3,AB194='לוח בקרה'!$C$3,AC194='לוח בקרה'!$C$3),OR('לוח בקרה'!$C$4="הכל",A194='לוח בקרה'!$C$4),OR('לוח בקרה'!$C$5="הכל",T194='לוח בקרה'!$C$5),OR('לוח בקרה'!$C$6="הכל",H194='לוח בקרה'!$C$6,I194='לוח בקרה'!$C$6),OR('לוח בקרה'!$C$7="הכל",J194='לוח בקרה'!$C$7),OR('לוח בקרה'!$C$8="הכל",L194='לוח בקרה'!$C$8),OR('לוח בקרה'!$C$9="הכל",Q194='לוח בקרה'!$C$9),OR('לוח בקרה'!$C$10="הכל",F194='לוח בקרה'!$C$10,G194='לוח בקרה'!$C$10),D194&lt;&gt;""),ROW()-2,"")</f>
        <v/>
      </c>
      <c r="AE194">
        <f>IF(AND(OR('טכנו'!$C$3="הכל",Z194='טכנו'!$C$3,AA194='טכנו'!$C$3,AB194='טכנו'!$C$3,AC194='טכנו'!$C$3),OR('טכנו'!$C$4="הכל",A194='טכנו'!$C$4),D194&lt;&gt;""),ROW()-2,"")</f>
        <v/>
      </c>
    </row>
    <row r="195">
      <c r="E195">
        <f>IFERROR(INDEX('הגדרות'!$I:$I,MATCH(B195,'הגדרות'!$H:$H,0)),"")</f>
        <v/>
      </c>
      <c r="Z195">
        <f>IFERROR(VLOOKUP(H195,'הגדרות'!$A:$D,2,FALSE),"")</f>
        <v/>
      </c>
      <c r="AA195">
        <f>IFERROR(VLOOKUP(H195,'הגדרות'!$A:$D,3,FALSE),"")</f>
        <v/>
      </c>
      <c r="AB195">
        <f>IFERROR(VLOOKUP(I195,'הגדרות'!$A:$D,2,FALSE),"")</f>
        <v/>
      </c>
      <c r="AC195">
        <f>IFERROR(VLOOKUP(I195,'הגדרות'!$A:$D,3,FALSE),"")</f>
        <v/>
      </c>
      <c r="AD195">
        <f>IF(AND(OR('לוח בקרה'!$C$3="הכל",Z195='לוח בקרה'!$C$3,AA195='לוח בקרה'!$C$3,AB195='לוח בקרה'!$C$3,AC195='לוח בקרה'!$C$3),OR('לוח בקרה'!$C$4="הכל",A195='לוח בקרה'!$C$4),OR('לוח בקרה'!$C$5="הכל",T195='לוח בקרה'!$C$5),OR('לוח בקרה'!$C$6="הכל",H195='לוח בקרה'!$C$6,I195='לוח בקרה'!$C$6),OR('לוח בקרה'!$C$7="הכל",J195='לוח בקרה'!$C$7),OR('לוח בקרה'!$C$8="הכל",L195='לוח בקרה'!$C$8),OR('לוח בקרה'!$C$9="הכל",Q195='לוח בקרה'!$C$9),OR('לוח בקרה'!$C$10="הכל",F195='לוח בקרה'!$C$10,G195='לוח בקרה'!$C$10),D195&lt;&gt;""),ROW()-2,"")</f>
        <v/>
      </c>
      <c r="AE195">
        <f>IF(AND(OR('טכנו'!$C$3="הכל",Z195='טכנו'!$C$3,AA195='טכנו'!$C$3,AB195='טכנו'!$C$3,AC195='טכנו'!$C$3),OR('טכנו'!$C$4="הכל",A195='טכנו'!$C$4),D195&lt;&gt;""),ROW()-2,"")</f>
        <v/>
      </c>
    </row>
    <row r="196">
      <c r="E196">
        <f>IFERROR(INDEX('הגדרות'!$I:$I,MATCH(B196,'הגדרות'!$H:$H,0)),"")</f>
        <v/>
      </c>
      <c r="Z196">
        <f>IFERROR(VLOOKUP(H196,'הגדרות'!$A:$D,2,FALSE),"")</f>
        <v/>
      </c>
      <c r="AA196">
        <f>IFERROR(VLOOKUP(H196,'הגדרות'!$A:$D,3,FALSE),"")</f>
        <v/>
      </c>
      <c r="AB196">
        <f>IFERROR(VLOOKUP(I196,'הגדרות'!$A:$D,2,FALSE),"")</f>
        <v/>
      </c>
      <c r="AC196">
        <f>IFERROR(VLOOKUP(I196,'הגדרות'!$A:$D,3,FALSE),"")</f>
        <v/>
      </c>
      <c r="AD196">
        <f>IF(AND(OR('לוח בקרה'!$C$3="הכל",Z196='לוח בקרה'!$C$3,AA196='לוח בקרה'!$C$3,AB196='לוח בקרה'!$C$3,AC196='לוח בקרה'!$C$3),OR('לוח בקרה'!$C$4="הכל",A196='לוח בקרה'!$C$4),OR('לוח בקרה'!$C$5="הכל",T196='לוח בקרה'!$C$5),OR('לוח בקרה'!$C$6="הכל",H196='לוח בקרה'!$C$6,I196='לוח בקרה'!$C$6),OR('לוח בקרה'!$C$7="הכל",J196='לוח בקרה'!$C$7),OR('לוח בקרה'!$C$8="הכל",L196='לוח בקרה'!$C$8),OR('לוח בקרה'!$C$9="הכל",Q196='לוח בקרה'!$C$9),OR('לוח בקרה'!$C$10="הכל",F196='לוח בקרה'!$C$10,G196='לוח בקרה'!$C$10),D196&lt;&gt;""),ROW()-2,"")</f>
        <v/>
      </c>
      <c r="AE196">
        <f>IF(AND(OR('טכנו'!$C$3="הכל",Z196='טכנו'!$C$3,AA196='טכנו'!$C$3,AB196='טכנו'!$C$3,AC196='טכנו'!$C$3),OR('טכנו'!$C$4="הכל",A196='טכנו'!$C$4),D196&lt;&gt;""),ROW()-2,"")</f>
        <v/>
      </c>
    </row>
    <row r="197">
      <c r="E197">
        <f>IFERROR(INDEX('הגדרות'!$I:$I,MATCH(B197,'הגדרות'!$H:$H,0)),"")</f>
        <v/>
      </c>
      <c r="Z197">
        <f>IFERROR(VLOOKUP(H197,'הגדרות'!$A:$D,2,FALSE),"")</f>
        <v/>
      </c>
      <c r="AA197">
        <f>IFERROR(VLOOKUP(H197,'הגדרות'!$A:$D,3,FALSE),"")</f>
        <v/>
      </c>
      <c r="AB197">
        <f>IFERROR(VLOOKUP(I197,'הגדרות'!$A:$D,2,FALSE),"")</f>
        <v/>
      </c>
      <c r="AC197">
        <f>IFERROR(VLOOKUP(I197,'הגדרות'!$A:$D,3,FALSE),"")</f>
        <v/>
      </c>
      <c r="AD197">
        <f>IF(AND(OR('לוח בקרה'!$C$3="הכל",Z197='לוח בקרה'!$C$3,AA197='לוח בקרה'!$C$3,AB197='לוח בקרה'!$C$3,AC197='לוח בקרה'!$C$3),OR('לוח בקרה'!$C$4="הכל",A197='לוח בקרה'!$C$4),OR('לוח בקרה'!$C$5="הכל",T197='לוח בקרה'!$C$5),OR('לוח בקרה'!$C$6="הכל",H197='לוח בקרה'!$C$6,I197='לוח בקרה'!$C$6),OR('לוח בקרה'!$C$7="הכל",J197='לוח בקרה'!$C$7),OR('לוח בקרה'!$C$8="הכל",L197='לוח בקרה'!$C$8),OR('לוח בקרה'!$C$9="הכל",Q197='לוח בקרה'!$C$9),OR('לוח בקרה'!$C$10="הכל",F197='לוח בקרה'!$C$10,G197='לוח בקרה'!$C$10),D197&lt;&gt;""),ROW()-2,"")</f>
        <v/>
      </c>
      <c r="AE197">
        <f>IF(AND(OR('טכנו'!$C$3="הכל",Z197='טכנו'!$C$3,AA197='טכנו'!$C$3,AB197='טכנו'!$C$3,AC197='טכנו'!$C$3),OR('טכנו'!$C$4="הכל",A197='טכנו'!$C$4),D197&lt;&gt;""),ROW()-2,"")</f>
        <v/>
      </c>
    </row>
    <row r="198">
      <c r="E198">
        <f>IFERROR(INDEX('הגדרות'!$I:$I,MATCH(B198,'הגדרות'!$H:$H,0)),"")</f>
        <v/>
      </c>
      <c r="Z198">
        <f>IFERROR(VLOOKUP(H198,'הגדרות'!$A:$D,2,FALSE),"")</f>
        <v/>
      </c>
      <c r="AA198">
        <f>IFERROR(VLOOKUP(H198,'הגדרות'!$A:$D,3,FALSE),"")</f>
        <v/>
      </c>
      <c r="AB198">
        <f>IFERROR(VLOOKUP(I198,'הגדרות'!$A:$D,2,FALSE),"")</f>
        <v/>
      </c>
      <c r="AC198">
        <f>IFERROR(VLOOKUP(I198,'הגדרות'!$A:$D,3,FALSE),"")</f>
        <v/>
      </c>
      <c r="AD198">
        <f>IF(AND(OR('לוח בקרה'!$C$3="הכל",Z198='לוח בקרה'!$C$3,AA198='לוח בקרה'!$C$3,AB198='לוח בקרה'!$C$3,AC198='לוח בקרה'!$C$3),OR('לוח בקרה'!$C$4="הכל",A198='לוח בקרה'!$C$4),OR('לוח בקרה'!$C$5="הכל",T198='לוח בקרה'!$C$5),OR('לוח בקרה'!$C$6="הכל",H198='לוח בקרה'!$C$6,I198='לוח בקרה'!$C$6),OR('לוח בקרה'!$C$7="הכל",J198='לוח בקרה'!$C$7),OR('לוח בקרה'!$C$8="הכל",L198='לוח בקרה'!$C$8),OR('לוח בקרה'!$C$9="הכל",Q198='לוח בקרה'!$C$9),OR('לוח בקרה'!$C$10="הכל",F198='לוח בקרה'!$C$10,G198='לוח בקרה'!$C$10),D198&lt;&gt;""),ROW()-2,"")</f>
        <v/>
      </c>
      <c r="AE198">
        <f>IF(AND(OR('טכנו'!$C$3="הכל",Z198='טכנו'!$C$3,AA198='טכנו'!$C$3,AB198='טכנו'!$C$3,AC198='טכנו'!$C$3),OR('טכנו'!$C$4="הכל",A198='טכנו'!$C$4),D198&lt;&gt;""),ROW()-2,"")</f>
        <v/>
      </c>
    </row>
    <row r="199">
      <c r="E199">
        <f>IFERROR(INDEX('הגדרות'!$I:$I,MATCH(B199,'הגדרות'!$H:$H,0)),"")</f>
        <v/>
      </c>
      <c r="Z199">
        <f>IFERROR(VLOOKUP(H199,'הגדרות'!$A:$D,2,FALSE),"")</f>
        <v/>
      </c>
      <c r="AA199">
        <f>IFERROR(VLOOKUP(H199,'הגדרות'!$A:$D,3,FALSE),"")</f>
        <v/>
      </c>
      <c r="AB199">
        <f>IFERROR(VLOOKUP(I199,'הגדרות'!$A:$D,2,FALSE),"")</f>
        <v/>
      </c>
      <c r="AC199">
        <f>IFERROR(VLOOKUP(I199,'הגדרות'!$A:$D,3,FALSE),"")</f>
        <v/>
      </c>
      <c r="AD199">
        <f>IF(AND(OR('לוח בקרה'!$C$3="הכל",Z199='לוח בקרה'!$C$3,AA199='לוח בקרה'!$C$3,AB199='לוח בקרה'!$C$3,AC199='לוח בקרה'!$C$3),OR('לוח בקרה'!$C$4="הכל",A199='לוח בקרה'!$C$4),OR('לוח בקרה'!$C$5="הכל",T199='לוח בקרה'!$C$5),OR('לוח בקרה'!$C$6="הכל",H199='לוח בקרה'!$C$6,I199='לוח בקרה'!$C$6),OR('לוח בקרה'!$C$7="הכל",J199='לוח בקרה'!$C$7),OR('לוח בקרה'!$C$8="הכל",L199='לוח בקרה'!$C$8),OR('לוח בקרה'!$C$9="הכל",Q199='לוח בקרה'!$C$9),OR('לוח בקרה'!$C$10="הכל",F199='לוח בקרה'!$C$10,G199='לוח בקרה'!$C$10),D199&lt;&gt;""),ROW()-2,"")</f>
        <v/>
      </c>
      <c r="AE199">
        <f>IF(AND(OR('טכנו'!$C$3="הכל",Z199='טכנו'!$C$3,AA199='טכנו'!$C$3,AB199='טכנו'!$C$3,AC199='טכנו'!$C$3),OR('טכנו'!$C$4="הכל",A199='טכנו'!$C$4),D199&lt;&gt;""),ROW()-2,"")</f>
        <v/>
      </c>
    </row>
    <row r="200">
      <c r="E200">
        <f>IFERROR(INDEX('הגדרות'!$I:$I,MATCH(B200,'הגדרות'!$H:$H,0)),"")</f>
        <v/>
      </c>
      <c r="Z200">
        <f>IFERROR(VLOOKUP(H200,'הגדרות'!$A:$D,2,FALSE),"")</f>
        <v/>
      </c>
      <c r="AA200">
        <f>IFERROR(VLOOKUP(H200,'הגדרות'!$A:$D,3,FALSE),"")</f>
        <v/>
      </c>
      <c r="AB200">
        <f>IFERROR(VLOOKUP(I200,'הגדרות'!$A:$D,2,FALSE),"")</f>
        <v/>
      </c>
      <c r="AC200">
        <f>IFERROR(VLOOKUP(I200,'הגדרות'!$A:$D,3,FALSE),"")</f>
        <v/>
      </c>
      <c r="AD200">
        <f>IF(AND(OR('לוח בקרה'!$C$3="הכל",Z200='לוח בקרה'!$C$3,AA200='לוח בקרה'!$C$3,AB200='לוח בקרה'!$C$3,AC200='לוח בקרה'!$C$3),OR('לוח בקרה'!$C$4="הכל",A200='לוח בקרה'!$C$4),OR('לוח בקרה'!$C$5="הכל",T200='לוח בקרה'!$C$5),OR('לוח בקרה'!$C$6="הכל",H200='לוח בקרה'!$C$6,I200='לוח בקרה'!$C$6),OR('לוח בקרה'!$C$7="הכל",J200='לוח בקרה'!$C$7),OR('לוח בקרה'!$C$8="הכל",L200='לוח בקרה'!$C$8),OR('לוח בקרה'!$C$9="הכל",Q200='לוח בקרה'!$C$9),OR('לוח בקרה'!$C$10="הכל",F200='לוח בקרה'!$C$10,G200='לוח בקרה'!$C$10),D200&lt;&gt;""),ROW()-2,"")</f>
        <v/>
      </c>
      <c r="AE200">
        <f>IF(AND(OR('טכנו'!$C$3="הכל",Z200='טכנו'!$C$3,AA200='טכנו'!$C$3,AB200='טכנו'!$C$3,AC200='טכנו'!$C$3),OR('טכנו'!$C$4="הכל",A200='טכנו'!$C$4),D200&lt;&gt;""),ROW()-2,"")</f>
        <v/>
      </c>
    </row>
    <row r="201">
      <c r="E201">
        <f>IFERROR(INDEX('הגדרות'!$I:$I,MATCH(B201,'הגדרות'!$H:$H,0)),"")</f>
        <v/>
      </c>
      <c r="Z201">
        <f>IFERROR(VLOOKUP(H201,'הגדרות'!$A:$D,2,FALSE),"")</f>
        <v/>
      </c>
      <c r="AA201">
        <f>IFERROR(VLOOKUP(H201,'הגדרות'!$A:$D,3,FALSE),"")</f>
        <v/>
      </c>
      <c r="AB201">
        <f>IFERROR(VLOOKUP(I201,'הגדרות'!$A:$D,2,FALSE),"")</f>
        <v/>
      </c>
      <c r="AC201">
        <f>IFERROR(VLOOKUP(I201,'הגדרות'!$A:$D,3,FALSE),"")</f>
        <v/>
      </c>
      <c r="AD201">
        <f>IF(AND(OR('לוח בקרה'!$C$3="הכל",Z201='לוח בקרה'!$C$3,AA201='לוח בקרה'!$C$3,AB201='לוח בקרה'!$C$3,AC201='לוח בקרה'!$C$3),OR('לוח בקרה'!$C$4="הכל",A201='לוח בקרה'!$C$4),OR('לוח בקרה'!$C$5="הכל",T201='לוח בקרה'!$C$5),OR('לוח בקרה'!$C$6="הכל",H201='לוח בקרה'!$C$6,I201='לוח בקרה'!$C$6),OR('לוח בקרה'!$C$7="הכל",J201='לוח בקרה'!$C$7),OR('לוח בקרה'!$C$8="הכל",L201='לוח בקרה'!$C$8),OR('לוח בקרה'!$C$9="הכל",Q201='לוח בקרה'!$C$9),OR('לוח בקרה'!$C$10="הכל",F201='לוח בקרה'!$C$10,G201='לוח בקרה'!$C$10),D201&lt;&gt;""),ROW()-2,"")</f>
        <v/>
      </c>
      <c r="AE201">
        <f>IF(AND(OR('טכנו'!$C$3="הכל",Z201='טכנו'!$C$3,AA201='טכנו'!$C$3,AB201='טכנו'!$C$3,AC201='טכנו'!$C$3),OR('טכנו'!$C$4="הכל",A201='טכנו'!$C$4),D201&lt;&gt;""),ROW()-2,"")</f>
        <v/>
      </c>
    </row>
    <row r="202">
      <c r="E202">
        <f>IFERROR(INDEX('הגדרות'!$I:$I,MATCH(B202,'הגדרות'!$H:$H,0)),"")</f>
        <v/>
      </c>
      <c r="Z202">
        <f>IFERROR(VLOOKUP(H202,'הגדרות'!$A:$D,2,FALSE),"")</f>
        <v/>
      </c>
      <c r="AA202">
        <f>IFERROR(VLOOKUP(H202,'הגדרות'!$A:$D,3,FALSE),"")</f>
        <v/>
      </c>
      <c r="AB202">
        <f>IFERROR(VLOOKUP(I202,'הגדרות'!$A:$D,2,FALSE),"")</f>
        <v/>
      </c>
      <c r="AC202">
        <f>IFERROR(VLOOKUP(I202,'הגדרות'!$A:$D,3,FALSE),"")</f>
        <v/>
      </c>
      <c r="AD202">
        <f>IF(AND(OR('לוח בקרה'!$C$3="הכל",Z202='לוח בקרה'!$C$3,AA202='לוח בקרה'!$C$3,AB202='לוח בקרה'!$C$3,AC202='לוח בקרה'!$C$3),OR('לוח בקרה'!$C$4="הכל",A202='לוח בקרה'!$C$4),OR('לוח בקרה'!$C$5="הכל",T202='לוח בקרה'!$C$5),OR('לוח בקרה'!$C$6="הכל",H202='לוח בקרה'!$C$6,I202='לוח בקרה'!$C$6),OR('לוח בקרה'!$C$7="הכל",J202='לוח בקרה'!$C$7),OR('לוח בקרה'!$C$8="הכל",L202='לוח בקרה'!$C$8),OR('לוח בקרה'!$C$9="הכל",Q202='לוח בקרה'!$C$9),OR('לוח בקרה'!$C$10="הכל",F202='לוח בקרה'!$C$10,G202='לוח בקרה'!$C$10),D202&lt;&gt;""),ROW()-2,"")</f>
        <v/>
      </c>
      <c r="AE202">
        <f>IF(AND(OR('טכנו'!$C$3="הכל",Z202='טכנו'!$C$3,AA202='טכנו'!$C$3,AB202='טכנו'!$C$3,AC202='טכנו'!$C$3),OR('טכנו'!$C$4="הכל",A202='טכנו'!$C$4),D202&lt;&gt;""),ROW()-2,"")</f>
        <v/>
      </c>
    </row>
    <row r="203">
      <c r="E203">
        <f>IFERROR(INDEX('הגדרות'!$I:$I,MATCH(B203,'הגדרות'!$H:$H,0)),"")</f>
        <v/>
      </c>
      <c r="Z203">
        <f>IFERROR(VLOOKUP(H203,'הגדרות'!$A:$D,2,FALSE),"")</f>
        <v/>
      </c>
      <c r="AA203">
        <f>IFERROR(VLOOKUP(H203,'הגדרות'!$A:$D,3,FALSE),"")</f>
        <v/>
      </c>
      <c r="AB203">
        <f>IFERROR(VLOOKUP(I203,'הגדרות'!$A:$D,2,FALSE),"")</f>
        <v/>
      </c>
      <c r="AC203">
        <f>IFERROR(VLOOKUP(I203,'הגדרות'!$A:$D,3,FALSE),"")</f>
        <v/>
      </c>
      <c r="AD203">
        <f>IF(AND(OR('לוח בקרה'!$C$3="הכל",Z203='לוח בקרה'!$C$3,AA203='לוח בקרה'!$C$3,AB203='לוח בקרה'!$C$3,AC203='לוח בקרה'!$C$3),OR('לוח בקרה'!$C$4="הכל",A203='לוח בקרה'!$C$4),OR('לוח בקרה'!$C$5="הכל",T203='לוח בקרה'!$C$5),OR('לוח בקרה'!$C$6="הכל",H203='לוח בקרה'!$C$6,I203='לוח בקרה'!$C$6),OR('לוח בקרה'!$C$7="הכל",J203='לוח בקרה'!$C$7),OR('לוח בקרה'!$C$8="הכל",L203='לוח בקרה'!$C$8),OR('לוח בקרה'!$C$9="הכל",Q203='לוח בקרה'!$C$9),OR('לוח בקרה'!$C$10="הכל",F203='לוח בקרה'!$C$10,G203='לוח בקרה'!$C$10),D203&lt;&gt;""),ROW()-2,"")</f>
        <v/>
      </c>
      <c r="AE203">
        <f>IF(AND(OR('טכנו'!$C$3="הכל",Z203='טכנו'!$C$3,AA203='טכנו'!$C$3,AB203='טכנו'!$C$3,AC203='טכנו'!$C$3),OR('טכנו'!$C$4="הכל",A203='טכנו'!$C$4),D203&lt;&gt;""),ROW()-2,"")</f>
        <v/>
      </c>
    </row>
    <row r="204">
      <c r="E204">
        <f>IFERROR(INDEX('הגדרות'!$I:$I,MATCH(B204,'הגדרות'!$H:$H,0)),"")</f>
        <v/>
      </c>
      <c r="Z204">
        <f>IFERROR(VLOOKUP(H204,'הגדרות'!$A:$D,2,FALSE),"")</f>
        <v/>
      </c>
      <c r="AA204">
        <f>IFERROR(VLOOKUP(H204,'הגדרות'!$A:$D,3,FALSE),"")</f>
        <v/>
      </c>
      <c r="AB204">
        <f>IFERROR(VLOOKUP(I204,'הגדרות'!$A:$D,2,FALSE),"")</f>
        <v/>
      </c>
      <c r="AC204">
        <f>IFERROR(VLOOKUP(I204,'הגדרות'!$A:$D,3,FALSE),"")</f>
        <v/>
      </c>
      <c r="AD204">
        <f>IF(AND(OR('לוח בקרה'!$C$3="הכל",Z204='לוח בקרה'!$C$3,AA204='לוח בקרה'!$C$3,AB204='לוח בקרה'!$C$3,AC204='לוח בקרה'!$C$3),OR('לוח בקרה'!$C$4="הכל",A204='לוח בקרה'!$C$4),OR('לוח בקרה'!$C$5="הכל",T204='לוח בקרה'!$C$5),OR('לוח בקרה'!$C$6="הכל",H204='לוח בקרה'!$C$6,I204='לוח בקרה'!$C$6),OR('לוח בקרה'!$C$7="הכל",J204='לוח בקרה'!$C$7),OR('לוח בקרה'!$C$8="הכל",L204='לוח בקרה'!$C$8),OR('לוח בקרה'!$C$9="הכל",Q204='לוח בקרה'!$C$9),OR('לוח בקרה'!$C$10="הכל",F204='לוח בקרה'!$C$10,G204='לוח בקרה'!$C$10),D204&lt;&gt;""),ROW()-2,"")</f>
        <v/>
      </c>
      <c r="AE204">
        <f>IF(AND(OR('טכנו'!$C$3="הכל",Z204='טכנו'!$C$3,AA204='טכנו'!$C$3,AB204='טכנו'!$C$3,AC204='טכנו'!$C$3),OR('טכנו'!$C$4="הכל",A204='טכנו'!$C$4),D204&lt;&gt;""),ROW()-2,"")</f>
        <v/>
      </c>
    </row>
    <row r="205">
      <c r="E205">
        <f>IFERROR(INDEX('הגדרות'!$I:$I,MATCH(B205,'הגדרות'!$H:$H,0)),"")</f>
        <v/>
      </c>
      <c r="Z205">
        <f>IFERROR(VLOOKUP(H205,'הגדרות'!$A:$D,2,FALSE),"")</f>
        <v/>
      </c>
      <c r="AA205">
        <f>IFERROR(VLOOKUP(H205,'הגדרות'!$A:$D,3,FALSE),"")</f>
        <v/>
      </c>
      <c r="AB205">
        <f>IFERROR(VLOOKUP(I205,'הגדרות'!$A:$D,2,FALSE),"")</f>
        <v/>
      </c>
      <c r="AC205">
        <f>IFERROR(VLOOKUP(I205,'הגדרות'!$A:$D,3,FALSE),"")</f>
        <v/>
      </c>
      <c r="AD205">
        <f>IF(AND(OR('לוח בקרה'!$C$3="הכל",Z205='לוח בקרה'!$C$3,AA205='לוח בקרה'!$C$3,AB205='לוח בקרה'!$C$3,AC205='לוח בקרה'!$C$3),OR('לוח בקרה'!$C$4="הכל",A205='לוח בקרה'!$C$4),OR('לוח בקרה'!$C$5="הכל",T205='לוח בקרה'!$C$5),OR('לוח בקרה'!$C$6="הכל",H205='לוח בקרה'!$C$6,I205='לוח בקרה'!$C$6),OR('לוח בקרה'!$C$7="הכל",J205='לוח בקרה'!$C$7),OR('לוח בקרה'!$C$8="הכל",L205='לוח בקרה'!$C$8),OR('לוח בקרה'!$C$9="הכל",Q205='לוח בקרה'!$C$9),OR('לוח בקרה'!$C$10="הכל",F205='לוח בקרה'!$C$10,G205='לוח בקרה'!$C$10),D205&lt;&gt;""),ROW()-2,"")</f>
        <v/>
      </c>
      <c r="AE205">
        <f>IF(AND(OR('טכנו'!$C$3="הכל",Z205='טכנו'!$C$3,AA205='טכנו'!$C$3,AB205='טכנו'!$C$3,AC205='טכנו'!$C$3),OR('טכנו'!$C$4="הכל",A205='טכנו'!$C$4),D205&lt;&gt;""),ROW()-2,"")</f>
        <v/>
      </c>
    </row>
    <row r="206">
      <c r="E206">
        <f>IFERROR(INDEX('הגדרות'!$I:$I,MATCH(B206,'הגדרות'!$H:$H,0)),"")</f>
        <v/>
      </c>
      <c r="Z206">
        <f>IFERROR(VLOOKUP(H206,'הגדרות'!$A:$D,2,FALSE),"")</f>
        <v/>
      </c>
      <c r="AA206">
        <f>IFERROR(VLOOKUP(H206,'הגדרות'!$A:$D,3,FALSE),"")</f>
        <v/>
      </c>
      <c r="AB206">
        <f>IFERROR(VLOOKUP(I206,'הגדרות'!$A:$D,2,FALSE),"")</f>
        <v/>
      </c>
      <c r="AC206">
        <f>IFERROR(VLOOKUP(I206,'הגדרות'!$A:$D,3,FALSE),"")</f>
        <v/>
      </c>
      <c r="AD206">
        <f>IF(AND(OR('לוח בקרה'!$C$3="הכל",Z206='לוח בקרה'!$C$3,AA206='לוח בקרה'!$C$3,AB206='לוח בקרה'!$C$3,AC206='לוח בקרה'!$C$3),OR('לוח בקרה'!$C$4="הכל",A206='לוח בקרה'!$C$4),OR('לוח בקרה'!$C$5="הכל",T206='לוח בקרה'!$C$5),OR('לוח בקרה'!$C$6="הכל",H206='לוח בקרה'!$C$6,I206='לוח בקרה'!$C$6),OR('לוח בקרה'!$C$7="הכל",J206='לוח בקרה'!$C$7),OR('לוח בקרה'!$C$8="הכל",L206='לוח בקרה'!$C$8),OR('לוח בקרה'!$C$9="הכל",Q206='לוח בקרה'!$C$9),OR('לוח בקרה'!$C$10="הכל",F206='לוח בקרה'!$C$10,G206='לוח בקרה'!$C$10),D206&lt;&gt;""),ROW()-2,"")</f>
        <v/>
      </c>
      <c r="AE206">
        <f>IF(AND(OR('טכנו'!$C$3="הכל",Z206='טכנו'!$C$3,AA206='טכנו'!$C$3,AB206='טכנו'!$C$3,AC206='טכנו'!$C$3),OR('טכנו'!$C$4="הכל",A206='טכנו'!$C$4),D206&lt;&gt;""),ROW()-2,"")</f>
        <v/>
      </c>
    </row>
    <row r="207">
      <c r="E207">
        <f>IFERROR(INDEX('הגדרות'!$I:$I,MATCH(B207,'הגדרות'!$H:$H,0)),"")</f>
        <v/>
      </c>
      <c r="Z207">
        <f>IFERROR(VLOOKUP(H207,'הגדרות'!$A:$D,2,FALSE),"")</f>
        <v/>
      </c>
      <c r="AA207">
        <f>IFERROR(VLOOKUP(H207,'הגדרות'!$A:$D,3,FALSE),"")</f>
        <v/>
      </c>
      <c r="AB207">
        <f>IFERROR(VLOOKUP(I207,'הגדרות'!$A:$D,2,FALSE),"")</f>
        <v/>
      </c>
      <c r="AC207">
        <f>IFERROR(VLOOKUP(I207,'הגדרות'!$A:$D,3,FALSE),"")</f>
        <v/>
      </c>
      <c r="AD207">
        <f>IF(AND(OR('לוח בקרה'!$C$3="הכל",Z207='לוח בקרה'!$C$3,AA207='לוח בקרה'!$C$3,AB207='לוח בקרה'!$C$3,AC207='לוח בקרה'!$C$3),OR('לוח בקרה'!$C$4="הכל",A207='לוח בקרה'!$C$4),OR('לוח בקרה'!$C$5="הכל",T207='לוח בקרה'!$C$5),OR('לוח בקרה'!$C$6="הכל",H207='לוח בקרה'!$C$6,I207='לוח בקרה'!$C$6),OR('לוח בקרה'!$C$7="הכל",J207='לוח בקרה'!$C$7),OR('לוח בקרה'!$C$8="הכל",L207='לוח בקרה'!$C$8),OR('לוח בקרה'!$C$9="הכל",Q207='לוח בקרה'!$C$9),OR('לוח בקרה'!$C$10="הכל",F207='לוח בקרה'!$C$10,G207='לוח בקרה'!$C$10),D207&lt;&gt;""),ROW()-2,"")</f>
        <v/>
      </c>
      <c r="AE207">
        <f>IF(AND(OR('טכנו'!$C$3="הכל",Z207='טכנו'!$C$3,AA207='טכנו'!$C$3,AB207='טכנו'!$C$3,AC207='טכנו'!$C$3),OR('טכנו'!$C$4="הכל",A207='טכנו'!$C$4),D207&lt;&gt;""),ROW()-2,"")</f>
        <v/>
      </c>
    </row>
    <row r="208">
      <c r="E208">
        <f>IFERROR(INDEX('הגדרות'!$I:$I,MATCH(B208,'הגדרות'!$H:$H,0)),"")</f>
        <v/>
      </c>
      <c r="Z208">
        <f>IFERROR(VLOOKUP(H208,'הגדרות'!$A:$D,2,FALSE),"")</f>
        <v/>
      </c>
      <c r="AA208">
        <f>IFERROR(VLOOKUP(H208,'הגדרות'!$A:$D,3,FALSE),"")</f>
        <v/>
      </c>
      <c r="AB208">
        <f>IFERROR(VLOOKUP(I208,'הגדרות'!$A:$D,2,FALSE),"")</f>
        <v/>
      </c>
      <c r="AC208">
        <f>IFERROR(VLOOKUP(I208,'הגדרות'!$A:$D,3,FALSE),"")</f>
        <v/>
      </c>
      <c r="AD208">
        <f>IF(AND(OR('לוח בקרה'!$C$3="הכל",Z208='לוח בקרה'!$C$3,AA208='לוח בקרה'!$C$3,AB208='לוח בקרה'!$C$3,AC208='לוח בקרה'!$C$3),OR('לוח בקרה'!$C$4="הכל",A208='לוח בקרה'!$C$4),OR('לוח בקרה'!$C$5="הכל",T208='לוח בקרה'!$C$5),OR('לוח בקרה'!$C$6="הכל",H208='לוח בקרה'!$C$6,I208='לוח בקרה'!$C$6),OR('לוח בקרה'!$C$7="הכל",J208='לוח בקרה'!$C$7),OR('לוח בקרה'!$C$8="הכל",L208='לוח בקרה'!$C$8),OR('לוח בקרה'!$C$9="הכל",Q208='לוח בקרה'!$C$9),OR('לוח בקרה'!$C$10="הכל",F208='לוח בקרה'!$C$10,G208='לוח בקרה'!$C$10),D208&lt;&gt;""),ROW()-2,"")</f>
        <v/>
      </c>
      <c r="AE208">
        <f>IF(AND(OR('טכנו'!$C$3="הכל",Z208='טכנו'!$C$3,AA208='טכנו'!$C$3,AB208='טכנו'!$C$3,AC208='טכנו'!$C$3),OR('טכנו'!$C$4="הכל",A208='טכנו'!$C$4),D208&lt;&gt;""),ROW()-2,"")</f>
        <v/>
      </c>
    </row>
    <row r="209">
      <c r="E209">
        <f>IFERROR(INDEX('הגדרות'!$I:$I,MATCH(B209,'הגדרות'!$H:$H,0)),"")</f>
        <v/>
      </c>
      <c r="Z209">
        <f>IFERROR(VLOOKUP(H209,'הגדרות'!$A:$D,2,FALSE),"")</f>
        <v/>
      </c>
      <c r="AA209">
        <f>IFERROR(VLOOKUP(H209,'הגדרות'!$A:$D,3,FALSE),"")</f>
        <v/>
      </c>
      <c r="AB209">
        <f>IFERROR(VLOOKUP(I209,'הגדרות'!$A:$D,2,FALSE),"")</f>
        <v/>
      </c>
      <c r="AC209">
        <f>IFERROR(VLOOKUP(I209,'הגדרות'!$A:$D,3,FALSE),"")</f>
        <v/>
      </c>
      <c r="AD209">
        <f>IF(AND(OR('לוח בקרה'!$C$3="הכל",Z209='לוח בקרה'!$C$3,AA209='לוח בקרה'!$C$3,AB209='לוח בקרה'!$C$3,AC209='לוח בקרה'!$C$3),OR('לוח בקרה'!$C$4="הכל",A209='לוח בקרה'!$C$4),OR('לוח בקרה'!$C$5="הכל",T209='לוח בקרה'!$C$5),OR('לוח בקרה'!$C$6="הכל",H209='לוח בקרה'!$C$6,I209='לוח בקרה'!$C$6),OR('לוח בקרה'!$C$7="הכל",J209='לוח בקרה'!$C$7),OR('לוח בקרה'!$C$8="הכל",L209='לוח בקרה'!$C$8),OR('לוח בקרה'!$C$9="הכל",Q209='לוח בקרה'!$C$9),OR('לוח בקרה'!$C$10="הכל",F209='לוח בקרה'!$C$10,G209='לוח בקרה'!$C$10),D209&lt;&gt;""),ROW()-2,"")</f>
        <v/>
      </c>
      <c r="AE209">
        <f>IF(AND(OR('טכנו'!$C$3="הכל",Z209='טכנו'!$C$3,AA209='טכנו'!$C$3,AB209='טכנו'!$C$3,AC209='טכנו'!$C$3),OR('טכנו'!$C$4="הכל",A209='טכנו'!$C$4),D209&lt;&gt;""),ROW()-2,"")</f>
        <v/>
      </c>
    </row>
    <row r="210">
      <c r="E210">
        <f>IFERROR(INDEX('הגדרות'!$I:$I,MATCH(B210,'הגדרות'!$H:$H,0)),"")</f>
        <v/>
      </c>
      <c r="Z210">
        <f>IFERROR(VLOOKUP(H210,'הגדרות'!$A:$D,2,FALSE),"")</f>
        <v/>
      </c>
      <c r="AA210">
        <f>IFERROR(VLOOKUP(H210,'הגדרות'!$A:$D,3,FALSE),"")</f>
        <v/>
      </c>
      <c r="AB210">
        <f>IFERROR(VLOOKUP(I210,'הגדרות'!$A:$D,2,FALSE),"")</f>
        <v/>
      </c>
      <c r="AC210">
        <f>IFERROR(VLOOKUP(I210,'הגדרות'!$A:$D,3,FALSE),"")</f>
        <v/>
      </c>
      <c r="AD210">
        <f>IF(AND(OR('לוח בקרה'!$C$3="הכל",Z210='לוח בקרה'!$C$3,AA210='לוח בקרה'!$C$3,AB210='לוח בקרה'!$C$3,AC210='לוח בקרה'!$C$3),OR('לוח בקרה'!$C$4="הכל",A210='לוח בקרה'!$C$4),OR('לוח בקרה'!$C$5="הכל",T210='לוח בקרה'!$C$5),OR('לוח בקרה'!$C$6="הכל",H210='לוח בקרה'!$C$6,I210='לוח בקרה'!$C$6),OR('לוח בקרה'!$C$7="הכל",J210='לוח בקרה'!$C$7),OR('לוח בקרה'!$C$8="הכל",L210='לוח בקרה'!$C$8),OR('לוח בקרה'!$C$9="הכל",Q210='לוח בקרה'!$C$9),OR('לוח בקרה'!$C$10="הכל",F210='לוח בקרה'!$C$10,G210='לוח בקרה'!$C$10),D210&lt;&gt;""),ROW()-2,"")</f>
        <v/>
      </c>
      <c r="AE210">
        <f>IF(AND(OR('טכנו'!$C$3="הכל",Z210='טכנו'!$C$3,AA210='טכנו'!$C$3,AB210='טכנו'!$C$3,AC210='טכנו'!$C$3),OR('טכנו'!$C$4="הכל",A210='טכנו'!$C$4),D210&lt;&gt;""),ROW()-2,"")</f>
        <v/>
      </c>
    </row>
    <row r="211">
      <c r="E211">
        <f>IFERROR(INDEX('הגדרות'!$I:$I,MATCH(B211,'הגדרות'!$H:$H,0)),"")</f>
        <v/>
      </c>
      <c r="Z211">
        <f>IFERROR(VLOOKUP(H211,'הגדרות'!$A:$D,2,FALSE),"")</f>
        <v/>
      </c>
      <c r="AA211">
        <f>IFERROR(VLOOKUP(H211,'הגדרות'!$A:$D,3,FALSE),"")</f>
        <v/>
      </c>
      <c r="AB211">
        <f>IFERROR(VLOOKUP(I211,'הגדרות'!$A:$D,2,FALSE),"")</f>
        <v/>
      </c>
      <c r="AC211">
        <f>IFERROR(VLOOKUP(I211,'הגדרות'!$A:$D,3,FALSE),"")</f>
        <v/>
      </c>
      <c r="AD211">
        <f>IF(AND(OR('לוח בקרה'!$C$3="הכל",Z211='לוח בקרה'!$C$3,AA211='לוח בקרה'!$C$3,AB211='לוח בקרה'!$C$3,AC211='לוח בקרה'!$C$3),OR('לוח בקרה'!$C$4="הכל",A211='לוח בקרה'!$C$4),OR('לוח בקרה'!$C$5="הכל",T211='לוח בקרה'!$C$5),OR('לוח בקרה'!$C$6="הכל",H211='לוח בקרה'!$C$6,I211='לוח בקרה'!$C$6),OR('לוח בקרה'!$C$7="הכל",J211='לוח בקרה'!$C$7),OR('לוח בקרה'!$C$8="הכל",L211='לוח בקרה'!$C$8),OR('לוח בקרה'!$C$9="הכל",Q211='לוח בקרה'!$C$9),OR('לוח בקרה'!$C$10="הכל",F211='לוח בקרה'!$C$10,G211='לוח בקרה'!$C$10),D211&lt;&gt;""),ROW()-2,"")</f>
        <v/>
      </c>
      <c r="AE211">
        <f>IF(AND(OR('טכנו'!$C$3="הכל",Z211='טכנו'!$C$3,AA211='טכנו'!$C$3,AB211='טכנו'!$C$3,AC211='טכנו'!$C$3),OR('טכנו'!$C$4="הכל",A211='טכנו'!$C$4),D211&lt;&gt;""),ROW()-2,"")</f>
        <v/>
      </c>
    </row>
    <row r="212">
      <c r="E212">
        <f>IFERROR(INDEX('הגדרות'!$I:$I,MATCH(B212,'הגדרות'!$H:$H,0)),"")</f>
        <v/>
      </c>
      <c r="Z212">
        <f>IFERROR(VLOOKUP(H212,'הגדרות'!$A:$D,2,FALSE),"")</f>
        <v/>
      </c>
      <c r="AA212">
        <f>IFERROR(VLOOKUP(H212,'הגדרות'!$A:$D,3,FALSE),"")</f>
        <v/>
      </c>
      <c r="AB212">
        <f>IFERROR(VLOOKUP(I212,'הגדרות'!$A:$D,2,FALSE),"")</f>
        <v/>
      </c>
      <c r="AC212">
        <f>IFERROR(VLOOKUP(I212,'הגדרות'!$A:$D,3,FALSE),"")</f>
        <v/>
      </c>
      <c r="AD212">
        <f>IF(AND(OR('לוח בקרה'!$C$3="הכל",Z212='לוח בקרה'!$C$3,AA212='לוח בקרה'!$C$3,AB212='לוח בקרה'!$C$3,AC212='לוח בקרה'!$C$3),OR('לוח בקרה'!$C$4="הכל",A212='לוח בקרה'!$C$4),OR('לוח בקרה'!$C$5="הכל",T212='לוח בקרה'!$C$5),OR('לוח בקרה'!$C$6="הכל",H212='לוח בקרה'!$C$6,I212='לוח בקרה'!$C$6),OR('לוח בקרה'!$C$7="הכל",J212='לוח בקרה'!$C$7),OR('לוח בקרה'!$C$8="הכל",L212='לוח בקרה'!$C$8),OR('לוח בקרה'!$C$9="הכל",Q212='לוח בקרה'!$C$9),OR('לוח בקרה'!$C$10="הכל",F212='לוח בקרה'!$C$10,G212='לוח בקרה'!$C$10),D212&lt;&gt;""),ROW()-2,"")</f>
        <v/>
      </c>
      <c r="AE212">
        <f>IF(AND(OR('טכנו'!$C$3="הכל",Z212='טכנו'!$C$3,AA212='טכנו'!$C$3,AB212='טכנו'!$C$3,AC212='טכנו'!$C$3),OR('טכנו'!$C$4="הכל",A212='טכנו'!$C$4),D212&lt;&gt;""),ROW()-2,"")</f>
        <v/>
      </c>
    </row>
    <row r="213">
      <c r="E213">
        <f>IFERROR(INDEX('הגדרות'!$I:$I,MATCH(B213,'הגדרות'!$H:$H,0)),"")</f>
        <v/>
      </c>
      <c r="Z213">
        <f>IFERROR(VLOOKUP(H213,'הגדרות'!$A:$D,2,FALSE),"")</f>
        <v/>
      </c>
      <c r="AA213">
        <f>IFERROR(VLOOKUP(H213,'הגדרות'!$A:$D,3,FALSE),"")</f>
        <v/>
      </c>
      <c r="AB213">
        <f>IFERROR(VLOOKUP(I213,'הגדרות'!$A:$D,2,FALSE),"")</f>
        <v/>
      </c>
      <c r="AC213">
        <f>IFERROR(VLOOKUP(I213,'הגדרות'!$A:$D,3,FALSE),"")</f>
        <v/>
      </c>
      <c r="AD213">
        <f>IF(AND(OR('לוח בקרה'!$C$3="הכל",Z213='לוח בקרה'!$C$3,AA213='לוח בקרה'!$C$3,AB213='לוח בקרה'!$C$3,AC213='לוח בקרה'!$C$3),OR('לוח בקרה'!$C$4="הכל",A213='לוח בקרה'!$C$4),OR('לוח בקרה'!$C$5="הכל",T213='לוח בקרה'!$C$5),OR('לוח בקרה'!$C$6="הכל",H213='לוח בקרה'!$C$6,I213='לוח בקרה'!$C$6),OR('לוח בקרה'!$C$7="הכל",J213='לוח בקרה'!$C$7),OR('לוח בקרה'!$C$8="הכל",L213='לוח בקרה'!$C$8),OR('לוח בקרה'!$C$9="הכל",Q213='לוח בקרה'!$C$9),OR('לוח בקרה'!$C$10="הכל",F213='לוח בקרה'!$C$10,G213='לוח בקרה'!$C$10),D213&lt;&gt;""),ROW()-2,"")</f>
        <v/>
      </c>
      <c r="AE213">
        <f>IF(AND(OR('טכנו'!$C$3="הכל",Z213='טכנו'!$C$3,AA213='טכנו'!$C$3,AB213='טכנו'!$C$3,AC213='טכנו'!$C$3),OR('טכנו'!$C$4="הכל",A213='טכנו'!$C$4),D213&lt;&gt;""),ROW()-2,"")</f>
        <v/>
      </c>
    </row>
    <row r="214">
      <c r="E214">
        <f>IFERROR(INDEX('הגדרות'!$I:$I,MATCH(B214,'הגדרות'!$H:$H,0)),"")</f>
        <v/>
      </c>
      <c r="Z214">
        <f>IFERROR(VLOOKUP(H214,'הגדרות'!$A:$D,2,FALSE),"")</f>
        <v/>
      </c>
      <c r="AA214">
        <f>IFERROR(VLOOKUP(H214,'הגדרות'!$A:$D,3,FALSE),"")</f>
        <v/>
      </c>
      <c r="AB214">
        <f>IFERROR(VLOOKUP(I214,'הגדרות'!$A:$D,2,FALSE),"")</f>
        <v/>
      </c>
      <c r="AC214">
        <f>IFERROR(VLOOKUP(I214,'הגדרות'!$A:$D,3,FALSE),"")</f>
        <v/>
      </c>
      <c r="AD214">
        <f>IF(AND(OR('לוח בקרה'!$C$3="הכל",Z214='לוח בקרה'!$C$3,AA214='לוח בקרה'!$C$3,AB214='לוח בקרה'!$C$3,AC214='לוח בקרה'!$C$3),OR('לוח בקרה'!$C$4="הכל",A214='לוח בקרה'!$C$4),OR('לוח בקרה'!$C$5="הכל",T214='לוח בקרה'!$C$5),OR('לוח בקרה'!$C$6="הכל",H214='לוח בקרה'!$C$6,I214='לוח בקרה'!$C$6),OR('לוח בקרה'!$C$7="הכל",J214='לוח בקרה'!$C$7),OR('לוח בקרה'!$C$8="הכל",L214='לוח בקרה'!$C$8),OR('לוח בקרה'!$C$9="הכל",Q214='לוח בקרה'!$C$9),OR('לוח בקרה'!$C$10="הכל",F214='לוח בקרה'!$C$10,G214='לוח בקרה'!$C$10),D214&lt;&gt;""),ROW()-2,"")</f>
        <v/>
      </c>
      <c r="AE214">
        <f>IF(AND(OR('טכנו'!$C$3="הכל",Z214='טכנו'!$C$3,AA214='טכנו'!$C$3,AB214='טכנו'!$C$3,AC214='טכנו'!$C$3),OR('טכנו'!$C$4="הכל",A214='טכנו'!$C$4),D214&lt;&gt;""),ROW()-2,"")</f>
        <v/>
      </c>
    </row>
    <row r="215">
      <c r="E215">
        <f>IFERROR(INDEX('הגדרות'!$I:$I,MATCH(B215,'הגדרות'!$H:$H,0)),"")</f>
        <v/>
      </c>
      <c r="Z215">
        <f>IFERROR(VLOOKUP(H215,'הגדרות'!$A:$D,2,FALSE),"")</f>
        <v/>
      </c>
      <c r="AA215">
        <f>IFERROR(VLOOKUP(H215,'הגדרות'!$A:$D,3,FALSE),"")</f>
        <v/>
      </c>
      <c r="AB215">
        <f>IFERROR(VLOOKUP(I215,'הגדרות'!$A:$D,2,FALSE),"")</f>
        <v/>
      </c>
      <c r="AC215">
        <f>IFERROR(VLOOKUP(I215,'הגדרות'!$A:$D,3,FALSE),"")</f>
        <v/>
      </c>
      <c r="AD215">
        <f>IF(AND(OR('לוח בקרה'!$C$3="הכל",Z215='לוח בקרה'!$C$3,AA215='לוח בקרה'!$C$3,AB215='לוח בקרה'!$C$3,AC215='לוח בקרה'!$C$3),OR('לוח בקרה'!$C$4="הכל",A215='לוח בקרה'!$C$4),OR('לוח בקרה'!$C$5="הכל",T215='לוח בקרה'!$C$5),OR('לוח בקרה'!$C$6="הכל",H215='לוח בקרה'!$C$6,I215='לוח בקרה'!$C$6),OR('לוח בקרה'!$C$7="הכל",J215='לוח בקרה'!$C$7),OR('לוח בקרה'!$C$8="הכל",L215='לוח בקרה'!$C$8),OR('לוח בקרה'!$C$9="הכל",Q215='לוח בקרה'!$C$9),OR('לוח בקרה'!$C$10="הכל",F215='לוח בקרה'!$C$10,G215='לוח בקרה'!$C$10),D215&lt;&gt;""),ROW()-2,"")</f>
        <v/>
      </c>
      <c r="AE215">
        <f>IF(AND(OR('טכנו'!$C$3="הכל",Z215='טכנו'!$C$3,AA215='טכנו'!$C$3,AB215='טכנו'!$C$3,AC215='טכנו'!$C$3),OR('טכנו'!$C$4="הכל",A215='טכנו'!$C$4),D215&lt;&gt;""),ROW()-2,"")</f>
        <v/>
      </c>
    </row>
    <row r="216">
      <c r="E216">
        <f>IFERROR(INDEX('הגדרות'!$I:$I,MATCH(B216,'הגדרות'!$H:$H,0)),"")</f>
        <v/>
      </c>
      <c r="Z216">
        <f>IFERROR(VLOOKUP(H216,'הגדרות'!$A:$D,2,FALSE),"")</f>
        <v/>
      </c>
      <c r="AA216">
        <f>IFERROR(VLOOKUP(H216,'הגדרות'!$A:$D,3,FALSE),"")</f>
        <v/>
      </c>
      <c r="AB216">
        <f>IFERROR(VLOOKUP(I216,'הגדרות'!$A:$D,2,FALSE),"")</f>
        <v/>
      </c>
      <c r="AC216">
        <f>IFERROR(VLOOKUP(I216,'הגדרות'!$A:$D,3,FALSE),"")</f>
        <v/>
      </c>
      <c r="AD216">
        <f>IF(AND(OR('לוח בקרה'!$C$3="הכל",Z216='לוח בקרה'!$C$3,AA216='לוח בקרה'!$C$3,AB216='לוח בקרה'!$C$3,AC216='לוח בקרה'!$C$3),OR('לוח בקרה'!$C$4="הכל",A216='לוח בקרה'!$C$4),OR('לוח בקרה'!$C$5="הכל",T216='לוח בקרה'!$C$5),OR('לוח בקרה'!$C$6="הכל",H216='לוח בקרה'!$C$6,I216='לוח בקרה'!$C$6),OR('לוח בקרה'!$C$7="הכל",J216='לוח בקרה'!$C$7),OR('לוח בקרה'!$C$8="הכל",L216='לוח בקרה'!$C$8),OR('לוח בקרה'!$C$9="הכל",Q216='לוח בקרה'!$C$9),OR('לוח בקרה'!$C$10="הכל",F216='לוח בקרה'!$C$10,G216='לוח בקרה'!$C$10),D216&lt;&gt;""),ROW()-2,"")</f>
        <v/>
      </c>
      <c r="AE216">
        <f>IF(AND(OR('טכנו'!$C$3="הכל",Z216='טכנו'!$C$3,AA216='טכנו'!$C$3,AB216='טכנו'!$C$3,AC216='טכנו'!$C$3),OR('טכנו'!$C$4="הכל",A216='טכנו'!$C$4),D216&lt;&gt;""),ROW()-2,"")</f>
        <v/>
      </c>
    </row>
    <row r="217">
      <c r="E217">
        <f>IFERROR(INDEX('הגדרות'!$I:$I,MATCH(B217,'הגדרות'!$H:$H,0)),"")</f>
        <v/>
      </c>
      <c r="Z217">
        <f>IFERROR(VLOOKUP(H217,'הגדרות'!$A:$D,2,FALSE),"")</f>
        <v/>
      </c>
      <c r="AA217">
        <f>IFERROR(VLOOKUP(H217,'הגדרות'!$A:$D,3,FALSE),"")</f>
        <v/>
      </c>
      <c r="AB217">
        <f>IFERROR(VLOOKUP(I217,'הגדרות'!$A:$D,2,FALSE),"")</f>
        <v/>
      </c>
      <c r="AC217">
        <f>IFERROR(VLOOKUP(I217,'הגדרות'!$A:$D,3,FALSE),"")</f>
        <v/>
      </c>
      <c r="AD217">
        <f>IF(AND(OR('לוח בקרה'!$C$3="הכל",Z217='לוח בקרה'!$C$3,AA217='לוח בקרה'!$C$3,AB217='לוח בקרה'!$C$3,AC217='לוח בקרה'!$C$3),OR('לוח בקרה'!$C$4="הכל",A217='לוח בקרה'!$C$4),OR('לוח בקרה'!$C$5="הכל",T217='לוח בקרה'!$C$5),OR('לוח בקרה'!$C$6="הכל",H217='לוח בקרה'!$C$6,I217='לוח בקרה'!$C$6),OR('לוח בקרה'!$C$7="הכל",J217='לוח בקרה'!$C$7),OR('לוח בקרה'!$C$8="הכל",L217='לוח בקרה'!$C$8),OR('לוח בקרה'!$C$9="הכל",Q217='לוח בקרה'!$C$9),OR('לוח בקרה'!$C$10="הכל",F217='לוח בקרה'!$C$10,G217='לוח בקרה'!$C$10),D217&lt;&gt;""),ROW()-2,"")</f>
        <v/>
      </c>
      <c r="AE217">
        <f>IF(AND(OR('טכנו'!$C$3="הכל",Z217='טכנו'!$C$3,AA217='טכנו'!$C$3,AB217='טכנו'!$C$3,AC217='טכנו'!$C$3),OR('טכנו'!$C$4="הכל",A217='טכנו'!$C$4),D217&lt;&gt;""),ROW()-2,"")</f>
        <v/>
      </c>
    </row>
    <row r="218">
      <c r="E218">
        <f>IFERROR(INDEX('הגדרות'!$I:$I,MATCH(B218,'הגדרות'!$H:$H,0)),"")</f>
        <v/>
      </c>
      <c r="Z218">
        <f>IFERROR(VLOOKUP(H218,'הגדרות'!$A:$D,2,FALSE),"")</f>
        <v/>
      </c>
      <c r="AA218">
        <f>IFERROR(VLOOKUP(H218,'הגדרות'!$A:$D,3,FALSE),"")</f>
        <v/>
      </c>
      <c r="AB218">
        <f>IFERROR(VLOOKUP(I218,'הגדרות'!$A:$D,2,FALSE),"")</f>
        <v/>
      </c>
      <c r="AC218">
        <f>IFERROR(VLOOKUP(I218,'הגדרות'!$A:$D,3,FALSE),"")</f>
        <v/>
      </c>
      <c r="AD218">
        <f>IF(AND(OR('לוח בקרה'!$C$3="הכל",Z218='לוח בקרה'!$C$3,AA218='לוח בקרה'!$C$3,AB218='לוח בקרה'!$C$3,AC218='לוח בקרה'!$C$3),OR('לוח בקרה'!$C$4="הכל",A218='לוח בקרה'!$C$4),OR('לוח בקרה'!$C$5="הכל",T218='לוח בקרה'!$C$5),OR('לוח בקרה'!$C$6="הכל",H218='לוח בקרה'!$C$6,I218='לוח בקרה'!$C$6),OR('לוח בקרה'!$C$7="הכל",J218='לוח בקרה'!$C$7),OR('לוח בקרה'!$C$8="הכל",L218='לוח בקרה'!$C$8),OR('לוח בקרה'!$C$9="הכל",Q218='לוח בקרה'!$C$9),OR('לוח בקרה'!$C$10="הכל",F218='לוח בקרה'!$C$10,G218='לוח בקרה'!$C$10),D218&lt;&gt;""),ROW()-2,"")</f>
        <v/>
      </c>
      <c r="AE218">
        <f>IF(AND(OR('טכנו'!$C$3="הכל",Z218='טכנו'!$C$3,AA218='טכנו'!$C$3,AB218='טכנו'!$C$3,AC218='טכנו'!$C$3),OR('טכנו'!$C$4="הכל",A218='טכנו'!$C$4),D218&lt;&gt;""),ROW()-2,"")</f>
        <v/>
      </c>
    </row>
    <row r="219">
      <c r="E219">
        <f>IFERROR(INDEX('הגדרות'!$I:$I,MATCH(B219,'הגדרות'!$H:$H,0)),"")</f>
        <v/>
      </c>
      <c r="Z219">
        <f>IFERROR(VLOOKUP(H219,'הגדרות'!$A:$D,2,FALSE),"")</f>
        <v/>
      </c>
      <c r="AA219">
        <f>IFERROR(VLOOKUP(H219,'הגדרות'!$A:$D,3,FALSE),"")</f>
        <v/>
      </c>
      <c r="AB219">
        <f>IFERROR(VLOOKUP(I219,'הגדרות'!$A:$D,2,FALSE),"")</f>
        <v/>
      </c>
      <c r="AC219">
        <f>IFERROR(VLOOKUP(I219,'הגדרות'!$A:$D,3,FALSE),"")</f>
        <v/>
      </c>
      <c r="AD219">
        <f>IF(AND(OR('לוח בקרה'!$C$3="הכל",Z219='לוח בקרה'!$C$3,AA219='לוח בקרה'!$C$3,AB219='לוח בקרה'!$C$3,AC219='לוח בקרה'!$C$3),OR('לוח בקרה'!$C$4="הכל",A219='לוח בקרה'!$C$4),OR('לוח בקרה'!$C$5="הכל",T219='לוח בקרה'!$C$5),OR('לוח בקרה'!$C$6="הכל",H219='לוח בקרה'!$C$6,I219='לוח בקרה'!$C$6),OR('לוח בקרה'!$C$7="הכל",J219='לוח בקרה'!$C$7),OR('לוח בקרה'!$C$8="הכל",L219='לוח בקרה'!$C$8),OR('לוח בקרה'!$C$9="הכל",Q219='לוח בקרה'!$C$9),OR('לוח בקרה'!$C$10="הכל",F219='לוח בקרה'!$C$10,G219='לוח בקרה'!$C$10),D219&lt;&gt;""),ROW()-2,"")</f>
        <v/>
      </c>
      <c r="AE219">
        <f>IF(AND(OR('טכנו'!$C$3="הכל",Z219='טכנו'!$C$3,AA219='טכנו'!$C$3,AB219='טכנו'!$C$3,AC219='טכנו'!$C$3),OR('טכנו'!$C$4="הכל",A219='טכנו'!$C$4),D219&lt;&gt;""),ROW()-2,"")</f>
        <v/>
      </c>
    </row>
    <row r="220">
      <c r="E220">
        <f>IFERROR(INDEX('הגדרות'!$I:$I,MATCH(B220,'הגדרות'!$H:$H,0)),"")</f>
        <v/>
      </c>
      <c r="Z220">
        <f>IFERROR(VLOOKUP(H220,'הגדרות'!$A:$D,2,FALSE),"")</f>
        <v/>
      </c>
      <c r="AA220">
        <f>IFERROR(VLOOKUP(H220,'הגדרות'!$A:$D,3,FALSE),"")</f>
        <v/>
      </c>
      <c r="AB220">
        <f>IFERROR(VLOOKUP(I220,'הגדרות'!$A:$D,2,FALSE),"")</f>
        <v/>
      </c>
      <c r="AC220">
        <f>IFERROR(VLOOKUP(I220,'הגדרות'!$A:$D,3,FALSE),"")</f>
        <v/>
      </c>
      <c r="AD220">
        <f>IF(AND(OR('לוח בקרה'!$C$3="הכל",Z220='לוח בקרה'!$C$3,AA220='לוח בקרה'!$C$3,AB220='לוח בקרה'!$C$3,AC220='לוח בקרה'!$C$3),OR('לוח בקרה'!$C$4="הכל",A220='לוח בקרה'!$C$4),OR('לוח בקרה'!$C$5="הכל",T220='לוח בקרה'!$C$5),OR('לוח בקרה'!$C$6="הכל",H220='לוח בקרה'!$C$6,I220='לוח בקרה'!$C$6),OR('לוח בקרה'!$C$7="הכל",J220='לוח בקרה'!$C$7),OR('לוח בקרה'!$C$8="הכל",L220='לוח בקרה'!$C$8),OR('לוח בקרה'!$C$9="הכל",Q220='לוח בקרה'!$C$9),OR('לוח בקרה'!$C$10="הכל",F220='לוח בקרה'!$C$10,G220='לוח בקרה'!$C$10),D220&lt;&gt;""),ROW()-2,"")</f>
        <v/>
      </c>
      <c r="AE220">
        <f>IF(AND(OR('טכנו'!$C$3="הכל",Z220='טכנו'!$C$3,AA220='טכנו'!$C$3,AB220='טכנו'!$C$3,AC220='טכנו'!$C$3),OR('טכנו'!$C$4="הכל",A220='טכנו'!$C$4),D220&lt;&gt;""),ROW()-2,"")</f>
        <v/>
      </c>
    </row>
    <row r="221">
      <c r="E221">
        <f>IFERROR(INDEX('הגדרות'!$I:$I,MATCH(B221,'הגדרות'!$H:$H,0)),"")</f>
        <v/>
      </c>
      <c r="Z221">
        <f>IFERROR(VLOOKUP(H221,'הגדרות'!$A:$D,2,FALSE),"")</f>
        <v/>
      </c>
      <c r="AA221">
        <f>IFERROR(VLOOKUP(H221,'הגדרות'!$A:$D,3,FALSE),"")</f>
        <v/>
      </c>
      <c r="AB221">
        <f>IFERROR(VLOOKUP(I221,'הגדרות'!$A:$D,2,FALSE),"")</f>
        <v/>
      </c>
      <c r="AC221">
        <f>IFERROR(VLOOKUP(I221,'הגדרות'!$A:$D,3,FALSE),"")</f>
        <v/>
      </c>
      <c r="AD221">
        <f>IF(AND(OR('לוח בקרה'!$C$3="הכל",Z221='לוח בקרה'!$C$3,AA221='לוח בקרה'!$C$3,AB221='לוח בקרה'!$C$3,AC221='לוח בקרה'!$C$3),OR('לוח בקרה'!$C$4="הכל",A221='לוח בקרה'!$C$4),OR('לוח בקרה'!$C$5="הכל",T221='לוח בקרה'!$C$5),OR('לוח בקרה'!$C$6="הכל",H221='לוח בקרה'!$C$6,I221='לוח בקרה'!$C$6),OR('לוח בקרה'!$C$7="הכל",J221='לוח בקרה'!$C$7),OR('לוח בקרה'!$C$8="הכל",L221='לוח בקרה'!$C$8),OR('לוח בקרה'!$C$9="הכל",Q221='לוח בקרה'!$C$9),OR('לוח בקרה'!$C$10="הכל",F221='לוח בקרה'!$C$10,G221='לוח בקרה'!$C$10),D221&lt;&gt;""),ROW()-2,"")</f>
        <v/>
      </c>
      <c r="AE221">
        <f>IF(AND(OR('טכנו'!$C$3="הכל",Z221='טכנו'!$C$3,AA221='טכנו'!$C$3,AB221='טכנו'!$C$3,AC221='טכנו'!$C$3),OR('טכנו'!$C$4="הכל",A221='טכנו'!$C$4),D221&lt;&gt;""),ROW()-2,"")</f>
        <v/>
      </c>
    </row>
    <row r="222">
      <c r="E222">
        <f>IFERROR(INDEX('הגדרות'!$I:$I,MATCH(B222,'הגדרות'!$H:$H,0)),"")</f>
        <v/>
      </c>
      <c r="Z222">
        <f>IFERROR(VLOOKUP(H222,'הגדרות'!$A:$D,2,FALSE),"")</f>
        <v/>
      </c>
      <c r="AA222">
        <f>IFERROR(VLOOKUP(H222,'הגדרות'!$A:$D,3,FALSE),"")</f>
        <v/>
      </c>
      <c r="AB222">
        <f>IFERROR(VLOOKUP(I222,'הגדרות'!$A:$D,2,FALSE),"")</f>
        <v/>
      </c>
      <c r="AC222">
        <f>IFERROR(VLOOKUP(I222,'הגדרות'!$A:$D,3,FALSE),"")</f>
        <v/>
      </c>
      <c r="AD222">
        <f>IF(AND(OR('לוח בקרה'!$C$3="הכל",Z222='לוח בקרה'!$C$3,AA222='לוח בקרה'!$C$3,AB222='לוח בקרה'!$C$3,AC222='לוח בקרה'!$C$3),OR('לוח בקרה'!$C$4="הכל",A222='לוח בקרה'!$C$4),OR('לוח בקרה'!$C$5="הכל",T222='לוח בקרה'!$C$5),OR('לוח בקרה'!$C$6="הכל",H222='לוח בקרה'!$C$6,I222='לוח בקרה'!$C$6),OR('לוח בקרה'!$C$7="הכל",J222='לוח בקרה'!$C$7),OR('לוח בקרה'!$C$8="הכל",L222='לוח בקרה'!$C$8),OR('לוח בקרה'!$C$9="הכל",Q222='לוח בקרה'!$C$9),OR('לוח בקרה'!$C$10="הכל",F222='לוח בקרה'!$C$10,G222='לוח בקרה'!$C$10),D222&lt;&gt;""),ROW()-2,"")</f>
        <v/>
      </c>
      <c r="AE222">
        <f>IF(AND(OR('טכנו'!$C$3="הכל",Z222='טכנו'!$C$3,AA222='טכנו'!$C$3,AB222='טכנו'!$C$3,AC222='טכנו'!$C$3),OR('טכנו'!$C$4="הכל",A222='טכנו'!$C$4),D222&lt;&gt;""),ROW()-2,"")</f>
        <v/>
      </c>
    </row>
    <row r="223">
      <c r="E223">
        <f>IFERROR(INDEX('הגדרות'!$I:$I,MATCH(B223,'הגדרות'!$H:$H,0)),"")</f>
        <v/>
      </c>
      <c r="Z223">
        <f>IFERROR(VLOOKUP(H223,'הגדרות'!$A:$D,2,FALSE),"")</f>
        <v/>
      </c>
      <c r="AA223">
        <f>IFERROR(VLOOKUP(H223,'הגדרות'!$A:$D,3,FALSE),"")</f>
        <v/>
      </c>
      <c r="AB223">
        <f>IFERROR(VLOOKUP(I223,'הגדרות'!$A:$D,2,FALSE),"")</f>
        <v/>
      </c>
      <c r="AC223">
        <f>IFERROR(VLOOKUP(I223,'הגדרות'!$A:$D,3,FALSE),"")</f>
        <v/>
      </c>
      <c r="AD223">
        <f>IF(AND(OR('לוח בקרה'!$C$3="הכל",Z223='לוח בקרה'!$C$3,AA223='לוח בקרה'!$C$3,AB223='לוח בקרה'!$C$3,AC223='לוח בקרה'!$C$3),OR('לוח בקרה'!$C$4="הכל",A223='לוח בקרה'!$C$4),OR('לוח בקרה'!$C$5="הכל",T223='לוח בקרה'!$C$5),OR('לוח בקרה'!$C$6="הכל",H223='לוח בקרה'!$C$6,I223='לוח בקרה'!$C$6),OR('לוח בקרה'!$C$7="הכל",J223='לוח בקרה'!$C$7),OR('לוח בקרה'!$C$8="הכל",L223='לוח בקרה'!$C$8),OR('לוח בקרה'!$C$9="הכל",Q223='לוח בקרה'!$C$9),OR('לוח בקרה'!$C$10="הכל",F223='לוח בקרה'!$C$10,G223='לוח בקרה'!$C$10),D223&lt;&gt;""),ROW()-2,"")</f>
        <v/>
      </c>
      <c r="AE223">
        <f>IF(AND(OR('טכנו'!$C$3="הכל",Z223='טכנו'!$C$3,AA223='טכנו'!$C$3,AB223='טכנו'!$C$3,AC223='טכנו'!$C$3),OR('טכנו'!$C$4="הכל",A223='טכנו'!$C$4),D223&lt;&gt;""),ROW()-2,"")</f>
        <v/>
      </c>
    </row>
    <row r="224">
      <c r="E224">
        <f>IFERROR(INDEX('הגדרות'!$I:$I,MATCH(B224,'הגדרות'!$H:$H,0)),"")</f>
        <v/>
      </c>
      <c r="Z224">
        <f>IFERROR(VLOOKUP(H224,'הגדרות'!$A:$D,2,FALSE),"")</f>
        <v/>
      </c>
      <c r="AA224">
        <f>IFERROR(VLOOKUP(H224,'הגדרות'!$A:$D,3,FALSE),"")</f>
        <v/>
      </c>
      <c r="AB224">
        <f>IFERROR(VLOOKUP(I224,'הגדרות'!$A:$D,2,FALSE),"")</f>
        <v/>
      </c>
      <c r="AC224">
        <f>IFERROR(VLOOKUP(I224,'הגדרות'!$A:$D,3,FALSE),"")</f>
        <v/>
      </c>
      <c r="AD224">
        <f>IF(AND(OR('לוח בקרה'!$C$3="הכל",Z224='לוח בקרה'!$C$3,AA224='לוח בקרה'!$C$3,AB224='לוח בקרה'!$C$3,AC224='לוח בקרה'!$C$3),OR('לוח בקרה'!$C$4="הכל",A224='לוח בקרה'!$C$4),OR('לוח בקרה'!$C$5="הכל",T224='לוח בקרה'!$C$5),OR('לוח בקרה'!$C$6="הכל",H224='לוח בקרה'!$C$6,I224='לוח בקרה'!$C$6),OR('לוח בקרה'!$C$7="הכל",J224='לוח בקרה'!$C$7),OR('לוח בקרה'!$C$8="הכל",L224='לוח בקרה'!$C$8),OR('לוח בקרה'!$C$9="הכל",Q224='לוח בקרה'!$C$9),OR('לוח בקרה'!$C$10="הכל",F224='לוח בקרה'!$C$10,G224='לוח בקרה'!$C$10),D224&lt;&gt;""),ROW()-2,"")</f>
        <v/>
      </c>
      <c r="AE224">
        <f>IF(AND(OR('טכנו'!$C$3="הכל",Z224='טכנו'!$C$3,AA224='טכנו'!$C$3,AB224='טכנו'!$C$3,AC224='טכנו'!$C$3),OR('טכנו'!$C$4="הכל",A224='טכנו'!$C$4),D224&lt;&gt;""),ROW()-2,"")</f>
        <v/>
      </c>
    </row>
    <row r="225">
      <c r="E225">
        <f>IFERROR(INDEX('הגדרות'!$I:$I,MATCH(B225,'הגדרות'!$H:$H,0)),"")</f>
        <v/>
      </c>
      <c r="Z225">
        <f>IFERROR(VLOOKUP(H225,'הגדרות'!$A:$D,2,FALSE),"")</f>
        <v/>
      </c>
      <c r="AA225">
        <f>IFERROR(VLOOKUP(H225,'הגדרות'!$A:$D,3,FALSE),"")</f>
        <v/>
      </c>
      <c r="AB225">
        <f>IFERROR(VLOOKUP(I225,'הגדרות'!$A:$D,2,FALSE),"")</f>
        <v/>
      </c>
      <c r="AC225">
        <f>IFERROR(VLOOKUP(I225,'הגדרות'!$A:$D,3,FALSE),"")</f>
        <v/>
      </c>
      <c r="AD225">
        <f>IF(AND(OR('לוח בקרה'!$C$3="הכל",Z225='לוח בקרה'!$C$3,AA225='לוח בקרה'!$C$3,AB225='לוח בקרה'!$C$3,AC225='לוח בקרה'!$C$3),OR('לוח בקרה'!$C$4="הכל",A225='לוח בקרה'!$C$4),OR('לוח בקרה'!$C$5="הכל",T225='לוח בקרה'!$C$5),OR('לוח בקרה'!$C$6="הכל",H225='לוח בקרה'!$C$6,I225='לוח בקרה'!$C$6),OR('לוח בקרה'!$C$7="הכל",J225='לוח בקרה'!$C$7),OR('לוח בקרה'!$C$8="הכל",L225='לוח בקרה'!$C$8),OR('לוח בקרה'!$C$9="הכל",Q225='לוח בקרה'!$C$9),OR('לוח בקרה'!$C$10="הכל",F225='לוח בקרה'!$C$10,G225='לוח בקרה'!$C$10),D225&lt;&gt;""),ROW()-2,"")</f>
        <v/>
      </c>
      <c r="AE225">
        <f>IF(AND(OR('טכנו'!$C$3="הכל",Z225='טכנו'!$C$3,AA225='טכנו'!$C$3,AB225='טכנו'!$C$3,AC225='טכנו'!$C$3),OR('טכנו'!$C$4="הכל",A225='טכנו'!$C$4),D225&lt;&gt;""),ROW()-2,"")</f>
        <v/>
      </c>
    </row>
    <row r="226">
      <c r="E226">
        <f>IFERROR(INDEX('הגדרות'!$I:$I,MATCH(B226,'הגדרות'!$H:$H,0)),"")</f>
        <v/>
      </c>
      <c r="Z226">
        <f>IFERROR(VLOOKUP(H226,'הגדרות'!$A:$D,2,FALSE),"")</f>
        <v/>
      </c>
      <c r="AA226">
        <f>IFERROR(VLOOKUP(H226,'הגדרות'!$A:$D,3,FALSE),"")</f>
        <v/>
      </c>
      <c r="AB226">
        <f>IFERROR(VLOOKUP(I226,'הגדרות'!$A:$D,2,FALSE),"")</f>
        <v/>
      </c>
      <c r="AC226">
        <f>IFERROR(VLOOKUP(I226,'הגדרות'!$A:$D,3,FALSE),"")</f>
        <v/>
      </c>
      <c r="AD226">
        <f>IF(AND(OR('לוח בקרה'!$C$3="הכל",Z226='לוח בקרה'!$C$3,AA226='לוח בקרה'!$C$3,AB226='לוח בקרה'!$C$3,AC226='לוח בקרה'!$C$3),OR('לוח בקרה'!$C$4="הכל",A226='לוח בקרה'!$C$4),OR('לוח בקרה'!$C$5="הכל",T226='לוח בקרה'!$C$5),OR('לוח בקרה'!$C$6="הכל",H226='לוח בקרה'!$C$6,I226='לוח בקרה'!$C$6),OR('לוח בקרה'!$C$7="הכל",J226='לוח בקרה'!$C$7),OR('לוח בקרה'!$C$8="הכל",L226='לוח בקרה'!$C$8),OR('לוח בקרה'!$C$9="הכל",Q226='לוח בקרה'!$C$9),OR('לוח בקרה'!$C$10="הכל",F226='לוח בקרה'!$C$10,G226='לוח בקרה'!$C$10),D226&lt;&gt;""),ROW()-2,"")</f>
        <v/>
      </c>
      <c r="AE226">
        <f>IF(AND(OR('טכנו'!$C$3="הכל",Z226='טכנו'!$C$3,AA226='טכנו'!$C$3,AB226='טכנו'!$C$3,AC226='טכנו'!$C$3),OR('טכנו'!$C$4="הכל",A226='טכנו'!$C$4),D226&lt;&gt;""),ROW()-2,"")</f>
        <v/>
      </c>
    </row>
    <row r="227">
      <c r="E227">
        <f>IFERROR(INDEX('הגדרות'!$I:$I,MATCH(B227,'הגדרות'!$H:$H,0)),"")</f>
        <v/>
      </c>
      <c r="Z227">
        <f>IFERROR(VLOOKUP(H227,'הגדרות'!$A:$D,2,FALSE),"")</f>
        <v/>
      </c>
      <c r="AA227">
        <f>IFERROR(VLOOKUP(H227,'הגדרות'!$A:$D,3,FALSE),"")</f>
        <v/>
      </c>
      <c r="AB227">
        <f>IFERROR(VLOOKUP(I227,'הגדרות'!$A:$D,2,FALSE),"")</f>
        <v/>
      </c>
      <c r="AC227">
        <f>IFERROR(VLOOKUP(I227,'הגדרות'!$A:$D,3,FALSE),"")</f>
        <v/>
      </c>
      <c r="AD227">
        <f>IF(AND(OR('לוח בקרה'!$C$3="הכל",Z227='לוח בקרה'!$C$3,AA227='לוח בקרה'!$C$3,AB227='לוח בקרה'!$C$3,AC227='לוח בקרה'!$C$3),OR('לוח בקרה'!$C$4="הכל",A227='לוח בקרה'!$C$4),OR('לוח בקרה'!$C$5="הכל",T227='לוח בקרה'!$C$5),OR('לוח בקרה'!$C$6="הכל",H227='לוח בקרה'!$C$6,I227='לוח בקרה'!$C$6),OR('לוח בקרה'!$C$7="הכל",J227='לוח בקרה'!$C$7),OR('לוח בקרה'!$C$8="הכל",L227='לוח בקרה'!$C$8),OR('לוח בקרה'!$C$9="הכל",Q227='לוח בקרה'!$C$9),OR('לוח בקרה'!$C$10="הכל",F227='לוח בקרה'!$C$10,G227='לוח בקרה'!$C$10),D227&lt;&gt;""),ROW()-2,"")</f>
        <v/>
      </c>
      <c r="AE227">
        <f>IF(AND(OR('טכנו'!$C$3="הכל",Z227='טכנו'!$C$3,AA227='טכנו'!$C$3,AB227='טכנו'!$C$3,AC227='טכנו'!$C$3),OR('טכנו'!$C$4="הכל",A227='טכנו'!$C$4),D227&lt;&gt;""),ROW()-2,"")</f>
        <v/>
      </c>
    </row>
    <row r="228">
      <c r="E228">
        <f>IFERROR(INDEX('הגדרות'!$I:$I,MATCH(B228,'הגדרות'!$H:$H,0)),"")</f>
        <v/>
      </c>
      <c r="Z228">
        <f>IFERROR(VLOOKUP(H228,'הגדרות'!$A:$D,2,FALSE),"")</f>
        <v/>
      </c>
      <c r="AA228">
        <f>IFERROR(VLOOKUP(H228,'הגדרות'!$A:$D,3,FALSE),"")</f>
        <v/>
      </c>
      <c r="AB228">
        <f>IFERROR(VLOOKUP(I228,'הגדרות'!$A:$D,2,FALSE),"")</f>
        <v/>
      </c>
      <c r="AC228">
        <f>IFERROR(VLOOKUP(I228,'הגדרות'!$A:$D,3,FALSE),"")</f>
        <v/>
      </c>
      <c r="AD228">
        <f>IF(AND(OR('לוח בקרה'!$C$3="הכל",Z228='לוח בקרה'!$C$3,AA228='לוח בקרה'!$C$3,AB228='לוח בקרה'!$C$3,AC228='לוח בקרה'!$C$3),OR('לוח בקרה'!$C$4="הכל",A228='לוח בקרה'!$C$4),OR('לוח בקרה'!$C$5="הכל",T228='לוח בקרה'!$C$5),OR('לוח בקרה'!$C$6="הכל",H228='לוח בקרה'!$C$6,I228='לוח בקרה'!$C$6),OR('לוח בקרה'!$C$7="הכל",J228='לוח בקרה'!$C$7),OR('לוח בקרה'!$C$8="הכל",L228='לוח בקרה'!$C$8),OR('לוח בקרה'!$C$9="הכל",Q228='לוח בקרה'!$C$9),OR('לוח בקרה'!$C$10="הכל",F228='לוח בקרה'!$C$10,G228='לוח בקרה'!$C$10),D228&lt;&gt;""),ROW()-2,"")</f>
        <v/>
      </c>
      <c r="AE228">
        <f>IF(AND(OR('טכנו'!$C$3="הכל",Z228='טכנו'!$C$3,AA228='טכנו'!$C$3,AB228='טכנו'!$C$3,AC228='טכנו'!$C$3),OR('טכנו'!$C$4="הכל",A228='טכנו'!$C$4),D228&lt;&gt;""),ROW()-2,"")</f>
        <v/>
      </c>
    </row>
    <row r="229">
      <c r="E229">
        <f>IFERROR(INDEX('הגדרות'!$I:$I,MATCH(B229,'הגדרות'!$H:$H,0)),"")</f>
        <v/>
      </c>
      <c r="Z229">
        <f>IFERROR(VLOOKUP(H229,'הגדרות'!$A:$D,2,FALSE),"")</f>
        <v/>
      </c>
      <c r="AA229">
        <f>IFERROR(VLOOKUP(H229,'הגדרות'!$A:$D,3,FALSE),"")</f>
        <v/>
      </c>
      <c r="AB229">
        <f>IFERROR(VLOOKUP(I229,'הגדרות'!$A:$D,2,FALSE),"")</f>
        <v/>
      </c>
      <c r="AC229">
        <f>IFERROR(VLOOKUP(I229,'הגדרות'!$A:$D,3,FALSE),"")</f>
        <v/>
      </c>
      <c r="AD229">
        <f>IF(AND(OR('לוח בקרה'!$C$3="הכל",Z229='לוח בקרה'!$C$3,AA229='לוח בקרה'!$C$3,AB229='לוח בקרה'!$C$3,AC229='לוח בקרה'!$C$3),OR('לוח בקרה'!$C$4="הכל",A229='לוח בקרה'!$C$4),OR('לוח בקרה'!$C$5="הכל",T229='לוח בקרה'!$C$5),OR('לוח בקרה'!$C$6="הכל",H229='לוח בקרה'!$C$6,I229='לוח בקרה'!$C$6),OR('לוח בקרה'!$C$7="הכל",J229='לוח בקרה'!$C$7),OR('לוח בקרה'!$C$8="הכל",L229='לוח בקרה'!$C$8),OR('לוח בקרה'!$C$9="הכל",Q229='לוח בקרה'!$C$9),OR('לוח בקרה'!$C$10="הכל",F229='לוח בקרה'!$C$10,G229='לוח בקרה'!$C$10),D229&lt;&gt;""),ROW()-2,"")</f>
        <v/>
      </c>
      <c r="AE229">
        <f>IF(AND(OR('טכנו'!$C$3="הכל",Z229='טכנו'!$C$3,AA229='טכנו'!$C$3,AB229='טכנו'!$C$3,AC229='טכנו'!$C$3),OR('טכנו'!$C$4="הכל",A229='טכנו'!$C$4),D229&lt;&gt;""),ROW()-2,"")</f>
        <v/>
      </c>
    </row>
    <row r="230">
      <c r="E230">
        <f>IFERROR(INDEX('הגדרות'!$I:$I,MATCH(B230,'הגדרות'!$H:$H,0)),"")</f>
        <v/>
      </c>
      <c r="Z230">
        <f>IFERROR(VLOOKUP(H230,'הגדרות'!$A:$D,2,FALSE),"")</f>
        <v/>
      </c>
      <c r="AA230">
        <f>IFERROR(VLOOKUP(H230,'הגדרות'!$A:$D,3,FALSE),"")</f>
        <v/>
      </c>
      <c r="AB230">
        <f>IFERROR(VLOOKUP(I230,'הגדרות'!$A:$D,2,FALSE),"")</f>
        <v/>
      </c>
      <c r="AC230">
        <f>IFERROR(VLOOKUP(I230,'הגדרות'!$A:$D,3,FALSE),"")</f>
        <v/>
      </c>
      <c r="AD230">
        <f>IF(AND(OR('לוח בקרה'!$C$3="הכל",Z230='לוח בקרה'!$C$3,AA230='לוח בקרה'!$C$3,AB230='לוח בקרה'!$C$3,AC230='לוח בקרה'!$C$3),OR('לוח בקרה'!$C$4="הכל",A230='לוח בקרה'!$C$4),OR('לוח בקרה'!$C$5="הכל",T230='לוח בקרה'!$C$5),OR('לוח בקרה'!$C$6="הכל",H230='לוח בקרה'!$C$6,I230='לוח בקרה'!$C$6),OR('לוח בקרה'!$C$7="הכל",J230='לוח בקרה'!$C$7),OR('לוח בקרה'!$C$8="הכל",L230='לוח בקרה'!$C$8),OR('לוח בקרה'!$C$9="הכל",Q230='לוח בקרה'!$C$9),OR('לוח בקרה'!$C$10="הכל",F230='לוח בקרה'!$C$10,G230='לוח בקרה'!$C$10),D230&lt;&gt;""),ROW()-2,"")</f>
        <v/>
      </c>
      <c r="AE230">
        <f>IF(AND(OR('טכנו'!$C$3="הכל",Z230='טכנו'!$C$3,AA230='טכנו'!$C$3,AB230='טכנו'!$C$3,AC230='טכנו'!$C$3),OR('טכנו'!$C$4="הכל",A230='טכנו'!$C$4),D230&lt;&gt;""),ROW()-2,"")</f>
        <v/>
      </c>
    </row>
    <row r="231">
      <c r="E231">
        <f>IFERROR(INDEX('הגדרות'!$I:$I,MATCH(B231,'הגדרות'!$H:$H,0)),"")</f>
        <v/>
      </c>
      <c r="Z231">
        <f>IFERROR(VLOOKUP(H231,'הגדרות'!$A:$D,2,FALSE),"")</f>
        <v/>
      </c>
      <c r="AA231">
        <f>IFERROR(VLOOKUP(H231,'הגדרות'!$A:$D,3,FALSE),"")</f>
        <v/>
      </c>
      <c r="AB231">
        <f>IFERROR(VLOOKUP(I231,'הגדרות'!$A:$D,2,FALSE),"")</f>
        <v/>
      </c>
      <c r="AC231">
        <f>IFERROR(VLOOKUP(I231,'הגדרות'!$A:$D,3,FALSE),"")</f>
        <v/>
      </c>
      <c r="AD231">
        <f>IF(AND(OR('לוח בקרה'!$C$3="הכל",Z231='לוח בקרה'!$C$3,AA231='לוח בקרה'!$C$3,AB231='לוח בקרה'!$C$3,AC231='לוח בקרה'!$C$3),OR('לוח בקרה'!$C$4="הכל",A231='לוח בקרה'!$C$4),OR('לוח בקרה'!$C$5="הכל",T231='לוח בקרה'!$C$5),OR('לוח בקרה'!$C$6="הכל",H231='לוח בקרה'!$C$6,I231='לוח בקרה'!$C$6),OR('לוח בקרה'!$C$7="הכל",J231='לוח בקרה'!$C$7),OR('לוח בקרה'!$C$8="הכל",L231='לוח בקרה'!$C$8),OR('לוח בקרה'!$C$9="הכל",Q231='לוח בקרה'!$C$9),OR('לוח בקרה'!$C$10="הכל",F231='לוח בקרה'!$C$10,G231='לוח בקרה'!$C$10),D231&lt;&gt;""),ROW()-2,"")</f>
        <v/>
      </c>
      <c r="AE231">
        <f>IF(AND(OR('טכנו'!$C$3="הכל",Z231='טכנו'!$C$3,AA231='טכנו'!$C$3,AB231='טכנו'!$C$3,AC231='טכנו'!$C$3),OR('טכנו'!$C$4="הכל",A231='טכנו'!$C$4),D231&lt;&gt;""),ROW()-2,"")</f>
        <v/>
      </c>
    </row>
    <row r="232">
      <c r="E232">
        <f>IFERROR(INDEX('הגדרות'!$I:$I,MATCH(B232,'הגדרות'!$H:$H,0)),"")</f>
        <v/>
      </c>
      <c r="Z232">
        <f>IFERROR(VLOOKUP(H232,'הגדרות'!$A:$D,2,FALSE),"")</f>
        <v/>
      </c>
      <c r="AA232">
        <f>IFERROR(VLOOKUP(H232,'הגדרות'!$A:$D,3,FALSE),"")</f>
        <v/>
      </c>
      <c r="AB232">
        <f>IFERROR(VLOOKUP(I232,'הגדרות'!$A:$D,2,FALSE),"")</f>
        <v/>
      </c>
      <c r="AC232">
        <f>IFERROR(VLOOKUP(I232,'הגדרות'!$A:$D,3,FALSE),"")</f>
        <v/>
      </c>
      <c r="AD232">
        <f>IF(AND(OR('לוח בקרה'!$C$3="הכל",Z232='לוח בקרה'!$C$3,AA232='לוח בקרה'!$C$3,AB232='לוח בקרה'!$C$3,AC232='לוח בקרה'!$C$3),OR('לוח בקרה'!$C$4="הכל",A232='לוח בקרה'!$C$4),OR('לוח בקרה'!$C$5="הכל",T232='לוח בקרה'!$C$5),OR('לוח בקרה'!$C$6="הכל",H232='לוח בקרה'!$C$6,I232='לוח בקרה'!$C$6),OR('לוח בקרה'!$C$7="הכל",J232='לוח בקרה'!$C$7),OR('לוח בקרה'!$C$8="הכל",L232='לוח בקרה'!$C$8),OR('לוח בקרה'!$C$9="הכל",Q232='לוח בקרה'!$C$9),OR('לוח בקרה'!$C$10="הכל",F232='לוח בקרה'!$C$10,G232='לוח בקרה'!$C$10),D232&lt;&gt;""),ROW()-2,"")</f>
        <v/>
      </c>
      <c r="AE232">
        <f>IF(AND(OR('טכנו'!$C$3="הכל",Z232='טכנו'!$C$3,AA232='טכנו'!$C$3,AB232='טכנו'!$C$3,AC232='טכנו'!$C$3),OR('טכנו'!$C$4="הכל",A232='טכנו'!$C$4),D232&lt;&gt;""),ROW()-2,"")</f>
        <v/>
      </c>
    </row>
    <row r="233">
      <c r="E233">
        <f>IFERROR(INDEX('הגדרות'!$I:$I,MATCH(B233,'הגדרות'!$H:$H,0)),"")</f>
        <v/>
      </c>
      <c r="Z233">
        <f>IFERROR(VLOOKUP(H233,'הגדרות'!$A:$D,2,FALSE),"")</f>
        <v/>
      </c>
      <c r="AA233">
        <f>IFERROR(VLOOKUP(H233,'הגדרות'!$A:$D,3,FALSE),"")</f>
        <v/>
      </c>
      <c r="AB233">
        <f>IFERROR(VLOOKUP(I233,'הגדרות'!$A:$D,2,FALSE),"")</f>
        <v/>
      </c>
      <c r="AC233">
        <f>IFERROR(VLOOKUP(I233,'הגדרות'!$A:$D,3,FALSE),"")</f>
        <v/>
      </c>
      <c r="AD233">
        <f>IF(AND(OR('לוח בקרה'!$C$3="הכל",Z233='לוח בקרה'!$C$3,AA233='לוח בקרה'!$C$3,AB233='לוח בקרה'!$C$3,AC233='לוח בקרה'!$C$3),OR('לוח בקרה'!$C$4="הכל",A233='לוח בקרה'!$C$4),OR('לוח בקרה'!$C$5="הכל",T233='לוח בקרה'!$C$5),OR('לוח בקרה'!$C$6="הכל",H233='לוח בקרה'!$C$6,I233='לוח בקרה'!$C$6),OR('לוח בקרה'!$C$7="הכל",J233='לוח בקרה'!$C$7),OR('לוח בקרה'!$C$8="הכל",L233='לוח בקרה'!$C$8),OR('לוח בקרה'!$C$9="הכל",Q233='לוח בקרה'!$C$9),OR('לוח בקרה'!$C$10="הכל",F233='לוח בקרה'!$C$10,G233='לוח בקרה'!$C$10),D233&lt;&gt;""),ROW()-2,"")</f>
        <v/>
      </c>
      <c r="AE233">
        <f>IF(AND(OR('טכנו'!$C$3="הכל",Z233='טכנו'!$C$3,AA233='טכנו'!$C$3,AB233='טכנו'!$C$3,AC233='טכנו'!$C$3),OR('טכנו'!$C$4="הכל",A233='טכנו'!$C$4),D233&lt;&gt;""),ROW()-2,"")</f>
        <v/>
      </c>
    </row>
    <row r="234">
      <c r="E234">
        <f>IFERROR(INDEX('הגדרות'!$I:$I,MATCH(B234,'הגדרות'!$H:$H,0)),"")</f>
        <v/>
      </c>
      <c r="Z234">
        <f>IFERROR(VLOOKUP(H234,'הגדרות'!$A:$D,2,FALSE),"")</f>
        <v/>
      </c>
      <c r="AA234">
        <f>IFERROR(VLOOKUP(H234,'הגדרות'!$A:$D,3,FALSE),"")</f>
        <v/>
      </c>
      <c r="AB234">
        <f>IFERROR(VLOOKUP(I234,'הגדרות'!$A:$D,2,FALSE),"")</f>
        <v/>
      </c>
      <c r="AC234">
        <f>IFERROR(VLOOKUP(I234,'הגדרות'!$A:$D,3,FALSE),"")</f>
        <v/>
      </c>
      <c r="AD234">
        <f>IF(AND(OR('לוח בקרה'!$C$3="הכל",Z234='לוח בקרה'!$C$3,AA234='לוח בקרה'!$C$3,AB234='לוח בקרה'!$C$3,AC234='לוח בקרה'!$C$3),OR('לוח בקרה'!$C$4="הכל",A234='לוח בקרה'!$C$4),OR('לוח בקרה'!$C$5="הכל",T234='לוח בקרה'!$C$5),OR('לוח בקרה'!$C$6="הכל",H234='לוח בקרה'!$C$6,I234='לוח בקרה'!$C$6),OR('לוח בקרה'!$C$7="הכל",J234='לוח בקרה'!$C$7),OR('לוח בקרה'!$C$8="הכל",L234='לוח בקרה'!$C$8),OR('לוח בקרה'!$C$9="הכל",Q234='לוח בקרה'!$C$9),OR('לוח בקרה'!$C$10="הכל",F234='לוח בקרה'!$C$10,G234='לוח בקרה'!$C$10),D234&lt;&gt;""),ROW()-2,"")</f>
        <v/>
      </c>
      <c r="AE234">
        <f>IF(AND(OR('טכנו'!$C$3="הכל",Z234='טכנו'!$C$3,AA234='טכנו'!$C$3,AB234='טכנו'!$C$3,AC234='טכנו'!$C$3),OR('טכנו'!$C$4="הכל",A234='טכנו'!$C$4),D234&lt;&gt;""),ROW()-2,"")</f>
        <v/>
      </c>
    </row>
    <row r="235">
      <c r="E235">
        <f>IFERROR(INDEX('הגדרות'!$I:$I,MATCH(B235,'הגדרות'!$H:$H,0)),"")</f>
        <v/>
      </c>
      <c r="Z235">
        <f>IFERROR(VLOOKUP(H235,'הגדרות'!$A:$D,2,FALSE),"")</f>
        <v/>
      </c>
      <c r="AA235">
        <f>IFERROR(VLOOKUP(H235,'הגדרות'!$A:$D,3,FALSE),"")</f>
        <v/>
      </c>
      <c r="AB235">
        <f>IFERROR(VLOOKUP(I235,'הגדרות'!$A:$D,2,FALSE),"")</f>
        <v/>
      </c>
      <c r="AC235">
        <f>IFERROR(VLOOKUP(I235,'הגדרות'!$A:$D,3,FALSE),"")</f>
        <v/>
      </c>
      <c r="AD235">
        <f>IF(AND(OR('לוח בקרה'!$C$3="הכל",Z235='לוח בקרה'!$C$3,AA235='לוח בקרה'!$C$3,AB235='לוח בקרה'!$C$3,AC235='לוח בקרה'!$C$3),OR('לוח בקרה'!$C$4="הכל",A235='לוח בקרה'!$C$4),OR('לוח בקרה'!$C$5="הכל",T235='לוח בקרה'!$C$5),OR('לוח בקרה'!$C$6="הכל",H235='לוח בקרה'!$C$6,I235='לוח בקרה'!$C$6),OR('לוח בקרה'!$C$7="הכל",J235='לוח בקרה'!$C$7),OR('לוח בקרה'!$C$8="הכל",L235='לוח בקרה'!$C$8),OR('לוח בקרה'!$C$9="הכל",Q235='לוח בקרה'!$C$9),OR('לוח בקרה'!$C$10="הכל",F235='לוח בקרה'!$C$10,G235='לוח בקרה'!$C$10),D235&lt;&gt;""),ROW()-2,"")</f>
        <v/>
      </c>
      <c r="AE235">
        <f>IF(AND(OR('טכנו'!$C$3="הכל",Z235='טכנו'!$C$3,AA235='טכנו'!$C$3,AB235='טכנו'!$C$3,AC235='טכנו'!$C$3),OR('טכנו'!$C$4="הכל",A235='טכנו'!$C$4),D235&lt;&gt;""),ROW()-2,"")</f>
        <v/>
      </c>
    </row>
    <row r="236">
      <c r="E236">
        <f>IFERROR(INDEX('הגדרות'!$I:$I,MATCH(B236,'הגדרות'!$H:$H,0)),"")</f>
        <v/>
      </c>
      <c r="Z236">
        <f>IFERROR(VLOOKUP(H236,'הגדרות'!$A:$D,2,FALSE),"")</f>
        <v/>
      </c>
      <c r="AA236">
        <f>IFERROR(VLOOKUP(H236,'הגדרות'!$A:$D,3,FALSE),"")</f>
        <v/>
      </c>
      <c r="AB236">
        <f>IFERROR(VLOOKUP(I236,'הגדרות'!$A:$D,2,FALSE),"")</f>
        <v/>
      </c>
      <c r="AC236">
        <f>IFERROR(VLOOKUP(I236,'הגדרות'!$A:$D,3,FALSE),"")</f>
        <v/>
      </c>
      <c r="AD236">
        <f>IF(AND(OR('לוח בקרה'!$C$3="הכל",Z236='לוח בקרה'!$C$3,AA236='לוח בקרה'!$C$3,AB236='לוח בקרה'!$C$3,AC236='לוח בקרה'!$C$3),OR('לוח בקרה'!$C$4="הכל",A236='לוח בקרה'!$C$4),OR('לוח בקרה'!$C$5="הכל",T236='לוח בקרה'!$C$5),OR('לוח בקרה'!$C$6="הכל",H236='לוח בקרה'!$C$6,I236='לוח בקרה'!$C$6),OR('לוח בקרה'!$C$7="הכל",J236='לוח בקרה'!$C$7),OR('לוח בקרה'!$C$8="הכל",L236='לוח בקרה'!$C$8),OR('לוח בקרה'!$C$9="הכל",Q236='לוח בקרה'!$C$9),OR('לוח בקרה'!$C$10="הכל",F236='לוח בקרה'!$C$10,G236='לוח בקרה'!$C$10),D236&lt;&gt;""),ROW()-2,"")</f>
        <v/>
      </c>
      <c r="AE236">
        <f>IF(AND(OR('טכנו'!$C$3="הכל",Z236='טכנו'!$C$3,AA236='טכנו'!$C$3,AB236='טכנו'!$C$3,AC236='טכנו'!$C$3),OR('טכנו'!$C$4="הכל",A236='טכנו'!$C$4),D236&lt;&gt;""),ROW()-2,"")</f>
        <v/>
      </c>
    </row>
    <row r="237">
      <c r="E237">
        <f>IFERROR(INDEX('הגדרות'!$I:$I,MATCH(B237,'הגדרות'!$H:$H,0)),"")</f>
        <v/>
      </c>
      <c r="Z237">
        <f>IFERROR(VLOOKUP(H237,'הגדרות'!$A:$D,2,FALSE),"")</f>
        <v/>
      </c>
      <c r="AA237">
        <f>IFERROR(VLOOKUP(H237,'הגדרות'!$A:$D,3,FALSE),"")</f>
        <v/>
      </c>
      <c r="AB237">
        <f>IFERROR(VLOOKUP(I237,'הגדרות'!$A:$D,2,FALSE),"")</f>
        <v/>
      </c>
      <c r="AC237">
        <f>IFERROR(VLOOKUP(I237,'הגדרות'!$A:$D,3,FALSE),"")</f>
        <v/>
      </c>
      <c r="AD237">
        <f>IF(AND(OR('לוח בקרה'!$C$3="הכל",Z237='לוח בקרה'!$C$3,AA237='לוח בקרה'!$C$3,AB237='לוח בקרה'!$C$3,AC237='לוח בקרה'!$C$3),OR('לוח בקרה'!$C$4="הכל",A237='לוח בקרה'!$C$4),OR('לוח בקרה'!$C$5="הכל",T237='לוח בקרה'!$C$5),OR('לוח בקרה'!$C$6="הכל",H237='לוח בקרה'!$C$6,I237='לוח בקרה'!$C$6),OR('לוח בקרה'!$C$7="הכל",J237='לוח בקרה'!$C$7),OR('לוח בקרה'!$C$8="הכל",L237='לוח בקרה'!$C$8),OR('לוח בקרה'!$C$9="הכל",Q237='לוח בקרה'!$C$9),OR('לוח בקרה'!$C$10="הכל",F237='לוח בקרה'!$C$10,G237='לוח בקרה'!$C$10),D237&lt;&gt;""),ROW()-2,"")</f>
        <v/>
      </c>
      <c r="AE237">
        <f>IF(AND(OR('טכנו'!$C$3="הכל",Z237='טכנו'!$C$3,AA237='טכנו'!$C$3,AB237='טכנו'!$C$3,AC237='טכנו'!$C$3),OR('טכנו'!$C$4="הכל",A237='טכנו'!$C$4),D237&lt;&gt;""),ROW()-2,"")</f>
        <v/>
      </c>
    </row>
    <row r="238">
      <c r="E238">
        <f>IFERROR(INDEX('הגדרות'!$I:$I,MATCH(B238,'הגדרות'!$H:$H,0)),"")</f>
        <v/>
      </c>
      <c r="Z238">
        <f>IFERROR(VLOOKUP(H238,'הגדרות'!$A:$D,2,FALSE),"")</f>
        <v/>
      </c>
      <c r="AA238">
        <f>IFERROR(VLOOKUP(H238,'הגדרות'!$A:$D,3,FALSE),"")</f>
        <v/>
      </c>
      <c r="AB238">
        <f>IFERROR(VLOOKUP(I238,'הגדרות'!$A:$D,2,FALSE),"")</f>
        <v/>
      </c>
      <c r="AC238">
        <f>IFERROR(VLOOKUP(I238,'הגדרות'!$A:$D,3,FALSE),"")</f>
        <v/>
      </c>
      <c r="AD238">
        <f>IF(AND(OR('לוח בקרה'!$C$3="הכל",Z238='לוח בקרה'!$C$3,AA238='לוח בקרה'!$C$3,AB238='לוח בקרה'!$C$3,AC238='לוח בקרה'!$C$3),OR('לוח בקרה'!$C$4="הכל",A238='לוח בקרה'!$C$4),OR('לוח בקרה'!$C$5="הכל",T238='לוח בקרה'!$C$5),OR('לוח בקרה'!$C$6="הכל",H238='לוח בקרה'!$C$6,I238='לוח בקרה'!$C$6),OR('לוח בקרה'!$C$7="הכל",J238='לוח בקרה'!$C$7),OR('לוח בקרה'!$C$8="הכל",L238='לוח בקרה'!$C$8),OR('לוח בקרה'!$C$9="הכל",Q238='לוח בקרה'!$C$9),OR('לוח בקרה'!$C$10="הכל",F238='לוח בקרה'!$C$10,G238='לוח בקרה'!$C$10),D238&lt;&gt;""),ROW()-2,"")</f>
        <v/>
      </c>
      <c r="AE238">
        <f>IF(AND(OR('טכנו'!$C$3="הכל",Z238='טכנו'!$C$3,AA238='טכנו'!$C$3,AB238='טכנו'!$C$3,AC238='טכנו'!$C$3),OR('טכנו'!$C$4="הכל",A238='טכנו'!$C$4),D238&lt;&gt;""),ROW()-2,"")</f>
        <v/>
      </c>
    </row>
    <row r="239">
      <c r="E239">
        <f>IFERROR(INDEX('הגדרות'!$I:$I,MATCH(B239,'הגדרות'!$H:$H,0)),"")</f>
        <v/>
      </c>
      <c r="Z239">
        <f>IFERROR(VLOOKUP(H239,'הגדרות'!$A:$D,2,FALSE),"")</f>
        <v/>
      </c>
      <c r="AA239">
        <f>IFERROR(VLOOKUP(H239,'הגדרות'!$A:$D,3,FALSE),"")</f>
        <v/>
      </c>
      <c r="AB239">
        <f>IFERROR(VLOOKUP(I239,'הגדרות'!$A:$D,2,FALSE),"")</f>
        <v/>
      </c>
      <c r="AC239">
        <f>IFERROR(VLOOKUP(I239,'הגדרות'!$A:$D,3,FALSE),"")</f>
        <v/>
      </c>
      <c r="AD239">
        <f>IF(AND(OR('לוח בקרה'!$C$3="הכל",Z239='לוח בקרה'!$C$3,AA239='לוח בקרה'!$C$3,AB239='לוח בקרה'!$C$3,AC239='לוח בקרה'!$C$3),OR('לוח בקרה'!$C$4="הכל",A239='לוח בקרה'!$C$4),OR('לוח בקרה'!$C$5="הכל",T239='לוח בקרה'!$C$5),OR('לוח בקרה'!$C$6="הכל",H239='לוח בקרה'!$C$6,I239='לוח בקרה'!$C$6),OR('לוח בקרה'!$C$7="הכל",J239='לוח בקרה'!$C$7),OR('לוח בקרה'!$C$8="הכל",L239='לוח בקרה'!$C$8),OR('לוח בקרה'!$C$9="הכל",Q239='לוח בקרה'!$C$9),OR('לוח בקרה'!$C$10="הכל",F239='לוח בקרה'!$C$10,G239='לוח בקרה'!$C$10),D239&lt;&gt;""),ROW()-2,"")</f>
        <v/>
      </c>
      <c r="AE239">
        <f>IF(AND(OR('טכנו'!$C$3="הכל",Z239='טכנו'!$C$3,AA239='טכנו'!$C$3,AB239='טכנו'!$C$3,AC239='טכנו'!$C$3),OR('טכנו'!$C$4="הכל",A239='טכנו'!$C$4),D239&lt;&gt;""),ROW()-2,"")</f>
        <v/>
      </c>
    </row>
    <row r="240">
      <c r="E240">
        <f>IFERROR(INDEX('הגדרות'!$I:$I,MATCH(B240,'הגדרות'!$H:$H,0)),"")</f>
        <v/>
      </c>
      <c r="Z240">
        <f>IFERROR(VLOOKUP(H240,'הגדרות'!$A:$D,2,FALSE),"")</f>
        <v/>
      </c>
      <c r="AA240">
        <f>IFERROR(VLOOKUP(H240,'הגדרות'!$A:$D,3,FALSE),"")</f>
        <v/>
      </c>
      <c r="AB240">
        <f>IFERROR(VLOOKUP(I240,'הגדרות'!$A:$D,2,FALSE),"")</f>
        <v/>
      </c>
      <c r="AC240">
        <f>IFERROR(VLOOKUP(I240,'הגדרות'!$A:$D,3,FALSE),"")</f>
        <v/>
      </c>
      <c r="AD240">
        <f>IF(AND(OR('לוח בקרה'!$C$3="הכל",Z240='לוח בקרה'!$C$3,AA240='לוח בקרה'!$C$3,AB240='לוח בקרה'!$C$3,AC240='לוח בקרה'!$C$3),OR('לוח בקרה'!$C$4="הכל",A240='לוח בקרה'!$C$4),OR('לוח בקרה'!$C$5="הכל",T240='לוח בקרה'!$C$5),OR('לוח בקרה'!$C$6="הכל",H240='לוח בקרה'!$C$6,I240='לוח בקרה'!$C$6),OR('לוח בקרה'!$C$7="הכל",J240='לוח בקרה'!$C$7),OR('לוח בקרה'!$C$8="הכל",L240='לוח בקרה'!$C$8),OR('לוח בקרה'!$C$9="הכל",Q240='לוח בקרה'!$C$9),OR('לוח בקרה'!$C$10="הכל",F240='לוח בקרה'!$C$10,G240='לוח בקרה'!$C$10),D240&lt;&gt;""),ROW()-2,"")</f>
        <v/>
      </c>
      <c r="AE240">
        <f>IF(AND(OR('טכנו'!$C$3="הכל",Z240='טכנו'!$C$3,AA240='טכנו'!$C$3,AB240='טכנו'!$C$3,AC240='טכנו'!$C$3),OR('טכנו'!$C$4="הכל",A240='טכנו'!$C$4),D240&lt;&gt;""),ROW()-2,"")</f>
        <v/>
      </c>
    </row>
    <row r="241">
      <c r="E241">
        <f>IFERROR(INDEX('הגדרות'!$I:$I,MATCH(B241,'הגדרות'!$H:$H,0)),"")</f>
        <v/>
      </c>
      <c r="Z241">
        <f>IFERROR(VLOOKUP(H241,'הגדרות'!$A:$D,2,FALSE),"")</f>
        <v/>
      </c>
      <c r="AA241">
        <f>IFERROR(VLOOKUP(H241,'הגדרות'!$A:$D,3,FALSE),"")</f>
        <v/>
      </c>
      <c r="AB241">
        <f>IFERROR(VLOOKUP(I241,'הגדרות'!$A:$D,2,FALSE),"")</f>
        <v/>
      </c>
      <c r="AC241">
        <f>IFERROR(VLOOKUP(I241,'הגדרות'!$A:$D,3,FALSE),"")</f>
        <v/>
      </c>
      <c r="AD241">
        <f>IF(AND(OR('לוח בקרה'!$C$3="הכל",Z241='לוח בקרה'!$C$3,AA241='לוח בקרה'!$C$3,AB241='לוח בקרה'!$C$3,AC241='לוח בקרה'!$C$3),OR('לוח בקרה'!$C$4="הכל",A241='לוח בקרה'!$C$4),OR('לוח בקרה'!$C$5="הכל",T241='לוח בקרה'!$C$5),OR('לוח בקרה'!$C$6="הכל",H241='לוח בקרה'!$C$6,I241='לוח בקרה'!$C$6),OR('לוח בקרה'!$C$7="הכל",J241='לוח בקרה'!$C$7),OR('לוח בקרה'!$C$8="הכל",L241='לוח בקרה'!$C$8),OR('לוח בקרה'!$C$9="הכל",Q241='לוח בקרה'!$C$9),OR('לוח בקרה'!$C$10="הכל",F241='לוח בקרה'!$C$10,G241='לוח בקרה'!$C$10),D241&lt;&gt;""),ROW()-2,"")</f>
        <v/>
      </c>
      <c r="AE241">
        <f>IF(AND(OR('טכנו'!$C$3="הכל",Z241='טכנו'!$C$3,AA241='טכנו'!$C$3,AB241='טכנו'!$C$3,AC241='טכנו'!$C$3),OR('טכנו'!$C$4="הכל",A241='טכנו'!$C$4),D241&lt;&gt;""),ROW()-2,"")</f>
        <v/>
      </c>
    </row>
    <row r="242">
      <c r="E242">
        <f>IFERROR(INDEX('הגדרות'!$I:$I,MATCH(B242,'הגדרות'!$H:$H,0)),"")</f>
        <v/>
      </c>
      <c r="Z242">
        <f>IFERROR(VLOOKUP(H242,'הגדרות'!$A:$D,2,FALSE),"")</f>
        <v/>
      </c>
      <c r="AA242">
        <f>IFERROR(VLOOKUP(H242,'הגדרות'!$A:$D,3,FALSE),"")</f>
        <v/>
      </c>
      <c r="AB242">
        <f>IFERROR(VLOOKUP(I242,'הגדרות'!$A:$D,2,FALSE),"")</f>
        <v/>
      </c>
      <c r="AC242">
        <f>IFERROR(VLOOKUP(I242,'הגדרות'!$A:$D,3,FALSE),"")</f>
        <v/>
      </c>
      <c r="AD242">
        <f>IF(AND(OR('לוח בקרה'!$C$3="הכל",Z242='לוח בקרה'!$C$3,AA242='לוח בקרה'!$C$3,AB242='לוח בקרה'!$C$3,AC242='לוח בקרה'!$C$3),OR('לוח בקרה'!$C$4="הכל",A242='לוח בקרה'!$C$4),OR('לוח בקרה'!$C$5="הכל",T242='לוח בקרה'!$C$5),OR('לוח בקרה'!$C$6="הכל",H242='לוח בקרה'!$C$6,I242='לוח בקרה'!$C$6),OR('לוח בקרה'!$C$7="הכל",J242='לוח בקרה'!$C$7),OR('לוח בקרה'!$C$8="הכל",L242='לוח בקרה'!$C$8),OR('לוח בקרה'!$C$9="הכל",Q242='לוח בקרה'!$C$9),OR('לוח בקרה'!$C$10="הכל",F242='לוח בקרה'!$C$10,G242='לוח בקרה'!$C$10),D242&lt;&gt;""),ROW()-2,"")</f>
        <v/>
      </c>
      <c r="AE242">
        <f>IF(AND(OR('טכנו'!$C$3="הכל",Z242='טכנו'!$C$3,AA242='טכנו'!$C$3,AB242='טכנו'!$C$3,AC242='טכנו'!$C$3),OR('טכנו'!$C$4="הכל",A242='טכנו'!$C$4),D242&lt;&gt;""),ROW()-2,"")</f>
        <v/>
      </c>
    </row>
    <row r="243">
      <c r="E243">
        <f>IFERROR(INDEX('הגדרות'!$I:$I,MATCH(B243,'הגדרות'!$H:$H,0)),"")</f>
        <v/>
      </c>
      <c r="Z243">
        <f>IFERROR(VLOOKUP(H243,'הגדרות'!$A:$D,2,FALSE),"")</f>
        <v/>
      </c>
      <c r="AA243">
        <f>IFERROR(VLOOKUP(H243,'הגדרות'!$A:$D,3,FALSE),"")</f>
        <v/>
      </c>
      <c r="AB243">
        <f>IFERROR(VLOOKUP(I243,'הגדרות'!$A:$D,2,FALSE),"")</f>
        <v/>
      </c>
      <c r="AC243">
        <f>IFERROR(VLOOKUP(I243,'הגדרות'!$A:$D,3,FALSE),"")</f>
        <v/>
      </c>
      <c r="AD243">
        <f>IF(AND(OR('לוח בקרה'!$C$3="הכל",Z243='לוח בקרה'!$C$3,AA243='לוח בקרה'!$C$3,AB243='לוח בקרה'!$C$3,AC243='לוח בקרה'!$C$3),OR('לוח בקרה'!$C$4="הכל",A243='לוח בקרה'!$C$4),OR('לוח בקרה'!$C$5="הכל",T243='לוח בקרה'!$C$5),OR('לוח בקרה'!$C$6="הכל",H243='לוח בקרה'!$C$6,I243='לוח בקרה'!$C$6),OR('לוח בקרה'!$C$7="הכל",J243='לוח בקרה'!$C$7),OR('לוח בקרה'!$C$8="הכל",L243='לוח בקרה'!$C$8),OR('לוח בקרה'!$C$9="הכל",Q243='לוח בקרה'!$C$9),OR('לוח בקרה'!$C$10="הכל",F243='לוח בקרה'!$C$10,G243='לוח בקרה'!$C$10),D243&lt;&gt;""),ROW()-2,"")</f>
        <v/>
      </c>
      <c r="AE243">
        <f>IF(AND(OR('טכנו'!$C$3="הכל",Z243='טכנו'!$C$3,AA243='טכנו'!$C$3,AB243='טכנו'!$C$3,AC243='טכנו'!$C$3),OR('טכנו'!$C$4="הכל",A243='טכנו'!$C$4),D243&lt;&gt;""),ROW()-2,"")</f>
        <v/>
      </c>
    </row>
    <row r="244">
      <c r="E244">
        <f>IFERROR(INDEX('הגדרות'!$I:$I,MATCH(B244,'הגדרות'!$H:$H,0)),"")</f>
        <v/>
      </c>
      <c r="Z244">
        <f>IFERROR(VLOOKUP(H244,'הגדרות'!$A:$D,2,FALSE),"")</f>
        <v/>
      </c>
      <c r="AA244">
        <f>IFERROR(VLOOKUP(H244,'הגדרות'!$A:$D,3,FALSE),"")</f>
        <v/>
      </c>
      <c r="AB244">
        <f>IFERROR(VLOOKUP(I244,'הגדרות'!$A:$D,2,FALSE),"")</f>
        <v/>
      </c>
      <c r="AC244">
        <f>IFERROR(VLOOKUP(I244,'הגדרות'!$A:$D,3,FALSE),"")</f>
        <v/>
      </c>
      <c r="AD244">
        <f>IF(AND(OR('לוח בקרה'!$C$3="הכל",Z244='לוח בקרה'!$C$3,AA244='לוח בקרה'!$C$3,AB244='לוח בקרה'!$C$3,AC244='לוח בקרה'!$C$3),OR('לוח בקרה'!$C$4="הכל",A244='לוח בקרה'!$C$4),OR('לוח בקרה'!$C$5="הכל",T244='לוח בקרה'!$C$5),OR('לוח בקרה'!$C$6="הכל",H244='לוח בקרה'!$C$6,I244='לוח בקרה'!$C$6),OR('לוח בקרה'!$C$7="הכל",J244='לוח בקרה'!$C$7),OR('לוח בקרה'!$C$8="הכל",L244='לוח בקרה'!$C$8),OR('לוח בקרה'!$C$9="הכל",Q244='לוח בקרה'!$C$9),OR('לוח בקרה'!$C$10="הכל",F244='לוח בקרה'!$C$10,G244='לוח בקרה'!$C$10),D244&lt;&gt;""),ROW()-2,"")</f>
        <v/>
      </c>
      <c r="AE244">
        <f>IF(AND(OR('טכנו'!$C$3="הכל",Z244='טכנו'!$C$3,AA244='טכנו'!$C$3,AB244='טכנו'!$C$3,AC244='טכנו'!$C$3),OR('טכנו'!$C$4="הכל",A244='טכנו'!$C$4),D244&lt;&gt;""),ROW()-2,"")</f>
        <v/>
      </c>
    </row>
    <row r="245">
      <c r="E245">
        <f>IFERROR(INDEX('הגדרות'!$I:$I,MATCH(B245,'הגדרות'!$H:$H,0)),"")</f>
        <v/>
      </c>
      <c r="Z245">
        <f>IFERROR(VLOOKUP(H245,'הגדרות'!$A:$D,2,FALSE),"")</f>
        <v/>
      </c>
      <c r="AA245">
        <f>IFERROR(VLOOKUP(H245,'הגדרות'!$A:$D,3,FALSE),"")</f>
        <v/>
      </c>
      <c r="AB245">
        <f>IFERROR(VLOOKUP(I245,'הגדרות'!$A:$D,2,FALSE),"")</f>
        <v/>
      </c>
      <c r="AC245">
        <f>IFERROR(VLOOKUP(I245,'הגדרות'!$A:$D,3,FALSE),"")</f>
        <v/>
      </c>
      <c r="AD245">
        <f>IF(AND(OR('לוח בקרה'!$C$3="הכל",Z245='לוח בקרה'!$C$3,AA245='לוח בקרה'!$C$3,AB245='לוח בקרה'!$C$3,AC245='לוח בקרה'!$C$3),OR('לוח בקרה'!$C$4="הכל",A245='לוח בקרה'!$C$4),OR('לוח בקרה'!$C$5="הכל",T245='לוח בקרה'!$C$5),OR('לוח בקרה'!$C$6="הכל",H245='לוח בקרה'!$C$6,I245='לוח בקרה'!$C$6),OR('לוח בקרה'!$C$7="הכל",J245='לוח בקרה'!$C$7),OR('לוח בקרה'!$C$8="הכל",L245='לוח בקרה'!$C$8),OR('לוח בקרה'!$C$9="הכל",Q245='לוח בקרה'!$C$9),OR('לוח בקרה'!$C$10="הכל",F245='לוח בקרה'!$C$10,G245='לוח בקרה'!$C$10),D245&lt;&gt;""),ROW()-2,"")</f>
        <v/>
      </c>
      <c r="AE245">
        <f>IF(AND(OR('טכנו'!$C$3="הכל",Z245='טכנו'!$C$3,AA245='טכנו'!$C$3,AB245='טכנו'!$C$3,AC245='טכנו'!$C$3),OR('טכנו'!$C$4="הכל",A245='טכנו'!$C$4),D245&lt;&gt;""),ROW()-2,"")</f>
        <v/>
      </c>
    </row>
    <row r="246">
      <c r="E246">
        <f>IFERROR(INDEX('הגדרות'!$I:$I,MATCH(B246,'הגדרות'!$H:$H,0)),"")</f>
        <v/>
      </c>
      <c r="Z246">
        <f>IFERROR(VLOOKUP(H246,'הגדרות'!$A:$D,2,FALSE),"")</f>
        <v/>
      </c>
      <c r="AA246">
        <f>IFERROR(VLOOKUP(H246,'הגדרות'!$A:$D,3,FALSE),"")</f>
        <v/>
      </c>
      <c r="AB246">
        <f>IFERROR(VLOOKUP(I246,'הגדרות'!$A:$D,2,FALSE),"")</f>
        <v/>
      </c>
      <c r="AC246">
        <f>IFERROR(VLOOKUP(I246,'הגדרות'!$A:$D,3,FALSE),"")</f>
        <v/>
      </c>
      <c r="AD246">
        <f>IF(AND(OR('לוח בקרה'!$C$3="הכל",Z246='לוח בקרה'!$C$3,AA246='לוח בקרה'!$C$3,AB246='לוח בקרה'!$C$3,AC246='לוח בקרה'!$C$3),OR('לוח בקרה'!$C$4="הכל",A246='לוח בקרה'!$C$4),OR('לוח בקרה'!$C$5="הכל",T246='לוח בקרה'!$C$5),OR('לוח בקרה'!$C$6="הכל",H246='לוח בקרה'!$C$6,I246='לוח בקרה'!$C$6),OR('לוח בקרה'!$C$7="הכל",J246='לוח בקרה'!$C$7),OR('לוח בקרה'!$C$8="הכל",L246='לוח בקרה'!$C$8),OR('לוח בקרה'!$C$9="הכל",Q246='לוח בקרה'!$C$9),OR('לוח בקרה'!$C$10="הכל",F246='לוח בקרה'!$C$10,G246='לוח בקרה'!$C$10),D246&lt;&gt;""),ROW()-2,"")</f>
        <v/>
      </c>
      <c r="AE246">
        <f>IF(AND(OR('טכנו'!$C$3="הכל",Z246='טכנו'!$C$3,AA246='טכנו'!$C$3,AB246='טכנו'!$C$3,AC246='טכנו'!$C$3),OR('טכנו'!$C$4="הכל",A246='טכנו'!$C$4),D246&lt;&gt;""),ROW()-2,"")</f>
        <v/>
      </c>
    </row>
    <row r="247">
      <c r="E247">
        <f>IFERROR(INDEX('הגדרות'!$I:$I,MATCH(B247,'הגדרות'!$H:$H,0)),"")</f>
        <v/>
      </c>
      <c r="Z247">
        <f>IFERROR(VLOOKUP(H247,'הגדרות'!$A:$D,2,FALSE),"")</f>
        <v/>
      </c>
      <c r="AA247">
        <f>IFERROR(VLOOKUP(H247,'הגדרות'!$A:$D,3,FALSE),"")</f>
        <v/>
      </c>
      <c r="AB247">
        <f>IFERROR(VLOOKUP(I247,'הגדרות'!$A:$D,2,FALSE),"")</f>
        <v/>
      </c>
      <c r="AC247">
        <f>IFERROR(VLOOKUP(I247,'הגדרות'!$A:$D,3,FALSE),"")</f>
        <v/>
      </c>
      <c r="AD247">
        <f>IF(AND(OR('לוח בקרה'!$C$3="הכל",Z247='לוח בקרה'!$C$3,AA247='לוח בקרה'!$C$3,AB247='לוח בקרה'!$C$3,AC247='לוח בקרה'!$C$3),OR('לוח בקרה'!$C$4="הכל",A247='לוח בקרה'!$C$4),OR('לוח בקרה'!$C$5="הכל",T247='לוח בקרה'!$C$5),OR('לוח בקרה'!$C$6="הכל",H247='לוח בקרה'!$C$6,I247='לוח בקרה'!$C$6),OR('לוח בקרה'!$C$7="הכל",J247='לוח בקרה'!$C$7),OR('לוח בקרה'!$C$8="הכל",L247='לוח בקרה'!$C$8),OR('לוח בקרה'!$C$9="הכל",Q247='לוח בקרה'!$C$9),OR('לוח בקרה'!$C$10="הכל",F247='לוח בקרה'!$C$10,G247='לוח בקרה'!$C$10),D247&lt;&gt;""),ROW()-2,"")</f>
        <v/>
      </c>
      <c r="AE247">
        <f>IF(AND(OR('טכנו'!$C$3="הכל",Z247='טכנו'!$C$3,AA247='טכנו'!$C$3,AB247='טכנו'!$C$3,AC247='טכנו'!$C$3),OR('טכנו'!$C$4="הכל",A247='טכנו'!$C$4),D247&lt;&gt;""),ROW()-2,"")</f>
        <v/>
      </c>
    </row>
    <row r="248">
      <c r="E248">
        <f>IFERROR(INDEX('הגדרות'!$I:$I,MATCH(B248,'הגדרות'!$H:$H,0)),"")</f>
        <v/>
      </c>
      <c r="Z248">
        <f>IFERROR(VLOOKUP(H248,'הגדרות'!$A:$D,2,FALSE),"")</f>
        <v/>
      </c>
      <c r="AA248">
        <f>IFERROR(VLOOKUP(H248,'הגדרות'!$A:$D,3,FALSE),"")</f>
        <v/>
      </c>
      <c r="AB248">
        <f>IFERROR(VLOOKUP(I248,'הגדרות'!$A:$D,2,FALSE),"")</f>
        <v/>
      </c>
      <c r="AC248">
        <f>IFERROR(VLOOKUP(I248,'הגדרות'!$A:$D,3,FALSE),"")</f>
        <v/>
      </c>
      <c r="AD248">
        <f>IF(AND(OR('לוח בקרה'!$C$3="הכל",Z248='לוח בקרה'!$C$3,AA248='לוח בקרה'!$C$3,AB248='לוח בקרה'!$C$3,AC248='לוח בקרה'!$C$3),OR('לוח בקרה'!$C$4="הכל",A248='לוח בקרה'!$C$4),OR('לוח בקרה'!$C$5="הכל",T248='לוח בקרה'!$C$5),OR('לוח בקרה'!$C$6="הכל",H248='לוח בקרה'!$C$6,I248='לוח בקרה'!$C$6),OR('לוח בקרה'!$C$7="הכל",J248='לוח בקרה'!$C$7),OR('לוח בקרה'!$C$8="הכל",L248='לוח בקרה'!$C$8),OR('לוח בקרה'!$C$9="הכל",Q248='לוח בקרה'!$C$9),OR('לוח בקרה'!$C$10="הכל",F248='לוח בקרה'!$C$10,G248='לוח בקרה'!$C$10),D248&lt;&gt;""),ROW()-2,"")</f>
        <v/>
      </c>
      <c r="AE248">
        <f>IF(AND(OR('טכנו'!$C$3="הכל",Z248='טכנו'!$C$3,AA248='טכנו'!$C$3,AB248='טכנו'!$C$3,AC248='טכנו'!$C$3),OR('טכנו'!$C$4="הכל",A248='טכנו'!$C$4),D248&lt;&gt;""),ROW()-2,"")</f>
        <v/>
      </c>
    </row>
    <row r="249">
      <c r="E249">
        <f>IFERROR(INDEX('הגדרות'!$I:$I,MATCH(B249,'הגדרות'!$H:$H,0)),"")</f>
        <v/>
      </c>
      <c r="Z249">
        <f>IFERROR(VLOOKUP(H249,'הגדרות'!$A:$D,2,FALSE),"")</f>
        <v/>
      </c>
      <c r="AA249">
        <f>IFERROR(VLOOKUP(H249,'הגדרות'!$A:$D,3,FALSE),"")</f>
        <v/>
      </c>
      <c r="AB249">
        <f>IFERROR(VLOOKUP(I249,'הגדרות'!$A:$D,2,FALSE),"")</f>
        <v/>
      </c>
      <c r="AC249">
        <f>IFERROR(VLOOKUP(I249,'הגדרות'!$A:$D,3,FALSE),"")</f>
        <v/>
      </c>
      <c r="AD249">
        <f>IF(AND(OR('לוח בקרה'!$C$3="הכל",Z249='לוח בקרה'!$C$3,AA249='לוח בקרה'!$C$3,AB249='לוח בקרה'!$C$3,AC249='לוח בקרה'!$C$3),OR('לוח בקרה'!$C$4="הכל",A249='לוח בקרה'!$C$4),OR('לוח בקרה'!$C$5="הכל",T249='לוח בקרה'!$C$5),OR('לוח בקרה'!$C$6="הכל",H249='לוח בקרה'!$C$6,I249='לוח בקרה'!$C$6),OR('לוח בקרה'!$C$7="הכל",J249='לוח בקרה'!$C$7),OR('לוח בקרה'!$C$8="הכל",L249='לוח בקרה'!$C$8),OR('לוח בקרה'!$C$9="הכל",Q249='לוח בקרה'!$C$9),OR('לוח בקרה'!$C$10="הכל",F249='לוח בקרה'!$C$10,G249='לוח בקרה'!$C$10),D249&lt;&gt;""),ROW()-2,"")</f>
        <v/>
      </c>
      <c r="AE249">
        <f>IF(AND(OR('טכנו'!$C$3="הכל",Z249='טכנו'!$C$3,AA249='טכנו'!$C$3,AB249='טכנו'!$C$3,AC249='טכנו'!$C$3),OR('טכנו'!$C$4="הכל",A249='טכנו'!$C$4),D249&lt;&gt;""),ROW()-2,"")</f>
        <v/>
      </c>
    </row>
    <row r="250">
      <c r="E250">
        <f>IFERROR(INDEX('הגדרות'!$I:$I,MATCH(B250,'הגדרות'!$H:$H,0)),"")</f>
        <v/>
      </c>
      <c r="Z250">
        <f>IFERROR(VLOOKUP(H250,'הגדרות'!$A:$D,2,FALSE),"")</f>
        <v/>
      </c>
      <c r="AA250">
        <f>IFERROR(VLOOKUP(H250,'הגדרות'!$A:$D,3,FALSE),"")</f>
        <v/>
      </c>
      <c r="AB250">
        <f>IFERROR(VLOOKUP(I250,'הגדרות'!$A:$D,2,FALSE),"")</f>
        <v/>
      </c>
      <c r="AC250">
        <f>IFERROR(VLOOKUP(I250,'הגדרות'!$A:$D,3,FALSE),"")</f>
        <v/>
      </c>
      <c r="AD250">
        <f>IF(AND(OR('לוח בקרה'!$C$3="הכל",Z250='לוח בקרה'!$C$3,AA250='לוח בקרה'!$C$3,AB250='לוח בקרה'!$C$3,AC250='לוח בקרה'!$C$3),OR('לוח בקרה'!$C$4="הכל",A250='לוח בקרה'!$C$4),OR('לוח בקרה'!$C$5="הכל",T250='לוח בקרה'!$C$5),OR('לוח בקרה'!$C$6="הכל",H250='לוח בקרה'!$C$6,I250='לוח בקרה'!$C$6),OR('לוח בקרה'!$C$7="הכל",J250='לוח בקרה'!$C$7),OR('לוח בקרה'!$C$8="הכל",L250='לוח בקרה'!$C$8),OR('לוח בקרה'!$C$9="הכל",Q250='לוח בקרה'!$C$9),OR('לוח בקרה'!$C$10="הכל",F250='לוח בקרה'!$C$10,G250='לוח בקרה'!$C$10),D250&lt;&gt;""),ROW()-2,"")</f>
        <v/>
      </c>
      <c r="AE250">
        <f>IF(AND(OR('טכנו'!$C$3="הכל",Z250='טכנו'!$C$3,AA250='טכנו'!$C$3,AB250='טכנו'!$C$3,AC250='טכנו'!$C$3),OR('טכנו'!$C$4="הכל",A250='טכנו'!$C$4),D250&lt;&gt;""),ROW()-2,"")</f>
        <v/>
      </c>
    </row>
    <row r="251">
      <c r="E251">
        <f>IFERROR(INDEX('הגדרות'!$I:$I,MATCH(B251,'הגדרות'!$H:$H,0)),"")</f>
        <v/>
      </c>
      <c r="Z251">
        <f>IFERROR(VLOOKUP(H251,'הגדרות'!$A:$D,2,FALSE),"")</f>
        <v/>
      </c>
      <c r="AA251">
        <f>IFERROR(VLOOKUP(H251,'הגדרות'!$A:$D,3,FALSE),"")</f>
        <v/>
      </c>
      <c r="AB251">
        <f>IFERROR(VLOOKUP(I251,'הגדרות'!$A:$D,2,FALSE),"")</f>
        <v/>
      </c>
      <c r="AC251">
        <f>IFERROR(VLOOKUP(I251,'הגדרות'!$A:$D,3,FALSE),"")</f>
        <v/>
      </c>
      <c r="AD251">
        <f>IF(AND(OR('לוח בקרה'!$C$3="הכל",Z251='לוח בקרה'!$C$3,AA251='לוח בקרה'!$C$3,AB251='לוח בקרה'!$C$3,AC251='לוח בקרה'!$C$3),OR('לוח בקרה'!$C$4="הכל",A251='לוח בקרה'!$C$4),OR('לוח בקרה'!$C$5="הכל",T251='לוח בקרה'!$C$5),OR('לוח בקרה'!$C$6="הכל",H251='לוח בקרה'!$C$6,I251='לוח בקרה'!$C$6),OR('לוח בקרה'!$C$7="הכל",J251='לוח בקרה'!$C$7),OR('לוח בקרה'!$C$8="הכל",L251='לוח בקרה'!$C$8),OR('לוח בקרה'!$C$9="הכל",Q251='לוח בקרה'!$C$9),OR('לוח בקרה'!$C$10="הכל",F251='לוח בקרה'!$C$10,G251='לוח בקרה'!$C$10),D251&lt;&gt;""),ROW()-2,"")</f>
        <v/>
      </c>
      <c r="AE251">
        <f>IF(AND(OR('טכנו'!$C$3="הכל",Z251='טכנו'!$C$3,AA251='טכנו'!$C$3,AB251='טכנו'!$C$3,AC251='טכנו'!$C$3),OR('טכנו'!$C$4="הכל",A251='טכנו'!$C$4),D251&lt;&gt;""),ROW()-2,"")</f>
        <v/>
      </c>
    </row>
    <row r="252">
      <c r="E252">
        <f>IFERROR(INDEX('הגדרות'!$I:$I,MATCH(B252,'הגדרות'!$H:$H,0)),"")</f>
        <v/>
      </c>
      <c r="Z252">
        <f>IFERROR(VLOOKUP(H252,'הגדרות'!$A:$D,2,FALSE),"")</f>
        <v/>
      </c>
      <c r="AA252">
        <f>IFERROR(VLOOKUP(H252,'הגדרות'!$A:$D,3,FALSE),"")</f>
        <v/>
      </c>
      <c r="AB252">
        <f>IFERROR(VLOOKUP(I252,'הגדרות'!$A:$D,2,FALSE),"")</f>
        <v/>
      </c>
      <c r="AC252">
        <f>IFERROR(VLOOKUP(I252,'הגדרות'!$A:$D,3,FALSE),"")</f>
        <v/>
      </c>
      <c r="AD252">
        <f>IF(AND(OR('לוח בקרה'!$C$3="הכל",Z252='לוח בקרה'!$C$3,AA252='לוח בקרה'!$C$3,AB252='לוח בקרה'!$C$3,AC252='לוח בקרה'!$C$3),OR('לוח בקרה'!$C$4="הכל",A252='לוח בקרה'!$C$4),OR('לוח בקרה'!$C$5="הכל",T252='לוח בקרה'!$C$5),OR('לוח בקרה'!$C$6="הכל",H252='לוח בקרה'!$C$6,I252='לוח בקרה'!$C$6),OR('לוח בקרה'!$C$7="הכל",J252='לוח בקרה'!$C$7),OR('לוח בקרה'!$C$8="הכל",L252='לוח בקרה'!$C$8),OR('לוח בקרה'!$C$9="הכל",Q252='לוח בקרה'!$C$9),OR('לוח בקרה'!$C$10="הכל",F252='לוח בקרה'!$C$10,G252='לוח בקרה'!$C$10),D252&lt;&gt;""),ROW()-2,"")</f>
        <v/>
      </c>
      <c r="AE252">
        <f>IF(AND(OR('טכנו'!$C$3="הכל",Z252='טכנו'!$C$3,AA252='טכנו'!$C$3,AB252='טכנו'!$C$3,AC252='טכנו'!$C$3),OR('טכנו'!$C$4="הכל",A252='טכנו'!$C$4),D252&lt;&gt;""),ROW()-2,"")</f>
        <v/>
      </c>
    </row>
    <row r="253">
      <c r="E253">
        <f>IFERROR(INDEX('הגדרות'!$I:$I,MATCH(B253,'הגדרות'!$H:$H,0)),"")</f>
        <v/>
      </c>
      <c r="Z253">
        <f>IFERROR(VLOOKUP(H253,'הגדרות'!$A:$D,2,FALSE),"")</f>
        <v/>
      </c>
      <c r="AA253">
        <f>IFERROR(VLOOKUP(H253,'הגדרות'!$A:$D,3,FALSE),"")</f>
        <v/>
      </c>
      <c r="AB253">
        <f>IFERROR(VLOOKUP(I253,'הגדרות'!$A:$D,2,FALSE),"")</f>
        <v/>
      </c>
      <c r="AC253">
        <f>IFERROR(VLOOKUP(I253,'הגדרות'!$A:$D,3,FALSE),"")</f>
        <v/>
      </c>
      <c r="AD253">
        <f>IF(AND(OR('לוח בקרה'!$C$3="הכל",Z253='לוח בקרה'!$C$3,AA253='לוח בקרה'!$C$3,AB253='לוח בקרה'!$C$3,AC253='לוח בקרה'!$C$3),OR('לוח בקרה'!$C$4="הכל",A253='לוח בקרה'!$C$4),OR('לוח בקרה'!$C$5="הכל",T253='לוח בקרה'!$C$5),OR('לוח בקרה'!$C$6="הכל",H253='לוח בקרה'!$C$6,I253='לוח בקרה'!$C$6),OR('לוח בקרה'!$C$7="הכל",J253='לוח בקרה'!$C$7),OR('לוח בקרה'!$C$8="הכל",L253='לוח בקרה'!$C$8),OR('לוח בקרה'!$C$9="הכל",Q253='לוח בקרה'!$C$9),OR('לוח בקרה'!$C$10="הכל",F253='לוח בקרה'!$C$10,G253='לוח בקרה'!$C$10),D253&lt;&gt;""),ROW()-2,"")</f>
        <v/>
      </c>
      <c r="AE253">
        <f>IF(AND(OR('טכנו'!$C$3="הכל",Z253='טכנו'!$C$3,AA253='טכנו'!$C$3,AB253='טכנו'!$C$3,AC253='טכנו'!$C$3),OR('טכנו'!$C$4="הכל",A253='טכנו'!$C$4),D253&lt;&gt;""),ROW()-2,"")</f>
        <v/>
      </c>
    </row>
    <row r="254">
      <c r="E254">
        <f>IFERROR(INDEX('הגדרות'!$I:$I,MATCH(B254,'הגדרות'!$H:$H,0)),"")</f>
        <v/>
      </c>
      <c r="Z254">
        <f>IFERROR(VLOOKUP(H254,'הגדרות'!$A:$D,2,FALSE),"")</f>
        <v/>
      </c>
      <c r="AA254">
        <f>IFERROR(VLOOKUP(H254,'הגדרות'!$A:$D,3,FALSE),"")</f>
        <v/>
      </c>
      <c r="AB254">
        <f>IFERROR(VLOOKUP(I254,'הגדרות'!$A:$D,2,FALSE),"")</f>
        <v/>
      </c>
      <c r="AC254">
        <f>IFERROR(VLOOKUP(I254,'הגדרות'!$A:$D,3,FALSE),"")</f>
        <v/>
      </c>
      <c r="AD254">
        <f>IF(AND(OR('לוח בקרה'!$C$3="הכל",Z254='לוח בקרה'!$C$3,AA254='לוח בקרה'!$C$3,AB254='לוח בקרה'!$C$3,AC254='לוח בקרה'!$C$3),OR('לוח בקרה'!$C$4="הכל",A254='לוח בקרה'!$C$4),OR('לוח בקרה'!$C$5="הכל",T254='לוח בקרה'!$C$5),OR('לוח בקרה'!$C$6="הכל",H254='לוח בקרה'!$C$6,I254='לוח בקרה'!$C$6),OR('לוח בקרה'!$C$7="הכל",J254='לוח בקרה'!$C$7),OR('לוח בקרה'!$C$8="הכל",L254='לוח בקרה'!$C$8),OR('לוח בקרה'!$C$9="הכל",Q254='לוח בקרה'!$C$9),OR('לוח בקרה'!$C$10="הכל",F254='לוח בקרה'!$C$10,G254='לוח בקרה'!$C$10),D254&lt;&gt;""),ROW()-2,"")</f>
        <v/>
      </c>
      <c r="AE254">
        <f>IF(AND(OR('טכנו'!$C$3="הכל",Z254='טכנו'!$C$3,AA254='טכנו'!$C$3,AB254='טכנו'!$C$3,AC254='טכנו'!$C$3),OR('טכנו'!$C$4="הכל",A254='טכנו'!$C$4),D254&lt;&gt;""),ROW()-2,"")</f>
        <v/>
      </c>
    </row>
    <row r="255">
      <c r="E255">
        <f>IFERROR(INDEX('הגדרות'!$I:$I,MATCH(B255,'הגדרות'!$H:$H,0)),"")</f>
        <v/>
      </c>
      <c r="Z255">
        <f>IFERROR(VLOOKUP(H255,'הגדרות'!$A:$D,2,FALSE),"")</f>
        <v/>
      </c>
      <c r="AA255">
        <f>IFERROR(VLOOKUP(H255,'הגדרות'!$A:$D,3,FALSE),"")</f>
        <v/>
      </c>
      <c r="AB255">
        <f>IFERROR(VLOOKUP(I255,'הגדרות'!$A:$D,2,FALSE),"")</f>
        <v/>
      </c>
      <c r="AC255">
        <f>IFERROR(VLOOKUP(I255,'הגדרות'!$A:$D,3,FALSE),"")</f>
        <v/>
      </c>
      <c r="AD255">
        <f>IF(AND(OR('לוח בקרה'!$C$3="הכל",Z255='לוח בקרה'!$C$3,AA255='לוח בקרה'!$C$3,AB255='לוח בקרה'!$C$3,AC255='לוח בקרה'!$C$3),OR('לוח בקרה'!$C$4="הכל",A255='לוח בקרה'!$C$4),OR('לוח בקרה'!$C$5="הכל",T255='לוח בקרה'!$C$5),OR('לוח בקרה'!$C$6="הכל",H255='לוח בקרה'!$C$6,I255='לוח בקרה'!$C$6),OR('לוח בקרה'!$C$7="הכל",J255='לוח בקרה'!$C$7),OR('לוח בקרה'!$C$8="הכל",L255='לוח בקרה'!$C$8),OR('לוח בקרה'!$C$9="הכל",Q255='לוח בקרה'!$C$9),OR('לוח בקרה'!$C$10="הכל",F255='לוח בקרה'!$C$10,G255='לוח בקרה'!$C$10),D255&lt;&gt;""),ROW()-2,"")</f>
        <v/>
      </c>
      <c r="AE255">
        <f>IF(AND(OR('טכנו'!$C$3="הכל",Z255='טכנו'!$C$3,AA255='טכנו'!$C$3,AB255='טכנו'!$C$3,AC255='טכנו'!$C$3),OR('טכנו'!$C$4="הכל",A255='טכנו'!$C$4),D255&lt;&gt;""),ROW()-2,"")</f>
        <v/>
      </c>
    </row>
    <row r="256">
      <c r="E256">
        <f>IFERROR(INDEX('הגדרות'!$I:$I,MATCH(B256,'הגדרות'!$H:$H,0)),"")</f>
        <v/>
      </c>
      <c r="Z256">
        <f>IFERROR(VLOOKUP(H256,'הגדרות'!$A:$D,2,FALSE),"")</f>
        <v/>
      </c>
      <c r="AA256">
        <f>IFERROR(VLOOKUP(H256,'הגדרות'!$A:$D,3,FALSE),"")</f>
        <v/>
      </c>
      <c r="AB256">
        <f>IFERROR(VLOOKUP(I256,'הגדרות'!$A:$D,2,FALSE),"")</f>
        <v/>
      </c>
      <c r="AC256">
        <f>IFERROR(VLOOKUP(I256,'הגדרות'!$A:$D,3,FALSE),"")</f>
        <v/>
      </c>
      <c r="AD256">
        <f>IF(AND(OR('לוח בקרה'!$C$3="הכל",Z256='לוח בקרה'!$C$3,AA256='לוח בקרה'!$C$3,AB256='לוח בקרה'!$C$3,AC256='לוח בקרה'!$C$3),OR('לוח בקרה'!$C$4="הכל",A256='לוח בקרה'!$C$4),OR('לוח בקרה'!$C$5="הכל",T256='לוח בקרה'!$C$5),OR('לוח בקרה'!$C$6="הכל",H256='לוח בקרה'!$C$6,I256='לוח בקרה'!$C$6),OR('לוח בקרה'!$C$7="הכל",J256='לוח בקרה'!$C$7),OR('לוח בקרה'!$C$8="הכל",L256='לוח בקרה'!$C$8),OR('לוח בקרה'!$C$9="הכל",Q256='לוח בקרה'!$C$9),OR('לוח בקרה'!$C$10="הכל",F256='לוח בקרה'!$C$10,G256='לוח בקרה'!$C$10),D256&lt;&gt;""),ROW()-2,"")</f>
        <v/>
      </c>
      <c r="AE256">
        <f>IF(AND(OR('טכנו'!$C$3="הכל",Z256='טכנו'!$C$3,AA256='טכנו'!$C$3,AB256='טכנו'!$C$3,AC256='טכנו'!$C$3),OR('טכנו'!$C$4="הכל",A256='טכנו'!$C$4),D256&lt;&gt;""),ROW()-2,"")</f>
        <v/>
      </c>
    </row>
    <row r="257">
      <c r="E257">
        <f>IFERROR(INDEX('הגדרות'!$I:$I,MATCH(B257,'הגדרות'!$H:$H,0)),"")</f>
        <v/>
      </c>
      <c r="Z257">
        <f>IFERROR(VLOOKUP(H257,'הגדרות'!$A:$D,2,FALSE),"")</f>
        <v/>
      </c>
      <c r="AA257">
        <f>IFERROR(VLOOKUP(H257,'הגדרות'!$A:$D,3,FALSE),"")</f>
        <v/>
      </c>
      <c r="AB257">
        <f>IFERROR(VLOOKUP(I257,'הגדרות'!$A:$D,2,FALSE),"")</f>
        <v/>
      </c>
      <c r="AC257">
        <f>IFERROR(VLOOKUP(I257,'הגדרות'!$A:$D,3,FALSE),"")</f>
        <v/>
      </c>
      <c r="AD257">
        <f>IF(AND(OR('לוח בקרה'!$C$3="הכל",Z257='לוח בקרה'!$C$3,AA257='לוח בקרה'!$C$3,AB257='לוח בקרה'!$C$3,AC257='לוח בקרה'!$C$3),OR('לוח בקרה'!$C$4="הכל",A257='לוח בקרה'!$C$4),OR('לוח בקרה'!$C$5="הכל",T257='לוח בקרה'!$C$5),OR('לוח בקרה'!$C$6="הכל",H257='לוח בקרה'!$C$6,I257='לוח בקרה'!$C$6),OR('לוח בקרה'!$C$7="הכל",J257='לוח בקרה'!$C$7),OR('לוח בקרה'!$C$8="הכל",L257='לוח בקרה'!$C$8),OR('לוח בקרה'!$C$9="הכל",Q257='לוח בקרה'!$C$9),OR('לוח בקרה'!$C$10="הכל",F257='לוח בקרה'!$C$10,G257='לוח בקרה'!$C$10),D257&lt;&gt;""),ROW()-2,"")</f>
        <v/>
      </c>
      <c r="AE257">
        <f>IF(AND(OR('טכנו'!$C$3="הכל",Z257='טכנו'!$C$3,AA257='טכנו'!$C$3,AB257='טכנו'!$C$3,AC257='טכנו'!$C$3),OR('טכנו'!$C$4="הכל",A257='טכנו'!$C$4),D257&lt;&gt;""),ROW()-2,"")</f>
        <v/>
      </c>
    </row>
    <row r="258">
      <c r="E258">
        <f>IFERROR(INDEX('הגדרות'!$I:$I,MATCH(B258,'הגדרות'!$H:$H,0)),"")</f>
        <v/>
      </c>
      <c r="Z258">
        <f>IFERROR(VLOOKUP(H258,'הגדרות'!$A:$D,2,FALSE),"")</f>
        <v/>
      </c>
      <c r="AA258">
        <f>IFERROR(VLOOKUP(H258,'הגדרות'!$A:$D,3,FALSE),"")</f>
        <v/>
      </c>
      <c r="AB258">
        <f>IFERROR(VLOOKUP(I258,'הגדרות'!$A:$D,2,FALSE),"")</f>
        <v/>
      </c>
      <c r="AC258">
        <f>IFERROR(VLOOKUP(I258,'הגדרות'!$A:$D,3,FALSE),"")</f>
        <v/>
      </c>
      <c r="AD258">
        <f>IF(AND(OR('לוח בקרה'!$C$3="הכל",Z258='לוח בקרה'!$C$3,AA258='לוח בקרה'!$C$3,AB258='לוח בקרה'!$C$3,AC258='לוח בקרה'!$C$3),OR('לוח בקרה'!$C$4="הכל",A258='לוח בקרה'!$C$4),OR('לוח בקרה'!$C$5="הכל",T258='לוח בקרה'!$C$5),OR('לוח בקרה'!$C$6="הכל",H258='לוח בקרה'!$C$6,I258='לוח בקרה'!$C$6),OR('לוח בקרה'!$C$7="הכל",J258='לוח בקרה'!$C$7),OR('לוח בקרה'!$C$8="הכל",L258='לוח בקרה'!$C$8),OR('לוח בקרה'!$C$9="הכל",Q258='לוח בקרה'!$C$9),OR('לוח בקרה'!$C$10="הכל",F258='לוח בקרה'!$C$10,G258='לוח בקרה'!$C$10),D258&lt;&gt;""),ROW()-2,"")</f>
        <v/>
      </c>
      <c r="AE258">
        <f>IF(AND(OR('טכנו'!$C$3="הכל",Z258='טכנו'!$C$3,AA258='טכנו'!$C$3,AB258='טכנו'!$C$3,AC258='טכנו'!$C$3),OR('טכנו'!$C$4="הכל",A258='טכנו'!$C$4),D258&lt;&gt;""),ROW()-2,"")</f>
        <v/>
      </c>
    </row>
    <row r="259">
      <c r="E259">
        <f>IFERROR(INDEX('הגדרות'!$I:$I,MATCH(B259,'הגדרות'!$H:$H,0)),"")</f>
        <v/>
      </c>
      <c r="Z259">
        <f>IFERROR(VLOOKUP(H259,'הגדרות'!$A:$D,2,FALSE),"")</f>
        <v/>
      </c>
      <c r="AA259">
        <f>IFERROR(VLOOKUP(H259,'הגדרות'!$A:$D,3,FALSE),"")</f>
        <v/>
      </c>
      <c r="AB259">
        <f>IFERROR(VLOOKUP(I259,'הגדרות'!$A:$D,2,FALSE),"")</f>
        <v/>
      </c>
      <c r="AC259">
        <f>IFERROR(VLOOKUP(I259,'הגדרות'!$A:$D,3,FALSE),"")</f>
        <v/>
      </c>
      <c r="AD259">
        <f>IF(AND(OR('לוח בקרה'!$C$3="הכל",Z259='לוח בקרה'!$C$3,AA259='לוח בקרה'!$C$3,AB259='לוח בקרה'!$C$3,AC259='לוח בקרה'!$C$3),OR('לוח בקרה'!$C$4="הכל",A259='לוח בקרה'!$C$4),OR('לוח בקרה'!$C$5="הכל",T259='לוח בקרה'!$C$5),OR('לוח בקרה'!$C$6="הכל",H259='לוח בקרה'!$C$6,I259='לוח בקרה'!$C$6),OR('לוח בקרה'!$C$7="הכל",J259='לוח בקרה'!$C$7),OR('לוח בקרה'!$C$8="הכל",L259='לוח בקרה'!$C$8),OR('לוח בקרה'!$C$9="הכל",Q259='לוח בקרה'!$C$9),OR('לוח בקרה'!$C$10="הכל",F259='לוח בקרה'!$C$10,G259='לוח בקרה'!$C$10),D259&lt;&gt;""),ROW()-2,"")</f>
        <v/>
      </c>
      <c r="AE259">
        <f>IF(AND(OR('טכנו'!$C$3="הכל",Z259='טכנו'!$C$3,AA259='טכנו'!$C$3,AB259='טכנו'!$C$3,AC259='טכנו'!$C$3),OR('טכנו'!$C$4="הכל",A259='טכנו'!$C$4),D259&lt;&gt;""),ROW()-2,"")</f>
        <v/>
      </c>
    </row>
    <row r="260">
      <c r="E260">
        <f>IFERROR(INDEX('הגדרות'!$I:$I,MATCH(B260,'הגדרות'!$H:$H,0)),"")</f>
        <v/>
      </c>
      <c r="Z260">
        <f>IFERROR(VLOOKUP(H260,'הגדרות'!$A:$D,2,FALSE),"")</f>
        <v/>
      </c>
      <c r="AA260">
        <f>IFERROR(VLOOKUP(H260,'הגדרות'!$A:$D,3,FALSE),"")</f>
        <v/>
      </c>
      <c r="AB260">
        <f>IFERROR(VLOOKUP(I260,'הגדרות'!$A:$D,2,FALSE),"")</f>
        <v/>
      </c>
      <c r="AC260">
        <f>IFERROR(VLOOKUP(I260,'הגדרות'!$A:$D,3,FALSE),"")</f>
        <v/>
      </c>
      <c r="AD260">
        <f>IF(AND(OR('לוח בקרה'!$C$3="הכל",Z260='לוח בקרה'!$C$3,AA260='לוח בקרה'!$C$3,AB260='לוח בקרה'!$C$3,AC260='לוח בקרה'!$C$3),OR('לוח בקרה'!$C$4="הכל",A260='לוח בקרה'!$C$4),OR('לוח בקרה'!$C$5="הכל",T260='לוח בקרה'!$C$5),OR('לוח בקרה'!$C$6="הכל",H260='לוח בקרה'!$C$6,I260='לוח בקרה'!$C$6),OR('לוח בקרה'!$C$7="הכל",J260='לוח בקרה'!$C$7),OR('לוח בקרה'!$C$8="הכל",L260='לוח בקרה'!$C$8),OR('לוח בקרה'!$C$9="הכל",Q260='לוח בקרה'!$C$9),OR('לוח בקרה'!$C$10="הכל",F260='לוח בקרה'!$C$10,G260='לוח בקרה'!$C$10),D260&lt;&gt;""),ROW()-2,"")</f>
        <v/>
      </c>
      <c r="AE260">
        <f>IF(AND(OR('טכנו'!$C$3="הכל",Z260='טכנו'!$C$3,AA260='טכנו'!$C$3,AB260='טכנו'!$C$3,AC260='טכנו'!$C$3),OR('טכנו'!$C$4="הכל",A260='טכנו'!$C$4),D260&lt;&gt;""),ROW()-2,"")</f>
        <v/>
      </c>
    </row>
    <row r="261">
      <c r="E261">
        <f>IFERROR(INDEX('הגדרות'!$I:$I,MATCH(B261,'הגדרות'!$H:$H,0)),"")</f>
        <v/>
      </c>
      <c r="Z261">
        <f>IFERROR(VLOOKUP(H261,'הגדרות'!$A:$D,2,FALSE),"")</f>
        <v/>
      </c>
      <c r="AA261">
        <f>IFERROR(VLOOKUP(H261,'הגדרות'!$A:$D,3,FALSE),"")</f>
        <v/>
      </c>
      <c r="AB261">
        <f>IFERROR(VLOOKUP(I261,'הגדרות'!$A:$D,2,FALSE),"")</f>
        <v/>
      </c>
      <c r="AC261">
        <f>IFERROR(VLOOKUP(I261,'הגדרות'!$A:$D,3,FALSE),"")</f>
        <v/>
      </c>
      <c r="AD261">
        <f>IF(AND(OR('לוח בקרה'!$C$3="הכל",Z261='לוח בקרה'!$C$3,AA261='לוח בקרה'!$C$3,AB261='לוח בקרה'!$C$3,AC261='לוח בקרה'!$C$3),OR('לוח בקרה'!$C$4="הכל",A261='לוח בקרה'!$C$4),OR('לוח בקרה'!$C$5="הכל",T261='לוח בקרה'!$C$5),OR('לוח בקרה'!$C$6="הכל",H261='לוח בקרה'!$C$6,I261='לוח בקרה'!$C$6),OR('לוח בקרה'!$C$7="הכל",J261='לוח בקרה'!$C$7),OR('לוח בקרה'!$C$8="הכל",L261='לוח בקרה'!$C$8),OR('לוח בקרה'!$C$9="הכל",Q261='לוח בקרה'!$C$9),OR('לוח בקרה'!$C$10="הכל",F261='לוח בקרה'!$C$10,G261='לוח בקרה'!$C$10),D261&lt;&gt;""),ROW()-2,"")</f>
        <v/>
      </c>
      <c r="AE261">
        <f>IF(AND(OR('טכנו'!$C$3="הכל",Z261='טכנו'!$C$3,AA261='טכנו'!$C$3,AB261='טכנו'!$C$3,AC261='טכנו'!$C$3),OR('טכנו'!$C$4="הכל",A261='טכנו'!$C$4),D261&lt;&gt;""),ROW()-2,"")</f>
        <v/>
      </c>
    </row>
    <row r="262">
      <c r="E262">
        <f>IFERROR(INDEX('הגדרות'!$I:$I,MATCH(B262,'הגדרות'!$H:$H,0)),"")</f>
        <v/>
      </c>
      <c r="Z262">
        <f>IFERROR(VLOOKUP(H262,'הגדרות'!$A:$D,2,FALSE),"")</f>
        <v/>
      </c>
      <c r="AA262">
        <f>IFERROR(VLOOKUP(H262,'הגדרות'!$A:$D,3,FALSE),"")</f>
        <v/>
      </c>
      <c r="AB262">
        <f>IFERROR(VLOOKUP(I262,'הגדרות'!$A:$D,2,FALSE),"")</f>
        <v/>
      </c>
      <c r="AC262">
        <f>IFERROR(VLOOKUP(I262,'הגדרות'!$A:$D,3,FALSE),"")</f>
        <v/>
      </c>
      <c r="AD262">
        <f>IF(AND(OR('לוח בקרה'!$C$3="הכל",Z262='לוח בקרה'!$C$3,AA262='לוח בקרה'!$C$3,AB262='לוח בקרה'!$C$3,AC262='לוח בקרה'!$C$3),OR('לוח בקרה'!$C$4="הכל",A262='לוח בקרה'!$C$4),OR('לוח בקרה'!$C$5="הכל",T262='לוח בקרה'!$C$5),OR('לוח בקרה'!$C$6="הכל",H262='לוח בקרה'!$C$6,I262='לוח בקרה'!$C$6),OR('לוח בקרה'!$C$7="הכל",J262='לוח בקרה'!$C$7),OR('לוח בקרה'!$C$8="הכל",L262='לוח בקרה'!$C$8),OR('לוח בקרה'!$C$9="הכל",Q262='לוח בקרה'!$C$9),OR('לוח בקרה'!$C$10="הכל",F262='לוח בקרה'!$C$10,G262='לוח בקרה'!$C$10),D262&lt;&gt;""),ROW()-2,"")</f>
        <v/>
      </c>
      <c r="AE262">
        <f>IF(AND(OR('טכנו'!$C$3="הכל",Z262='טכנו'!$C$3,AA262='טכנו'!$C$3,AB262='טכנו'!$C$3,AC262='טכנו'!$C$3),OR('טכנו'!$C$4="הכל",A262='טכנו'!$C$4),D262&lt;&gt;""),ROW()-2,"")</f>
        <v/>
      </c>
    </row>
    <row r="263">
      <c r="E263">
        <f>IFERROR(INDEX('הגדרות'!$I:$I,MATCH(B263,'הגדרות'!$H:$H,0)),"")</f>
        <v/>
      </c>
      <c r="Z263">
        <f>IFERROR(VLOOKUP(H263,'הגדרות'!$A:$D,2,FALSE),"")</f>
        <v/>
      </c>
      <c r="AA263">
        <f>IFERROR(VLOOKUP(H263,'הגדרות'!$A:$D,3,FALSE),"")</f>
        <v/>
      </c>
      <c r="AB263">
        <f>IFERROR(VLOOKUP(I263,'הגדרות'!$A:$D,2,FALSE),"")</f>
        <v/>
      </c>
      <c r="AC263">
        <f>IFERROR(VLOOKUP(I263,'הגדרות'!$A:$D,3,FALSE),"")</f>
        <v/>
      </c>
      <c r="AD263">
        <f>IF(AND(OR('לוח בקרה'!$C$3="הכל",Z263='לוח בקרה'!$C$3,AA263='לוח בקרה'!$C$3,AB263='לוח בקרה'!$C$3,AC263='לוח בקרה'!$C$3),OR('לוח בקרה'!$C$4="הכל",A263='לוח בקרה'!$C$4),OR('לוח בקרה'!$C$5="הכל",T263='לוח בקרה'!$C$5),OR('לוח בקרה'!$C$6="הכל",H263='לוח בקרה'!$C$6,I263='לוח בקרה'!$C$6),OR('לוח בקרה'!$C$7="הכל",J263='לוח בקרה'!$C$7),OR('לוח בקרה'!$C$8="הכל",L263='לוח בקרה'!$C$8),OR('לוח בקרה'!$C$9="הכל",Q263='לוח בקרה'!$C$9),OR('לוח בקרה'!$C$10="הכל",F263='לוח בקרה'!$C$10,G263='לוח בקרה'!$C$10),D263&lt;&gt;""),ROW()-2,"")</f>
        <v/>
      </c>
      <c r="AE263">
        <f>IF(AND(OR('טכנו'!$C$3="הכל",Z263='טכנו'!$C$3,AA263='טכנו'!$C$3,AB263='טכנו'!$C$3,AC263='טכנו'!$C$3),OR('טכנו'!$C$4="הכל",A263='טכנו'!$C$4),D263&lt;&gt;""),ROW()-2,"")</f>
        <v/>
      </c>
    </row>
    <row r="264">
      <c r="E264">
        <f>IFERROR(INDEX('הגדרות'!$I:$I,MATCH(B264,'הגדרות'!$H:$H,0)),"")</f>
        <v/>
      </c>
      <c r="Z264">
        <f>IFERROR(VLOOKUP(H264,'הגדרות'!$A:$D,2,FALSE),"")</f>
        <v/>
      </c>
      <c r="AA264">
        <f>IFERROR(VLOOKUP(H264,'הגדרות'!$A:$D,3,FALSE),"")</f>
        <v/>
      </c>
      <c r="AB264">
        <f>IFERROR(VLOOKUP(I264,'הגדרות'!$A:$D,2,FALSE),"")</f>
        <v/>
      </c>
      <c r="AC264">
        <f>IFERROR(VLOOKUP(I264,'הגדרות'!$A:$D,3,FALSE),"")</f>
        <v/>
      </c>
      <c r="AD264">
        <f>IF(AND(OR('לוח בקרה'!$C$3="הכל",Z264='לוח בקרה'!$C$3,AA264='לוח בקרה'!$C$3,AB264='לוח בקרה'!$C$3,AC264='לוח בקרה'!$C$3),OR('לוח בקרה'!$C$4="הכל",A264='לוח בקרה'!$C$4),OR('לוח בקרה'!$C$5="הכל",T264='לוח בקרה'!$C$5),OR('לוח בקרה'!$C$6="הכל",H264='לוח בקרה'!$C$6,I264='לוח בקרה'!$C$6),OR('לוח בקרה'!$C$7="הכל",J264='לוח בקרה'!$C$7),OR('לוח בקרה'!$C$8="הכל",L264='לוח בקרה'!$C$8),OR('לוח בקרה'!$C$9="הכל",Q264='לוח בקרה'!$C$9),OR('לוח בקרה'!$C$10="הכל",F264='לוח בקרה'!$C$10,G264='לוח בקרה'!$C$10),D264&lt;&gt;""),ROW()-2,"")</f>
        <v/>
      </c>
      <c r="AE264">
        <f>IF(AND(OR('טכנו'!$C$3="הכל",Z264='טכנו'!$C$3,AA264='טכנו'!$C$3,AB264='טכנו'!$C$3,AC264='טכנו'!$C$3),OR('טכנו'!$C$4="הכל",A264='טכנו'!$C$4),D264&lt;&gt;""),ROW()-2,"")</f>
        <v/>
      </c>
    </row>
    <row r="265">
      <c r="E265">
        <f>IFERROR(INDEX('הגדרות'!$I:$I,MATCH(B265,'הגדרות'!$H:$H,0)),"")</f>
        <v/>
      </c>
      <c r="Z265">
        <f>IFERROR(VLOOKUP(H265,'הגדרות'!$A:$D,2,FALSE),"")</f>
        <v/>
      </c>
      <c r="AA265">
        <f>IFERROR(VLOOKUP(H265,'הגדרות'!$A:$D,3,FALSE),"")</f>
        <v/>
      </c>
      <c r="AB265">
        <f>IFERROR(VLOOKUP(I265,'הגדרות'!$A:$D,2,FALSE),"")</f>
        <v/>
      </c>
      <c r="AC265">
        <f>IFERROR(VLOOKUP(I265,'הגדרות'!$A:$D,3,FALSE),"")</f>
        <v/>
      </c>
      <c r="AD265">
        <f>IF(AND(OR('לוח בקרה'!$C$3="הכל",Z265='לוח בקרה'!$C$3,AA265='לוח בקרה'!$C$3,AB265='לוח בקרה'!$C$3,AC265='לוח בקרה'!$C$3),OR('לוח בקרה'!$C$4="הכל",A265='לוח בקרה'!$C$4),OR('לוח בקרה'!$C$5="הכל",T265='לוח בקרה'!$C$5),OR('לוח בקרה'!$C$6="הכל",H265='לוח בקרה'!$C$6,I265='לוח בקרה'!$C$6),OR('לוח בקרה'!$C$7="הכל",J265='לוח בקרה'!$C$7),OR('לוח בקרה'!$C$8="הכל",L265='לוח בקרה'!$C$8),OR('לוח בקרה'!$C$9="הכל",Q265='לוח בקרה'!$C$9),OR('לוח בקרה'!$C$10="הכל",F265='לוח בקרה'!$C$10,G265='לוח בקרה'!$C$10),D265&lt;&gt;""),ROW()-2,"")</f>
        <v/>
      </c>
      <c r="AE265">
        <f>IF(AND(OR('טכנו'!$C$3="הכל",Z265='טכנו'!$C$3,AA265='טכנו'!$C$3,AB265='טכנו'!$C$3,AC265='טכנו'!$C$3),OR('טכנו'!$C$4="הכל",A265='טכנו'!$C$4),D265&lt;&gt;""),ROW()-2,"")</f>
        <v/>
      </c>
    </row>
    <row r="266">
      <c r="E266">
        <f>IFERROR(INDEX('הגדרות'!$I:$I,MATCH(B266,'הגדרות'!$H:$H,0)),"")</f>
        <v/>
      </c>
      <c r="Z266">
        <f>IFERROR(VLOOKUP(H266,'הגדרות'!$A:$D,2,FALSE),"")</f>
        <v/>
      </c>
      <c r="AA266">
        <f>IFERROR(VLOOKUP(H266,'הגדרות'!$A:$D,3,FALSE),"")</f>
        <v/>
      </c>
      <c r="AB266">
        <f>IFERROR(VLOOKUP(I266,'הגדרות'!$A:$D,2,FALSE),"")</f>
        <v/>
      </c>
      <c r="AC266">
        <f>IFERROR(VLOOKUP(I266,'הגדרות'!$A:$D,3,FALSE),"")</f>
        <v/>
      </c>
      <c r="AD266">
        <f>IF(AND(OR('לוח בקרה'!$C$3="הכל",Z266='לוח בקרה'!$C$3,AA266='לוח בקרה'!$C$3,AB266='לוח בקרה'!$C$3,AC266='לוח בקרה'!$C$3),OR('לוח בקרה'!$C$4="הכל",A266='לוח בקרה'!$C$4),OR('לוח בקרה'!$C$5="הכל",T266='לוח בקרה'!$C$5),OR('לוח בקרה'!$C$6="הכל",H266='לוח בקרה'!$C$6,I266='לוח בקרה'!$C$6),OR('לוח בקרה'!$C$7="הכל",J266='לוח בקרה'!$C$7),OR('לוח בקרה'!$C$8="הכל",L266='לוח בקרה'!$C$8),OR('לוח בקרה'!$C$9="הכל",Q266='לוח בקרה'!$C$9),OR('לוח בקרה'!$C$10="הכל",F266='לוח בקרה'!$C$10,G266='לוח בקרה'!$C$10),D266&lt;&gt;""),ROW()-2,"")</f>
        <v/>
      </c>
      <c r="AE266">
        <f>IF(AND(OR('טכנו'!$C$3="הכל",Z266='טכנו'!$C$3,AA266='טכנו'!$C$3,AB266='טכנו'!$C$3,AC266='טכנו'!$C$3),OR('טכנו'!$C$4="הכל",A266='טכנו'!$C$4),D266&lt;&gt;""),ROW()-2,"")</f>
        <v/>
      </c>
    </row>
    <row r="267">
      <c r="E267">
        <f>IFERROR(INDEX('הגדרות'!$I:$I,MATCH(B267,'הגדרות'!$H:$H,0)),"")</f>
        <v/>
      </c>
      <c r="Z267">
        <f>IFERROR(VLOOKUP(H267,'הגדרות'!$A:$D,2,FALSE),"")</f>
        <v/>
      </c>
      <c r="AA267">
        <f>IFERROR(VLOOKUP(H267,'הגדרות'!$A:$D,3,FALSE),"")</f>
        <v/>
      </c>
      <c r="AB267">
        <f>IFERROR(VLOOKUP(I267,'הגדרות'!$A:$D,2,FALSE),"")</f>
        <v/>
      </c>
      <c r="AC267">
        <f>IFERROR(VLOOKUP(I267,'הגדרות'!$A:$D,3,FALSE),"")</f>
        <v/>
      </c>
      <c r="AD267">
        <f>IF(AND(OR('לוח בקרה'!$C$3="הכל",Z267='לוח בקרה'!$C$3,AA267='לוח בקרה'!$C$3,AB267='לוח בקרה'!$C$3,AC267='לוח בקרה'!$C$3),OR('לוח בקרה'!$C$4="הכל",A267='לוח בקרה'!$C$4),OR('לוח בקרה'!$C$5="הכל",T267='לוח בקרה'!$C$5),OR('לוח בקרה'!$C$6="הכל",H267='לוח בקרה'!$C$6,I267='לוח בקרה'!$C$6),OR('לוח בקרה'!$C$7="הכל",J267='לוח בקרה'!$C$7),OR('לוח בקרה'!$C$8="הכל",L267='לוח בקרה'!$C$8),OR('לוח בקרה'!$C$9="הכל",Q267='לוח בקרה'!$C$9),OR('לוח בקרה'!$C$10="הכל",F267='לוח בקרה'!$C$10,G267='לוח בקרה'!$C$10),D267&lt;&gt;""),ROW()-2,"")</f>
        <v/>
      </c>
      <c r="AE267">
        <f>IF(AND(OR('טכנו'!$C$3="הכל",Z267='טכנו'!$C$3,AA267='טכנו'!$C$3,AB267='טכנו'!$C$3,AC267='טכנו'!$C$3),OR('טכנו'!$C$4="הכל",A267='טכנו'!$C$4),D267&lt;&gt;""),ROW()-2,"")</f>
        <v/>
      </c>
    </row>
    <row r="268">
      <c r="E268">
        <f>IFERROR(INDEX('הגדרות'!$I:$I,MATCH(B268,'הגדרות'!$H:$H,0)),"")</f>
        <v/>
      </c>
      <c r="Z268">
        <f>IFERROR(VLOOKUP(H268,'הגדרות'!$A:$D,2,FALSE),"")</f>
        <v/>
      </c>
      <c r="AA268">
        <f>IFERROR(VLOOKUP(H268,'הגדרות'!$A:$D,3,FALSE),"")</f>
        <v/>
      </c>
      <c r="AB268">
        <f>IFERROR(VLOOKUP(I268,'הגדרות'!$A:$D,2,FALSE),"")</f>
        <v/>
      </c>
      <c r="AC268">
        <f>IFERROR(VLOOKUP(I268,'הגדרות'!$A:$D,3,FALSE),"")</f>
        <v/>
      </c>
      <c r="AD268">
        <f>IF(AND(OR('לוח בקרה'!$C$3="הכל",Z268='לוח בקרה'!$C$3,AA268='לוח בקרה'!$C$3,AB268='לוח בקרה'!$C$3,AC268='לוח בקרה'!$C$3),OR('לוח בקרה'!$C$4="הכל",A268='לוח בקרה'!$C$4),OR('לוח בקרה'!$C$5="הכל",T268='לוח בקרה'!$C$5),OR('לוח בקרה'!$C$6="הכל",H268='לוח בקרה'!$C$6,I268='לוח בקרה'!$C$6),OR('לוח בקרה'!$C$7="הכל",J268='לוח בקרה'!$C$7),OR('לוח בקרה'!$C$8="הכל",L268='לוח בקרה'!$C$8),OR('לוח בקרה'!$C$9="הכל",Q268='לוח בקרה'!$C$9),OR('לוח בקרה'!$C$10="הכל",F268='לוח בקרה'!$C$10,G268='לוח בקרה'!$C$10),D268&lt;&gt;""),ROW()-2,"")</f>
        <v/>
      </c>
      <c r="AE268">
        <f>IF(AND(OR('טכנו'!$C$3="הכל",Z268='טכנו'!$C$3,AA268='טכנו'!$C$3,AB268='טכנו'!$C$3,AC268='טכנו'!$C$3),OR('טכנו'!$C$4="הכל",A268='טכנו'!$C$4),D268&lt;&gt;""),ROW()-2,"")</f>
        <v/>
      </c>
    </row>
    <row r="269">
      <c r="E269">
        <f>IFERROR(INDEX('הגדרות'!$I:$I,MATCH(B269,'הגדרות'!$H:$H,0)),"")</f>
        <v/>
      </c>
      <c r="Z269">
        <f>IFERROR(VLOOKUP(H269,'הגדרות'!$A:$D,2,FALSE),"")</f>
        <v/>
      </c>
      <c r="AA269">
        <f>IFERROR(VLOOKUP(H269,'הגדרות'!$A:$D,3,FALSE),"")</f>
        <v/>
      </c>
      <c r="AB269">
        <f>IFERROR(VLOOKUP(I269,'הגדרות'!$A:$D,2,FALSE),"")</f>
        <v/>
      </c>
      <c r="AC269">
        <f>IFERROR(VLOOKUP(I269,'הגדרות'!$A:$D,3,FALSE),"")</f>
        <v/>
      </c>
      <c r="AD269">
        <f>IF(AND(OR('לוח בקרה'!$C$3="הכל",Z269='לוח בקרה'!$C$3,AA269='לוח בקרה'!$C$3,AB269='לוח בקרה'!$C$3,AC269='לוח בקרה'!$C$3),OR('לוח בקרה'!$C$4="הכל",A269='לוח בקרה'!$C$4),OR('לוח בקרה'!$C$5="הכל",T269='לוח בקרה'!$C$5),OR('לוח בקרה'!$C$6="הכל",H269='לוח בקרה'!$C$6,I269='לוח בקרה'!$C$6),OR('לוח בקרה'!$C$7="הכל",J269='לוח בקרה'!$C$7),OR('לוח בקרה'!$C$8="הכל",L269='לוח בקרה'!$C$8),OR('לוח בקרה'!$C$9="הכל",Q269='לוח בקרה'!$C$9),OR('לוח בקרה'!$C$10="הכל",F269='לוח בקרה'!$C$10,G269='לוח בקרה'!$C$10),D269&lt;&gt;""),ROW()-2,"")</f>
        <v/>
      </c>
      <c r="AE269">
        <f>IF(AND(OR('טכנו'!$C$3="הכל",Z269='טכנו'!$C$3,AA269='טכנו'!$C$3,AB269='טכנו'!$C$3,AC269='טכנו'!$C$3),OR('טכנו'!$C$4="הכל",A269='טכנו'!$C$4),D269&lt;&gt;""),ROW()-2,"")</f>
        <v/>
      </c>
    </row>
    <row r="270">
      <c r="E270">
        <f>IFERROR(INDEX('הגדרות'!$I:$I,MATCH(B270,'הגדרות'!$H:$H,0)),"")</f>
        <v/>
      </c>
      <c r="Z270">
        <f>IFERROR(VLOOKUP(H270,'הגדרות'!$A:$D,2,FALSE),"")</f>
        <v/>
      </c>
      <c r="AA270">
        <f>IFERROR(VLOOKUP(H270,'הגדרות'!$A:$D,3,FALSE),"")</f>
        <v/>
      </c>
      <c r="AB270">
        <f>IFERROR(VLOOKUP(I270,'הגדרות'!$A:$D,2,FALSE),"")</f>
        <v/>
      </c>
      <c r="AC270">
        <f>IFERROR(VLOOKUP(I270,'הגדרות'!$A:$D,3,FALSE),"")</f>
        <v/>
      </c>
      <c r="AD270">
        <f>IF(AND(OR('לוח בקרה'!$C$3="הכל",Z270='לוח בקרה'!$C$3,AA270='לוח בקרה'!$C$3,AB270='לוח בקרה'!$C$3,AC270='לוח בקרה'!$C$3),OR('לוח בקרה'!$C$4="הכל",A270='לוח בקרה'!$C$4),OR('לוח בקרה'!$C$5="הכל",T270='לוח בקרה'!$C$5),OR('לוח בקרה'!$C$6="הכל",H270='לוח בקרה'!$C$6,I270='לוח בקרה'!$C$6),OR('לוח בקרה'!$C$7="הכל",J270='לוח בקרה'!$C$7),OR('לוח בקרה'!$C$8="הכל",L270='לוח בקרה'!$C$8),OR('לוח בקרה'!$C$9="הכל",Q270='לוח בקרה'!$C$9),OR('לוח בקרה'!$C$10="הכל",F270='לוח בקרה'!$C$10,G270='לוח בקרה'!$C$10),D270&lt;&gt;""),ROW()-2,"")</f>
        <v/>
      </c>
      <c r="AE270">
        <f>IF(AND(OR('טכנו'!$C$3="הכל",Z270='טכנו'!$C$3,AA270='טכנו'!$C$3,AB270='טכנו'!$C$3,AC270='טכנו'!$C$3),OR('טכנו'!$C$4="הכל",A270='טכנו'!$C$4),D270&lt;&gt;""),ROW()-2,"")</f>
        <v/>
      </c>
    </row>
    <row r="271">
      <c r="E271">
        <f>IFERROR(INDEX('הגדרות'!$I:$I,MATCH(B271,'הגדרות'!$H:$H,0)),"")</f>
        <v/>
      </c>
      <c r="Z271">
        <f>IFERROR(VLOOKUP(H271,'הגדרות'!$A:$D,2,FALSE),"")</f>
        <v/>
      </c>
      <c r="AA271">
        <f>IFERROR(VLOOKUP(H271,'הגדרות'!$A:$D,3,FALSE),"")</f>
        <v/>
      </c>
      <c r="AB271">
        <f>IFERROR(VLOOKUP(I271,'הגדרות'!$A:$D,2,FALSE),"")</f>
        <v/>
      </c>
      <c r="AC271">
        <f>IFERROR(VLOOKUP(I271,'הגדרות'!$A:$D,3,FALSE),"")</f>
        <v/>
      </c>
      <c r="AD271">
        <f>IF(AND(OR('לוח בקרה'!$C$3="הכל",Z271='לוח בקרה'!$C$3,AA271='לוח בקרה'!$C$3,AB271='לוח בקרה'!$C$3,AC271='לוח בקרה'!$C$3),OR('לוח בקרה'!$C$4="הכל",A271='לוח בקרה'!$C$4),OR('לוח בקרה'!$C$5="הכל",T271='לוח בקרה'!$C$5),OR('לוח בקרה'!$C$6="הכל",H271='לוח בקרה'!$C$6,I271='לוח בקרה'!$C$6),OR('לוח בקרה'!$C$7="הכל",J271='לוח בקרה'!$C$7),OR('לוח בקרה'!$C$8="הכל",L271='לוח בקרה'!$C$8),OR('לוח בקרה'!$C$9="הכל",Q271='לוח בקרה'!$C$9),OR('לוח בקרה'!$C$10="הכל",F271='לוח בקרה'!$C$10,G271='לוח בקרה'!$C$10),D271&lt;&gt;""),ROW()-2,"")</f>
        <v/>
      </c>
      <c r="AE271">
        <f>IF(AND(OR('טכנו'!$C$3="הכל",Z271='טכנו'!$C$3,AA271='טכנו'!$C$3,AB271='טכנו'!$C$3,AC271='טכנו'!$C$3),OR('טכנו'!$C$4="הכל",A271='טכנו'!$C$4),D271&lt;&gt;""),ROW()-2,"")</f>
        <v/>
      </c>
    </row>
    <row r="272">
      <c r="E272">
        <f>IFERROR(INDEX('הגדרות'!$I:$I,MATCH(B272,'הגדרות'!$H:$H,0)),"")</f>
        <v/>
      </c>
      <c r="Z272">
        <f>IFERROR(VLOOKUP(H272,'הגדרות'!$A:$D,2,FALSE),"")</f>
        <v/>
      </c>
      <c r="AA272">
        <f>IFERROR(VLOOKUP(H272,'הגדרות'!$A:$D,3,FALSE),"")</f>
        <v/>
      </c>
      <c r="AB272">
        <f>IFERROR(VLOOKUP(I272,'הגדרות'!$A:$D,2,FALSE),"")</f>
        <v/>
      </c>
      <c r="AC272">
        <f>IFERROR(VLOOKUP(I272,'הגדרות'!$A:$D,3,FALSE),"")</f>
        <v/>
      </c>
      <c r="AD272">
        <f>IF(AND(OR('לוח בקרה'!$C$3="הכל",Z272='לוח בקרה'!$C$3,AA272='לוח בקרה'!$C$3,AB272='לוח בקרה'!$C$3,AC272='לוח בקרה'!$C$3),OR('לוח בקרה'!$C$4="הכל",A272='לוח בקרה'!$C$4),OR('לוח בקרה'!$C$5="הכל",T272='לוח בקרה'!$C$5),OR('לוח בקרה'!$C$6="הכל",H272='לוח בקרה'!$C$6,I272='לוח בקרה'!$C$6),OR('לוח בקרה'!$C$7="הכל",J272='לוח בקרה'!$C$7),OR('לוח בקרה'!$C$8="הכל",L272='לוח בקרה'!$C$8),OR('לוח בקרה'!$C$9="הכל",Q272='לוח בקרה'!$C$9),OR('לוח בקרה'!$C$10="הכל",F272='לוח בקרה'!$C$10,G272='לוח בקרה'!$C$10),D272&lt;&gt;""),ROW()-2,"")</f>
        <v/>
      </c>
      <c r="AE272">
        <f>IF(AND(OR('טכנו'!$C$3="הכל",Z272='טכנו'!$C$3,AA272='טכנו'!$C$3,AB272='טכנו'!$C$3,AC272='טכנו'!$C$3),OR('טכנו'!$C$4="הכל",A272='טכנו'!$C$4),D272&lt;&gt;""),ROW()-2,"")</f>
        <v/>
      </c>
    </row>
    <row r="273">
      <c r="E273">
        <f>IFERROR(INDEX('הגדרות'!$I:$I,MATCH(B273,'הגדרות'!$H:$H,0)),"")</f>
        <v/>
      </c>
      <c r="Z273">
        <f>IFERROR(VLOOKUP(H273,'הגדרות'!$A:$D,2,FALSE),"")</f>
        <v/>
      </c>
      <c r="AA273">
        <f>IFERROR(VLOOKUP(H273,'הגדרות'!$A:$D,3,FALSE),"")</f>
        <v/>
      </c>
      <c r="AB273">
        <f>IFERROR(VLOOKUP(I273,'הגדרות'!$A:$D,2,FALSE),"")</f>
        <v/>
      </c>
      <c r="AC273">
        <f>IFERROR(VLOOKUP(I273,'הגדרות'!$A:$D,3,FALSE),"")</f>
        <v/>
      </c>
      <c r="AD273">
        <f>IF(AND(OR('לוח בקרה'!$C$3="הכל",Z273='לוח בקרה'!$C$3,AA273='לוח בקרה'!$C$3,AB273='לוח בקרה'!$C$3,AC273='לוח בקרה'!$C$3),OR('לוח בקרה'!$C$4="הכל",A273='לוח בקרה'!$C$4),OR('לוח בקרה'!$C$5="הכל",T273='לוח בקרה'!$C$5),OR('לוח בקרה'!$C$6="הכל",H273='לוח בקרה'!$C$6,I273='לוח בקרה'!$C$6),OR('לוח בקרה'!$C$7="הכל",J273='לוח בקרה'!$C$7),OR('לוח בקרה'!$C$8="הכל",L273='לוח בקרה'!$C$8),OR('לוח בקרה'!$C$9="הכל",Q273='לוח בקרה'!$C$9),OR('לוח בקרה'!$C$10="הכל",F273='לוח בקרה'!$C$10,G273='לוח בקרה'!$C$10),D273&lt;&gt;""),ROW()-2,"")</f>
        <v/>
      </c>
      <c r="AE273">
        <f>IF(AND(OR('טכנו'!$C$3="הכל",Z273='טכנו'!$C$3,AA273='טכנו'!$C$3,AB273='טכנו'!$C$3,AC273='טכנו'!$C$3),OR('טכנו'!$C$4="הכל",A273='טכנו'!$C$4),D273&lt;&gt;""),ROW()-2,"")</f>
        <v/>
      </c>
    </row>
    <row r="274">
      <c r="E274">
        <f>IFERROR(INDEX('הגדרות'!$I:$I,MATCH(B274,'הגדרות'!$H:$H,0)),"")</f>
        <v/>
      </c>
      <c r="Z274">
        <f>IFERROR(VLOOKUP(H274,'הגדרות'!$A:$D,2,FALSE),"")</f>
        <v/>
      </c>
      <c r="AA274">
        <f>IFERROR(VLOOKUP(H274,'הגדרות'!$A:$D,3,FALSE),"")</f>
        <v/>
      </c>
      <c r="AB274">
        <f>IFERROR(VLOOKUP(I274,'הגדרות'!$A:$D,2,FALSE),"")</f>
        <v/>
      </c>
      <c r="AC274">
        <f>IFERROR(VLOOKUP(I274,'הגדרות'!$A:$D,3,FALSE),"")</f>
        <v/>
      </c>
      <c r="AD274">
        <f>IF(AND(OR('לוח בקרה'!$C$3="הכל",Z274='לוח בקרה'!$C$3,AA274='לוח בקרה'!$C$3,AB274='לוח בקרה'!$C$3,AC274='לוח בקרה'!$C$3),OR('לוח בקרה'!$C$4="הכל",A274='לוח בקרה'!$C$4),OR('לוח בקרה'!$C$5="הכל",T274='לוח בקרה'!$C$5),OR('לוח בקרה'!$C$6="הכל",H274='לוח בקרה'!$C$6,I274='לוח בקרה'!$C$6),OR('לוח בקרה'!$C$7="הכל",J274='לוח בקרה'!$C$7),OR('לוח בקרה'!$C$8="הכל",L274='לוח בקרה'!$C$8),OR('לוח בקרה'!$C$9="הכל",Q274='לוח בקרה'!$C$9),OR('לוח בקרה'!$C$10="הכל",F274='לוח בקרה'!$C$10,G274='לוח בקרה'!$C$10),D274&lt;&gt;""),ROW()-2,"")</f>
        <v/>
      </c>
      <c r="AE274">
        <f>IF(AND(OR('טכנו'!$C$3="הכל",Z274='טכנו'!$C$3,AA274='טכנו'!$C$3,AB274='טכנו'!$C$3,AC274='טכנו'!$C$3),OR('טכנו'!$C$4="הכל",A274='טכנו'!$C$4),D274&lt;&gt;""),ROW()-2,"")</f>
        <v/>
      </c>
    </row>
    <row r="275">
      <c r="E275">
        <f>IFERROR(INDEX('הגדרות'!$I:$I,MATCH(B275,'הגדרות'!$H:$H,0)),"")</f>
        <v/>
      </c>
      <c r="Z275">
        <f>IFERROR(VLOOKUP(H275,'הגדרות'!$A:$D,2,FALSE),"")</f>
        <v/>
      </c>
      <c r="AA275">
        <f>IFERROR(VLOOKUP(H275,'הגדרות'!$A:$D,3,FALSE),"")</f>
        <v/>
      </c>
      <c r="AB275">
        <f>IFERROR(VLOOKUP(I275,'הגדרות'!$A:$D,2,FALSE),"")</f>
        <v/>
      </c>
      <c r="AC275">
        <f>IFERROR(VLOOKUP(I275,'הגדרות'!$A:$D,3,FALSE),"")</f>
        <v/>
      </c>
      <c r="AD275">
        <f>IF(AND(OR('לוח בקרה'!$C$3="הכל",Z275='לוח בקרה'!$C$3,AA275='לוח בקרה'!$C$3,AB275='לוח בקרה'!$C$3,AC275='לוח בקרה'!$C$3),OR('לוח בקרה'!$C$4="הכל",A275='לוח בקרה'!$C$4),OR('לוח בקרה'!$C$5="הכל",T275='לוח בקרה'!$C$5),OR('לוח בקרה'!$C$6="הכל",H275='לוח בקרה'!$C$6,I275='לוח בקרה'!$C$6),OR('לוח בקרה'!$C$7="הכל",J275='לוח בקרה'!$C$7),OR('לוח בקרה'!$C$8="הכל",L275='לוח בקרה'!$C$8),OR('לוח בקרה'!$C$9="הכל",Q275='לוח בקרה'!$C$9),OR('לוח בקרה'!$C$10="הכל",F275='לוח בקרה'!$C$10,G275='לוח בקרה'!$C$10),D275&lt;&gt;""),ROW()-2,"")</f>
        <v/>
      </c>
      <c r="AE275">
        <f>IF(AND(OR('טכנו'!$C$3="הכל",Z275='טכנו'!$C$3,AA275='טכנו'!$C$3,AB275='טכנו'!$C$3,AC275='טכנו'!$C$3),OR('טכנו'!$C$4="הכל",A275='טכנו'!$C$4),D275&lt;&gt;""),ROW()-2,"")</f>
        <v/>
      </c>
    </row>
    <row r="276">
      <c r="E276">
        <f>IFERROR(INDEX('הגדרות'!$I:$I,MATCH(B276,'הגדרות'!$H:$H,0)),"")</f>
        <v/>
      </c>
      <c r="Z276">
        <f>IFERROR(VLOOKUP(H276,'הגדרות'!$A:$D,2,FALSE),"")</f>
        <v/>
      </c>
      <c r="AA276">
        <f>IFERROR(VLOOKUP(H276,'הגדרות'!$A:$D,3,FALSE),"")</f>
        <v/>
      </c>
      <c r="AB276">
        <f>IFERROR(VLOOKUP(I276,'הגדרות'!$A:$D,2,FALSE),"")</f>
        <v/>
      </c>
      <c r="AC276">
        <f>IFERROR(VLOOKUP(I276,'הגדרות'!$A:$D,3,FALSE),"")</f>
        <v/>
      </c>
      <c r="AD276">
        <f>IF(AND(OR('לוח בקרה'!$C$3="הכל",Z276='לוח בקרה'!$C$3,AA276='לוח בקרה'!$C$3,AB276='לוח בקרה'!$C$3,AC276='לוח בקרה'!$C$3),OR('לוח בקרה'!$C$4="הכל",A276='לוח בקרה'!$C$4),OR('לוח בקרה'!$C$5="הכל",T276='לוח בקרה'!$C$5),OR('לוח בקרה'!$C$6="הכל",H276='לוח בקרה'!$C$6,I276='לוח בקרה'!$C$6),OR('לוח בקרה'!$C$7="הכל",J276='לוח בקרה'!$C$7),OR('לוח בקרה'!$C$8="הכל",L276='לוח בקרה'!$C$8),OR('לוח בקרה'!$C$9="הכל",Q276='לוח בקרה'!$C$9),OR('לוח בקרה'!$C$10="הכל",F276='לוח בקרה'!$C$10,G276='לוח בקרה'!$C$10),D276&lt;&gt;""),ROW()-2,"")</f>
        <v/>
      </c>
      <c r="AE276">
        <f>IF(AND(OR('טכנו'!$C$3="הכל",Z276='טכנו'!$C$3,AA276='טכנו'!$C$3,AB276='טכנו'!$C$3,AC276='טכנו'!$C$3),OR('טכנו'!$C$4="הכל",A276='טכנו'!$C$4),D276&lt;&gt;""),ROW()-2,"")</f>
        <v/>
      </c>
    </row>
    <row r="277">
      <c r="E277">
        <f>IFERROR(INDEX('הגדרות'!$I:$I,MATCH(B277,'הגדרות'!$H:$H,0)),"")</f>
        <v/>
      </c>
      <c r="Z277">
        <f>IFERROR(VLOOKUP(H277,'הגדרות'!$A:$D,2,FALSE),"")</f>
        <v/>
      </c>
      <c r="AA277">
        <f>IFERROR(VLOOKUP(H277,'הגדרות'!$A:$D,3,FALSE),"")</f>
        <v/>
      </c>
      <c r="AB277">
        <f>IFERROR(VLOOKUP(I277,'הגדרות'!$A:$D,2,FALSE),"")</f>
        <v/>
      </c>
      <c r="AC277">
        <f>IFERROR(VLOOKUP(I277,'הגדרות'!$A:$D,3,FALSE),"")</f>
        <v/>
      </c>
      <c r="AD277">
        <f>IF(AND(OR('לוח בקרה'!$C$3="הכל",Z277='לוח בקרה'!$C$3,AA277='לוח בקרה'!$C$3,AB277='לוח בקרה'!$C$3,AC277='לוח בקרה'!$C$3),OR('לוח בקרה'!$C$4="הכל",A277='לוח בקרה'!$C$4),OR('לוח בקרה'!$C$5="הכל",T277='לוח בקרה'!$C$5),OR('לוח בקרה'!$C$6="הכל",H277='לוח בקרה'!$C$6,I277='לוח בקרה'!$C$6),OR('לוח בקרה'!$C$7="הכל",J277='לוח בקרה'!$C$7),OR('לוח בקרה'!$C$8="הכל",L277='לוח בקרה'!$C$8),OR('לוח בקרה'!$C$9="הכל",Q277='לוח בקרה'!$C$9),OR('לוח בקרה'!$C$10="הכל",F277='לוח בקרה'!$C$10,G277='לוח בקרה'!$C$10),D277&lt;&gt;""),ROW()-2,"")</f>
        <v/>
      </c>
      <c r="AE277">
        <f>IF(AND(OR('טכנו'!$C$3="הכל",Z277='טכנו'!$C$3,AA277='טכנו'!$C$3,AB277='טכנו'!$C$3,AC277='טכנו'!$C$3),OR('טכנו'!$C$4="הכל",A277='טכנו'!$C$4),D277&lt;&gt;""),ROW()-2,"")</f>
        <v/>
      </c>
    </row>
    <row r="278">
      <c r="E278">
        <f>IFERROR(INDEX('הגדרות'!$I:$I,MATCH(B278,'הגדרות'!$H:$H,0)),"")</f>
        <v/>
      </c>
      <c r="Z278">
        <f>IFERROR(VLOOKUP(H278,'הגדרות'!$A:$D,2,FALSE),"")</f>
        <v/>
      </c>
      <c r="AA278">
        <f>IFERROR(VLOOKUP(H278,'הגדרות'!$A:$D,3,FALSE),"")</f>
        <v/>
      </c>
      <c r="AB278">
        <f>IFERROR(VLOOKUP(I278,'הגדרות'!$A:$D,2,FALSE),"")</f>
        <v/>
      </c>
      <c r="AC278">
        <f>IFERROR(VLOOKUP(I278,'הגדרות'!$A:$D,3,FALSE),"")</f>
        <v/>
      </c>
      <c r="AD278">
        <f>IF(AND(OR('לוח בקרה'!$C$3="הכל",Z278='לוח בקרה'!$C$3,AA278='לוח בקרה'!$C$3,AB278='לוח בקרה'!$C$3,AC278='לוח בקרה'!$C$3),OR('לוח בקרה'!$C$4="הכל",A278='לוח בקרה'!$C$4),OR('לוח בקרה'!$C$5="הכל",T278='לוח בקרה'!$C$5),OR('לוח בקרה'!$C$6="הכל",H278='לוח בקרה'!$C$6,I278='לוח בקרה'!$C$6),OR('לוח בקרה'!$C$7="הכל",J278='לוח בקרה'!$C$7),OR('לוח בקרה'!$C$8="הכל",L278='לוח בקרה'!$C$8),OR('לוח בקרה'!$C$9="הכל",Q278='לוח בקרה'!$C$9),OR('לוח בקרה'!$C$10="הכל",F278='לוח בקרה'!$C$10,G278='לוח בקרה'!$C$10),D278&lt;&gt;""),ROW()-2,"")</f>
        <v/>
      </c>
      <c r="AE278">
        <f>IF(AND(OR('טכנו'!$C$3="הכל",Z278='טכנו'!$C$3,AA278='טכנו'!$C$3,AB278='טכנו'!$C$3,AC278='טכנו'!$C$3),OR('טכנו'!$C$4="הכל",A278='טכנו'!$C$4),D278&lt;&gt;""),ROW()-2,"")</f>
        <v/>
      </c>
    </row>
    <row r="279">
      <c r="E279">
        <f>IFERROR(INDEX('הגדרות'!$I:$I,MATCH(B279,'הגדרות'!$H:$H,0)),"")</f>
        <v/>
      </c>
      <c r="Z279">
        <f>IFERROR(VLOOKUP(H279,'הגדרות'!$A:$D,2,FALSE),"")</f>
        <v/>
      </c>
      <c r="AA279">
        <f>IFERROR(VLOOKUP(H279,'הגדרות'!$A:$D,3,FALSE),"")</f>
        <v/>
      </c>
      <c r="AB279">
        <f>IFERROR(VLOOKUP(I279,'הגדרות'!$A:$D,2,FALSE),"")</f>
        <v/>
      </c>
      <c r="AC279">
        <f>IFERROR(VLOOKUP(I279,'הגדרות'!$A:$D,3,FALSE),"")</f>
        <v/>
      </c>
      <c r="AD279">
        <f>IF(AND(OR('לוח בקרה'!$C$3="הכל",Z279='לוח בקרה'!$C$3,AA279='לוח בקרה'!$C$3,AB279='לוח בקרה'!$C$3,AC279='לוח בקרה'!$C$3),OR('לוח בקרה'!$C$4="הכל",A279='לוח בקרה'!$C$4),OR('לוח בקרה'!$C$5="הכל",T279='לוח בקרה'!$C$5),OR('לוח בקרה'!$C$6="הכל",H279='לוח בקרה'!$C$6,I279='לוח בקרה'!$C$6),OR('לוח בקרה'!$C$7="הכל",J279='לוח בקרה'!$C$7),OR('לוח בקרה'!$C$8="הכל",L279='לוח בקרה'!$C$8),OR('לוח בקרה'!$C$9="הכל",Q279='לוח בקרה'!$C$9),OR('לוח בקרה'!$C$10="הכל",F279='לוח בקרה'!$C$10,G279='לוח בקרה'!$C$10),D279&lt;&gt;""),ROW()-2,"")</f>
        <v/>
      </c>
      <c r="AE279">
        <f>IF(AND(OR('טכנו'!$C$3="הכל",Z279='טכנו'!$C$3,AA279='טכנו'!$C$3,AB279='טכנו'!$C$3,AC279='טכנו'!$C$3),OR('טכנו'!$C$4="הכל",A279='טכנו'!$C$4),D279&lt;&gt;""),ROW()-2,"")</f>
        <v/>
      </c>
    </row>
    <row r="280">
      <c r="E280">
        <f>IFERROR(INDEX('הגדרות'!$I:$I,MATCH(B280,'הגדרות'!$H:$H,0)),"")</f>
        <v/>
      </c>
      <c r="Z280">
        <f>IFERROR(VLOOKUP(H280,'הגדרות'!$A:$D,2,FALSE),"")</f>
        <v/>
      </c>
      <c r="AA280">
        <f>IFERROR(VLOOKUP(H280,'הגדרות'!$A:$D,3,FALSE),"")</f>
        <v/>
      </c>
      <c r="AB280">
        <f>IFERROR(VLOOKUP(I280,'הגדרות'!$A:$D,2,FALSE),"")</f>
        <v/>
      </c>
      <c r="AC280">
        <f>IFERROR(VLOOKUP(I280,'הגדרות'!$A:$D,3,FALSE),"")</f>
        <v/>
      </c>
      <c r="AD280">
        <f>IF(AND(OR('לוח בקרה'!$C$3="הכל",Z280='לוח בקרה'!$C$3,AA280='לוח בקרה'!$C$3,AB280='לוח בקרה'!$C$3,AC280='לוח בקרה'!$C$3),OR('לוח בקרה'!$C$4="הכל",A280='לוח בקרה'!$C$4),OR('לוח בקרה'!$C$5="הכל",T280='לוח בקרה'!$C$5),OR('לוח בקרה'!$C$6="הכל",H280='לוח בקרה'!$C$6,I280='לוח בקרה'!$C$6),OR('לוח בקרה'!$C$7="הכל",J280='לוח בקרה'!$C$7),OR('לוח בקרה'!$C$8="הכל",L280='לוח בקרה'!$C$8),OR('לוח בקרה'!$C$9="הכל",Q280='לוח בקרה'!$C$9),OR('לוח בקרה'!$C$10="הכל",F280='לוח בקרה'!$C$10,G280='לוח בקרה'!$C$10),D280&lt;&gt;""),ROW()-2,"")</f>
        <v/>
      </c>
      <c r="AE280">
        <f>IF(AND(OR('טכנו'!$C$3="הכל",Z280='טכנו'!$C$3,AA280='טכנו'!$C$3,AB280='טכנו'!$C$3,AC280='טכנו'!$C$3),OR('טכנו'!$C$4="הכל",A280='טכנו'!$C$4),D280&lt;&gt;""),ROW()-2,"")</f>
        <v/>
      </c>
    </row>
    <row r="281">
      <c r="E281">
        <f>IFERROR(INDEX('הגדרות'!$I:$I,MATCH(B281,'הגדרות'!$H:$H,0)),"")</f>
        <v/>
      </c>
      <c r="Z281">
        <f>IFERROR(VLOOKUP(H281,'הגדרות'!$A:$D,2,FALSE),"")</f>
        <v/>
      </c>
      <c r="AA281">
        <f>IFERROR(VLOOKUP(H281,'הגדרות'!$A:$D,3,FALSE),"")</f>
        <v/>
      </c>
      <c r="AB281">
        <f>IFERROR(VLOOKUP(I281,'הגדרות'!$A:$D,2,FALSE),"")</f>
        <v/>
      </c>
      <c r="AC281">
        <f>IFERROR(VLOOKUP(I281,'הגדרות'!$A:$D,3,FALSE),"")</f>
        <v/>
      </c>
      <c r="AD281">
        <f>IF(AND(OR('לוח בקרה'!$C$3="הכל",Z281='לוח בקרה'!$C$3,AA281='לוח בקרה'!$C$3,AB281='לוח בקרה'!$C$3,AC281='לוח בקרה'!$C$3),OR('לוח בקרה'!$C$4="הכל",A281='לוח בקרה'!$C$4),OR('לוח בקרה'!$C$5="הכל",T281='לוח בקרה'!$C$5),OR('לוח בקרה'!$C$6="הכל",H281='לוח בקרה'!$C$6,I281='לוח בקרה'!$C$6),OR('לוח בקרה'!$C$7="הכל",J281='לוח בקרה'!$C$7),OR('לוח בקרה'!$C$8="הכל",L281='לוח בקרה'!$C$8),OR('לוח בקרה'!$C$9="הכל",Q281='לוח בקרה'!$C$9),OR('לוח בקרה'!$C$10="הכל",F281='לוח בקרה'!$C$10,G281='לוח בקרה'!$C$10),D281&lt;&gt;""),ROW()-2,"")</f>
        <v/>
      </c>
      <c r="AE281">
        <f>IF(AND(OR('טכנו'!$C$3="הכל",Z281='טכנו'!$C$3,AA281='טכנו'!$C$3,AB281='טכנו'!$C$3,AC281='טכנו'!$C$3),OR('טכנו'!$C$4="הכל",A281='טכנו'!$C$4),D281&lt;&gt;""),ROW()-2,"")</f>
        <v/>
      </c>
    </row>
    <row r="282">
      <c r="E282">
        <f>IFERROR(INDEX('הגדרות'!$I:$I,MATCH(B282,'הגדרות'!$H:$H,0)),"")</f>
        <v/>
      </c>
      <c r="Z282">
        <f>IFERROR(VLOOKUP(H282,'הגדרות'!$A:$D,2,FALSE),"")</f>
        <v/>
      </c>
      <c r="AA282">
        <f>IFERROR(VLOOKUP(H282,'הגדרות'!$A:$D,3,FALSE),"")</f>
        <v/>
      </c>
      <c r="AB282">
        <f>IFERROR(VLOOKUP(I282,'הגדרות'!$A:$D,2,FALSE),"")</f>
        <v/>
      </c>
      <c r="AC282">
        <f>IFERROR(VLOOKUP(I282,'הגדרות'!$A:$D,3,FALSE),"")</f>
        <v/>
      </c>
      <c r="AD282">
        <f>IF(AND(OR('לוח בקרה'!$C$3="הכל",Z282='לוח בקרה'!$C$3,AA282='לוח בקרה'!$C$3,AB282='לוח בקרה'!$C$3,AC282='לוח בקרה'!$C$3),OR('לוח בקרה'!$C$4="הכל",A282='לוח בקרה'!$C$4),OR('לוח בקרה'!$C$5="הכל",T282='לוח בקרה'!$C$5),OR('לוח בקרה'!$C$6="הכל",H282='לוח בקרה'!$C$6,I282='לוח בקרה'!$C$6),OR('לוח בקרה'!$C$7="הכל",J282='לוח בקרה'!$C$7),OR('לוח בקרה'!$C$8="הכל",L282='לוח בקרה'!$C$8),OR('לוח בקרה'!$C$9="הכל",Q282='לוח בקרה'!$C$9),OR('לוח בקרה'!$C$10="הכל",F282='לוח בקרה'!$C$10,G282='לוח בקרה'!$C$10),D282&lt;&gt;""),ROW()-2,"")</f>
        <v/>
      </c>
      <c r="AE282">
        <f>IF(AND(OR('טכנו'!$C$3="הכל",Z282='טכנו'!$C$3,AA282='טכנו'!$C$3,AB282='טכנו'!$C$3,AC282='טכנו'!$C$3),OR('טכנו'!$C$4="הכל",A282='טכנו'!$C$4),D282&lt;&gt;""),ROW()-2,"")</f>
        <v/>
      </c>
    </row>
    <row r="283">
      <c r="E283">
        <f>IFERROR(INDEX('הגדרות'!$I:$I,MATCH(B283,'הגדרות'!$H:$H,0)),"")</f>
        <v/>
      </c>
      <c r="Z283">
        <f>IFERROR(VLOOKUP(H283,'הגדרות'!$A:$D,2,FALSE),"")</f>
        <v/>
      </c>
      <c r="AA283">
        <f>IFERROR(VLOOKUP(H283,'הגדרות'!$A:$D,3,FALSE),"")</f>
        <v/>
      </c>
      <c r="AB283">
        <f>IFERROR(VLOOKUP(I283,'הגדרות'!$A:$D,2,FALSE),"")</f>
        <v/>
      </c>
      <c r="AC283">
        <f>IFERROR(VLOOKUP(I283,'הגדרות'!$A:$D,3,FALSE),"")</f>
        <v/>
      </c>
      <c r="AD283">
        <f>IF(AND(OR('לוח בקרה'!$C$3="הכל",Z283='לוח בקרה'!$C$3,AA283='לוח בקרה'!$C$3,AB283='לוח בקרה'!$C$3,AC283='לוח בקרה'!$C$3),OR('לוח בקרה'!$C$4="הכל",A283='לוח בקרה'!$C$4),OR('לוח בקרה'!$C$5="הכל",T283='לוח בקרה'!$C$5),OR('לוח בקרה'!$C$6="הכל",H283='לוח בקרה'!$C$6,I283='לוח בקרה'!$C$6),OR('לוח בקרה'!$C$7="הכל",J283='לוח בקרה'!$C$7),OR('לוח בקרה'!$C$8="הכל",L283='לוח בקרה'!$C$8),OR('לוח בקרה'!$C$9="הכל",Q283='לוח בקרה'!$C$9),OR('לוח בקרה'!$C$10="הכל",F283='לוח בקרה'!$C$10,G283='לוח בקרה'!$C$10),D283&lt;&gt;""),ROW()-2,"")</f>
        <v/>
      </c>
      <c r="AE283">
        <f>IF(AND(OR('טכנו'!$C$3="הכל",Z283='טכנו'!$C$3,AA283='טכנו'!$C$3,AB283='טכנו'!$C$3,AC283='טכנו'!$C$3),OR('טכנו'!$C$4="הכל",A283='טכנו'!$C$4),D283&lt;&gt;""),ROW()-2,"")</f>
        <v/>
      </c>
    </row>
    <row r="284">
      <c r="E284">
        <f>IFERROR(INDEX('הגדרות'!$I:$I,MATCH(B284,'הגדרות'!$H:$H,0)),"")</f>
        <v/>
      </c>
      <c r="Z284">
        <f>IFERROR(VLOOKUP(H284,'הגדרות'!$A:$D,2,FALSE),"")</f>
        <v/>
      </c>
      <c r="AA284">
        <f>IFERROR(VLOOKUP(H284,'הגדרות'!$A:$D,3,FALSE),"")</f>
        <v/>
      </c>
      <c r="AB284">
        <f>IFERROR(VLOOKUP(I284,'הגדרות'!$A:$D,2,FALSE),"")</f>
        <v/>
      </c>
      <c r="AC284">
        <f>IFERROR(VLOOKUP(I284,'הגדרות'!$A:$D,3,FALSE),"")</f>
        <v/>
      </c>
      <c r="AD284">
        <f>IF(AND(OR('לוח בקרה'!$C$3="הכל",Z284='לוח בקרה'!$C$3,AA284='לוח בקרה'!$C$3,AB284='לוח בקרה'!$C$3,AC284='לוח בקרה'!$C$3),OR('לוח בקרה'!$C$4="הכל",A284='לוח בקרה'!$C$4),OR('לוח בקרה'!$C$5="הכל",T284='לוח בקרה'!$C$5),OR('לוח בקרה'!$C$6="הכל",H284='לוח בקרה'!$C$6,I284='לוח בקרה'!$C$6),OR('לוח בקרה'!$C$7="הכל",J284='לוח בקרה'!$C$7),OR('לוח בקרה'!$C$8="הכל",L284='לוח בקרה'!$C$8),OR('לוח בקרה'!$C$9="הכל",Q284='לוח בקרה'!$C$9),OR('לוח בקרה'!$C$10="הכל",F284='לוח בקרה'!$C$10,G284='לוח בקרה'!$C$10),D284&lt;&gt;""),ROW()-2,"")</f>
        <v/>
      </c>
      <c r="AE284">
        <f>IF(AND(OR('טכנו'!$C$3="הכל",Z284='טכנו'!$C$3,AA284='טכנו'!$C$3,AB284='טכנו'!$C$3,AC284='טכנו'!$C$3),OR('טכנו'!$C$4="הכל",A284='טכנו'!$C$4),D284&lt;&gt;""),ROW()-2,"")</f>
        <v/>
      </c>
    </row>
    <row r="285">
      <c r="E285">
        <f>IFERROR(INDEX('הגדרות'!$I:$I,MATCH(B285,'הגדרות'!$H:$H,0)),"")</f>
        <v/>
      </c>
      <c r="Z285">
        <f>IFERROR(VLOOKUP(H285,'הגדרות'!$A:$D,2,FALSE),"")</f>
        <v/>
      </c>
      <c r="AA285">
        <f>IFERROR(VLOOKUP(H285,'הגדרות'!$A:$D,3,FALSE),"")</f>
        <v/>
      </c>
      <c r="AB285">
        <f>IFERROR(VLOOKUP(I285,'הגדרות'!$A:$D,2,FALSE),"")</f>
        <v/>
      </c>
      <c r="AC285">
        <f>IFERROR(VLOOKUP(I285,'הגדרות'!$A:$D,3,FALSE),"")</f>
        <v/>
      </c>
      <c r="AD285">
        <f>IF(AND(OR('לוח בקרה'!$C$3="הכל",Z285='לוח בקרה'!$C$3,AA285='לוח בקרה'!$C$3,AB285='לוח בקרה'!$C$3,AC285='לוח בקרה'!$C$3),OR('לוח בקרה'!$C$4="הכל",A285='לוח בקרה'!$C$4),OR('לוח בקרה'!$C$5="הכל",T285='לוח בקרה'!$C$5),OR('לוח בקרה'!$C$6="הכל",H285='לוח בקרה'!$C$6,I285='לוח בקרה'!$C$6),OR('לוח בקרה'!$C$7="הכל",J285='לוח בקרה'!$C$7),OR('לוח בקרה'!$C$8="הכל",L285='לוח בקרה'!$C$8),OR('לוח בקרה'!$C$9="הכל",Q285='לוח בקרה'!$C$9),OR('לוח בקרה'!$C$10="הכל",F285='לוח בקרה'!$C$10,G285='לוח בקרה'!$C$10),D285&lt;&gt;""),ROW()-2,"")</f>
        <v/>
      </c>
      <c r="AE285">
        <f>IF(AND(OR('טכנו'!$C$3="הכל",Z285='טכנו'!$C$3,AA285='טכנו'!$C$3,AB285='טכנו'!$C$3,AC285='טכנו'!$C$3),OR('טכנו'!$C$4="הכל",A285='טכנו'!$C$4),D285&lt;&gt;""),ROW()-2,"")</f>
        <v/>
      </c>
    </row>
    <row r="286">
      <c r="E286">
        <f>IFERROR(INDEX('הגדרות'!$I:$I,MATCH(B286,'הגדרות'!$H:$H,0)),"")</f>
        <v/>
      </c>
      <c r="Z286">
        <f>IFERROR(VLOOKUP(H286,'הגדרות'!$A:$D,2,FALSE),"")</f>
        <v/>
      </c>
      <c r="AA286">
        <f>IFERROR(VLOOKUP(H286,'הגדרות'!$A:$D,3,FALSE),"")</f>
        <v/>
      </c>
      <c r="AB286">
        <f>IFERROR(VLOOKUP(I286,'הגדרות'!$A:$D,2,FALSE),"")</f>
        <v/>
      </c>
      <c r="AC286">
        <f>IFERROR(VLOOKUP(I286,'הגדרות'!$A:$D,3,FALSE),"")</f>
        <v/>
      </c>
      <c r="AD286">
        <f>IF(AND(OR('לוח בקרה'!$C$3="הכל",Z286='לוח בקרה'!$C$3,AA286='לוח בקרה'!$C$3,AB286='לוח בקרה'!$C$3,AC286='לוח בקרה'!$C$3),OR('לוח בקרה'!$C$4="הכל",A286='לוח בקרה'!$C$4),OR('לוח בקרה'!$C$5="הכל",T286='לוח בקרה'!$C$5),OR('לוח בקרה'!$C$6="הכל",H286='לוח בקרה'!$C$6,I286='לוח בקרה'!$C$6),OR('לוח בקרה'!$C$7="הכל",J286='לוח בקרה'!$C$7),OR('לוח בקרה'!$C$8="הכל",L286='לוח בקרה'!$C$8),OR('לוח בקרה'!$C$9="הכל",Q286='לוח בקרה'!$C$9),OR('לוח בקרה'!$C$10="הכל",F286='לוח בקרה'!$C$10,G286='לוח בקרה'!$C$10),D286&lt;&gt;""),ROW()-2,"")</f>
        <v/>
      </c>
      <c r="AE286">
        <f>IF(AND(OR('טכנו'!$C$3="הכל",Z286='טכנו'!$C$3,AA286='טכנו'!$C$3,AB286='טכנו'!$C$3,AC286='טכנו'!$C$3),OR('טכנו'!$C$4="הכל",A286='טכנו'!$C$4),D286&lt;&gt;""),ROW()-2,"")</f>
        <v/>
      </c>
    </row>
    <row r="287">
      <c r="E287">
        <f>IFERROR(INDEX('הגדרות'!$I:$I,MATCH(B287,'הגדרות'!$H:$H,0)),"")</f>
        <v/>
      </c>
      <c r="Z287">
        <f>IFERROR(VLOOKUP(H287,'הגדרות'!$A:$D,2,FALSE),"")</f>
        <v/>
      </c>
      <c r="AA287">
        <f>IFERROR(VLOOKUP(H287,'הגדרות'!$A:$D,3,FALSE),"")</f>
        <v/>
      </c>
      <c r="AB287">
        <f>IFERROR(VLOOKUP(I287,'הגדרות'!$A:$D,2,FALSE),"")</f>
        <v/>
      </c>
      <c r="AC287">
        <f>IFERROR(VLOOKUP(I287,'הגדרות'!$A:$D,3,FALSE),"")</f>
        <v/>
      </c>
      <c r="AD287">
        <f>IF(AND(OR('לוח בקרה'!$C$3="הכל",Z287='לוח בקרה'!$C$3,AA287='לוח בקרה'!$C$3,AB287='לוח בקרה'!$C$3,AC287='לוח בקרה'!$C$3),OR('לוח בקרה'!$C$4="הכל",A287='לוח בקרה'!$C$4),OR('לוח בקרה'!$C$5="הכל",T287='לוח בקרה'!$C$5),OR('לוח בקרה'!$C$6="הכל",H287='לוח בקרה'!$C$6,I287='לוח בקרה'!$C$6),OR('לוח בקרה'!$C$7="הכל",J287='לוח בקרה'!$C$7),OR('לוח בקרה'!$C$8="הכל",L287='לוח בקרה'!$C$8),OR('לוח בקרה'!$C$9="הכל",Q287='לוח בקרה'!$C$9),OR('לוח בקרה'!$C$10="הכל",F287='לוח בקרה'!$C$10,G287='לוח בקרה'!$C$10),D287&lt;&gt;""),ROW()-2,"")</f>
        <v/>
      </c>
      <c r="AE287">
        <f>IF(AND(OR('טכנו'!$C$3="הכל",Z287='טכנו'!$C$3,AA287='טכנו'!$C$3,AB287='טכנו'!$C$3,AC287='טכנו'!$C$3),OR('טכנו'!$C$4="הכל",A287='טכנו'!$C$4),D287&lt;&gt;""),ROW()-2,"")</f>
        <v/>
      </c>
    </row>
    <row r="288">
      <c r="E288">
        <f>IFERROR(INDEX('הגדרות'!$I:$I,MATCH(B288,'הגדרות'!$H:$H,0)),"")</f>
        <v/>
      </c>
      <c r="Z288">
        <f>IFERROR(VLOOKUP(H288,'הגדרות'!$A:$D,2,FALSE),"")</f>
        <v/>
      </c>
      <c r="AA288">
        <f>IFERROR(VLOOKUP(H288,'הגדרות'!$A:$D,3,FALSE),"")</f>
        <v/>
      </c>
      <c r="AB288">
        <f>IFERROR(VLOOKUP(I288,'הגדרות'!$A:$D,2,FALSE),"")</f>
        <v/>
      </c>
      <c r="AC288">
        <f>IFERROR(VLOOKUP(I288,'הגדרות'!$A:$D,3,FALSE),"")</f>
        <v/>
      </c>
      <c r="AD288">
        <f>IF(AND(OR('לוח בקרה'!$C$3="הכל",Z288='לוח בקרה'!$C$3,AA288='לוח בקרה'!$C$3,AB288='לוח בקרה'!$C$3,AC288='לוח בקרה'!$C$3),OR('לוח בקרה'!$C$4="הכל",A288='לוח בקרה'!$C$4),OR('לוח בקרה'!$C$5="הכל",T288='לוח בקרה'!$C$5),OR('לוח בקרה'!$C$6="הכל",H288='לוח בקרה'!$C$6,I288='לוח בקרה'!$C$6),OR('לוח בקרה'!$C$7="הכל",J288='לוח בקרה'!$C$7),OR('לוח בקרה'!$C$8="הכל",L288='לוח בקרה'!$C$8),OR('לוח בקרה'!$C$9="הכל",Q288='לוח בקרה'!$C$9),OR('לוח בקרה'!$C$10="הכל",F288='לוח בקרה'!$C$10,G288='לוח בקרה'!$C$10),D288&lt;&gt;""),ROW()-2,"")</f>
        <v/>
      </c>
      <c r="AE288">
        <f>IF(AND(OR('טכנו'!$C$3="הכל",Z288='טכנו'!$C$3,AA288='טכנו'!$C$3,AB288='טכנו'!$C$3,AC288='טכנו'!$C$3),OR('טכנו'!$C$4="הכל",A288='טכנו'!$C$4),D288&lt;&gt;""),ROW()-2,"")</f>
        <v/>
      </c>
    </row>
    <row r="289">
      <c r="E289">
        <f>IFERROR(INDEX('הגדרות'!$I:$I,MATCH(B289,'הגדרות'!$H:$H,0)),"")</f>
        <v/>
      </c>
      <c r="Z289">
        <f>IFERROR(VLOOKUP(H289,'הגדרות'!$A:$D,2,FALSE),"")</f>
        <v/>
      </c>
      <c r="AA289">
        <f>IFERROR(VLOOKUP(H289,'הגדרות'!$A:$D,3,FALSE),"")</f>
        <v/>
      </c>
      <c r="AB289">
        <f>IFERROR(VLOOKUP(I289,'הגדרות'!$A:$D,2,FALSE),"")</f>
        <v/>
      </c>
      <c r="AC289">
        <f>IFERROR(VLOOKUP(I289,'הגדרות'!$A:$D,3,FALSE),"")</f>
        <v/>
      </c>
      <c r="AD289">
        <f>IF(AND(OR('לוח בקרה'!$C$3="הכל",Z289='לוח בקרה'!$C$3,AA289='לוח בקרה'!$C$3,AB289='לוח בקרה'!$C$3,AC289='לוח בקרה'!$C$3),OR('לוח בקרה'!$C$4="הכל",A289='לוח בקרה'!$C$4),OR('לוח בקרה'!$C$5="הכל",T289='לוח בקרה'!$C$5),OR('לוח בקרה'!$C$6="הכל",H289='לוח בקרה'!$C$6,I289='לוח בקרה'!$C$6),OR('לוח בקרה'!$C$7="הכל",J289='לוח בקרה'!$C$7),OR('לוח בקרה'!$C$8="הכל",L289='לוח בקרה'!$C$8),OR('לוח בקרה'!$C$9="הכל",Q289='לוח בקרה'!$C$9),OR('לוח בקרה'!$C$10="הכל",F289='לוח בקרה'!$C$10,G289='לוח בקרה'!$C$10),D289&lt;&gt;""),ROW()-2,"")</f>
        <v/>
      </c>
      <c r="AE289">
        <f>IF(AND(OR('טכנו'!$C$3="הכל",Z289='טכנו'!$C$3,AA289='טכנו'!$C$3,AB289='טכנו'!$C$3,AC289='טכנו'!$C$3),OR('טכנו'!$C$4="הכל",A289='טכנו'!$C$4),D289&lt;&gt;""),ROW()-2,"")</f>
        <v/>
      </c>
    </row>
    <row r="290">
      <c r="E290">
        <f>IFERROR(INDEX('הגדרות'!$I:$I,MATCH(B290,'הגדרות'!$H:$H,0)),"")</f>
        <v/>
      </c>
      <c r="Z290">
        <f>IFERROR(VLOOKUP(H290,'הגדרות'!$A:$D,2,FALSE),"")</f>
        <v/>
      </c>
      <c r="AA290">
        <f>IFERROR(VLOOKUP(H290,'הגדרות'!$A:$D,3,FALSE),"")</f>
        <v/>
      </c>
      <c r="AB290">
        <f>IFERROR(VLOOKUP(I290,'הגדרות'!$A:$D,2,FALSE),"")</f>
        <v/>
      </c>
      <c r="AC290">
        <f>IFERROR(VLOOKUP(I290,'הגדרות'!$A:$D,3,FALSE),"")</f>
        <v/>
      </c>
      <c r="AD290">
        <f>IF(AND(OR('לוח בקרה'!$C$3="הכל",Z290='לוח בקרה'!$C$3,AA290='לוח בקרה'!$C$3,AB290='לוח בקרה'!$C$3,AC290='לוח בקרה'!$C$3),OR('לוח בקרה'!$C$4="הכל",A290='לוח בקרה'!$C$4),OR('לוח בקרה'!$C$5="הכל",T290='לוח בקרה'!$C$5),OR('לוח בקרה'!$C$6="הכל",H290='לוח בקרה'!$C$6,I290='לוח בקרה'!$C$6),OR('לוח בקרה'!$C$7="הכל",J290='לוח בקרה'!$C$7),OR('לוח בקרה'!$C$8="הכל",L290='לוח בקרה'!$C$8),OR('לוח בקרה'!$C$9="הכל",Q290='לוח בקרה'!$C$9),OR('לוח בקרה'!$C$10="הכל",F290='לוח בקרה'!$C$10,G290='לוח בקרה'!$C$10),D290&lt;&gt;""),ROW()-2,"")</f>
        <v/>
      </c>
      <c r="AE290">
        <f>IF(AND(OR('טכנו'!$C$3="הכל",Z290='טכנו'!$C$3,AA290='טכנו'!$C$3,AB290='טכנו'!$C$3,AC290='טכנו'!$C$3),OR('טכנו'!$C$4="הכל",A290='טכנו'!$C$4),D290&lt;&gt;""),ROW()-2,"")</f>
        <v/>
      </c>
    </row>
    <row r="291">
      <c r="E291">
        <f>IFERROR(INDEX('הגדרות'!$I:$I,MATCH(B291,'הגדרות'!$H:$H,0)),"")</f>
        <v/>
      </c>
      <c r="Z291">
        <f>IFERROR(VLOOKUP(H291,'הגדרות'!$A:$D,2,FALSE),"")</f>
        <v/>
      </c>
      <c r="AA291">
        <f>IFERROR(VLOOKUP(H291,'הגדרות'!$A:$D,3,FALSE),"")</f>
        <v/>
      </c>
      <c r="AB291">
        <f>IFERROR(VLOOKUP(I291,'הגדרות'!$A:$D,2,FALSE),"")</f>
        <v/>
      </c>
      <c r="AC291">
        <f>IFERROR(VLOOKUP(I291,'הגדרות'!$A:$D,3,FALSE),"")</f>
        <v/>
      </c>
      <c r="AD291">
        <f>IF(AND(OR('לוח בקרה'!$C$3="הכל",Z291='לוח בקרה'!$C$3,AA291='לוח בקרה'!$C$3,AB291='לוח בקרה'!$C$3,AC291='לוח בקרה'!$C$3),OR('לוח בקרה'!$C$4="הכל",A291='לוח בקרה'!$C$4),OR('לוח בקרה'!$C$5="הכל",T291='לוח בקרה'!$C$5),OR('לוח בקרה'!$C$6="הכל",H291='לוח בקרה'!$C$6,I291='לוח בקרה'!$C$6),OR('לוח בקרה'!$C$7="הכל",J291='לוח בקרה'!$C$7),OR('לוח בקרה'!$C$8="הכל",L291='לוח בקרה'!$C$8),OR('לוח בקרה'!$C$9="הכל",Q291='לוח בקרה'!$C$9),OR('לוח בקרה'!$C$10="הכל",F291='לוח בקרה'!$C$10,G291='לוח בקרה'!$C$10),D291&lt;&gt;""),ROW()-2,"")</f>
        <v/>
      </c>
      <c r="AE291">
        <f>IF(AND(OR('טכנו'!$C$3="הכל",Z291='טכנו'!$C$3,AA291='טכנו'!$C$3,AB291='טכנו'!$C$3,AC291='טכנו'!$C$3),OR('טכנו'!$C$4="הכל",A291='טכנו'!$C$4),D291&lt;&gt;""),ROW()-2,"")</f>
        <v/>
      </c>
    </row>
    <row r="292">
      <c r="E292">
        <f>IFERROR(INDEX('הגדרות'!$I:$I,MATCH(B292,'הגדרות'!$H:$H,0)),"")</f>
        <v/>
      </c>
      <c r="Z292">
        <f>IFERROR(VLOOKUP(H292,'הגדרות'!$A:$D,2,FALSE),"")</f>
        <v/>
      </c>
      <c r="AA292">
        <f>IFERROR(VLOOKUP(H292,'הגדרות'!$A:$D,3,FALSE),"")</f>
        <v/>
      </c>
      <c r="AB292">
        <f>IFERROR(VLOOKUP(I292,'הגדרות'!$A:$D,2,FALSE),"")</f>
        <v/>
      </c>
      <c r="AC292">
        <f>IFERROR(VLOOKUP(I292,'הגדרות'!$A:$D,3,FALSE),"")</f>
        <v/>
      </c>
      <c r="AD292">
        <f>IF(AND(OR('לוח בקרה'!$C$3="הכל",Z292='לוח בקרה'!$C$3,AA292='לוח בקרה'!$C$3,AB292='לוח בקרה'!$C$3,AC292='לוח בקרה'!$C$3),OR('לוח בקרה'!$C$4="הכל",A292='לוח בקרה'!$C$4),OR('לוח בקרה'!$C$5="הכל",T292='לוח בקרה'!$C$5),OR('לוח בקרה'!$C$6="הכל",H292='לוח בקרה'!$C$6,I292='לוח בקרה'!$C$6),OR('לוח בקרה'!$C$7="הכל",J292='לוח בקרה'!$C$7),OR('לוח בקרה'!$C$8="הכל",L292='לוח בקרה'!$C$8),OR('לוח בקרה'!$C$9="הכל",Q292='לוח בקרה'!$C$9),OR('לוח בקרה'!$C$10="הכל",F292='לוח בקרה'!$C$10,G292='לוח בקרה'!$C$10),D292&lt;&gt;""),ROW()-2,"")</f>
        <v/>
      </c>
      <c r="AE292">
        <f>IF(AND(OR('טכנו'!$C$3="הכל",Z292='טכנו'!$C$3,AA292='טכנו'!$C$3,AB292='טכנו'!$C$3,AC292='טכנו'!$C$3),OR('טכנו'!$C$4="הכל",A292='טכנו'!$C$4),D292&lt;&gt;""),ROW()-2,"")</f>
        <v/>
      </c>
    </row>
    <row r="293">
      <c r="E293">
        <f>IFERROR(INDEX('הגדרות'!$I:$I,MATCH(B293,'הגדרות'!$H:$H,0)),"")</f>
        <v/>
      </c>
      <c r="Z293">
        <f>IFERROR(VLOOKUP(H293,'הגדרות'!$A:$D,2,FALSE),"")</f>
        <v/>
      </c>
      <c r="AA293">
        <f>IFERROR(VLOOKUP(H293,'הגדרות'!$A:$D,3,FALSE),"")</f>
        <v/>
      </c>
      <c r="AB293">
        <f>IFERROR(VLOOKUP(I293,'הגדרות'!$A:$D,2,FALSE),"")</f>
        <v/>
      </c>
      <c r="AC293">
        <f>IFERROR(VLOOKUP(I293,'הגדרות'!$A:$D,3,FALSE),"")</f>
        <v/>
      </c>
      <c r="AD293">
        <f>IF(AND(OR('לוח בקרה'!$C$3="הכל",Z293='לוח בקרה'!$C$3,AA293='לוח בקרה'!$C$3,AB293='לוח בקרה'!$C$3,AC293='לוח בקרה'!$C$3),OR('לוח בקרה'!$C$4="הכל",A293='לוח בקרה'!$C$4),OR('לוח בקרה'!$C$5="הכל",T293='לוח בקרה'!$C$5),OR('לוח בקרה'!$C$6="הכל",H293='לוח בקרה'!$C$6,I293='לוח בקרה'!$C$6),OR('לוח בקרה'!$C$7="הכל",J293='לוח בקרה'!$C$7),OR('לוח בקרה'!$C$8="הכל",L293='לוח בקרה'!$C$8),OR('לוח בקרה'!$C$9="הכל",Q293='לוח בקרה'!$C$9),OR('לוח בקרה'!$C$10="הכל",F293='לוח בקרה'!$C$10,G293='לוח בקרה'!$C$10),D293&lt;&gt;""),ROW()-2,"")</f>
        <v/>
      </c>
      <c r="AE293">
        <f>IF(AND(OR('טכנו'!$C$3="הכל",Z293='טכנו'!$C$3,AA293='טכנו'!$C$3,AB293='טכנו'!$C$3,AC293='טכנו'!$C$3),OR('טכנו'!$C$4="הכל",A293='טכנו'!$C$4),D293&lt;&gt;""),ROW()-2,"")</f>
        <v/>
      </c>
    </row>
    <row r="294">
      <c r="E294">
        <f>IFERROR(INDEX('הגדרות'!$I:$I,MATCH(B294,'הגדרות'!$H:$H,0)),"")</f>
        <v/>
      </c>
      <c r="Z294">
        <f>IFERROR(VLOOKUP(H294,'הגדרות'!$A:$D,2,FALSE),"")</f>
        <v/>
      </c>
      <c r="AA294">
        <f>IFERROR(VLOOKUP(H294,'הגדרות'!$A:$D,3,FALSE),"")</f>
        <v/>
      </c>
      <c r="AB294">
        <f>IFERROR(VLOOKUP(I294,'הגדרות'!$A:$D,2,FALSE),"")</f>
        <v/>
      </c>
      <c r="AC294">
        <f>IFERROR(VLOOKUP(I294,'הגדרות'!$A:$D,3,FALSE),"")</f>
        <v/>
      </c>
      <c r="AD294">
        <f>IF(AND(OR('לוח בקרה'!$C$3="הכל",Z294='לוח בקרה'!$C$3,AA294='לוח בקרה'!$C$3,AB294='לוח בקרה'!$C$3,AC294='לוח בקרה'!$C$3),OR('לוח בקרה'!$C$4="הכל",A294='לוח בקרה'!$C$4),OR('לוח בקרה'!$C$5="הכל",T294='לוח בקרה'!$C$5),OR('לוח בקרה'!$C$6="הכל",H294='לוח בקרה'!$C$6,I294='לוח בקרה'!$C$6),OR('לוח בקרה'!$C$7="הכל",J294='לוח בקרה'!$C$7),OR('לוח בקרה'!$C$8="הכל",L294='לוח בקרה'!$C$8),OR('לוח בקרה'!$C$9="הכל",Q294='לוח בקרה'!$C$9),OR('לוח בקרה'!$C$10="הכל",F294='לוח בקרה'!$C$10,G294='לוח בקרה'!$C$10),D294&lt;&gt;""),ROW()-2,"")</f>
        <v/>
      </c>
      <c r="AE294">
        <f>IF(AND(OR('טכנו'!$C$3="הכל",Z294='טכנו'!$C$3,AA294='טכנו'!$C$3,AB294='טכנו'!$C$3,AC294='טכנו'!$C$3),OR('טכנו'!$C$4="הכל",A294='טכנו'!$C$4),D294&lt;&gt;""),ROW()-2,"")</f>
        <v/>
      </c>
    </row>
    <row r="295">
      <c r="E295">
        <f>IFERROR(INDEX('הגדרות'!$I:$I,MATCH(B295,'הגדרות'!$H:$H,0)),"")</f>
        <v/>
      </c>
      <c r="Z295">
        <f>IFERROR(VLOOKUP(H295,'הגדרות'!$A:$D,2,FALSE),"")</f>
        <v/>
      </c>
      <c r="AA295">
        <f>IFERROR(VLOOKUP(H295,'הגדרות'!$A:$D,3,FALSE),"")</f>
        <v/>
      </c>
      <c r="AB295">
        <f>IFERROR(VLOOKUP(I295,'הגדרות'!$A:$D,2,FALSE),"")</f>
        <v/>
      </c>
      <c r="AC295">
        <f>IFERROR(VLOOKUP(I295,'הגדרות'!$A:$D,3,FALSE),"")</f>
        <v/>
      </c>
      <c r="AD295">
        <f>IF(AND(OR('לוח בקרה'!$C$3="הכל",Z295='לוח בקרה'!$C$3,AA295='לוח בקרה'!$C$3,AB295='לוח בקרה'!$C$3,AC295='לוח בקרה'!$C$3),OR('לוח בקרה'!$C$4="הכל",A295='לוח בקרה'!$C$4),OR('לוח בקרה'!$C$5="הכל",T295='לוח בקרה'!$C$5),OR('לוח בקרה'!$C$6="הכל",H295='לוח בקרה'!$C$6,I295='לוח בקרה'!$C$6),OR('לוח בקרה'!$C$7="הכל",J295='לוח בקרה'!$C$7),OR('לוח בקרה'!$C$8="הכל",L295='לוח בקרה'!$C$8),OR('לוח בקרה'!$C$9="הכל",Q295='לוח בקרה'!$C$9),OR('לוח בקרה'!$C$10="הכל",F295='לוח בקרה'!$C$10,G295='לוח בקרה'!$C$10),D295&lt;&gt;""),ROW()-2,"")</f>
        <v/>
      </c>
      <c r="AE295">
        <f>IF(AND(OR('טכנו'!$C$3="הכל",Z295='טכנו'!$C$3,AA295='טכנו'!$C$3,AB295='טכנו'!$C$3,AC295='טכנו'!$C$3),OR('טכנו'!$C$4="הכל",A295='טכנו'!$C$4),D295&lt;&gt;""),ROW()-2,"")</f>
        <v/>
      </c>
    </row>
    <row r="296">
      <c r="E296">
        <f>IFERROR(INDEX('הגדרות'!$I:$I,MATCH(B296,'הגדרות'!$H:$H,0)),"")</f>
        <v/>
      </c>
      <c r="Z296">
        <f>IFERROR(VLOOKUP(H296,'הגדרות'!$A:$D,2,FALSE),"")</f>
        <v/>
      </c>
      <c r="AA296">
        <f>IFERROR(VLOOKUP(H296,'הגדרות'!$A:$D,3,FALSE),"")</f>
        <v/>
      </c>
      <c r="AB296">
        <f>IFERROR(VLOOKUP(I296,'הגדרות'!$A:$D,2,FALSE),"")</f>
        <v/>
      </c>
      <c r="AC296">
        <f>IFERROR(VLOOKUP(I296,'הגדרות'!$A:$D,3,FALSE),"")</f>
        <v/>
      </c>
      <c r="AD296">
        <f>IF(AND(OR('לוח בקרה'!$C$3="הכל",Z296='לוח בקרה'!$C$3,AA296='לוח בקרה'!$C$3,AB296='לוח בקרה'!$C$3,AC296='לוח בקרה'!$C$3),OR('לוח בקרה'!$C$4="הכל",A296='לוח בקרה'!$C$4),OR('לוח בקרה'!$C$5="הכל",T296='לוח בקרה'!$C$5),OR('לוח בקרה'!$C$6="הכל",H296='לוח בקרה'!$C$6,I296='לוח בקרה'!$C$6),OR('לוח בקרה'!$C$7="הכל",J296='לוח בקרה'!$C$7),OR('לוח בקרה'!$C$8="הכל",L296='לוח בקרה'!$C$8),OR('לוח בקרה'!$C$9="הכל",Q296='לוח בקרה'!$C$9),OR('לוח בקרה'!$C$10="הכל",F296='לוח בקרה'!$C$10,G296='לוח בקרה'!$C$10),D296&lt;&gt;""),ROW()-2,"")</f>
        <v/>
      </c>
      <c r="AE296">
        <f>IF(AND(OR('טכנו'!$C$3="הכל",Z296='טכנו'!$C$3,AA296='טכנו'!$C$3,AB296='טכנו'!$C$3,AC296='טכנו'!$C$3),OR('טכנו'!$C$4="הכל",A296='טכנו'!$C$4),D296&lt;&gt;""),ROW()-2,"")</f>
        <v/>
      </c>
    </row>
    <row r="297">
      <c r="E297">
        <f>IFERROR(INDEX('הגדרות'!$I:$I,MATCH(B297,'הגדרות'!$H:$H,0)),"")</f>
        <v/>
      </c>
      <c r="Z297">
        <f>IFERROR(VLOOKUP(H297,'הגדרות'!$A:$D,2,FALSE),"")</f>
        <v/>
      </c>
      <c r="AA297">
        <f>IFERROR(VLOOKUP(H297,'הגדרות'!$A:$D,3,FALSE),"")</f>
        <v/>
      </c>
      <c r="AB297">
        <f>IFERROR(VLOOKUP(I297,'הגדרות'!$A:$D,2,FALSE),"")</f>
        <v/>
      </c>
      <c r="AC297">
        <f>IFERROR(VLOOKUP(I297,'הגדרות'!$A:$D,3,FALSE),"")</f>
        <v/>
      </c>
      <c r="AD297">
        <f>IF(AND(OR('לוח בקרה'!$C$3="הכל",Z297='לוח בקרה'!$C$3,AA297='לוח בקרה'!$C$3,AB297='לוח בקרה'!$C$3,AC297='לוח בקרה'!$C$3),OR('לוח בקרה'!$C$4="הכל",A297='לוח בקרה'!$C$4),OR('לוח בקרה'!$C$5="הכל",T297='לוח בקרה'!$C$5),OR('לוח בקרה'!$C$6="הכל",H297='לוח בקרה'!$C$6,I297='לוח בקרה'!$C$6),OR('לוח בקרה'!$C$7="הכל",J297='לוח בקרה'!$C$7),OR('לוח בקרה'!$C$8="הכל",L297='לוח בקרה'!$C$8),OR('לוח בקרה'!$C$9="הכל",Q297='לוח בקרה'!$C$9),OR('לוח בקרה'!$C$10="הכל",F297='לוח בקרה'!$C$10,G297='לוח בקרה'!$C$10),D297&lt;&gt;""),ROW()-2,"")</f>
        <v/>
      </c>
      <c r="AE297">
        <f>IF(AND(OR('טכנו'!$C$3="הכל",Z297='טכנו'!$C$3,AA297='טכנו'!$C$3,AB297='טכנו'!$C$3,AC297='טכנו'!$C$3),OR('טכנו'!$C$4="הכל",A297='טכנו'!$C$4),D297&lt;&gt;""),ROW()-2,"")</f>
        <v/>
      </c>
    </row>
    <row r="298">
      <c r="E298">
        <f>IFERROR(INDEX('הגדרות'!$I:$I,MATCH(B298,'הגדרות'!$H:$H,0)),"")</f>
        <v/>
      </c>
      <c r="Z298">
        <f>IFERROR(VLOOKUP(H298,'הגדרות'!$A:$D,2,FALSE),"")</f>
        <v/>
      </c>
      <c r="AA298">
        <f>IFERROR(VLOOKUP(H298,'הגדרות'!$A:$D,3,FALSE),"")</f>
        <v/>
      </c>
      <c r="AB298">
        <f>IFERROR(VLOOKUP(I298,'הגדרות'!$A:$D,2,FALSE),"")</f>
        <v/>
      </c>
      <c r="AC298">
        <f>IFERROR(VLOOKUP(I298,'הגדרות'!$A:$D,3,FALSE),"")</f>
        <v/>
      </c>
      <c r="AD298">
        <f>IF(AND(OR('לוח בקרה'!$C$3="הכל",Z298='לוח בקרה'!$C$3,AA298='לוח בקרה'!$C$3,AB298='לוח בקרה'!$C$3,AC298='לוח בקרה'!$C$3),OR('לוח בקרה'!$C$4="הכל",A298='לוח בקרה'!$C$4),OR('לוח בקרה'!$C$5="הכל",T298='לוח בקרה'!$C$5),OR('לוח בקרה'!$C$6="הכל",H298='לוח בקרה'!$C$6,I298='לוח בקרה'!$C$6),OR('לוח בקרה'!$C$7="הכל",J298='לוח בקרה'!$C$7),OR('לוח בקרה'!$C$8="הכל",L298='לוח בקרה'!$C$8),OR('לוח בקרה'!$C$9="הכל",Q298='לוח בקרה'!$C$9),OR('לוח בקרה'!$C$10="הכל",F298='לוח בקרה'!$C$10,G298='לוח בקרה'!$C$10),D298&lt;&gt;""),ROW()-2,"")</f>
        <v/>
      </c>
      <c r="AE298">
        <f>IF(AND(OR('טכנו'!$C$3="הכל",Z298='טכנו'!$C$3,AA298='טכנו'!$C$3,AB298='טכנו'!$C$3,AC298='טכנו'!$C$3),OR('טכנו'!$C$4="הכל",A298='טכנו'!$C$4),D298&lt;&gt;""),ROW()-2,"")</f>
        <v/>
      </c>
    </row>
    <row r="299">
      <c r="E299">
        <f>IFERROR(INDEX('הגדרות'!$I:$I,MATCH(B299,'הגדרות'!$H:$H,0)),"")</f>
        <v/>
      </c>
      <c r="Z299">
        <f>IFERROR(VLOOKUP(H299,'הגדרות'!$A:$D,2,FALSE),"")</f>
        <v/>
      </c>
      <c r="AA299">
        <f>IFERROR(VLOOKUP(H299,'הגדרות'!$A:$D,3,FALSE),"")</f>
        <v/>
      </c>
      <c r="AB299">
        <f>IFERROR(VLOOKUP(I299,'הגדרות'!$A:$D,2,FALSE),"")</f>
        <v/>
      </c>
      <c r="AC299">
        <f>IFERROR(VLOOKUP(I299,'הגדרות'!$A:$D,3,FALSE),"")</f>
        <v/>
      </c>
      <c r="AD299">
        <f>IF(AND(OR('לוח בקרה'!$C$3="הכל",Z299='לוח בקרה'!$C$3,AA299='לוח בקרה'!$C$3,AB299='לוח בקרה'!$C$3,AC299='לוח בקרה'!$C$3),OR('לוח בקרה'!$C$4="הכל",A299='לוח בקרה'!$C$4),OR('לוח בקרה'!$C$5="הכל",T299='לוח בקרה'!$C$5),OR('לוח בקרה'!$C$6="הכל",H299='לוח בקרה'!$C$6,I299='לוח בקרה'!$C$6),OR('לוח בקרה'!$C$7="הכל",J299='לוח בקרה'!$C$7),OR('לוח בקרה'!$C$8="הכל",L299='לוח בקרה'!$C$8),OR('לוח בקרה'!$C$9="הכל",Q299='לוח בקרה'!$C$9),OR('לוח בקרה'!$C$10="הכל",F299='לוח בקרה'!$C$10,G299='לוח בקרה'!$C$10),D299&lt;&gt;""),ROW()-2,"")</f>
        <v/>
      </c>
      <c r="AE299">
        <f>IF(AND(OR('טכנו'!$C$3="הכל",Z299='טכנו'!$C$3,AA299='טכנו'!$C$3,AB299='טכנו'!$C$3,AC299='טכנו'!$C$3),OR('טכנו'!$C$4="הכל",A299='טכנו'!$C$4),D299&lt;&gt;""),ROW()-2,"")</f>
        <v/>
      </c>
    </row>
    <row r="300">
      <c r="E300">
        <f>IFERROR(INDEX('הגדרות'!$I:$I,MATCH(B300,'הגדרות'!$H:$H,0)),"")</f>
        <v/>
      </c>
      <c r="Z300">
        <f>IFERROR(VLOOKUP(H300,'הגדרות'!$A:$D,2,FALSE),"")</f>
        <v/>
      </c>
      <c r="AA300">
        <f>IFERROR(VLOOKUP(H300,'הגדרות'!$A:$D,3,FALSE),"")</f>
        <v/>
      </c>
      <c r="AB300">
        <f>IFERROR(VLOOKUP(I300,'הגדרות'!$A:$D,2,FALSE),"")</f>
        <v/>
      </c>
      <c r="AC300">
        <f>IFERROR(VLOOKUP(I300,'הגדרות'!$A:$D,3,FALSE),"")</f>
        <v/>
      </c>
      <c r="AD300">
        <f>IF(AND(OR('לוח בקרה'!$C$3="הכל",Z300='לוח בקרה'!$C$3,AA300='לוח בקרה'!$C$3,AB300='לוח בקרה'!$C$3,AC300='לוח בקרה'!$C$3),OR('לוח בקרה'!$C$4="הכל",A300='לוח בקרה'!$C$4),OR('לוח בקרה'!$C$5="הכל",T300='לוח בקרה'!$C$5),OR('לוח בקרה'!$C$6="הכל",H300='לוח בקרה'!$C$6,I300='לוח בקרה'!$C$6),OR('לוח בקרה'!$C$7="הכל",J300='לוח בקרה'!$C$7),OR('לוח בקרה'!$C$8="הכל",L300='לוח בקרה'!$C$8),OR('לוח בקרה'!$C$9="הכל",Q300='לוח בקרה'!$C$9),OR('לוח בקרה'!$C$10="הכל",F300='לוח בקרה'!$C$10,G300='לוח בקרה'!$C$10),D300&lt;&gt;""),ROW()-2,"")</f>
        <v/>
      </c>
      <c r="AE300">
        <f>IF(AND(OR('טכנו'!$C$3="הכל",Z300='טכנו'!$C$3,AA300='טכנו'!$C$3,AB300='טכנו'!$C$3,AC300='טכנו'!$C$3),OR('טכנו'!$C$4="הכל",A300='טכנו'!$C$4),D300&lt;&gt;""),ROW()-2,"")</f>
        <v/>
      </c>
    </row>
    <row r="301">
      <c r="E301">
        <f>IFERROR(INDEX('הגדרות'!$I:$I,MATCH(B301,'הגדרות'!$H:$H,0)),"")</f>
        <v/>
      </c>
      <c r="Z301">
        <f>IFERROR(VLOOKUP(H301,'הגדרות'!$A:$D,2,FALSE),"")</f>
        <v/>
      </c>
      <c r="AA301">
        <f>IFERROR(VLOOKUP(H301,'הגדרות'!$A:$D,3,FALSE),"")</f>
        <v/>
      </c>
      <c r="AB301">
        <f>IFERROR(VLOOKUP(I301,'הגדרות'!$A:$D,2,FALSE),"")</f>
        <v/>
      </c>
      <c r="AC301">
        <f>IFERROR(VLOOKUP(I301,'הגדרות'!$A:$D,3,FALSE),"")</f>
        <v/>
      </c>
      <c r="AD301">
        <f>IF(AND(OR('לוח בקרה'!$C$3="הכל",Z301='לוח בקרה'!$C$3,AA301='לוח בקרה'!$C$3,AB301='לוח בקרה'!$C$3,AC301='לוח בקרה'!$C$3),OR('לוח בקרה'!$C$4="הכל",A301='לוח בקרה'!$C$4),OR('לוח בקרה'!$C$5="הכל",T301='לוח בקרה'!$C$5),OR('לוח בקרה'!$C$6="הכל",H301='לוח בקרה'!$C$6,I301='לוח בקרה'!$C$6),OR('לוח בקרה'!$C$7="הכל",J301='לוח בקרה'!$C$7),OR('לוח בקרה'!$C$8="הכל",L301='לוח בקרה'!$C$8),OR('לוח בקרה'!$C$9="הכל",Q301='לוח בקרה'!$C$9),OR('לוח בקרה'!$C$10="הכל",F301='לוח בקרה'!$C$10,G301='לוח בקרה'!$C$10),D301&lt;&gt;""),ROW()-2,"")</f>
        <v/>
      </c>
      <c r="AE301">
        <f>IF(AND(OR('טכנו'!$C$3="הכל",Z301='טכנו'!$C$3,AA301='טכנו'!$C$3,AB301='טכנו'!$C$3,AC301='טכנו'!$C$3),OR('טכנו'!$C$4="הכל",A301='טכנו'!$C$4),D301&lt;&gt;""),ROW()-2,"")</f>
        <v/>
      </c>
    </row>
    <row r="302">
      <c r="E302">
        <f>IFERROR(INDEX('הגדרות'!$I:$I,MATCH(B302,'הגדרות'!$H:$H,0)),"")</f>
        <v/>
      </c>
      <c r="Z302">
        <f>IFERROR(VLOOKUP(H302,'הגדרות'!$A:$D,2,FALSE),"")</f>
        <v/>
      </c>
      <c r="AA302">
        <f>IFERROR(VLOOKUP(H302,'הגדרות'!$A:$D,3,FALSE),"")</f>
        <v/>
      </c>
      <c r="AB302">
        <f>IFERROR(VLOOKUP(I302,'הגדרות'!$A:$D,2,FALSE),"")</f>
        <v/>
      </c>
      <c r="AC302">
        <f>IFERROR(VLOOKUP(I302,'הגדרות'!$A:$D,3,FALSE),"")</f>
        <v/>
      </c>
      <c r="AD302">
        <f>IF(AND(OR('לוח בקרה'!$C$3="הכל",Z302='לוח בקרה'!$C$3,AA302='לוח בקרה'!$C$3,AB302='לוח בקרה'!$C$3,AC302='לוח בקרה'!$C$3),OR('לוח בקרה'!$C$4="הכל",A302='לוח בקרה'!$C$4),OR('לוח בקרה'!$C$5="הכל",T302='לוח בקרה'!$C$5),OR('לוח בקרה'!$C$6="הכל",H302='לוח בקרה'!$C$6,I302='לוח בקרה'!$C$6),OR('לוח בקרה'!$C$7="הכל",J302='לוח בקרה'!$C$7),OR('לוח בקרה'!$C$8="הכל",L302='לוח בקרה'!$C$8),OR('לוח בקרה'!$C$9="הכל",Q302='לוח בקרה'!$C$9),OR('לוח בקרה'!$C$10="הכל",F302='לוח בקרה'!$C$10,G302='לוח בקרה'!$C$10),D302&lt;&gt;""),ROW()-2,"")</f>
        <v/>
      </c>
      <c r="AE302">
        <f>IF(AND(OR('טכנו'!$C$3="הכל",Z302='טכנו'!$C$3,AA302='טכנו'!$C$3,AB302='טכנו'!$C$3,AC302='טכנו'!$C$3),OR('טכנו'!$C$4="הכל",A302='טכנו'!$C$4),D302&lt;&gt;""),ROW()-2,"")</f>
        <v/>
      </c>
    </row>
    <row r="303">
      <c r="E303">
        <f>IFERROR(INDEX('הגדרות'!$I:$I,MATCH(B303,'הגדרות'!$H:$H,0)),"")</f>
        <v/>
      </c>
      <c r="Z303">
        <f>IFERROR(VLOOKUP(H303,'הגדרות'!$A:$D,2,FALSE),"")</f>
        <v/>
      </c>
      <c r="AA303">
        <f>IFERROR(VLOOKUP(H303,'הגדרות'!$A:$D,3,FALSE),"")</f>
        <v/>
      </c>
      <c r="AB303">
        <f>IFERROR(VLOOKUP(I303,'הגדרות'!$A:$D,2,FALSE),"")</f>
        <v/>
      </c>
      <c r="AC303">
        <f>IFERROR(VLOOKUP(I303,'הגדרות'!$A:$D,3,FALSE),"")</f>
        <v/>
      </c>
      <c r="AD303">
        <f>IF(AND(OR('לוח בקרה'!$C$3="הכל",Z303='לוח בקרה'!$C$3,AA303='לוח בקרה'!$C$3,AB303='לוח בקרה'!$C$3,AC303='לוח בקרה'!$C$3),OR('לוח בקרה'!$C$4="הכל",A303='לוח בקרה'!$C$4),OR('לוח בקרה'!$C$5="הכל",T303='לוח בקרה'!$C$5),OR('לוח בקרה'!$C$6="הכל",H303='לוח בקרה'!$C$6,I303='לוח בקרה'!$C$6),OR('לוח בקרה'!$C$7="הכל",J303='לוח בקרה'!$C$7),OR('לוח בקרה'!$C$8="הכל",L303='לוח בקרה'!$C$8),OR('לוח בקרה'!$C$9="הכל",Q303='לוח בקרה'!$C$9),OR('לוח בקרה'!$C$10="הכל",F303='לוח בקרה'!$C$10,G303='לוח בקרה'!$C$10),D303&lt;&gt;""),ROW()-2,"")</f>
        <v/>
      </c>
      <c r="AE303">
        <f>IF(AND(OR('טכנו'!$C$3="הכל",Z303='טכנו'!$C$3,AA303='טכנו'!$C$3,AB303='טכנו'!$C$3,AC303='טכנו'!$C$3),OR('טכנו'!$C$4="הכל",A303='טכנו'!$C$4),D303&lt;&gt;""),ROW()-2,"")</f>
        <v/>
      </c>
    </row>
    <row r="304">
      <c r="E304">
        <f>IFERROR(INDEX('הגדרות'!$I:$I,MATCH(B304,'הגדרות'!$H:$H,0)),"")</f>
        <v/>
      </c>
      <c r="Z304">
        <f>IFERROR(VLOOKUP(H304,'הגדרות'!$A:$D,2,FALSE),"")</f>
        <v/>
      </c>
      <c r="AA304">
        <f>IFERROR(VLOOKUP(H304,'הגדרות'!$A:$D,3,FALSE),"")</f>
        <v/>
      </c>
      <c r="AB304">
        <f>IFERROR(VLOOKUP(I304,'הגדרות'!$A:$D,2,FALSE),"")</f>
        <v/>
      </c>
      <c r="AC304">
        <f>IFERROR(VLOOKUP(I304,'הגדרות'!$A:$D,3,FALSE),"")</f>
        <v/>
      </c>
      <c r="AD304">
        <f>IF(AND(OR('לוח בקרה'!$C$3="הכל",Z304='לוח בקרה'!$C$3,AA304='לוח בקרה'!$C$3,AB304='לוח בקרה'!$C$3,AC304='לוח בקרה'!$C$3),OR('לוח בקרה'!$C$4="הכל",A304='לוח בקרה'!$C$4),OR('לוח בקרה'!$C$5="הכל",T304='לוח בקרה'!$C$5),OR('לוח בקרה'!$C$6="הכל",H304='לוח בקרה'!$C$6,I304='לוח בקרה'!$C$6),OR('לוח בקרה'!$C$7="הכל",J304='לוח בקרה'!$C$7),OR('לוח בקרה'!$C$8="הכל",L304='לוח בקרה'!$C$8),OR('לוח בקרה'!$C$9="הכל",Q304='לוח בקרה'!$C$9),OR('לוח בקרה'!$C$10="הכל",F304='לוח בקרה'!$C$10,G304='לוח בקרה'!$C$10),D304&lt;&gt;""),ROW()-2,"")</f>
        <v/>
      </c>
      <c r="AE304">
        <f>IF(AND(OR('טכנו'!$C$3="הכל",Z304='טכנו'!$C$3,AA304='טכנו'!$C$3,AB304='טכנו'!$C$3,AC304='טכנו'!$C$3),OR('טכנו'!$C$4="הכל",A304='טכנו'!$C$4),D304&lt;&gt;""),ROW()-2,"")</f>
        <v/>
      </c>
    </row>
    <row r="305">
      <c r="E305">
        <f>IFERROR(INDEX('הגדרות'!$I:$I,MATCH(B305,'הגדרות'!$H:$H,0)),"")</f>
        <v/>
      </c>
      <c r="Z305">
        <f>IFERROR(VLOOKUP(H305,'הגדרות'!$A:$D,2,FALSE),"")</f>
        <v/>
      </c>
      <c r="AA305">
        <f>IFERROR(VLOOKUP(H305,'הגדרות'!$A:$D,3,FALSE),"")</f>
        <v/>
      </c>
      <c r="AB305">
        <f>IFERROR(VLOOKUP(I305,'הגדרות'!$A:$D,2,FALSE),"")</f>
        <v/>
      </c>
      <c r="AC305">
        <f>IFERROR(VLOOKUP(I305,'הגדרות'!$A:$D,3,FALSE),"")</f>
        <v/>
      </c>
      <c r="AD305">
        <f>IF(AND(OR('לוח בקרה'!$C$3="הכל",Z305='לוח בקרה'!$C$3,AA305='לוח בקרה'!$C$3,AB305='לוח בקרה'!$C$3,AC305='לוח בקרה'!$C$3),OR('לוח בקרה'!$C$4="הכל",A305='לוח בקרה'!$C$4),OR('לוח בקרה'!$C$5="הכל",T305='לוח בקרה'!$C$5),OR('לוח בקרה'!$C$6="הכל",H305='לוח בקרה'!$C$6,I305='לוח בקרה'!$C$6),OR('לוח בקרה'!$C$7="הכל",J305='לוח בקרה'!$C$7),OR('לוח בקרה'!$C$8="הכל",L305='לוח בקרה'!$C$8),OR('לוח בקרה'!$C$9="הכל",Q305='לוח בקרה'!$C$9),OR('לוח בקרה'!$C$10="הכל",F305='לוח בקרה'!$C$10,G305='לוח בקרה'!$C$10),D305&lt;&gt;""),ROW()-2,"")</f>
        <v/>
      </c>
      <c r="AE305">
        <f>IF(AND(OR('טכנו'!$C$3="הכל",Z305='טכנו'!$C$3,AA305='טכנו'!$C$3,AB305='טכנו'!$C$3,AC305='טכנו'!$C$3),OR('טכנו'!$C$4="הכל",A305='טכנו'!$C$4),D305&lt;&gt;""),ROW()-2,"")</f>
        <v/>
      </c>
    </row>
    <row r="306">
      <c r="E306">
        <f>IFERROR(INDEX('הגדרות'!$I:$I,MATCH(B306,'הגדרות'!$H:$H,0)),"")</f>
        <v/>
      </c>
      <c r="Z306">
        <f>IFERROR(VLOOKUP(H306,'הגדרות'!$A:$D,2,FALSE),"")</f>
        <v/>
      </c>
      <c r="AA306">
        <f>IFERROR(VLOOKUP(H306,'הגדרות'!$A:$D,3,FALSE),"")</f>
        <v/>
      </c>
      <c r="AB306">
        <f>IFERROR(VLOOKUP(I306,'הגדרות'!$A:$D,2,FALSE),"")</f>
        <v/>
      </c>
      <c r="AC306">
        <f>IFERROR(VLOOKUP(I306,'הגדרות'!$A:$D,3,FALSE),"")</f>
        <v/>
      </c>
      <c r="AD306">
        <f>IF(AND(OR('לוח בקרה'!$C$3="הכל",Z306='לוח בקרה'!$C$3,AA306='לוח בקרה'!$C$3,AB306='לוח בקרה'!$C$3,AC306='לוח בקרה'!$C$3),OR('לוח בקרה'!$C$4="הכל",A306='לוח בקרה'!$C$4),OR('לוח בקרה'!$C$5="הכל",T306='לוח בקרה'!$C$5),OR('לוח בקרה'!$C$6="הכל",H306='לוח בקרה'!$C$6,I306='לוח בקרה'!$C$6),OR('לוח בקרה'!$C$7="הכל",J306='לוח בקרה'!$C$7),OR('לוח בקרה'!$C$8="הכל",L306='לוח בקרה'!$C$8),OR('לוח בקרה'!$C$9="הכל",Q306='לוח בקרה'!$C$9),OR('לוח בקרה'!$C$10="הכל",F306='לוח בקרה'!$C$10,G306='לוח בקרה'!$C$10),D306&lt;&gt;""),ROW()-2,"")</f>
        <v/>
      </c>
      <c r="AE306">
        <f>IF(AND(OR('טכנו'!$C$3="הכל",Z306='טכנו'!$C$3,AA306='טכנו'!$C$3,AB306='טכנו'!$C$3,AC306='טכנו'!$C$3),OR('טכנו'!$C$4="הכל",A306='טכנו'!$C$4),D306&lt;&gt;""),ROW()-2,"")</f>
        <v/>
      </c>
    </row>
    <row r="307">
      <c r="E307">
        <f>IFERROR(INDEX('הגדרות'!$I:$I,MATCH(B307,'הגדרות'!$H:$H,0)),"")</f>
        <v/>
      </c>
      <c r="Z307">
        <f>IFERROR(VLOOKUP(H307,'הגדרות'!$A:$D,2,FALSE),"")</f>
        <v/>
      </c>
      <c r="AA307">
        <f>IFERROR(VLOOKUP(H307,'הגדרות'!$A:$D,3,FALSE),"")</f>
        <v/>
      </c>
      <c r="AB307">
        <f>IFERROR(VLOOKUP(I307,'הגדרות'!$A:$D,2,FALSE),"")</f>
        <v/>
      </c>
      <c r="AC307">
        <f>IFERROR(VLOOKUP(I307,'הגדרות'!$A:$D,3,FALSE),"")</f>
        <v/>
      </c>
      <c r="AD307">
        <f>IF(AND(OR('לוח בקרה'!$C$3="הכל",Z307='לוח בקרה'!$C$3,AA307='לוח בקרה'!$C$3,AB307='לוח בקרה'!$C$3,AC307='לוח בקרה'!$C$3),OR('לוח בקרה'!$C$4="הכל",A307='לוח בקרה'!$C$4),OR('לוח בקרה'!$C$5="הכל",T307='לוח בקרה'!$C$5),OR('לוח בקרה'!$C$6="הכל",H307='לוח בקרה'!$C$6,I307='לוח בקרה'!$C$6),OR('לוח בקרה'!$C$7="הכל",J307='לוח בקרה'!$C$7),OR('לוח בקרה'!$C$8="הכל",L307='לוח בקרה'!$C$8),OR('לוח בקרה'!$C$9="הכל",Q307='לוח בקרה'!$C$9),OR('לוח בקרה'!$C$10="הכל",F307='לוח בקרה'!$C$10,G307='לוח בקרה'!$C$10),D307&lt;&gt;""),ROW()-2,"")</f>
        <v/>
      </c>
      <c r="AE307">
        <f>IF(AND(OR('טכנו'!$C$3="הכל",Z307='טכנו'!$C$3,AA307='טכנו'!$C$3,AB307='טכנו'!$C$3,AC307='טכנו'!$C$3),OR('טכנו'!$C$4="הכל",A307='טכנו'!$C$4),D307&lt;&gt;""),ROW()-2,"")</f>
        <v/>
      </c>
    </row>
    <row r="308">
      <c r="E308">
        <f>IFERROR(INDEX('הגדרות'!$I:$I,MATCH(B308,'הגדרות'!$H:$H,0)),"")</f>
        <v/>
      </c>
      <c r="Z308">
        <f>IFERROR(VLOOKUP(H308,'הגדרות'!$A:$D,2,FALSE),"")</f>
        <v/>
      </c>
      <c r="AA308">
        <f>IFERROR(VLOOKUP(H308,'הגדרות'!$A:$D,3,FALSE),"")</f>
        <v/>
      </c>
      <c r="AB308">
        <f>IFERROR(VLOOKUP(I308,'הגדרות'!$A:$D,2,FALSE),"")</f>
        <v/>
      </c>
      <c r="AC308">
        <f>IFERROR(VLOOKUP(I308,'הגדרות'!$A:$D,3,FALSE),"")</f>
        <v/>
      </c>
      <c r="AD308">
        <f>IF(AND(OR('לוח בקרה'!$C$3="הכל",Z308='לוח בקרה'!$C$3,AA308='לוח בקרה'!$C$3,AB308='לוח בקרה'!$C$3,AC308='לוח בקרה'!$C$3),OR('לוח בקרה'!$C$4="הכל",A308='לוח בקרה'!$C$4),OR('לוח בקרה'!$C$5="הכל",T308='לוח בקרה'!$C$5),OR('לוח בקרה'!$C$6="הכל",H308='לוח בקרה'!$C$6,I308='לוח בקרה'!$C$6),OR('לוח בקרה'!$C$7="הכל",J308='לוח בקרה'!$C$7),OR('לוח בקרה'!$C$8="הכל",L308='לוח בקרה'!$C$8),OR('לוח בקרה'!$C$9="הכל",Q308='לוח בקרה'!$C$9),OR('לוח בקרה'!$C$10="הכל",F308='לוח בקרה'!$C$10,G308='לוח בקרה'!$C$10),D308&lt;&gt;""),ROW()-2,"")</f>
        <v/>
      </c>
      <c r="AE308">
        <f>IF(AND(OR('טכנו'!$C$3="הכל",Z308='טכנו'!$C$3,AA308='טכנו'!$C$3,AB308='טכנו'!$C$3,AC308='טכנו'!$C$3),OR('טכנו'!$C$4="הכל",A308='טכנו'!$C$4),D308&lt;&gt;""),ROW()-2,"")</f>
        <v/>
      </c>
    </row>
    <row r="309">
      <c r="E309">
        <f>IFERROR(INDEX('הגדרות'!$I:$I,MATCH(B309,'הגדרות'!$H:$H,0)),"")</f>
        <v/>
      </c>
      <c r="Z309">
        <f>IFERROR(VLOOKUP(H309,'הגדרות'!$A:$D,2,FALSE),"")</f>
        <v/>
      </c>
      <c r="AA309">
        <f>IFERROR(VLOOKUP(H309,'הגדרות'!$A:$D,3,FALSE),"")</f>
        <v/>
      </c>
      <c r="AB309">
        <f>IFERROR(VLOOKUP(I309,'הגדרות'!$A:$D,2,FALSE),"")</f>
        <v/>
      </c>
      <c r="AC309">
        <f>IFERROR(VLOOKUP(I309,'הגדרות'!$A:$D,3,FALSE),"")</f>
        <v/>
      </c>
      <c r="AD309">
        <f>IF(AND(OR('לוח בקרה'!$C$3="הכל",Z309='לוח בקרה'!$C$3,AA309='לוח בקרה'!$C$3,AB309='לוח בקרה'!$C$3,AC309='לוח בקרה'!$C$3),OR('לוח בקרה'!$C$4="הכל",A309='לוח בקרה'!$C$4),OR('לוח בקרה'!$C$5="הכל",T309='לוח בקרה'!$C$5),OR('לוח בקרה'!$C$6="הכל",H309='לוח בקרה'!$C$6,I309='לוח בקרה'!$C$6),OR('לוח בקרה'!$C$7="הכל",J309='לוח בקרה'!$C$7),OR('לוח בקרה'!$C$8="הכל",L309='לוח בקרה'!$C$8),OR('לוח בקרה'!$C$9="הכל",Q309='לוח בקרה'!$C$9),OR('לוח בקרה'!$C$10="הכל",F309='לוח בקרה'!$C$10,G309='לוח בקרה'!$C$10),D309&lt;&gt;""),ROW()-2,"")</f>
        <v/>
      </c>
      <c r="AE309">
        <f>IF(AND(OR('טכנו'!$C$3="הכל",Z309='טכנו'!$C$3,AA309='טכנו'!$C$3,AB309='טכנו'!$C$3,AC309='טכנו'!$C$3),OR('טכנו'!$C$4="הכל",A309='טכנו'!$C$4),D309&lt;&gt;""),ROW()-2,"")</f>
        <v/>
      </c>
    </row>
    <row r="310">
      <c r="E310">
        <f>IFERROR(INDEX('הגדרות'!$I:$I,MATCH(B310,'הגדרות'!$H:$H,0)),"")</f>
        <v/>
      </c>
      <c r="Z310">
        <f>IFERROR(VLOOKUP(H310,'הגדרות'!$A:$D,2,FALSE),"")</f>
        <v/>
      </c>
      <c r="AA310">
        <f>IFERROR(VLOOKUP(H310,'הגדרות'!$A:$D,3,FALSE),"")</f>
        <v/>
      </c>
      <c r="AB310">
        <f>IFERROR(VLOOKUP(I310,'הגדרות'!$A:$D,2,FALSE),"")</f>
        <v/>
      </c>
      <c r="AC310">
        <f>IFERROR(VLOOKUP(I310,'הגדרות'!$A:$D,3,FALSE),"")</f>
        <v/>
      </c>
      <c r="AD310">
        <f>IF(AND(OR('לוח בקרה'!$C$3="הכל",Z310='לוח בקרה'!$C$3,AA310='לוח בקרה'!$C$3,AB310='לוח בקרה'!$C$3,AC310='לוח בקרה'!$C$3),OR('לוח בקרה'!$C$4="הכל",A310='לוח בקרה'!$C$4),OR('לוח בקרה'!$C$5="הכל",T310='לוח בקרה'!$C$5),OR('לוח בקרה'!$C$6="הכל",H310='לוח בקרה'!$C$6,I310='לוח בקרה'!$C$6),OR('לוח בקרה'!$C$7="הכל",J310='לוח בקרה'!$C$7),OR('לוח בקרה'!$C$8="הכל",L310='לוח בקרה'!$C$8),OR('לוח בקרה'!$C$9="הכל",Q310='לוח בקרה'!$C$9),OR('לוח בקרה'!$C$10="הכל",F310='לוח בקרה'!$C$10,G310='לוח בקרה'!$C$10),D310&lt;&gt;""),ROW()-2,"")</f>
        <v/>
      </c>
      <c r="AE310">
        <f>IF(AND(OR('טכנו'!$C$3="הכל",Z310='טכנו'!$C$3,AA310='טכנו'!$C$3,AB310='טכנו'!$C$3,AC310='טכנו'!$C$3),OR('טכנו'!$C$4="הכל",A310='טכנו'!$C$4),D310&lt;&gt;""),ROW()-2,"")</f>
        <v/>
      </c>
    </row>
    <row r="311">
      <c r="E311">
        <f>IFERROR(INDEX('הגדרות'!$I:$I,MATCH(B311,'הגדרות'!$H:$H,0)),"")</f>
        <v/>
      </c>
      <c r="Z311">
        <f>IFERROR(VLOOKUP(H311,'הגדרות'!$A:$D,2,FALSE),"")</f>
        <v/>
      </c>
      <c r="AA311">
        <f>IFERROR(VLOOKUP(H311,'הגדרות'!$A:$D,3,FALSE),"")</f>
        <v/>
      </c>
      <c r="AB311">
        <f>IFERROR(VLOOKUP(I311,'הגדרות'!$A:$D,2,FALSE),"")</f>
        <v/>
      </c>
      <c r="AC311">
        <f>IFERROR(VLOOKUP(I311,'הגדרות'!$A:$D,3,FALSE),"")</f>
        <v/>
      </c>
      <c r="AD311">
        <f>IF(AND(OR('לוח בקרה'!$C$3="הכל",Z311='לוח בקרה'!$C$3,AA311='לוח בקרה'!$C$3,AB311='לוח בקרה'!$C$3,AC311='לוח בקרה'!$C$3),OR('לוח בקרה'!$C$4="הכל",A311='לוח בקרה'!$C$4),OR('לוח בקרה'!$C$5="הכל",T311='לוח בקרה'!$C$5),OR('לוח בקרה'!$C$6="הכל",H311='לוח בקרה'!$C$6,I311='לוח בקרה'!$C$6),OR('לוח בקרה'!$C$7="הכל",J311='לוח בקרה'!$C$7),OR('לוח בקרה'!$C$8="הכל",L311='לוח בקרה'!$C$8),OR('לוח בקרה'!$C$9="הכל",Q311='לוח בקרה'!$C$9),OR('לוח בקרה'!$C$10="הכל",F311='לוח בקרה'!$C$10,G311='לוח בקרה'!$C$10),D311&lt;&gt;""),ROW()-2,"")</f>
        <v/>
      </c>
      <c r="AE311">
        <f>IF(AND(OR('טכנו'!$C$3="הכל",Z311='טכנו'!$C$3,AA311='טכנו'!$C$3,AB311='טכנו'!$C$3,AC311='טכנו'!$C$3),OR('טכנו'!$C$4="הכל",A311='טכנו'!$C$4),D311&lt;&gt;""),ROW()-2,"")</f>
        <v/>
      </c>
    </row>
    <row r="312">
      <c r="E312">
        <f>IFERROR(INDEX('הגדרות'!$I:$I,MATCH(B312,'הגדרות'!$H:$H,0)),"")</f>
        <v/>
      </c>
      <c r="Z312">
        <f>IFERROR(VLOOKUP(H312,'הגדרות'!$A:$D,2,FALSE),"")</f>
        <v/>
      </c>
      <c r="AA312">
        <f>IFERROR(VLOOKUP(H312,'הגדרות'!$A:$D,3,FALSE),"")</f>
        <v/>
      </c>
      <c r="AB312">
        <f>IFERROR(VLOOKUP(I312,'הגדרות'!$A:$D,2,FALSE),"")</f>
        <v/>
      </c>
      <c r="AC312">
        <f>IFERROR(VLOOKUP(I312,'הגדרות'!$A:$D,3,FALSE),"")</f>
        <v/>
      </c>
      <c r="AD312">
        <f>IF(AND(OR('לוח בקרה'!$C$3="הכל",Z312='לוח בקרה'!$C$3,AA312='לוח בקרה'!$C$3,AB312='לוח בקרה'!$C$3,AC312='לוח בקרה'!$C$3),OR('לוח בקרה'!$C$4="הכל",A312='לוח בקרה'!$C$4),OR('לוח בקרה'!$C$5="הכל",T312='לוח בקרה'!$C$5),OR('לוח בקרה'!$C$6="הכל",H312='לוח בקרה'!$C$6,I312='לוח בקרה'!$C$6),OR('לוח בקרה'!$C$7="הכל",J312='לוח בקרה'!$C$7),OR('לוח בקרה'!$C$8="הכל",L312='לוח בקרה'!$C$8),OR('לוח בקרה'!$C$9="הכל",Q312='לוח בקרה'!$C$9),OR('לוח בקרה'!$C$10="הכל",F312='לוח בקרה'!$C$10,G312='לוח בקרה'!$C$10),D312&lt;&gt;""),ROW()-2,"")</f>
        <v/>
      </c>
      <c r="AE312">
        <f>IF(AND(OR('טכנו'!$C$3="הכל",Z312='טכנו'!$C$3,AA312='טכנו'!$C$3,AB312='טכנו'!$C$3,AC312='טכנו'!$C$3),OR('טכנו'!$C$4="הכל",A312='טכנו'!$C$4),D312&lt;&gt;""),ROW()-2,"")</f>
        <v/>
      </c>
    </row>
    <row r="313">
      <c r="E313">
        <f>IFERROR(INDEX('הגדרות'!$I:$I,MATCH(B313,'הגדרות'!$H:$H,0)),"")</f>
        <v/>
      </c>
      <c r="Z313">
        <f>IFERROR(VLOOKUP(H313,'הגדרות'!$A:$D,2,FALSE),"")</f>
        <v/>
      </c>
      <c r="AA313">
        <f>IFERROR(VLOOKUP(H313,'הגדרות'!$A:$D,3,FALSE),"")</f>
        <v/>
      </c>
      <c r="AB313">
        <f>IFERROR(VLOOKUP(I313,'הגדרות'!$A:$D,2,FALSE),"")</f>
        <v/>
      </c>
      <c r="AC313">
        <f>IFERROR(VLOOKUP(I313,'הגדרות'!$A:$D,3,FALSE),"")</f>
        <v/>
      </c>
      <c r="AD313">
        <f>IF(AND(OR('לוח בקרה'!$C$3="הכל",Z313='לוח בקרה'!$C$3,AA313='לוח בקרה'!$C$3,AB313='לוח בקרה'!$C$3,AC313='לוח בקרה'!$C$3),OR('לוח בקרה'!$C$4="הכל",A313='לוח בקרה'!$C$4),OR('לוח בקרה'!$C$5="הכל",T313='לוח בקרה'!$C$5),OR('לוח בקרה'!$C$6="הכל",H313='לוח בקרה'!$C$6,I313='לוח בקרה'!$C$6),OR('לוח בקרה'!$C$7="הכל",J313='לוח בקרה'!$C$7),OR('לוח בקרה'!$C$8="הכל",L313='לוח בקרה'!$C$8),OR('לוח בקרה'!$C$9="הכל",Q313='לוח בקרה'!$C$9),OR('לוח בקרה'!$C$10="הכל",F313='לוח בקרה'!$C$10,G313='לוח בקרה'!$C$10),D313&lt;&gt;""),ROW()-2,"")</f>
        <v/>
      </c>
      <c r="AE313">
        <f>IF(AND(OR('טכנו'!$C$3="הכל",Z313='טכנו'!$C$3,AA313='טכנו'!$C$3,AB313='טכנו'!$C$3,AC313='טכנו'!$C$3),OR('טכנו'!$C$4="הכל",A313='טכנו'!$C$4),D313&lt;&gt;""),ROW()-2,"")</f>
        <v/>
      </c>
    </row>
    <row r="314">
      <c r="E314">
        <f>IFERROR(INDEX('הגדרות'!$I:$I,MATCH(B314,'הגדרות'!$H:$H,0)),"")</f>
        <v/>
      </c>
      <c r="Z314">
        <f>IFERROR(VLOOKUP(H314,'הגדרות'!$A:$D,2,FALSE),"")</f>
        <v/>
      </c>
      <c r="AA314">
        <f>IFERROR(VLOOKUP(H314,'הגדרות'!$A:$D,3,FALSE),"")</f>
        <v/>
      </c>
      <c r="AB314">
        <f>IFERROR(VLOOKUP(I314,'הגדרות'!$A:$D,2,FALSE),"")</f>
        <v/>
      </c>
      <c r="AC314">
        <f>IFERROR(VLOOKUP(I314,'הגדרות'!$A:$D,3,FALSE),"")</f>
        <v/>
      </c>
      <c r="AD314">
        <f>IF(AND(OR('לוח בקרה'!$C$3="הכל",Z314='לוח בקרה'!$C$3,AA314='לוח בקרה'!$C$3,AB314='לוח בקרה'!$C$3,AC314='לוח בקרה'!$C$3),OR('לוח בקרה'!$C$4="הכל",A314='לוח בקרה'!$C$4),OR('לוח בקרה'!$C$5="הכל",T314='לוח בקרה'!$C$5),OR('לוח בקרה'!$C$6="הכל",H314='לוח בקרה'!$C$6,I314='לוח בקרה'!$C$6),OR('לוח בקרה'!$C$7="הכל",J314='לוח בקרה'!$C$7),OR('לוח בקרה'!$C$8="הכל",L314='לוח בקרה'!$C$8),OR('לוח בקרה'!$C$9="הכל",Q314='לוח בקרה'!$C$9),OR('לוח בקרה'!$C$10="הכל",F314='לוח בקרה'!$C$10,G314='לוח בקרה'!$C$10),D314&lt;&gt;""),ROW()-2,"")</f>
        <v/>
      </c>
      <c r="AE314">
        <f>IF(AND(OR('טכנו'!$C$3="הכל",Z314='טכנו'!$C$3,AA314='טכנו'!$C$3,AB314='טכנו'!$C$3,AC314='טכנו'!$C$3),OR('טכנו'!$C$4="הכל",A314='טכנו'!$C$4),D314&lt;&gt;""),ROW()-2,"")</f>
        <v/>
      </c>
    </row>
    <row r="315">
      <c r="E315">
        <f>IFERROR(INDEX('הגדרות'!$I:$I,MATCH(B315,'הגדרות'!$H:$H,0)),"")</f>
        <v/>
      </c>
      <c r="Z315">
        <f>IFERROR(VLOOKUP(H315,'הגדרות'!$A:$D,2,FALSE),"")</f>
        <v/>
      </c>
      <c r="AA315">
        <f>IFERROR(VLOOKUP(H315,'הגדרות'!$A:$D,3,FALSE),"")</f>
        <v/>
      </c>
      <c r="AB315">
        <f>IFERROR(VLOOKUP(I315,'הגדרות'!$A:$D,2,FALSE),"")</f>
        <v/>
      </c>
      <c r="AC315">
        <f>IFERROR(VLOOKUP(I315,'הגדרות'!$A:$D,3,FALSE),"")</f>
        <v/>
      </c>
      <c r="AD315">
        <f>IF(AND(OR('לוח בקרה'!$C$3="הכל",Z315='לוח בקרה'!$C$3,AA315='לוח בקרה'!$C$3,AB315='לוח בקרה'!$C$3,AC315='לוח בקרה'!$C$3),OR('לוח בקרה'!$C$4="הכל",A315='לוח בקרה'!$C$4),OR('לוח בקרה'!$C$5="הכל",T315='לוח בקרה'!$C$5),OR('לוח בקרה'!$C$6="הכל",H315='לוח בקרה'!$C$6,I315='לוח בקרה'!$C$6),OR('לוח בקרה'!$C$7="הכל",J315='לוח בקרה'!$C$7),OR('לוח בקרה'!$C$8="הכל",L315='לוח בקרה'!$C$8),OR('לוח בקרה'!$C$9="הכל",Q315='לוח בקרה'!$C$9),OR('לוח בקרה'!$C$10="הכל",F315='לוח בקרה'!$C$10,G315='לוח בקרה'!$C$10),D315&lt;&gt;""),ROW()-2,"")</f>
        <v/>
      </c>
      <c r="AE315">
        <f>IF(AND(OR('טכנו'!$C$3="הכל",Z315='טכנו'!$C$3,AA315='טכנו'!$C$3,AB315='טכנו'!$C$3,AC315='טכנו'!$C$3),OR('טכנו'!$C$4="הכל",A315='טכנו'!$C$4),D315&lt;&gt;""),ROW()-2,"")</f>
        <v/>
      </c>
    </row>
    <row r="316">
      <c r="E316">
        <f>IFERROR(INDEX('הגדרות'!$I:$I,MATCH(B316,'הגדרות'!$H:$H,0)),"")</f>
        <v/>
      </c>
      <c r="Z316">
        <f>IFERROR(VLOOKUP(H316,'הגדרות'!$A:$D,2,FALSE),"")</f>
        <v/>
      </c>
      <c r="AA316">
        <f>IFERROR(VLOOKUP(H316,'הגדרות'!$A:$D,3,FALSE),"")</f>
        <v/>
      </c>
      <c r="AB316">
        <f>IFERROR(VLOOKUP(I316,'הגדרות'!$A:$D,2,FALSE),"")</f>
        <v/>
      </c>
      <c r="AC316">
        <f>IFERROR(VLOOKUP(I316,'הגדרות'!$A:$D,3,FALSE),"")</f>
        <v/>
      </c>
      <c r="AD316">
        <f>IF(AND(OR('לוח בקרה'!$C$3="הכל",Z316='לוח בקרה'!$C$3,AA316='לוח בקרה'!$C$3,AB316='לוח בקרה'!$C$3,AC316='לוח בקרה'!$C$3),OR('לוח בקרה'!$C$4="הכל",A316='לוח בקרה'!$C$4),OR('לוח בקרה'!$C$5="הכל",T316='לוח בקרה'!$C$5),OR('לוח בקרה'!$C$6="הכל",H316='לוח בקרה'!$C$6,I316='לוח בקרה'!$C$6),OR('לוח בקרה'!$C$7="הכל",J316='לוח בקרה'!$C$7),OR('לוח בקרה'!$C$8="הכל",L316='לוח בקרה'!$C$8),OR('לוח בקרה'!$C$9="הכל",Q316='לוח בקרה'!$C$9),OR('לוח בקרה'!$C$10="הכל",F316='לוח בקרה'!$C$10,G316='לוח בקרה'!$C$10),D316&lt;&gt;""),ROW()-2,"")</f>
        <v/>
      </c>
      <c r="AE316">
        <f>IF(AND(OR('טכנו'!$C$3="הכל",Z316='טכנו'!$C$3,AA316='טכנו'!$C$3,AB316='טכנו'!$C$3,AC316='טכנו'!$C$3),OR('טכנו'!$C$4="הכל",A316='טכנו'!$C$4),D316&lt;&gt;""),ROW()-2,"")</f>
        <v/>
      </c>
    </row>
    <row r="317">
      <c r="E317">
        <f>IFERROR(INDEX('הגדרות'!$I:$I,MATCH(B317,'הגדרות'!$H:$H,0)),"")</f>
        <v/>
      </c>
      <c r="Z317">
        <f>IFERROR(VLOOKUP(H317,'הגדרות'!$A:$D,2,FALSE),"")</f>
        <v/>
      </c>
      <c r="AA317">
        <f>IFERROR(VLOOKUP(H317,'הגדרות'!$A:$D,3,FALSE),"")</f>
        <v/>
      </c>
      <c r="AB317">
        <f>IFERROR(VLOOKUP(I317,'הגדרות'!$A:$D,2,FALSE),"")</f>
        <v/>
      </c>
      <c r="AC317">
        <f>IFERROR(VLOOKUP(I317,'הגדרות'!$A:$D,3,FALSE),"")</f>
        <v/>
      </c>
      <c r="AD317">
        <f>IF(AND(OR('לוח בקרה'!$C$3="הכל",Z317='לוח בקרה'!$C$3,AA317='לוח בקרה'!$C$3,AB317='לוח בקרה'!$C$3,AC317='לוח בקרה'!$C$3),OR('לוח בקרה'!$C$4="הכל",A317='לוח בקרה'!$C$4),OR('לוח בקרה'!$C$5="הכל",T317='לוח בקרה'!$C$5),OR('לוח בקרה'!$C$6="הכל",H317='לוח בקרה'!$C$6,I317='לוח בקרה'!$C$6),OR('לוח בקרה'!$C$7="הכל",J317='לוח בקרה'!$C$7),OR('לוח בקרה'!$C$8="הכל",L317='לוח בקרה'!$C$8),OR('לוח בקרה'!$C$9="הכל",Q317='לוח בקרה'!$C$9),OR('לוח בקרה'!$C$10="הכל",F317='לוח בקרה'!$C$10,G317='לוח בקרה'!$C$10),D317&lt;&gt;""),ROW()-2,"")</f>
        <v/>
      </c>
      <c r="AE317">
        <f>IF(AND(OR('טכנו'!$C$3="הכל",Z317='טכנו'!$C$3,AA317='טכנו'!$C$3,AB317='טכנו'!$C$3,AC317='טכנו'!$C$3),OR('טכנו'!$C$4="הכל",A317='טכנו'!$C$4),D317&lt;&gt;""),ROW()-2,"")</f>
        <v/>
      </c>
    </row>
    <row r="318">
      <c r="E318">
        <f>IFERROR(INDEX('הגדרות'!$I:$I,MATCH(B318,'הגדרות'!$H:$H,0)),"")</f>
        <v/>
      </c>
      <c r="Z318">
        <f>IFERROR(VLOOKUP(H318,'הגדרות'!$A:$D,2,FALSE),"")</f>
        <v/>
      </c>
      <c r="AA318">
        <f>IFERROR(VLOOKUP(H318,'הגדרות'!$A:$D,3,FALSE),"")</f>
        <v/>
      </c>
      <c r="AB318">
        <f>IFERROR(VLOOKUP(I318,'הגדרות'!$A:$D,2,FALSE),"")</f>
        <v/>
      </c>
      <c r="AC318">
        <f>IFERROR(VLOOKUP(I318,'הגדרות'!$A:$D,3,FALSE),"")</f>
        <v/>
      </c>
      <c r="AD318">
        <f>IF(AND(OR('לוח בקרה'!$C$3="הכל",Z318='לוח בקרה'!$C$3,AA318='לוח בקרה'!$C$3,AB318='לוח בקרה'!$C$3,AC318='לוח בקרה'!$C$3),OR('לוח בקרה'!$C$4="הכל",A318='לוח בקרה'!$C$4),OR('לוח בקרה'!$C$5="הכל",T318='לוח בקרה'!$C$5),OR('לוח בקרה'!$C$6="הכל",H318='לוח בקרה'!$C$6,I318='לוח בקרה'!$C$6),OR('לוח בקרה'!$C$7="הכל",J318='לוח בקרה'!$C$7),OR('לוח בקרה'!$C$8="הכל",L318='לוח בקרה'!$C$8),OR('לוח בקרה'!$C$9="הכל",Q318='לוח בקרה'!$C$9),OR('לוח בקרה'!$C$10="הכל",F318='לוח בקרה'!$C$10,G318='לוח בקרה'!$C$10),D318&lt;&gt;""),ROW()-2,"")</f>
        <v/>
      </c>
      <c r="AE318">
        <f>IF(AND(OR('טכנו'!$C$3="הכל",Z318='טכנו'!$C$3,AA318='טכנו'!$C$3,AB318='טכנו'!$C$3,AC318='טכנו'!$C$3),OR('טכנו'!$C$4="הכל",A318='טכנו'!$C$4),D318&lt;&gt;""),ROW()-2,"")</f>
        <v/>
      </c>
    </row>
    <row r="319">
      <c r="E319">
        <f>IFERROR(INDEX('הגדרות'!$I:$I,MATCH(B319,'הגדרות'!$H:$H,0)),"")</f>
        <v/>
      </c>
      <c r="Z319">
        <f>IFERROR(VLOOKUP(H319,'הגדרות'!$A:$D,2,FALSE),"")</f>
        <v/>
      </c>
      <c r="AA319">
        <f>IFERROR(VLOOKUP(H319,'הגדרות'!$A:$D,3,FALSE),"")</f>
        <v/>
      </c>
      <c r="AB319">
        <f>IFERROR(VLOOKUP(I319,'הגדרות'!$A:$D,2,FALSE),"")</f>
        <v/>
      </c>
      <c r="AC319">
        <f>IFERROR(VLOOKUP(I319,'הגדרות'!$A:$D,3,FALSE),"")</f>
        <v/>
      </c>
      <c r="AD319">
        <f>IF(AND(OR('לוח בקרה'!$C$3="הכל",Z319='לוח בקרה'!$C$3,AA319='לוח בקרה'!$C$3,AB319='לוח בקרה'!$C$3,AC319='לוח בקרה'!$C$3),OR('לוח בקרה'!$C$4="הכל",A319='לוח בקרה'!$C$4),OR('לוח בקרה'!$C$5="הכל",T319='לוח בקרה'!$C$5),OR('לוח בקרה'!$C$6="הכל",H319='לוח בקרה'!$C$6,I319='לוח בקרה'!$C$6),OR('לוח בקרה'!$C$7="הכל",J319='לוח בקרה'!$C$7),OR('לוח בקרה'!$C$8="הכל",L319='לוח בקרה'!$C$8),OR('לוח בקרה'!$C$9="הכל",Q319='לוח בקרה'!$C$9),OR('לוח בקרה'!$C$10="הכל",F319='לוח בקרה'!$C$10,G319='לוח בקרה'!$C$10),D319&lt;&gt;""),ROW()-2,"")</f>
        <v/>
      </c>
      <c r="AE319">
        <f>IF(AND(OR('טכנו'!$C$3="הכל",Z319='טכנו'!$C$3,AA319='טכנו'!$C$3,AB319='טכנו'!$C$3,AC319='טכנו'!$C$3),OR('טכנו'!$C$4="הכל",A319='טכנו'!$C$4),D319&lt;&gt;""),ROW()-2,"")</f>
        <v/>
      </c>
    </row>
    <row r="320">
      <c r="E320">
        <f>IFERROR(INDEX('הגדרות'!$I:$I,MATCH(B320,'הגדרות'!$H:$H,0)),"")</f>
        <v/>
      </c>
      <c r="Z320">
        <f>IFERROR(VLOOKUP(H320,'הגדרות'!$A:$D,2,FALSE),"")</f>
        <v/>
      </c>
      <c r="AA320">
        <f>IFERROR(VLOOKUP(H320,'הגדרות'!$A:$D,3,FALSE),"")</f>
        <v/>
      </c>
      <c r="AB320">
        <f>IFERROR(VLOOKUP(I320,'הגדרות'!$A:$D,2,FALSE),"")</f>
        <v/>
      </c>
      <c r="AC320">
        <f>IFERROR(VLOOKUP(I320,'הגדרות'!$A:$D,3,FALSE),"")</f>
        <v/>
      </c>
      <c r="AD320">
        <f>IF(AND(OR('לוח בקרה'!$C$3="הכל",Z320='לוח בקרה'!$C$3,AA320='לוח בקרה'!$C$3,AB320='לוח בקרה'!$C$3,AC320='לוח בקרה'!$C$3),OR('לוח בקרה'!$C$4="הכל",A320='לוח בקרה'!$C$4),OR('לוח בקרה'!$C$5="הכל",T320='לוח בקרה'!$C$5),OR('לוח בקרה'!$C$6="הכל",H320='לוח בקרה'!$C$6,I320='לוח בקרה'!$C$6),OR('לוח בקרה'!$C$7="הכל",J320='לוח בקרה'!$C$7),OR('לוח בקרה'!$C$8="הכל",L320='לוח בקרה'!$C$8),OR('לוח בקרה'!$C$9="הכל",Q320='לוח בקרה'!$C$9),OR('לוח בקרה'!$C$10="הכל",F320='לוח בקרה'!$C$10,G320='לוח בקרה'!$C$10),D320&lt;&gt;""),ROW()-2,"")</f>
        <v/>
      </c>
      <c r="AE320">
        <f>IF(AND(OR('טכנו'!$C$3="הכל",Z320='טכנו'!$C$3,AA320='טכנו'!$C$3,AB320='טכנו'!$C$3,AC320='טכנו'!$C$3),OR('טכנו'!$C$4="הכל",A320='טכנו'!$C$4),D320&lt;&gt;""),ROW()-2,"")</f>
        <v/>
      </c>
    </row>
    <row r="321">
      <c r="E321">
        <f>IFERROR(INDEX('הגדרות'!$I:$I,MATCH(B321,'הגדרות'!$H:$H,0)),"")</f>
        <v/>
      </c>
      <c r="Z321">
        <f>IFERROR(VLOOKUP(H321,'הגדרות'!$A:$D,2,FALSE),"")</f>
        <v/>
      </c>
      <c r="AA321">
        <f>IFERROR(VLOOKUP(H321,'הגדרות'!$A:$D,3,FALSE),"")</f>
        <v/>
      </c>
      <c r="AB321">
        <f>IFERROR(VLOOKUP(I321,'הגדרות'!$A:$D,2,FALSE),"")</f>
        <v/>
      </c>
      <c r="AC321">
        <f>IFERROR(VLOOKUP(I321,'הגדרות'!$A:$D,3,FALSE),"")</f>
        <v/>
      </c>
      <c r="AD321">
        <f>IF(AND(OR('לוח בקרה'!$C$3="הכל",Z321='לוח בקרה'!$C$3,AA321='לוח בקרה'!$C$3,AB321='לוח בקרה'!$C$3,AC321='לוח בקרה'!$C$3),OR('לוח בקרה'!$C$4="הכל",A321='לוח בקרה'!$C$4),OR('לוח בקרה'!$C$5="הכל",T321='לוח בקרה'!$C$5),OR('לוח בקרה'!$C$6="הכל",H321='לוח בקרה'!$C$6,I321='לוח בקרה'!$C$6),OR('לוח בקרה'!$C$7="הכל",J321='לוח בקרה'!$C$7),OR('לוח בקרה'!$C$8="הכל",L321='לוח בקרה'!$C$8),OR('לוח בקרה'!$C$9="הכל",Q321='לוח בקרה'!$C$9),OR('לוח בקרה'!$C$10="הכל",F321='לוח בקרה'!$C$10,G321='לוח בקרה'!$C$10),D321&lt;&gt;""),ROW()-2,"")</f>
        <v/>
      </c>
      <c r="AE321">
        <f>IF(AND(OR('טכנו'!$C$3="הכל",Z321='טכנו'!$C$3,AA321='טכנו'!$C$3,AB321='טכנו'!$C$3,AC321='טכנו'!$C$3),OR('טכנו'!$C$4="הכל",A321='טכנו'!$C$4),D321&lt;&gt;""),ROW()-2,"")</f>
        <v/>
      </c>
    </row>
    <row r="322">
      <c r="E322">
        <f>IFERROR(INDEX('הגדרות'!$I:$I,MATCH(B322,'הגדרות'!$H:$H,0)),"")</f>
        <v/>
      </c>
      <c r="Z322">
        <f>IFERROR(VLOOKUP(H322,'הגדרות'!$A:$D,2,FALSE),"")</f>
        <v/>
      </c>
      <c r="AA322">
        <f>IFERROR(VLOOKUP(H322,'הגדרות'!$A:$D,3,FALSE),"")</f>
        <v/>
      </c>
      <c r="AB322">
        <f>IFERROR(VLOOKUP(I322,'הגדרות'!$A:$D,2,FALSE),"")</f>
        <v/>
      </c>
      <c r="AC322">
        <f>IFERROR(VLOOKUP(I322,'הגדרות'!$A:$D,3,FALSE),"")</f>
        <v/>
      </c>
      <c r="AD322">
        <f>IF(AND(OR('לוח בקרה'!$C$3="הכל",Z322='לוח בקרה'!$C$3,AA322='לוח בקרה'!$C$3,AB322='לוח בקרה'!$C$3,AC322='לוח בקרה'!$C$3),OR('לוח בקרה'!$C$4="הכל",A322='לוח בקרה'!$C$4),OR('לוח בקרה'!$C$5="הכל",T322='לוח בקרה'!$C$5),OR('לוח בקרה'!$C$6="הכל",H322='לוח בקרה'!$C$6,I322='לוח בקרה'!$C$6),OR('לוח בקרה'!$C$7="הכל",J322='לוח בקרה'!$C$7),OR('לוח בקרה'!$C$8="הכל",L322='לוח בקרה'!$C$8),OR('לוח בקרה'!$C$9="הכל",Q322='לוח בקרה'!$C$9),OR('לוח בקרה'!$C$10="הכל",F322='לוח בקרה'!$C$10,G322='לוח בקרה'!$C$10),D322&lt;&gt;""),ROW()-2,"")</f>
        <v/>
      </c>
      <c r="AE322">
        <f>IF(AND(OR('טכנו'!$C$3="הכל",Z322='טכנו'!$C$3,AA322='טכנו'!$C$3,AB322='טכנו'!$C$3,AC322='טכנו'!$C$3),OR('טכנו'!$C$4="הכל",A322='טכנו'!$C$4),D322&lt;&gt;""),ROW()-2,"")</f>
        <v/>
      </c>
    </row>
    <row r="323">
      <c r="E323">
        <f>IFERROR(INDEX('הגדרות'!$I:$I,MATCH(B323,'הגדרות'!$H:$H,0)),"")</f>
        <v/>
      </c>
      <c r="Z323">
        <f>IFERROR(VLOOKUP(H323,'הגדרות'!$A:$D,2,FALSE),"")</f>
        <v/>
      </c>
      <c r="AA323">
        <f>IFERROR(VLOOKUP(H323,'הגדרות'!$A:$D,3,FALSE),"")</f>
        <v/>
      </c>
      <c r="AB323">
        <f>IFERROR(VLOOKUP(I323,'הגדרות'!$A:$D,2,FALSE),"")</f>
        <v/>
      </c>
      <c r="AC323">
        <f>IFERROR(VLOOKUP(I323,'הגדרות'!$A:$D,3,FALSE),"")</f>
        <v/>
      </c>
      <c r="AD323">
        <f>IF(AND(OR('לוח בקרה'!$C$3="הכל",Z323='לוח בקרה'!$C$3,AA323='לוח בקרה'!$C$3,AB323='לוח בקרה'!$C$3,AC323='לוח בקרה'!$C$3),OR('לוח בקרה'!$C$4="הכל",A323='לוח בקרה'!$C$4),OR('לוח בקרה'!$C$5="הכל",T323='לוח בקרה'!$C$5),OR('לוח בקרה'!$C$6="הכל",H323='לוח בקרה'!$C$6,I323='לוח בקרה'!$C$6),OR('לוח בקרה'!$C$7="הכל",J323='לוח בקרה'!$C$7),OR('לוח בקרה'!$C$8="הכל",L323='לוח בקרה'!$C$8),OR('לוח בקרה'!$C$9="הכל",Q323='לוח בקרה'!$C$9),OR('לוח בקרה'!$C$10="הכל",F323='לוח בקרה'!$C$10,G323='לוח בקרה'!$C$10),D323&lt;&gt;""),ROW()-2,"")</f>
        <v/>
      </c>
      <c r="AE323">
        <f>IF(AND(OR('טכנו'!$C$3="הכל",Z323='טכנו'!$C$3,AA323='טכנו'!$C$3,AB323='טכנו'!$C$3,AC323='טכנו'!$C$3),OR('טכנו'!$C$4="הכל",A323='טכנו'!$C$4),D323&lt;&gt;""),ROW()-2,"")</f>
        <v/>
      </c>
    </row>
    <row r="324">
      <c r="E324">
        <f>IFERROR(INDEX('הגדרות'!$I:$I,MATCH(B324,'הגדרות'!$H:$H,0)),"")</f>
        <v/>
      </c>
      <c r="Z324">
        <f>IFERROR(VLOOKUP(H324,'הגדרות'!$A:$D,2,FALSE),"")</f>
        <v/>
      </c>
      <c r="AA324">
        <f>IFERROR(VLOOKUP(H324,'הגדרות'!$A:$D,3,FALSE),"")</f>
        <v/>
      </c>
      <c r="AB324">
        <f>IFERROR(VLOOKUP(I324,'הגדרות'!$A:$D,2,FALSE),"")</f>
        <v/>
      </c>
      <c r="AC324">
        <f>IFERROR(VLOOKUP(I324,'הגדרות'!$A:$D,3,FALSE),"")</f>
        <v/>
      </c>
      <c r="AD324">
        <f>IF(AND(OR('לוח בקרה'!$C$3="הכל",Z324='לוח בקרה'!$C$3,AA324='לוח בקרה'!$C$3,AB324='לוח בקרה'!$C$3,AC324='לוח בקרה'!$C$3),OR('לוח בקרה'!$C$4="הכל",A324='לוח בקרה'!$C$4),OR('לוח בקרה'!$C$5="הכל",T324='לוח בקרה'!$C$5),OR('לוח בקרה'!$C$6="הכל",H324='לוח בקרה'!$C$6,I324='לוח בקרה'!$C$6),OR('לוח בקרה'!$C$7="הכל",J324='לוח בקרה'!$C$7),OR('לוח בקרה'!$C$8="הכל",L324='לוח בקרה'!$C$8),OR('לוח בקרה'!$C$9="הכל",Q324='לוח בקרה'!$C$9),OR('לוח בקרה'!$C$10="הכל",F324='לוח בקרה'!$C$10,G324='לוח בקרה'!$C$10),D324&lt;&gt;""),ROW()-2,"")</f>
        <v/>
      </c>
      <c r="AE324">
        <f>IF(AND(OR('טכנו'!$C$3="הכל",Z324='טכנו'!$C$3,AA324='טכנו'!$C$3,AB324='טכנו'!$C$3,AC324='טכנו'!$C$3),OR('טכנו'!$C$4="הכל",A324='טכנו'!$C$4),D324&lt;&gt;""),ROW()-2,"")</f>
        <v/>
      </c>
    </row>
    <row r="325">
      <c r="E325">
        <f>IFERROR(INDEX('הגדרות'!$I:$I,MATCH(B325,'הגדרות'!$H:$H,0)),"")</f>
        <v/>
      </c>
      <c r="Z325">
        <f>IFERROR(VLOOKUP(H325,'הגדרות'!$A:$D,2,FALSE),"")</f>
        <v/>
      </c>
      <c r="AA325">
        <f>IFERROR(VLOOKUP(H325,'הגדרות'!$A:$D,3,FALSE),"")</f>
        <v/>
      </c>
      <c r="AB325">
        <f>IFERROR(VLOOKUP(I325,'הגדרות'!$A:$D,2,FALSE),"")</f>
        <v/>
      </c>
      <c r="AC325">
        <f>IFERROR(VLOOKUP(I325,'הגדרות'!$A:$D,3,FALSE),"")</f>
        <v/>
      </c>
      <c r="AD325">
        <f>IF(AND(OR('לוח בקרה'!$C$3="הכל",Z325='לוח בקרה'!$C$3,AA325='לוח בקרה'!$C$3,AB325='לוח בקרה'!$C$3,AC325='לוח בקרה'!$C$3),OR('לוח בקרה'!$C$4="הכל",A325='לוח בקרה'!$C$4),OR('לוח בקרה'!$C$5="הכל",T325='לוח בקרה'!$C$5),OR('לוח בקרה'!$C$6="הכל",H325='לוח בקרה'!$C$6,I325='לוח בקרה'!$C$6),OR('לוח בקרה'!$C$7="הכל",J325='לוח בקרה'!$C$7),OR('לוח בקרה'!$C$8="הכל",L325='לוח בקרה'!$C$8),OR('לוח בקרה'!$C$9="הכל",Q325='לוח בקרה'!$C$9),OR('לוח בקרה'!$C$10="הכל",F325='לוח בקרה'!$C$10,G325='לוח בקרה'!$C$10),D325&lt;&gt;""),ROW()-2,"")</f>
        <v/>
      </c>
      <c r="AE325">
        <f>IF(AND(OR('טכנו'!$C$3="הכל",Z325='טכנו'!$C$3,AA325='טכנו'!$C$3,AB325='טכנו'!$C$3,AC325='טכנו'!$C$3),OR('טכנו'!$C$4="הכל",A325='טכנו'!$C$4),D325&lt;&gt;""),ROW()-2,"")</f>
        <v/>
      </c>
    </row>
    <row r="326">
      <c r="E326">
        <f>IFERROR(INDEX('הגדרות'!$I:$I,MATCH(B326,'הגדרות'!$H:$H,0)),"")</f>
        <v/>
      </c>
      <c r="Z326">
        <f>IFERROR(VLOOKUP(H326,'הגדרות'!$A:$D,2,FALSE),"")</f>
        <v/>
      </c>
      <c r="AA326">
        <f>IFERROR(VLOOKUP(H326,'הגדרות'!$A:$D,3,FALSE),"")</f>
        <v/>
      </c>
      <c r="AB326">
        <f>IFERROR(VLOOKUP(I326,'הגדרות'!$A:$D,2,FALSE),"")</f>
        <v/>
      </c>
      <c r="AC326">
        <f>IFERROR(VLOOKUP(I326,'הגדרות'!$A:$D,3,FALSE),"")</f>
        <v/>
      </c>
      <c r="AD326">
        <f>IF(AND(OR('לוח בקרה'!$C$3="הכל",Z326='לוח בקרה'!$C$3,AA326='לוח בקרה'!$C$3,AB326='לוח בקרה'!$C$3,AC326='לוח בקרה'!$C$3),OR('לוח בקרה'!$C$4="הכל",A326='לוח בקרה'!$C$4),OR('לוח בקרה'!$C$5="הכל",T326='לוח בקרה'!$C$5),OR('לוח בקרה'!$C$6="הכל",H326='לוח בקרה'!$C$6,I326='לוח בקרה'!$C$6),OR('לוח בקרה'!$C$7="הכל",J326='לוח בקרה'!$C$7),OR('לוח בקרה'!$C$8="הכל",L326='לוח בקרה'!$C$8),OR('לוח בקרה'!$C$9="הכל",Q326='לוח בקרה'!$C$9),OR('לוח בקרה'!$C$10="הכל",F326='לוח בקרה'!$C$10,G326='לוח בקרה'!$C$10),D326&lt;&gt;""),ROW()-2,"")</f>
        <v/>
      </c>
      <c r="AE326">
        <f>IF(AND(OR('טכנו'!$C$3="הכל",Z326='טכנו'!$C$3,AA326='טכנו'!$C$3,AB326='טכנו'!$C$3,AC326='טכנו'!$C$3),OR('טכנו'!$C$4="הכל",A326='טכנו'!$C$4),D326&lt;&gt;""),ROW()-2,"")</f>
        <v/>
      </c>
    </row>
    <row r="327">
      <c r="E327">
        <f>IFERROR(INDEX('הגדרות'!$I:$I,MATCH(B327,'הגדרות'!$H:$H,0)),"")</f>
        <v/>
      </c>
      <c r="Z327">
        <f>IFERROR(VLOOKUP(H327,'הגדרות'!$A:$D,2,FALSE),"")</f>
        <v/>
      </c>
      <c r="AA327">
        <f>IFERROR(VLOOKUP(H327,'הגדרות'!$A:$D,3,FALSE),"")</f>
        <v/>
      </c>
      <c r="AB327">
        <f>IFERROR(VLOOKUP(I327,'הגדרות'!$A:$D,2,FALSE),"")</f>
        <v/>
      </c>
      <c r="AC327">
        <f>IFERROR(VLOOKUP(I327,'הגדרות'!$A:$D,3,FALSE),"")</f>
        <v/>
      </c>
      <c r="AD327">
        <f>IF(AND(OR('לוח בקרה'!$C$3="הכל",Z327='לוח בקרה'!$C$3,AA327='לוח בקרה'!$C$3,AB327='לוח בקרה'!$C$3,AC327='לוח בקרה'!$C$3),OR('לוח בקרה'!$C$4="הכל",A327='לוח בקרה'!$C$4),OR('לוח בקרה'!$C$5="הכל",T327='לוח בקרה'!$C$5),OR('לוח בקרה'!$C$6="הכל",H327='לוח בקרה'!$C$6,I327='לוח בקרה'!$C$6),OR('לוח בקרה'!$C$7="הכל",J327='לוח בקרה'!$C$7),OR('לוח בקרה'!$C$8="הכל",L327='לוח בקרה'!$C$8),OR('לוח בקרה'!$C$9="הכל",Q327='לוח בקרה'!$C$9),OR('לוח בקרה'!$C$10="הכל",F327='לוח בקרה'!$C$10,G327='לוח בקרה'!$C$10),D327&lt;&gt;""),ROW()-2,"")</f>
        <v/>
      </c>
      <c r="AE327">
        <f>IF(AND(OR('טכנו'!$C$3="הכל",Z327='טכנו'!$C$3,AA327='טכנו'!$C$3,AB327='טכנו'!$C$3,AC327='טכנו'!$C$3),OR('טכנו'!$C$4="הכל",A327='טכנו'!$C$4),D327&lt;&gt;""),ROW()-2,"")</f>
        <v/>
      </c>
    </row>
    <row r="328">
      <c r="E328">
        <f>IFERROR(INDEX('הגדרות'!$I:$I,MATCH(B328,'הגדרות'!$H:$H,0)),"")</f>
        <v/>
      </c>
      <c r="Z328">
        <f>IFERROR(VLOOKUP(H328,'הגדרות'!$A:$D,2,FALSE),"")</f>
        <v/>
      </c>
      <c r="AA328">
        <f>IFERROR(VLOOKUP(H328,'הגדרות'!$A:$D,3,FALSE),"")</f>
        <v/>
      </c>
      <c r="AB328">
        <f>IFERROR(VLOOKUP(I328,'הגדרות'!$A:$D,2,FALSE),"")</f>
        <v/>
      </c>
      <c r="AC328">
        <f>IFERROR(VLOOKUP(I328,'הגדרות'!$A:$D,3,FALSE),"")</f>
        <v/>
      </c>
      <c r="AD328">
        <f>IF(AND(OR('לוח בקרה'!$C$3="הכל",Z328='לוח בקרה'!$C$3,AA328='לוח בקרה'!$C$3,AB328='לוח בקרה'!$C$3,AC328='לוח בקרה'!$C$3),OR('לוח בקרה'!$C$4="הכל",A328='לוח בקרה'!$C$4),OR('לוח בקרה'!$C$5="הכל",T328='לוח בקרה'!$C$5),OR('לוח בקרה'!$C$6="הכל",H328='לוח בקרה'!$C$6,I328='לוח בקרה'!$C$6),OR('לוח בקרה'!$C$7="הכל",J328='לוח בקרה'!$C$7),OR('לוח בקרה'!$C$8="הכל",L328='לוח בקרה'!$C$8),OR('לוח בקרה'!$C$9="הכל",Q328='לוח בקרה'!$C$9),OR('לוח בקרה'!$C$10="הכל",F328='לוח בקרה'!$C$10,G328='לוח בקרה'!$C$10),D328&lt;&gt;""),ROW()-2,"")</f>
        <v/>
      </c>
      <c r="AE328">
        <f>IF(AND(OR('טכנו'!$C$3="הכל",Z328='טכנו'!$C$3,AA328='טכנו'!$C$3,AB328='טכנו'!$C$3,AC328='טכנו'!$C$3),OR('טכנו'!$C$4="הכל",A328='טכנו'!$C$4),D328&lt;&gt;""),ROW()-2,"")</f>
        <v/>
      </c>
    </row>
    <row r="329">
      <c r="E329">
        <f>IFERROR(INDEX('הגדרות'!$I:$I,MATCH(B329,'הגדרות'!$H:$H,0)),"")</f>
        <v/>
      </c>
      <c r="Z329">
        <f>IFERROR(VLOOKUP(H329,'הגדרות'!$A:$D,2,FALSE),"")</f>
        <v/>
      </c>
      <c r="AA329">
        <f>IFERROR(VLOOKUP(H329,'הגדרות'!$A:$D,3,FALSE),"")</f>
        <v/>
      </c>
      <c r="AB329">
        <f>IFERROR(VLOOKUP(I329,'הגדרות'!$A:$D,2,FALSE),"")</f>
        <v/>
      </c>
      <c r="AC329">
        <f>IFERROR(VLOOKUP(I329,'הגדרות'!$A:$D,3,FALSE),"")</f>
        <v/>
      </c>
      <c r="AD329">
        <f>IF(AND(OR('לוח בקרה'!$C$3="הכל",Z329='לוח בקרה'!$C$3,AA329='לוח בקרה'!$C$3,AB329='לוח בקרה'!$C$3,AC329='לוח בקרה'!$C$3),OR('לוח בקרה'!$C$4="הכל",A329='לוח בקרה'!$C$4),OR('לוח בקרה'!$C$5="הכל",T329='לוח בקרה'!$C$5),OR('לוח בקרה'!$C$6="הכל",H329='לוח בקרה'!$C$6,I329='לוח בקרה'!$C$6),OR('לוח בקרה'!$C$7="הכל",J329='לוח בקרה'!$C$7),OR('לוח בקרה'!$C$8="הכל",L329='לוח בקרה'!$C$8),OR('לוח בקרה'!$C$9="הכל",Q329='לוח בקרה'!$C$9),OR('לוח בקרה'!$C$10="הכל",F329='לוח בקרה'!$C$10,G329='לוח בקרה'!$C$10),D329&lt;&gt;""),ROW()-2,"")</f>
        <v/>
      </c>
      <c r="AE329">
        <f>IF(AND(OR('טכנו'!$C$3="הכל",Z329='טכנו'!$C$3,AA329='טכנו'!$C$3,AB329='טכנו'!$C$3,AC329='טכנו'!$C$3),OR('טכנו'!$C$4="הכל",A329='טכנו'!$C$4),D329&lt;&gt;""),ROW()-2,"")</f>
        <v/>
      </c>
    </row>
    <row r="330">
      <c r="E330">
        <f>IFERROR(INDEX('הגדרות'!$I:$I,MATCH(B330,'הגדרות'!$H:$H,0)),"")</f>
        <v/>
      </c>
      <c r="Z330">
        <f>IFERROR(VLOOKUP(H330,'הגדרות'!$A:$D,2,FALSE),"")</f>
        <v/>
      </c>
      <c r="AA330">
        <f>IFERROR(VLOOKUP(H330,'הגדרות'!$A:$D,3,FALSE),"")</f>
        <v/>
      </c>
      <c r="AB330">
        <f>IFERROR(VLOOKUP(I330,'הגדרות'!$A:$D,2,FALSE),"")</f>
        <v/>
      </c>
      <c r="AC330">
        <f>IFERROR(VLOOKUP(I330,'הגדרות'!$A:$D,3,FALSE),"")</f>
        <v/>
      </c>
      <c r="AD330">
        <f>IF(AND(OR('לוח בקרה'!$C$3="הכל",Z330='לוח בקרה'!$C$3,AA330='לוח בקרה'!$C$3,AB330='לוח בקרה'!$C$3,AC330='לוח בקרה'!$C$3),OR('לוח בקרה'!$C$4="הכל",A330='לוח בקרה'!$C$4),OR('לוח בקרה'!$C$5="הכל",T330='לוח בקרה'!$C$5),OR('לוח בקרה'!$C$6="הכל",H330='לוח בקרה'!$C$6,I330='לוח בקרה'!$C$6),OR('לוח בקרה'!$C$7="הכל",J330='לוח בקרה'!$C$7),OR('לוח בקרה'!$C$8="הכל",L330='לוח בקרה'!$C$8),OR('לוח בקרה'!$C$9="הכל",Q330='לוח בקרה'!$C$9),OR('לוח בקרה'!$C$10="הכל",F330='לוח בקרה'!$C$10,G330='לוח בקרה'!$C$10),D330&lt;&gt;""),ROW()-2,"")</f>
        <v/>
      </c>
      <c r="AE330">
        <f>IF(AND(OR('טכנו'!$C$3="הכל",Z330='טכנו'!$C$3,AA330='טכנו'!$C$3,AB330='טכנו'!$C$3,AC330='טכנו'!$C$3),OR('טכנו'!$C$4="הכל",A330='טכנו'!$C$4),D330&lt;&gt;""),ROW()-2,"")</f>
        <v/>
      </c>
    </row>
    <row r="331">
      <c r="E331">
        <f>IFERROR(INDEX('הגדרות'!$I:$I,MATCH(B331,'הגדרות'!$H:$H,0)),"")</f>
        <v/>
      </c>
      <c r="Z331">
        <f>IFERROR(VLOOKUP(H331,'הגדרות'!$A:$D,2,FALSE),"")</f>
        <v/>
      </c>
      <c r="AA331">
        <f>IFERROR(VLOOKUP(H331,'הגדרות'!$A:$D,3,FALSE),"")</f>
        <v/>
      </c>
      <c r="AB331">
        <f>IFERROR(VLOOKUP(I331,'הגדרות'!$A:$D,2,FALSE),"")</f>
        <v/>
      </c>
      <c r="AC331">
        <f>IFERROR(VLOOKUP(I331,'הגדרות'!$A:$D,3,FALSE),"")</f>
        <v/>
      </c>
      <c r="AD331">
        <f>IF(AND(OR('לוח בקרה'!$C$3="הכל",Z331='לוח בקרה'!$C$3,AA331='לוח בקרה'!$C$3,AB331='לוח בקרה'!$C$3,AC331='לוח בקרה'!$C$3),OR('לוח בקרה'!$C$4="הכל",A331='לוח בקרה'!$C$4),OR('לוח בקרה'!$C$5="הכל",T331='לוח בקרה'!$C$5),OR('לוח בקרה'!$C$6="הכל",H331='לוח בקרה'!$C$6,I331='לוח בקרה'!$C$6),OR('לוח בקרה'!$C$7="הכל",J331='לוח בקרה'!$C$7),OR('לוח בקרה'!$C$8="הכל",L331='לוח בקרה'!$C$8),OR('לוח בקרה'!$C$9="הכל",Q331='לוח בקרה'!$C$9),OR('לוח בקרה'!$C$10="הכל",F331='לוח בקרה'!$C$10,G331='לוח בקרה'!$C$10),D331&lt;&gt;""),ROW()-2,"")</f>
        <v/>
      </c>
      <c r="AE331">
        <f>IF(AND(OR('טכנו'!$C$3="הכל",Z331='טכנו'!$C$3,AA331='טכנו'!$C$3,AB331='טכנו'!$C$3,AC331='טכנו'!$C$3),OR('טכנו'!$C$4="הכל",A331='טכנו'!$C$4),D331&lt;&gt;""),ROW()-2,"")</f>
        <v/>
      </c>
    </row>
    <row r="332">
      <c r="E332">
        <f>IFERROR(INDEX('הגדרות'!$I:$I,MATCH(B332,'הגדרות'!$H:$H,0)),"")</f>
        <v/>
      </c>
      <c r="Z332">
        <f>IFERROR(VLOOKUP(H332,'הגדרות'!$A:$D,2,FALSE),"")</f>
        <v/>
      </c>
      <c r="AA332">
        <f>IFERROR(VLOOKUP(H332,'הגדרות'!$A:$D,3,FALSE),"")</f>
        <v/>
      </c>
      <c r="AB332">
        <f>IFERROR(VLOOKUP(I332,'הגדרות'!$A:$D,2,FALSE),"")</f>
        <v/>
      </c>
      <c r="AC332">
        <f>IFERROR(VLOOKUP(I332,'הגדרות'!$A:$D,3,FALSE),"")</f>
        <v/>
      </c>
      <c r="AD332">
        <f>IF(AND(OR('לוח בקרה'!$C$3="הכל",Z332='לוח בקרה'!$C$3,AA332='לוח בקרה'!$C$3,AB332='לוח בקרה'!$C$3,AC332='לוח בקרה'!$C$3),OR('לוח בקרה'!$C$4="הכל",A332='לוח בקרה'!$C$4),OR('לוח בקרה'!$C$5="הכל",T332='לוח בקרה'!$C$5),OR('לוח בקרה'!$C$6="הכל",H332='לוח בקרה'!$C$6,I332='לוח בקרה'!$C$6),OR('לוח בקרה'!$C$7="הכל",J332='לוח בקרה'!$C$7),OR('לוח בקרה'!$C$8="הכל",L332='לוח בקרה'!$C$8),OR('לוח בקרה'!$C$9="הכל",Q332='לוח בקרה'!$C$9),OR('לוח בקרה'!$C$10="הכל",F332='לוח בקרה'!$C$10,G332='לוח בקרה'!$C$10),D332&lt;&gt;""),ROW()-2,"")</f>
        <v/>
      </c>
      <c r="AE332">
        <f>IF(AND(OR('טכנו'!$C$3="הכל",Z332='טכנו'!$C$3,AA332='טכנו'!$C$3,AB332='טכנו'!$C$3,AC332='טכנו'!$C$3),OR('טכנו'!$C$4="הכל",A332='טכנו'!$C$4),D332&lt;&gt;""),ROW()-2,"")</f>
        <v/>
      </c>
    </row>
    <row r="333">
      <c r="E333">
        <f>IFERROR(INDEX('הגדרות'!$I:$I,MATCH(B333,'הגדרות'!$H:$H,0)),"")</f>
        <v/>
      </c>
      <c r="Z333">
        <f>IFERROR(VLOOKUP(H333,'הגדרות'!$A:$D,2,FALSE),"")</f>
        <v/>
      </c>
      <c r="AA333">
        <f>IFERROR(VLOOKUP(H333,'הגדרות'!$A:$D,3,FALSE),"")</f>
        <v/>
      </c>
      <c r="AB333">
        <f>IFERROR(VLOOKUP(I333,'הגדרות'!$A:$D,2,FALSE),"")</f>
        <v/>
      </c>
      <c r="AC333">
        <f>IFERROR(VLOOKUP(I333,'הגדרות'!$A:$D,3,FALSE),"")</f>
        <v/>
      </c>
      <c r="AD333">
        <f>IF(AND(OR('לוח בקרה'!$C$3="הכל",Z333='לוח בקרה'!$C$3,AA333='לוח בקרה'!$C$3,AB333='לוח בקרה'!$C$3,AC333='לוח בקרה'!$C$3),OR('לוח בקרה'!$C$4="הכל",A333='לוח בקרה'!$C$4),OR('לוח בקרה'!$C$5="הכל",T333='לוח בקרה'!$C$5),OR('לוח בקרה'!$C$6="הכל",H333='לוח בקרה'!$C$6,I333='לוח בקרה'!$C$6),OR('לוח בקרה'!$C$7="הכל",J333='לוח בקרה'!$C$7),OR('לוח בקרה'!$C$8="הכל",L333='לוח בקרה'!$C$8),OR('לוח בקרה'!$C$9="הכל",Q333='לוח בקרה'!$C$9),OR('לוח בקרה'!$C$10="הכל",F333='לוח בקרה'!$C$10,G333='לוח בקרה'!$C$10),D333&lt;&gt;""),ROW()-2,"")</f>
        <v/>
      </c>
      <c r="AE333">
        <f>IF(AND(OR('טכנו'!$C$3="הכל",Z333='טכנו'!$C$3,AA333='טכנו'!$C$3,AB333='טכנו'!$C$3,AC333='טכנו'!$C$3),OR('טכנו'!$C$4="הכל",A333='טכנו'!$C$4),D333&lt;&gt;""),ROW()-2,"")</f>
        <v/>
      </c>
    </row>
    <row r="334">
      <c r="E334">
        <f>IFERROR(INDEX('הגדרות'!$I:$I,MATCH(B334,'הגדרות'!$H:$H,0)),"")</f>
        <v/>
      </c>
      <c r="Z334">
        <f>IFERROR(VLOOKUP(H334,'הגדרות'!$A:$D,2,FALSE),"")</f>
        <v/>
      </c>
      <c r="AA334">
        <f>IFERROR(VLOOKUP(H334,'הגדרות'!$A:$D,3,FALSE),"")</f>
        <v/>
      </c>
      <c r="AB334">
        <f>IFERROR(VLOOKUP(I334,'הגדרות'!$A:$D,2,FALSE),"")</f>
        <v/>
      </c>
      <c r="AC334">
        <f>IFERROR(VLOOKUP(I334,'הגדרות'!$A:$D,3,FALSE),"")</f>
        <v/>
      </c>
      <c r="AD334">
        <f>IF(AND(OR('לוח בקרה'!$C$3="הכל",Z334='לוח בקרה'!$C$3,AA334='לוח בקרה'!$C$3,AB334='לוח בקרה'!$C$3,AC334='לוח בקרה'!$C$3),OR('לוח בקרה'!$C$4="הכל",A334='לוח בקרה'!$C$4),OR('לוח בקרה'!$C$5="הכל",T334='לוח בקרה'!$C$5),OR('לוח בקרה'!$C$6="הכל",H334='לוח בקרה'!$C$6,I334='לוח בקרה'!$C$6),OR('לוח בקרה'!$C$7="הכל",J334='לוח בקרה'!$C$7),OR('לוח בקרה'!$C$8="הכל",L334='לוח בקרה'!$C$8),OR('לוח בקרה'!$C$9="הכל",Q334='לוח בקרה'!$C$9),OR('לוח בקרה'!$C$10="הכל",F334='לוח בקרה'!$C$10,G334='לוח בקרה'!$C$10),D334&lt;&gt;""),ROW()-2,"")</f>
        <v/>
      </c>
      <c r="AE334">
        <f>IF(AND(OR('טכנו'!$C$3="הכל",Z334='טכנו'!$C$3,AA334='טכנו'!$C$3,AB334='טכנו'!$C$3,AC334='טכנו'!$C$3),OR('טכנו'!$C$4="הכל",A334='טכנו'!$C$4),D334&lt;&gt;""),ROW()-2,"")</f>
        <v/>
      </c>
    </row>
    <row r="335">
      <c r="E335">
        <f>IFERROR(INDEX('הגדרות'!$I:$I,MATCH(B335,'הגדרות'!$H:$H,0)),"")</f>
        <v/>
      </c>
      <c r="Z335">
        <f>IFERROR(VLOOKUP(H335,'הגדרות'!$A:$D,2,FALSE),"")</f>
        <v/>
      </c>
      <c r="AA335">
        <f>IFERROR(VLOOKUP(H335,'הגדרות'!$A:$D,3,FALSE),"")</f>
        <v/>
      </c>
      <c r="AB335">
        <f>IFERROR(VLOOKUP(I335,'הגדרות'!$A:$D,2,FALSE),"")</f>
        <v/>
      </c>
      <c r="AC335">
        <f>IFERROR(VLOOKUP(I335,'הגדרות'!$A:$D,3,FALSE),"")</f>
        <v/>
      </c>
      <c r="AD335">
        <f>IF(AND(OR('לוח בקרה'!$C$3="הכל",Z335='לוח בקרה'!$C$3,AA335='לוח בקרה'!$C$3,AB335='לוח בקרה'!$C$3,AC335='לוח בקרה'!$C$3),OR('לוח בקרה'!$C$4="הכל",A335='לוח בקרה'!$C$4),OR('לוח בקרה'!$C$5="הכל",T335='לוח בקרה'!$C$5),OR('לוח בקרה'!$C$6="הכל",H335='לוח בקרה'!$C$6,I335='לוח בקרה'!$C$6),OR('לוח בקרה'!$C$7="הכל",J335='לוח בקרה'!$C$7),OR('לוח בקרה'!$C$8="הכל",L335='לוח בקרה'!$C$8),OR('לוח בקרה'!$C$9="הכל",Q335='לוח בקרה'!$C$9),OR('לוח בקרה'!$C$10="הכל",F335='לוח בקרה'!$C$10,G335='לוח בקרה'!$C$10),D335&lt;&gt;""),ROW()-2,"")</f>
        <v/>
      </c>
      <c r="AE335">
        <f>IF(AND(OR('טכנו'!$C$3="הכל",Z335='טכנו'!$C$3,AA335='טכנו'!$C$3,AB335='טכנו'!$C$3,AC335='טכנו'!$C$3),OR('טכנו'!$C$4="הכל",A335='טכנו'!$C$4),D335&lt;&gt;""),ROW()-2,"")</f>
        <v/>
      </c>
    </row>
    <row r="336">
      <c r="E336">
        <f>IFERROR(INDEX('הגדרות'!$I:$I,MATCH(B336,'הגדרות'!$H:$H,0)),"")</f>
        <v/>
      </c>
      <c r="Z336">
        <f>IFERROR(VLOOKUP(H336,'הגדרות'!$A:$D,2,FALSE),"")</f>
        <v/>
      </c>
      <c r="AA336">
        <f>IFERROR(VLOOKUP(H336,'הגדרות'!$A:$D,3,FALSE),"")</f>
        <v/>
      </c>
      <c r="AB336">
        <f>IFERROR(VLOOKUP(I336,'הגדרות'!$A:$D,2,FALSE),"")</f>
        <v/>
      </c>
      <c r="AC336">
        <f>IFERROR(VLOOKUP(I336,'הגדרות'!$A:$D,3,FALSE),"")</f>
        <v/>
      </c>
      <c r="AD336">
        <f>IF(AND(OR('לוח בקרה'!$C$3="הכל",Z336='לוח בקרה'!$C$3,AA336='לוח בקרה'!$C$3,AB336='לוח בקרה'!$C$3,AC336='לוח בקרה'!$C$3),OR('לוח בקרה'!$C$4="הכל",A336='לוח בקרה'!$C$4),OR('לוח בקרה'!$C$5="הכל",T336='לוח בקרה'!$C$5),OR('לוח בקרה'!$C$6="הכל",H336='לוח בקרה'!$C$6,I336='לוח בקרה'!$C$6),OR('לוח בקרה'!$C$7="הכל",J336='לוח בקרה'!$C$7),OR('לוח בקרה'!$C$8="הכל",L336='לוח בקרה'!$C$8),OR('לוח בקרה'!$C$9="הכל",Q336='לוח בקרה'!$C$9),OR('לוח בקרה'!$C$10="הכל",F336='לוח בקרה'!$C$10,G336='לוח בקרה'!$C$10),D336&lt;&gt;""),ROW()-2,"")</f>
        <v/>
      </c>
      <c r="AE336">
        <f>IF(AND(OR('טכנו'!$C$3="הכל",Z336='טכנו'!$C$3,AA336='טכנו'!$C$3,AB336='טכנו'!$C$3,AC336='טכנו'!$C$3),OR('טכנו'!$C$4="הכל",A336='טכנו'!$C$4),D336&lt;&gt;""),ROW()-2,"")</f>
        <v/>
      </c>
    </row>
    <row r="337">
      <c r="E337">
        <f>IFERROR(INDEX('הגדרות'!$I:$I,MATCH(B337,'הגדרות'!$H:$H,0)),"")</f>
        <v/>
      </c>
      <c r="Z337">
        <f>IFERROR(VLOOKUP(H337,'הגדרות'!$A:$D,2,FALSE),"")</f>
        <v/>
      </c>
      <c r="AA337">
        <f>IFERROR(VLOOKUP(H337,'הגדרות'!$A:$D,3,FALSE),"")</f>
        <v/>
      </c>
      <c r="AB337">
        <f>IFERROR(VLOOKUP(I337,'הגדרות'!$A:$D,2,FALSE),"")</f>
        <v/>
      </c>
      <c r="AC337">
        <f>IFERROR(VLOOKUP(I337,'הגדרות'!$A:$D,3,FALSE),"")</f>
        <v/>
      </c>
      <c r="AD337">
        <f>IF(AND(OR('לוח בקרה'!$C$3="הכל",Z337='לוח בקרה'!$C$3,AA337='לוח בקרה'!$C$3,AB337='לוח בקרה'!$C$3,AC337='לוח בקרה'!$C$3),OR('לוח בקרה'!$C$4="הכל",A337='לוח בקרה'!$C$4),OR('לוח בקרה'!$C$5="הכל",T337='לוח בקרה'!$C$5),OR('לוח בקרה'!$C$6="הכל",H337='לוח בקרה'!$C$6,I337='לוח בקרה'!$C$6),OR('לוח בקרה'!$C$7="הכל",J337='לוח בקרה'!$C$7),OR('לוח בקרה'!$C$8="הכל",L337='לוח בקרה'!$C$8),OR('לוח בקרה'!$C$9="הכל",Q337='לוח בקרה'!$C$9),OR('לוח בקרה'!$C$10="הכל",F337='לוח בקרה'!$C$10,G337='לוח בקרה'!$C$10),D337&lt;&gt;""),ROW()-2,"")</f>
        <v/>
      </c>
      <c r="AE337">
        <f>IF(AND(OR('טכנו'!$C$3="הכל",Z337='טכנו'!$C$3,AA337='טכנו'!$C$3,AB337='טכנו'!$C$3,AC337='טכנו'!$C$3),OR('טכנו'!$C$4="הכל",A337='טכנו'!$C$4),D337&lt;&gt;""),ROW()-2,"")</f>
        <v/>
      </c>
    </row>
    <row r="338">
      <c r="E338">
        <f>IFERROR(INDEX('הגדרות'!$I:$I,MATCH(B338,'הגדרות'!$H:$H,0)),"")</f>
        <v/>
      </c>
      <c r="Z338">
        <f>IFERROR(VLOOKUP(H338,'הגדרות'!$A:$D,2,FALSE),"")</f>
        <v/>
      </c>
      <c r="AA338">
        <f>IFERROR(VLOOKUP(H338,'הגדרות'!$A:$D,3,FALSE),"")</f>
        <v/>
      </c>
      <c r="AB338">
        <f>IFERROR(VLOOKUP(I338,'הגדרות'!$A:$D,2,FALSE),"")</f>
        <v/>
      </c>
      <c r="AC338">
        <f>IFERROR(VLOOKUP(I338,'הגדרות'!$A:$D,3,FALSE),"")</f>
        <v/>
      </c>
      <c r="AD338">
        <f>IF(AND(OR('לוח בקרה'!$C$3="הכל",Z338='לוח בקרה'!$C$3,AA338='לוח בקרה'!$C$3,AB338='לוח בקרה'!$C$3,AC338='לוח בקרה'!$C$3),OR('לוח בקרה'!$C$4="הכל",A338='לוח בקרה'!$C$4),OR('לוח בקרה'!$C$5="הכל",T338='לוח בקרה'!$C$5),OR('לוח בקרה'!$C$6="הכל",H338='לוח בקרה'!$C$6,I338='לוח בקרה'!$C$6),OR('לוח בקרה'!$C$7="הכל",J338='לוח בקרה'!$C$7),OR('לוח בקרה'!$C$8="הכל",L338='לוח בקרה'!$C$8),OR('לוח בקרה'!$C$9="הכל",Q338='לוח בקרה'!$C$9),OR('לוח בקרה'!$C$10="הכל",F338='לוח בקרה'!$C$10,G338='לוח בקרה'!$C$10),D338&lt;&gt;""),ROW()-2,"")</f>
        <v/>
      </c>
      <c r="AE338">
        <f>IF(AND(OR('טכנו'!$C$3="הכל",Z338='טכנו'!$C$3,AA338='טכנו'!$C$3,AB338='טכנו'!$C$3,AC338='טכנו'!$C$3),OR('טכנו'!$C$4="הכל",A338='טכנו'!$C$4),D338&lt;&gt;""),ROW()-2,"")</f>
        <v/>
      </c>
    </row>
    <row r="339">
      <c r="E339">
        <f>IFERROR(INDEX('הגדרות'!$I:$I,MATCH(B339,'הגדרות'!$H:$H,0)),"")</f>
        <v/>
      </c>
      <c r="Z339">
        <f>IFERROR(VLOOKUP(H339,'הגדרות'!$A:$D,2,FALSE),"")</f>
        <v/>
      </c>
      <c r="AA339">
        <f>IFERROR(VLOOKUP(H339,'הגדרות'!$A:$D,3,FALSE),"")</f>
        <v/>
      </c>
      <c r="AB339">
        <f>IFERROR(VLOOKUP(I339,'הגדרות'!$A:$D,2,FALSE),"")</f>
        <v/>
      </c>
      <c r="AC339">
        <f>IFERROR(VLOOKUP(I339,'הגדרות'!$A:$D,3,FALSE),"")</f>
        <v/>
      </c>
      <c r="AD339">
        <f>IF(AND(OR('לוח בקרה'!$C$3="הכל",Z339='לוח בקרה'!$C$3,AA339='לוח בקרה'!$C$3,AB339='לוח בקרה'!$C$3,AC339='לוח בקרה'!$C$3),OR('לוח בקרה'!$C$4="הכל",A339='לוח בקרה'!$C$4),OR('לוח בקרה'!$C$5="הכל",T339='לוח בקרה'!$C$5),OR('לוח בקרה'!$C$6="הכל",H339='לוח בקרה'!$C$6,I339='לוח בקרה'!$C$6),OR('לוח בקרה'!$C$7="הכל",J339='לוח בקרה'!$C$7),OR('לוח בקרה'!$C$8="הכל",L339='לוח בקרה'!$C$8),OR('לוח בקרה'!$C$9="הכל",Q339='לוח בקרה'!$C$9),OR('לוח בקרה'!$C$10="הכל",F339='לוח בקרה'!$C$10,G339='לוח בקרה'!$C$10),D339&lt;&gt;""),ROW()-2,"")</f>
        <v/>
      </c>
      <c r="AE339">
        <f>IF(AND(OR('טכנו'!$C$3="הכל",Z339='טכנו'!$C$3,AA339='טכנו'!$C$3,AB339='טכנו'!$C$3,AC339='טכנו'!$C$3),OR('טכנו'!$C$4="הכל",A339='טכנו'!$C$4),D339&lt;&gt;""),ROW()-2,"")</f>
        <v/>
      </c>
    </row>
    <row r="340">
      <c r="E340">
        <f>IFERROR(INDEX('הגדרות'!$I:$I,MATCH(B340,'הגדרות'!$H:$H,0)),"")</f>
        <v/>
      </c>
      <c r="Z340">
        <f>IFERROR(VLOOKUP(H340,'הגדרות'!$A:$D,2,FALSE),"")</f>
        <v/>
      </c>
      <c r="AA340">
        <f>IFERROR(VLOOKUP(H340,'הגדרות'!$A:$D,3,FALSE),"")</f>
        <v/>
      </c>
      <c r="AB340">
        <f>IFERROR(VLOOKUP(I340,'הגדרות'!$A:$D,2,FALSE),"")</f>
        <v/>
      </c>
      <c r="AC340">
        <f>IFERROR(VLOOKUP(I340,'הגדרות'!$A:$D,3,FALSE),"")</f>
        <v/>
      </c>
      <c r="AD340">
        <f>IF(AND(OR('לוח בקרה'!$C$3="הכל",Z340='לוח בקרה'!$C$3,AA340='לוח בקרה'!$C$3,AB340='לוח בקרה'!$C$3,AC340='לוח בקרה'!$C$3),OR('לוח בקרה'!$C$4="הכל",A340='לוח בקרה'!$C$4),OR('לוח בקרה'!$C$5="הכל",T340='לוח בקרה'!$C$5),OR('לוח בקרה'!$C$6="הכל",H340='לוח בקרה'!$C$6,I340='לוח בקרה'!$C$6),OR('לוח בקרה'!$C$7="הכל",J340='לוח בקרה'!$C$7),OR('לוח בקרה'!$C$8="הכל",L340='לוח בקרה'!$C$8),OR('לוח בקרה'!$C$9="הכל",Q340='לוח בקרה'!$C$9),OR('לוח בקרה'!$C$10="הכל",F340='לוח בקרה'!$C$10,G340='לוח בקרה'!$C$10),D340&lt;&gt;""),ROW()-2,"")</f>
        <v/>
      </c>
      <c r="AE340">
        <f>IF(AND(OR('טכנו'!$C$3="הכל",Z340='טכנו'!$C$3,AA340='טכנו'!$C$3,AB340='טכנו'!$C$3,AC340='טכנו'!$C$3),OR('טכנו'!$C$4="הכל",A340='טכנו'!$C$4),D340&lt;&gt;""),ROW()-2,"")</f>
        <v/>
      </c>
    </row>
    <row r="341">
      <c r="E341">
        <f>IFERROR(INDEX('הגדרות'!$I:$I,MATCH(B341,'הגדרות'!$H:$H,0)),"")</f>
        <v/>
      </c>
      <c r="Z341">
        <f>IFERROR(VLOOKUP(H341,'הגדרות'!$A:$D,2,FALSE),"")</f>
        <v/>
      </c>
      <c r="AA341">
        <f>IFERROR(VLOOKUP(H341,'הגדרות'!$A:$D,3,FALSE),"")</f>
        <v/>
      </c>
      <c r="AB341">
        <f>IFERROR(VLOOKUP(I341,'הגדרות'!$A:$D,2,FALSE),"")</f>
        <v/>
      </c>
      <c r="AC341">
        <f>IFERROR(VLOOKUP(I341,'הגדרות'!$A:$D,3,FALSE),"")</f>
        <v/>
      </c>
      <c r="AD341">
        <f>IF(AND(OR('לוח בקרה'!$C$3="הכל",Z341='לוח בקרה'!$C$3,AA341='לוח בקרה'!$C$3,AB341='לוח בקרה'!$C$3,AC341='לוח בקרה'!$C$3),OR('לוח בקרה'!$C$4="הכל",A341='לוח בקרה'!$C$4),OR('לוח בקרה'!$C$5="הכל",T341='לוח בקרה'!$C$5),OR('לוח בקרה'!$C$6="הכל",H341='לוח בקרה'!$C$6,I341='לוח בקרה'!$C$6),OR('לוח בקרה'!$C$7="הכל",J341='לוח בקרה'!$C$7),OR('לוח בקרה'!$C$8="הכל",L341='לוח בקרה'!$C$8),OR('לוח בקרה'!$C$9="הכל",Q341='לוח בקרה'!$C$9),OR('לוח בקרה'!$C$10="הכל",F341='לוח בקרה'!$C$10,G341='לוח בקרה'!$C$10),D341&lt;&gt;""),ROW()-2,"")</f>
        <v/>
      </c>
      <c r="AE341">
        <f>IF(AND(OR('טכנו'!$C$3="הכל",Z341='טכנו'!$C$3,AA341='טכנו'!$C$3,AB341='טכנו'!$C$3,AC341='טכנו'!$C$3),OR('טכנו'!$C$4="הכל",A341='טכנו'!$C$4),D341&lt;&gt;""),ROW()-2,"")</f>
        <v/>
      </c>
    </row>
    <row r="342">
      <c r="E342">
        <f>IFERROR(INDEX('הגדרות'!$I:$I,MATCH(B342,'הגדרות'!$H:$H,0)),"")</f>
        <v/>
      </c>
      <c r="Z342">
        <f>IFERROR(VLOOKUP(H342,'הגדרות'!$A:$D,2,FALSE),"")</f>
        <v/>
      </c>
      <c r="AA342">
        <f>IFERROR(VLOOKUP(H342,'הגדרות'!$A:$D,3,FALSE),"")</f>
        <v/>
      </c>
      <c r="AB342">
        <f>IFERROR(VLOOKUP(I342,'הגדרות'!$A:$D,2,FALSE),"")</f>
        <v/>
      </c>
      <c r="AC342">
        <f>IFERROR(VLOOKUP(I342,'הגדרות'!$A:$D,3,FALSE),"")</f>
        <v/>
      </c>
      <c r="AD342">
        <f>IF(AND(OR('לוח בקרה'!$C$3="הכל",Z342='לוח בקרה'!$C$3,AA342='לוח בקרה'!$C$3,AB342='לוח בקרה'!$C$3,AC342='לוח בקרה'!$C$3),OR('לוח בקרה'!$C$4="הכל",A342='לוח בקרה'!$C$4),OR('לוח בקרה'!$C$5="הכל",T342='לוח בקרה'!$C$5),OR('לוח בקרה'!$C$6="הכל",H342='לוח בקרה'!$C$6,I342='לוח בקרה'!$C$6),OR('לוח בקרה'!$C$7="הכל",J342='לוח בקרה'!$C$7),OR('לוח בקרה'!$C$8="הכל",L342='לוח בקרה'!$C$8),OR('לוח בקרה'!$C$9="הכל",Q342='לוח בקרה'!$C$9),OR('לוח בקרה'!$C$10="הכל",F342='לוח בקרה'!$C$10,G342='לוח בקרה'!$C$10),D342&lt;&gt;""),ROW()-2,"")</f>
        <v/>
      </c>
      <c r="AE342">
        <f>IF(AND(OR('טכנו'!$C$3="הכל",Z342='טכנו'!$C$3,AA342='טכנו'!$C$3,AB342='טכנו'!$C$3,AC342='טכנו'!$C$3),OR('טכנו'!$C$4="הכל",A342='טכנו'!$C$4),D342&lt;&gt;""),ROW()-2,"")</f>
        <v/>
      </c>
    </row>
    <row r="343">
      <c r="E343">
        <f>IFERROR(INDEX('הגדרות'!$I:$I,MATCH(B343,'הגדרות'!$H:$H,0)),"")</f>
        <v/>
      </c>
      <c r="Z343">
        <f>IFERROR(VLOOKUP(H343,'הגדרות'!$A:$D,2,FALSE),"")</f>
        <v/>
      </c>
      <c r="AA343">
        <f>IFERROR(VLOOKUP(H343,'הגדרות'!$A:$D,3,FALSE),"")</f>
        <v/>
      </c>
      <c r="AB343">
        <f>IFERROR(VLOOKUP(I343,'הגדרות'!$A:$D,2,FALSE),"")</f>
        <v/>
      </c>
      <c r="AC343">
        <f>IFERROR(VLOOKUP(I343,'הגדרות'!$A:$D,3,FALSE),"")</f>
        <v/>
      </c>
      <c r="AD343">
        <f>IF(AND(OR('לוח בקרה'!$C$3="הכל",Z343='לוח בקרה'!$C$3,AA343='לוח בקרה'!$C$3,AB343='לוח בקרה'!$C$3,AC343='לוח בקרה'!$C$3),OR('לוח בקרה'!$C$4="הכל",A343='לוח בקרה'!$C$4),OR('לוח בקרה'!$C$5="הכל",T343='לוח בקרה'!$C$5),OR('לוח בקרה'!$C$6="הכל",H343='לוח בקרה'!$C$6,I343='לוח בקרה'!$C$6),OR('לוח בקרה'!$C$7="הכל",J343='לוח בקרה'!$C$7),OR('לוח בקרה'!$C$8="הכל",L343='לוח בקרה'!$C$8),OR('לוח בקרה'!$C$9="הכל",Q343='לוח בקרה'!$C$9),OR('לוח בקרה'!$C$10="הכל",F343='לוח בקרה'!$C$10,G343='לוח בקרה'!$C$10),D343&lt;&gt;""),ROW()-2,"")</f>
        <v/>
      </c>
      <c r="AE343">
        <f>IF(AND(OR('טכנו'!$C$3="הכל",Z343='טכנו'!$C$3,AA343='טכנו'!$C$3,AB343='טכנו'!$C$3,AC343='טכנו'!$C$3),OR('טכנו'!$C$4="הכל",A343='טכנו'!$C$4),D343&lt;&gt;""),ROW()-2,"")</f>
        <v/>
      </c>
    </row>
    <row r="344">
      <c r="E344">
        <f>IFERROR(INDEX('הגדרות'!$I:$I,MATCH(B344,'הגדרות'!$H:$H,0)),"")</f>
        <v/>
      </c>
      <c r="Z344">
        <f>IFERROR(VLOOKUP(H344,'הגדרות'!$A:$D,2,FALSE),"")</f>
        <v/>
      </c>
      <c r="AA344">
        <f>IFERROR(VLOOKUP(H344,'הגדרות'!$A:$D,3,FALSE),"")</f>
        <v/>
      </c>
      <c r="AB344">
        <f>IFERROR(VLOOKUP(I344,'הגדרות'!$A:$D,2,FALSE),"")</f>
        <v/>
      </c>
      <c r="AC344">
        <f>IFERROR(VLOOKUP(I344,'הגדרות'!$A:$D,3,FALSE),"")</f>
        <v/>
      </c>
      <c r="AD344">
        <f>IF(AND(OR('לוח בקרה'!$C$3="הכל",Z344='לוח בקרה'!$C$3,AA344='לוח בקרה'!$C$3,AB344='לוח בקרה'!$C$3,AC344='לוח בקרה'!$C$3),OR('לוח בקרה'!$C$4="הכל",A344='לוח בקרה'!$C$4),OR('לוח בקרה'!$C$5="הכל",T344='לוח בקרה'!$C$5),OR('לוח בקרה'!$C$6="הכל",H344='לוח בקרה'!$C$6,I344='לוח בקרה'!$C$6),OR('לוח בקרה'!$C$7="הכל",J344='לוח בקרה'!$C$7),OR('לוח בקרה'!$C$8="הכל",L344='לוח בקרה'!$C$8),OR('לוח בקרה'!$C$9="הכל",Q344='לוח בקרה'!$C$9),OR('לוח בקרה'!$C$10="הכל",F344='לוח בקרה'!$C$10,G344='לוח בקרה'!$C$10),D344&lt;&gt;""),ROW()-2,"")</f>
        <v/>
      </c>
      <c r="AE344">
        <f>IF(AND(OR('טכנו'!$C$3="הכל",Z344='טכנו'!$C$3,AA344='טכנו'!$C$3,AB344='טכנו'!$C$3,AC344='טכנו'!$C$3),OR('טכנו'!$C$4="הכל",A344='טכנו'!$C$4),D344&lt;&gt;""),ROW()-2,"")</f>
        <v/>
      </c>
    </row>
    <row r="345">
      <c r="E345">
        <f>IFERROR(INDEX('הגדרות'!$I:$I,MATCH(B345,'הגדרות'!$H:$H,0)),"")</f>
        <v/>
      </c>
      <c r="Z345">
        <f>IFERROR(VLOOKUP(H345,'הגדרות'!$A:$D,2,FALSE),"")</f>
        <v/>
      </c>
      <c r="AA345">
        <f>IFERROR(VLOOKUP(H345,'הגדרות'!$A:$D,3,FALSE),"")</f>
        <v/>
      </c>
      <c r="AB345">
        <f>IFERROR(VLOOKUP(I345,'הגדרות'!$A:$D,2,FALSE),"")</f>
        <v/>
      </c>
      <c r="AC345">
        <f>IFERROR(VLOOKUP(I345,'הגדרות'!$A:$D,3,FALSE),"")</f>
        <v/>
      </c>
      <c r="AD345">
        <f>IF(AND(OR('לוח בקרה'!$C$3="הכל",Z345='לוח בקרה'!$C$3,AA345='לוח בקרה'!$C$3,AB345='לוח בקרה'!$C$3,AC345='לוח בקרה'!$C$3),OR('לוח בקרה'!$C$4="הכל",A345='לוח בקרה'!$C$4),OR('לוח בקרה'!$C$5="הכל",T345='לוח בקרה'!$C$5),OR('לוח בקרה'!$C$6="הכל",H345='לוח בקרה'!$C$6,I345='לוח בקרה'!$C$6),OR('לוח בקרה'!$C$7="הכל",J345='לוח בקרה'!$C$7),OR('לוח בקרה'!$C$8="הכל",L345='לוח בקרה'!$C$8),OR('לוח בקרה'!$C$9="הכל",Q345='לוח בקרה'!$C$9),OR('לוח בקרה'!$C$10="הכל",F345='לוח בקרה'!$C$10,G345='לוח בקרה'!$C$10),D345&lt;&gt;""),ROW()-2,"")</f>
        <v/>
      </c>
      <c r="AE345">
        <f>IF(AND(OR('טכנו'!$C$3="הכל",Z345='טכנו'!$C$3,AA345='טכנו'!$C$3,AB345='טכנו'!$C$3,AC345='טכנו'!$C$3),OR('טכנו'!$C$4="הכל",A345='טכנו'!$C$4),D345&lt;&gt;""),ROW()-2,"")</f>
        <v/>
      </c>
    </row>
    <row r="346">
      <c r="E346">
        <f>IFERROR(INDEX('הגדרות'!$I:$I,MATCH(B346,'הגדרות'!$H:$H,0)),"")</f>
        <v/>
      </c>
      <c r="Z346">
        <f>IFERROR(VLOOKUP(H346,'הגדרות'!$A:$D,2,FALSE),"")</f>
        <v/>
      </c>
      <c r="AA346">
        <f>IFERROR(VLOOKUP(H346,'הגדרות'!$A:$D,3,FALSE),"")</f>
        <v/>
      </c>
      <c r="AB346">
        <f>IFERROR(VLOOKUP(I346,'הגדרות'!$A:$D,2,FALSE),"")</f>
        <v/>
      </c>
      <c r="AC346">
        <f>IFERROR(VLOOKUP(I346,'הגדרות'!$A:$D,3,FALSE),"")</f>
        <v/>
      </c>
      <c r="AD346">
        <f>IF(AND(OR('לוח בקרה'!$C$3="הכל",Z346='לוח בקרה'!$C$3,AA346='לוח בקרה'!$C$3,AB346='לוח בקרה'!$C$3,AC346='לוח בקרה'!$C$3),OR('לוח בקרה'!$C$4="הכל",A346='לוח בקרה'!$C$4),OR('לוח בקרה'!$C$5="הכל",T346='לוח בקרה'!$C$5),OR('לוח בקרה'!$C$6="הכל",H346='לוח בקרה'!$C$6,I346='לוח בקרה'!$C$6),OR('לוח בקרה'!$C$7="הכל",J346='לוח בקרה'!$C$7),OR('לוח בקרה'!$C$8="הכל",L346='לוח בקרה'!$C$8),OR('לוח בקרה'!$C$9="הכל",Q346='לוח בקרה'!$C$9),OR('לוח בקרה'!$C$10="הכל",F346='לוח בקרה'!$C$10,G346='לוח בקרה'!$C$10),D346&lt;&gt;""),ROW()-2,"")</f>
        <v/>
      </c>
      <c r="AE346">
        <f>IF(AND(OR('טכנו'!$C$3="הכל",Z346='טכנו'!$C$3,AA346='טכנו'!$C$3,AB346='טכנו'!$C$3,AC346='טכנו'!$C$3),OR('טכנו'!$C$4="הכל",A346='טכנו'!$C$4),D346&lt;&gt;""),ROW()-2,"")</f>
        <v/>
      </c>
    </row>
    <row r="347">
      <c r="E347">
        <f>IFERROR(INDEX('הגדרות'!$I:$I,MATCH(B347,'הגדרות'!$H:$H,0)),"")</f>
        <v/>
      </c>
      <c r="Z347">
        <f>IFERROR(VLOOKUP(H347,'הגדרות'!$A:$D,2,FALSE),"")</f>
        <v/>
      </c>
      <c r="AA347">
        <f>IFERROR(VLOOKUP(H347,'הגדרות'!$A:$D,3,FALSE),"")</f>
        <v/>
      </c>
      <c r="AB347">
        <f>IFERROR(VLOOKUP(I347,'הגדרות'!$A:$D,2,FALSE),"")</f>
        <v/>
      </c>
      <c r="AC347">
        <f>IFERROR(VLOOKUP(I347,'הגדרות'!$A:$D,3,FALSE),"")</f>
        <v/>
      </c>
      <c r="AD347">
        <f>IF(AND(OR('לוח בקרה'!$C$3="הכל",Z347='לוח בקרה'!$C$3,AA347='לוח בקרה'!$C$3,AB347='לוח בקרה'!$C$3,AC347='לוח בקרה'!$C$3),OR('לוח בקרה'!$C$4="הכל",A347='לוח בקרה'!$C$4),OR('לוח בקרה'!$C$5="הכל",T347='לוח בקרה'!$C$5),OR('לוח בקרה'!$C$6="הכל",H347='לוח בקרה'!$C$6,I347='לוח בקרה'!$C$6),OR('לוח בקרה'!$C$7="הכל",J347='לוח בקרה'!$C$7),OR('לוח בקרה'!$C$8="הכל",L347='לוח בקרה'!$C$8),OR('לוח בקרה'!$C$9="הכל",Q347='לוח בקרה'!$C$9),OR('לוח בקרה'!$C$10="הכל",F347='לוח בקרה'!$C$10,G347='לוח בקרה'!$C$10),D347&lt;&gt;""),ROW()-2,"")</f>
        <v/>
      </c>
      <c r="AE347">
        <f>IF(AND(OR('טכנו'!$C$3="הכל",Z347='טכנו'!$C$3,AA347='טכנו'!$C$3,AB347='טכנו'!$C$3,AC347='טכנו'!$C$3),OR('טכנו'!$C$4="הכל",A347='טכנו'!$C$4),D347&lt;&gt;""),ROW()-2,"")</f>
        <v/>
      </c>
    </row>
    <row r="348">
      <c r="E348">
        <f>IFERROR(INDEX('הגדרות'!$I:$I,MATCH(B348,'הגדרות'!$H:$H,0)),"")</f>
        <v/>
      </c>
      <c r="Z348">
        <f>IFERROR(VLOOKUP(H348,'הגדרות'!$A:$D,2,FALSE),"")</f>
        <v/>
      </c>
      <c r="AA348">
        <f>IFERROR(VLOOKUP(H348,'הגדרות'!$A:$D,3,FALSE),"")</f>
        <v/>
      </c>
      <c r="AB348">
        <f>IFERROR(VLOOKUP(I348,'הגדרות'!$A:$D,2,FALSE),"")</f>
        <v/>
      </c>
      <c r="AC348">
        <f>IFERROR(VLOOKUP(I348,'הגדרות'!$A:$D,3,FALSE),"")</f>
        <v/>
      </c>
      <c r="AD348">
        <f>IF(AND(OR('לוח בקרה'!$C$3="הכל",Z348='לוח בקרה'!$C$3,AA348='לוח בקרה'!$C$3,AB348='לוח בקרה'!$C$3,AC348='לוח בקרה'!$C$3),OR('לוח בקרה'!$C$4="הכל",A348='לוח בקרה'!$C$4),OR('לוח בקרה'!$C$5="הכל",T348='לוח בקרה'!$C$5),OR('לוח בקרה'!$C$6="הכל",H348='לוח בקרה'!$C$6,I348='לוח בקרה'!$C$6),OR('לוח בקרה'!$C$7="הכל",J348='לוח בקרה'!$C$7),OR('לוח בקרה'!$C$8="הכל",L348='לוח בקרה'!$C$8),OR('לוח בקרה'!$C$9="הכל",Q348='לוח בקרה'!$C$9),OR('לוח בקרה'!$C$10="הכל",F348='לוח בקרה'!$C$10,G348='לוח בקרה'!$C$10),D348&lt;&gt;""),ROW()-2,"")</f>
        <v/>
      </c>
      <c r="AE348">
        <f>IF(AND(OR('טכנו'!$C$3="הכל",Z348='טכנו'!$C$3,AA348='טכנו'!$C$3,AB348='טכנו'!$C$3,AC348='טכנו'!$C$3),OR('טכנו'!$C$4="הכל",A348='טכנו'!$C$4),D348&lt;&gt;""),ROW()-2,"")</f>
        <v/>
      </c>
    </row>
    <row r="349">
      <c r="E349">
        <f>IFERROR(INDEX('הגדרות'!$I:$I,MATCH(B349,'הגדרות'!$H:$H,0)),"")</f>
        <v/>
      </c>
      <c r="Z349">
        <f>IFERROR(VLOOKUP(H349,'הגדרות'!$A:$D,2,FALSE),"")</f>
        <v/>
      </c>
      <c r="AA349">
        <f>IFERROR(VLOOKUP(H349,'הגדרות'!$A:$D,3,FALSE),"")</f>
        <v/>
      </c>
      <c r="AB349">
        <f>IFERROR(VLOOKUP(I349,'הגדרות'!$A:$D,2,FALSE),"")</f>
        <v/>
      </c>
      <c r="AC349">
        <f>IFERROR(VLOOKUP(I349,'הגדרות'!$A:$D,3,FALSE),"")</f>
        <v/>
      </c>
      <c r="AD349">
        <f>IF(AND(OR('לוח בקרה'!$C$3="הכל",Z349='לוח בקרה'!$C$3,AA349='לוח בקרה'!$C$3,AB349='לוח בקרה'!$C$3,AC349='לוח בקרה'!$C$3),OR('לוח בקרה'!$C$4="הכל",A349='לוח בקרה'!$C$4),OR('לוח בקרה'!$C$5="הכל",T349='לוח בקרה'!$C$5),OR('לוח בקרה'!$C$6="הכל",H349='לוח בקרה'!$C$6,I349='לוח בקרה'!$C$6),OR('לוח בקרה'!$C$7="הכל",J349='לוח בקרה'!$C$7),OR('לוח בקרה'!$C$8="הכל",L349='לוח בקרה'!$C$8),OR('לוח בקרה'!$C$9="הכל",Q349='לוח בקרה'!$C$9),OR('לוח בקרה'!$C$10="הכל",F349='לוח בקרה'!$C$10,G349='לוח בקרה'!$C$10),D349&lt;&gt;""),ROW()-2,"")</f>
        <v/>
      </c>
      <c r="AE349">
        <f>IF(AND(OR('טכנו'!$C$3="הכל",Z349='טכנו'!$C$3,AA349='טכנו'!$C$3,AB349='טכנו'!$C$3,AC349='טכנו'!$C$3),OR('טכנו'!$C$4="הכל",A349='טכנו'!$C$4),D349&lt;&gt;""),ROW()-2,"")</f>
        <v/>
      </c>
    </row>
    <row r="350">
      <c r="E350">
        <f>IFERROR(INDEX('הגדרות'!$I:$I,MATCH(B350,'הגדרות'!$H:$H,0)),"")</f>
        <v/>
      </c>
      <c r="Z350">
        <f>IFERROR(VLOOKUP(H350,'הגדרות'!$A:$D,2,FALSE),"")</f>
        <v/>
      </c>
      <c r="AA350">
        <f>IFERROR(VLOOKUP(H350,'הגדרות'!$A:$D,3,FALSE),"")</f>
        <v/>
      </c>
      <c r="AB350">
        <f>IFERROR(VLOOKUP(I350,'הגדרות'!$A:$D,2,FALSE),"")</f>
        <v/>
      </c>
      <c r="AC350">
        <f>IFERROR(VLOOKUP(I350,'הגדרות'!$A:$D,3,FALSE),"")</f>
        <v/>
      </c>
      <c r="AD350">
        <f>IF(AND(OR('לוח בקרה'!$C$3="הכל",Z350='לוח בקרה'!$C$3,AA350='לוח בקרה'!$C$3,AB350='לוח בקרה'!$C$3,AC350='לוח בקרה'!$C$3),OR('לוח בקרה'!$C$4="הכל",A350='לוח בקרה'!$C$4),OR('לוח בקרה'!$C$5="הכל",T350='לוח בקרה'!$C$5),OR('לוח בקרה'!$C$6="הכל",H350='לוח בקרה'!$C$6,I350='לוח בקרה'!$C$6),OR('לוח בקרה'!$C$7="הכל",J350='לוח בקרה'!$C$7),OR('לוח בקרה'!$C$8="הכל",L350='לוח בקרה'!$C$8),OR('לוח בקרה'!$C$9="הכל",Q350='לוח בקרה'!$C$9),OR('לוח בקרה'!$C$10="הכל",F350='לוח בקרה'!$C$10,G350='לוח בקרה'!$C$10),D350&lt;&gt;""),ROW()-2,"")</f>
        <v/>
      </c>
      <c r="AE350">
        <f>IF(AND(OR('טכנו'!$C$3="הכל",Z350='טכנו'!$C$3,AA350='טכנו'!$C$3,AB350='טכנו'!$C$3,AC350='טכנו'!$C$3),OR('טכנו'!$C$4="הכל",A350='טכנו'!$C$4),D350&lt;&gt;""),ROW()-2,"")</f>
        <v/>
      </c>
    </row>
    <row r="351">
      <c r="E351">
        <f>IFERROR(INDEX('הגדרות'!$I:$I,MATCH(B351,'הגדרות'!$H:$H,0)),"")</f>
        <v/>
      </c>
      <c r="Z351">
        <f>IFERROR(VLOOKUP(H351,'הגדרות'!$A:$D,2,FALSE),"")</f>
        <v/>
      </c>
      <c r="AA351">
        <f>IFERROR(VLOOKUP(H351,'הגדרות'!$A:$D,3,FALSE),"")</f>
        <v/>
      </c>
      <c r="AB351">
        <f>IFERROR(VLOOKUP(I351,'הגדרות'!$A:$D,2,FALSE),"")</f>
        <v/>
      </c>
      <c r="AC351">
        <f>IFERROR(VLOOKUP(I351,'הגדרות'!$A:$D,3,FALSE),"")</f>
        <v/>
      </c>
      <c r="AD351">
        <f>IF(AND(OR('לוח בקרה'!$C$3="הכל",Z351='לוח בקרה'!$C$3,AA351='לוח בקרה'!$C$3,AB351='לוח בקרה'!$C$3,AC351='לוח בקרה'!$C$3),OR('לוח בקרה'!$C$4="הכל",A351='לוח בקרה'!$C$4),OR('לוח בקרה'!$C$5="הכל",T351='לוח בקרה'!$C$5),OR('לוח בקרה'!$C$6="הכל",H351='לוח בקרה'!$C$6,I351='לוח בקרה'!$C$6),OR('לוח בקרה'!$C$7="הכל",J351='לוח בקרה'!$C$7),OR('לוח בקרה'!$C$8="הכל",L351='לוח בקרה'!$C$8),OR('לוח בקרה'!$C$9="הכל",Q351='לוח בקרה'!$C$9),OR('לוח בקרה'!$C$10="הכל",F351='לוח בקרה'!$C$10,G351='לוח בקרה'!$C$10),D351&lt;&gt;""),ROW()-2,"")</f>
        <v/>
      </c>
      <c r="AE351">
        <f>IF(AND(OR('טכנו'!$C$3="הכל",Z351='טכנו'!$C$3,AA351='טכנו'!$C$3,AB351='טכנו'!$C$3,AC351='טכנו'!$C$3),OR('טכנו'!$C$4="הכל",A351='טכנו'!$C$4),D351&lt;&gt;""),ROW()-2,"")</f>
        <v/>
      </c>
    </row>
    <row r="352">
      <c r="E352">
        <f>IFERROR(INDEX('הגדרות'!$I:$I,MATCH(B352,'הגדרות'!$H:$H,0)),"")</f>
        <v/>
      </c>
      <c r="Z352">
        <f>IFERROR(VLOOKUP(H352,'הגדרות'!$A:$D,2,FALSE),"")</f>
        <v/>
      </c>
      <c r="AA352">
        <f>IFERROR(VLOOKUP(H352,'הגדרות'!$A:$D,3,FALSE),"")</f>
        <v/>
      </c>
      <c r="AB352">
        <f>IFERROR(VLOOKUP(I352,'הגדרות'!$A:$D,2,FALSE),"")</f>
        <v/>
      </c>
      <c r="AC352">
        <f>IFERROR(VLOOKUP(I352,'הגדרות'!$A:$D,3,FALSE),"")</f>
        <v/>
      </c>
      <c r="AD352">
        <f>IF(AND(OR('לוח בקרה'!$C$3="הכל",Z352='לוח בקרה'!$C$3,AA352='לוח בקרה'!$C$3,AB352='לוח בקרה'!$C$3,AC352='לוח בקרה'!$C$3),OR('לוח בקרה'!$C$4="הכל",A352='לוח בקרה'!$C$4),OR('לוח בקרה'!$C$5="הכל",T352='לוח בקרה'!$C$5),OR('לוח בקרה'!$C$6="הכל",H352='לוח בקרה'!$C$6,I352='לוח בקרה'!$C$6),OR('לוח בקרה'!$C$7="הכל",J352='לוח בקרה'!$C$7),OR('לוח בקרה'!$C$8="הכל",L352='לוח בקרה'!$C$8),OR('לוח בקרה'!$C$9="הכל",Q352='לוח בקרה'!$C$9),OR('לוח בקרה'!$C$10="הכל",F352='לוח בקרה'!$C$10,G352='לוח בקרה'!$C$10),D352&lt;&gt;""),ROW()-2,"")</f>
        <v/>
      </c>
      <c r="AE352">
        <f>IF(AND(OR('טכנו'!$C$3="הכל",Z352='טכנו'!$C$3,AA352='טכנו'!$C$3,AB352='טכנו'!$C$3,AC352='טכנו'!$C$3),OR('טכנו'!$C$4="הכל",A352='טכנו'!$C$4),D352&lt;&gt;""),ROW()-2,"")</f>
        <v/>
      </c>
    </row>
    <row r="353">
      <c r="E353">
        <f>IFERROR(INDEX('הגדרות'!$I:$I,MATCH(B353,'הגדרות'!$H:$H,0)),"")</f>
        <v/>
      </c>
      <c r="Z353">
        <f>IFERROR(VLOOKUP(H353,'הגדרות'!$A:$D,2,FALSE),"")</f>
        <v/>
      </c>
      <c r="AA353">
        <f>IFERROR(VLOOKUP(H353,'הגדרות'!$A:$D,3,FALSE),"")</f>
        <v/>
      </c>
      <c r="AB353">
        <f>IFERROR(VLOOKUP(I353,'הגדרות'!$A:$D,2,FALSE),"")</f>
        <v/>
      </c>
      <c r="AC353">
        <f>IFERROR(VLOOKUP(I353,'הגדרות'!$A:$D,3,FALSE),"")</f>
        <v/>
      </c>
      <c r="AD353">
        <f>IF(AND(OR('לוח בקרה'!$C$3="הכל",Z353='לוח בקרה'!$C$3,AA353='לוח בקרה'!$C$3,AB353='לוח בקרה'!$C$3,AC353='לוח בקרה'!$C$3),OR('לוח בקרה'!$C$4="הכל",A353='לוח בקרה'!$C$4),OR('לוח בקרה'!$C$5="הכל",T353='לוח בקרה'!$C$5),OR('לוח בקרה'!$C$6="הכל",H353='לוח בקרה'!$C$6,I353='לוח בקרה'!$C$6),OR('לוח בקרה'!$C$7="הכל",J353='לוח בקרה'!$C$7),OR('לוח בקרה'!$C$8="הכל",L353='לוח בקרה'!$C$8),OR('לוח בקרה'!$C$9="הכל",Q353='לוח בקרה'!$C$9),OR('לוח בקרה'!$C$10="הכל",F353='לוח בקרה'!$C$10,G353='לוח בקרה'!$C$10),D353&lt;&gt;""),ROW()-2,"")</f>
        <v/>
      </c>
      <c r="AE353">
        <f>IF(AND(OR('טכנו'!$C$3="הכל",Z353='טכנו'!$C$3,AA353='טכנו'!$C$3,AB353='טכנו'!$C$3,AC353='טכנו'!$C$3),OR('טכנו'!$C$4="הכל",A353='טכנו'!$C$4),D353&lt;&gt;""),ROW()-2,"")</f>
        <v/>
      </c>
    </row>
    <row r="354">
      <c r="E354">
        <f>IFERROR(INDEX('הגדרות'!$I:$I,MATCH(B354,'הגדרות'!$H:$H,0)),"")</f>
        <v/>
      </c>
      <c r="Z354">
        <f>IFERROR(VLOOKUP(H354,'הגדרות'!$A:$D,2,FALSE),"")</f>
        <v/>
      </c>
      <c r="AA354">
        <f>IFERROR(VLOOKUP(H354,'הגדרות'!$A:$D,3,FALSE),"")</f>
        <v/>
      </c>
      <c r="AB354">
        <f>IFERROR(VLOOKUP(I354,'הגדרות'!$A:$D,2,FALSE),"")</f>
        <v/>
      </c>
      <c r="AC354">
        <f>IFERROR(VLOOKUP(I354,'הגדרות'!$A:$D,3,FALSE),"")</f>
        <v/>
      </c>
      <c r="AD354">
        <f>IF(AND(OR('לוח בקרה'!$C$3="הכל",Z354='לוח בקרה'!$C$3,AA354='לוח בקרה'!$C$3,AB354='לוח בקרה'!$C$3,AC354='לוח בקרה'!$C$3),OR('לוח בקרה'!$C$4="הכל",A354='לוח בקרה'!$C$4),OR('לוח בקרה'!$C$5="הכל",T354='לוח בקרה'!$C$5),OR('לוח בקרה'!$C$6="הכל",H354='לוח בקרה'!$C$6,I354='לוח בקרה'!$C$6),OR('לוח בקרה'!$C$7="הכל",J354='לוח בקרה'!$C$7),OR('לוח בקרה'!$C$8="הכל",L354='לוח בקרה'!$C$8),OR('לוח בקרה'!$C$9="הכל",Q354='לוח בקרה'!$C$9),OR('לוח בקרה'!$C$10="הכל",F354='לוח בקרה'!$C$10,G354='לוח בקרה'!$C$10),D354&lt;&gt;""),ROW()-2,"")</f>
        <v/>
      </c>
      <c r="AE354">
        <f>IF(AND(OR('טכנו'!$C$3="הכל",Z354='טכנו'!$C$3,AA354='טכנו'!$C$3,AB354='טכנו'!$C$3,AC354='טכנו'!$C$3),OR('טכנו'!$C$4="הכל",A354='טכנו'!$C$4),D354&lt;&gt;""),ROW()-2,"")</f>
        <v/>
      </c>
    </row>
    <row r="355">
      <c r="E355">
        <f>IFERROR(INDEX('הגדרות'!$I:$I,MATCH(B355,'הגדרות'!$H:$H,0)),"")</f>
        <v/>
      </c>
      <c r="Z355">
        <f>IFERROR(VLOOKUP(H355,'הגדרות'!$A:$D,2,FALSE),"")</f>
        <v/>
      </c>
      <c r="AA355">
        <f>IFERROR(VLOOKUP(H355,'הגדרות'!$A:$D,3,FALSE),"")</f>
        <v/>
      </c>
      <c r="AB355">
        <f>IFERROR(VLOOKUP(I355,'הגדרות'!$A:$D,2,FALSE),"")</f>
        <v/>
      </c>
      <c r="AC355">
        <f>IFERROR(VLOOKUP(I355,'הגדרות'!$A:$D,3,FALSE),"")</f>
        <v/>
      </c>
      <c r="AD355">
        <f>IF(AND(OR('לוח בקרה'!$C$3="הכל",Z355='לוח בקרה'!$C$3,AA355='לוח בקרה'!$C$3,AB355='לוח בקרה'!$C$3,AC355='לוח בקרה'!$C$3),OR('לוח בקרה'!$C$4="הכל",A355='לוח בקרה'!$C$4),OR('לוח בקרה'!$C$5="הכל",T355='לוח בקרה'!$C$5),OR('לוח בקרה'!$C$6="הכל",H355='לוח בקרה'!$C$6,I355='לוח בקרה'!$C$6),OR('לוח בקרה'!$C$7="הכל",J355='לוח בקרה'!$C$7),OR('לוח בקרה'!$C$8="הכל",L355='לוח בקרה'!$C$8),OR('לוח בקרה'!$C$9="הכל",Q355='לוח בקרה'!$C$9),OR('לוח בקרה'!$C$10="הכל",F355='לוח בקרה'!$C$10,G355='לוח בקרה'!$C$10),D355&lt;&gt;""),ROW()-2,"")</f>
        <v/>
      </c>
      <c r="AE355">
        <f>IF(AND(OR('טכנו'!$C$3="הכל",Z355='טכנו'!$C$3,AA355='טכנו'!$C$3,AB355='טכנו'!$C$3,AC355='טכנו'!$C$3),OR('טכנו'!$C$4="הכל",A355='טכנו'!$C$4),D355&lt;&gt;""),ROW()-2,"")</f>
        <v/>
      </c>
    </row>
    <row r="356">
      <c r="E356">
        <f>IFERROR(INDEX('הגדרות'!$I:$I,MATCH(B356,'הגדרות'!$H:$H,0)),"")</f>
        <v/>
      </c>
      <c r="Z356">
        <f>IFERROR(VLOOKUP(H356,'הגדרות'!$A:$D,2,FALSE),"")</f>
        <v/>
      </c>
      <c r="AA356">
        <f>IFERROR(VLOOKUP(H356,'הגדרות'!$A:$D,3,FALSE),"")</f>
        <v/>
      </c>
      <c r="AB356">
        <f>IFERROR(VLOOKUP(I356,'הגדרות'!$A:$D,2,FALSE),"")</f>
        <v/>
      </c>
      <c r="AC356">
        <f>IFERROR(VLOOKUP(I356,'הגדרות'!$A:$D,3,FALSE),"")</f>
        <v/>
      </c>
      <c r="AD356">
        <f>IF(AND(OR('לוח בקרה'!$C$3="הכל",Z356='לוח בקרה'!$C$3,AA356='לוח בקרה'!$C$3,AB356='לוח בקרה'!$C$3,AC356='לוח בקרה'!$C$3),OR('לוח בקרה'!$C$4="הכל",A356='לוח בקרה'!$C$4),OR('לוח בקרה'!$C$5="הכל",T356='לוח בקרה'!$C$5),OR('לוח בקרה'!$C$6="הכל",H356='לוח בקרה'!$C$6,I356='לוח בקרה'!$C$6),OR('לוח בקרה'!$C$7="הכל",J356='לוח בקרה'!$C$7),OR('לוח בקרה'!$C$8="הכל",L356='לוח בקרה'!$C$8),OR('לוח בקרה'!$C$9="הכל",Q356='לוח בקרה'!$C$9),OR('לוח בקרה'!$C$10="הכל",F356='לוח בקרה'!$C$10,G356='לוח בקרה'!$C$10),D356&lt;&gt;""),ROW()-2,"")</f>
        <v/>
      </c>
      <c r="AE356">
        <f>IF(AND(OR('טכנו'!$C$3="הכל",Z356='טכנו'!$C$3,AA356='טכנו'!$C$3,AB356='טכנו'!$C$3,AC356='טכנו'!$C$3),OR('טכנו'!$C$4="הכל",A356='טכנו'!$C$4),D356&lt;&gt;""),ROW()-2,"")</f>
        <v/>
      </c>
    </row>
    <row r="357">
      <c r="E357">
        <f>IFERROR(INDEX('הגדרות'!$I:$I,MATCH(B357,'הגדרות'!$H:$H,0)),"")</f>
        <v/>
      </c>
      <c r="Z357">
        <f>IFERROR(VLOOKUP(H357,'הגדרות'!$A:$D,2,FALSE),"")</f>
        <v/>
      </c>
      <c r="AA357">
        <f>IFERROR(VLOOKUP(H357,'הגדרות'!$A:$D,3,FALSE),"")</f>
        <v/>
      </c>
      <c r="AB357">
        <f>IFERROR(VLOOKUP(I357,'הגדרות'!$A:$D,2,FALSE),"")</f>
        <v/>
      </c>
      <c r="AC357">
        <f>IFERROR(VLOOKUP(I357,'הגדרות'!$A:$D,3,FALSE),"")</f>
        <v/>
      </c>
      <c r="AD357">
        <f>IF(AND(OR('לוח בקרה'!$C$3="הכל",Z357='לוח בקרה'!$C$3,AA357='לוח בקרה'!$C$3,AB357='לוח בקרה'!$C$3,AC357='לוח בקרה'!$C$3),OR('לוח בקרה'!$C$4="הכל",A357='לוח בקרה'!$C$4),OR('לוח בקרה'!$C$5="הכל",T357='לוח בקרה'!$C$5),OR('לוח בקרה'!$C$6="הכל",H357='לוח בקרה'!$C$6,I357='לוח בקרה'!$C$6),OR('לוח בקרה'!$C$7="הכל",J357='לוח בקרה'!$C$7),OR('לוח בקרה'!$C$8="הכל",L357='לוח בקרה'!$C$8),OR('לוח בקרה'!$C$9="הכל",Q357='לוח בקרה'!$C$9),OR('לוח בקרה'!$C$10="הכל",F357='לוח בקרה'!$C$10,G357='לוח בקרה'!$C$10),D357&lt;&gt;""),ROW()-2,"")</f>
        <v/>
      </c>
      <c r="AE357">
        <f>IF(AND(OR('טכנו'!$C$3="הכל",Z357='טכנו'!$C$3,AA357='טכנו'!$C$3,AB357='טכנו'!$C$3,AC357='טכנו'!$C$3),OR('טכנו'!$C$4="הכל",A357='טכנו'!$C$4),D357&lt;&gt;""),ROW()-2,"")</f>
        <v/>
      </c>
    </row>
  </sheetData>
  <mergeCells count="6">
    <mergeCell ref="J1:O1"/>
    <mergeCell ref="H1:I1"/>
    <mergeCell ref="P1:Q1"/>
    <mergeCell ref="A1:E1"/>
    <mergeCell ref="V1:Y1"/>
    <mergeCell ref="F1:G1"/>
  </mergeCells>
  <dataValidations count="8">
    <dataValidation sqref="A3:A357" showDropDown="0" showInputMessage="0" showErrorMessage="0" allowBlank="1" type="list">
      <formula1>'הגדרות'!$G$2:$G$10</formula1>
    </dataValidation>
    <dataValidation sqref="F3:G357" showDropDown="0" showInputMessage="0" showErrorMessage="0" allowBlank="1" type="list">
      <formula1>'הגדרות'!$L$2:$L$18</formula1>
    </dataValidation>
    <dataValidation sqref="H3:I357" showDropDown="0" showInputMessage="0" showErrorMessage="0" allowBlank="1" type="list">
      <formula1>'הגדרות'!$M$2:$M$19</formula1>
    </dataValidation>
    <dataValidation sqref="J3:O357" showDropDown="0" showInputMessage="0" showErrorMessage="0" allowBlank="1" type="list">
      <formula1>'הגדרות'!$O$2:$O$4</formula1>
    </dataValidation>
    <dataValidation sqref="Q3:Q357" showDropDown="0" showInputMessage="0" showErrorMessage="0" allowBlank="1" type="list">
      <formula1>'הגדרות'!$O$2:$O$4</formula1>
    </dataValidation>
    <dataValidation sqref="S3:S357" showDropDown="0" showInputMessage="0" showErrorMessage="0" allowBlank="1" type="list">
      <formula1>'הגדרות'!$O$2:$O$4</formula1>
    </dataValidation>
    <dataValidation sqref="T3:T357" showDropDown="0" showInputMessage="0" showErrorMessage="0" allowBlank="1" type="list">
      <formula1>'הגדרות'!$N$2:$N$6</formula1>
    </dataValidation>
    <dataValidation sqref="R3:R357" showDropDown="0" showInputMessage="0" showErrorMessage="0" allowBlank="1" type="list">
      <formula1>'הגדרות'!$P$2:$P$9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4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10" customWidth="1" min="4" max="4"/>
    <col width="20" customWidth="1" min="6" max="6"/>
    <col width="22" customWidth="1" min="7" max="7"/>
    <col width="30" customWidth="1" min="8" max="8"/>
    <col width="12" customWidth="1" min="9" max="9"/>
    <col width="22" customWidth="1" min="10" max="10"/>
    <col width="24" customWidth="1" min="12" max="12"/>
    <col width="20" customWidth="1" min="13" max="13"/>
    <col width="20" customWidth="1" min="14" max="14"/>
    <col width="10" customWidth="1" min="15" max="15"/>
    <col width="10" customWidth="1" min="16" max="16"/>
    <col width="24" customWidth="1" min="18" max="18"/>
    <col width="30" customWidth="1" min="19" max="19"/>
  </cols>
  <sheetData>
    <row r="1">
      <c r="A1" s="4" t="inlineStr">
        <is>
          <t>הדפס</t>
        </is>
      </c>
      <c r="B1" s="4" t="inlineStr">
        <is>
          <t>סביבה ראשית</t>
        </is>
      </c>
      <c r="C1" s="4" t="inlineStr">
        <is>
          <t>סביבה משנית</t>
        </is>
      </c>
      <c r="D1" s="4" t="inlineStr">
        <is>
          <t>תמונה</t>
        </is>
      </c>
      <c r="F1" s="5" t="inlineStr">
        <is>
          <t>סביבות</t>
        </is>
      </c>
      <c r="G1" s="5" t="inlineStr">
        <is>
          <t>קווי מוצר</t>
        </is>
      </c>
      <c r="H1" s="4" t="inlineStr">
        <is>
          <t>מוצר</t>
        </is>
      </c>
      <c r="I1" s="4" t="inlineStr">
        <is>
          <t>מק"ט</t>
        </is>
      </c>
      <c r="J1" s="4" t="inlineStr">
        <is>
          <t>קו מוצר</t>
        </is>
      </c>
      <c r="L1" s="5" t="inlineStr">
        <is>
          <t>סוגי בד</t>
        </is>
      </c>
      <c r="M1" s="5" t="inlineStr">
        <is>
          <t>הדפסים</t>
        </is>
      </c>
      <c r="N1" s="4" t="inlineStr">
        <is>
          <t>סטטוסים</t>
        </is>
      </c>
      <c r="O1" s="5" t="inlineStr">
        <is>
          <t>כן/לא</t>
        </is>
      </c>
      <c r="P1" s="5" t="inlineStr">
        <is>
          <t>מידות</t>
        </is>
      </c>
      <c r="R1" s="4" t="inlineStr">
        <is>
          <t>מוצר תכולה</t>
        </is>
      </c>
      <c r="S1" s="4" t="inlineStr">
        <is>
          <t>תכולה סטנדרטית</t>
        </is>
      </c>
    </row>
    <row r="2">
      <c r="A2" t="inlineStr">
        <is>
          <t>Desert</t>
        </is>
      </c>
      <c r="B2" t="inlineStr">
        <is>
          <t>מדברי</t>
        </is>
      </c>
      <c r="F2" t="inlineStr">
        <is>
          <t>הכל</t>
        </is>
      </c>
      <c r="G2" t="inlineStr">
        <is>
          <t>הכל</t>
        </is>
      </c>
      <c r="H2" t="inlineStr">
        <is>
          <t>Hobey Elite</t>
        </is>
      </c>
      <c r="I2" t="inlineStr">
        <is>
          <t>7021-00</t>
        </is>
      </c>
      <c r="J2" t="inlineStr">
        <is>
          <t>OverGarment</t>
        </is>
      </c>
      <c r="L2" t="inlineStr">
        <is>
          <t>הכל</t>
        </is>
      </c>
      <c r="M2" t="inlineStr">
        <is>
          <t>הכל</t>
        </is>
      </c>
      <c r="N2" t="inlineStr">
        <is>
          <t>הכל</t>
        </is>
      </c>
      <c r="O2" t="inlineStr">
        <is>
          <t>הכל</t>
        </is>
      </c>
      <c r="P2" t="inlineStr">
        <is>
          <t>הכל</t>
        </is>
      </c>
    </row>
    <row r="3">
      <c r="A3" t="inlineStr">
        <is>
          <t>Desert-Green</t>
        </is>
      </c>
      <c r="B3" t="inlineStr">
        <is>
          <t>מדברי</t>
        </is>
      </c>
      <c r="F3" t="inlineStr">
        <is>
          <t>מדברי</t>
        </is>
      </c>
      <c r="G3" t="inlineStr">
        <is>
          <t>OverGarment</t>
        </is>
      </c>
      <c r="H3" t="inlineStr">
        <is>
          <t>Gal Suit</t>
        </is>
      </c>
      <c r="I3" t="inlineStr">
        <is>
          <t>7004-01</t>
        </is>
      </c>
      <c r="J3" t="inlineStr">
        <is>
          <t>OverGarment</t>
        </is>
      </c>
      <c r="L3" t="inlineStr">
        <is>
          <t>RIPSTOP</t>
        </is>
      </c>
      <c r="M3" t="inlineStr">
        <is>
          <t>Desert</t>
        </is>
      </c>
      <c r="N3" t="inlineStr">
        <is>
          <t>במלאי</t>
        </is>
      </c>
      <c r="O3" t="inlineStr">
        <is>
          <t>כן</t>
        </is>
      </c>
      <c r="P3" t="inlineStr">
        <is>
          <t>XS</t>
        </is>
      </c>
    </row>
    <row r="4">
      <c r="A4" t="inlineStr">
        <is>
          <t>Desert Coyote</t>
        </is>
      </c>
      <c r="B4" t="inlineStr">
        <is>
          <t>מדברי</t>
        </is>
      </c>
      <c r="F4" t="inlineStr">
        <is>
          <t>מיוער</t>
        </is>
      </c>
      <c r="G4" t="inlineStr">
        <is>
          <t>Hide Site</t>
        </is>
      </c>
      <c r="H4" t="inlineStr">
        <is>
          <t>Sniper Assault</t>
        </is>
      </c>
      <c r="I4" t="inlineStr">
        <is>
          <t>7033-00</t>
        </is>
      </c>
      <c r="J4" t="inlineStr">
        <is>
          <t>OverGarment</t>
        </is>
      </c>
      <c r="L4" t="inlineStr">
        <is>
          <t>Mesh</t>
        </is>
      </c>
      <c r="M4" t="inlineStr">
        <is>
          <t>Desert-Green</t>
        </is>
      </c>
      <c r="N4" t="inlineStr">
        <is>
          <t>בחדר תצוגה</t>
        </is>
      </c>
      <c r="O4" t="inlineStr">
        <is>
          <t>לא</t>
        </is>
      </c>
      <c r="P4" t="inlineStr">
        <is>
          <t>S</t>
        </is>
      </c>
    </row>
    <row r="5">
      <c r="A5" t="inlineStr">
        <is>
          <t>Sand</t>
        </is>
      </c>
      <c r="B5" t="inlineStr">
        <is>
          <t>מדברי</t>
        </is>
      </c>
      <c r="F5" t="inlineStr">
        <is>
          <t>שלג</t>
        </is>
      </c>
      <c r="G5" t="inlineStr">
        <is>
          <t>Platform Hide Site</t>
        </is>
      </c>
      <c r="H5" t="inlineStr">
        <is>
          <t>Poncho SRV</t>
        </is>
      </c>
      <c r="I5" t="inlineStr">
        <is>
          <t>7018-00</t>
        </is>
      </c>
      <c r="J5" t="inlineStr">
        <is>
          <t>OverGarment</t>
        </is>
      </c>
      <c r="L5" t="inlineStr">
        <is>
          <t>RIPSTOP Double Layer</t>
        </is>
      </c>
      <c r="M5" t="inlineStr">
        <is>
          <t>Desert Coyote</t>
        </is>
      </c>
      <c r="N5" t="inlineStr">
        <is>
          <t>מושאל</t>
        </is>
      </c>
      <c r="P5" t="inlineStr">
        <is>
          <t>M</t>
        </is>
      </c>
    </row>
    <row r="6">
      <c r="A6" t="inlineStr">
        <is>
          <t>Ever-Green</t>
        </is>
      </c>
      <c r="B6" t="inlineStr">
        <is>
          <t>מיוער</t>
        </is>
      </c>
      <c r="F6" t="inlineStr">
        <is>
          <t>ימי</t>
        </is>
      </c>
      <c r="G6" t="inlineStr">
        <is>
          <t>Uniform</t>
        </is>
      </c>
      <c r="H6" t="inlineStr">
        <is>
          <t>Poncho Inbar</t>
        </is>
      </c>
      <c r="I6" t="inlineStr">
        <is>
          <t>7030-01</t>
        </is>
      </c>
      <c r="J6" t="inlineStr">
        <is>
          <t>OverGarment</t>
        </is>
      </c>
      <c r="L6" t="inlineStr">
        <is>
          <t>3D</t>
        </is>
      </c>
      <c r="M6" t="inlineStr">
        <is>
          <t>Sand</t>
        </is>
      </c>
      <c r="N6" t="inlineStr">
        <is>
          <t>בתיק הדגמה</t>
        </is>
      </c>
      <c r="P6" t="inlineStr">
        <is>
          <t>L</t>
        </is>
      </c>
    </row>
    <row r="7">
      <c r="A7" t="inlineStr">
        <is>
          <t>Forest Green</t>
        </is>
      </c>
      <c r="B7" t="inlineStr">
        <is>
          <t>מיוער</t>
        </is>
      </c>
      <c r="F7" t="inlineStr">
        <is>
          <t>בולדר/שטח בנוי</t>
        </is>
      </c>
      <c r="G7" t="inlineStr">
        <is>
          <t>Blankets</t>
        </is>
      </c>
      <c r="H7" t="inlineStr">
        <is>
          <t>Poncho Sahar</t>
        </is>
      </c>
      <c r="I7" t="inlineStr">
        <is>
          <t>7031-01</t>
        </is>
      </c>
      <c r="J7" t="inlineStr">
        <is>
          <t>OverGarment</t>
        </is>
      </c>
      <c r="L7" t="inlineStr">
        <is>
          <t>LOKI Material</t>
        </is>
      </c>
      <c r="M7" t="inlineStr">
        <is>
          <t>Ever-Green</t>
        </is>
      </c>
      <c r="P7" t="inlineStr">
        <is>
          <t>XL</t>
        </is>
      </c>
    </row>
    <row r="8">
      <c r="A8" t="inlineStr">
        <is>
          <t>Kestrel</t>
        </is>
      </c>
      <c r="B8" t="inlineStr">
        <is>
          <t>מיוער</t>
        </is>
      </c>
      <c r="F8" t="inlineStr">
        <is>
          <t>אחר</t>
        </is>
      </c>
      <c r="G8" t="inlineStr">
        <is>
          <t>Urban</t>
        </is>
      </c>
      <c r="H8" t="inlineStr">
        <is>
          <t>Poncho Sahar 3D</t>
        </is>
      </c>
      <c r="J8" t="inlineStr">
        <is>
          <t>OverGarment</t>
        </is>
      </c>
      <c r="L8" t="inlineStr">
        <is>
          <t>WaterProof Blackout Fabric</t>
        </is>
      </c>
      <c r="M8" t="inlineStr">
        <is>
          <t>Forest Green</t>
        </is>
      </c>
      <c r="P8" t="inlineStr">
        <is>
          <t>XXL</t>
        </is>
      </c>
    </row>
    <row r="9">
      <c r="A9" t="inlineStr">
        <is>
          <t>Woodland</t>
        </is>
      </c>
      <c r="B9" t="inlineStr">
        <is>
          <t>מיוער</t>
        </is>
      </c>
      <c r="G9" t="inlineStr">
        <is>
          <t>Platform On-The-Move</t>
        </is>
      </c>
      <c r="H9" t="inlineStr">
        <is>
          <t>Poncho Inbar 3D</t>
        </is>
      </c>
      <c r="J9" t="inlineStr">
        <is>
          <t>OverGarment</t>
        </is>
      </c>
      <c r="L9" t="inlineStr">
        <is>
          <t>Beti</t>
        </is>
      </c>
      <c r="M9" t="inlineStr">
        <is>
          <t>Kestrel</t>
        </is>
      </c>
      <c r="P9" t="inlineStr">
        <is>
          <t>XXXL</t>
        </is>
      </c>
    </row>
    <row r="10">
      <c r="A10" t="inlineStr">
        <is>
          <t>Woodland Brown</t>
        </is>
      </c>
      <c r="B10" t="inlineStr">
        <is>
          <t>מיוער</t>
        </is>
      </c>
      <c r="G10" t="inlineStr">
        <is>
          <t>Accessories</t>
        </is>
      </c>
      <c r="H10" t="inlineStr">
        <is>
          <t>SWAT 3-Part SUIT</t>
        </is>
      </c>
      <c r="I10" t="inlineStr">
        <is>
          <t>9097-00</t>
        </is>
      </c>
      <c r="J10" t="inlineStr">
        <is>
          <t>OverGarment</t>
        </is>
      </c>
      <c r="L10" t="inlineStr">
        <is>
          <t>MRG</t>
        </is>
      </c>
      <c r="M10" t="inlineStr">
        <is>
          <t>Woodland</t>
        </is>
      </c>
    </row>
    <row r="11">
      <c r="A11" t="inlineStr">
        <is>
          <t>Urban Green</t>
        </is>
      </c>
      <c r="B11" t="inlineStr">
        <is>
          <t>מיוער</t>
        </is>
      </c>
      <c r="C11" t="inlineStr">
        <is>
          <t>בולדר/שטח בנוי</t>
        </is>
      </c>
      <c r="H11" t="inlineStr">
        <is>
          <t>May Suit</t>
        </is>
      </c>
      <c r="I11" t="inlineStr">
        <is>
          <t>7040-01</t>
        </is>
      </c>
      <c r="J11" t="inlineStr">
        <is>
          <t>OverGarment</t>
        </is>
      </c>
      <c r="L11" t="inlineStr">
        <is>
          <t>רשת רכב</t>
        </is>
      </c>
      <c r="M11" t="inlineStr">
        <is>
          <t>Woodland Brown</t>
        </is>
      </c>
    </row>
    <row r="12">
      <c r="A12" t="inlineStr">
        <is>
          <t>Snirt Snow</t>
        </is>
      </c>
      <c r="B12" t="inlineStr">
        <is>
          <t>שלג</t>
        </is>
      </c>
      <c r="H12" t="inlineStr">
        <is>
          <t>May Long Shirt</t>
        </is>
      </c>
      <c r="J12" t="inlineStr">
        <is>
          <t>OverGarment</t>
        </is>
      </c>
      <c r="L12" t="inlineStr">
        <is>
          <t>SMT</t>
        </is>
      </c>
      <c r="M12" t="inlineStr">
        <is>
          <t>Urban Green</t>
        </is>
      </c>
    </row>
    <row r="13">
      <c r="A13" t="inlineStr">
        <is>
          <t>Fresh Snow</t>
        </is>
      </c>
      <c r="B13" t="inlineStr">
        <is>
          <t>שלג</t>
        </is>
      </c>
      <c r="H13" t="inlineStr">
        <is>
          <t>Arctic Jacket</t>
        </is>
      </c>
      <c r="I13" t="inlineStr">
        <is>
          <t>7051-00</t>
        </is>
      </c>
      <c r="J13" t="inlineStr">
        <is>
          <t>OverGarment</t>
        </is>
      </c>
      <c r="L13" t="inlineStr">
        <is>
          <t>Meron</t>
        </is>
      </c>
      <c r="M13" t="inlineStr">
        <is>
          <t>Snirt Snow</t>
        </is>
      </c>
    </row>
    <row r="14">
      <c r="A14" t="inlineStr">
        <is>
          <t>Marine</t>
        </is>
      </c>
      <c r="B14" t="inlineStr">
        <is>
          <t>ימי</t>
        </is>
      </c>
      <c r="H14" t="inlineStr">
        <is>
          <t>Arctic Overpants</t>
        </is>
      </c>
      <c r="I14" t="inlineStr">
        <is>
          <t>7052-00</t>
        </is>
      </c>
      <c r="J14" t="inlineStr">
        <is>
          <t>OverGarment</t>
        </is>
      </c>
      <c r="L14" t="inlineStr">
        <is>
          <t>Arber</t>
        </is>
      </c>
      <c r="M14" t="inlineStr">
        <is>
          <t>Fresh Snow</t>
        </is>
      </c>
    </row>
    <row r="15">
      <c r="A15" t="inlineStr">
        <is>
          <t>Urban</t>
        </is>
      </c>
      <c r="B15" t="inlineStr">
        <is>
          <t>בולדר/שטח בנוי</t>
        </is>
      </c>
      <c r="H15" t="inlineStr">
        <is>
          <t>Arctic Poncho SRV</t>
        </is>
      </c>
      <c r="J15" t="inlineStr">
        <is>
          <t>OverGarment</t>
        </is>
      </c>
      <c r="L15" t="inlineStr">
        <is>
          <t>IRR</t>
        </is>
      </c>
      <c r="M15" t="inlineStr">
        <is>
          <t>Marine</t>
        </is>
      </c>
    </row>
    <row r="16">
      <c r="A16" t="inlineStr">
        <is>
          <t>Boulder</t>
        </is>
      </c>
      <c r="B16" t="inlineStr">
        <is>
          <t>בולדר/שטח בנוי</t>
        </is>
      </c>
      <c r="H16" t="inlineStr">
        <is>
          <t>Arctic Gaiters</t>
        </is>
      </c>
      <c r="J16" t="inlineStr">
        <is>
          <t>OverGarment</t>
        </is>
      </c>
      <c r="L16" t="inlineStr">
        <is>
          <t>Stretch</t>
        </is>
      </c>
      <c r="M16" t="inlineStr">
        <is>
          <t>Urban</t>
        </is>
      </c>
    </row>
    <row r="17">
      <c r="A17" t="inlineStr">
        <is>
          <t>NATO</t>
        </is>
      </c>
      <c r="B17" t="inlineStr">
        <is>
          <t>מיוער</t>
        </is>
      </c>
      <c r="H17" t="inlineStr">
        <is>
          <t>Arctic Suit</t>
        </is>
      </c>
      <c r="J17" t="inlineStr">
        <is>
          <t>OverGarment</t>
        </is>
      </c>
      <c r="L17" t="inlineStr">
        <is>
          <t>Durable</t>
        </is>
      </c>
      <c r="M17" t="inlineStr">
        <is>
          <t>Boulder</t>
        </is>
      </c>
    </row>
    <row r="18">
      <c r="A18" t="inlineStr">
        <is>
          <t>Kestrel (אמריקאי)</t>
        </is>
      </c>
      <c r="B18" t="inlineStr">
        <is>
          <t>מיוער</t>
        </is>
      </c>
      <c r="H18" t="inlineStr">
        <is>
          <t>Gaiters</t>
        </is>
      </c>
      <c r="I18" t="inlineStr">
        <is>
          <t>5004-00</t>
        </is>
      </c>
      <c r="J18" t="inlineStr">
        <is>
          <t>OverGarment</t>
        </is>
      </c>
      <c r="L18" t="inlineStr">
        <is>
          <t>אחר</t>
        </is>
      </c>
      <c r="M18" t="inlineStr">
        <is>
          <t>NATO</t>
        </is>
      </c>
    </row>
    <row r="19">
      <c r="H19" t="inlineStr">
        <is>
          <t>Survival Blanket</t>
        </is>
      </c>
      <c r="I19" t="inlineStr">
        <is>
          <t>9021-00</t>
        </is>
      </c>
      <c r="J19" t="inlineStr">
        <is>
          <t>Blankets</t>
        </is>
      </c>
      <c r="M19" t="inlineStr">
        <is>
          <t>Kestrel (אמריקאי)</t>
        </is>
      </c>
    </row>
    <row r="20">
      <c r="H20" t="inlineStr">
        <is>
          <t>Water Proof Survival Blanket</t>
        </is>
      </c>
      <c r="I20" t="inlineStr">
        <is>
          <t>9028-00</t>
        </is>
      </c>
      <c r="J20" t="inlineStr">
        <is>
          <t>Blankets</t>
        </is>
      </c>
    </row>
    <row r="21">
      <c r="H21" t="inlineStr">
        <is>
          <t>Water Proof Sniper Blanket</t>
        </is>
      </c>
      <c r="I21" t="inlineStr">
        <is>
          <t>9062-00</t>
        </is>
      </c>
      <c r="J21" t="inlineStr">
        <is>
          <t>Blankets</t>
        </is>
      </c>
    </row>
    <row r="22">
      <c r="H22" t="inlineStr">
        <is>
          <t>3D Survival Blanket</t>
        </is>
      </c>
      <c r="I22" t="inlineStr">
        <is>
          <t>9029-00</t>
        </is>
      </c>
      <c r="J22" t="inlineStr">
        <is>
          <t>Blankets</t>
        </is>
      </c>
    </row>
    <row r="23">
      <c r="H23" t="inlineStr">
        <is>
          <t>Arctic Survival Blanket</t>
        </is>
      </c>
      <c r="J23" t="inlineStr">
        <is>
          <t>Blankets</t>
        </is>
      </c>
    </row>
    <row r="24">
      <c r="H24" t="inlineStr">
        <is>
          <t>IPS</t>
        </is>
      </c>
      <c r="I24" t="inlineStr">
        <is>
          <t>3007-00</t>
        </is>
      </c>
      <c r="J24" t="inlineStr">
        <is>
          <t>Blankets</t>
        </is>
      </c>
    </row>
    <row r="25">
      <c r="H25" t="inlineStr">
        <is>
          <t>Survival Blanket: Loki</t>
        </is>
      </c>
      <c r="J25" t="inlineStr">
        <is>
          <t>Blankets</t>
        </is>
      </c>
    </row>
    <row r="26">
      <c r="H26" t="inlineStr">
        <is>
          <t>יריעת החשכה</t>
        </is>
      </c>
      <c r="J26" t="inlineStr">
        <is>
          <t>Blankets</t>
        </is>
      </c>
    </row>
    <row r="27">
      <c r="H27" t="inlineStr">
        <is>
          <t>Operators HS</t>
        </is>
      </c>
      <c r="I27" t="inlineStr">
        <is>
          <t>9001-00</t>
        </is>
      </c>
      <c r="J27" t="inlineStr">
        <is>
          <t>Hide Site</t>
        </is>
      </c>
    </row>
    <row r="28">
      <c r="H28" t="inlineStr">
        <is>
          <t>OverWatch (ATGM) HS</t>
        </is>
      </c>
      <c r="I28" t="inlineStr">
        <is>
          <t>9004-01</t>
        </is>
      </c>
      <c r="J28" t="inlineStr">
        <is>
          <t>Hide Site</t>
        </is>
      </c>
    </row>
    <row r="29">
      <c r="H29" t="inlineStr">
        <is>
          <t>6X6 Hide Site</t>
        </is>
      </c>
      <c r="I29" t="inlineStr">
        <is>
          <t>9095-00</t>
        </is>
      </c>
      <c r="J29" t="inlineStr">
        <is>
          <t>Hide Site</t>
        </is>
      </c>
    </row>
    <row r="30">
      <c r="H30" t="inlineStr">
        <is>
          <t>עמדת חוד</t>
        </is>
      </c>
      <c r="J30" t="inlineStr">
        <is>
          <t>Hide Site</t>
        </is>
      </c>
    </row>
    <row r="31">
      <c r="H31" t="inlineStr">
        <is>
          <t>Window Kit</t>
        </is>
      </c>
      <c r="I31" t="inlineStr">
        <is>
          <t>9083-00</t>
        </is>
      </c>
      <c r="J31" t="inlineStr">
        <is>
          <t>Urban</t>
        </is>
      </c>
    </row>
    <row r="32">
      <c r="H32" t="inlineStr">
        <is>
          <t>Balaclava</t>
        </is>
      </c>
      <c r="I32" t="inlineStr">
        <is>
          <t>8006-00</t>
        </is>
      </c>
      <c r="J32" t="inlineStr">
        <is>
          <t>Uniform</t>
        </is>
      </c>
    </row>
    <row r="33">
      <c r="H33" t="inlineStr">
        <is>
          <t>Gaiters</t>
        </is>
      </c>
      <c r="I33" t="inlineStr">
        <is>
          <t>5004-00</t>
        </is>
      </c>
      <c r="J33" t="inlineStr">
        <is>
          <t>Uniform</t>
        </is>
      </c>
    </row>
    <row r="34">
      <c r="H34" t="inlineStr">
        <is>
          <t>Headcover</t>
        </is>
      </c>
      <c r="I34" t="inlineStr">
        <is>
          <t>8030-00</t>
        </is>
      </c>
      <c r="J34" t="inlineStr">
        <is>
          <t>Uniform</t>
        </is>
      </c>
    </row>
    <row r="35">
      <c r="H35" t="inlineStr">
        <is>
          <t>Boonie hat</t>
        </is>
      </c>
      <c r="I35" t="inlineStr">
        <is>
          <t>7022-00</t>
        </is>
      </c>
      <c r="J35" t="inlineStr">
        <is>
          <t>Uniform</t>
        </is>
      </c>
    </row>
    <row r="36">
      <c r="H36" t="inlineStr">
        <is>
          <t>Vest cover</t>
        </is>
      </c>
      <c r="I36" t="inlineStr">
        <is>
          <t>7017-00</t>
        </is>
      </c>
      <c r="J36" t="inlineStr">
        <is>
          <t>Uniform</t>
        </is>
      </c>
    </row>
    <row r="37">
      <c r="H37" t="inlineStr">
        <is>
          <t>Pants</t>
        </is>
      </c>
      <c r="J37" t="inlineStr">
        <is>
          <t>Uniform</t>
        </is>
      </c>
    </row>
    <row r="38">
      <c r="H38" t="inlineStr">
        <is>
          <t>Shirt</t>
        </is>
      </c>
      <c r="J38" t="inlineStr">
        <is>
          <t>Uniform</t>
        </is>
      </c>
    </row>
    <row r="39">
      <c r="H39" t="inlineStr">
        <is>
          <t>LC79</t>
        </is>
      </c>
      <c r="I39" t="inlineStr">
        <is>
          <t>9026-00</t>
        </is>
      </c>
      <c r="J39" t="inlineStr">
        <is>
          <t>Platform Hide Site</t>
        </is>
      </c>
    </row>
    <row r="40">
      <c r="H40" t="inlineStr">
        <is>
          <t>Vehicle hide site 9*12</t>
        </is>
      </c>
      <c r="I40" t="inlineStr">
        <is>
          <t>9090-00</t>
        </is>
      </c>
      <c r="J40" t="inlineStr">
        <is>
          <t>Platform Hide Site</t>
        </is>
      </c>
    </row>
    <row r="41">
      <c r="H41" t="inlineStr">
        <is>
          <t>Vehicle hide site 9*13</t>
        </is>
      </c>
      <c r="I41" t="inlineStr">
        <is>
          <t>9093-00</t>
        </is>
      </c>
      <c r="J41" t="inlineStr">
        <is>
          <t>Platform Hide Site</t>
        </is>
      </c>
    </row>
    <row r="42">
      <c r="H42" t="inlineStr">
        <is>
          <t>CMM 7.5*7.5</t>
        </is>
      </c>
      <c r="I42" t="inlineStr">
        <is>
          <t>3052-00</t>
        </is>
      </c>
      <c r="J42" t="inlineStr">
        <is>
          <t>Platform Hide Site</t>
        </is>
      </c>
    </row>
    <row r="43">
      <c r="H43" t="inlineStr">
        <is>
          <t>CMM 10*10</t>
        </is>
      </c>
      <c r="I43" t="inlineStr">
        <is>
          <t>3077-05</t>
        </is>
      </c>
      <c r="J43" t="inlineStr">
        <is>
          <t>Platform Hide Site</t>
        </is>
      </c>
    </row>
    <row r="44">
      <c r="H44" t="inlineStr">
        <is>
          <t>Zodiac Shore Cover</t>
        </is>
      </c>
      <c r="I44" t="inlineStr">
        <is>
          <t>3005-00</t>
        </is>
      </c>
      <c r="J44" t="inlineStr">
        <is>
          <t>Platform Hide Site</t>
        </is>
      </c>
    </row>
    <row r="45">
      <c r="H45" t="inlineStr">
        <is>
          <t>MRZR cover</t>
        </is>
      </c>
      <c r="I45" t="inlineStr">
        <is>
          <t>3003-00</t>
        </is>
      </c>
      <c r="J45" t="inlineStr">
        <is>
          <t>Platform Hide Site</t>
        </is>
      </c>
    </row>
    <row r="46">
      <c r="H46" t="inlineStr">
        <is>
          <t>רשת הצללה</t>
        </is>
      </c>
      <c r="J46" t="inlineStr">
        <is>
          <t>Platform Hide Site</t>
        </is>
      </c>
    </row>
    <row r="47">
      <c r="H47" t="inlineStr">
        <is>
          <t>GMV</t>
        </is>
      </c>
      <c r="J47" t="inlineStr">
        <is>
          <t>Platform Hide Site</t>
        </is>
      </c>
    </row>
    <row r="48">
      <c r="H48" t="inlineStr">
        <is>
          <t>Blackout hood</t>
        </is>
      </c>
      <c r="I48" t="inlineStr">
        <is>
          <t>9089-00</t>
        </is>
      </c>
      <c r="J48" t="inlineStr">
        <is>
          <t>Accessories</t>
        </is>
      </c>
    </row>
    <row r="49">
      <c r="H49" t="inlineStr">
        <is>
          <t>Thermal drone landing pad</t>
        </is>
      </c>
      <c r="I49" t="inlineStr">
        <is>
          <t>9077-00</t>
        </is>
      </c>
      <c r="J49" t="inlineStr">
        <is>
          <t>Accessories</t>
        </is>
      </c>
    </row>
    <row r="50">
      <c r="H50" t="inlineStr">
        <is>
          <t>Bag cover 90L</t>
        </is>
      </c>
      <c r="I50" t="inlineStr">
        <is>
          <t>7009-01</t>
        </is>
      </c>
      <c r="J50" t="inlineStr">
        <is>
          <t>Accessories</t>
        </is>
      </c>
    </row>
    <row r="51">
      <c r="H51" t="inlineStr">
        <is>
          <t>Weapon Wraps</t>
        </is>
      </c>
      <c r="I51" t="inlineStr">
        <is>
          <t>5001-00</t>
        </is>
      </c>
      <c r="J51" t="inlineStr">
        <is>
          <t>Accessories</t>
        </is>
      </c>
    </row>
    <row r="52">
      <c r="H52" t="inlineStr">
        <is>
          <t>Loki</t>
        </is>
      </c>
      <c r="J52" t="inlineStr">
        <is>
          <t>Platform On-The-Move</t>
        </is>
      </c>
    </row>
    <row r="53">
      <c r="H53" t="inlineStr">
        <is>
          <t>HS Floor</t>
        </is>
      </c>
      <c r="J53" t="inlineStr">
        <is>
          <t>Accessories</t>
        </is>
      </c>
    </row>
    <row r="54">
      <c r="H54" t="inlineStr">
        <is>
          <t>חלקים של עמדות</t>
        </is>
      </c>
      <c r="J54" t="inlineStr">
        <is>
          <t>Accessories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22" customWidth="1" min="3" max="3"/>
    <col width="18" customWidth="1" min="4" max="4"/>
    <col width="18" customWidth="1" min="5" max="5"/>
    <col width="12" customWidth="1" min="6" max="6"/>
    <col width="16" customWidth="1" min="7" max="7"/>
    <col width="14" customWidth="1" min="8" max="8"/>
    <col width="14" customWidth="1" min="9" max="9"/>
    <col width="14" customWidth="1" min="10" max="10"/>
    <col width="12" customWidth="1" min="11" max="11"/>
    <col width="14" customWidth="1" min="12" max="12"/>
    <col width="18" customWidth="1" min="13" max="13"/>
  </cols>
  <sheetData>
    <row r="1">
      <c r="A1" s="6" t="inlineStr">
        <is>
          <t>השאלות פעילות – מושאלים נוכחיים</t>
        </is>
      </c>
    </row>
    <row r="3">
      <c r="A3" s="7" t="inlineStr">
        <is>
          <t>הטבלה נטענת אוטומטית מגיליון המלאי (סטטוס=מושאל). עדכן סטטוס בגיליון המלאי כדי לרענן.</t>
        </is>
      </c>
    </row>
    <row r="4" ht="28" customHeight="1">
      <c r="A4" s="1" t="inlineStr">
        <is>
          <t>מס'</t>
        </is>
      </c>
      <c r="B4" s="1" t="inlineStr">
        <is>
          <t>מזהה</t>
        </is>
      </c>
      <c r="C4" s="1" t="inlineStr">
        <is>
          <t>שם מוצר</t>
        </is>
      </c>
      <c r="D4" s="1" t="inlineStr">
        <is>
          <t>קו מוצר</t>
        </is>
      </c>
      <c r="E4" s="1" t="inlineStr">
        <is>
          <t>מושאל ל</t>
        </is>
      </c>
      <c r="F4" s="1" t="inlineStr">
        <is>
          <t>מדינה</t>
        </is>
      </c>
      <c r="G4" s="1" t="inlineStr">
        <is>
          <t>אחראי</t>
        </is>
      </c>
      <c r="H4" s="1" t="inlineStr">
        <is>
          <t>תאריך השאלה</t>
        </is>
      </c>
      <c r="I4" s="1" t="inlineStr">
        <is>
          <t>החזרה משוערת</t>
        </is>
      </c>
      <c r="J4" s="1" t="inlineStr">
        <is>
          <t>החזרה בפועל</t>
        </is>
      </c>
      <c r="K4" s="1" t="inlineStr">
        <is>
          <t>סטטוס</t>
        </is>
      </c>
      <c r="L4" s="1" t="inlineStr">
        <is>
          <t>התראה</t>
        </is>
      </c>
      <c r="M4" s="1" t="inlineStr">
        <is>
          <t>הערות</t>
        </is>
      </c>
    </row>
    <row r="5">
      <c r="A5">
        <f>IF(B5="","",1)</f>
        <v/>
      </c>
      <c r="B5">
        <f>IFERROR(INDEX('מלאי'!$D$3:$D$357,AGGREGATE(15,6,(ROW('מלאי'!$D$3:$D$357)-ROW('מלאי'!$D$3)+1)/('מלאי'!$T$3:$T$357="מושאל"),1)),"")</f>
        <v/>
      </c>
      <c r="C5">
        <f>IF(B5="","",IFERROR(INDEX('מלאי'!$B$3:$B$357,MATCH(B5,'מלאי'!$D$3:$D$357,0)),""))</f>
        <v/>
      </c>
      <c r="D5">
        <f>IF(B5="","",IFERROR(INDEX('מלאי'!$A$3:$A$357,MATCH(B5,'מלאי'!$D$3:$D$357,0)),""))</f>
        <v/>
      </c>
      <c r="E5">
        <f>IF(B5="","",IFERROR(INDEX('מלאי'!$V$3:$V$357,MATCH(B5,'מלאי'!$D$3:$D$357,0)),""))</f>
        <v/>
      </c>
      <c r="F5">
        <f>IF(B5="","",IFERROR(INDEX('מלאי'!$W$3:$W$357,MATCH(B5,'מלאי'!$D$3:$D$357,0)),""))</f>
        <v/>
      </c>
      <c r="G5">
        <f>IF(B5="","",IFERROR(INDEX('מלאי'!$X$3:$X$357,MATCH(B5,'מלאי'!$D$3:$D$357,0)),""))</f>
        <v/>
      </c>
      <c r="I5">
        <f>IF(B5="","",IFERROR(INDEX('מלאי'!$Y$3:$Y$357,MATCH(B5,'מלאי'!$D$3:$D$357,0)),""))</f>
        <v/>
      </c>
      <c r="K5">
        <f>IF(B5="","",IF(J5&lt;&gt;"","הוחזר","פעיל"))</f>
        <v/>
      </c>
      <c r="L5">
        <f>IF(AND(K5="פעיל",I5&lt;&gt;""),"עדיין מושאל","")</f>
        <v/>
      </c>
    </row>
    <row r="6">
      <c r="A6">
        <f>IF(B6="","",2)</f>
        <v/>
      </c>
      <c r="B6">
        <f>IFERROR(INDEX('מלאי'!$D$3:$D$357,AGGREGATE(15,6,(ROW('מלאי'!$D$3:$D$357)-ROW('מלאי'!$D$3)+1)/('מלאי'!$T$3:$T$357="מושאל"),2)),"")</f>
        <v/>
      </c>
      <c r="C6">
        <f>IF(B6="","",IFERROR(INDEX('מלאי'!$B$3:$B$357,MATCH(B6,'מלאי'!$D$3:$D$357,0)),""))</f>
        <v/>
      </c>
      <c r="D6">
        <f>IF(B6="","",IFERROR(INDEX('מלאי'!$A$3:$A$357,MATCH(B6,'מלאי'!$D$3:$D$357,0)),""))</f>
        <v/>
      </c>
      <c r="E6">
        <f>IF(B6="","",IFERROR(INDEX('מלאי'!$V$3:$V$357,MATCH(B6,'מלאי'!$D$3:$D$357,0)),""))</f>
        <v/>
      </c>
      <c r="F6">
        <f>IF(B6="","",IFERROR(INDEX('מלאי'!$W$3:$W$357,MATCH(B6,'מלאי'!$D$3:$D$357,0)),""))</f>
        <v/>
      </c>
      <c r="G6">
        <f>IF(B6="","",IFERROR(INDEX('מלאי'!$X$3:$X$357,MATCH(B6,'מלאי'!$D$3:$D$357,0)),""))</f>
        <v/>
      </c>
      <c r="I6">
        <f>IF(B6="","",IFERROR(INDEX('מלאי'!$Y$3:$Y$357,MATCH(B6,'מלאי'!$D$3:$D$357,0)),""))</f>
        <v/>
      </c>
      <c r="K6">
        <f>IF(B6="","",IF(J6&lt;&gt;"","הוחזר","פעיל"))</f>
        <v/>
      </c>
      <c r="L6">
        <f>IF(AND(K6="פעיל",I6&lt;&gt;""),"עדיין מושאל","")</f>
        <v/>
      </c>
    </row>
    <row r="7">
      <c r="A7">
        <f>IF(B7="","",3)</f>
        <v/>
      </c>
      <c r="B7">
        <f>IFERROR(INDEX('מלאי'!$D$3:$D$357,AGGREGATE(15,6,(ROW('מלאי'!$D$3:$D$357)-ROW('מלאי'!$D$3)+1)/('מלאי'!$T$3:$T$357="מושאל"),3)),"")</f>
        <v/>
      </c>
      <c r="C7">
        <f>IF(B7="","",IFERROR(INDEX('מלאי'!$B$3:$B$357,MATCH(B7,'מלאי'!$D$3:$D$357,0)),""))</f>
        <v/>
      </c>
      <c r="D7">
        <f>IF(B7="","",IFERROR(INDEX('מלאי'!$A$3:$A$357,MATCH(B7,'מלאי'!$D$3:$D$357,0)),""))</f>
        <v/>
      </c>
      <c r="E7">
        <f>IF(B7="","",IFERROR(INDEX('מלאי'!$V$3:$V$357,MATCH(B7,'מלאי'!$D$3:$D$357,0)),""))</f>
        <v/>
      </c>
      <c r="F7">
        <f>IF(B7="","",IFERROR(INDEX('מלאי'!$W$3:$W$357,MATCH(B7,'מלאי'!$D$3:$D$357,0)),""))</f>
        <v/>
      </c>
      <c r="G7">
        <f>IF(B7="","",IFERROR(INDEX('מלאי'!$X$3:$X$357,MATCH(B7,'מלאי'!$D$3:$D$357,0)),""))</f>
        <v/>
      </c>
      <c r="I7">
        <f>IF(B7="","",IFERROR(INDEX('מלאי'!$Y$3:$Y$357,MATCH(B7,'מלאי'!$D$3:$D$357,0)),""))</f>
        <v/>
      </c>
      <c r="K7">
        <f>IF(B7="","",IF(J7&lt;&gt;"","הוחזר","פעיל"))</f>
        <v/>
      </c>
      <c r="L7">
        <f>IF(AND(K7="פעיל",I7&lt;&gt;""),"עדיין מושאל","")</f>
        <v/>
      </c>
    </row>
    <row r="8">
      <c r="A8">
        <f>IF(B8="","",4)</f>
        <v/>
      </c>
      <c r="B8">
        <f>IFERROR(INDEX('מלאי'!$D$3:$D$357,AGGREGATE(15,6,(ROW('מלאי'!$D$3:$D$357)-ROW('מלאי'!$D$3)+1)/('מלאי'!$T$3:$T$357="מושאל"),4)),"")</f>
        <v/>
      </c>
      <c r="C8">
        <f>IF(B8="","",IFERROR(INDEX('מלאי'!$B$3:$B$357,MATCH(B8,'מלאי'!$D$3:$D$357,0)),""))</f>
        <v/>
      </c>
      <c r="D8">
        <f>IF(B8="","",IFERROR(INDEX('מלאי'!$A$3:$A$357,MATCH(B8,'מלאי'!$D$3:$D$357,0)),""))</f>
        <v/>
      </c>
      <c r="E8">
        <f>IF(B8="","",IFERROR(INDEX('מלאי'!$V$3:$V$357,MATCH(B8,'מלאי'!$D$3:$D$357,0)),""))</f>
        <v/>
      </c>
      <c r="F8">
        <f>IF(B8="","",IFERROR(INDEX('מלאי'!$W$3:$W$357,MATCH(B8,'מלאי'!$D$3:$D$357,0)),""))</f>
        <v/>
      </c>
      <c r="G8">
        <f>IF(B8="","",IFERROR(INDEX('מלאי'!$X$3:$X$357,MATCH(B8,'מלאי'!$D$3:$D$357,0)),""))</f>
        <v/>
      </c>
      <c r="I8">
        <f>IF(B8="","",IFERROR(INDEX('מלאי'!$Y$3:$Y$357,MATCH(B8,'מלאי'!$D$3:$D$357,0)),""))</f>
        <v/>
      </c>
      <c r="K8">
        <f>IF(B8="","",IF(J8&lt;&gt;"","הוחזר","פעיל"))</f>
        <v/>
      </c>
      <c r="L8">
        <f>IF(AND(K8="פעיל",I8&lt;&gt;""),"עדיין מושאל","")</f>
        <v/>
      </c>
    </row>
    <row r="9">
      <c r="A9">
        <f>IF(B9="","",5)</f>
        <v/>
      </c>
      <c r="B9">
        <f>IFERROR(INDEX('מלאי'!$D$3:$D$357,AGGREGATE(15,6,(ROW('מלאי'!$D$3:$D$357)-ROW('מלאי'!$D$3)+1)/('מלאי'!$T$3:$T$357="מושאל"),5)),"")</f>
        <v/>
      </c>
      <c r="C9">
        <f>IF(B9="","",IFERROR(INDEX('מלאי'!$B$3:$B$357,MATCH(B9,'מלאי'!$D$3:$D$357,0)),""))</f>
        <v/>
      </c>
      <c r="D9">
        <f>IF(B9="","",IFERROR(INDEX('מלאי'!$A$3:$A$357,MATCH(B9,'מלאי'!$D$3:$D$357,0)),""))</f>
        <v/>
      </c>
      <c r="E9">
        <f>IF(B9="","",IFERROR(INDEX('מלאי'!$V$3:$V$357,MATCH(B9,'מלאי'!$D$3:$D$357,0)),""))</f>
        <v/>
      </c>
      <c r="F9">
        <f>IF(B9="","",IFERROR(INDEX('מלאי'!$W$3:$W$357,MATCH(B9,'מלאי'!$D$3:$D$357,0)),""))</f>
        <v/>
      </c>
      <c r="G9">
        <f>IF(B9="","",IFERROR(INDEX('מלאי'!$X$3:$X$357,MATCH(B9,'מלאי'!$D$3:$D$357,0)),""))</f>
        <v/>
      </c>
      <c r="I9">
        <f>IF(B9="","",IFERROR(INDEX('מלאי'!$Y$3:$Y$357,MATCH(B9,'מלאי'!$D$3:$D$357,0)),""))</f>
        <v/>
      </c>
      <c r="K9">
        <f>IF(B9="","",IF(J9&lt;&gt;"","הוחזר","פעיל"))</f>
        <v/>
      </c>
      <c r="L9">
        <f>IF(AND(K9="פעיל",I9&lt;&gt;""),"עדיין מושאל","")</f>
        <v/>
      </c>
    </row>
    <row r="10">
      <c r="A10">
        <f>IF(B10="","",6)</f>
        <v/>
      </c>
      <c r="B10">
        <f>IFERROR(INDEX('מלאי'!$D$3:$D$357,AGGREGATE(15,6,(ROW('מלאי'!$D$3:$D$357)-ROW('מלאי'!$D$3)+1)/('מלאי'!$T$3:$T$357="מושאל"),6)),"")</f>
        <v/>
      </c>
      <c r="C10">
        <f>IF(B10="","",IFERROR(INDEX('מלאי'!$B$3:$B$357,MATCH(B10,'מלאי'!$D$3:$D$357,0)),""))</f>
        <v/>
      </c>
      <c r="D10">
        <f>IF(B10="","",IFERROR(INDEX('מלאי'!$A$3:$A$357,MATCH(B10,'מלאי'!$D$3:$D$357,0)),""))</f>
        <v/>
      </c>
      <c r="E10">
        <f>IF(B10="","",IFERROR(INDEX('מלאי'!$V$3:$V$357,MATCH(B10,'מלאי'!$D$3:$D$357,0)),""))</f>
        <v/>
      </c>
      <c r="F10">
        <f>IF(B10="","",IFERROR(INDEX('מלאי'!$W$3:$W$357,MATCH(B10,'מלאי'!$D$3:$D$357,0)),""))</f>
        <v/>
      </c>
      <c r="G10">
        <f>IF(B10="","",IFERROR(INDEX('מלאי'!$X$3:$X$357,MATCH(B10,'מלאי'!$D$3:$D$357,0)),""))</f>
        <v/>
      </c>
      <c r="I10">
        <f>IF(B10="","",IFERROR(INDEX('מלאי'!$Y$3:$Y$357,MATCH(B10,'מלאי'!$D$3:$D$357,0)),""))</f>
        <v/>
      </c>
      <c r="K10">
        <f>IF(B10="","",IF(J10&lt;&gt;"","הוחזר","פעיל"))</f>
        <v/>
      </c>
      <c r="L10">
        <f>IF(AND(K10="פעיל",I10&lt;&gt;""),"עדיין מושאל","")</f>
        <v/>
      </c>
    </row>
    <row r="11">
      <c r="A11">
        <f>IF(B11="","",7)</f>
        <v/>
      </c>
      <c r="B11">
        <f>IFERROR(INDEX('מלאי'!$D$3:$D$357,AGGREGATE(15,6,(ROW('מלאי'!$D$3:$D$357)-ROW('מלאי'!$D$3)+1)/('מלאי'!$T$3:$T$357="מושאל"),7)),"")</f>
        <v/>
      </c>
      <c r="C11">
        <f>IF(B11="","",IFERROR(INDEX('מלאי'!$B$3:$B$357,MATCH(B11,'מלאי'!$D$3:$D$357,0)),""))</f>
        <v/>
      </c>
      <c r="D11">
        <f>IF(B11="","",IFERROR(INDEX('מלאי'!$A$3:$A$357,MATCH(B11,'מלאי'!$D$3:$D$357,0)),""))</f>
        <v/>
      </c>
      <c r="E11">
        <f>IF(B11="","",IFERROR(INDEX('מלאי'!$V$3:$V$357,MATCH(B11,'מלאי'!$D$3:$D$357,0)),""))</f>
        <v/>
      </c>
      <c r="F11">
        <f>IF(B11="","",IFERROR(INDEX('מלאי'!$W$3:$W$357,MATCH(B11,'מלאי'!$D$3:$D$357,0)),""))</f>
        <v/>
      </c>
      <c r="G11">
        <f>IF(B11="","",IFERROR(INDEX('מלאי'!$X$3:$X$357,MATCH(B11,'מלאי'!$D$3:$D$357,0)),""))</f>
        <v/>
      </c>
      <c r="I11">
        <f>IF(B11="","",IFERROR(INDEX('מלאי'!$Y$3:$Y$357,MATCH(B11,'מלאי'!$D$3:$D$357,0)),""))</f>
        <v/>
      </c>
      <c r="K11">
        <f>IF(B11="","",IF(J11&lt;&gt;"","הוחזר","פעיל"))</f>
        <v/>
      </c>
      <c r="L11">
        <f>IF(AND(K11="פעיל",I11&lt;&gt;""),"עדיין מושאל","")</f>
        <v/>
      </c>
    </row>
    <row r="12">
      <c r="A12">
        <f>IF(B12="","",8)</f>
        <v/>
      </c>
      <c r="B12">
        <f>IFERROR(INDEX('מלאי'!$D$3:$D$357,AGGREGATE(15,6,(ROW('מלאי'!$D$3:$D$357)-ROW('מלאי'!$D$3)+1)/('מלאי'!$T$3:$T$357="מושאל"),8)),"")</f>
        <v/>
      </c>
      <c r="C12">
        <f>IF(B12="","",IFERROR(INDEX('מלאי'!$B$3:$B$357,MATCH(B12,'מלאי'!$D$3:$D$357,0)),""))</f>
        <v/>
      </c>
      <c r="D12">
        <f>IF(B12="","",IFERROR(INDEX('מלאי'!$A$3:$A$357,MATCH(B12,'מלאי'!$D$3:$D$357,0)),""))</f>
        <v/>
      </c>
      <c r="E12">
        <f>IF(B12="","",IFERROR(INDEX('מלאי'!$V$3:$V$357,MATCH(B12,'מלאי'!$D$3:$D$357,0)),""))</f>
        <v/>
      </c>
      <c r="F12">
        <f>IF(B12="","",IFERROR(INDEX('מלאי'!$W$3:$W$357,MATCH(B12,'מלאי'!$D$3:$D$357,0)),""))</f>
        <v/>
      </c>
      <c r="G12">
        <f>IF(B12="","",IFERROR(INDEX('מלאי'!$X$3:$X$357,MATCH(B12,'מלאי'!$D$3:$D$357,0)),""))</f>
        <v/>
      </c>
      <c r="I12">
        <f>IF(B12="","",IFERROR(INDEX('מלאי'!$Y$3:$Y$357,MATCH(B12,'מלאי'!$D$3:$D$357,0)),""))</f>
        <v/>
      </c>
      <c r="K12">
        <f>IF(B12="","",IF(J12&lt;&gt;"","הוחזר","פעיל"))</f>
        <v/>
      </c>
      <c r="L12">
        <f>IF(AND(K12="פעיל",I12&lt;&gt;""),"עדיין מושאל","")</f>
        <v/>
      </c>
    </row>
    <row r="13">
      <c r="A13">
        <f>IF(B13="","",9)</f>
        <v/>
      </c>
      <c r="B13">
        <f>IFERROR(INDEX('מלאי'!$D$3:$D$357,AGGREGATE(15,6,(ROW('מלאי'!$D$3:$D$357)-ROW('מלאי'!$D$3)+1)/('מלאי'!$T$3:$T$357="מושאל"),9)),"")</f>
        <v/>
      </c>
      <c r="C13">
        <f>IF(B13="","",IFERROR(INDEX('מלאי'!$B$3:$B$357,MATCH(B13,'מלאי'!$D$3:$D$357,0)),""))</f>
        <v/>
      </c>
      <c r="D13">
        <f>IF(B13="","",IFERROR(INDEX('מלאי'!$A$3:$A$357,MATCH(B13,'מלאי'!$D$3:$D$357,0)),""))</f>
        <v/>
      </c>
      <c r="E13">
        <f>IF(B13="","",IFERROR(INDEX('מלאי'!$V$3:$V$357,MATCH(B13,'מלאי'!$D$3:$D$357,0)),""))</f>
        <v/>
      </c>
      <c r="F13">
        <f>IF(B13="","",IFERROR(INDEX('מלאי'!$W$3:$W$357,MATCH(B13,'מלאי'!$D$3:$D$357,0)),""))</f>
        <v/>
      </c>
      <c r="G13">
        <f>IF(B13="","",IFERROR(INDEX('מלאי'!$X$3:$X$357,MATCH(B13,'מלאי'!$D$3:$D$357,0)),""))</f>
        <v/>
      </c>
      <c r="I13">
        <f>IF(B13="","",IFERROR(INDEX('מלאי'!$Y$3:$Y$357,MATCH(B13,'מלאי'!$D$3:$D$357,0)),""))</f>
        <v/>
      </c>
      <c r="K13">
        <f>IF(B13="","",IF(J13&lt;&gt;"","הוחזר","פעיל"))</f>
        <v/>
      </c>
      <c r="L13">
        <f>IF(AND(K13="פעיל",I13&lt;&gt;""),"עדיין מושאל","")</f>
        <v/>
      </c>
    </row>
    <row r="14">
      <c r="A14">
        <f>IF(B14="","",10)</f>
        <v/>
      </c>
      <c r="B14">
        <f>IFERROR(INDEX('מלאי'!$D$3:$D$357,AGGREGATE(15,6,(ROW('מלאי'!$D$3:$D$357)-ROW('מלאי'!$D$3)+1)/('מלאי'!$T$3:$T$357="מושאל"),10)),"")</f>
        <v/>
      </c>
      <c r="C14">
        <f>IF(B14="","",IFERROR(INDEX('מלאי'!$B$3:$B$357,MATCH(B14,'מלאי'!$D$3:$D$357,0)),""))</f>
        <v/>
      </c>
      <c r="D14">
        <f>IF(B14="","",IFERROR(INDEX('מלאי'!$A$3:$A$357,MATCH(B14,'מלאי'!$D$3:$D$357,0)),""))</f>
        <v/>
      </c>
      <c r="E14">
        <f>IF(B14="","",IFERROR(INDEX('מלאי'!$V$3:$V$357,MATCH(B14,'מלאי'!$D$3:$D$357,0)),""))</f>
        <v/>
      </c>
      <c r="F14">
        <f>IF(B14="","",IFERROR(INDEX('מלאי'!$W$3:$W$357,MATCH(B14,'מלאי'!$D$3:$D$357,0)),""))</f>
        <v/>
      </c>
      <c r="G14">
        <f>IF(B14="","",IFERROR(INDEX('מלאי'!$X$3:$X$357,MATCH(B14,'מלאי'!$D$3:$D$357,0)),""))</f>
        <v/>
      </c>
      <c r="I14">
        <f>IF(B14="","",IFERROR(INDEX('מלאי'!$Y$3:$Y$357,MATCH(B14,'מלאי'!$D$3:$D$357,0)),""))</f>
        <v/>
      </c>
      <c r="K14">
        <f>IF(B14="","",IF(J14&lt;&gt;"","הוחזר","פעיל"))</f>
        <v/>
      </c>
      <c r="L14">
        <f>IF(AND(K14="פעיל",I14&lt;&gt;""),"עדיין מושאל","")</f>
        <v/>
      </c>
    </row>
    <row r="15">
      <c r="A15">
        <f>IF(B15="","",11)</f>
        <v/>
      </c>
      <c r="B15">
        <f>IFERROR(INDEX('מלאי'!$D$3:$D$357,AGGREGATE(15,6,(ROW('מלאי'!$D$3:$D$357)-ROW('מלאי'!$D$3)+1)/('מלאי'!$T$3:$T$357="מושאל"),11)),"")</f>
        <v/>
      </c>
      <c r="C15">
        <f>IF(B15="","",IFERROR(INDEX('מלאי'!$B$3:$B$357,MATCH(B15,'מלאי'!$D$3:$D$357,0)),""))</f>
        <v/>
      </c>
      <c r="D15">
        <f>IF(B15="","",IFERROR(INDEX('מלאי'!$A$3:$A$357,MATCH(B15,'מלאי'!$D$3:$D$357,0)),""))</f>
        <v/>
      </c>
      <c r="E15">
        <f>IF(B15="","",IFERROR(INDEX('מלאי'!$V$3:$V$357,MATCH(B15,'מלאי'!$D$3:$D$357,0)),""))</f>
        <v/>
      </c>
      <c r="F15">
        <f>IF(B15="","",IFERROR(INDEX('מלאי'!$W$3:$W$357,MATCH(B15,'מלאי'!$D$3:$D$357,0)),""))</f>
        <v/>
      </c>
      <c r="G15">
        <f>IF(B15="","",IFERROR(INDEX('מלאי'!$X$3:$X$357,MATCH(B15,'מלאי'!$D$3:$D$357,0)),""))</f>
        <v/>
      </c>
      <c r="I15">
        <f>IF(B15="","",IFERROR(INDEX('מלאי'!$Y$3:$Y$357,MATCH(B15,'מלאי'!$D$3:$D$357,0)),""))</f>
        <v/>
      </c>
      <c r="K15">
        <f>IF(B15="","",IF(J15&lt;&gt;"","הוחזר","פעיל"))</f>
        <v/>
      </c>
      <c r="L15">
        <f>IF(AND(K15="פעיל",I15&lt;&gt;""),"עדיין מושאל","")</f>
        <v/>
      </c>
    </row>
    <row r="16">
      <c r="A16">
        <f>IF(B16="","",12)</f>
        <v/>
      </c>
      <c r="B16">
        <f>IFERROR(INDEX('מלאי'!$D$3:$D$357,AGGREGATE(15,6,(ROW('מלאי'!$D$3:$D$357)-ROW('מלאי'!$D$3)+1)/('מלאי'!$T$3:$T$357="מושאל"),12)),"")</f>
        <v/>
      </c>
      <c r="C16">
        <f>IF(B16="","",IFERROR(INDEX('מלאי'!$B$3:$B$357,MATCH(B16,'מלאי'!$D$3:$D$357,0)),""))</f>
        <v/>
      </c>
      <c r="D16">
        <f>IF(B16="","",IFERROR(INDEX('מלאי'!$A$3:$A$357,MATCH(B16,'מלאי'!$D$3:$D$357,0)),""))</f>
        <v/>
      </c>
      <c r="E16">
        <f>IF(B16="","",IFERROR(INDEX('מלאי'!$V$3:$V$357,MATCH(B16,'מלאי'!$D$3:$D$357,0)),""))</f>
        <v/>
      </c>
      <c r="F16">
        <f>IF(B16="","",IFERROR(INDEX('מלאי'!$W$3:$W$357,MATCH(B16,'מלאי'!$D$3:$D$357,0)),""))</f>
        <v/>
      </c>
      <c r="G16">
        <f>IF(B16="","",IFERROR(INDEX('מלאי'!$X$3:$X$357,MATCH(B16,'מלאי'!$D$3:$D$357,0)),""))</f>
        <v/>
      </c>
      <c r="I16">
        <f>IF(B16="","",IFERROR(INDEX('מלאי'!$Y$3:$Y$357,MATCH(B16,'מלאי'!$D$3:$D$357,0)),""))</f>
        <v/>
      </c>
      <c r="K16">
        <f>IF(B16="","",IF(J16&lt;&gt;"","הוחזר","פעיל"))</f>
        <v/>
      </c>
      <c r="L16">
        <f>IF(AND(K16="פעיל",I16&lt;&gt;""),"עדיין מושאל","")</f>
        <v/>
      </c>
    </row>
    <row r="17">
      <c r="A17">
        <f>IF(B17="","",13)</f>
        <v/>
      </c>
      <c r="B17">
        <f>IFERROR(INDEX('מלאי'!$D$3:$D$357,AGGREGATE(15,6,(ROW('מלאי'!$D$3:$D$357)-ROW('מלאי'!$D$3)+1)/('מלאי'!$T$3:$T$357="מושאל"),13)),"")</f>
        <v/>
      </c>
      <c r="C17">
        <f>IF(B17="","",IFERROR(INDEX('מלאי'!$B$3:$B$357,MATCH(B17,'מלאי'!$D$3:$D$357,0)),""))</f>
        <v/>
      </c>
      <c r="D17">
        <f>IF(B17="","",IFERROR(INDEX('מלאי'!$A$3:$A$357,MATCH(B17,'מלאי'!$D$3:$D$357,0)),""))</f>
        <v/>
      </c>
      <c r="E17">
        <f>IF(B17="","",IFERROR(INDEX('מלאי'!$V$3:$V$357,MATCH(B17,'מלאי'!$D$3:$D$357,0)),""))</f>
        <v/>
      </c>
      <c r="F17">
        <f>IF(B17="","",IFERROR(INDEX('מלאי'!$W$3:$W$357,MATCH(B17,'מלאי'!$D$3:$D$357,0)),""))</f>
        <v/>
      </c>
      <c r="G17">
        <f>IF(B17="","",IFERROR(INDEX('מלאי'!$X$3:$X$357,MATCH(B17,'מלאי'!$D$3:$D$357,0)),""))</f>
        <v/>
      </c>
      <c r="I17">
        <f>IF(B17="","",IFERROR(INDEX('מלאי'!$Y$3:$Y$357,MATCH(B17,'מלאי'!$D$3:$D$357,0)),""))</f>
        <v/>
      </c>
      <c r="K17">
        <f>IF(B17="","",IF(J17&lt;&gt;"","הוחזר","פעיל"))</f>
        <v/>
      </c>
      <c r="L17">
        <f>IF(AND(K17="פעיל",I17&lt;&gt;""),"עדיין מושאל","")</f>
        <v/>
      </c>
    </row>
    <row r="18">
      <c r="A18">
        <f>IF(B18="","",14)</f>
        <v/>
      </c>
      <c r="B18">
        <f>IFERROR(INDEX('מלאי'!$D$3:$D$357,AGGREGATE(15,6,(ROW('מלאי'!$D$3:$D$357)-ROW('מלאי'!$D$3)+1)/('מלאי'!$T$3:$T$357="מושאל"),14)),"")</f>
        <v/>
      </c>
      <c r="C18">
        <f>IF(B18="","",IFERROR(INDEX('מלאי'!$B$3:$B$357,MATCH(B18,'מלאי'!$D$3:$D$357,0)),""))</f>
        <v/>
      </c>
      <c r="D18">
        <f>IF(B18="","",IFERROR(INDEX('מלאי'!$A$3:$A$357,MATCH(B18,'מלאי'!$D$3:$D$357,0)),""))</f>
        <v/>
      </c>
      <c r="E18">
        <f>IF(B18="","",IFERROR(INDEX('מלאי'!$V$3:$V$357,MATCH(B18,'מלאי'!$D$3:$D$357,0)),""))</f>
        <v/>
      </c>
      <c r="F18">
        <f>IF(B18="","",IFERROR(INDEX('מלאי'!$W$3:$W$357,MATCH(B18,'מלאי'!$D$3:$D$357,0)),""))</f>
        <v/>
      </c>
      <c r="G18">
        <f>IF(B18="","",IFERROR(INDEX('מלאי'!$X$3:$X$357,MATCH(B18,'מלאי'!$D$3:$D$357,0)),""))</f>
        <v/>
      </c>
      <c r="I18">
        <f>IF(B18="","",IFERROR(INDEX('מלאי'!$Y$3:$Y$357,MATCH(B18,'מלאי'!$D$3:$D$357,0)),""))</f>
        <v/>
      </c>
      <c r="K18">
        <f>IF(B18="","",IF(J18&lt;&gt;"","הוחזר","פעיל"))</f>
        <v/>
      </c>
      <c r="L18">
        <f>IF(AND(K18="פעיל",I18&lt;&gt;""),"עדיין מושאל","")</f>
        <v/>
      </c>
    </row>
    <row r="19">
      <c r="A19">
        <f>IF(B19="","",15)</f>
        <v/>
      </c>
      <c r="B19">
        <f>IFERROR(INDEX('מלאי'!$D$3:$D$357,AGGREGATE(15,6,(ROW('מלאי'!$D$3:$D$357)-ROW('מלאי'!$D$3)+1)/('מלאי'!$T$3:$T$357="מושאל"),15)),"")</f>
        <v/>
      </c>
      <c r="C19">
        <f>IF(B19="","",IFERROR(INDEX('מלאי'!$B$3:$B$357,MATCH(B19,'מלאי'!$D$3:$D$357,0)),""))</f>
        <v/>
      </c>
      <c r="D19">
        <f>IF(B19="","",IFERROR(INDEX('מלאי'!$A$3:$A$357,MATCH(B19,'מלאי'!$D$3:$D$357,0)),""))</f>
        <v/>
      </c>
      <c r="E19">
        <f>IF(B19="","",IFERROR(INDEX('מלאי'!$V$3:$V$357,MATCH(B19,'מלאי'!$D$3:$D$357,0)),""))</f>
        <v/>
      </c>
      <c r="F19">
        <f>IF(B19="","",IFERROR(INDEX('מלאי'!$W$3:$W$357,MATCH(B19,'מלאי'!$D$3:$D$357,0)),""))</f>
        <v/>
      </c>
      <c r="G19">
        <f>IF(B19="","",IFERROR(INDEX('מלאי'!$X$3:$X$357,MATCH(B19,'מלאי'!$D$3:$D$357,0)),""))</f>
        <v/>
      </c>
      <c r="I19">
        <f>IF(B19="","",IFERROR(INDEX('מלאי'!$Y$3:$Y$357,MATCH(B19,'מלאי'!$D$3:$D$357,0)),""))</f>
        <v/>
      </c>
      <c r="K19">
        <f>IF(B19="","",IF(J19&lt;&gt;"","הוחזר","פעיל"))</f>
        <v/>
      </c>
      <c r="L19">
        <f>IF(AND(K19="פעיל",I19&lt;&gt;""),"עדיין מושאל","")</f>
        <v/>
      </c>
    </row>
    <row r="20">
      <c r="A20">
        <f>IF(B20="","",16)</f>
        <v/>
      </c>
      <c r="B20">
        <f>IFERROR(INDEX('מלאי'!$D$3:$D$357,AGGREGATE(15,6,(ROW('מלאי'!$D$3:$D$357)-ROW('מלאי'!$D$3)+1)/('מלאי'!$T$3:$T$357="מושאל"),16)),"")</f>
        <v/>
      </c>
      <c r="C20">
        <f>IF(B20="","",IFERROR(INDEX('מלאי'!$B$3:$B$357,MATCH(B20,'מלאי'!$D$3:$D$357,0)),""))</f>
        <v/>
      </c>
      <c r="D20">
        <f>IF(B20="","",IFERROR(INDEX('מלאי'!$A$3:$A$357,MATCH(B20,'מלאי'!$D$3:$D$357,0)),""))</f>
        <v/>
      </c>
      <c r="E20">
        <f>IF(B20="","",IFERROR(INDEX('מלאי'!$V$3:$V$357,MATCH(B20,'מלאי'!$D$3:$D$357,0)),""))</f>
        <v/>
      </c>
      <c r="F20">
        <f>IF(B20="","",IFERROR(INDEX('מלאי'!$W$3:$W$357,MATCH(B20,'מלאי'!$D$3:$D$357,0)),""))</f>
        <v/>
      </c>
      <c r="G20">
        <f>IF(B20="","",IFERROR(INDEX('מלאי'!$X$3:$X$357,MATCH(B20,'מלאי'!$D$3:$D$357,0)),""))</f>
        <v/>
      </c>
      <c r="I20">
        <f>IF(B20="","",IFERROR(INDEX('מלאי'!$Y$3:$Y$357,MATCH(B20,'מלאי'!$D$3:$D$357,0)),""))</f>
        <v/>
      </c>
      <c r="K20">
        <f>IF(B20="","",IF(J20&lt;&gt;"","הוחזר","פעיל"))</f>
        <v/>
      </c>
      <c r="L20">
        <f>IF(AND(K20="פעיל",I20&lt;&gt;""),"עדיין מושאל","")</f>
        <v/>
      </c>
    </row>
    <row r="21">
      <c r="A21">
        <f>IF(B21="","",17)</f>
        <v/>
      </c>
      <c r="B21">
        <f>IFERROR(INDEX('מלאי'!$D$3:$D$357,AGGREGATE(15,6,(ROW('מלאי'!$D$3:$D$357)-ROW('מלאי'!$D$3)+1)/('מלאי'!$T$3:$T$357="מושאל"),17)),"")</f>
        <v/>
      </c>
      <c r="C21">
        <f>IF(B21="","",IFERROR(INDEX('מלאי'!$B$3:$B$357,MATCH(B21,'מלאי'!$D$3:$D$357,0)),""))</f>
        <v/>
      </c>
      <c r="D21">
        <f>IF(B21="","",IFERROR(INDEX('מלאי'!$A$3:$A$357,MATCH(B21,'מלאי'!$D$3:$D$357,0)),""))</f>
        <v/>
      </c>
      <c r="E21">
        <f>IF(B21="","",IFERROR(INDEX('מלאי'!$V$3:$V$357,MATCH(B21,'מלאי'!$D$3:$D$357,0)),""))</f>
        <v/>
      </c>
      <c r="F21">
        <f>IF(B21="","",IFERROR(INDEX('מלאי'!$W$3:$W$357,MATCH(B21,'מלאי'!$D$3:$D$357,0)),""))</f>
        <v/>
      </c>
      <c r="G21">
        <f>IF(B21="","",IFERROR(INDEX('מלאי'!$X$3:$X$357,MATCH(B21,'מלאי'!$D$3:$D$357,0)),""))</f>
        <v/>
      </c>
      <c r="I21">
        <f>IF(B21="","",IFERROR(INDEX('מלאי'!$Y$3:$Y$357,MATCH(B21,'מלאי'!$D$3:$D$357,0)),""))</f>
        <v/>
      </c>
      <c r="K21">
        <f>IF(B21="","",IF(J21&lt;&gt;"","הוחזר","פעיל"))</f>
        <v/>
      </c>
      <c r="L21">
        <f>IF(AND(K21="פעיל",I21&lt;&gt;""),"עדיין מושאל","")</f>
        <v/>
      </c>
    </row>
    <row r="22">
      <c r="A22">
        <f>IF(B22="","",18)</f>
        <v/>
      </c>
      <c r="B22">
        <f>IFERROR(INDEX('מלאי'!$D$3:$D$357,AGGREGATE(15,6,(ROW('מלאי'!$D$3:$D$357)-ROW('מלאי'!$D$3)+1)/('מלאי'!$T$3:$T$357="מושאל"),18)),"")</f>
        <v/>
      </c>
      <c r="C22">
        <f>IF(B22="","",IFERROR(INDEX('מלאי'!$B$3:$B$357,MATCH(B22,'מלאי'!$D$3:$D$357,0)),""))</f>
        <v/>
      </c>
      <c r="D22">
        <f>IF(B22="","",IFERROR(INDEX('מלאי'!$A$3:$A$357,MATCH(B22,'מלאי'!$D$3:$D$357,0)),""))</f>
        <v/>
      </c>
      <c r="E22">
        <f>IF(B22="","",IFERROR(INDEX('מלאי'!$V$3:$V$357,MATCH(B22,'מלאי'!$D$3:$D$357,0)),""))</f>
        <v/>
      </c>
      <c r="F22">
        <f>IF(B22="","",IFERROR(INDEX('מלאי'!$W$3:$W$357,MATCH(B22,'מלאי'!$D$3:$D$357,0)),""))</f>
        <v/>
      </c>
      <c r="G22">
        <f>IF(B22="","",IFERROR(INDEX('מלאי'!$X$3:$X$357,MATCH(B22,'מלאי'!$D$3:$D$357,0)),""))</f>
        <v/>
      </c>
      <c r="I22">
        <f>IF(B22="","",IFERROR(INDEX('מלאי'!$Y$3:$Y$357,MATCH(B22,'מלאי'!$D$3:$D$357,0)),""))</f>
        <v/>
      </c>
      <c r="K22">
        <f>IF(B22="","",IF(J22&lt;&gt;"","הוחזר","פעיל"))</f>
        <v/>
      </c>
      <c r="L22">
        <f>IF(AND(K22="פעיל",I22&lt;&gt;""),"עדיין מושאל","")</f>
        <v/>
      </c>
    </row>
    <row r="23">
      <c r="A23">
        <f>IF(B23="","",19)</f>
        <v/>
      </c>
      <c r="B23">
        <f>IFERROR(INDEX('מלאי'!$D$3:$D$357,AGGREGATE(15,6,(ROW('מלאי'!$D$3:$D$357)-ROW('מלאי'!$D$3)+1)/('מלאי'!$T$3:$T$357="מושאל"),19)),"")</f>
        <v/>
      </c>
      <c r="C23">
        <f>IF(B23="","",IFERROR(INDEX('מלאי'!$B$3:$B$357,MATCH(B23,'מלאי'!$D$3:$D$357,0)),""))</f>
        <v/>
      </c>
      <c r="D23">
        <f>IF(B23="","",IFERROR(INDEX('מלאי'!$A$3:$A$357,MATCH(B23,'מלאי'!$D$3:$D$357,0)),""))</f>
        <v/>
      </c>
      <c r="E23">
        <f>IF(B23="","",IFERROR(INDEX('מלאי'!$V$3:$V$357,MATCH(B23,'מלאי'!$D$3:$D$357,0)),""))</f>
        <v/>
      </c>
      <c r="F23">
        <f>IF(B23="","",IFERROR(INDEX('מלאי'!$W$3:$W$357,MATCH(B23,'מלאי'!$D$3:$D$357,0)),""))</f>
        <v/>
      </c>
      <c r="G23">
        <f>IF(B23="","",IFERROR(INDEX('מלאי'!$X$3:$X$357,MATCH(B23,'מלאי'!$D$3:$D$357,0)),""))</f>
        <v/>
      </c>
      <c r="I23">
        <f>IF(B23="","",IFERROR(INDEX('מלאי'!$Y$3:$Y$357,MATCH(B23,'מלאי'!$D$3:$D$357,0)),""))</f>
        <v/>
      </c>
      <c r="K23">
        <f>IF(B23="","",IF(J23&lt;&gt;"","הוחזר","פעיל"))</f>
        <v/>
      </c>
      <c r="L23">
        <f>IF(AND(K23="פעיל",I23&lt;&gt;""),"עדיין מושאל","")</f>
        <v/>
      </c>
    </row>
    <row r="24">
      <c r="A24">
        <f>IF(B24="","",20)</f>
        <v/>
      </c>
      <c r="B24">
        <f>IFERROR(INDEX('מלאי'!$D$3:$D$357,AGGREGATE(15,6,(ROW('מלאי'!$D$3:$D$357)-ROW('מלאי'!$D$3)+1)/('מלאי'!$T$3:$T$357="מושאל"),20)),"")</f>
        <v/>
      </c>
      <c r="C24">
        <f>IF(B24="","",IFERROR(INDEX('מלאי'!$B$3:$B$357,MATCH(B24,'מלאי'!$D$3:$D$357,0)),""))</f>
        <v/>
      </c>
      <c r="D24">
        <f>IF(B24="","",IFERROR(INDEX('מלאי'!$A$3:$A$357,MATCH(B24,'מלאי'!$D$3:$D$357,0)),""))</f>
        <v/>
      </c>
      <c r="E24">
        <f>IF(B24="","",IFERROR(INDEX('מלאי'!$V$3:$V$357,MATCH(B24,'מלאי'!$D$3:$D$357,0)),""))</f>
        <v/>
      </c>
      <c r="F24">
        <f>IF(B24="","",IFERROR(INDEX('מלאי'!$W$3:$W$357,MATCH(B24,'מלאי'!$D$3:$D$357,0)),""))</f>
        <v/>
      </c>
      <c r="G24">
        <f>IF(B24="","",IFERROR(INDEX('מלאי'!$X$3:$X$357,MATCH(B24,'מלאי'!$D$3:$D$357,0)),""))</f>
        <v/>
      </c>
      <c r="I24">
        <f>IF(B24="","",IFERROR(INDEX('מלאי'!$Y$3:$Y$357,MATCH(B24,'מלאי'!$D$3:$D$357,0)),""))</f>
        <v/>
      </c>
      <c r="K24">
        <f>IF(B24="","",IF(J24&lt;&gt;"","הוחזר","פעיל"))</f>
        <v/>
      </c>
      <c r="L24">
        <f>IF(AND(K24="פעיל",I24&lt;&gt;""),"עדיין מושאל","")</f>
        <v/>
      </c>
    </row>
    <row r="25">
      <c r="A25">
        <f>IF(B25="","",21)</f>
        <v/>
      </c>
      <c r="B25">
        <f>IFERROR(INDEX('מלאי'!$D$3:$D$357,AGGREGATE(15,6,(ROW('מלאי'!$D$3:$D$357)-ROW('מלאי'!$D$3)+1)/('מלאי'!$T$3:$T$357="מושאל"),21)),"")</f>
        <v/>
      </c>
      <c r="C25">
        <f>IF(B25="","",IFERROR(INDEX('מלאי'!$B$3:$B$357,MATCH(B25,'מלאי'!$D$3:$D$357,0)),""))</f>
        <v/>
      </c>
      <c r="D25">
        <f>IF(B25="","",IFERROR(INDEX('מלאי'!$A$3:$A$357,MATCH(B25,'מלאי'!$D$3:$D$357,0)),""))</f>
        <v/>
      </c>
      <c r="E25">
        <f>IF(B25="","",IFERROR(INDEX('מלאי'!$V$3:$V$357,MATCH(B25,'מלאי'!$D$3:$D$357,0)),""))</f>
        <v/>
      </c>
      <c r="F25">
        <f>IF(B25="","",IFERROR(INDEX('מלאי'!$W$3:$W$357,MATCH(B25,'מלאי'!$D$3:$D$357,0)),""))</f>
        <v/>
      </c>
      <c r="G25">
        <f>IF(B25="","",IFERROR(INDEX('מלאי'!$X$3:$X$357,MATCH(B25,'מלאי'!$D$3:$D$357,0)),""))</f>
        <v/>
      </c>
      <c r="I25">
        <f>IF(B25="","",IFERROR(INDEX('מלאי'!$Y$3:$Y$357,MATCH(B25,'מלאי'!$D$3:$D$357,0)),""))</f>
        <v/>
      </c>
      <c r="K25">
        <f>IF(B25="","",IF(J25&lt;&gt;"","הוחזר","פעיל"))</f>
        <v/>
      </c>
      <c r="L25">
        <f>IF(AND(K25="פעיל",I25&lt;&gt;""),"עדיין מושאל","")</f>
        <v/>
      </c>
    </row>
    <row r="26">
      <c r="A26">
        <f>IF(B26="","",22)</f>
        <v/>
      </c>
      <c r="B26">
        <f>IFERROR(INDEX('מלאי'!$D$3:$D$357,AGGREGATE(15,6,(ROW('מלאי'!$D$3:$D$357)-ROW('מלאי'!$D$3)+1)/('מלאי'!$T$3:$T$357="מושאל"),22)),"")</f>
        <v/>
      </c>
      <c r="C26">
        <f>IF(B26="","",IFERROR(INDEX('מלאי'!$B$3:$B$357,MATCH(B26,'מלאי'!$D$3:$D$357,0)),""))</f>
        <v/>
      </c>
      <c r="D26">
        <f>IF(B26="","",IFERROR(INDEX('מלאי'!$A$3:$A$357,MATCH(B26,'מלאי'!$D$3:$D$357,0)),""))</f>
        <v/>
      </c>
      <c r="E26">
        <f>IF(B26="","",IFERROR(INDEX('מלאי'!$V$3:$V$357,MATCH(B26,'מלאי'!$D$3:$D$357,0)),""))</f>
        <v/>
      </c>
      <c r="F26">
        <f>IF(B26="","",IFERROR(INDEX('מלאי'!$W$3:$W$357,MATCH(B26,'מלאי'!$D$3:$D$357,0)),""))</f>
        <v/>
      </c>
      <c r="G26">
        <f>IF(B26="","",IFERROR(INDEX('מלאי'!$X$3:$X$357,MATCH(B26,'מלאי'!$D$3:$D$357,0)),""))</f>
        <v/>
      </c>
      <c r="I26">
        <f>IF(B26="","",IFERROR(INDEX('מלאי'!$Y$3:$Y$357,MATCH(B26,'מלאי'!$D$3:$D$357,0)),""))</f>
        <v/>
      </c>
      <c r="K26">
        <f>IF(B26="","",IF(J26&lt;&gt;"","הוחזר","פעיל"))</f>
        <v/>
      </c>
      <c r="L26">
        <f>IF(AND(K26="פעיל",I26&lt;&gt;""),"עדיין מושאל","")</f>
        <v/>
      </c>
    </row>
    <row r="27">
      <c r="A27">
        <f>IF(B27="","",23)</f>
        <v/>
      </c>
      <c r="B27">
        <f>IFERROR(INDEX('מלאי'!$D$3:$D$357,AGGREGATE(15,6,(ROW('מלאי'!$D$3:$D$357)-ROW('מלאי'!$D$3)+1)/('מלאי'!$T$3:$T$357="מושאל"),23)),"")</f>
        <v/>
      </c>
      <c r="C27">
        <f>IF(B27="","",IFERROR(INDEX('מלאי'!$B$3:$B$357,MATCH(B27,'מלאי'!$D$3:$D$357,0)),""))</f>
        <v/>
      </c>
      <c r="D27">
        <f>IF(B27="","",IFERROR(INDEX('מלאי'!$A$3:$A$357,MATCH(B27,'מלאי'!$D$3:$D$357,0)),""))</f>
        <v/>
      </c>
      <c r="E27">
        <f>IF(B27="","",IFERROR(INDEX('מלאי'!$V$3:$V$357,MATCH(B27,'מלאי'!$D$3:$D$357,0)),""))</f>
        <v/>
      </c>
      <c r="F27">
        <f>IF(B27="","",IFERROR(INDEX('מלאי'!$W$3:$W$357,MATCH(B27,'מלאי'!$D$3:$D$357,0)),""))</f>
        <v/>
      </c>
      <c r="G27">
        <f>IF(B27="","",IFERROR(INDEX('מלאי'!$X$3:$X$357,MATCH(B27,'מלאי'!$D$3:$D$357,0)),""))</f>
        <v/>
      </c>
      <c r="I27">
        <f>IF(B27="","",IFERROR(INDEX('מלאי'!$Y$3:$Y$357,MATCH(B27,'מלאי'!$D$3:$D$357,0)),""))</f>
        <v/>
      </c>
      <c r="K27">
        <f>IF(B27="","",IF(J27&lt;&gt;"","הוחזר","פעיל"))</f>
        <v/>
      </c>
      <c r="L27">
        <f>IF(AND(K27="פעיל",I27&lt;&gt;""),"עדיין מושאל","")</f>
        <v/>
      </c>
    </row>
    <row r="28">
      <c r="A28">
        <f>IF(B28="","",24)</f>
        <v/>
      </c>
      <c r="B28">
        <f>IFERROR(INDEX('מלאי'!$D$3:$D$357,AGGREGATE(15,6,(ROW('מלאי'!$D$3:$D$357)-ROW('מלאי'!$D$3)+1)/('מלאי'!$T$3:$T$357="מושאל"),24)),"")</f>
        <v/>
      </c>
      <c r="C28">
        <f>IF(B28="","",IFERROR(INDEX('מלאי'!$B$3:$B$357,MATCH(B28,'מלאי'!$D$3:$D$357,0)),""))</f>
        <v/>
      </c>
      <c r="D28">
        <f>IF(B28="","",IFERROR(INDEX('מלאי'!$A$3:$A$357,MATCH(B28,'מלאי'!$D$3:$D$357,0)),""))</f>
        <v/>
      </c>
      <c r="E28">
        <f>IF(B28="","",IFERROR(INDEX('מלאי'!$V$3:$V$357,MATCH(B28,'מלאי'!$D$3:$D$357,0)),""))</f>
        <v/>
      </c>
      <c r="F28">
        <f>IF(B28="","",IFERROR(INDEX('מלאי'!$W$3:$W$357,MATCH(B28,'מלאי'!$D$3:$D$357,0)),""))</f>
        <v/>
      </c>
      <c r="G28">
        <f>IF(B28="","",IFERROR(INDEX('מלאי'!$X$3:$X$357,MATCH(B28,'מלאי'!$D$3:$D$357,0)),""))</f>
        <v/>
      </c>
      <c r="I28">
        <f>IF(B28="","",IFERROR(INDEX('מלאי'!$Y$3:$Y$357,MATCH(B28,'מלאי'!$D$3:$D$357,0)),""))</f>
        <v/>
      </c>
      <c r="K28">
        <f>IF(B28="","",IF(J28&lt;&gt;"","הוחזר","פעיל"))</f>
        <v/>
      </c>
      <c r="L28">
        <f>IF(AND(K28="פעיל",I28&lt;&gt;""),"עדיין מושאל","")</f>
        <v/>
      </c>
    </row>
    <row r="29">
      <c r="A29">
        <f>IF(B29="","",25)</f>
        <v/>
      </c>
      <c r="B29">
        <f>IFERROR(INDEX('מלאי'!$D$3:$D$357,AGGREGATE(15,6,(ROW('מלאי'!$D$3:$D$357)-ROW('מלאי'!$D$3)+1)/('מלאי'!$T$3:$T$357="מושאל"),25)),"")</f>
        <v/>
      </c>
      <c r="C29">
        <f>IF(B29="","",IFERROR(INDEX('מלאי'!$B$3:$B$357,MATCH(B29,'מלאי'!$D$3:$D$357,0)),""))</f>
        <v/>
      </c>
      <c r="D29">
        <f>IF(B29="","",IFERROR(INDEX('מלאי'!$A$3:$A$357,MATCH(B29,'מלאי'!$D$3:$D$357,0)),""))</f>
        <v/>
      </c>
      <c r="E29">
        <f>IF(B29="","",IFERROR(INDEX('מלאי'!$V$3:$V$357,MATCH(B29,'מלאי'!$D$3:$D$357,0)),""))</f>
        <v/>
      </c>
      <c r="F29">
        <f>IF(B29="","",IFERROR(INDEX('מלאי'!$W$3:$W$357,MATCH(B29,'מלאי'!$D$3:$D$357,0)),""))</f>
        <v/>
      </c>
      <c r="G29">
        <f>IF(B29="","",IFERROR(INDEX('מלאי'!$X$3:$X$357,MATCH(B29,'מלאי'!$D$3:$D$357,0)),""))</f>
        <v/>
      </c>
      <c r="I29">
        <f>IF(B29="","",IFERROR(INDEX('מלאי'!$Y$3:$Y$357,MATCH(B29,'מלאי'!$D$3:$D$357,0)),""))</f>
        <v/>
      </c>
      <c r="K29">
        <f>IF(B29="","",IF(J29&lt;&gt;"","הוחזר","פעיל"))</f>
        <v/>
      </c>
      <c r="L29">
        <f>IF(AND(K29="פעיל",I29&lt;&gt;""),"עדיין מושאל","")</f>
        <v/>
      </c>
    </row>
    <row r="30">
      <c r="A30">
        <f>IF(B30="","",26)</f>
        <v/>
      </c>
      <c r="B30">
        <f>IFERROR(INDEX('מלאי'!$D$3:$D$357,AGGREGATE(15,6,(ROW('מלאי'!$D$3:$D$357)-ROW('מלאי'!$D$3)+1)/('מלאי'!$T$3:$T$357="מושאל"),26)),"")</f>
        <v/>
      </c>
      <c r="C30">
        <f>IF(B30="","",IFERROR(INDEX('מלאי'!$B$3:$B$357,MATCH(B30,'מלאי'!$D$3:$D$357,0)),""))</f>
        <v/>
      </c>
      <c r="D30">
        <f>IF(B30="","",IFERROR(INDEX('מלאי'!$A$3:$A$357,MATCH(B30,'מלאי'!$D$3:$D$357,0)),""))</f>
        <v/>
      </c>
      <c r="E30">
        <f>IF(B30="","",IFERROR(INDEX('מלאי'!$V$3:$V$357,MATCH(B30,'מלאי'!$D$3:$D$357,0)),""))</f>
        <v/>
      </c>
      <c r="F30">
        <f>IF(B30="","",IFERROR(INDEX('מלאי'!$W$3:$W$357,MATCH(B30,'מלאי'!$D$3:$D$357,0)),""))</f>
        <v/>
      </c>
      <c r="G30">
        <f>IF(B30="","",IFERROR(INDEX('מלאי'!$X$3:$X$357,MATCH(B30,'מלאי'!$D$3:$D$357,0)),""))</f>
        <v/>
      </c>
      <c r="I30">
        <f>IF(B30="","",IFERROR(INDEX('מלאי'!$Y$3:$Y$357,MATCH(B30,'מלאי'!$D$3:$D$357,0)),""))</f>
        <v/>
      </c>
      <c r="K30">
        <f>IF(B30="","",IF(J30&lt;&gt;"","הוחזר","פעיל"))</f>
        <v/>
      </c>
      <c r="L30">
        <f>IF(AND(K30="פעיל",I30&lt;&gt;""),"עדיין מושאל","")</f>
        <v/>
      </c>
    </row>
    <row r="31">
      <c r="A31">
        <f>IF(B31="","",27)</f>
        <v/>
      </c>
      <c r="B31">
        <f>IFERROR(INDEX('מלאי'!$D$3:$D$357,AGGREGATE(15,6,(ROW('מלאי'!$D$3:$D$357)-ROW('מלאי'!$D$3)+1)/('מלאי'!$T$3:$T$357="מושאל"),27)),"")</f>
        <v/>
      </c>
      <c r="C31">
        <f>IF(B31="","",IFERROR(INDEX('מלאי'!$B$3:$B$357,MATCH(B31,'מלאי'!$D$3:$D$357,0)),""))</f>
        <v/>
      </c>
      <c r="D31">
        <f>IF(B31="","",IFERROR(INDEX('מלאי'!$A$3:$A$357,MATCH(B31,'מלאי'!$D$3:$D$357,0)),""))</f>
        <v/>
      </c>
      <c r="E31">
        <f>IF(B31="","",IFERROR(INDEX('מלאי'!$V$3:$V$357,MATCH(B31,'מלאי'!$D$3:$D$357,0)),""))</f>
        <v/>
      </c>
      <c r="F31">
        <f>IF(B31="","",IFERROR(INDEX('מלאי'!$W$3:$W$357,MATCH(B31,'מלאי'!$D$3:$D$357,0)),""))</f>
        <v/>
      </c>
      <c r="G31">
        <f>IF(B31="","",IFERROR(INDEX('מלאי'!$X$3:$X$357,MATCH(B31,'מלאי'!$D$3:$D$357,0)),""))</f>
        <v/>
      </c>
      <c r="I31">
        <f>IF(B31="","",IFERROR(INDEX('מלאי'!$Y$3:$Y$357,MATCH(B31,'מלאי'!$D$3:$D$357,0)),""))</f>
        <v/>
      </c>
      <c r="K31">
        <f>IF(B31="","",IF(J31&lt;&gt;"","הוחזר","פעיל"))</f>
        <v/>
      </c>
      <c r="L31">
        <f>IF(AND(K31="פעיל",I31&lt;&gt;""),"עדיין מושאל","")</f>
        <v/>
      </c>
    </row>
    <row r="32">
      <c r="A32">
        <f>IF(B32="","",28)</f>
        <v/>
      </c>
      <c r="B32">
        <f>IFERROR(INDEX('מלאי'!$D$3:$D$357,AGGREGATE(15,6,(ROW('מלאי'!$D$3:$D$357)-ROW('מלאי'!$D$3)+1)/('מלאי'!$T$3:$T$357="מושאל"),28)),"")</f>
        <v/>
      </c>
      <c r="C32">
        <f>IF(B32="","",IFERROR(INDEX('מלאי'!$B$3:$B$357,MATCH(B32,'מלאי'!$D$3:$D$357,0)),""))</f>
        <v/>
      </c>
      <c r="D32">
        <f>IF(B32="","",IFERROR(INDEX('מלאי'!$A$3:$A$357,MATCH(B32,'מלאי'!$D$3:$D$357,0)),""))</f>
        <v/>
      </c>
      <c r="E32">
        <f>IF(B32="","",IFERROR(INDEX('מלאי'!$V$3:$V$357,MATCH(B32,'מלאי'!$D$3:$D$357,0)),""))</f>
        <v/>
      </c>
      <c r="F32">
        <f>IF(B32="","",IFERROR(INDEX('מלאי'!$W$3:$W$357,MATCH(B32,'מלאי'!$D$3:$D$357,0)),""))</f>
        <v/>
      </c>
      <c r="G32">
        <f>IF(B32="","",IFERROR(INDEX('מלאי'!$X$3:$X$357,MATCH(B32,'מלאי'!$D$3:$D$357,0)),""))</f>
        <v/>
      </c>
      <c r="I32">
        <f>IF(B32="","",IFERROR(INDEX('מלאי'!$Y$3:$Y$357,MATCH(B32,'מלאי'!$D$3:$D$357,0)),""))</f>
        <v/>
      </c>
      <c r="K32">
        <f>IF(B32="","",IF(J32&lt;&gt;"","הוחזר","פעיל"))</f>
        <v/>
      </c>
      <c r="L32">
        <f>IF(AND(K32="פעיל",I32&lt;&gt;""),"עדיין מושאל","")</f>
        <v/>
      </c>
    </row>
    <row r="33">
      <c r="A33">
        <f>IF(B33="","",29)</f>
        <v/>
      </c>
      <c r="B33">
        <f>IFERROR(INDEX('מלאי'!$D$3:$D$357,AGGREGATE(15,6,(ROW('מלאי'!$D$3:$D$357)-ROW('מלאי'!$D$3)+1)/('מלאי'!$T$3:$T$357="מושאל"),29)),"")</f>
        <v/>
      </c>
      <c r="C33">
        <f>IF(B33="","",IFERROR(INDEX('מלאי'!$B$3:$B$357,MATCH(B33,'מלאי'!$D$3:$D$357,0)),""))</f>
        <v/>
      </c>
      <c r="D33">
        <f>IF(B33="","",IFERROR(INDEX('מלאי'!$A$3:$A$357,MATCH(B33,'מלאי'!$D$3:$D$357,0)),""))</f>
        <v/>
      </c>
      <c r="E33">
        <f>IF(B33="","",IFERROR(INDEX('מלאי'!$V$3:$V$357,MATCH(B33,'מלאי'!$D$3:$D$357,0)),""))</f>
        <v/>
      </c>
      <c r="F33">
        <f>IF(B33="","",IFERROR(INDEX('מלאי'!$W$3:$W$357,MATCH(B33,'מלאי'!$D$3:$D$357,0)),""))</f>
        <v/>
      </c>
      <c r="G33">
        <f>IF(B33="","",IFERROR(INDEX('מלאי'!$X$3:$X$357,MATCH(B33,'מלאי'!$D$3:$D$357,0)),""))</f>
        <v/>
      </c>
      <c r="I33">
        <f>IF(B33="","",IFERROR(INDEX('מלאי'!$Y$3:$Y$357,MATCH(B33,'מלאי'!$D$3:$D$357,0)),""))</f>
        <v/>
      </c>
      <c r="K33">
        <f>IF(B33="","",IF(J33&lt;&gt;"","הוחזר","פעיל"))</f>
        <v/>
      </c>
      <c r="L33">
        <f>IF(AND(K33="פעיל",I33&lt;&gt;""),"עדיין מושאל","")</f>
        <v/>
      </c>
    </row>
    <row r="34">
      <c r="A34">
        <f>IF(B34="","",30)</f>
        <v/>
      </c>
      <c r="B34">
        <f>IFERROR(INDEX('מלאי'!$D$3:$D$357,AGGREGATE(15,6,(ROW('מלאי'!$D$3:$D$357)-ROW('מלאי'!$D$3)+1)/('מלאי'!$T$3:$T$357="מושאל"),30)),"")</f>
        <v/>
      </c>
      <c r="C34">
        <f>IF(B34="","",IFERROR(INDEX('מלאי'!$B$3:$B$357,MATCH(B34,'מלאי'!$D$3:$D$357,0)),""))</f>
        <v/>
      </c>
      <c r="D34">
        <f>IF(B34="","",IFERROR(INDEX('מלאי'!$A$3:$A$357,MATCH(B34,'מלאי'!$D$3:$D$357,0)),""))</f>
        <v/>
      </c>
      <c r="E34">
        <f>IF(B34="","",IFERROR(INDEX('מלאי'!$V$3:$V$357,MATCH(B34,'מלאי'!$D$3:$D$357,0)),""))</f>
        <v/>
      </c>
      <c r="F34">
        <f>IF(B34="","",IFERROR(INDEX('מלאי'!$W$3:$W$357,MATCH(B34,'מלאי'!$D$3:$D$357,0)),""))</f>
        <v/>
      </c>
      <c r="G34">
        <f>IF(B34="","",IFERROR(INDEX('מלאי'!$X$3:$X$357,MATCH(B34,'מלאי'!$D$3:$D$357,0)),""))</f>
        <v/>
      </c>
      <c r="I34">
        <f>IF(B34="","",IFERROR(INDEX('מלאי'!$Y$3:$Y$357,MATCH(B34,'מלאי'!$D$3:$D$357,0)),""))</f>
        <v/>
      </c>
      <c r="K34">
        <f>IF(B34="","",IF(J34&lt;&gt;"","הוחזר","פעיל"))</f>
        <v/>
      </c>
      <c r="L34">
        <f>IF(AND(K34="פעיל",I34&lt;&gt;""),"עדיין מושאל","")</f>
        <v/>
      </c>
    </row>
    <row r="35">
      <c r="A35">
        <f>IF(B35="","",31)</f>
        <v/>
      </c>
      <c r="B35">
        <f>IFERROR(INDEX('מלאי'!$D$3:$D$357,AGGREGATE(15,6,(ROW('מלאי'!$D$3:$D$357)-ROW('מלאי'!$D$3)+1)/('מלאי'!$T$3:$T$357="מושאל"),31)),"")</f>
        <v/>
      </c>
      <c r="C35">
        <f>IF(B35="","",IFERROR(INDEX('מלאי'!$B$3:$B$357,MATCH(B35,'מלאי'!$D$3:$D$357,0)),""))</f>
        <v/>
      </c>
      <c r="D35">
        <f>IF(B35="","",IFERROR(INDEX('מלאי'!$A$3:$A$357,MATCH(B35,'מלאי'!$D$3:$D$357,0)),""))</f>
        <v/>
      </c>
      <c r="E35">
        <f>IF(B35="","",IFERROR(INDEX('מלאי'!$V$3:$V$357,MATCH(B35,'מלאי'!$D$3:$D$357,0)),""))</f>
        <v/>
      </c>
      <c r="F35">
        <f>IF(B35="","",IFERROR(INDEX('מלאי'!$W$3:$W$357,MATCH(B35,'מלאי'!$D$3:$D$357,0)),""))</f>
        <v/>
      </c>
      <c r="G35">
        <f>IF(B35="","",IFERROR(INDEX('מלאי'!$X$3:$X$357,MATCH(B35,'מלאי'!$D$3:$D$357,0)),""))</f>
        <v/>
      </c>
      <c r="I35">
        <f>IF(B35="","",IFERROR(INDEX('מלאי'!$Y$3:$Y$357,MATCH(B35,'מלאי'!$D$3:$D$357,0)),""))</f>
        <v/>
      </c>
      <c r="K35">
        <f>IF(B35="","",IF(J35&lt;&gt;"","הוחזר","פעיל"))</f>
        <v/>
      </c>
      <c r="L35">
        <f>IF(AND(K35="פעיל",I35&lt;&gt;""),"עדיין מושאל","")</f>
        <v/>
      </c>
    </row>
    <row r="36">
      <c r="A36">
        <f>IF(B36="","",32)</f>
        <v/>
      </c>
      <c r="B36">
        <f>IFERROR(INDEX('מלאי'!$D$3:$D$357,AGGREGATE(15,6,(ROW('מלאי'!$D$3:$D$357)-ROW('מלאי'!$D$3)+1)/('מלאי'!$T$3:$T$357="מושאל"),32)),"")</f>
        <v/>
      </c>
      <c r="C36">
        <f>IF(B36="","",IFERROR(INDEX('מלאי'!$B$3:$B$357,MATCH(B36,'מלאי'!$D$3:$D$357,0)),""))</f>
        <v/>
      </c>
      <c r="D36">
        <f>IF(B36="","",IFERROR(INDEX('מלאי'!$A$3:$A$357,MATCH(B36,'מלאי'!$D$3:$D$357,0)),""))</f>
        <v/>
      </c>
      <c r="E36">
        <f>IF(B36="","",IFERROR(INDEX('מלאי'!$V$3:$V$357,MATCH(B36,'מלאי'!$D$3:$D$357,0)),""))</f>
        <v/>
      </c>
      <c r="F36">
        <f>IF(B36="","",IFERROR(INDEX('מלאי'!$W$3:$W$357,MATCH(B36,'מלאי'!$D$3:$D$357,0)),""))</f>
        <v/>
      </c>
      <c r="G36">
        <f>IF(B36="","",IFERROR(INDEX('מלאי'!$X$3:$X$357,MATCH(B36,'מלאי'!$D$3:$D$357,0)),""))</f>
        <v/>
      </c>
      <c r="I36">
        <f>IF(B36="","",IFERROR(INDEX('מלאי'!$Y$3:$Y$357,MATCH(B36,'מלאי'!$D$3:$D$357,0)),""))</f>
        <v/>
      </c>
      <c r="K36">
        <f>IF(B36="","",IF(J36&lt;&gt;"","הוחזר","פעיל"))</f>
        <v/>
      </c>
      <c r="L36">
        <f>IF(AND(K36="פעיל",I36&lt;&gt;""),"עדיין מושאל","")</f>
        <v/>
      </c>
    </row>
    <row r="37">
      <c r="A37">
        <f>IF(B37="","",33)</f>
        <v/>
      </c>
      <c r="B37">
        <f>IFERROR(INDEX('מלאי'!$D$3:$D$357,AGGREGATE(15,6,(ROW('מלאי'!$D$3:$D$357)-ROW('מלאי'!$D$3)+1)/('מלאי'!$T$3:$T$357="מושאל"),33)),"")</f>
        <v/>
      </c>
      <c r="C37">
        <f>IF(B37="","",IFERROR(INDEX('מלאי'!$B$3:$B$357,MATCH(B37,'מלאי'!$D$3:$D$357,0)),""))</f>
        <v/>
      </c>
      <c r="D37">
        <f>IF(B37="","",IFERROR(INDEX('מלאי'!$A$3:$A$357,MATCH(B37,'מלאי'!$D$3:$D$357,0)),""))</f>
        <v/>
      </c>
      <c r="E37">
        <f>IF(B37="","",IFERROR(INDEX('מלאי'!$V$3:$V$357,MATCH(B37,'מלאי'!$D$3:$D$357,0)),""))</f>
        <v/>
      </c>
      <c r="F37">
        <f>IF(B37="","",IFERROR(INDEX('מלאי'!$W$3:$W$357,MATCH(B37,'מלאי'!$D$3:$D$357,0)),""))</f>
        <v/>
      </c>
      <c r="G37">
        <f>IF(B37="","",IFERROR(INDEX('מלאי'!$X$3:$X$357,MATCH(B37,'מלאי'!$D$3:$D$357,0)),""))</f>
        <v/>
      </c>
      <c r="I37">
        <f>IF(B37="","",IFERROR(INDEX('מלאי'!$Y$3:$Y$357,MATCH(B37,'מלאי'!$D$3:$D$357,0)),""))</f>
        <v/>
      </c>
      <c r="K37">
        <f>IF(B37="","",IF(J37&lt;&gt;"","הוחזר","פעיל"))</f>
        <v/>
      </c>
      <c r="L37">
        <f>IF(AND(K37="פעיל",I37&lt;&gt;""),"עדיין מושאל","")</f>
        <v/>
      </c>
    </row>
    <row r="38">
      <c r="A38">
        <f>IF(B38="","",34)</f>
        <v/>
      </c>
      <c r="B38">
        <f>IFERROR(INDEX('מלאי'!$D$3:$D$357,AGGREGATE(15,6,(ROW('מלאי'!$D$3:$D$357)-ROW('מלאי'!$D$3)+1)/('מלאי'!$T$3:$T$357="מושאל"),34)),"")</f>
        <v/>
      </c>
      <c r="C38">
        <f>IF(B38="","",IFERROR(INDEX('מלאי'!$B$3:$B$357,MATCH(B38,'מלאי'!$D$3:$D$357,0)),""))</f>
        <v/>
      </c>
      <c r="D38">
        <f>IF(B38="","",IFERROR(INDEX('מלאי'!$A$3:$A$357,MATCH(B38,'מלאי'!$D$3:$D$357,0)),""))</f>
        <v/>
      </c>
      <c r="E38">
        <f>IF(B38="","",IFERROR(INDEX('מלאי'!$V$3:$V$357,MATCH(B38,'מלאי'!$D$3:$D$357,0)),""))</f>
        <v/>
      </c>
      <c r="F38">
        <f>IF(B38="","",IFERROR(INDEX('מלאי'!$W$3:$W$357,MATCH(B38,'מלאי'!$D$3:$D$357,0)),""))</f>
        <v/>
      </c>
      <c r="G38">
        <f>IF(B38="","",IFERROR(INDEX('מלאי'!$X$3:$X$357,MATCH(B38,'מלאי'!$D$3:$D$357,0)),""))</f>
        <v/>
      </c>
      <c r="I38">
        <f>IF(B38="","",IFERROR(INDEX('מלאי'!$Y$3:$Y$357,MATCH(B38,'מלאי'!$D$3:$D$357,0)),""))</f>
        <v/>
      </c>
      <c r="K38">
        <f>IF(B38="","",IF(J38&lt;&gt;"","הוחזר","פעיל"))</f>
        <v/>
      </c>
      <c r="L38">
        <f>IF(AND(K38="פעיל",I38&lt;&gt;""),"עדיין מושאל","")</f>
        <v/>
      </c>
    </row>
    <row r="39">
      <c r="A39">
        <f>IF(B39="","",35)</f>
        <v/>
      </c>
      <c r="B39">
        <f>IFERROR(INDEX('מלאי'!$D$3:$D$357,AGGREGATE(15,6,(ROW('מלאי'!$D$3:$D$357)-ROW('מלאי'!$D$3)+1)/('מלאי'!$T$3:$T$357="מושאל"),35)),"")</f>
        <v/>
      </c>
      <c r="C39">
        <f>IF(B39="","",IFERROR(INDEX('מלאי'!$B$3:$B$357,MATCH(B39,'מלאי'!$D$3:$D$357,0)),""))</f>
        <v/>
      </c>
      <c r="D39">
        <f>IF(B39="","",IFERROR(INDEX('מלאי'!$A$3:$A$357,MATCH(B39,'מלאי'!$D$3:$D$357,0)),""))</f>
        <v/>
      </c>
      <c r="E39">
        <f>IF(B39="","",IFERROR(INDEX('מלאי'!$V$3:$V$357,MATCH(B39,'מלאי'!$D$3:$D$357,0)),""))</f>
        <v/>
      </c>
      <c r="F39">
        <f>IF(B39="","",IFERROR(INDEX('מלאי'!$W$3:$W$357,MATCH(B39,'מלאי'!$D$3:$D$357,0)),""))</f>
        <v/>
      </c>
      <c r="G39">
        <f>IF(B39="","",IFERROR(INDEX('מלאי'!$X$3:$X$357,MATCH(B39,'מלאי'!$D$3:$D$357,0)),""))</f>
        <v/>
      </c>
      <c r="I39">
        <f>IF(B39="","",IFERROR(INDEX('מלאי'!$Y$3:$Y$357,MATCH(B39,'מלאי'!$D$3:$D$357,0)),""))</f>
        <v/>
      </c>
      <c r="K39">
        <f>IF(B39="","",IF(J39&lt;&gt;"","הוחזר","פעיל"))</f>
        <v/>
      </c>
      <c r="L39">
        <f>IF(AND(K39="פעיל",I39&lt;&gt;""),"עדיין מושאל","")</f>
        <v/>
      </c>
    </row>
    <row r="40">
      <c r="A40">
        <f>IF(B40="","",36)</f>
        <v/>
      </c>
      <c r="B40">
        <f>IFERROR(INDEX('מלאי'!$D$3:$D$357,AGGREGATE(15,6,(ROW('מלאי'!$D$3:$D$357)-ROW('מלאי'!$D$3)+1)/('מלאי'!$T$3:$T$357="מושאל"),36)),"")</f>
        <v/>
      </c>
      <c r="C40">
        <f>IF(B40="","",IFERROR(INDEX('מלאי'!$B$3:$B$357,MATCH(B40,'מלאי'!$D$3:$D$357,0)),""))</f>
        <v/>
      </c>
      <c r="D40">
        <f>IF(B40="","",IFERROR(INDEX('מלאי'!$A$3:$A$357,MATCH(B40,'מלאי'!$D$3:$D$357,0)),""))</f>
        <v/>
      </c>
      <c r="E40">
        <f>IF(B40="","",IFERROR(INDEX('מלאי'!$V$3:$V$357,MATCH(B40,'מלאי'!$D$3:$D$357,0)),""))</f>
        <v/>
      </c>
      <c r="F40">
        <f>IF(B40="","",IFERROR(INDEX('מלאי'!$W$3:$W$357,MATCH(B40,'מלאי'!$D$3:$D$357,0)),""))</f>
        <v/>
      </c>
      <c r="G40">
        <f>IF(B40="","",IFERROR(INDEX('מלאי'!$X$3:$X$357,MATCH(B40,'מלאי'!$D$3:$D$357,0)),""))</f>
        <v/>
      </c>
      <c r="I40">
        <f>IF(B40="","",IFERROR(INDEX('מלאי'!$Y$3:$Y$357,MATCH(B40,'מלאי'!$D$3:$D$357,0)),""))</f>
        <v/>
      </c>
      <c r="K40">
        <f>IF(B40="","",IF(J40&lt;&gt;"","הוחזר","פעיל"))</f>
        <v/>
      </c>
      <c r="L40">
        <f>IF(AND(K40="פעיל",I40&lt;&gt;""),"עדיין מושאל","")</f>
        <v/>
      </c>
    </row>
    <row r="41">
      <c r="A41">
        <f>IF(B41="","",37)</f>
        <v/>
      </c>
      <c r="B41">
        <f>IFERROR(INDEX('מלאי'!$D$3:$D$357,AGGREGATE(15,6,(ROW('מלאי'!$D$3:$D$357)-ROW('מלאי'!$D$3)+1)/('מלאי'!$T$3:$T$357="מושאל"),37)),"")</f>
        <v/>
      </c>
      <c r="C41">
        <f>IF(B41="","",IFERROR(INDEX('מלאי'!$B$3:$B$357,MATCH(B41,'מלאי'!$D$3:$D$357,0)),""))</f>
        <v/>
      </c>
      <c r="D41">
        <f>IF(B41="","",IFERROR(INDEX('מלאי'!$A$3:$A$357,MATCH(B41,'מלאי'!$D$3:$D$357,0)),""))</f>
        <v/>
      </c>
      <c r="E41">
        <f>IF(B41="","",IFERROR(INDEX('מלאי'!$V$3:$V$357,MATCH(B41,'מלאי'!$D$3:$D$357,0)),""))</f>
        <v/>
      </c>
      <c r="F41">
        <f>IF(B41="","",IFERROR(INDEX('מלאי'!$W$3:$W$357,MATCH(B41,'מלאי'!$D$3:$D$357,0)),""))</f>
        <v/>
      </c>
      <c r="G41">
        <f>IF(B41="","",IFERROR(INDEX('מלאי'!$X$3:$X$357,MATCH(B41,'מלאי'!$D$3:$D$357,0)),""))</f>
        <v/>
      </c>
      <c r="I41">
        <f>IF(B41="","",IFERROR(INDEX('מלאי'!$Y$3:$Y$357,MATCH(B41,'מלאי'!$D$3:$D$357,0)),""))</f>
        <v/>
      </c>
      <c r="K41">
        <f>IF(B41="","",IF(J41&lt;&gt;"","הוחזר","פעיל"))</f>
        <v/>
      </c>
      <c r="L41">
        <f>IF(AND(K41="פעיל",I41&lt;&gt;""),"עדיין מושאל","")</f>
        <v/>
      </c>
    </row>
    <row r="42">
      <c r="A42">
        <f>IF(B42="","",38)</f>
        <v/>
      </c>
      <c r="B42">
        <f>IFERROR(INDEX('מלאי'!$D$3:$D$357,AGGREGATE(15,6,(ROW('מלאי'!$D$3:$D$357)-ROW('מלאי'!$D$3)+1)/('מלאי'!$T$3:$T$357="מושאל"),38)),"")</f>
        <v/>
      </c>
      <c r="C42">
        <f>IF(B42="","",IFERROR(INDEX('מלאי'!$B$3:$B$357,MATCH(B42,'מלאי'!$D$3:$D$357,0)),""))</f>
        <v/>
      </c>
      <c r="D42">
        <f>IF(B42="","",IFERROR(INDEX('מלאי'!$A$3:$A$357,MATCH(B42,'מלאי'!$D$3:$D$357,0)),""))</f>
        <v/>
      </c>
      <c r="E42">
        <f>IF(B42="","",IFERROR(INDEX('מלאי'!$V$3:$V$357,MATCH(B42,'מלאי'!$D$3:$D$357,0)),""))</f>
        <v/>
      </c>
      <c r="F42">
        <f>IF(B42="","",IFERROR(INDEX('מלאי'!$W$3:$W$357,MATCH(B42,'מלאי'!$D$3:$D$357,0)),""))</f>
        <v/>
      </c>
      <c r="G42">
        <f>IF(B42="","",IFERROR(INDEX('מלאי'!$X$3:$X$357,MATCH(B42,'מלאי'!$D$3:$D$357,0)),""))</f>
        <v/>
      </c>
      <c r="I42">
        <f>IF(B42="","",IFERROR(INDEX('מלאי'!$Y$3:$Y$357,MATCH(B42,'מלאי'!$D$3:$D$357,0)),""))</f>
        <v/>
      </c>
      <c r="K42">
        <f>IF(B42="","",IF(J42&lt;&gt;"","הוחזר","פעיל"))</f>
        <v/>
      </c>
      <c r="L42">
        <f>IF(AND(K42="פעיל",I42&lt;&gt;""),"עדיין מושאל","")</f>
        <v/>
      </c>
    </row>
    <row r="43">
      <c r="A43">
        <f>IF(B43="","",39)</f>
        <v/>
      </c>
      <c r="B43">
        <f>IFERROR(INDEX('מלאי'!$D$3:$D$357,AGGREGATE(15,6,(ROW('מלאי'!$D$3:$D$357)-ROW('מלאי'!$D$3)+1)/('מלאי'!$T$3:$T$357="מושאל"),39)),"")</f>
        <v/>
      </c>
      <c r="C43">
        <f>IF(B43="","",IFERROR(INDEX('מלאי'!$B$3:$B$357,MATCH(B43,'מלאי'!$D$3:$D$357,0)),""))</f>
        <v/>
      </c>
      <c r="D43">
        <f>IF(B43="","",IFERROR(INDEX('מלאי'!$A$3:$A$357,MATCH(B43,'מלאי'!$D$3:$D$357,0)),""))</f>
        <v/>
      </c>
      <c r="E43">
        <f>IF(B43="","",IFERROR(INDEX('מלאי'!$V$3:$V$357,MATCH(B43,'מלאי'!$D$3:$D$357,0)),""))</f>
        <v/>
      </c>
      <c r="F43">
        <f>IF(B43="","",IFERROR(INDEX('מלאי'!$W$3:$W$357,MATCH(B43,'מלאי'!$D$3:$D$357,0)),""))</f>
        <v/>
      </c>
      <c r="G43">
        <f>IF(B43="","",IFERROR(INDEX('מלאי'!$X$3:$X$357,MATCH(B43,'מלאי'!$D$3:$D$357,0)),""))</f>
        <v/>
      </c>
      <c r="I43">
        <f>IF(B43="","",IFERROR(INDEX('מלאי'!$Y$3:$Y$357,MATCH(B43,'מלאי'!$D$3:$D$357,0)),""))</f>
        <v/>
      </c>
      <c r="K43">
        <f>IF(B43="","",IF(J43&lt;&gt;"","הוחזר","פעיל"))</f>
        <v/>
      </c>
      <c r="L43">
        <f>IF(AND(K43="פעיל",I43&lt;&gt;""),"עדיין מושאל","")</f>
        <v/>
      </c>
    </row>
    <row r="44">
      <c r="A44">
        <f>IF(B44="","",40)</f>
        <v/>
      </c>
      <c r="B44">
        <f>IFERROR(INDEX('מלאי'!$D$3:$D$357,AGGREGATE(15,6,(ROW('מלאי'!$D$3:$D$357)-ROW('מלאי'!$D$3)+1)/('מלאי'!$T$3:$T$357="מושאל"),40)),"")</f>
        <v/>
      </c>
      <c r="C44">
        <f>IF(B44="","",IFERROR(INDEX('מלאי'!$B$3:$B$357,MATCH(B44,'מלאי'!$D$3:$D$357,0)),""))</f>
        <v/>
      </c>
      <c r="D44">
        <f>IF(B44="","",IFERROR(INDEX('מלאי'!$A$3:$A$357,MATCH(B44,'מלאי'!$D$3:$D$357,0)),""))</f>
        <v/>
      </c>
      <c r="E44">
        <f>IF(B44="","",IFERROR(INDEX('מלאי'!$V$3:$V$357,MATCH(B44,'מלאי'!$D$3:$D$357,0)),""))</f>
        <v/>
      </c>
      <c r="F44">
        <f>IF(B44="","",IFERROR(INDEX('מלאי'!$W$3:$W$357,MATCH(B44,'מלאי'!$D$3:$D$357,0)),""))</f>
        <v/>
      </c>
      <c r="G44">
        <f>IF(B44="","",IFERROR(INDEX('מלאי'!$X$3:$X$357,MATCH(B44,'מלאי'!$D$3:$D$357,0)),""))</f>
        <v/>
      </c>
      <c r="I44">
        <f>IF(B44="","",IFERROR(INDEX('מלאי'!$Y$3:$Y$357,MATCH(B44,'מלאי'!$D$3:$D$357,0)),""))</f>
        <v/>
      </c>
      <c r="K44">
        <f>IF(B44="","",IF(J44&lt;&gt;"","הוחזר","פעיל"))</f>
        <v/>
      </c>
      <c r="L44">
        <f>IF(AND(K44="פעיל",I44&lt;&gt;""),"עדיין מושאל","")</f>
        <v/>
      </c>
    </row>
    <row r="45">
      <c r="A45">
        <f>IF(B45="","",41)</f>
        <v/>
      </c>
      <c r="B45">
        <f>IFERROR(INDEX('מלאי'!$D$3:$D$357,AGGREGATE(15,6,(ROW('מלאי'!$D$3:$D$357)-ROW('מלאי'!$D$3)+1)/('מלאי'!$T$3:$T$357="מושאל"),41)),"")</f>
        <v/>
      </c>
      <c r="C45">
        <f>IF(B45="","",IFERROR(INDEX('מלאי'!$B$3:$B$357,MATCH(B45,'מלאי'!$D$3:$D$357,0)),""))</f>
        <v/>
      </c>
      <c r="D45">
        <f>IF(B45="","",IFERROR(INDEX('מלאי'!$A$3:$A$357,MATCH(B45,'מלאי'!$D$3:$D$357,0)),""))</f>
        <v/>
      </c>
      <c r="E45">
        <f>IF(B45="","",IFERROR(INDEX('מלאי'!$V$3:$V$357,MATCH(B45,'מלאי'!$D$3:$D$357,0)),""))</f>
        <v/>
      </c>
      <c r="F45">
        <f>IF(B45="","",IFERROR(INDEX('מלאי'!$W$3:$W$357,MATCH(B45,'מלאי'!$D$3:$D$357,0)),""))</f>
        <v/>
      </c>
      <c r="G45">
        <f>IF(B45="","",IFERROR(INDEX('מלאי'!$X$3:$X$357,MATCH(B45,'מלאי'!$D$3:$D$357,0)),""))</f>
        <v/>
      </c>
      <c r="I45">
        <f>IF(B45="","",IFERROR(INDEX('מלאי'!$Y$3:$Y$357,MATCH(B45,'מלאי'!$D$3:$D$357,0)),""))</f>
        <v/>
      </c>
      <c r="K45">
        <f>IF(B45="","",IF(J45&lt;&gt;"","הוחזר","פעיל"))</f>
        <v/>
      </c>
      <c r="L45">
        <f>IF(AND(K45="פעיל",I45&lt;&gt;""),"עדיין מושאל","")</f>
        <v/>
      </c>
    </row>
    <row r="46">
      <c r="A46">
        <f>IF(B46="","",42)</f>
        <v/>
      </c>
      <c r="B46">
        <f>IFERROR(INDEX('מלאי'!$D$3:$D$357,AGGREGATE(15,6,(ROW('מלאי'!$D$3:$D$357)-ROW('מלאי'!$D$3)+1)/('מלאי'!$T$3:$T$357="מושאל"),42)),"")</f>
        <v/>
      </c>
      <c r="C46">
        <f>IF(B46="","",IFERROR(INDEX('מלאי'!$B$3:$B$357,MATCH(B46,'מלאי'!$D$3:$D$357,0)),""))</f>
        <v/>
      </c>
      <c r="D46">
        <f>IF(B46="","",IFERROR(INDEX('מלאי'!$A$3:$A$357,MATCH(B46,'מלאי'!$D$3:$D$357,0)),""))</f>
        <v/>
      </c>
      <c r="E46">
        <f>IF(B46="","",IFERROR(INDEX('מלאי'!$V$3:$V$357,MATCH(B46,'מלאי'!$D$3:$D$357,0)),""))</f>
        <v/>
      </c>
      <c r="F46">
        <f>IF(B46="","",IFERROR(INDEX('מלאי'!$W$3:$W$357,MATCH(B46,'מלאי'!$D$3:$D$357,0)),""))</f>
        <v/>
      </c>
      <c r="G46">
        <f>IF(B46="","",IFERROR(INDEX('מלאי'!$X$3:$X$357,MATCH(B46,'מלאי'!$D$3:$D$357,0)),""))</f>
        <v/>
      </c>
      <c r="I46">
        <f>IF(B46="","",IFERROR(INDEX('מלאי'!$Y$3:$Y$357,MATCH(B46,'מלאי'!$D$3:$D$357,0)),""))</f>
        <v/>
      </c>
      <c r="K46">
        <f>IF(B46="","",IF(J46&lt;&gt;"","הוחזר","פעיל"))</f>
        <v/>
      </c>
      <c r="L46">
        <f>IF(AND(K46="פעיל",I46&lt;&gt;""),"עדיין מושאל","")</f>
        <v/>
      </c>
    </row>
    <row r="47">
      <c r="A47">
        <f>IF(B47="","",43)</f>
        <v/>
      </c>
      <c r="B47">
        <f>IFERROR(INDEX('מלאי'!$D$3:$D$357,AGGREGATE(15,6,(ROW('מלאי'!$D$3:$D$357)-ROW('מלאי'!$D$3)+1)/('מלאי'!$T$3:$T$357="מושאל"),43)),"")</f>
        <v/>
      </c>
      <c r="C47">
        <f>IF(B47="","",IFERROR(INDEX('מלאי'!$B$3:$B$357,MATCH(B47,'מלאי'!$D$3:$D$357,0)),""))</f>
        <v/>
      </c>
      <c r="D47">
        <f>IF(B47="","",IFERROR(INDEX('מלאי'!$A$3:$A$357,MATCH(B47,'מלאי'!$D$3:$D$357,0)),""))</f>
        <v/>
      </c>
      <c r="E47">
        <f>IF(B47="","",IFERROR(INDEX('מלאי'!$V$3:$V$357,MATCH(B47,'מלאי'!$D$3:$D$357,0)),""))</f>
        <v/>
      </c>
      <c r="F47">
        <f>IF(B47="","",IFERROR(INDEX('מלאי'!$W$3:$W$357,MATCH(B47,'מלאי'!$D$3:$D$357,0)),""))</f>
        <v/>
      </c>
      <c r="G47">
        <f>IF(B47="","",IFERROR(INDEX('מלאי'!$X$3:$X$357,MATCH(B47,'מלאי'!$D$3:$D$357,0)),""))</f>
        <v/>
      </c>
      <c r="I47">
        <f>IF(B47="","",IFERROR(INDEX('מלאי'!$Y$3:$Y$357,MATCH(B47,'מלאי'!$D$3:$D$357,0)),""))</f>
        <v/>
      </c>
      <c r="K47">
        <f>IF(B47="","",IF(J47&lt;&gt;"","הוחזר","פעיל"))</f>
        <v/>
      </c>
      <c r="L47">
        <f>IF(AND(K47="פעיל",I47&lt;&gt;""),"עדיין מושאל","")</f>
        <v/>
      </c>
    </row>
    <row r="48">
      <c r="A48">
        <f>IF(B48="","",44)</f>
        <v/>
      </c>
      <c r="B48">
        <f>IFERROR(INDEX('מלאי'!$D$3:$D$357,AGGREGATE(15,6,(ROW('מלאי'!$D$3:$D$357)-ROW('מלאי'!$D$3)+1)/('מלאי'!$T$3:$T$357="מושאל"),44)),"")</f>
        <v/>
      </c>
      <c r="C48">
        <f>IF(B48="","",IFERROR(INDEX('מלאי'!$B$3:$B$357,MATCH(B48,'מלאי'!$D$3:$D$357,0)),""))</f>
        <v/>
      </c>
      <c r="D48">
        <f>IF(B48="","",IFERROR(INDEX('מלאי'!$A$3:$A$357,MATCH(B48,'מלאי'!$D$3:$D$357,0)),""))</f>
        <v/>
      </c>
      <c r="E48">
        <f>IF(B48="","",IFERROR(INDEX('מלאי'!$V$3:$V$357,MATCH(B48,'מלאי'!$D$3:$D$357,0)),""))</f>
        <v/>
      </c>
      <c r="F48">
        <f>IF(B48="","",IFERROR(INDEX('מלאי'!$W$3:$W$357,MATCH(B48,'מלאי'!$D$3:$D$357,0)),""))</f>
        <v/>
      </c>
      <c r="G48">
        <f>IF(B48="","",IFERROR(INDEX('מלאי'!$X$3:$X$357,MATCH(B48,'מלאי'!$D$3:$D$357,0)),""))</f>
        <v/>
      </c>
      <c r="I48">
        <f>IF(B48="","",IFERROR(INDEX('מלאי'!$Y$3:$Y$357,MATCH(B48,'מלאי'!$D$3:$D$357,0)),""))</f>
        <v/>
      </c>
      <c r="K48">
        <f>IF(B48="","",IF(J48&lt;&gt;"","הוחזר","פעיל"))</f>
        <v/>
      </c>
      <c r="L48">
        <f>IF(AND(K48="פעיל",I48&lt;&gt;""),"עדיין מושאל","")</f>
        <v/>
      </c>
    </row>
    <row r="49">
      <c r="A49">
        <f>IF(B49="","",45)</f>
        <v/>
      </c>
      <c r="B49">
        <f>IFERROR(INDEX('מלאי'!$D$3:$D$357,AGGREGATE(15,6,(ROW('מלאי'!$D$3:$D$357)-ROW('מלאי'!$D$3)+1)/('מלאי'!$T$3:$T$357="מושאל"),45)),"")</f>
        <v/>
      </c>
      <c r="C49">
        <f>IF(B49="","",IFERROR(INDEX('מלאי'!$B$3:$B$357,MATCH(B49,'מלאי'!$D$3:$D$357,0)),""))</f>
        <v/>
      </c>
      <c r="D49">
        <f>IF(B49="","",IFERROR(INDEX('מלאי'!$A$3:$A$357,MATCH(B49,'מלאי'!$D$3:$D$357,0)),""))</f>
        <v/>
      </c>
      <c r="E49">
        <f>IF(B49="","",IFERROR(INDEX('מלאי'!$V$3:$V$357,MATCH(B49,'מלאי'!$D$3:$D$357,0)),""))</f>
        <v/>
      </c>
      <c r="F49">
        <f>IF(B49="","",IFERROR(INDEX('מלאי'!$W$3:$W$357,MATCH(B49,'מלאי'!$D$3:$D$357,0)),""))</f>
        <v/>
      </c>
      <c r="G49">
        <f>IF(B49="","",IFERROR(INDEX('מלאי'!$X$3:$X$357,MATCH(B49,'מלאי'!$D$3:$D$357,0)),""))</f>
        <v/>
      </c>
      <c r="I49">
        <f>IF(B49="","",IFERROR(INDEX('מלאי'!$Y$3:$Y$357,MATCH(B49,'מלאי'!$D$3:$D$357,0)),""))</f>
        <v/>
      </c>
      <c r="K49">
        <f>IF(B49="","",IF(J49&lt;&gt;"","הוחזר","פעיל"))</f>
        <v/>
      </c>
      <c r="L49">
        <f>IF(AND(K49="פעיל",I49&lt;&gt;""),"עדיין מושאל","")</f>
        <v/>
      </c>
    </row>
    <row r="50">
      <c r="A50">
        <f>IF(B50="","",46)</f>
        <v/>
      </c>
      <c r="B50">
        <f>IFERROR(INDEX('מלאי'!$D$3:$D$357,AGGREGATE(15,6,(ROW('מלאי'!$D$3:$D$357)-ROW('מלאי'!$D$3)+1)/('מלאי'!$T$3:$T$357="מושאל"),46)),"")</f>
        <v/>
      </c>
      <c r="C50">
        <f>IF(B50="","",IFERROR(INDEX('מלאי'!$B$3:$B$357,MATCH(B50,'מלאי'!$D$3:$D$357,0)),""))</f>
        <v/>
      </c>
      <c r="D50">
        <f>IF(B50="","",IFERROR(INDEX('מלאי'!$A$3:$A$357,MATCH(B50,'מלאי'!$D$3:$D$357,0)),""))</f>
        <v/>
      </c>
      <c r="E50">
        <f>IF(B50="","",IFERROR(INDEX('מלאי'!$V$3:$V$357,MATCH(B50,'מלאי'!$D$3:$D$357,0)),""))</f>
        <v/>
      </c>
      <c r="F50">
        <f>IF(B50="","",IFERROR(INDEX('מלאי'!$W$3:$W$357,MATCH(B50,'מלאי'!$D$3:$D$357,0)),""))</f>
        <v/>
      </c>
      <c r="G50">
        <f>IF(B50="","",IFERROR(INDEX('מלאי'!$X$3:$X$357,MATCH(B50,'מלאי'!$D$3:$D$357,0)),""))</f>
        <v/>
      </c>
      <c r="I50">
        <f>IF(B50="","",IFERROR(INDEX('מלאי'!$Y$3:$Y$357,MATCH(B50,'מלאי'!$D$3:$D$357,0)),""))</f>
        <v/>
      </c>
      <c r="K50">
        <f>IF(B50="","",IF(J50&lt;&gt;"","הוחזר","פעיל"))</f>
        <v/>
      </c>
      <c r="L50">
        <f>IF(AND(K50="פעיל",I50&lt;&gt;""),"עדיין מושאל","")</f>
        <v/>
      </c>
    </row>
    <row r="51">
      <c r="A51">
        <f>IF(B51="","",47)</f>
        <v/>
      </c>
      <c r="B51">
        <f>IFERROR(INDEX('מלאי'!$D$3:$D$357,AGGREGATE(15,6,(ROW('מלאי'!$D$3:$D$357)-ROW('מלאי'!$D$3)+1)/('מלאי'!$T$3:$T$357="מושאל"),47)),"")</f>
        <v/>
      </c>
      <c r="C51">
        <f>IF(B51="","",IFERROR(INDEX('מלאי'!$B$3:$B$357,MATCH(B51,'מלאי'!$D$3:$D$357,0)),""))</f>
        <v/>
      </c>
      <c r="D51">
        <f>IF(B51="","",IFERROR(INDEX('מלאי'!$A$3:$A$357,MATCH(B51,'מלאי'!$D$3:$D$357,0)),""))</f>
        <v/>
      </c>
      <c r="E51">
        <f>IF(B51="","",IFERROR(INDEX('מלאי'!$V$3:$V$357,MATCH(B51,'מלאי'!$D$3:$D$357,0)),""))</f>
        <v/>
      </c>
      <c r="F51">
        <f>IF(B51="","",IFERROR(INDEX('מלאי'!$W$3:$W$357,MATCH(B51,'מלאי'!$D$3:$D$357,0)),""))</f>
        <v/>
      </c>
      <c r="G51">
        <f>IF(B51="","",IFERROR(INDEX('מלאי'!$X$3:$X$357,MATCH(B51,'מלאי'!$D$3:$D$357,0)),""))</f>
        <v/>
      </c>
      <c r="I51">
        <f>IF(B51="","",IFERROR(INDEX('מלאי'!$Y$3:$Y$357,MATCH(B51,'מלאי'!$D$3:$D$357,0)),""))</f>
        <v/>
      </c>
      <c r="K51">
        <f>IF(B51="","",IF(J51&lt;&gt;"","הוחזר","פעיל"))</f>
        <v/>
      </c>
      <c r="L51">
        <f>IF(AND(K51="פעיל",I51&lt;&gt;""),"עדיין מושאל","")</f>
        <v/>
      </c>
    </row>
    <row r="52">
      <c r="A52">
        <f>IF(B52="","",48)</f>
        <v/>
      </c>
      <c r="B52">
        <f>IFERROR(INDEX('מלאי'!$D$3:$D$357,AGGREGATE(15,6,(ROW('מלאי'!$D$3:$D$357)-ROW('מלאי'!$D$3)+1)/('מלאי'!$T$3:$T$357="מושאל"),48)),"")</f>
        <v/>
      </c>
      <c r="C52">
        <f>IF(B52="","",IFERROR(INDEX('מלאי'!$B$3:$B$357,MATCH(B52,'מלאי'!$D$3:$D$357,0)),""))</f>
        <v/>
      </c>
      <c r="D52">
        <f>IF(B52="","",IFERROR(INDEX('מלאי'!$A$3:$A$357,MATCH(B52,'מלאי'!$D$3:$D$357,0)),""))</f>
        <v/>
      </c>
      <c r="E52">
        <f>IF(B52="","",IFERROR(INDEX('מלאי'!$V$3:$V$357,MATCH(B52,'מלאי'!$D$3:$D$357,0)),""))</f>
        <v/>
      </c>
      <c r="F52">
        <f>IF(B52="","",IFERROR(INDEX('מלאי'!$W$3:$W$357,MATCH(B52,'מלאי'!$D$3:$D$357,0)),""))</f>
        <v/>
      </c>
      <c r="G52">
        <f>IF(B52="","",IFERROR(INDEX('מלאי'!$X$3:$X$357,MATCH(B52,'מלאי'!$D$3:$D$357,0)),""))</f>
        <v/>
      </c>
      <c r="I52">
        <f>IF(B52="","",IFERROR(INDEX('מלאי'!$Y$3:$Y$357,MATCH(B52,'מלאי'!$D$3:$D$357,0)),""))</f>
        <v/>
      </c>
      <c r="K52">
        <f>IF(B52="","",IF(J52&lt;&gt;"","הוחזר","פעיל"))</f>
        <v/>
      </c>
      <c r="L52">
        <f>IF(AND(K52="פעיל",I52&lt;&gt;""),"עדיין מושאל","")</f>
        <v/>
      </c>
    </row>
    <row r="53">
      <c r="A53">
        <f>IF(B53="","",49)</f>
        <v/>
      </c>
      <c r="B53">
        <f>IFERROR(INDEX('מלאי'!$D$3:$D$357,AGGREGATE(15,6,(ROW('מלאי'!$D$3:$D$357)-ROW('מלאי'!$D$3)+1)/('מלאי'!$T$3:$T$357="מושאל"),49)),"")</f>
        <v/>
      </c>
      <c r="C53">
        <f>IF(B53="","",IFERROR(INDEX('מלאי'!$B$3:$B$357,MATCH(B53,'מלאי'!$D$3:$D$357,0)),""))</f>
        <v/>
      </c>
      <c r="D53">
        <f>IF(B53="","",IFERROR(INDEX('מלאי'!$A$3:$A$357,MATCH(B53,'מלאי'!$D$3:$D$357,0)),""))</f>
        <v/>
      </c>
      <c r="E53">
        <f>IF(B53="","",IFERROR(INDEX('מלאי'!$V$3:$V$357,MATCH(B53,'מלאי'!$D$3:$D$357,0)),""))</f>
        <v/>
      </c>
      <c r="F53">
        <f>IF(B53="","",IFERROR(INDEX('מלאי'!$W$3:$W$357,MATCH(B53,'מלאי'!$D$3:$D$357,0)),""))</f>
        <v/>
      </c>
      <c r="G53">
        <f>IF(B53="","",IFERROR(INDEX('מלאי'!$X$3:$X$357,MATCH(B53,'מלאי'!$D$3:$D$357,0)),""))</f>
        <v/>
      </c>
      <c r="I53">
        <f>IF(B53="","",IFERROR(INDEX('מלאי'!$Y$3:$Y$357,MATCH(B53,'מלאי'!$D$3:$D$357,0)),""))</f>
        <v/>
      </c>
      <c r="K53">
        <f>IF(B53="","",IF(J53&lt;&gt;"","הוחזר","פעיל"))</f>
        <v/>
      </c>
      <c r="L53">
        <f>IF(AND(K53="פעיל",I53&lt;&gt;""),"עדיין מושאל","")</f>
        <v/>
      </c>
    </row>
    <row r="54">
      <c r="A54">
        <f>IF(B54="","",50)</f>
        <v/>
      </c>
      <c r="B54">
        <f>IFERROR(INDEX('מלאי'!$D$3:$D$357,AGGREGATE(15,6,(ROW('מלאי'!$D$3:$D$357)-ROW('מלאי'!$D$3)+1)/('מלאי'!$T$3:$T$357="מושאל"),50)),"")</f>
        <v/>
      </c>
      <c r="C54">
        <f>IF(B54="","",IFERROR(INDEX('מלאי'!$B$3:$B$357,MATCH(B54,'מלאי'!$D$3:$D$357,0)),""))</f>
        <v/>
      </c>
      <c r="D54">
        <f>IF(B54="","",IFERROR(INDEX('מלאי'!$A$3:$A$357,MATCH(B54,'מלאי'!$D$3:$D$357,0)),""))</f>
        <v/>
      </c>
      <c r="E54">
        <f>IF(B54="","",IFERROR(INDEX('מלאי'!$V$3:$V$357,MATCH(B54,'מלאי'!$D$3:$D$357,0)),""))</f>
        <v/>
      </c>
      <c r="F54">
        <f>IF(B54="","",IFERROR(INDEX('מלאי'!$W$3:$W$357,MATCH(B54,'מלאי'!$D$3:$D$357,0)),""))</f>
        <v/>
      </c>
      <c r="G54">
        <f>IF(B54="","",IFERROR(INDEX('מלאי'!$X$3:$X$357,MATCH(B54,'מלאי'!$D$3:$D$357,0)),""))</f>
        <v/>
      </c>
      <c r="I54">
        <f>IF(B54="","",IFERROR(INDEX('מלאי'!$Y$3:$Y$357,MATCH(B54,'מלאי'!$D$3:$D$357,0)),""))</f>
        <v/>
      </c>
      <c r="K54">
        <f>IF(B54="","",IF(J54&lt;&gt;"","הוחזר","פעיל"))</f>
        <v/>
      </c>
      <c r="L54">
        <f>IF(AND(K54="פעיל",I54&lt;&gt;""),"עדיין מושאל","")</f>
        <v/>
      </c>
    </row>
    <row r="55">
      <c r="A55">
        <f>IF(B55="","",51)</f>
        <v/>
      </c>
      <c r="B55">
        <f>IFERROR(INDEX('מלאי'!$D$3:$D$357,AGGREGATE(15,6,(ROW('מלאי'!$D$3:$D$357)-ROW('מלאי'!$D$3)+1)/('מלאי'!$T$3:$T$357="מושאל"),51)),"")</f>
        <v/>
      </c>
      <c r="C55">
        <f>IF(B55="","",IFERROR(INDEX('מלאי'!$B$3:$B$357,MATCH(B55,'מלאי'!$D$3:$D$357,0)),""))</f>
        <v/>
      </c>
      <c r="D55">
        <f>IF(B55="","",IFERROR(INDEX('מלאי'!$A$3:$A$357,MATCH(B55,'מלאי'!$D$3:$D$357,0)),""))</f>
        <v/>
      </c>
      <c r="E55">
        <f>IF(B55="","",IFERROR(INDEX('מלאי'!$V$3:$V$357,MATCH(B55,'מלאי'!$D$3:$D$357,0)),""))</f>
        <v/>
      </c>
      <c r="F55">
        <f>IF(B55="","",IFERROR(INDEX('מלאי'!$W$3:$W$357,MATCH(B55,'מלאי'!$D$3:$D$357,0)),""))</f>
        <v/>
      </c>
      <c r="G55">
        <f>IF(B55="","",IFERROR(INDEX('מלאי'!$X$3:$X$357,MATCH(B55,'מלאי'!$D$3:$D$357,0)),""))</f>
        <v/>
      </c>
      <c r="I55">
        <f>IF(B55="","",IFERROR(INDEX('מלאי'!$Y$3:$Y$357,MATCH(B55,'מלאי'!$D$3:$D$357,0)),""))</f>
        <v/>
      </c>
      <c r="K55">
        <f>IF(B55="","",IF(J55&lt;&gt;"","הוחזר","פעיל"))</f>
        <v/>
      </c>
      <c r="L55">
        <f>IF(AND(K55="פעיל",I55&lt;&gt;""),"עדיין מושאל","")</f>
        <v/>
      </c>
    </row>
    <row r="56">
      <c r="A56">
        <f>IF(B56="","",52)</f>
        <v/>
      </c>
      <c r="B56">
        <f>IFERROR(INDEX('מלאי'!$D$3:$D$357,AGGREGATE(15,6,(ROW('מלאי'!$D$3:$D$357)-ROW('מלאי'!$D$3)+1)/('מלאי'!$T$3:$T$357="מושאל"),52)),"")</f>
        <v/>
      </c>
      <c r="C56">
        <f>IF(B56="","",IFERROR(INDEX('מלאי'!$B$3:$B$357,MATCH(B56,'מלאי'!$D$3:$D$357,0)),""))</f>
        <v/>
      </c>
      <c r="D56">
        <f>IF(B56="","",IFERROR(INDEX('מלאי'!$A$3:$A$357,MATCH(B56,'מלאי'!$D$3:$D$357,0)),""))</f>
        <v/>
      </c>
      <c r="E56">
        <f>IF(B56="","",IFERROR(INDEX('מלאי'!$V$3:$V$357,MATCH(B56,'מלאי'!$D$3:$D$357,0)),""))</f>
        <v/>
      </c>
      <c r="F56">
        <f>IF(B56="","",IFERROR(INDEX('מלאי'!$W$3:$W$357,MATCH(B56,'מלאי'!$D$3:$D$357,0)),""))</f>
        <v/>
      </c>
      <c r="G56">
        <f>IF(B56="","",IFERROR(INDEX('מלאי'!$X$3:$X$357,MATCH(B56,'מלאי'!$D$3:$D$357,0)),""))</f>
        <v/>
      </c>
      <c r="I56">
        <f>IF(B56="","",IFERROR(INDEX('מלאי'!$Y$3:$Y$357,MATCH(B56,'מלאי'!$D$3:$D$357,0)),""))</f>
        <v/>
      </c>
      <c r="K56">
        <f>IF(B56="","",IF(J56&lt;&gt;"","הוחזר","פעיל"))</f>
        <v/>
      </c>
      <c r="L56">
        <f>IF(AND(K56="פעיל",I56&lt;&gt;""),"עדיין מושאל","")</f>
        <v/>
      </c>
    </row>
    <row r="57">
      <c r="A57">
        <f>IF(B57="","",53)</f>
        <v/>
      </c>
      <c r="B57">
        <f>IFERROR(INDEX('מלאי'!$D$3:$D$357,AGGREGATE(15,6,(ROW('מלאי'!$D$3:$D$357)-ROW('מלאי'!$D$3)+1)/('מלאי'!$T$3:$T$357="מושאל"),53)),"")</f>
        <v/>
      </c>
      <c r="C57">
        <f>IF(B57="","",IFERROR(INDEX('מלאי'!$B$3:$B$357,MATCH(B57,'מלאי'!$D$3:$D$357,0)),""))</f>
        <v/>
      </c>
      <c r="D57">
        <f>IF(B57="","",IFERROR(INDEX('מלאי'!$A$3:$A$357,MATCH(B57,'מלאי'!$D$3:$D$357,0)),""))</f>
        <v/>
      </c>
      <c r="E57">
        <f>IF(B57="","",IFERROR(INDEX('מלאי'!$V$3:$V$357,MATCH(B57,'מלאי'!$D$3:$D$357,0)),""))</f>
        <v/>
      </c>
      <c r="F57">
        <f>IF(B57="","",IFERROR(INDEX('מלאי'!$W$3:$W$357,MATCH(B57,'מלאי'!$D$3:$D$357,0)),""))</f>
        <v/>
      </c>
      <c r="G57">
        <f>IF(B57="","",IFERROR(INDEX('מלאי'!$X$3:$X$357,MATCH(B57,'מלאי'!$D$3:$D$357,0)),""))</f>
        <v/>
      </c>
      <c r="I57">
        <f>IF(B57="","",IFERROR(INDEX('מלאי'!$Y$3:$Y$357,MATCH(B57,'מלאי'!$D$3:$D$357,0)),""))</f>
        <v/>
      </c>
      <c r="K57">
        <f>IF(B57="","",IF(J57&lt;&gt;"","הוחזר","פעיל"))</f>
        <v/>
      </c>
      <c r="L57">
        <f>IF(AND(K57="פעיל",I57&lt;&gt;""),"עדיין מושאל","")</f>
        <v/>
      </c>
    </row>
    <row r="58">
      <c r="A58">
        <f>IF(B58="","",54)</f>
        <v/>
      </c>
      <c r="B58">
        <f>IFERROR(INDEX('מלאי'!$D$3:$D$357,AGGREGATE(15,6,(ROW('מלאי'!$D$3:$D$357)-ROW('מלאי'!$D$3)+1)/('מלאי'!$T$3:$T$357="מושאל"),54)),"")</f>
        <v/>
      </c>
      <c r="C58">
        <f>IF(B58="","",IFERROR(INDEX('מלאי'!$B$3:$B$357,MATCH(B58,'מלאי'!$D$3:$D$357,0)),""))</f>
        <v/>
      </c>
      <c r="D58">
        <f>IF(B58="","",IFERROR(INDEX('מלאי'!$A$3:$A$357,MATCH(B58,'מלאי'!$D$3:$D$357,0)),""))</f>
        <v/>
      </c>
      <c r="E58">
        <f>IF(B58="","",IFERROR(INDEX('מלאי'!$V$3:$V$357,MATCH(B58,'מלאי'!$D$3:$D$357,0)),""))</f>
        <v/>
      </c>
      <c r="F58">
        <f>IF(B58="","",IFERROR(INDEX('מלאי'!$W$3:$W$357,MATCH(B58,'מלאי'!$D$3:$D$357,0)),""))</f>
        <v/>
      </c>
      <c r="G58">
        <f>IF(B58="","",IFERROR(INDEX('מלאי'!$X$3:$X$357,MATCH(B58,'מלאי'!$D$3:$D$357,0)),""))</f>
        <v/>
      </c>
      <c r="I58">
        <f>IF(B58="","",IFERROR(INDEX('מלאי'!$Y$3:$Y$357,MATCH(B58,'מלאי'!$D$3:$D$357,0)),""))</f>
        <v/>
      </c>
      <c r="K58">
        <f>IF(B58="","",IF(J58&lt;&gt;"","הוחזר","פעיל"))</f>
        <v/>
      </c>
      <c r="L58">
        <f>IF(AND(K58="פעיל",I58&lt;&gt;""),"עדיין מושאל","")</f>
        <v/>
      </c>
    </row>
    <row r="59">
      <c r="A59">
        <f>IF(B59="","",55)</f>
        <v/>
      </c>
      <c r="B59">
        <f>IFERROR(INDEX('מלאי'!$D$3:$D$357,AGGREGATE(15,6,(ROW('מלאי'!$D$3:$D$357)-ROW('מלאי'!$D$3)+1)/('מלאי'!$T$3:$T$357="מושאל"),55)),"")</f>
        <v/>
      </c>
      <c r="C59">
        <f>IF(B59="","",IFERROR(INDEX('מלאי'!$B$3:$B$357,MATCH(B59,'מלאי'!$D$3:$D$357,0)),""))</f>
        <v/>
      </c>
      <c r="D59">
        <f>IF(B59="","",IFERROR(INDEX('מלאי'!$A$3:$A$357,MATCH(B59,'מלאי'!$D$3:$D$357,0)),""))</f>
        <v/>
      </c>
      <c r="E59">
        <f>IF(B59="","",IFERROR(INDEX('מלאי'!$V$3:$V$357,MATCH(B59,'מלאי'!$D$3:$D$357,0)),""))</f>
        <v/>
      </c>
      <c r="F59">
        <f>IF(B59="","",IFERROR(INDEX('מלאי'!$W$3:$W$357,MATCH(B59,'מלאי'!$D$3:$D$357,0)),""))</f>
        <v/>
      </c>
      <c r="G59">
        <f>IF(B59="","",IFERROR(INDEX('מלאי'!$X$3:$X$357,MATCH(B59,'מלאי'!$D$3:$D$357,0)),""))</f>
        <v/>
      </c>
      <c r="I59">
        <f>IF(B59="","",IFERROR(INDEX('מלאי'!$Y$3:$Y$357,MATCH(B59,'מלאי'!$D$3:$D$357,0)),""))</f>
        <v/>
      </c>
      <c r="K59">
        <f>IF(B59="","",IF(J59&lt;&gt;"","הוחזר","פעיל"))</f>
        <v/>
      </c>
      <c r="L59">
        <f>IF(AND(K59="פעיל",I59&lt;&gt;""),"עדיין מושאל","")</f>
        <v/>
      </c>
    </row>
    <row r="60">
      <c r="A60">
        <f>IF(B60="","",56)</f>
        <v/>
      </c>
      <c r="B60">
        <f>IFERROR(INDEX('מלאי'!$D$3:$D$357,AGGREGATE(15,6,(ROW('מלאי'!$D$3:$D$357)-ROW('מלאי'!$D$3)+1)/('מלאי'!$T$3:$T$357="מושאל"),56)),"")</f>
        <v/>
      </c>
      <c r="C60">
        <f>IF(B60="","",IFERROR(INDEX('מלאי'!$B$3:$B$357,MATCH(B60,'מלאי'!$D$3:$D$357,0)),""))</f>
        <v/>
      </c>
      <c r="D60">
        <f>IF(B60="","",IFERROR(INDEX('מלאי'!$A$3:$A$357,MATCH(B60,'מלאי'!$D$3:$D$357,0)),""))</f>
        <v/>
      </c>
      <c r="E60">
        <f>IF(B60="","",IFERROR(INDEX('מלאי'!$V$3:$V$357,MATCH(B60,'מלאי'!$D$3:$D$357,0)),""))</f>
        <v/>
      </c>
      <c r="F60">
        <f>IF(B60="","",IFERROR(INDEX('מלאי'!$W$3:$W$357,MATCH(B60,'מלאי'!$D$3:$D$357,0)),""))</f>
        <v/>
      </c>
      <c r="G60">
        <f>IF(B60="","",IFERROR(INDEX('מלאי'!$X$3:$X$357,MATCH(B60,'מלאי'!$D$3:$D$357,0)),""))</f>
        <v/>
      </c>
      <c r="I60">
        <f>IF(B60="","",IFERROR(INDEX('מלאי'!$Y$3:$Y$357,MATCH(B60,'מלאי'!$D$3:$D$357,0)),""))</f>
        <v/>
      </c>
      <c r="K60">
        <f>IF(B60="","",IF(J60&lt;&gt;"","הוחזר","פעיל"))</f>
        <v/>
      </c>
      <c r="L60">
        <f>IF(AND(K60="פעיל",I60&lt;&gt;""),"עדיין מושאל","")</f>
        <v/>
      </c>
    </row>
    <row r="61">
      <c r="A61">
        <f>IF(B61="","",57)</f>
        <v/>
      </c>
      <c r="B61">
        <f>IFERROR(INDEX('מלאי'!$D$3:$D$357,AGGREGATE(15,6,(ROW('מלאי'!$D$3:$D$357)-ROW('מלאי'!$D$3)+1)/('מלאי'!$T$3:$T$357="מושאל"),57)),"")</f>
        <v/>
      </c>
      <c r="C61">
        <f>IF(B61="","",IFERROR(INDEX('מלאי'!$B$3:$B$357,MATCH(B61,'מלאי'!$D$3:$D$357,0)),""))</f>
        <v/>
      </c>
      <c r="D61">
        <f>IF(B61="","",IFERROR(INDEX('מלאי'!$A$3:$A$357,MATCH(B61,'מלאי'!$D$3:$D$357,0)),""))</f>
        <v/>
      </c>
      <c r="E61">
        <f>IF(B61="","",IFERROR(INDEX('מלאי'!$V$3:$V$357,MATCH(B61,'מלאי'!$D$3:$D$357,0)),""))</f>
        <v/>
      </c>
      <c r="F61">
        <f>IF(B61="","",IFERROR(INDEX('מלאי'!$W$3:$W$357,MATCH(B61,'מלאי'!$D$3:$D$357,0)),""))</f>
        <v/>
      </c>
      <c r="G61">
        <f>IF(B61="","",IFERROR(INDEX('מלאי'!$X$3:$X$357,MATCH(B61,'מלאי'!$D$3:$D$357,0)),""))</f>
        <v/>
      </c>
      <c r="I61">
        <f>IF(B61="","",IFERROR(INDEX('מלאי'!$Y$3:$Y$357,MATCH(B61,'מלאי'!$D$3:$D$357,0)),""))</f>
        <v/>
      </c>
      <c r="K61">
        <f>IF(B61="","",IF(J61&lt;&gt;"","הוחזר","פעיל"))</f>
        <v/>
      </c>
      <c r="L61">
        <f>IF(AND(K61="פעיל",I61&lt;&gt;""),"עדיין מושאל","")</f>
        <v/>
      </c>
    </row>
    <row r="62">
      <c r="A62">
        <f>IF(B62="","",58)</f>
        <v/>
      </c>
      <c r="B62">
        <f>IFERROR(INDEX('מלאי'!$D$3:$D$357,AGGREGATE(15,6,(ROW('מלאי'!$D$3:$D$357)-ROW('מלאי'!$D$3)+1)/('מלאי'!$T$3:$T$357="מושאל"),58)),"")</f>
        <v/>
      </c>
      <c r="C62">
        <f>IF(B62="","",IFERROR(INDEX('מלאי'!$B$3:$B$357,MATCH(B62,'מלאי'!$D$3:$D$357,0)),""))</f>
        <v/>
      </c>
      <c r="D62">
        <f>IF(B62="","",IFERROR(INDEX('מלאי'!$A$3:$A$357,MATCH(B62,'מלאי'!$D$3:$D$357,0)),""))</f>
        <v/>
      </c>
      <c r="E62">
        <f>IF(B62="","",IFERROR(INDEX('מלאי'!$V$3:$V$357,MATCH(B62,'מלאי'!$D$3:$D$357,0)),""))</f>
        <v/>
      </c>
      <c r="F62">
        <f>IF(B62="","",IFERROR(INDEX('מלאי'!$W$3:$W$357,MATCH(B62,'מלאי'!$D$3:$D$357,0)),""))</f>
        <v/>
      </c>
      <c r="G62">
        <f>IF(B62="","",IFERROR(INDEX('מלאי'!$X$3:$X$357,MATCH(B62,'מלאי'!$D$3:$D$357,0)),""))</f>
        <v/>
      </c>
      <c r="I62">
        <f>IF(B62="","",IFERROR(INDEX('מלאי'!$Y$3:$Y$357,MATCH(B62,'מלאי'!$D$3:$D$357,0)),""))</f>
        <v/>
      </c>
      <c r="K62">
        <f>IF(B62="","",IF(J62&lt;&gt;"","הוחזר","פעיל"))</f>
        <v/>
      </c>
      <c r="L62">
        <f>IF(AND(K62="פעיל",I62&lt;&gt;""),"עדיין מושאל","")</f>
        <v/>
      </c>
    </row>
    <row r="63">
      <c r="A63">
        <f>IF(B63="","",59)</f>
        <v/>
      </c>
      <c r="B63">
        <f>IFERROR(INDEX('מלאי'!$D$3:$D$357,AGGREGATE(15,6,(ROW('מלאי'!$D$3:$D$357)-ROW('מלאי'!$D$3)+1)/('מלאי'!$T$3:$T$357="מושאל"),59)),"")</f>
        <v/>
      </c>
      <c r="C63">
        <f>IF(B63="","",IFERROR(INDEX('מלאי'!$B$3:$B$357,MATCH(B63,'מלאי'!$D$3:$D$357,0)),""))</f>
        <v/>
      </c>
      <c r="D63">
        <f>IF(B63="","",IFERROR(INDEX('מלאי'!$A$3:$A$357,MATCH(B63,'מלאי'!$D$3:$D$357,0)),""))</f>
        <v/>
      </c>
      <c r="E63">
        <f>IF(B63="","",IFERROR(INDEX('מלאי'!$V$3:$V$357,MATCH(B63,'מלאי'!$D$3:$D$357,0)),""))</f>
        <v/>
      </c>
      <c r="F63">
        <f>IF(B63="","",IFERROR(INDEX('מלאי'!$W$3:$W$357,MATCH(B63,'מלאי'!$D$3:$D$357,0)),""))</f>
        <v/>
      </c>
      <c r="G63">
        <f>IF(B63="","",IFERROR(INDEX('מלאי'!$X$3:$X$357,MATCH(B63,'מלאי'!$D$3:$D$357,0)),""))</f>
        <v/>
      </c>
      <c r="I63">
        <f>IF(B63="","",IFERROR(INDEX('מלאי'!$Y$3:$Y$357,MATCH(B63,'מלאי'!$D$3:$D$357,0)),""))</f>
        <v/>
      </c>
      <c r="K63">
        <f>IF(B63="","",IF(J63&lt;&gt;"","הוחזר","פעיל"))</f>
        <v/>
      </c>
      <c r="L63">
        <f>IF(AND(K63="פעיל",I63&lt;&gt;""),"עדיין מושאל","")</f>
        <v/>
      </c>
    </row>
    <row r="64">
      <c r="A64">
        <f>IF(B64="","",60)</f>
        <v/>
      </c>
      <c r="B64">
        <f>IFERROR(INDEX('מלאי'!$D$3:$D$357,AGGREGATE(15,6,(ROW('מלאי'!$D$3:$D$357)-ROW('מלאי'!$D$3)+1)/('מלאי'!$T$3:$T$357="מושאל"),60)),"")</f>
        <v/>
      </c>
      <c r="C64">
        <f>IF(B64="","",IFERROR(INDEX('מלאי'!$B$3:$B$357,MATCH(B64,'מלאי'!$D$3:$D$357,0)),""))</f>
        <v/>
      </c>
      <c r="D64">
        <f>IF(B64="","",IFERROR(INDEX('מלאי'!$A$3:$A$357,MATCH(B64,'מלאי'!$D$3:$D$357,0)),""))</f>
        <v/>
      </c>
      <c r="E64">
        <f>IF(B64="","",IFERROR(INDEX('מלאי'!$V$3:$V$357,MATCH(B64,'מלאי'!$D$3:$D$357,0)),""))</f>
        <v/>
      </c>
      <c r="F64">
        <f>IF(B64="","",IFERROR(INDEX('מלאי'!$W$3:$W$357,MATCH(B64,'מלאי'!$D$3:$D$357,0)),""))</f>
        <v/>
      </c>
      <c r="G64">
        <f>IF(B64="","",IFERROR(INDEX('מלאי'!$X$3:$X$357,MATCH(B64,'מלאי'!$D$3:$D$357,0)),""))</f>
        <v/>
      </c>
      <c r="I64">
        <f>IF(B64="","",IFERROR(INDEX('מלאי'!$Y$3:$Y$357,MATCH(B64,'מלאי'!$D$3:$D$357,0)),""))</f>
        <v/>
      </c>
      <c r="K64">
        <f>IF(B64="","",IF(J64&lt;&gt;"","הוחזר","פעיל"))</f>
        <v/>
      </c>
      <c r="L64">
        <f>IF(AND(K64="פעיל",I64&lt;&gt;""),"עדיין מושאל","")</f>
        <v/>
      </c>
    </row>
    <row r="65">
      <c r="A65">
        <f>IF(B65="","",61)</f>
        <v/>
      </c>
      <c r="B65">
        <f>IFERROR(INDEX('מלאי'!$D$3:$D$357,AGGREGATE(15,6,(ROW('מלאי'!$D$3:$D$357)-ROW('מלאי'!$D$3)+1)/('מלאי'!$T$3:$T$357="מושאל"),61)),"")</f>
        <v/>
      </c>
      <c r="C65">
        <f>IF(B65="","",IFERROR(INDEX('מלאי'!$B$3:$B$357,MATCH(B65,'מלאי'!$D$3:$D$357,0)),""))</f>
        <v/>
      </c>
      <c r="D65">
        <f>IF(B65="","",IFERROR(INDEX('מלאי'!$A$3:$A$357,MATCH(B65,'מלאי'!$D$3:$D$357,0)),""))</f>
        <v/>
      </c>
      <c r="E65">
        <f>IF(B65="","",IFERROR(INDEX('מלאי'!$V$3:$V$357,MATCH(B65,'מלאי'!$D$3:$D$357,0)),""))</f>
        <v/>
      </c>
      <c r="F65">
        <f>IF(B65="","",IFERROR(INDEX('מלאי'!$W$3:$W$357,MATCH(B65,'מלאי'!$D$3:$D$357,0)),""))</f>
        <v/>
      </c>
      <c r="G65">
        <f>IF(B65="","",IFERROR(INDEX('מלאי'!$X$3:$X$357,MATCH(B65,'מלאי'!$D$3:$D$357,0)),""))</f>
        <v/>
      </c>
      <c r="I65">
        <f>IF(B65="","",IFERROR(INDEX('מלאי'!$Y$3:$Y$357,MATCH(B65,'מלאי'!$D$3:$D$357,0)),""))</f>
        <v/>
      </c>
      <c r="K65">
        <f>IF(B65="","",IF(J65&lt;&gt;"","הוחזר","פעיל"))</f>
        <v/>
      </c>
      <c r="L65">
        <f>IF(AND(K65="פעיל",I65&lt;&gt;""),"עדיין מושאל","")</f>
        <v/>
      </c>
    </row>
    <row r="66">
      <c r="A66">
        <f>IF(B66="","",62)</f>
        <v/>
      </c>
      <c r="B66">
        <f>IFERROR(INDEX('מלאי'!$D$3:$D$357,AGGREGATE(15,6,(ROW('מלאי'!$D$3:$D$357)-ROW('מלאי'!$D$3)+1)/('מלאי'!$T$3:$T$357="מושאל"),62)),"")</f>
        <v/>
      </c>
      <c r="C66">
        <f>IF(B66="","",IFERROR(INDEX('מלאי'!$B$3:$B$357,MATCH(B66,'מלאי'!$D$3:$D$357,0)),""))</f>
        <v/>
      </c>
      <c r="D66">
        <f>IF(B66="","",IFERROR(INDEX('מלאי'!$A$3:$A$357,MATCH(B66,'מלאי'!$D$3:$D$357,0)),""))</f>
        <v/>
      </c>
      <c r="E66">
        <f>IF(B66="","",IFERROR(INDEX('מלאי'!$V$3:$V$357,MATCH(B66,'מלאי'!$D$3:$D$357,0)),""))</f>
        <v/>
      </c>
      <c r="F66">
        <f>IF(B66="","",IFERROR(INDEX('מלאי'!$W$3:$W$357,MATCH(B66,'מלאי'!$D$3:$D$357,0)),""))</f>
        <v/>
      </c>
      <c r="G66">
        <f>IF(B66="","",IFERROR(INDEX('מלאי'!$X$3:$X$357,MATCH(B66,'מלאי'!$D$3:$D$357,0)),""))</f>
        <v/>
      </c>
      <c r="I66">
        <f>IF(B66="","",IFERROR(INDEX('מלאי'!$Y$3:$Y$357,MATCH(B66,'מלאי'!$D$3:$D$357,0)),""))</f>
        <v/>
      </c>
      <c r="K66">
        <f>IF(B66="","",IF(J66&lt;&gt;"","הוחזר","פעיל"))</f>
        <v/>
      </c>
      <c r="L66">
        <f>IF(AND(K66="פעיל",I66&lt;&gt;""),"עדיין מושאל","")</f>
        <v/>
      </c>
    </row>
    <row r="67">
      <c r="A67">
        <f>IF(B67="","",63)</f>
        <v/>
      </c>
      <c r="B67">
        <f>IFERROR(INDEX('מלאי'!$D$3:$D$357,AGGREGATE(15,6,(ROW('מלאי'!$D$3:$D$357)-ROW('מלאי'!$D$3)+1)/('מלאי'!$T$3:$T$357="מושאל"),63)),"")</f>
        <v/>
      </c>
      <c r="C67">
        <f>IF(B67="","",IFERROR(INDEX('מלאי'!$B$3:$B$357,MATCH(B67,'מלאי'!$D$3:$D$357,0)),""))</f>
        <v/>
      </c>
      <c r="D67">
        <f>IF(B67="","",IFERROR(INDEX('מלאי'!$A$3:$A$357,MATCH(B67,'מלאי'!$D$3:$D$357,0)),""))</f>
        <v/>
      </c>
      <c r="E67">
        <f>IF(B67="","",IFERROR(INDEX('מלאי'!$V$3:$V$357,MATCH(B67,'מלאי'!$D$3:$D$357,0)),""))</f>
        <v/>
      </c>
      <c r="F67">
        <f>IF(B67="","",IFERROR(INDEX('מלאי'!$W$3:$W$357,MATCH(B67,'מלאי'!$D$3:$D$357,0)),""))</f>
        <v/>
      </c>
      <c r="G67">
        <f>IF(B67="","",IFERROR(INDEX('מלאי'!$X$3:$X$357,MATCH(B67,'מלאי'!$D$3:$D$357,0)),""))</f>
        <v/>
      </c>
      <c r="I67">
        <f>IF(B67="","",IFERROR(INDEX('מלאי'!$Y$3:$Y$357,MATCH(B67,'מלאי'!$D$3:$D$357,0)),""))</f>
        <v/>
      </c>
      <c r="K67">
        <f>IF(B67="","",IF(J67&lt;&gt;"","הוחזר","פעיל"))</f>
        <v/>
      </c>
      <c r="L67">
        <f>IF(AND(K67="פעיל",I67&lt;&gt;""),"עדיין מושאל","")</f>
        <v/>
      </c>
    </row>
    <row r="68">
      <c r="A68">
        <f>IF(B68="","",64)</f>
        <v/>
      </c>
      <c r="B68">
        <f>IFERROR(INDEX('מלאי'!$D$3:$D$357,AGGREGATE(15,6,(ROW('מלאי'!$D$3:$D$357)-ROW('מלאי'!$D$3)+1)/('מלאי'!$T$3:$T$357="מושאל"),64)),"")</f>
        <v/>
      </c>
      <c r="C68">
        <f>IF(B68="","",IFERROR(INDEX('מלאי'!$B$3:$B$357,MATCH(B68,'מלאי'!$D$3:$D$357,0)),""))</f>
        <v/>
      </c>
      <c r="D68">
        <f>IF(B68="","",IFERROR(INDEX('מלאי'!$A$3:$A$357,MATCH(B68,'מלאי'!$D$3:$D$357,0)),""))</f>
        <v/>
      </c>
      <c r="E68">
        <f>IF(B68="","",IFERROR(INDEX('מלאי'!$V$3:$V$357,MATCH(B68,'מלאי'!$D$3:$D$357,0)),""))</f>
        <v/>
      </c>
      <c r="F68">
        <f>IF(B68="","",IFERROR(INDEX('מלאי'!$W$3:$W$357,MATCH(B68,'מלאי'!$D$3:$D$357,0)),""))</f>
        <v/>
      </c>
      <c r="G68">
        <f>IF(B68="","",IFERROR(INDEX('מלאי'!$X$3:$X$357,MATCH(B68,'מלאי'!$D$3:$D$357,0)),""))</f>
        <v/>
      </c>
      <c r="I68">
        <f>IF(B68="","",IFERROR(INDEX('מלאי'!$Y$3:$Y$357,MATCH(B68,'מלאי'!$D$3:$D$357,0)),""))</f>
        <v/>
      </c>
      <c r="K68">
        <f>IF(B68="","",IF(J68&lt;&gt;"","הוחזר","פעיל"))</f>
        <v/>
      </c>
      <c r="L68">
        <f>IF(AND(K68="פעיל",I68&lt;&gt;""),"עדיין מושאל","")</f>
        <v/>
      </c>
    </row>
    <row r="69">
      <c r="A69">
        <f>IF(B69="","",65)</f>
        <v/>
      </c>
      <c r="B69">
        <f>IFERROR(INDEX('מלאי'!$D$3:$D$357,AGGREGATE(15,6,(ROW('מלאי'!$D$3:$D$357)-ROW('מלאי'!$D$3)+1)/('מלאי'!$T$3:$T$357="מושאל"),65)),"")</f>
        <v/>
      </c>
      <c r="C69">
        <f>IF(B69="","",IFERROR(INDEX('מלאי'!$B$3:$B$357,MATCH(B69,'מלאי'!$D$3:$D$357,0)),""))</f>
        <v/>
      </c>
      <c r="D69">
        <f>IF(B69="","",IFERROR(INDEX('מלאי'!$A$3:$A$357,MATCH(B69,'מלאי'!$D$3:$D$357,0)),""))</f>
        <v/>
      </c>
      <c r="E69">
        <f>IF(B69="","",IFERROR(INDEX('מלאי'!$V$3:$V$357,MATCH(B69,'מלאי'!$D$3:$D$357,0)),""))</f>
        <v/>
      </c>
      <c r="F69">
        <f>IF(B69="","",IFERROR(INDEX('מלאי'!$W$3:$W$357,MATCH(B69,'מלאי'!$D$3:$D$357,0)),""))</f>
        <v/>
      </c>
      <c r="G69">
        <f>IF(B69="","",IFERROR(INDEX('מלאי'!$X$3:$X$357,MATCH(B69,'מלאי'!$D$3:$D$357,0)),""))</f>
        <v/>
      </c>
      <c r="I69">
        <f>IF(B69="","",IFERROR(INDEX('מלאי'!$Y$3:$Y$357,MATCH(B69,'מלאי'!$D$3:$D$357,0)),""))</f>
        <v/>
      </c>
      <c r="K69">
        <f>IF(B69="","",IF(J69&lt;&gt;"","הוחזר","פעיל"))</f>
        <v/>
      </c>
      <c r="L69">
        <f>IF(AND(K69="פעיל",I69&lt;&gt;""),"עדיין מושאל","")</f>
        <v/>
      </c>
    </row>
    <row r="70">
      <c r="A70">
        <f>IF(B70="","",66)</f>
        <v/>
      </c>
      <c r="B70">
        <f>IFERROR(INDEX('מלאי'!$D$3:$D$357,AGGREGATE(15,6,(ROW('מלאי'!$D$3:$D$357)-ROW('מלאי'!$D$3)+1)/('מלאי'!$T$3:$T$357="מושאל"),66)),"")</f>
        <v/>
      </c>
      <c r="C70">
        <f>IF(B70="","",IFERROR(INDEX('מלאי'!$B$3:$B$357,MATCH(B70,'מלאי'!$D$3:$D$357,0)),""))</f>
        <v/>
      </c>
      <c r="D70">
        <f>IF(B70="","",IFERROR(INDEX('מלאי'!$A$3:$A$357,MATCH(B70,'מלאי'!$D$3:$D$357,0)),""))</f>
        <v/>
      </c>
      <c r="E70">
        <f>IF(B70="","",IFERROR(INDEX('מלאי'!$V$3:$V$357,MATCH(B70,'מלאי'!$D$3:$D$357,0)),""))</f>
        <v/>
      </c>
      <c r="F70">
        <f>IF(B70="","",IFERROR(INDEX('מלאי'!$W$3:$W$357,MATCH(B70,'מלאי'!$D$3:$D$357,0)),""))</f>
        <v/>
      </c>
      <c r="G70">
        <f>IF(B70="","",IFERROR(INDEX('מלאי'!$X$3:$X$357,MATCH(B70,'מלאי'!$D$3:$D$357,0)),""))</f>
        <v/>
      </c>
      <c r="I70">
        <f>IF(B70="","",IFERROR(INDEX('מלאי'!$Y$3:$Y$357,MATCH(B70,'מלאי'!$D$3:$D$357,0)),""))</f>
        <v/>
      </c>
      <c r="K70">
        <f>IF(B70="","",IF(J70&lt;&gt;"","הוחזר","פעיל"))</f>
        <v/>
      </c>
      <c r="L70">
        <f>IF(AND(K70="פעיל",I70&lt;&gt;""),"עדיין מושאל","")</f>
        <v/>
      </c>
    </row>
    <row r="71">
      <c r="A71">
        <f>IF(B71="","",67)</f>
        <v/>
      </c>
      <c r="B71">
        <f>IFERROR(INDEX('מלאי'!$D$3:$D$357,AGGREGATE(15,6,(ROW('מלאי'!$D$3:$D$357)-ROW('מלאי'!$D$3)+1)/('מלאי'!$T$3:$T$357="מושאל"),67)),"")</f>
        <v/>
      </c>
      <c r="C71">
        <f>IF(B71="","",IFERROR(INDEX('מלאי'!$B$3:$B$357,MATCH(B71,'מלאי'!$D$3:$D$357,0)),""))</f>
        <v/>
      </c>
      <c r="D71">
        <f>IF(B71="","",IFERROR(INDEX('מלאי'!$A$3:$A$357,MATCH(B71,'מלאי'!$D$3:$D$357,0)),""))</f>
        <v/>
      </c>
      <c r="E71">
        <f>IF(B71="","",IFERROR(INDEX('מלאי'!$V$3:$V$357,MATCH(B71,'מלאי'!$D$3:$D$357,0)),""))</f>
        <v/>
      </c>
      <c r="F71">
        <f>IF(B71="","",IFERROR(INDEX('מלאי'!$W$3:$W$357,MATCH(B71,'מלאי'!$D$3:$D$357,0)),""))</f>
        <v/>
      </c>
      <c r="G71">
        <f>IF(B71="","",IFERROR(INDEX('מלאי'!$X$3:$X$357,MATCH(B71,'מלאי'!$D$3:$D$357,0)),""))</f>
        <v/>
      </c>
      <c r="I71">
        <f>IF(B71="","",IFERROR(INDEX('מלאי'!$Y$3:$Y$357,MATCH(B71,'מלאי'!$D$3:$D$357,0)),""))</f>
        <v/>
      </c>
      <c r="K71">
        <f>IF(B71="","",IF(J71&lt;&gt;"","הוחזר","פעיל"))</f>
        <v/>
      </c>
      <c r="L71">
        <f>IF(AND(K71="פעיל",I71&lt;&gt;""),"עדיין מושאל","")</f>
        <v/>
      </c>
    </row>
    <row r="72">
      <c r="A72">
        <f>IF(B72="","",68)</f>
        <v/>
      </c>
      <c r="B72">
        <f>IFERROR(INDEX('מלאי'!$D$3:$D$357,AGGREGATE(15,6,(ROW('מלאי'!$D$3:$D$357)-ROW('מלאי'!$D$3)+1)/('מלאי'!$T$3:$T$357="מושאל"),68)),"")</f>
        <v/>
      </c>
      <c r="C72">
        <f>IF(B72="","",IFERROR(INDEX('מלאי'!$B$3:$B$357,MATCH(B72,'מלאי'!$D$3:$D$357,0)),""))</f>
        <v/>
      </c>
      <c r="D72">
        <f>IF(B72="","",IFERROR(INDEX('מלאי'!$A$3:$A$357,MATCH(B72,'מלאי'!$D$3:$D$357,0)),""))</f>
        <v/>
      </c>
      <c r="E72">
        <f>IF(B72="","",IFERROR(INDEX('מלאי'!$V$3:$V$357,MATCH(B72,'מלאי'!$D$3:$D$357,0)),""))</f>
        <v/>
      </c>
      <c r="F72">
        <f>IF(B72="","",IFERROR(INDEX('מלאי'!$W$3:$W$357,MATCH(B72,'מלאי'!$D$3:$D$357,0)),""))</f>
        <v/>
      </c>
      <c r="G72">
        <f>IF(B72="","",IFERROR(INDEX('מלאי'!$X$3:$X$357,MATCH(B72,'מלאי'!$D$3:$D$357,0)),""))</f>
        <v/>
      </c>
      <c r="I72">
        <f>IF(B72="","",IFERROR(INDEX('מלאי'!$Y$3:$Y$357,MATCH(B72,'מלאי'!$D$3:$D$357,0)),""))</f>
        <v/>
      </c>
      <c r="K72">
        <f>IF(B72="","",IF(J72&lt;&gt;"","הוחזר","פעיל"))</f>
        <v/>
      </c>
      <c r="L72">
        <f>IF(AND(K72="פעיל",I72&lt;&gt;""),"עדיין מושאל","")</f>
        <v/>
      </c>
    </row>
    <row r="73">
      <c r="A73">
        <f>IF(B73="","",69)</f>
        <v/>
      </c>
      <c r="B73">
        <f>IFERROR(INDEX('מלאי'!$D$3:$D$357,AGGREGATE(15,6,(ROW('מלאי'!$D$3:$D$357)-ROW('מלאי'!$D$3)+1)/('מלאי'!$T$3:$T$357="מושאל"),69)),"")</f>
        <v/>
      </c>
      <c r="C73">
        <f>IF(B73="","",IFERROR(INDEX('מלאי'!$B$3:$B$357,MATCH(B73,'מלאי'!$D$3:$D$357,0)),""))</f>
        <v/>
      </c>
      <c r="D73">
        <f>IF(B73="","",IFERROR(INDEX('מלאי'!$A$3:$A$357,MATCH(B73,'מלאי'!$D$3:$D$357,0)),""))</f>
        <v/>
      </c>
      <c r="E73">
        <f>IF(B73="","",IFERROR(INDEX('מלאי'!$V$3:$V$357,MATCH(B73,'מלאי'!$D$3:$D$357,0)),""))</f>
        <v/>
      </c>
      <c r="F73">
        <f>IF(B73="","",IFERROR(INDEX('מלאי'!$W$3:$W$357,MATCH(B73,'מלאי'!$D$3:$D$357,0)),""))</f>
        <v/>
      </c>
      <c r="G73">
        <f>IF(B73="","",IFERROR(INDEX('מלאי'!$X$3:$X$357,MATCH(B73,'מלאי'!$D$3:$D$357,0)),""))</f>
        <v/>
      </c>
      <c r="I73">
        <f>IF(B73="","",IFERROR(INDEX('מלאי'!$Y$3:$Y$357,MATCH(B73,'מלאי'!$D$3:$D$357,0)),""))</f>
        <v/>
      </c>
      <c r="K73">
        <f>IF(B73="","",IF(J73&lt;&gt;"","הוחזר","פעיל"))</f>
        <v/>
      </c>
      <c r="L73">
        <f>IF(AND(K73="פעיל",I73&lt;&gt;""),"עדיין מושאל","")</f>
        <v/>
      </c>
    </row>
    <row r="74">
      <c r="A74">
        <f>IF(B74="","",70)</f>
        <v/>
      </c>
      <c r="B74">
        <f>IFERROR(INDEX('מלאי'!$D$3:$D$357,AGGREGATE(15,6,(ROW('מלאי'!$D$3:$D$357)-ROW('מלאי'!$D$3)+1)/('מלאי'!$T$3:$T$357="מושאל"),70)),"")</f>
        <v/>
      </c>
      <c r="C74">
        <f>IF(B74="","",IFERROR(INDEX('מלאי'!$B$3:$B$357,MATCH(B74,'מלאי'!$D$3:$D$357,0)),""))</f>
        <v/>
      </c>
      <c r="D74">
        <f>IF(B74="","",IFERROR(INDEX('מלאי'!$A$3:$A$357,MATCH(B74,'מלאי'!$D$3:$D$357,0)),""))</f>
        <v/>
      </c>
      <c r="E74">
        <f>IF(B74="","",IFERROR(INDEX('מלאי'!$V$3:$V$357,MATCH(B74,'מלאי'!$D$3:$D$357,0)),""))</f>
        <v/>
      </c>
      <c r="F74">
        <f>IF(B74="","",IFERROR(INDEX('מלאי'!$W$3:$W$357,MATCH(B74,'מלאי'!$D$3:$D$357,0)),""))</f>
        <v/>
      </c>
      <c r="G74">
        <f>IF(B74="","",IFERROR(INDEX('מלאי'!$X$3:$X$357,MATCH(B74,'מלאי'!$D$3:$D$357,0)),""))</f>
        <v/>
      </c>
      <c r="I74">
        <f>IF(B74="","",IFERROR(INDEX('מלאי'!$Y$3:$Y$357,MATCH(B74,'מלאי'!$D$3:$D$357,0)),""))</f>
        <v/>
      </c>
      <c r="K74">
        <f>IF(B74="","",IF(J74&lt;&gt;"","הוחזר","פעיל"))</f>
        <v/>
      </c>
      <c r="L74">
        <f>IF(AND(K74="פעיל",I74&lt;&gt;""),"עדיין מושאל","")</f>
        <v/>
      </c>
    </row>
    <row r="75">
      <c r="A75">
        <f>IF(B75="","",71)</f>
        <v/>
      </c>
      <c r="B75">
        <f>IFERROR(INDEX('מלאי'!$D$3:$D$357,AGGREGATE(15,6,(ROW('מלאי'!$D$3:$D$357)-ROW('מלאי'!$D$3)+1)/('מלאי'!$T$3:$T$357="מושאל"),71)),"")</f>
        <v/>
      </c>
      <c r="C75">
        <f>IF(B75="","",IFERROR(INDEX('מלאי'!$B$3:$B$357,MATCH(B75,'מלאי'!$D$3:$D$357,0)),""))</f>
        <v/>
      </c>
      <c r="D75">
        <f>IF(B75="","",IFERROR(INDEX('מלאי'!$A$3:$A$357,MATCH(B75,'מלאי'!$D$3:$D$357,0)),""))</f>
        <v/>
      </c>
      <c r="E75">
        <f>IF(B75="","",IFERROR(INDEX('מלאי'!$V$3:$V$357,MATCH(B75,'מלאי'!$D$3:$D$357,0)),""))</f>
        <v/>
      </c>
      <c r="F75">
        <f>IF(B75="","",IFERROR(INDEX('מלאי'!$W$3:$W$357,MATCH(B75,'מלאי'!$D$3:$D$357,0)),""))</f>
        <v/>
      </c>
      <c r="G75">
        <f>IF(B75="","",IFERROR(INDEX('מלאי'!$X$3:$X$357,MATCH(B75,'מלאי'!$D$3:$D$357,0)),""))</f>
        <v/>
      </c>
      <c r="I75">
        <f>IF(B75="","",IFERROR(INDEX('מלאי'!$Y$3:$Y$357,MATCH(B75,'מלאי'!$D$3:$D$357,0)),""))</f>
        <v/>
      </c>
      <c r="K75">
        <f>IF(B75="","",IF(J75&lt;&gt;"","הוחזר","פעיל"))</f>
        <v/>
      </c>
      <c r="L75">
        <f>IF(AND(K75="פעיל",I75&lt;&gt;""),"עדיין מושאל","")</f>
        <v/>
      </c>
    </row>
    <row r="76">
      <c r="A76">
        <f>IF(B76="","",72)</f>
        <v/>
      </c>
      <c r="B76">
        <f>IFERROR(INDEX('מלאי'!$D$3:$D$357,AGGREGATE(15,6,(ROW('מלאי'!$D$3:$D$357)-ROW('מלאי'!$D$3)+1)/('מלאי'!$T$3:$T$357="מושאל"),72)),"")</f>
        <v/>
      </c>
      <c r="C76">
        <f>IF(B76="","",IFERROR(INDEX('מלאי'!$B$3:$B$357,MATCH(B76,'מלאי'!$D$3:$D$357,0)),""))</f>
        <v/>
      </c>
      <c r="D76">
        <f>IF(B76="","",IFERROR(INDEX('מלאי'!$A$3:$A$357,MATCH(B76,'מלאי'!$D$3:$D$357,0)),""))</f>
        <v/>
      </c>
      <c r="E76">
        <f>IF(B76="","",IFERROR(INDEX('מלאי'!$V$3:$V$357,MATCH(B76,'מלאי'!$D$3:$D$357,0)),""))</f>
        <v/>
      </c>
      <c r="F76">
        <f>IF(B76="","",IFERROR(INDEX('מלאי'!$W$3:$W$357,MATCH(B76,'מלאי'!$D$3:$D$357,0)),""))</f>
        <v/>
      </c>
      <c r="G76">
        <f>IF(B76="","",IFERROR(INDEX('מלאי'!$X$3:$X$357,MATCH(B76,'מלאי'!$D$3:$D$357,0)),""))</f>
        <v/>
      </c>
      <c r="I76">
        <f>IF(B76="","",IFERROR(INDEX('מלאי'!$Y$3:$Y$357,MATCH(B76,'מלאי'!$D$3:$D$357,0)),""))</f>
        <v/>
      </c>
      <c r="K76">
        <f>IF(B76="","",IF(J76&lt;&gt;"","הוחזר","פעיל"))</f>
        <v/>
      </c>
      <c r="L76">
        <f>IF(AND(K76="פעיל",I76&lt;&gt;""),"עדיין מושאל","")</f>
        <v/>
      </c>
    </row>
    <row r="77">
      <c r="A77">
        <f>IF(B77="","",73)</f>
        <v/>
      </c>
      <c r="B77">
        <f>IFERROR(INDEX('מלאי'!$D$3:$D$357,AGGREGATE(15,6,(ROW('מלאי'!$D$3:$D$357)-ROW('מלאי'!$D$3)+1)/('מלאי'!$T$3:$T$357="מושאל"),73)),"")</f>
        <v/>
      </c>
      <c r="C77">
        <f>IF(B77="","",IFERROR(INDEX('מלאי'!$B$3:$B$357,MATCH(B77,'מלאי'!$D$3:$D$357,0)),""))</f>
        <v/>
      </c>
      <c r="D77">
        <f>IF(B77="","",IFERROR(INDEX('מלאי'!$A$3:$A$357,MATCH(B77,'מלאי'!$D$3:$D$357,0)),""))</f>
        <v/>
      </c>
      <c r="E77">
        <f>IF(B77="","",IFERROR(INDEX('מלאי'!$V$3:$V$357,MATCH(B77,'מלאי'!$D$3:$D$357,0)),""))</f>
        <v/>
      </c>
      <c r="F77">
        <f>IF(B77="","",IFERROR(INDEX('מלאי'!$W$3:$W$357,MATCH(B77,'מלאי'!$D$3:$D$357,0)),""))</f>
        <v/>
      </c>
      <c r="G77">
        <f>IF(B77="","",IFERROR(INDEX('מלאי'!$X$3:$X$357,MATCH(B77,'מלאי'!$D$3:$D$357,0)),""))</f>
        <v/>
      </c>
      <c r="I77">
        <f>IF(B77="","",IFERROR(INDEX('מלאי'!$Y$3:$Y$357,MATCH(B77,'מלאי'!$D$3:$D$357,0)),""))</f>
        <v/>
      </c>
      <c r="K77">
        <f>IF(B77="","",IF(J77&lt;&gt;"","הוחזר","פעיל"))</f>
        <v/>
      </c>
      <c r="L77">
        <f>IF(AND(K77="פעיל",I77&lt;&gt;""),"עדיין מושאל","")</f>
        <v/>
      </c>
    </row>
    <row r="78">
      <c r="A78">
        <f>IF(B78="","",74)</f>
        <v/>
      </c>
      <c r="B78">
        <f>IFERROR(INDEX('מלאי'!$D$3:$D$357,AGGREGATE(15,6,(ROW('מלאי'!$D$3:$D$357)-ROW('מלאי'!$D$3)+1)/('מלאי'!$T$3:$T$357="מושאל"),74)),"")</f>
        <v/>
      </c>
      <c r="C78">
        <f>IF(B78="","",IFERROR(INDEX('מלאי'!$B$3:$B$357,MATCH(B78,'מלאי'!$D$3:$D$357,0)),""))</f>
        <v/>
      </c>
      <c r="D78">
        <f>IF(B78="","",IFERROR(INDEX('מלאי'!$A$3:$A$357,MATCH(B78,'מלאי'!$D$3:$D$357,0)),""))</f>
        <v/>
      </c>
      <c r="E78">
        <f>IF(B78="","",IFERROR(INDEX('מלאי'!$V$3:$V$357,MATCH(B78,'מלאי'!$D$3:$D$357,0)),""))</f>
        <v/>
      </c>
      <c r="F78">
        <f>IF(B78="","",IFERROR(INDEX('מלאי'!$W$3:$W$357,MATCH(B78,'מלאי'!$D$3:$D$357,0)),""))</f>
        <v/>
      </c>
      <c r="G78">
        <f>IF(B78="","",IFERROR(INDEX('מלאי'!$X$3:$X$357,MATCH(B78,'מלאי'!$D$3:$D$357,0)),""))</f>
        <v/>
      </c>
      <c r="I78">
        <f>IF(B78="","",IFERROR(INDEX('מלאי'!$Y$3:$Y$357,MATCH(B78,'מלאי'!$D$3:$D$357,0)),""))</f>
        <v/>
      </c>
      <c r="K78">
        <f>IF(B78="","",IF(J78&lt;&gt;"","הוחזר","פעיל"))</f>
        <v/>
      </c>
      <c r="L78">
        <f>IF(AND(K78="פעיל",I78&lt;&gt;""),"עדיין מושאל","")</f>
        <v/>
      </c>
    </row>
    <row r="79">
      <c r="A79">
        <f>IF(B79="","",75)</f>
        <v/>
      </c>
      <c r="B79">
        <f>IFERROR(INDEX('מלאי'!$D$3:$D$357,AGGREGATE(15,6,(ROW('מלאי'!$D$3:$D$357)-ROW('מלאי'!$D$3)+1)/('מלאי'!$T$3:$T$357="מושאל"),75)),"")</f>
        <v/>
      </c>
      <c r="C79">
        <f>IF(B79="","",IFERROR(INDEX('מלאי'!$B$3:$B$357,MATCH(B79,'מלאי'!$D$3:$D$357,0)),""))</f>
        <v/>
      </c>
      <c r="D79">
        <f>IF(B79="","",IFERROR(INDEX('מלאי'!$A$3:$A$357,MATCH(B79,'מלאי'!$D$3:$D$357,0)),""))</f>
        <v/>
      </c>
      <c r="E79">
        <f>IF(B79="","",IFERROR(INDEX('מלאי'!$V$3:$V$357,MATCH(B79,'מלאי'!$D$3:$D$357,0)),""))</f>
        <v/>
      </c>
      <c r="F79">
        <f>IF(B79="","",IFERROR(INDEX('מלאי'!$W$3:$W$357,MATCH(B79,'מלאי'!$D$3:$D$357,0)),""))</f>
        <v/>
      </c>
      <c r="G79">
        <f>IF(B79="","",IFERROR(INDEX('מלאי'!$X$3:$X$357,MATCH(B79,'מלאי'!$D$3:$D$357,0)),""))</f>
        <v/>
      </c>
      <c r="I79">
        <f>IF(B79="","",IFERROR(INDEX('מלאי'!$Y$3:$Y$357,MATCH(B79,'מלאי'!$D$3:$D$357,0)),""))</f>
        <v/>
      </c>
      <c r="K79">
        <f>IF(B79="","",IF(J79&lt;&gt;"","הוחזר","פעיל"))</f>
        <v/>
      </c>
      <c r="L79">
        <f>IF(AND(K79="פעיל",I79&lt;&gt;""),"עדיין מושאל","")</f>
        <v/>
      </c>
    </row>
    <row r="80">
      <c r="A80">
        <f>IF(B80="","",76)</f>
        <v/>
      </c>
      <c r="B80">
        <f>IFERROR(INDEX('מלאי'!$D$3:$D$357,AGGREGATE(15,6,(ROW('מלאי'!$D$3:$D$357)-ROW('מלאי'!$D$3)+1)/('מלאי'!$T$3:$T$357="מושאל"),76)),"")</f>
        <v/>
      </c>
      <c r="C80">
        <f>IF(B80="","",IFERROR(INDEX('מלאי'!$B$3:$B$357,MATCH(B80,'מלאי'!$D$3:$D$357,0)),""))</f>
        <v/>
      </c>
      <c r="D80">
        <f>IF(B80="","",IFERROR(INDEX('מלאי'!$A$3:$A$357,MATCH(B80,'מלאי'!$D$3:$D$357,0)),""))</f>
        <v/>
      </c>
      <c r="E80">
        <f>IF(B80="","",IFERROR(INDEX('מלאי'!$V$3:$V$357,MATCH(B80,'מלאי'!$D$3:$D$357,0)),""))</f>
        <v/>
      </c>
      <c r="F80">
        <f>IF(B80="","",IFERROR(INDEX('מלאי'!$W$3:$W$357,MATCH(B80,'מלאי'!$D$3:$D$357,0)),""))</f>
        <v/>
      </c>
      <c r="G80">
        <f>IF(B80="","",IFERROR(INDEX('מלאי'!$X$3:$X$357,MATCH(B80,'מלאי'!$D$3:$D$357,0)),""))</f>
        <v/>
      </c>
      <c r="I80">
        <f>IF(B80="","",IFERROR(INDEX('מלאי'!$Y$3:$Y$357,MATCH(B80,'מלאי'!$D$3:$D$357,0)),""))</f>
        <v/>
      </c>
      <c r="K80">
        <f>IF(B80="","",IF(J80&lt;&gt;"","הוחזר","פעיל"))</f>
        <v/>
      </c>
      <c r="L80">
        <f>IF(AND(K80="פעיל",I80&lt;&gt;""),"עדיין מושאל","")</f>
        <v/>
      </c>
    </row>
    <row r="81">
      <c r="A81">
        <f>IF(B81="","",77)</f>
        <v/>
      </c>
      <c r="B81">
        <f>IFERROR(INDEX('מלאי'!$D$3:$D$357,AGGREGATE(15,6,(ROW('מלאי'!$D$3:$D$357)-ROW('מלאי'!$D$3)+1)/('מלאי'!$T$3:$T$357="מושאל"),77)),"")</f>
        <v/>
      </c>
      <c r="C81">
        <f>IF(B81="","",IFERROR(INDEX('מלאי'!$B$3:$B$357,MATCH(B81,'מלאי'!$D$3:$D$357,0)),""))</f>
        <v/>
      </c>
      <c r="D81">
        <f>IF(B81="","",IFERROR(INDEX('מלאי'!$A$3:$A$357,MATCH(B81,'מלאי'!$D$3:$D$357,0)),""))</f>
        <v/>
      </c>
      <c r="E81">
        <f>IF(B81="","",IFERROR(INDEX('מלאי'!$V$3:$V$357,MATCH(B81,'מלאי'!$D$3:$D$357,0)),""))</f>
        <v/>
      </c>
      <c r="F81">
        <f>IF(B81="","",IFERROR(INDEX('מלאי'!$W$3:$W$357,MATCH(B81,'מלאי'!$D$3:$D$357,0)),""))</f>
        <v/>
      </c>
      <c r="G81">
        <f>IF(B81="","",IFERROR(INDEX('מלאי'!$X$3:$X$357,MATCH(B81,'מלאי'!$D$3:$D$357,0)),""))</f>
        <v/>
      </c>
      <c r="I81">
        <f>IF(B81="","",IFERROR(INDEX('מלאי'!$Y$3:$Y$357,MATCH(B81,'מלאי'!$D$3:$D$357,0)),""))</f>
        <v/>
      </c>
      <c r="K81">
        <f>IF(B81="","",IF(J81&lt;&gt;"","הוחזר","פעיל"))</f>
        <v/>
      </c>
      <c r="L81">
        <f>IF(AND(K81="פעיל",I81&lt;&gt;""),"עדיין מושאל","")</f>
        <v/>
      </c>
    </row>
    <row r="82">
      <c r="A82">
        <f>IF(B82="","",78)</f>
        <v/>
      </c>
      <c r="B82">
        <f>IFERROR(INDEX('מלאי'!$D$3:$D$357,AGGREGATE(15,6,(ROW('מלאי'!$D$3:$D$357)-ROW('מלאי'!$D$3)+1)/('מלאי'!$T$3:$T$357="מושאל"),78)),"")</f>
        <v/>
      </c>
      <c r="C82">
        <f>IF(B82="","",IFERROR(INDEX('מלאי'!$B$3:$B$357,MATCH(B82,'מלאי'!$D$3:$D$357,0)),""))</f>
        <v/>
      </c>
      <c r="D82">
        <f>IF(B82="","",IFERROR(INDEX('מלאי'!$A$3:$A$357,MATCH(B82,'מלאי'!$D$3:$D$357,0)),""))</f>
        <v/>
      </c>
      <c r="E82">
        <f>IF(B82="","",IFERROR(INDEX('מלאי'!$V$3:$V$357,MATCH(B82,'מלאי'!$D$3:$D$357,0)),""))</f>
        <v/>
      </c>
      <c r="F82">
        <f>IF(B82="","",IFERROR(INDEX('מלאי'!$W$3:$W$357,MATCH(B82,'מלאי'!$D$3:$D$357,0)),""))</f>
        <v/>
      </c>
      <c r="G82">
        <f>IF(B82="","",IFERROR(INDEX('מלאי'!$X$3:$X$357,MATCH(B82,'מלאי'!$D$3:$D$357,0)),""))</f>
        <v/>
      </c>
      <c r="I82">
        <f>IF(B82="","",IFERROR(INDEX('מלאי'!$Y$3:$Y$357,MATCH(B82,'מלאי'!$D$3:$D$357,0)),""))</f>
        <v/>
      </c>
      <c r="K82">
        <f>IF(B82="","",IF(J82&lt;&gt;"","הוחזר","פעיל"))</f>
        <v/>
      </c>
      <c r="L82">
        <f>IF(AND(K82="פעיל",I82&lt;&gt;""),"עדיין מושאל","")</f>
        <v/>
      </c>
    </row>
    <row r="83">
      <c r="A83">
        <f>IF(B83="","",79)</f>
        <v/>
      </c>
      <c r="B83">
        <f>IFERROR(INDEX('מלאי'!$D$3:$D$357,AGGREGATE(15,6,(ROW('מלאי'!$D$3:$D$357)-ROW('מלאי'!$D$3)+1)/('מלאי'!$T$3:$T$357="מושאל"),79)),"")</f>
        <v/>
      </c>
      <c r="C83">
        <f>IF(B83="","",IFERROR(INDEX('מלאי'!$B$3:$B$357,MATCH(B83,'מלאי'!$D$3:$D$357,0)),""))</f>
        <v/>
      </c>
      <c r="D83">
        <f>IF(B83="","",IFERROR(INDEX('מלאי'!$A$3:$A$357,MATCH(B83,'מלאי'!$D$3:$D$357,0)),""))</f>
        <v/>
      </c>
      <c r="E83">
        <f>IF(B83="","",IFERROR(INDEX('מלאי'!$V$3:$V$357,MATCH(B83,'מלאי'!$D$3:$D$357,0)),""))</f>
        <v/>
      </c>
      <c r="F83">
        <f>IF(B83="","",IFERROR(INDEX('מלאי'!$W$3:$W$357,MATCH(B83,'מלאי'!$D$3:$D$357,0)),""))</f>
        <v/>
      </c>
      <c r="G83">
        <f>IF(B83="","",IFERROR(INDEX('מלאי'!$X$3:$X$357,MATCH(B83,'מלאי'!$D$3:$D$357,0)),""))</f>
        <v/>
      </c>
      <c r="I83">
        <f>IF(B83="","",IFERROR(INDEX('מלאי'!$Y$3:$Y$357,MATCH(B83,'מלאי'!$D$3:$D$357,0)),""))</f>
        <v/>
      </c>
      <c r="K83">
        <f>IF(B83="","",IF(J83&lt;&gt;"","הוחזר","פעיל"))</f>
        <v/>
      </c>
      <c r="L83">
        <f>IF(AND(K83="פעיל",I83&lt;&gt;""),"עדיין מושאל","")</f>
        <v/>
      </c>
    </row>
    <row r="84">
      <c r="A84">
        <f>IF(B84="","",80)</f>
        <v/>
      </c>
      <c r="B84">
        <f>IFERROR(INDEX('מלאי'!$D$3:$D$357,AGGREGATE(15,6,(ROW('מלאי'!$D$3:$D$357)-ROW('מלאי'!$D$3)+1)/('מלאי'!$T$3:$T$357="מושאל"),80)),"")</f>
        <v/>
      </c>
      <c r="C84">
        <f>IF(B84="","",IFERROR(INDEX('מלאי'!$B$3:$B$357,MATCH(B84,'מלאי'!$D$3:$D$357,0)),""))</f>
        <v/>
      </c>
      <c r="D84">
        <f>IF(B84="","",IFERROR(INDEX('מלאי'!$A$3:$A$357,MATCH(B84,'מלאי'!$D$3:$D$357,0)),""))</f>
        <v/>
      </c>
      <c r="E84">
        <f>IF(B84="","",IFERROR(INDEX('מלאי'!$V$3:$V$357,MATCH(B84,'מלאי'!$D$3:$D$357,0)),""))</f>
        <v/>
      </c>
      <c r="F84">
        <f>IF(B84="","",IFERROR(INDEX('מלאי'!$W$3:$W$357,MATCH(B84,'מלאי'!$D$3:$D$357,0)),""))</f>
        <v/>
      </c>
      <c r="G84">
        <f>IF(B84="","",IFERROR(INDEX('מלאי'!$X$3:$X$357,MATCH(B84,'מלאי'!$D$3:$D$357,0)),""))</f>
        <v/>
      </c>
      <c r="I84">
        <f>IF(B84="","",IFERROR(INDEX('מלאי'!$Y$3:$Y$357,MATCH(B84,'מלאי'!$D$3:$D$357,0)),""))</f>
        <v/>
      </c>
      <c r="K84">
        <f>IF(B84="","",IF(J84&lt;&gt;"","הוחזר","פעיל"))</f>
        <v/>
      </c>
      <c r="L84">
        <f>IF(AND(K84="פעיל",I84&lt;&gt;""),"עדיין מושאל","")</f>
        <v/>
      </c>
    </row>
    <row r="85">
      <c r="A85">
        <f>IF(B85="","",81)</f>
        <v/>
      </c>
      <c r="B85">
        <f>IFERROR(INDEX('מלאי'!$D$3:$D$357,AGGREGATE(15,6,(ROW('מלאי'!$D$3:$D$357)-ROW('מלאי'!$D$3)+1)/('מלאי'!$T$3:$T$357="מושאל"),81)),"")</f>
        <v/>
      </c>
      <c r="C85">
        <f>IF(B85="","",IFERROR(INDEX('מלאי'!$B$3:$B$357,MATCH(B85,'מלאי'!$D$3:$D$357,0)),""))</f>
        <v/>
      </c>
      <c r="D85">
        <f>IF(B85="","",IFERROR(INDEX('מלאי'!$A$3:$A$357,MATCH(B85,'מלאי'!$D$3:$D$357,0)),""))</f>
        <v/>
      </c>
      <c r="E85">
        <f>IF(B85="","",IFERROR(INDEX('מלאי'!$V$3:$V$357,MATCH(B85,'מלאי'!$D$3:$D$357,0)),""))</f>
        <v/>
      </c>
      <c r="F85">
        <f>IF(B85="","",IFERROR(INDEX('מלאי'!$W$3:$W$357,MATCH(B85,'מלאי'!$D$3:$D$357,0)),""))</f>
        <v/>
      </c>
      <c r="G85">
        <f>IF(B85="","",IFERROR(INDEX('מלאי'!$X$3:$X$357,MATCH(B85,'מלאי'!$D$3:$D$357,0)),""))</f>
        <v/>
      </c>
      <c r="I85">
        <f>IF(B85="","",IFERROR(INDEX('מלאי'!$Y$3:$Y$357,MATCH(B85,'מלאי'!$D$3:$D$357,0)),""))</f>
        <v/>
      </c>
      <c r="K85">
        <f>IF(B85="","",IF(J85&lt;&gt;"","הוחזר","פעיל"))</f>
        <v/>
      </c>
      <c r="L85">
        <f>IF(AND(K85="פעיל",I85&lt;&gt;""),"עדיין מושאל","")</f>
        <v/>
      </c>
    </row>
    <row r="86">
      <c r="A86">
        <f>IF(B86="","",82)</f>
        <v/>
      </c>
      <c r="B86">
        <f>IFERROR(INDEX('מלאי'!$D$3:$D$357,AGGREGATE(15,6,(ROW('מלאי'!$D$3:$D$357)-ROW('מלאי'!$D$3)+1)/('מלאי'!$T$3:$T$357="מושאל"),82)),"")</f>
        <v/>
      </c>
      <c r="C86">
        <f>IF(B86="","",IFERROR(INDEX('מלאי'!$B$3:$B$357,MATCH(B86,'מלאי'!$D$3:$D$357,0)),""))</f>
        <v/>
      </c>
      <c r="D86">
        <f>IF(B86="","",IFERROR(INDEX('מלאי'!$A$3:$A$357,MATCH(B86,'מלאי'!$D$3:$D$357,0)),""))</f>
        <v/>
      </c>
      <c r="E86">
        <f>IF(B86="","",IFERROR(INDEX('מלאי'!$V$3:$V$357,MATCH(B86,'מלאי'!$D$3:$D$357,0)),""))</f>
        <v/>
      </c>
      <c r="F86">
        <f>IF(B86="","",IFERROR(INDEX('מלאי'!$W$3:$W$357,MATCH(B86,'מלאי'!$D$3:$D$357,0)),""))</f>
        <v/>
      </c>
      <c r="G86">
        <f>IF(B86="","",IFERROR(INDEX('מלאי'!$X$3:$X$357,MATCH(B86,'מלאי'!$D$3:$D$357,0)),""))</f>
        <v/>
      </c>
      <c r="I86">
        <f>IF(B86="","",IFERROR(INDEX('מלאי'!$Y$3:$Y$357,MATCH(B86,'מלאי'!$D$3:$D$357,0)),""))</f>
        <v/>
      </c>
      <c r="K86">
        <f>IF(B86="","",IF(J86&lt;&gt;"","הוחזר","פעיל"))</f>
        <v/>
      </c>
      <c r="L86">
        <f>IF(AND(K86="פעיל",I86&lt;&gt;""),"עדיין מושאל","")</f>
        <v/>
      </c>
    </row>
    <row r="87">
      <c r="A87">
        <f>IF(B87="","",83)</f>
        <v/>
      </c>
      <c r="B87">
        <f>IFERROR(INDEX('מלאי'!$D$3:$D$357,AGGREGATE(15,6,(ROW('מלאי'!$D$3:$D$357)-ROW('מלאי'!$D$3)+1)/('מלאי'!$T$3:$T$357="מושאל"),83)),"")</f>
        <v/>
      </c>
      <c r="C87">
        <f>IF(B87="","",IFERROR(INDEX('מלאי'!$B$3:$B$357,MATCH(B87,'מלאי'!$D$3:$D$357,0)),""))</f>
        <v/>
      </c>
      <c r="D87">
        <f>IF(B87="","",IFERROR(INDEX('מלאי'!$A$3:$A$357,MATCH(B87,'מלאי'!$D$3:$D$357,0)),""))</f>
        <v/>
      </c>
      <c r="E87">
        <f>IF(B87="","",IFERROR(INDEX('מלאי'!$V$3:$V$357,MATCH(B87,'מלאי'!$D$3:$D$357,0)),""))</f>
        <v/>
      </c>
      <c r="F87">
        <f>IF(B87="","",IFERROR(INDEX('מלאי'!$W$3:$W$357,MATCH(B87,'מלאי'!$D$3:$D$357,0)),""))</f>
        <v/>
      </c>
      <c r="G87">
        <f>IF(B87="","",IFERROR(INDEX('מלאי'!$X$3:$X$357,MATCH(B87,'מלאי'!$D$3:$D$357,0)),""))</f>
        <v/>
      </c>
      <c r="I87">
        <f>IF(B87="","",IFERROR(INDEX('מלאי'!$Y$3:$Y$357,MATCH(B87,'מלאי'!$D$3:$D$357,0)),""))</f>
        <v/>
      </c>
      <c r="K87">
        <f>IF(B87="","",IF(J87&lt;&gt;"","הוחזר","פעיל"))</f>
        <v/>
      </c>
      <c r="L87">
        <f>IF(AND(K87="פעיל",I87&lt;&gt;""),"עדיין מושאל","")</f>
        <v/>
      </c>
    </row>
    <row r="88">
      <c r="A88">
        <f>IF(B88="","",84)</f>
        <v/>
      </c>
      <c r="B88">
        <f>IFERROR(INDEX('מלאי'!$D$3:$D$357,AGGREGATE(15,6,(ROW('מלאי'!$D$3:$D$357)-ROW('מלאי'!$D$3)+1)/('מלאי'!$T$3:$T$357="מושאל"),84)),"")</f>
        <v/>
      </c>
      <c r="C88">
        <f>IF(B88="","",IFERROR(INDEX('מלאי'!$B$3:$B$357,MATCH(B88,'מלאי'!$D$3:$D$357,0)),""))</f>
        <v/>
      </c>
      <c r="D88">
        <f>IF(B88="","",IFERROR(INDEX('מלאי'!$A$3:$A$357,MATCH(B88,'מלאי'!$D$3:$D$357,0)),""))</f>
        <v/>
      </c>
      <c r="E88">
        <f>IF(B88="","",IFERROR(INDEX('מלאי'!$V$3:$V$357,MATCH(B88,'מלאי'!$D$3:$D$357,0)),""))</f>
        <v/>
      </c>
      <c r="F88">
        <f>IF(B88="","",IFERROR(INDEX('מלאי'!$W$3:$W$357,MATCH(B88,'מלאי'!$D$3:$D$357,0)),""))</f>
        <v/>
      </c>
      <c r="G88">
        <f>IF(B88="","",IFERROR(INDEX('מלאי'!$X$3:$X$357,MATCH(B88,'מלאי'!$D$3:$D$357,0)),""))</f>
        <v/>
      </c>
      <c r="I88">
        <f>IF(B88="","",IFERROR(INDEX('מלאי'!$Y$3:$Y$357,MATCH(B88,'מלאי'!$D$3:$D$357,0)),""))</f>
        <v/>
      </c>
      <c r="K88">
        <f>IF(B88="","",IF(J88&lt;&gt;"","הוחזר","פעיל"))</f>
        <v/>
      </c>
      <c r="L88">
        <f>IF(AND(K88="פעיל",I88&lt;&gt;""),"עדיין מושאל","")</f>
        <v/>
      </c>
    </row>
    <row r="89">
      <c r="A89">
        <f>IF(B89="","",85)</f>
        <v/>
      </c>
      <c r="B89">
        <f>IFERROR(INDEX('מלאי'!$D$3:$D$357,AGGREGATE(15,6,(ROW('מלאי'!$D$3:$D$357)-ROW('מלאי'!$D$3)+1)/('מלאי'!$T$3:$T$357="מושאל"),85)),"")</f>
        <v/>
      </c>
      <c r="C89">
        <f>IF(B89="","",IFERROR(INDEX('מלאי'!$B$3:$B$357,MATCH(B89,'מלאי'!$D$3:$D$357,0)),""))</f>
        <v/>
      </c>
      <c r="D89">
        <f>IF(B89="","",IFERROR(INDEX('מלאי'!$A$3:$A$357,MATCH(B89,'מלאי'!$D$3:$D$357,0)),""))</f>
        <v/>
      </c>
      <c r="E89">
        <f>IF(B89="","",IFERROR(INDEX('מלאי'!$V$3:$V$357,MATCH(B89,'מלאי'!$D$3:$D$357,0)),""))</f>
        <v/>
      </c>
      <c r="F89">
        <f>IF(B89="","",IFERROR(INDEX('מלאי'!$W$3:$W$357,MATCH(B89,'מלאי'!$D$3:$D$357,0)),""))</f>
        <v/>
      </c>
      <c r="G89">
        <f>IF(B89="","",IFERROR(INDEX('מלאי'!$X$3:$X$357,MATCH(B89,'מלאי'!$D$3:$D$357,0)),""))</f>
        <v/>
      </c>
      <c r="I89">
        <f>IF(B89="","",IFERROR(INDEX('מלאי'!$Y$3:$Y$357,MATCH(B89,'מלאי'!$D$3:$D$357,0)),""))</f>
        <v/>
      </c>
      <c r="K89">
        <f>IF(B89="","",IF(J89&lt;&gt;"","הוחזר","פעיל"))</f>
        <v/>
      </c>
      <c r="L89">
        <f>IF(AND(K89="פעיל",I89&lt;&gt;""),"עדיין מושאל","")</f>
        <v/>
      </c>
    </row>
    <row r="90">
      <c r="A90">
        <f>IF(B90="","",86)</f>
        <v/>
      </c>
      <c r="B90">
        <f>IFERROR(INDEX('מלאי'!$D$3:$D$357,AGGREGATE(15,6,(ROW('מלאי'!$D$3:$D$357)-ROW('מלאי'!$D$3)+1)/('מלאי'!$T$3:$T$357="מושאל"),86)),"")</f>
        <v/>
      </c>
      <c r="C90">
        <f>IF(B90="","",IFERROR(INDEX('מלאי'!$B$3:$B$357,MATCH(B90,'מלאי'!$D$3:$D$357,0)),""))</f>
        <v/>
      </c>
      <c r="D90">
        <f>IF(B90="","",IFERROR(INDEX('מלאי'!$A$3:$A$357,MATCH(B90,'מלאי'!$D$3:$D$357,0)),""))</f>
        <v/>
      </c>
      <c r="E90">
        <f>IF(B90="","",IFERROR(INDEX('מלאי'!$V$3:$V$357,MATCH(B90,'מלאי'!$D$3:$D$357,0)),""))</f>
        <v/>
      </c>
      <c r="F90">
        <f>IF(B90="","",IFERROR(INDEX('מלאי'!$W$3:$W$357,MATCH(B90,'מלאי'!$D$3:$D$357,0)),""))</f>
        <v/>
      </c>
      <c r="G90">
        <f>IF(B90="","",IFERROR(INDEX('מלאי'!$X$3:$X$357,MATCH(B90,'מלאי'!$D$3:$D$357,0)),""))</f>
        <v/>
      </c>
      <c r="I90">
        <f>IF(B90="","",IFERROR(INDEX('מלאי'!$Y$3:$Y$357,MATCH(B90,'מלאי'!$D$3:$D$357,0)),""))</f>
        <v/>
      </c>
      <c r="K90">
        <f>IF(B90="","",IF(J90&lt;&gt;"","הוחזר","פעיל"))</f>
        <v/>
      </c>
      <c r="L90">
        <f>IF(AND(K90="פעיל",I90&lt;&gt;""),"עדיין מושאל","")</f>
        <v/>
      </c>
    </row>
    <row r="91">
      <c r="A91">
        <f>IF(B91="","",87)</f>
        <v/>
      </c>
      <c r="B91">
        <f>IFERROR(INDEX('מלאי'!$D$3:$D$357,AGGREGATE(15,6,(ROW('מלאי'!$D$3:$D$357)-ROW('מלאי'!$D$3)+1)/('מלאי'!$T$3:$T$357="מושאל"),87)),"")</f>
        <v/>
      </c>
      <c r="C91">
        <f>IF(B91="","",IFERROR(INDEX('מלאי'!$B$3:$B$357,MATCH(B91,'מלאי'!$D$3:$D$357,0)),""))</f>
        <v/>
      </c>
      <c r="D91">
        <f>IF(B91="","",IFERROR(INDEX('מלאי'!$A$3:$A$357,MATCH(B91,'מלאי'!$D$3:$D$357,0)),""))</f>
        <v/>
      </c>
      <c r="E91">
        <f>IF(B91="","",IFERROR(INDEX('מלאי'!$V$3:$V$357,MATCH(B91,'מלאי'!$D$3:$D$357,0)),""))</f>
        <v/>
      </c>
      <c r="F91">
        <f>IF(B91="","",IFERROR(INDEX('מלאי'!$W$3:$W$357,MATCH(B91,'מלאי'!$D$3:$D$357,0)),""))</f>
        <v/>
      </c>
      <c r="G91">
        <f>IF(B91="","",IFERROR(INDEX('מלאי'!$X$3:$X$357,MATCH(B91,'מלאי'!$D$3:$D$357,0)),""))</f>
        <v/>
      </c>
      <c r="I91">
        <f>IF(B91="","",IFERROR(INDEX('מלאי'!$Y$3:$Y$357,MATCH(B91,'מלאי'!$D$3:$D$357,0)),""))</f>
        <v/>
      </c>
      <c r="K91">
        <f>IF(B91="","",IF(J91&lt;&gt;"","הוחזר","פעיל"))</f>
        <v/>
      </c>
      <c r="L91">
        <f>IF(AND(K91="פעיל",I91&lt;&gt;""),"עדיין מושאל","")</f>
        <v/>
      </c>
    </row>
    <row r="92">
      <c r="A92">
        <f>IF(B92="","",88)</f>
        <v/>
      </c>
      <c r="B92">
        <f>IFERROR(INDEX('מלאי'!$D$3:$D$357,AGGREGATE(15,6,(ROW('מלאי'!$D$3:$D$357)-ROW('מלאי'!$D$3)+1)/('מלאי'!$T$3:$T$357="מושאל"),88)),"")</f>
        <v/>
      </c>
      <c r="C92">
        <f>IF(B92="","",IFERROR(INDEX('מלאי'!$B$3:$B$357,MATCH(B92,'מלאי'!$D$3:$D$357,0)),""))</f>
        <v/>
      </c>
      <c r="D92">
        <f>IF(B92="","",IFERROR(INDEX('מלאי'!$A$3:$A$357,MATCH(B92,'מלאי'!$D$3:$D$357,0)),""))</f>
        <v/>
      </c>
      <c r="E92">
        <f>IF(B92="","",IFERROR(INDEX('מלאי'!$V$3:$V$357,MATCH(B92,'מלאי'!$D$3:$D$357,0)),""))</f>
        <v/>
      </c>
      <c r="F92">
        <f>IF(B92="","",IFERROR(INDEX('מלאי'!$W$3:$W$357,MATCH(B92,'מלאי'!$D$3:$D$357,0)),""))</f>
        <v/>
      </c>
      <c r="G92">
        <f>IF(B92="","",IFERROR(INDEX('מלאי'!$X$3:$X$357,MATCH(B92,'מלאי'!$D$3:$D$357,0)),""))</f>
        <v/>
      </c>
      <c r="I92">
        <f>IF(B92="","",IFERROR(INDEX('מלאי'!$Y$3:$Y$357,MATCH(B92,'מלאי'!$D$3:$D$357,0)),""))</f>
        <v/>
      </c>
      <c r="K92">
        <f>IF(B92="","",IF(J92&lt;&gt;"","הוחזר","פעיל"))</f>
        <v/>
      </c>
      <c r="L92">
        <f>IF(AND(K92="פעיל",I92&lt;&gt;""),"עדיין מושאל","")</f>
        <v/>
      </c>
    </row>
    <row r="93">
      <c r="A93">
        <f>IF(B93="","",89)</f>
        <v/>
      </c>
      <c r="B93">
        <f>IFERROR(INDEX('מלאי'!$D$3:$D$357,AGGREGATE(15,6,(ROW('מלאי'!$D$3:$D$357)-ROW('מלאי'!$D$3)+1)/('מלאי'!$T$3:$T$357="מושאל"),89)),"")</f>
        <v/>
      </c>
      <c r="C93">
        <f>IF(B93="","",IFERROR(INDEX('מלאי'!$B$3:$B$357,MATCH(B93,'מלאי'!$D$3:$D$357,0)),""))</f>
        <v/>
      </c>
      <c r="D93">
        <f>IF(B93="","",IFERROR(INDEX('מלאי'!$A$3:$A$357,MATCH(B93,'מלאי'!$D$3:$D$357,0)),""))</f>
        <v/>
      </c>
      <c r="E93">
        <f>IF(B93="","",IFERROR(INDEX('מלאי'!$V$3:$V$357,MATCH(B93,'מלאי'!$D$3:$D$357,0)),""))</f>
        <v/>
      </c>
      <c r="F93">
        <f>IF(B93="","",IFERROR(INDEX('מלאי'!$W$3:$W$357,MATCH(B93,'מלאי'!$D$3:$D$357,0)),""))</f>
        <v/>
      </c>
      <c r="G93">
        <f>IF(B93="","",IFERROR(INDEX('מלאי'!$X$3:$X$357,MATCH(B93,'מלאי'!$D$3:$D$357,0)),""))</f>
        <v/>
      </c>
      <c r="I93">
        <f>IF(B93="","",IFERROR(INDEX('מלאי'!$Y$3:$Y$357,MATCH(B93,'מלאי'!$D$3:$D$357,0)),""))</f>
        <v/>
      </c>
      <c r="K93">
        <f>IF(B93="","",IF(J93&lt;&gt;"","הוחזר","פעיל"))</f>
        <v/>
      </c>
      <c r="L93">
        <f>IF(AND(K93="פעיל",I93&lt;&gt;""),"עדיין מושאל","")</f>
        <v/>
      </c>
    </row>
    <row r="94">
      <c r="A94">
        <f>IF(B94="","",90)</f>
        <v/>
      </c>
      <c r="B94">
        <f>IFERROR(INDEX('מלאי'!$D$3:$D$357,AGGREGATE(15,6,(ROW('מלאי'!$D$3:$D$357)-ROW('מלאי'!$D$3)+1)/('מלאי'!$T$3:$T$357="מושאל"),90)),"")</f>
        <v/>
      </c>
      <c r="C94">
        <f>IF(B94="","",IFERROR(INDEX('מלאי'!$B$3:$B$357,MATCH(B94,'מלאי'!$D$3:$D$357,0)),""))</f>
        <v/>
      </c>
      <c r="D94">
        <f>IF(B94="","",IFERROR(INDEX('מלאי'!$A$3:$A$357,MATCH(B94,'מלאי'!$D$3:$D$357,0)),""))</f>
        <v/>
      </c>
      <c r="E94">
        <f>IF(B94="","",IFERROR(INDEX('מלאי'!$V$3:$V$357,MATCH(B94,'מלאי'!$D$3:$D$357,0)),""))</f>
        <v/>
      </c>
      <c r="F94">
        <f>IF(B94="","",IFERROR(INDEX('מלאי'!$W$3:$W$357,MATCH(B94,'מלאי'!$D$3:$D$357,0)),""))</f>
        <v/>
      </c>
      <c r="G94">
        <f>IF(B94="","",IFERROR(INDEX('מלאי'!$X$3:$X$357,MATCH(B94,'מלאי'!$D$3:$D$357,0)),""))</f>
        <v/>
      </c>
      <c r="I94">
        <f>IF(B94="","",IFERROR(INDEX('מלאי'!$Y$3:$Y$357,MATCH(B94,'מלאי'!$D$3:$D$357,0)),""))</f>
        <v/>
      </c>
      <c r="K94">
        <f>IF(B94="","",IF(J94&lt;&gt;"","הוחזר","פעיל"))</f>
        <v/>
      </c>
      <c r="L94">
        <f>IF(AND(K94="פעיל",I94&lt;&gt;""),"עדיין מושאל","")</f>
        <v/>
      </c>
    </row>
    <row r="95">
      <c r="A95">
        <f>IF(B95="","",91)</f>
        <v/>
      </c>
      <c r="B95">
        <f>IFERROR(INDEX('מלאי'!$D$3:$D$357,AGGREGATE(15,6,(ROW('מלאי'!$D$3:$D$357)-ROW('מלאי'!$D$3)+1)/('מלאי'!$T$3:$T$357="מושאל"),91)),"")</f>
        <v/>
      </c>
      <c r="C95">
        <f>IF(B95="","",IFERROR(INDEX('מלאי'!$B$3:$B$357,MATCH(B95,'מלאי'!$D$3:$D$357,0)),""))</f>
        <v/>
      </c>
      <c r="D95">
        <f>IF(B95="","",IFERROR(INDEX('מלאי'!$A$3:$A$357,MATCH(B95,'מלאי'!$D$3:$D$357,0)),""))</f>
        <v/>
      </c>
      <c r="E95">
        <f>IF(B95="","",IFERROR(INDEX('מלאי'!$V$3:$V$357,MATCH(B95,'מלאי'!$D$3:$D$357,0)),""))</f>
        <v/>
      </c>
      <c r="F95">
        <f>IF(B95="","",IFERROR(INDEX('מלאי'!$W$3:$W$357,MATCH(B95,'מלאי'!$D$3:$D$357,0)),""))</f>
        <v/>
      </c>
      <c r="G95">
        <f>IF(B95="","",IFERROR(INDEX('מלאי'!$X$3:$X$357,MATCH(B95,'מלאי'!$D$3:$D$357,0)),""))</f>
        <v/>
      </c>
      <c r="I95">
        <f>IF(B95="","",IFERROR(INDEX('מלאי'!$Y$3:$Y$357,MATCH(B95,'מלאי'!$D$3:$D$357,0)),""))</f>
        <v/>
      </c>
      <c r="K95">
        <f>IF(B95="","",IF(J95&lt;&gt;"","הוחזר","פעיל"))</f>
        <v/>
      </c>
      <c r="L95">
        <f>IF(AND(K95="פעיל",I95&lt;&gt;""),"עדיין מושאל","")</f>
        <v/>
      </c>
    </row>
    <row r="96">
      <c r="A96">
        <f>IF(B96="","",92)</f>
        <v/>
      </c>
      <c r="B96">
        <f>IFERROR(INDEX('מלאי'!$D$3:$D$357,AGGREGATE(15,6,(ROW('מלאי'!$D$3:$D$357)-ROW('מלאי'!$D$3)+1)/('מלאי'!$T$3:$T$357="מושאל"),92)),"")</f>
        <v/>
      </c>
      <c r="C96">
        <f>IF(B96="","",IFERROR(INDEX('מלאי'!$B$3:$B$357,MATCH(B96,'מלאי'!$D$3:$D$357,0)),""))</f>
        <v/>
      </c>
      <c r="D96">
        <f>IF(B96="","",IFERROR(INDEX('מלאי'!$A$3:$A$357,MATCH(B96,'מלאי'!$D$3:$D$357,0)),""))</f>
        <v/>
      </c>
      <c r="E96">
        <f>IF(B96="","",IFERROR(INDEX('מלאי'!$V$3:$V$357,MATCH(B96,'מלאי'!$D$3:$D$357,0)),""))</f>
        <v/>
      </c>
      <c r="F96">
        <f>IF(B96="","",IFERROR(INDEX('מלאי'!$W$3:$W$357,MATCH(B96,'מלאי'!$D$3:$D$357,0)),""))</f>
        <v/>
      </c>
      <c r="G96">
        <f>IF(B96="","",IFERROR(INDEX('מלאי'!$X$3:$X$357,MATCH(B96,'מלאי'!$D$3:$D$357,0)),""))</f>
        <v/>
      </c>
      <c r="I96">
        <f>IF(B96="","",IFERROR(INDEX('מלאי'!$Y$3:$Y$357,MATCH(B96,'מלאי'!$D$3:$D$357,0)),""))</f>
        <v/>
      </c>
      <c r="K96">
        <f>IF(B96="","",IF(J96&lt;&gt;"","הוחזר","פעיל"))</f>
        <v/>
      </c>
      <c r="L96">
        <f>IF(AND(K96="פעיל",I96&lt;&gt;""),"עדיין מושאל","")</f>
        <v/>
      </c>
    </row>
    <row r="97">
      <c r="A97">
        <f>IF(B97="","",93)</f>
        <v/>
      </c>
      <c r="B97">
        <f>IFERROR(INDEX('מלאי'!$D$3:$D$357,AGGREGATE(15,6,(ROW('מלאי'!$D$3:$D$357)-ROW('מלאי'!$D$3)+1)/('מלאי'!$T$3:$T$357="מושאל"),93)),"")</f>
        <v/>
      </c>
      <c r="C97">
        <f>IF(B97="","",IFERROR(INDEX('מלאי'!$B$3:$B$357,MATCH(B97,'מלאי'!$D$3:$D$357,0)),""))</f>
        <v/>
      </c>
      <c r="D97">
        <f>IF(B97="","",IFERROR(INDEX('מלאי'!$A$3:$A$357,MATCH(B97,'מלאי'!$D$3:$D$357,0)),""))</f>
        <v/>
      </c>
      <c r="E97">
        <f>IF(B97="","",IFERROR(INDEX('מלאי'!$V$3:$V$357,MATCH(B97,'מלאי'!$D$3:$D$357,0)),""))</f>
        <v/>
      </c>
      <c r="F97">
        <f>IF(B97="","",IFERROR(INDEX('מלאי'!$W$3:$W$357,MATCH(B97,'מלאי'!$D$3:$D$357,0)),""))</f>
        <v/>
      </c>
      <c r="G97">
        <f>IF(B97="","",IFERROR(INDEX('מלאי'!$X$3:$X$357,MATCH(B97,'מלאי'!$D$3:$D$357,0)),""))</f>
        <v/>
      </c>
      <c r="I97">
        <f>IF(B97="","",IFERROR(INDEX('מלאי'!$Y$3:$Y$357,MATCH(B97,'מלאי'!$D$3:$D$357,0)),""))</f>
        <v/>
      </c>
      <c r="K97">
        <f>IF(B97="","",IF(J97&lt;&gt;"","הוחזר","פעיל"))</f>
        <v/>
      </c>
      <c r="L97">
        <f>IF(AND(K97="פעיל",I97&lt;&gt;""),"עדיין מושאל","")</f>
        <v/>
      </c>
    </row>
    <row r="98">
      <c r="A98">
        <f>IF(B98="","",94)</f>
        <v/>
      </c>
      <c r="B98">
        <f>IFERROR(INDEX('מלאי'!$D$3:$D$357,AGGREGATE(15,6,(ROW('מלאי'!$D$3:$D$357)-ROW('מלאי'!$D$3)+1)/('מלאי'!$T$3:$T$357="מושאל"),94)),"")</f>
        <v/>
      </c>
      <c r="C98">
        <f>IF(B98="","",IFERROR(INDEX('מלאי'!$B$3:$B$357,MATCH(B98,'מלאי'!$D$3:$D$357,0)),""))</f>
        <v/>
      </c>
      <c r="D98">
        <f>IF(B98="","",IFERROR(INDEX('מלאי'!$A$3:$A$357,MATCH(B98,'מלאי'!$D$3:$D$357,0)),""))</f>
        <v/>
      </c>
      <c r="E98">
        <f>IF(B98="","",IFERROR(INDEX('מלאי'!$V$3:$V$357,MATCH(B98,'מלאי'!$D$3:$D$357,0)),""))</f>
        <v/>
      </c>
      <c r="F98">
        <f>IF(B98="","",IFERROR(INDEX('מלאי'!$W$3:$W$357,MATCH(B98,'מלאי'!$D$3:$D$357,0)),""))</f>
        <v/>
      </c>
      <c r="G98">
        <f>IF(B98="","",IFERROR(INDEX('מלאי'!$X$3:$X$357,MATCH(B98,'מלאי'!$D$3:$D$357,0)),""))</f>
        <v/>
      </c>
      <c r="I98">
        <f>IF(B98="","",IFERROR(INDEX('מלאי'!$Y$3:$Y$357,MATCH(B98,'מלאי'!$D$3:$D$357,0)),""))</f>
        <v/>
      </c>
      <c r="K98">
        <f>IF(B98="","",IF(J98&lt;&gt;"","הוחזר","פעיל"))</f>
        <v/>
      </c>
      <c r="L98">
        <f>IF(AND(K98="פעיל",I98&lt;&gt;""),"עדיין מושאל","")</f>
        <v/>
      </c>
    </row>
    <row r="99">
      <c r="A99">
        <f>IF(B99="","",95)</f>
        <v/>
      </c>
      <c r="B99">
        <f>IFERROR(INDEX('מלאי'!$D$3:$D$357,AGGREGATE(15,6,(ROW('מלאי'!$D$3:$D$357)-ROW('מלאי'!$D$3)+1)/('מלאי'!$T$3:$T$357="מושאל"),95)),"")</f>
        <v/>
      </c>
      <c r="C99">
        <f>IF(B99="","",IFERROR(INDEX('מלאי'!$B$3:$B$357,MATCH(B99,'מלאי'!$D$3:$D$357,0)),""))</f>
        <v/>
      </c>
      <c r="D99">
        <f>IF(B99="","",IFERROR(INDEX('מלאי'!$A$3:$A$357,MATCH(B99,'מלאי'!$D$3:$D$357,0)),""))</f>
        <v/>
      </c>
      <c r="E99">
        <f>IF(B99="","",IFERROR(INDEX('מלאי'!$V$3:$V$357,MATCH(B99,'מלאי'!$D$3:$D$357,0)),""))</f>
        <v/>
      </c>
      <c r="F99">
        <f>IF(B99="","",IFERROR(INDEX('מלאי'!$W$3:$W$357,MATCH(B99,'מלאי'!$D$3:$D$357,0)),""))</f>
        <v/>
      </c>
      <c r="G99">
        <f>IF(B99="","",IFERROR(INDEX('מלאי'!$X$3:$X$357,MATCH(B99,'מלאי'!$D$3:$D$357,0)),""))</f>
        <v/>
      </c>
      <c r="I99">
        <f>IF(B99="","",IFERROR(INDEX('מלאי'!$Y$3:$Y$357,MATCH(B99,'מלאי'!$D$3:$D$357,0)),""))</f>
        <v/>
      </c>
      <c r="K99">
        <f>IF(B99="","",IF(J99&lt;&gt;"","הוחזר","פעיל"))</f>
        <v/>
      </c>
      <c r="L99">
        <f>IF(AND(K99="פעיל",I99&lt;&gt;""),"עדיין מושאל","")</f>
        <v/>
      </c>
    </row>
    <row r="100">
      <c r="A100">
        <f>IF(B100="","",96)</f>
        <v/>
      </c>
      <c r="B100">
        <f>IFERROR(INDEX('מלאי'!$D$3:$D$357,AGGREGATE(15,6,(ROW('מלאי'!$D$3:$D$357)-ROW('מלאי'!$D$3)+1)/('מלאי'!$T$3:$T$357="מושאל"),96)),"")</f>
        <v/>
      </c>
      <c r="C100">
        <f>IF(B100="","",IFERROR(INDEX('מלאי'!$B$3:$B$357,MATCH(B100,'מלאי'!$D$3:$D$357,0)),""))</f>
        <v/>
      </c>
      <c r="D100">
        <f>IF(B100="","",IFERROR(INDEX('מלאי'!$A$3:$A$357,MATCH(B100,'מלאי'!$D$3:$D$357,0)),""))</f>
        <v/>
      </c>
      <c r="E100">
        <f>IF(B100="","",IFERROR(INDEX('מלאי'!$V$3:$V$357,MATCH(B100,'מלאי'!$D$3:$D$357,0)),""))</f>
        <v/>
      </c>
      <c r="F100">
        <f>IF(B100="","",IFERROR(INDEX('מלאי'!$W$3:$W$357,MATCH(B100,'מלאי'!$D$3:$D$357,0)),""))</f>
        <v/>
      </c>
      <c r="G100">
        <f>IF(B100="","",IFERROR(INDEX('מלאי'!$X$3:$X$357,MATCH(B100,'מלאי'!$D$3:$D$357,0)),""))</f>
        <v/>
      </c>
      <c r="I100">
        <f>IF(B100="","",IFERROR(INDEX('מלאי'!$Y$3:$Y$357,MATCH(B100,'מלאי'!$D$3:$D$357,0)),""))</f>
        <v/>
      </c>
      <c r="K100">
        <f>IF(B100="","",IF(J100&lt;&gt;"","הוחזר","פעיל"))</f>
        <v/>
      </c>
      <c r="L100">
        <f>IF(AND(K100="פעיל",I100&lt;&gt;""),"עדיין מושאל","")</f>
        <v/>
      </c>
    </row>
  </sheetData>
  <mergeCells count="2">
    <mergeCell ref="A3:M3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4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16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2" customWidth="1" min="14" max="14"/>
    <col width="14" customWidth="1" min="15" max="15"/>
    <col hidden="1" width="4" customWidth="1" min="16" max="16"/>
  </cols>
  <sheetData>
    <row r="1">
      <c r="A1" s="8" t="inlineStr">
        <is>
          <t>ערכים טכנולוגיים</t>
        </is>
      </c>
    </row>
    <row r="3">
      <c r="A3" s="7" t="inlineStr">
        <is>
          <t>עדכן מזהה (עמודה A) כדי להציג ערכים אוטומטית. שדות MWIR/LWIR/NIR ונובל הם הזנה ידנית.</t>
        </is>
      </c>
    </row>
    <row r="4" ht="28" customHeight="1">
      <c r="A4" s="1" t="inlineStr">
        <is>
          <t>מזהה</t>
        </is>
      </c>
      <c r="B4" s="1" t="inlineStr">
        <is>
          <t>שם מוצר</t>
        </is>
      </c>
      <c r="C4" s="1" t="inlineStr">
        <is>
          <t>קו מוצר</t>
        </is>
      </c>
      <c r="D4" s="1" t="inlineStr">
        <is>
          <t>הדפס צד א'</t>
        </is>
      </c>
      <c r="E4" s="1" t="inlineStr">
        <is>
          <t>MWIR א'</t>
        </is>
      </c>
      <c r="F4" s="1" t="inlineStr">
        <is>
          <t>LWIR א'</t>
        </is>
      </c>
      <c r="G4" s="1" t="inlineStr">
        <is>
          <t>NIR א'</t>
        </is>
      </c>
      <c r="H4" s="1" t="inlineStr">
        <is>
          <t>הדפס צד ב'</t>
        </is>
      </c>
      <c r="I4" s="1" t="inlineStr">
        <is>
          <t>MWIR ב'</t>
        </is>
      </c>
      <c r="J4" s="1" t="inlineStr">
        <is>
          <t>LWIR ב'</t>
        </is>
      </c>
      <c r="K4" s="1" t="inlineStr">
        <is>
          <t>NIR ב'</t>
        </is>
      </c>
      <c r="L4" s="1" t="inlineStr">
        <is>
          <t>נובל</t>
        </is>
      </c>
      <c r="M4" s="1" t="inlineStr">
        <is>
          <t>ממוצע MWIR</t>
        </is>
      </c>
      <c r="N4" s="1" t="inlineStr">
        <is>
          <t>ממוצע LWIR</t>
        </is>
      </c>
      <c r="O4" s="1" t="inlineStr">
        <is>
          <t>ממוצע משולב</t>
        </is>
      </c>
      <c r="P4" s="1" t="inlineStr">
        <is>
          <t>מסנן טכנו</t>
        </is>
      </c>
    </row>
    <row r="5">
      <c r="B5">
        <f>IF(A5="","",IFERROR(INDEX('מלאי'!$B$3:$B$357,MATCH(A5,'מלאי'!$D$3:$D$357,0)),""))</f>
        <v/>
      </c>
      <c r="C5">
        <f>IF(A5="","",IFERROR(INDEX('מלאי'!$A$3:$A$357,MATCH(A5,'מלאי'!$D$3:$D$357,0)),""))</f>
        <v/>
      </c>
      <c r="D5">
        <f>IF(A5="","",IFERROR(INDEX('מלאי'!$H$3:$H$357,MATCH(A5,'מלאי'!$D$3:$D$357,0)),""))</f>
        <v/>
      </c>
      <c r="H5">
        <f>IF(A5="","",IFERROR(INDEX('מלאי'!$I$3:$I$357,MATCH(A5,'מלאי'!$D$3:$D$357,0)),""))</f>
        <v/>
      </c>
      <c r="M5">
        <f>IF(AND(E5="",I5=""),"",IF(H5="",E5,IF(I5="",E5,IFERROR((VALUE(E5)+VALUE(I5))/2,E5))))</f>
        <v/>
      </c>
      <c r="N5">
        <f>IF(AND(F5="",J5=""),"",IF(H5="",F5,IF(J5="",F5,IFERROR((VALUE(F5)+VALUE(J5))/2,F5))))</f>
        <v/>
      </c>
      <c r="O5">
        <f>IF(AND(M5="",N5=""),"",IF(M5="",N5,IF(N5="",M5,IFERROR((VALUE(M5)+VALUE(N5))/2,""))))</f>
        <v/>
      </c>
      <c r="P5">
        <f>IF(AND(OR('טכנו'!$C$3="הכל",IFERROR(VLOOKUP(D5,'הגדרות'!$A$2:$D$18,2,FALSE),"")='טכנו'!$C$3,IFERROR(VLOOKUP(D5,'הגדרות'!$A$2:$D$18,3,FALSE),"")='טכנו'!$C$3),OR('טכנו'!$C$4="הכל",C5='טכנו'!$C$4),OR('טכנו'!$C$5="הכל",L5='טכנו'!$C$5),OR('טכנו'!$C$6="",IFERROR(VALUE(M5),0)&gt;='טכנו'!$C$6),OR('טכנו'!$C$7="",IFERROR(VALUE(M5),0)&lt;='טכנו'!$C$7),A5&lt;&gt;""),ROW()-4,"")</f>
        <v/>
      </c>
    </row>
    <row r="6">
      <c r="B6">
        <f>IF(A6="","",IFERROR(INDEX('מלאי'!$B$3:$B$357,MATCH(A6,'מלאי'!$D$3:$D$357,0)),""))</f>
        <v/>
      </c>
      <c r="C6">
        <f>IF(A6="","",IFERROR(INDEX('מלאי'!$A$3:$A$357,MATCH(A6,'מלאי'!$D$3:$D$357,0)),""))</f>
        <v/>
      </c>
      <c r="D6">
        <f>IF(A6="","",IFERROR(INDEX('מלאי'!$H$3:$H$357,MATCH(A6,'מלאי'!$D$3:$D$357,0)),""))</f>
        <v/>
      </c>
      <c r="H6">
        <f>IF(A6="","",IFERROR(INDEX('מלאי'!$I$3:$I$357,MATCH(A6,'מלאי'!$D$3:$D$357,0)),""))</f>
        <v/>
      </c>
      <c r="M6">
        <f>IF(AND(E6="",I6=""),"",IF(H6="",E6,IF(I6="",E6,IFERROR((VALUE(E6)+VALUE(I6))/2,E6))))</f>
        <v/>
      </c>
      <c r="N6">
        <f>IF(AND(F6="",J6=""),"",IF(H6="",F6,IF(J6="",F6,IFERROR((VALUE(F6)+VALUE(J6))/2,F6))))</f>
        <v/>
      </c>
      <c r="O6">
        <f>IF(AND(M6="",N6=""),"",IF(M6="",N6,IF(N6="",M6,IFERROR((VALUE(M6)+VALUE(N6))/2,""))))</f>
        <v/>
      </c>
      <c r="P6">
        <f>IF(AND(OR('טכנו'!$C$3="הכל",IFERROR(VLOOKUP(D6,'הגדרות'!$A$2:$D$18,2,FALSE),"")='טכנו'!$C$3,IFERROR(VLOOKUP(D6,'הגדרות'!$A$2:$D$18,3,FALSE),"")='טכנו'!$C$3),OR('טכנו'!$C$4="הכל",C6='טכנו'!$C$4),OR('טכנו'!$C$5="הכל",L6='טכנו'!$C$5),OR('טכנו'!$C$6="",IFERROR(VALUE(M6),0)&gt;='טכנו'!$C$6),OR('טכנו'!$C$7="",IFERROR(VALUE(M6),0)&lt;='טכנו'!$C$7),A6&lt;&gt;""),ROW()-4,"")</f>
        <v/>
      </c>
    </row>
    <row r="7">
      <c r="B7">
        <f>IF(A7="","",IFERROR(INDEX('מלאי'!$B$3:$B$357,MATCH(A7,'מלאי'!$D$3:$D$357,0)),""))</f>
        <v/>
      </c>
      <c r="C7">
        <f>IF(A7="","",IFERROR(INDEX('מלאי'!$A$3:$A$357,MATCH(A7,'מלאי'!$D$3:$D$357,0)),""))</f>
        <v/>
      </c>
      <c r="D7">
        <f>IF(A7="","",IFERROR(INDEX('מלאי'!$H$3:$H$357,MATCH(A7,'מלאי'!$D$3:$D$357,0)),""))</f>
        <v/>
      </c>
      <c r="H7">
        <f>IF(A7="","",IFERROR(INDEX('מלאי'!$I$3:$I$357,MATCH(A7,'מלאי'!$D$3:$D$357,0)),""))</f>
        <v/>
      </c>
      <c r="M7">
        <f>IF(AND(E7="",I7=""),"",IF(H7="",E7,IF(I7="",E7,IFERROR((VALUE(E7)+VALUE(I7))/2,E7))))</f>
        <v/>
      </c>
      <c r="N7">
        <f>IF(AND(F7="",J7=""),"",IF(H7="",F7,IF(J7="",F7,IFERROR((VALUE(F7)+VALUE(J7))/2,F7))))</f>
        <v/>
      </c>
      <c r="O7">
        <f>IF(AND(M7="",N7=""),"",IF(M7="",N7,IF(N7="",M7,IFERROR((VALUE(M7)+VALUE(N7))/2,""))))</f>
        <v/>
      </c>
      <c r="P7">
        <f>IF(AND(OR('טכנו'!$C$3="הכל",IFERROR(VLOOKUP(D7,'הגדרות'!$A$2:$D$18,2,FALSE),"")='טכנו'!$C$3,IFERROR(VLOOKUP(D7,'הגדרות'!$A$2:$D$18,3,FALSE),"")='טכנו'!$C$3),OR('טכנו'!$C$4="הכל",C7='טכנו'!$C$4),OR('טכנו'!$C$5="הכל",L7='טכנו'!$C$5),OR('טכנו'!$C$6="",IFERROR(VALUE(M7),0)&gt;='טכנו'!$C$6),OR('טכנו'!$C$7="",IFERROR(VALUE(M7),0)&lt;='טכנו'!$C$7),A7&lt;&gt;""),ROW()-4,"")</f>
        <v/>
      </c>
    </row>
    <row r="8">
      <c r="B8">
        <f>IF(A8="","",IFERROR(INDEX('מלאי'!$B$3:$B$357,MATCH(A8,'מלאי'!$D$3:$D$357,0)),""))</f>
        <v/>
      </c>
      <c r="C8">
        <f>IF(A8="","",IFERROR(INDEX('מלאי'!$A$3:$A$357,MATCH(A8,'מלאי'!$D$3:$D$357,0)),""))</f>
        <v/>
      </c>
      <c r="D8">
        <f>IF(A8="","",IFERROR(INDEX('מלאי'!$H$3:$H$357,MATCH(A8,'מלאי'!$D$3:$D$357,0)),""))</f>
        <v/>
      </c>
      <c r="H8">
        <f>IF(A8="","",IFERROR(INDEX('מלאי'!$I$3:$I$357,MATCH(A8,'מלאי'!$D$3:$D$357,0)),""))</f>
        <v/>
      </c>
      <c r="M8">
        <f>IF(AND(E8="",I8=""),"",IF(H8="",E8,IF(I8="",E8,IFERROR((VALUE(E8)+VALUE(I8))/2,E8))))</f>
        <v/>
      </c>
      <c r="N8">
        <f>IF(AND(F8="",J8=""),"",IF(H8="",F8,IF(J8="",F8,IFERROR((VALUE(F8)+VALUE(J8))/2,F8))))</f>
        <v/>
      </c>
      <c r="O8">
        <f>IF(AND(M8="",N8=""),"",IF(M8="",N8,IF(N8="",M8,IFERROR((VALUE(M8)+VALUE(N8))/2,""))))</f>
        <v/>
      </c>
      <c r="P8">
        <f>IF(AND(OR('טכנו'!$C$3="הכל",IFERROR(VLOOKUP(D8,'הגדרות'!$A$2:$D$18,2,FALSE),"")='טכנו'!$C$3,IFERROR(VLOOKUP(D8,'הגדרות'!$A$2:$D$18,3,FALSE),"")='טכנו'!$C$3),OR('טכנו'!$C$4="הכל",C8='טכנו'!$C$4),OR('טכנו'!$C$5="הכל",L8='טכנו'!$C$5),OR('טכנו'!$C$6="",IFERROR(VALUE(M8),0)&gt;='טכנו'!$C$6),OR('טכנו'!$C$7="",IFERROR(VALUE(M8),0)&lt;='טכנו'!$C$7),A8&lt;&gt;""),ROW()-4,"")</f>
        <v/>
      </c>
    </row>
    <row r="9">
      <c r="B9">
        <f>IF(A9="","",IFERROR(INDEX('מלאי'!$B$3:$B$357,MATCH(A9,'מלאי'!$D$3:$D$357,0)),""))</f>
        <v/>
      </c>
      <c r="C9">
        <f>IF(A9="","",IFERROR(INDEX('מלאי'!$A$3:$A$357,MATCH(A9,'מלאי'!$D$3:$D$357,0)),""))</f>
        <v/>
      </c>
      <c r="D9">
        <f>IF(A9="","",IFERROR(INDEX('מלאי'!$H$3:$H$357,MATCH(A9,'מלאי'!$D$3:$D$357,0)),""))</f>
        <v/>
      </c>
      <c r="H9">
        <f>IF(A9="","",IFERROR(INDEX('מלאי'!$I$3:$I$357,MATCH(A9,'מלאי'!$D$3:$D$357,0)),""))</f>
        <v/>
      </c>
      <c r="M9">
        <f>IF(AND(E9="",I9=""),"",IF(H9="",E9,IF(I9="",E9,IFERROR((VALUE(E9)+VALUE(I9))/2,E9))))</f>
        <v/>
      </c>
      <c r="N9">
        <f>IF(AND(F9="",J9=""),"",IF(H9="",F9,IF(J9="",F9,IFERROR((VALUE(F9)+VALUE(J9))/2,F9))))</f>
        <v/>
      </c>
      <c r="O9">
        <f>IF(AND(M9="",N9=""),"",IF(M9="",N9,IF(N9="",M9,IFERROR((VALUE(M9)+VALUE(N9))/2,""))))</f>
        <v/>
      </c>
      <c r="P9">
        <f>IF(AND(OR('טכנו'!$C$3="הכל",IFERROR(VLOOKUP(D9,'הגדרות'!$A$2:$D$18,2,FALSE),"")='טכנו'!$C$3,IFERROR(VLOOKUP(D9,'הגדרות'!$A$2:$D$18,3,FALSE),"")='טכנו'!$C$3),OR('טכנו'!$C$4="הכל",C9='טכנו'!$C$4),OR('טכנו'!$C$5="הכל",L9='טכנו'!$C$5),OR('טכנו'!$C$6="",IFERROR(VALUE(M9),0)&gt;='טכנו'!$C$6),OR('טכנו'!$C$7="",IFERROR(VALUE(M9),0)&lt;='טכנו'!$C$7),A9&lt;&gt;""),ROW()-4,"")</f>
        <v/>
      </c>
    </row>
    <row r="10">
      <c r="B10">
        <f>IF(A10="","",IFERROR(INDEX('מלאי'!$B$3:$B$357,MATCH(A10,'מלאי'!$D$3:$D$357,0)),""))</f>
        <v/>
      </c>
      <c r="C10">
        <f>IF(A10="","",IFERROR(INDEX('מלאי'!$A$3:$A$357,MATCH(A10,'מלאי'!$D$3:$D$357,0)),""))</f>
        <v/>
      </c>
      <c r="D10">
        <f>IF(A10="","",IFERROR(INDEX('מלאי'!$H$3:$H$357,MATCH(A10,'מלאי'!$D$3:$D$357,0)),""))</f>
        <v/>
      </c>
      <c r="H10">
        <f>IF(A10="","",IFERROR(INDEX('מלאי'!$I$3:$I$357,MATCH(A10,'מלאי'!$D$3:$D$357,0)),""))</f>
        <v/>
      </c>
      <c r="M10">
        <f>IF(AND(E10="",I10=""),"",IF(H10="",E10,IF(I10="",E10,IFERROR((VALUE(E10)+VALUE(I10))/2,E10))))</f>
        <v/>
      </c>
      <c r="N10">
        <f>IF(AND(F10="",J10=""),"",IF(H10="",F10,IF(J10="",F10,IFERROR((VALUE(F10)+VALUE(J10))/2,F10))))</f>
        <v/>
      </c>
      <c r="O10">
        <f>IF(AND(M10="",N10=""),"",IF(M10="",N10,IF(N10="",M10,IFERROR((VALUE(M10)+VALUE(N10))/2,""))))</f>
        <v/>
      </c>
      <c r="P10">
        <f>IF(AND(OR('טכנו'!$C$3="הכל",IFERROR(VLOOKUP(D10,'הגדרות'!$A$2:$D$18,2,FALSE),"")='טכנו'!$C$3,IFERROR(VLOOKUP(D10,'הגדרות'!$A$2:$D$18,3,FALSE),"")='טכנו'!$C$3),OR('טכנו'!$C$4="הכל",C10='טכנו'!$C$4),OR('טכנו'!$C$5="הכל",L10='טכנו'!$C$5),OR('טכנו'!$C$6="",IFERROR(VALUE(M10),0)&gt;='טכנו'!$C$6),OR('טכנו'!$C$7="",IFERROR(VALUE(M10),0)&lt;='טכנו'!$C$7),A10&lt;&gt;""),ROW()-4,"")</f>
        <v/>
      </c>
    </row>
    <row r="11">
      <c r="B11">
        <f>IF(A11="","",IFERROR(INDEX('מלאי'!$B$3:$B$357,MATCH(A11,'מלאי'!$D$3:$D$357,0)),""))</f>
        <v/>
      </c>
      <c r="C11">
        <f>IF(A11="","",IFERROR(INDEX('מלאי'!$A$3:$A$357,MATCH(A11,'מלאי'!$D$3:$D$357,0)),""))</f>
        <v/>
      </c>
      <c r="D11">
        <f>IF(A11="","",IFERROR(INDEX('מלאי'!$H$3:$H$357,MATCH(A11,'מלאי'!$D$3:$D$357,0)),""))</f>
        <v/>
      </c>
      <c r="H11">
        <f>IF(A11="","",IFERROR(INDEX('מלאי'!$I$3:$I$357,MATCH(A11,'מלאי'!$D$3:$D$357,0)),""))</f>
        <v/>
      </c>
      <c r="M11">
        <f>IF(AND(E11="",I11=""),"",IF(H11="",E11,IF(I11="",E11,IFERROR((VALUE(E11)+VALUE(I11))/2,E11))))</f>
        <v/>
      </c>
      <c r="N11">
        <f>IF(AND(F11="",J11=""),"",IF(H11="",F11,IF(J11="",F11,IFERROR((VALUE(F11)+VALUE(J11))/2,F11))))</f>
        <v/>
      </c>
      <c r="O11">
        <f>IF(AND(M11="",N11=""),"",IF(M11="",N11,IF(N11="",M11,IFERROR((VALUE(M11)+VALUE(N11))/2,""))))</f>
        <v/>
      </c>
      <c r="P11">
        <f>IF(AND(OR('טכנו'!$C$3="הכל",IFERROR(VLOOKUP(D11,'הגדרות'!$A$2:$D$18,2,FALSE),"")='טכנו'!$C$3,IFERROR(VLOOKUP(D11,'הגדרות'!$A$2:$D$18,3,FALSE),"")='טכנו'!$C$3),OR('טכנו'!$C$4="הכל",C11='טכנו'!$C$4),OR('טכנו'!$C$5="הכל",L11='טכנו'!$C$5),OR('טכנו'!$C$6="",IFERROR(VALUE(M11),0)&gt;='טכנו'!$C$6),OR('טכנו'!$C$7="",IFERROR(VALUE(M11),0)&lt;='טכנו'!$C$7),A11&lt;&gt;""),ROW()-4,"")</f>
        <v/>
      </c>
    </row>
    <row r="12">
      <c r="B12">
        <f>IF(A12="","",IFERROR(INDEX('מלאי'!$B$3:$B$357,MATCH(A12,'מלאי'!$D$3:$D$357,0)),""))</f>
        <v/>
      </c>
      <c r="C12">
        <f>IF(A12="","",IFERROR(INDEX('מלאי'!$A$3:$A$357,MATCH(A12,'מלאי'!$D$3:$D$357,0)),""))</f>
        <v/>
      </c>
      <c r="D12">
        <f>IF(A12="","",IFERROR(INDEX('מלאי'!$H$3:$H$357,MATCH(A12,'מלאי'!$D$3:$D$357,0)),""))</f>
        <v/>
      </c>
      <c r="H12">
        <f>IF(A12="","",IFERROR(INDEX('מלאי'!$I$3:$I$357,MATCH(A12,'מלאי'!$D$3:$D$357,0)),""))</f>
        <v/>
      </c>
      <c r="M12">
        <f>IF(AND(E12="",I12=""),"",IF(H12="",E12,IF(I12="",E12,IFERROR((VALUE(E12)+VALUE(I12))/2,E12))))</f>
        <v/>
      </c>
      <c r="N12">
        <f>IF(AND(F12="",J12=""),"",IF(H12="",F12,IF(J12="",F12,IFERROR((VALUE(F12)+VALUE(J12))/2,F12))))</f>
        <v/>
      </c>
      <c r="O12">
        <f>IF(AND(M12="",N12=""),"",IF(M12="",N12,IF(N12="",M12,IFERROR((VALUE(M12)+VALUE(N12))/2,""))))</f>
        <v/>
      </c>
      <c r="P12">
        <f>IF(AND(OR('טכנו'!$C$3="הכל",IFERROR(VLOOKUP(D12,'הגדרות'!$A$2:$D$18,2,FALSE),"")='טכנו'!$C$3,IFERROR(VLOOKUP(D12,'הגדרות'!$A$2:$D$18,3,FALSE),"")='טכנו'!$C$3),OR('טכנו'!$C$4="הכל",C12='טכנו'!$C$4),OR('טכנו'!$C$5="הכל",L12='טכנו'!$C$5),OR('טכנו'!$C$6="",IFERROR(VALUE(M12),0)&gt;='טכנו'!$C$6),OR('טכנו'!$C$7="",IFERROR(VALUE(M12),0)&lt;='טכנו'!$C$7),A12&lt;&gt;""),ROW()-4,"")</f>
        <v/>
      </c>
    </row>
    <row r="13">
      <c r="B13">
        <f>IF(A13="","",IFERROR(INDEX('מלאי'!$B$3:$B$357,MATCH(A13,'מלאי'!$D$3:$D$357,0)),""))</f>
        <v/>
      </c>
      <c r="C13">
        <f>IF(A13="","",IFERROR(INDEX('מלאי'!$A$3:$A$357,MATCH(A13,'מלאי'!$D$3:$D$357,0)),""))</f>
        <v/>
      </c>
      <c r="D13">
        <f>IF(A13="","",IFERROR(INDEX('מלאי'!$H$3:$H$357,MATCH(A13,'מלאי'!$D$3:$D$357,0)),""))</f>
        <v/>
      </c>
      <c r="H13">
        <f>IF(A13="","",IFERROR(INDEX('מלאי'!$I$3:$I$357,MATCH(A13,'מלאי'!$D$3:$D$357,0)),""))</f>
        <v/>
      </c>
      <c r="M13">
        <f>IF(AND(E13="",I13=""),"",IF(H13="",E13,IF(I13="",E13,IFERROR((VALUE(E13)+VALUE(I13))/2,E13))))</f>
        <v/>
      </c>
      <c r="N13">
        <f>IF(AND(F13="",J13=""),"",IF(H13="",F13,IF(J13="",F13,IFERROR((VALUE(F13)+VALUE(J13))/2,F13))))</f>
        <v/>
      </c>
      <c r="O13">
        <f>IF(AND(M13="",N13=""),"",IF(M13="",N13,IF(N13="",M13,IFERROR((VALUE(M13)+VALUE(N13))/2,""))))</f>
        <v/>
      </c>
      <c r="P13">
        <f>IF(AND(OR('טכנו'!$C$3="הכל",IFERROR(VLOOKUP(D13,'הגדרות'!$A$2:$D$18,2,FALSE),"")='טכנו'!$C$3,IFERROR(VLOOKUP(D13,'הגדרות'!$A$2:$D$18,3,FALSE),"")='טכנו'!$C$3),OR('טכנו'!$C$4="הכל",C13='טכנו'!$C$4),OR('טכנו'!$C$5="הכל",L13='טכנו'!$C$5),OR('טכנו'!$C$6="",IFERROR(VALUE(M13),0)&gt;='טכנו'!$C$6),OR('טכנו'!$C$7="",IFERROR(VALUE(M13),0)&lt;='טכנו'!$C$7),A13&lt;&gt;""),ROW()-4,"")</f>
        <v/>
      </c>
    </row>
    <row r="14">
      <c r="B14">
        <f>IF(A14="","",IFERROR(INDEX('מלאי'!$B$3:$B$357,MATCH(A14,'מלאי'!$D$3:$D$357,0)),""))</f>
        <v/>
      </c>
      <c r="C14">
        <f>IF(A14="","",IFERROR(INDEX('מלאי'!$A$3:$A$357,MATCH(A14,'מלאי'!$D$3:$D$357,0)),""))</f>
        <v/>
      </c>
      <c r="D14">
        <f>IF(A14="","",IFERROR(INDEX('מלאי'!$H$3:$H$357,MATCH(A14,'מלאי'!$D$3:$D$357,0)),""))</f>
        <v/>
      </c>
      <c r="H14">
        <f>IF(A14="","",IFERROR(INDEX('מלאי'!$I$3:$I$357,MATCH(A14,'מלאי'!$D$3:$D$357,0)),""))</f>
        <v/>
      </c>
      <c r="M14">
        <f>IF(AND(E14="",I14=""),"",IF(H14="",E14,IF(I14="",E14,IFERROR((VALUE(E14)+VALUE(I14))/2,E14))))</f>
        <v/>
      </c>
      <c r="N14">
        <f>IF(AND(F14="",J14=""),"",IF(H14="",F14,IF(J14="",F14,IFERROR((VALUE(F14)+VALUE(J14))/2,F14))))</f>
        <v/>
      </c>
      <c r="O14">
        <f>IF(AND(M14="",N14=""),"",IF(M14="",N14,IF(N14="",M14,IFERROR((VALUE(M14)+VALUE(N14))/2,""))))</f>
        <v/>
      </c>
      <c r="P14">
        <f>IF(AND(OR('טכנו'!$C$3="הכל",IFERROR(VLOOKUP(D14,'הגדרות'!$A$2:$D$18,2,FALSE),"")='טכנו'!$C$3,IFERROR(VLOOKUP(D14,'הגדרות'!$A$2:$D$18,3,FALSE),"")='טכנו'!$C$3),OR('טכנו'!$C$4="הכל",C14='טכנו'!$C$4),OR('טכנו'!$C$5="הכל",L14='טכנו'!$C$5),OR('טכנו'!$C$6="",IFERROR(VALUE(M14),0)&gt;='טכנו'!$C$6),OR('טכנו'!$C$7="",IFERROR(VALUE(M14),0)&lt;='טכנו'!$C$7),A14&lt;&gt;""),ROW()-4,"")</f>
        <v/>
      </c>
    </row>
    <row r="15">
      <c r="B15">
        <f>IF(A15="","",IFERROR(INDEX('מלאי'!$B$3:$B$357,MATCH(A15,'מלאי'!$D$3:$D$357,0)),""))</f>
        <v/>
      </c>
      <c r="C15">
        <f>IF(A15="","",IFERROR(INDEX('מלאי'!$A$3:$A$357,MATCH(A15,'מלאי'!$D$3:$D$357,0)),""))</f>
        <v/>
      </c>
      <c r="D15">
        <f>IF(A15="","",IFERROR(INDEX('מלאי'!$H$3:$H$357,MATCH(A15,'מלאי'!$D$3:$D$357,0)),""))</f>
        <v/>
      </c>
      <c r="H15">
        <f>IF(A15="","",IFERROR(INDEX('מלאי'!$I$3:$I$357,MATCH(A15,'מלאי'!$D$3:$D$357,0)),""))</f>
        <v/>
      </c>
      <c r="M15">
        <f>IF(AND(E15="",I15=""),"",IF(H15="",E15,IF(I15="",E15,IFERROR((VALUE(E15)+VALUE(I15))/2,E15))))</f>
        <v/>
      </c>
      <c r="N15">
        <f>IF(AND(F15="",J15=""),"",IF(H15="",F15,IF(J15="",F15,IFERROR((VALUE(F15)+VALUE(J15))/2,F15))))</f>
        <v/>
      </c>
      <c r="O15">
        <f>IF(AND(M15="",N15=""),"",IF(M15="",N15,IF(N15="",M15,IFERROR((VALUE(M15)+VALUE(N15))/2,""))))</f>
        <v/>
      </c>
      <c r="P15">
        <f>IF(AND(OR('טכנו'!$C$3="הכל",IFERROR(VLOOKUP(D15,'הגדרות'!$A$2:$D$18,2,FALSE),"")='טכנו'!$C$3,IFERROR(VLOOKUP(D15,'הגדרות'!$A$2:$D$18,3,FALSE),"")='טכנו'!$C$3),OR('טכנו'!$C$4="הכל",C15='טכנו'!$C$4),OR('טכנו'!$C$5="הכל",L15='טכנו'!$C$5),OR('טכנו'!$C$6="",IFERROR(VALUE(M15),0)&gt;='טכנו'!$C$6),OR('טכנו'!$C$7="",IFERROR(VALUE(M15),0)&lt;='טכנו'!$C$7),A15&lt;&gt;""),ROW()-4,"")</f>
        <v/>
      </c>
    </row>
    <row r="16">
      <c r="B16">
        <f>IF(A16="","",IFERROR(INDEX('מלאי'!$B$3:$B$357,MATCH(A16,'מלאי'!$D$3:$D$357,0)),""))</f>
        <v/>
      </c>
      <c r="C16">
        <f>IF(A16="","",IFERROR(INDEX('מלאי'!$A$3:$A$357,MATCH(A16,'מלאי'!$D$3:$D$357,0)),""))</f>
        <v/>
      </c>
      <c r="D16">
        <f>IF(A16="","",IFERROR(INDEX('מלאי'!$H$3:$H$357,MATCH(A16,'מלאי'!$D$3:$D$357,0)),""))</f>
        <v/>
      </c>
      <c r="H16">
        <f>IF(A16="","",IFERROR(INDEX('מלאי'!$I$3:$I$357,MATCH(A16,'מלאי'!$D$3:$D$357,0)),""))</f>
        <v/>
      </c>
      <c r="M16">
        <f>IF(AND(E16="",I16=""),"",IF(H16="",E16,IF(I16="",E16,IFERROR((VALUE(E16)+VALUE(I16))/2,E16))))</f>
        <v/>
      </c>
      <c r="N16">
        <f>IF(AND(F16="",J16=""),"",IF(H16="",F16,IF(J16="",F16,IFERROR((VALUE(F16)+VALUE(J16))/2,F16))))</f>
        <v/>
      </c>
      <c r="O16">
        <f>IF(AND(M16="",N16=""),"",IF(M16="",N16,IF(N16="",M16,IFERROR((VALUE(M16)+VALUE(N16))/2,""))))</f>
        <v/>
      </c>
      <c r="P16">
        <f>IF(AND(OR('טכנו'!$C$3="הכל",IFERROR(VLOOKUP(D16,'הגדרות'!$A$2:$D$18,2,FALSE),"")='טכנו'!$C$3,IFERROR(VLOOKUP(D16,'הגדרות'!$A$2:$D$18,3,FALSE),"")='טכנו'!$C$3),OR('טכנו'!$C$4="הכל",C16='טכנו'!$C$4),OR('טכנו'!$C$5="הכל",L16='טכנו'!$C$5),OR('טכנו'!$C$6="",IFERROR(VALUE(M16),0)&gt;='טכנו'!$C$6),OR('טכנו'!$C$7="",IFERROR(VALUE(M16),0)&lt;='טכנו'!$C$7),A16&lt;&gt;""),ROW()-4,"")</f>
        <v/>
      </c>
    </row>
    <row r="17">
      <c r="B17">
        <f>IF(A17="","",IFERROR(INDEX('מלאי'!$B$3:$B$357,MATCH(A17,'מלאי'!$D$3:$D$357,0)),""))</f>
        <v/>
      </c>
      <c r="C17">
        <f>IF(A17="","",IFERROR(INDEX('מלאי'!$A$3:$A$357,MATCH(A17,'מלאי'!$D$3:$D$357,0)),""))</f>
        <v/>
      </c>
      <c r="D17">
        <f>IF(A17="","",IFERROR(INDEX('מלאי'!$H$3:$H$357,MATCH(A17,'מלאי'!$D$3:$D$357,0)),""))</f>
        <v/>
      </c>
      <c r="H17">
        <f>IF(A17="","",IFERROR(INDEX('מלאי'!$I$3:$I$357,MATCH(A17,'מלאי'!$D$3:$D$357,0)),""))</f>
        <v/>
      </c>
      <c r="M17">
        <f>IF(AND(E17="",I17=""),"",IF(H17="",E17,IF(I17="",E17,IFERROR((VALUE(E17)+VALUE(I17))/2,E17))))</f>
        <v/>
      </c>
      <c r="N17">
        <f>IF(AND(F17="",J17=""),"",IF(H17="",F17,IF(J17="",F17,IFERROR((VALUE(F17)+VALUE(J17))/2,F17))))</f>
        <v/>
      </c>
      <c r="O17">
        <f>IF(AND(M17="",N17=""),"",IF(M17="",N17,IF(N17="",M17,IFERROR((VALUE(M17)+VALUE(N17))/2,""))))</f>
        <v/>
      </c>
      <c r="P17">
        <f>IF(AND(OR('טכנו'!$C$3="הכל",IFERROR(VLOOKUP(D17,'הגדרות'!$A$2:$D$18,2,FALSE),"")='טכנו'!$C$3,IFERROR(VLOOKUP(D17,'הגדרות'!$A$2:$D$18,3,FALSE),"")='טכנו'!$C$3),OR('טכנו'!$C$4="הכל",C17='טכנו'!$C$4),OR('טכנו'!$C$5="הכל",L17='טכנו'!$C$5),OR('טכנו'!$C$6="",IFERROR(VALUE(M17),0)&gt;='טכנו'!$C$6),OR('טכנו'!$C$7="",IFERROR(VALUE(M17),0)&lt;='טכנו'!$C$7),A17&lt;&gt;""),ROW()-4,"")</f>
        <v/>
      </c>
    </row>
    <row r="18">
      <c r="B18">
        <f>IF(A18="","",IFERROR(INDEX('מלאי'!$B$3:$B$357,MATCH(A18,'מלאי'!$D$3:$D$357,0)),""))</f>
        <v/>
      </c>
      <c r="C18">
        <f>IF(A18="","",IFERROR(INDEX('מלאי'!$A$3:$A$357,MATCH(A18,'מלאי'!$D$3:$D$357,0)),""))</f>
        <v/>
      </c>
      <c r="D18">
        <f>IF(A18="","",IFERROR(INDEX('מלאי'!$H$3:$H$357,MATCH(A18,'מלאי'!$D$3:$D$357,0)),""))</f>
        <v/>
      </c>
      <c r="H18">
        <f>IF(A18="","",IFERROR(INDEX('מלאי'!$I$3:$I$357,MATCH(A18,'מלאי'!$D$3:$D$357,0)),""))</f>
        <v/>
      </c>
      <c r="M18">
        <f>IF(AND(E18="",I18=""),"",IF(H18="",E18,IF(I18="",E18,IFERROR((VALUE(E18)+VALUE(I18))/2,E18))))</f>
        <v/>
      </c>
      <c r="N18">
        <f>IF(AND(F18="",J18=""),"",IF(H18="",F18,IF(J18="",F18,IFERROR((VALUE(F18)+VALUE(J18))/2,F18))))</f>
        <v/>
      </c>
      <c r="O18">
        <f>IF(AND(M18="",N18=""),"",IF(M18="",N18,IF(N18="",M18,IFERROR((VALUE(M18)+VALUE(N18))/2,""))))</f>
        <v/>
      </c>
      <c r="P18">
        <f>IF(AND(OR('טכנו'!$C$3="הכל",IFERROR(VLOOKUP(D18,'הגדרות'!$A$2:$D$18,2,FALSE),"")='טכנו'!$C$3,IFERROR(VLOOKUP(D18,'הגדרות'!$A$2:$D$18,3,FALSE),"")='טכנו'!$C$3),OR('טכנו'!$C$4="הכל",C18='טכנו'!$C$4),OR('טכנו'!$C$5="הכל",L18='טכנו'!$C$5),OR('טכנו'!$C$6="",IFERROR(VALUE(M18),0)&gt;='טכנו'!$C$6),OR('טכנו'!$C$7="",IFERROR(VALUE(M18),0)&lt;='טכנו'!$C$7),A18&lt;&gt;""),ROW()-4,"")</f>
        <v/>
      </c>
    </row>
    <row r="19">
      <c r="B19">
        <f>IF(A19="","",IFERROR(INDEX('מלאי'!$B$3:$B$357,MATCH(A19,'מלאי'!$D$3:$D$357,0)),""))</f>
        <v/>
      </c>
      <c r="C19">
        <f>IF(A19="","",IFERROR(INDEX('מלאי'!$A$3:$A$357,MATCH(A19,'מלאי'!$D$3:$D$357,0)),""))</f>
        <v/>
      </c>
      <c r="D19">
        <f>IF(A19="","",IFERROR(INDEX('מלאי'!$H$3:$H$357,MATCH(A19,'מלאי'!$D$3:$D$357,0)),""))</f>
        <v/>
      </c>
      <c r="H19">
        <f>IF(A19="","",IFERROR(INDEX('מלאי'!$I$3:$I$357,MATCH(A19,'מלאי'!$D$3:$D$357,0)),""))</f>
        <v/>
      </c>
      <c r="M19">
        <f>IF(AND(E19="",I19=""),"",IF(H19="",E19,IF(I19="",E19,IFERROR((VALUE(E19)+VALUE(I19))/2,E19))))</f>
        <v/>
      </c>
      <c r="N19">
        <f>IF(AND(F19="",J19=""),"",IF(H19="",F19,IF(J19="",F19,IFERROR((VALUE(F19)+VALUE(J19))/2,F19))))</f>
        <v/>
      </c>
      <c r="O19">
        <f>IF(AND(M19="",N19=""),"",IF(M19="",N19,IF(N19="",M19,IFERROR((VALUE(M19)+VALUE(N19))/2,""))))</f>
        <v/>
      </c>
      <c r="P19">
        <f>IF(AND(OR('טכנו'!$C$3="הכל",IFERROR(VLOOKUP(D19,'הגדרות'!$A$2:$D$18,2,FALSE),"")='טכנו'!$C$3,IFERROR(VLOOKUP(D19,'הגדרות'!$A$2:$D$18,3,FALSE),"")='טכנו'!$C$3),OR('טכנו'!$C$4="הכל",C19='טכנו'!$C$4),OR('טכנו'!$C$5="הכל",L19='טכנו'!$C$5),OR('טכנו'!$C$6="",IFERROR(VALUE(M19),0)&gt;='טכנו'!$C$6),OR('טכנו'!$C$7="",IFERROR(VALUE(M19),0)&lt;='טכנו'!$C$7),A19&lt;&gt;""),ROW()-4,"")</f>
        <v/>
      </c>
    </row>
    <row r="20">
      <c r="B20">
        <f>IF(A20="","",IFERROR(INDEX('מלאי'!$B$3:$B$357,MATCH(A20,'מלאי'!$D$3:$D$357,0)),""))</f>
        <v/>
      </c>
      <c r="C20">
        <f>IF(A20="","",IFERROR(INDEX('מלאי'!$A$3:$A$357,MATCH(A20,'מלאי'!$D$3:$D$357,0)),""))</f>
        <v/>
      </c>
      <c r="D20">
        <f>IF(A20="","",IFERROR(INDEX('מלאי'!$H$3:$H$357,MATCH(A20,'מלאי'!$D$3:$D$357,0)),""))</f>
        <v/>
      </c>
      <c r="H20">
        <f>IF(A20="","",IFERROR(INDEX('מלאי'!$I$3:$I$357,MATCH(A20,'מלאי'!$D$3:$D$357,0)),""))</f>
        <v/>
      </c>
      <c r="M20">
        <f>IF(AND(E20="",I20=""),"",IF(H20="",E20,IF(I20="",E20,IFERROR((VALUE(E20)+VALUE(I20))/2,E20))))</f>
        <v/>
      </c>
      <c r="N20">
        <f>IF(AND(F20="",J20=""),"",IF(H20="",F20,IF(J20="",F20,IFERROR((VALUE(F20)+VALUE(J20))/2,F20))))</f>
        <v/>
      </c>
      <c r="O20">
        <f>IF(AND(M20="",N20=""),"",IF(M20="",N20,IF(N20="",M20,IFERROR((VALUE(M20)+VALUE(N20))/2,""))))</f>
        <v/>
      </c>
      <c r="P20">
        <f>IF(AND(OR('טכנו'!$C$3="הכל",IFERROR(VLOOKUP(D20,'הגדרות'!$A$2:$D$18,2,FALSE),"")='טכנו'!$C$3,IFERROR(VLOOKUP(D20,'הגדרות'!$A$2:$D$18,3,FALSE),"")='טכנו'!$C$3),OR('טכנו'!$C$4="הכל",C20='טכנו'!$C$4),OR('טכנו'!$C$5="הכל",L20='טכנו'!$C$5),OR('טכנו'!$C$6="",IFERROR(VALUE(M20),0)&gt;='טכנו'!$C$6),OR('טכנו'!$C$7="",IFERROR(VALUE(M20),0)&lt;='טכנו'!$C$7),A20&lt;&gt;""),ROW()-4,"")</f>
        <v/>
      </c>
    </row>
    <row r="21">
      <c r="B21">
        <f>IF(A21="","",IFERROR(INDEX('מלאי'!$B$3:$B$357,MATCH(A21,'מלאי'!$D$3:$D$357,0)),""))</f>
        <v/>
      </c>
      <c r="C21">
        <f>IF(A21="","",IFERROR(INDEX('מלאי'!$A$3:$A$357,MATCH(A21,'מלאי'!$D$3:$D$357,0)),""))</f>
        <v/>
      </c>
      <c r="D21">
        <f>IF(A21="","",IFERROR(INDEX('מלאי'!$H$3:$H$357,MATCH(A21,'מלאי'!$D$3:$D$357,0)),""))</f>
        <v/>
      </c>
      <c r="H21">
        <f>IF(A21="","",IFERROR(INDEX('מלאי'!$I$3:$I$357,MATCH(A21,'מלאי'!$D$3:$D$357,0)),""))</f>
        <v/>
      </c>
      <c r="M21">
        <f>IF(AND(E21="",I21=""),"",IF(H21="",E21,IF(I21="",E21,IFERROR((VALUE(E21)+VALUE(I21))/2,E21))))</f>
        <v/>
      </c>
      <c r="N21">
        <f>IF(AND(F21="",J21=""),"",IF(H21="",F21,IF(J21="",F21,IFERROR((VALUE(F21)+VALUE(J21))/2,F21))))</f>
        <v/>
      </c>
      <c r="O21">
        <f>IF(AND(M21="",N21=""),"",IF(M21="",N21,IF(N21="",M21,IFERROR((VALUE(M21)+VALUE(N21))/2,""))))</f>
        <v/>
      </c>
      <c r="P21">
        <f>IF(AND(OR('טכנו'!$C$3="הכל",IFERROR(VLOOKUP(D21,'הגדרות'!$A$2:$D$18,2,FALSE),"")='טכנו'!$C$3,IFERROR(VLOOKUP(D21,'הגדרות'!$A$2:$D$18,3,FALSE),"")='טכנו'!$C$3),OR('טכנו'!$C$4="הכל",C21='טכנו'!$C$4),OR('טכנו'!$C$5="הכל",L21='טכנו'!$C$5),OR('טכנו'!$C$6="",IFERROR(VALUE(M21),0)&gt;='טכנו'!$C$6),OR('טכנו'!$C$7="",IFERROR(VALUE(M21),0)&lt;='טכנו'!$C$7),A21&lt;&gt;""),ROW()-4,"")</f>
        <v/>
      </c>
    </row>
    <row r="22">
      <c r="B22">
        <f>IF(A22="","",IFERROR(INDEX('מלאי'!$B$3:$B$357,MATCH(A22,'מלאי'!$D$3:$D$357,0)),""))</f>
        <v/>
      </c>
      <c r="C22">
        <f>IF(A22="","",IFERROR(INDEX('מלאי'!$A$3:$A$357,MATCH(A22,'מלאי'!$D$3:$D$357,0)),""))</f>
        <v/>
      </c>
      <c r="D22">
        <f>IF(A22="","",IFERROR(INDEX('מלאי'!$H$3:$H$357,MATCH(A22,'מלאי'!$D$3:$D$357,0)),""))</f>
        <v/>
      </c>
      <c r="H22">
        <f>IF(A22="","",IFERROR(INDEX('מלאי'!$I$3:$I$357,MATCH(A22,'מלאי'!$D$3:$D$357,0)),""))</f>
        <v/>
      </c>
      <c r="M22">
        <f>IF(AND(E22="",I22=""),"",IF(H22="",E22,IF(I22="",E22,IFERROR((VALUE(E22)+VALUE(I22))/2,E22))))</f>
        <v/>
      </c>
      <c r="N22">
        <f>IF(AND(F22="",J22=""),"",IF(H22="",F22,IF(J22="",F22,IFERROR((VALUE(F22)+VALUE(J22))/2,F22))))</f>
        <v/>
      </c>
      <c r="O22">
        <f>IF(AND(M22="",N22=""),"",IF(M22="",N22,IF(N22="",M22,IFERROR((VALUE(M22)+VALUE(N22))/2,""))))</f>
        <v/>
      </c>
      <c r="P22">
        <f>IF(AND(OR('טכנו'!$C$3="הכל",IFERROR(VLOOKUP(D22,'הגדרות'!$A$2:$D$18,2,FALSE),"")='טכנו'!$C$3,IFERROR(VLOOKUP(D22,'הגדרות'!$A$2:$D$18,3,FALSE),"")='טכנו'!$C$3),OR('טכנו'!$C$4="הכל",C22='טכנו'!$C$4),OR('טכנו'!$C$5="הכל",L22='טכנו'!$C$5),OR('טכנו'!$C$6="",IFERROR(VALUE(M22),0)&gt;='טכנו'!$C$6),OR('טכנו'!$C$7="",IFERROR(VALUE(M22),0)&lt;='טכנו'!$C$7),A22&lt;&gt;""),ROW()-4,"")</f>
        <v/>
      </c>
    </row>
    <row r="23">
      <c r="B23">
        <f>IF(A23="","",IFERROR(INDEX('מלאי'!$B$3:$B$357,MATCH(A23,'מלאי'!$D$3:$D$357,0)),""))</f>
        <v/>
      </c>
      <c r="C23">
        <f>IF(A23="","",IFERROR(INDEX('מלאי'!$A$3:$A$357,MATCH(A23,'מלאי'!$D$3:$D$357,0)),""))</f>
        <v/>
      </c>
      <c r="D23">
        <f>IF(A23="","",IFERROR(INDEX('מלאי'!$H$3:$H$357,MATCH(A23,'מלאי'!$D$3:$D$357,0)),""))</f>
        <v/>
      </c>
      <c r="H23">
        <f>IF(A23="","",IFERROR(INDEX('מלאי'!$I$3:$I$357,MATCH(A23,'מלאי'!$D$3:$D$357,0)),""))</f>
        <v/>
      </c>
      <c r="M23">
        <f>IF(AND(E23="",I23=""),"",IF(H23="",E23,IF(I23="",E23,IFERROR((VALUE(E23)+VALUE(I23))/2,E23))))</f>
        <v/>
      </c>
      <c r="N23">
        <f>IF(AND(F23="",J23=""),"",IF(H23="",F23,IF(J23="",F23,IFERROR((VALUE(F23)+VALUE(J23))/2,F23))))</f>
        <v/>
      </c>
      <c r="O23">
        <f>IF(AND(M23="",N23=""),"",IF(M23="",N23,IF(N23="",M23,IFERROR((VALUE(M23)+VALUE(N23))/2,""))))</f>
        <v/>
      </c>
      <c r="P23">
        <f>IF(AND(OR('טכנו'!$C$3="הכל",IFERROR(VLOOKUP(D23,'הגדרות'!$A$2:$D$18,2,FALSE),"")='טכנו'!$C$3,IFERROR(VLOOKUP(D23,'הגדרות'!$A$2:$D$18,3,FALSE),"")='טכנו'!$C$3),OR('טכנו'!$C$4="הכל",C23='טכנו'!$C$4),OR('טכנו'!$C$5="הכל",L23='טכנו'!$C$5),OR('טכנו'!$C$6="",IFERROR(VALUE(M23),0)&gt;='טכנו'!$C$6),OR('טכנו'!$C$7="",IFERROR(VALUE(M23),0)&lt;='טכנו'!$C$7),A23&lt;&gt;""),ROW()-4,"")</f>
        <v/>
      </c>
    </row>
    <row r="24">
      <c r="B24">
        <f>IF(A24="","",IFERROR(INDEX('מלאי'!$B$3:$B$357,MATCH(A24,'מלאי'!$D$3:$D$357,0)),""))</f>
        <v/>
      </c>
      <c r="C24">
        <f>IF(A24="","",IFERROR(INDEX('מלאי'!$A$3:$A$357,MATCH(A24,'מלאי'!$D$3:$D$357,0)),""))</f>
        <v/>
      </c>
      <c r="D24">
        <f>IF(A24="","",IFERROR(INDEX('מלאי'!$H$3:$H$357,MATCH(A24,'מלאי'!$D$3:$D$357,0)),""))</f>
        <v/>
      </c>
      <c r="H24">
        <f>IF(A24="","",IFERROR(INDEX('מלאי'!$I$3:$I$357,MATCH(A24,'מלאי'!$D$3:$D$357,0)),""))</f>
        <v/>
      </c>
      <c r="M24">
        <f>IF(AND(E24="",I24=""),"",IF(H24="",E24,IF(I24="",E24,IFERROR((VALUE(E24)+VALUE(I24))/2,E24))))</f>
        <v/>
      </c>
      <c r="N24">
        <f>IF(AND(F24="",J24=""),"",IF(H24="",F24,IF(J24="",F24,IFERROR((VALUE(F24)+VALUE(J24))/2,F24))))</f>
        <v/>
      </c>
      <c r="O24">
        <f>IF(AND(M24="",N24=""),"",IF(M24="",N24,IF(N24="",M24,IFERROR((VALUE(M24)+VALUE(N24))/2,""))))</f>
        <v/>
      </c>
      <c r="P24">
        <f>IF(AND(OR('טכנו'!$C$3="הכל",IFERROR(VLOOKUP(D24,'הגדרות'!$A$2:$D$18,2,FALSE),"")='טכנו'!$C$3,IFERROR(VLOOKUP(D24,'הגדרות'!$A$2:$D$18,3,FALSE),"")='טכנו'!$C$3),OR('טכנו'!$C$4="הכל",C24='טכנו'!$C$4),OR('טכנו'!$C$5="הכל",L24='טכנו'!$C$5),OR('טכנו'!$C$6="",IFERROR(VALUE(M24),0)&gt;='טכנו'!$C$6),OR('טכנו'!$C$7="",IFERROR(VALUE(M24),0)&lt;='טכנו'!$C$7),A24&lt;&gt;""),ROW()-4,"")</f>
        <v/>
      </c>
    </row>
    <row r="25">
      <c r="B25">
        <f>IF(A25="","",IFERROR(INDEX('מלאי'!$B$3:$B$357,MATCH(A25,'מלאי'!$D$3:$D$357,0)),""))</f>
        <v/>
      </c>
      <c r="C25">
        <f>IF(A25="","",IFERROR(INDEX('מלאי'!$A$3:$A$357,MATCH(A25,'מלאי'!$D$3:$D$357,0)),""))</f>
        <v/>
      </c>
      <c r="D25">
        <f>IF(A25="","",IFERROR(INDEX('מלאי'!$H$3:$H$357,MATCH(A25,'מלאי'!$D$3:$D$357,0)),""))</f>
        <v/>
      </c>
      <c r="H25">
        <f>IF(A25="","",IFERROR(INDEX('מלאי'!$I$3:$I$357,MATCH(A25,'מלאי'!$D$3:$D$357,0)),""))</f>
        <v/>
      </c>
      <c r="M25">
        <f>IF(AND(E25="",I25=""),"",IF(H25="",E25,IF(I25="",E25,IFERROR((VALUE(E25)+VALUE(I25))/2,E25))))</f>
        <v/>
      </c>
      <c r="N25">
        <f>IF(AND(F25="",J25=""),"",IF(H25="",F25,IF(J25="",F25,IFERROR((VALUE(F25)+VALUE(J25))/2,F25))))</f>
        <v/>
      </c>
      <c r="O25">
        <f>IF(AND(M25="",N25=""),"",IF(M25="",N25,IF(N25="",M25,IFERROR((VALUE(M25)+VALUE(N25))/2,""))))</f>
        <v/>
      </c>
      <c r="P25">
        <f>IF(AND(OR('טכנו'!$C$3="הכל",IFERROR(VLOOKUP(D25,'הגדרות'!$A$2:$D$18,2,FALSE),"")='טכנו'!$C$3,IFERROR(VLOOKUP(D25,'הגדרות'!$A$2:$D$18,3,FALSE),"")='טכנו'!$C$3),OR('טכנו'!$C$4="הכל",C25='טכנו'!$C$4),OR('טכנו'!$C$5="הכל",L25='טכנו'!$C$5),OR('טכנו'!$C$6="",IFERROR(VALUE(M25),0)&gt;='טכנו'!$C$6),OR('טכנו'!$C$7="",IFERROR(VALUE(M25),0)&lt;='טכנו'!$C$7),A25&lt;&gt;""),ROW()-4,"")</f>
        <v/>
      </c>
    </row>
    <row r="26">
      <c r="B26">
        <f>IF(A26="","",IFERROR(INDEX('מלאי'!$B$3:$B$357,MATCH(A26,'מלאי'!$D$3:$D$357,0)),""))</f>
        <v/>
      </c>
      <c r="C26">
        <f>IF(A26="","",IFERROR(INDEX('מלאי'!$A$3:$A$357,MATCH(A26,'מלאי'!$D$3:$D$357,0)),""))</f>
        <v/>
      </c>
      <c r="D26">
        <f>IF(A26="","",IFERROR(INDEX('מלאי'!$H$3:$H$357,MATCH(A26,'מלאי'!$D$3:$D$357,0)),""))</f>
        <v/>
      </c>
      <c r="H26">
        <f>IF(A26="","",IFERROR(INDEX('מלאי'!$I$3:$I$357,MATCH(A26,'מלאי'!$D$3:$D$357,0)),""))</f>
        <v/>
      </c>
      <c r="M26">
        <f>IF(AND(E26="",I26=""),"",IF(H26="",E26,IF(I26="",E26,IFERROR((VALUE(E26)+VALUE(I26))/2,E26))))</f>
        <v/>
      </c>
      <c r="N26">
        <f>IF(AND(F26="",J26=""),"",IF(H26="",F26,IF(J26="",F26,IFERROR((VALUE(F26)+VALUE(J26))/2,F26))))</f>
        <v/>
      </c>
      <c r="O26">
        <f>IF(AND(M26="",N26=""),"",IF(M26="",N26,IF(N26="",M26,IFERROR((VALUE(M26)+VALUE(N26))/2,""))))</f>
        <v/>
      </c>
      <c r="P26">
        <f>IF(AND(OR('טכנו'!$C$3="הכל",IFERROR(VLOOKUP(D26,'הגדרות'!$A$2:$D$18,2,FALSE),"")='טכנו'!$C$3,IFERROR(VLOOKUP(D26,'הגדרות'!$A$2:$D$18,3,FALSE),"")='טכנו'!$C$3),OR('טכנו'!$C$4="הכל",C26='טכנו'!$C$4),OR('טכנו'!$C$5="הכל",L26='טכנו'!$C$5),OR('טכנו'!$C$6="",IFERROR(VALUE(M26),0)&gt;='טכנו'!$C$6),OR('טכנו'!$C$7="",IFERROR(VALUE(M26),0)&lt;='טכנו'!$C$7),A26&lt;&gt;""),ROW()-4,"")</f>
        <v/>
      </c>
    </row>
    <row r="27">
      <c r="B27">
        <f>IF(A27="","",IFERROR(INDEX('מלאי'!$B$3:$B$357,MATCH(A27,'מלאי'!$D$3:$D$357,0)),""))</f>
        <v/>
      </c>
      <c r="C27">
        <f>IF(A27="","",IFERROR(INDEX('מלאי'!$A$3:$A$357,MATCH(A27,'מלאי'!$D$3:$D$357,0)),""))</f>
        <v/>
      </c>
      <c r="D27">
        <f>IF(A27="","",IFERROR(INDEX('מלאי'!$H$3:$H$357,MATCH(A27,'מלאי'!$D$3:$D$357,0)),""))</f>
        <v/>
      </c>
      <c r="H27">
        <f>IF(A27="","",IFERROR(INDEX('מלאי'!$I$3:$I$357,MATCH(A27,'מלאי'!$D$3:$D$357,0)),""))</f>
        <v/>
      </c>
      <c r="M27">
        <f>IF(AND(E27="",I27=""),"",IF(H27="",E27,IF(I27="",E27,IFERROR((VALUE(E27)+VALUE(I27))/2,E27))))</f>
        <v/>
      </c>
      <c r="N27">
        <f>IF(AND(F27="",J27=""),"",IF(H27="",F27,IF(J27="",F27,IFERROR((VALUE(F27)+VALUE(J27))/2,F27))))</f>
        <v/>
      </c>
      <c r="O27">
        <f>IF(AND(M27="",N27=""),"",IF(M27="",N27,IF(N27="",M27,IFERROR((VALUE(M27)+VALUE(N27))/2,""))))</f>
        <v/>
      </c>
      <c r="P27">
        <f>IF(AND(OR('טכנו'!$C$3="הכל",IFERROR(VLOOKUP(D27,'הגדרות'!$A$2:$D$18,2,FALSE),"")='טכנו'!$C$3,IFERROR(VLOOKUP(D27,'הגדרות'!$A$2:$D$18,3,FALSE),"")='טכנו'!$C$3),OR('טכנו'!$C$4="הכל",C27='טכנו'!$C$4),OR('טכנו'!$C$5="הכל",L27='טכנו'!$C$5),OR('טכנו'!$C$6="",IFERROR(VALUE(M27),0)&gt;='טכנו'!$C$6),OR('טכנו'!$C$7="",IFERROR(VALUE(M27),0)&lt;='טכנו'!$C$7),A27&lt;&gt;""),ROW()-4,"")</f>
        <v/>
      </c>
    </row>
    <row r="28">
      <c r="B28">
        <f>IF(A28="","",IFERROR(INDEX('מלאי'!$B$3:$B$357,MATCH(A28,'מלאי'!$D$3:$D$357,0)),""))</f>
        <v/>
      </c>
      <c r="C28">
        <f>IF(A28="","",IFERROR(INDEX('מלאי'!$A$3:$A$357,MATCH(A28,'מלאי'!$D$3:$D$357,0)),""))</f>
        <v/>
      </c>
      <c r="D28">
        <f>IF(A28="","",IFERROR(INDEX('מלאי'!$H$3:$H$357,MATCH(A28,'מלאי'!$D$3:$D$357,0)),""))</f>
        <v/>
      </c>
      <c r="H28">
        <f>IF(A28="","",IFERROR(INDEX('מלאי'!$I$3:$I$357,MATCH(A28,'מלאי'!$D$3:$D$357,0)),""))</f>
        <v/>
      </c>
      <c r="M28">
        <f>IF(AND(E28="",I28=""),"",IF(H28="",E28,IF(I28="",E28,IFERROR((VALUE(E28)+VALUE(I28))/2,E28))))</f>
        <v/>
      </c>
      <c r="N28">
        <f>IF(AND(F28="",J28=""),"",IF(H28="",F28,IF(J28="",F28,IFERROR((VALUE(F28)+VALUE(J28))/2,F28))))</f>
        <v/>
      </c>
      <c r="O28">
        <f>IF(AND(M28="",N28=""),"",IF(M28="",N28,IF(N28="",M28,IFERROR((VALUE(M28)+VALUE(N28))/2,""))))</f>
        <v/>
      </c>
      <c r="P28">
        <f>IF(AND(OR('טכנו'!$C$3="הכל",IFERROR(VLOOKUP(D28,'הגדרות'!$A$2:$D$18,2,FALSE),"")='טכנו'!$C$3,IFERROR(VLOOKUP(D28,'הגדרות'!$A$2:$D$18,3,FALSE),"")='טכנו'!$C$3),OR('טכנו'!$C$4="הכל",C28='טכנו'!$C$4),OR('טכנו'!$C$5="הכל",L28='טכנו'!$C$5),OR('טכנו'!$C$6="",IFERROR(VALUE(M28),0)&gt;='טכנו'!$C$6),OR('טכנו'!$C$7="",IFERROR(VALUE(M28),0)&lt;='טכנו'!$C$7),A28&lt;&gt;""),ROW()-4,"")</f>
        <v/>
      </c>
    </row>
    <row r="29">
      <c r="B29">
        <f>IF(A29="","",IFERROR(INDEX('מלאי'!$B$3:$B$357,MATCH(A29,'מלאי'!$D$3:$D$357,0)),""))</f>
        <v/>
      </c>
      <c r="C29">
        <f>IF(A29="","",IFERROR(INDEX('מלאי'!$A$3:$A$357,MATCH(A29,'מלאי'!$D$3:$D$357,0)),""))</f>
        <v/>
      </c>
      <c r="D29">
        <f>IF(A29="","",IFERROR(INDEX('מלאי'!$H$3:$H$357,MATCH(A29,'מלאי'!$D$3:$D$357,0)),""))</f>
        <v/>
      </c>
      <c r="H29">
        <f>IF(A29="","",IFERROR(INDEX('מלאי'!$I$3:$I$357,MATCH(A29,'מלאי'!$D$3:$D$357,0)),""))</f>
        <v/>
      </c>
      <c r="M29">
        <f>IF(AND(E29="",I29=""),"",IF(H29="",E29,IF(I29="",E29,IFERROR((VALUE(E29)+VALUE(I29))/2,E29))))</f>
        <v/>
      </c>
      <c r="N29">
        <f>IF(AND(F29="",J29=""),"",IF(H29="",F29,IF(J29="",F29,IFERROR((VALUE(F29)+VALUE(J29))/2,F29))))</f>
        <v/>
      </c>
      <c r="O29">
        <f>IF(AND(M29="",N29=""),"",IF(M29="",N29,IF(N29="",M29,IFERROR((VALUE(M29)+VALUE(N29))/2,""))))</f>
        <v/>
      </c>
      <c r="P29">
        <f>IF(AND(OR('טכנו'!$C$3="הכל",IFERROR(VLOOKUP(D29,'הגדרות'!$A$2:$D$18,2,FALSE),"")='טכנו'!$C$3,IFERROR(VLOOKUP(D29,'הגדרות'!$A$2:$D$18,3,FALSE),"")='טכנו'!$C$3),OR('טכנו'!$C$4="הכל",C29='טכנו'!$C$4),OR('טכנו'!$C$5="הכל",L29='טכנו'!$C$5),OR('טכנו'!$C$6="",IFERROR(VALUE(M29),0)&gt;='טכנו'!$C$6),OR('טכנו'!$C$7="",IFERROR(VALUE(M29),0)&lt;='טכנו'!$C$7),A29&lt;&gt;""),ROW()-4,"")</f>
        <v/>
      </c>
    </row>
    <row r="30">
      <c r="B30">
        <f>IF(A30="","",IFERROR(INDEX('מלאי'!$B$3:$B$357,MATCH(A30,'מלאי'!$D$3:$D$357,0)),""))</f>
        <v/>
      </c>
      <c r="C30">
        <f>IF(A30="","",IFERROR(INDEX('מלאי'!$A$3:$A$357,MATCH(A30,'מלאי'!$D$3:$D$357,0)),""))</f>
        <v/>
      </c>
      <c r="D30">
        <f>IF(A30="","",IFERROR(INDEX('מלאי'!$H$3:$H$357,MATCH(A30,'מלאי'!$D$3:$D$357,0)),""))</f>
        <v/>
      </c>
      <c r="H30">
        <f>IF(A30="","",IFERROR(INDEX('מלאי'!$I$3:$I$357,MATCH(A30,'מלאי'!$D$3:$D$357,0)),""))</f>
        <v/>
      </c>
      <c r="M30">
        <f>IF(AND(E30="",I30=""),"",IF(H30="",E30,IF(I30="",E30,IFERROR((VALUE(E30)+VALUE(I30))/2,E30))))</f>
        <v/>
      </c>
      <c r="N30">
        <f>IF(AND(F30="",J30=""),"",IF(H30="",F30,IF(J30="",F30,IFERROR((VALUE(F30)+VALUE(J30))/2,F30))))</f>
        <v/>
      </c>
      <c r="O30">
        <f>IF(AND(M30="",N30=""),"",IF(M30="",N30,IF(N30="",M30,IFERROR((VALUE(M30)+VALUE(N30))/2,""))))</f>
        <v/>
      </c>
      <c r="P30">
        <f>IF(AND(OR('טכנו'!$C$3="הכל",IFERROR(VLOOKUP(D30,'הגדרות'!$A$2:$D$18,2,FALSE),"")='טכנו'!$C$3,IFERROR(VLOOKUP(D30,'הגדרות'!$A$2:$D$18,3,FALSE),"")='טכנו'!$C$3),OR('טכנו'!$C$4="הכל",C30='טכנו'!$C$4),OR('טכנו'!$C$5="הכל",L30='טכנו'!$C$5),OR('טכנו'!$C$6="",IFERROR(VALUE(M30),0)&gt;='טכנו'!$C$6),OR('טכנו'!$C$7="",IFERROR(VALUE(M30),0)&lt;='טכנו'!$C$7),A30&lt;&gt;""),ROW()-4,"")</f>
        <v/>
      </c>
    </row>
    <row r="31">
      <c r="B31">
        <f>IF(A31="","",IFERROR(INDEX('מלאי'!$B$3:$B$357,MATCH(A31,'מלאי'!$D$3:$D$357,0)),""))</f>
        <v/>
      </c>
      <c r="C31">
        <f>IF(A31="","",IFERROR(INDEX('מלאי'!$A$3:$A$357,MATCH(A31,'מלאי'!$D$3:$D$357,0)),""))</f>
        <v/>
      </c>
      <c r="D31">
        <f>IF(A31="","",IFERROR(INDEX('מלאי'!$H$3:$H$357,MATCH(A31,'מלאי'!$D$3:$D$357,0)),""))</f>
        <v/>
      </c>
      <c r="H31">
        <f>IF(A31="","",IFERROR(INDEX('מלאי'!$I$3:$I$357,MATCH(A31,'מלאי'!$D$3:$D$357,0)),""))</f>
        <v/>
      </c>
      <c r="M31">
        <f>IF(AND(E31="",I31=""),"",IF(H31="",E31,IF(I31="",E31,IFERROR((VALUE(E31)+VALUE(I31))/2,E31))))</f>
        <v/>
      </c>
      <c r="N31">
        <f>IF(AND(F31="",J31=""),"",IF(H31="",F31,IF(J31="",F31,IFERROR((VALUE(F31)+VALUE(J31))/2,F31))))</f>
        <v/>
      </c>
      <c r="O31">
        <f>IF(AND(M31="",N31=""),"",IF(M31="",N31,IF(N31="",M31,IFERROR((VALUE(M31)+VALUE(N31))/2,""))))</f>
        <v/>
      </c>
      <c r="P31">
        <f>IF(AND(OR('טכנו'!$C$3="הכל",IFERROR(VLOOKUP(D31,'הגדרות'!$A$2:$D$18,2,FALSE),"")='טכנו'!$C$3,IFERROR(VLOOKUP(D31,'הגדרות'!$A$2:$D$18,3,FALSE),"")='טכנו'!$C$3),OR('טכנו'!$C$4="הכל",C31='טכנו'!$C$4),OR('טכנו'!$C$5="הכל",L31='טכנו'!$C$5),OR('טכנו'!$C$6="",IFERROR(VALUE(M31),0)&gt;='טכנו'!$C$6),OR('טכנו'!$C$7="",IFERROR(VALUE(M31),0)&lt;='טכנו'!$C$7),A31&lt;&gt;""),ROW()-4,"")</f>
        <v/>
      </c>
    </row>
    <row r="32">
      <c r="B32">
        <f>IF(A32="","",IFERROR(INDEX('מלאי'!$B$3:$B$357,MATCH(A32,'מלאי'!$D$3:$D$357,0)),""))</f>
        <v/>
      </c>
      <c r="C32">
        <f>IF(A32="","",IFERROR(INDEX('מלאי'!$A$3:$A$357,MATCH(A32,'מלאי'!$D$3:$D$357,0)),""))</f>
        <v/>
      </c>
      <c r="D32">
        <f>IF(A32="","",IFERROR(INDEX('מלאי'!$H$3:$H$357,MATCH(A32,'מלאי'!$D$3:$D$357,0)),""))</f>
        <v/>
      </c>
      <c r="H32">
        <f>IF(A32="","",IFERROR(INDEX('מלאי'!$I$3:$I$357,MATCH(A32,'מלאי'!$D$3:$D$357,0)),""))</f>
        <v/>
      </c>
      <c r="M32">
        <f>IF(AND(E32="",I32=""),"",IF(H32="",E32,IF(I32="",E32,IFERROR((VALUE(E32)+VALUE(I32))/2,E32))))</f>
        <v/>
      </c>
      <c r="N32">
        <f>IF(AND(F32="",J32=""),"",IF(H32="",F32,IF(J32="",F32,IFERROR((VALUE(F32)+VALUE(J32))/2,F32))))</f>
        <v/>
      </c>
      <c r="O32">
        <f>IF(AND(M32="",N32=""),"",IF(M32="",N32,IF(N32="",M32,IFERROR((VALUE(M32)+VALUE(N32))/2,""))))</f>
        <v/>
      </c>
      <c r="P32">
        <f>IF(AND(OR('טכנו'!$C$3="הכל",IFERROR(VLOOKUP(D32,'הגדרות'!$A$2:$D$18,2,FALSE),"")='טכנו'!$C$3,IFERROR(VLOOKUP(D32,'הגדרות'!$A$2:$D$18,3,FALSE),"")='טכנו'!$C$3),OR('טכנו'!$C$4="הכל",C32='טכנו'!$C$4),OR('טכנו'!$C$5="הכל",L32='טכנו'!$C$5),OR('טכנו'!$C$6="",IFERROR(VALUE(M32),0)&gt;='טכנו'!$C$6),OR('טכנו'!$C$7="",IFERROR(VALUE(M32),0)&lt;='טכנו'!$C$7),A32&lt;&gt;""),ROW()-4,"")</f>
        <v/>
      </c>
    </row>
    <row r="33">
      <c r="B33">
        <f>IF(A33="","",IFERROR(INDEX('מלאי'!$B$3:$B$357,MATCH(A33,'מלאי'!$D$3:$D$357,0)),""))</f>
        <v/>
      </c>
      <c r="C33">
        <f>IF(A33="","",IFERROR(INDEX('מלאי'!$A$3:$A$357,MATCH(A33,'מלאי'!$D$3:$D$357,0)),""))</f>
        <v/>
      </c>
      <c r="D33">
        <f>IF(A33="","",IFERROR(INDEX('מלאי'!$H$3:$H$357,MATCH(A33,'מלאי'!$D$3:$D$357,0)),""))</f>
        <v/>
      </c>
      <c r="H33">
        <f>IF(A33="","",IFERROR(INDEX('מלאי'!$I$3:$I$357,MATCH(A33,'מלאי'!$D$3:$D$357,0)),""))</f>
        <v/>
      </c>
      <c r="M33">
        <f>IF(AND(E33="",I33=""),"",IF(H33="",E33,IF(I33="",E33,IFERROR((VALUE(E33)+VALUE(I33))/2,E33))))</f>
        <v/>
      </c>
      <c r="N33">
        <f>IF(AND(F33="",J33=""),"",IF(H33="",F33,IF(J33="",F33,IFERROR((VALUE(F33)+VALUE(J33))/2,F33))))</f>
        <v/>
      </c>
      <c r="O33">
        <f>IF(AND(M33="",N33=""),"",IF(M33="",N33,IF(N33="",M33,IFERROR((VALUE(M33)+VALUE(N33))/2,""))))</f>
        <v/>
      </c>
      <c r="P33">
        <f>IF(AND(OR('טכנו'!$C$3="הכל",IFERROR(VLOOKUP(D33,'הגדרות'!$A$2:$D$18,2,FALSE),"")='טכנו'!$C$3,IFERROR(VLOOKUP(D33,'הגדרות'!$A$2:$D$18,3,FALSE),"")='טכנו'!$C$3),OR('טכנו'!$C$4="הכל",C33='טכנו'!$C$4),OR('טכנו'!$C$5="הכל",L33='טכנו'!$C$5),OR('טכנו'!$C$6="",IFERROR(VALUE(M33),0)&gt;='טכנו'!$C$6),OR('טכנו'!$C$7="",IFERROR(VALUE(M33),0)&lt;='טכנו'!$C$7),A33&lt;&gt;""),ROW()-4,"")</f>
        <v/>
      </c>
    </row>
    <row r="34">
      <c r="B34">
        <f>IF(A34="","",IFERROR(INDEX('מלאי'!$B$3:$B$357,MATCH(A34,'מלאי'!$D$3:$D$357,0)),""))</f>
        <v/>
      </c>
      <c r="C34">
        <f>IF(A34="","",IFERROR(INDEX('מלאי'!$A$3:$A$357,MATCH(A34,'מלאי'!$D$3:$D$357,0)),""))</f>
        <v/>
      </c>
      <c r="D34">
        <f>IF(A34="","",IFERROR(INDEX('מלאי'!$H$3:$H$357,MATCH(A34,'מלאי'!$D$3:$D$357,0)),""))</f>
        <v/>
      </c>
      <c r="H34">
        <f>IF(A34="","",IFERROR(INDEX('מלאי'!$I$3:$I$357,MATCH(A34,'מלאי'!$D$3:$D$357,0)),""))</f>
        <v/>
      </c>
      <c r="M34">
        <f>IF(AND(E34="",I34=""),"",IF(H34="",E34,IF(I34="",E34,IFERROR((VALUE(E34)+VALUE(I34))/2,E34))))</f>
        <v/>
      </c>
      <c r="N34">
        <f>IF(AND(F34="",J34=""),"",IF(H34="",F34,IF(J34="",F34,IFERROR((VALUE(F34)+VALUE(J34))/2,F34))))</f>
        <v/>
      </c>
      <c r="O34">
        <f>IF(AND(M34="",N34=""),"",IF(M34="",N34,IF(N34="",M34,IFERROR((VALUE(M34)+VALUE(N34))/2,""))))</f>
        <v/>
      </c>
      <c r="P34">
        <f>IF(AND(OR('טכנו'!$C$3="הכל",IFERROR(VLOOKUP(D34,'הגדרות'!$A$2:$D$18,2,FALSE),"")='טכנו'!$C$3,IFERROR(VLOOKUP(D34,'הגדרות'!$A$2:$D$18,3,FALSE),"")='טכנו'!$C$3),OR('טכנו'!$C$4="הכל",C34='טכנו'!$C$4),OR('טכנו'!$C$5="הכל",L34='טכנו'!$C$5),OR('טכנו'!$C$6="",IFERROR(VALUE(M34),0)&gt;='טכנו'!$C$6),OR('טכנו'!$C$7="",IFERROR(VALUE(M34),0)&lt;='טכנו'!$C$7),A34&lt;&gt;""),ROW()-4,"")</f>
        <v/>
      </c>
    </row>
    <row r="35">
      <c r="B35">
        <f>IF(A35="","",IFERROR(INDEX('מלאי'!$B$3:$B$357,MATCH(A35,'מלאי'!$D$3:$D$357,0)),""))</f>
        <v/>
      </c>
      <c r="C35">
        <f>IF(A35="","",IFERROR(INDEX('מלאי'!$A$3:$A$357,MATCH(A35,'מלאי'!$D$3:$D$357,0)),""))</f>
        <v/>
      </c>
      <c r="D35">
        <f>IF(A35="","",IFERROR(INDEX('מלאי'!$H$3:$H$357,MATCH(A35,'מלאי'!$D$3:$D$357,0)),""))</f>
        <v/>
      </c>
      <c r="H35">
        <f>IF(A35="","",IFERROR(INDEX('מלאי'!$I$3:$I$357,MATCH(A35,'מלאי'!$D$3:$D$357,0)),""))</f>
        <v/>
      </c>
      <c r="M35">
        <f>IF(AND(E35="",I35=""),"",IF(H35="",E35,IF(I35="",E35,IFERROR((VALUE(E35)+VALUE(I35))/2,E35))))</f>
        <v/>
      </c>
      <c r="N35">
        <f>IF(AND(F35="",J35=""),"",IF(H35="",F35,IF(J35="",F35,IFERROR((VALUE(F35)+VALUE(J35))/2,F35))))</f>
        <v/>
      </c>
      <c r="O35">
        <f>IF(AND(M35="",N35=""),"",IF(M35="",N35,IF(N35="",M35,IFERROR((VALUE(M35)+VALUE(N35))/2,""))))</f>
        <v/>
      </c>
      <c r="P35">
        <f>IF(AND(OR('טכנו'!$C$3="הכל",IFERROR(VLOOKUP(D35,'הגדרות'!$A$2:$D$18,2,FALSE),"")='טכנו'!$C$3,IFERROR(VLOOKUP(D35,'הגדרות'!$A$2:$D$18,3,FALSE),"")='טכנו'!$C$3),OR('טכנו'!$C$4="הכל",C35='טכנו'!$C$4),OR('טכנו'!$C$5="הכל",L35='טכנו'!$C$5),OR('טכנו'!$C$6="",IFERROR(VALUE(M35),0)&gt;='טכנו'!$C$6),OR('טכנו'!$C$7="",IFERROR(VALUE(M35),0)&lt;='טכנו'!$C$7),A35&lt;&gt;""),ROW()-4,"")</f>
        <v/>
      </c>
    </row>
    <row r="36">
      <c r="B36">
        <f>IF(A36="","",IFERROR(INDEX('מלאי'!$B$3:$B$357,MATCH(A36,'מלאי'!$D$3:$D$357,0)),""))</f>
        <v/>
      </c>
      <c r="C36">
        <f>IF(A36="","",IFERROR(INDEX('מלאי'!$A$3:$A$357,MATCH(A36,'מלאי'!$D$3:$D$357,0)),""))</f>
        <v/>
      </c>
      <c r="D36">
        <f>IF(A36="","",IFERROR(INDEX('מלאי'!$H$3:$H$357,MATCH(A36,'מלאי'!$D$3:$D$357,0)),""))</f>
        <v/>
      </c>
      <c r="H36">
        <f>IF(A36="","",IFERROR(INDEX('מלאי'!$I$3:$I$357,MATCH(A36,'מלאי'!$D$3:$D$357,0)),""))</f>
        <v/>
      </c>
      <c r="M36">
        <f>IF(AND(E36="",I36=""),"",IF(H36="",E36,IF(I36="",E36,IFERROR((VALUE(E36)+VALUE(I36))/2,E36))))</f>
        <v/>
      </c>
      <c r="N36">
        <f>IF(AND(F36="",J36=""),"",IF(H36="",F36,IF(J36="",F36,IFERROR((VALUE(F36)+VALUE(J36))/2,F36))))</f>
        <v/>
      </c>
      <c r="O36">
        <f>IF(AND(M36="",N36=""),"",IF(M36="",N36,IF(N36="",M36,IFERROR((VALUE(M36)+VALUE(N36))/2,""))))</f>
        <v/>
      </c>
      <c r="P36">
        <f>IF(AND(OR('טכנו'!$C$3="הכל",IFERROR(VLOOKUP(D36,'הגדרות'!$A$2:$D$18,2,FALSE),"")='טכנו'!$C$3,IFERROR(VLOOKUP(D36,'הגדרות'!$A$2:$D$18,3,FALSE),"")='טכנו'!$C$3),OR('טכנו'!$C$4="הכל",C36='טכנו'!$C$4),OR('טכנו'!$C$5="הכל",L36='טכנו'!$C$5),OR('טכנו'!$C$6="",IFERROR(VALUE(M36),0)&gt;='טכנו'!$C$6),OR('טכנו'!$C$7="",IFERROR(VALUE(M36),0)&lt;='טכנו'!$C$7),A36&lt;&gt;""),ROW()-4,"")</f>
        <v/>
      </c>
    </row>
    <row r="37">
      <c r="B37">
        <f>IF(A37="","",IFERROR(INDEX('מלאי'!$B$3:$B$357,MATCH(A37,'מלאי'!$D$3:$D$357,0)),""))</f>
        <v/>
      </c>
      <c r="C37">
        <f>IF(A37="","",IFERROR(INDEX('מלאי'!$A$3:$A$357,MATCH(A37,'מלאי'!$D$3:$D$357,0)),""))</f>
        <v/>
      </c>
      <c r="D37">
        <f>IF(A37="","",IFERROR(INDEX('מלאי'!$H$3:$H$357,MATCH(A37,'מלאי'!$D$3:$D$357,0)),""))</f>
        <v/>
      </c>
      <c r="H37">
        <f>IF(A37="","",IFERROR(INDEX('מלאי'!$I$3:$I$357,MATCH(A37,'מלאי'!$D$3:$D$357,0)),""))</f>
        <v/>
      </c>
      <c r="M37">
        <f>IF(AND(E37="",I37=""),"",IF(H37="",E37,IF(I37="",E37,IFERROR((VALUE(E37)+VALUE(I37))/2,E37))))</f>
        <v/>
      </c>
      <c r="N37">
        <f>IF(AND(F37="",J37=""),"",IF(H37="",F37,IF(J37="",F37,IFERROR((VALUE(F37)+VALUE(J37))/2,F37))))</f>
        <v/>
      </c>
      <c r="O37">
        <f>IF(AND(M37="",N37=""),"",IF(M37="",N37,IF(N37="",M37,IFERROR((VALUE(M37)+VALUE(N37))/2,""))))</f>
        <v/>
      </c>
      <c r="P37">
        <f>IF(AND(OR('טכנו'!$C$3="הכל",IFERROR(VLOOKUP(D37,'הגדרות'!$A$2:$D$18,2,FALSE),"")='טכנו'!$C$3,IFERROR(VLOOKUP(D37,'הגדרות'!$A$2:$D$18,3,FALSE),"")='טכנו'!$C$3),OR('טכנו'!$C$4="הכל",C37='טכנו'!$C$4),OR('טכנו'!$C$5="הכל",L37='טכנו'!$C$5),OR('טכנו'!$C$6="",IFERROR(VALUE(M37),0)&gt;='טכנו'!$C$6),OR('טכנו'!$C$7="",IFERROR(VALUE(M37),0)&lt;='טכנו'!$C$7),A37&lt;&gt;""),ROW()-4,"")</f>
        <v/>
      </c>
    </row>
    <row r="38">
      <c r="B38">
        <f>IF(A38="","",IFERROR(INDEX('מלאי'!$B$3:$B$357,MATCH(A38,'מלאי'!$D$3:$D$357,0)),""))</f>
        <v/>
      </c>
      <c r="C38">
        <f>IF(A38="","",IFERROR(INDEX('מלאי'!$A$3:$A$357,MATCH(A38,'מלאי'!$D$3:$D$357,0)),""))</f>
        <v/>
      </c>
      <c r="D38">
        <f>IF(A38="","",IFERROR(INDEX('מלאי'!$H$3:$H$357,MATCH(A38,'מלאי'!$D$3:$D$357,0)),""))</f>
        <v/>
      </c>
      <c r="H38">
        <f>IF(A38="","",IFERROR(INDEX('מלאי'!$I$3:$I$357,MATCH(A38,'מלאי'!$D$3:$D$357,0)),""))</f>
        <v/>
      </c>
      <c r="M38">
        <f>IF(AND(E38="",I38=""),"",IF(H38="",E38,IF(I38="",E38,IFERROR((VALUE(E38)+VALUE(I38))/2,E38))))</f>
        <v/>
      </c>
      <c r="N38">
        <f>IF(AND(F38="",J38=""),"",IF(H38="",F38,IF(J38="",F38,IFERROR((VALUE(F38)+VALUE(J38))/2,F38))))</f>
        <v/>
      </c>
      <c r="O38">
        <f>IF(AND(M38="",N38=""),"",IF(M38="",N38,IF(N38="",M38,IFERROR((VALUE(M38)+VALUE(N38))/2,""))))</f>
        <v/>
      </c>
      <c r="P38">
        <f>IF(AND(OR('טכנו'!$C$3="הכל",IFERROR(VLOOKUP(D38,'הגדרות'!$A$2:$D$18,2,FALSE),"")='טכנו'!$C$3,IFERROR(VLOOKUP(D38,'הגדרות'!$A$2:$D$18,3,FALSE),"")='טכנו'!$C$3),OR('טכנו'!$C$4="הכל",C38='טכנו'!$C$4),OR('טכנו'!$C$5="הכל",L38='טכנו'!$C$5),OR('טכנו'!$C$6="",IFERROR(VALUE(M38),0)&gt;='טכנו'!$C$6),OR('טכנו'!$C$7="",IFERROR(VALUE(M38),0)&lt;='טכנו'!$C$7),A38&lt;&gt;""),ROW()-4,"")</f>
        <v/>
      </c>
    </row>
    <row r="39">
      <c r="B39">
        <f>IF(A39="","",IFERROR(INDEX('מלאי'!$B$3:$B$357,MATCH(A39,'מלאי'!$D$3:$D$357,0)),""))</f>
        <v/>
      </c>
      <c r="C39">
        <f>IF(A39="","",IFERROR(INDEX('מלאי'!$A$3:$A$357,MATCH(A39,'מלאי'!$D$3:$D$357,0)),""))</f>
        <v/>
      </c>
      <c r="D39">
        <f>IF(A39="","",IFERROR(INDEX('מלאי'!$H$3:$H$357,MATCH(A39,'מלאי'!$D$3:$D$357,0)),""))</f>
        <v/>
      </c>
      <c r="H39">
        <f>IF(A39="","",IFERROR(INDEX('מלאי'!$I$3:$I$357,MATCH(A39,'מלאי'!$D$3:$D$357,0)),""))</f>
        <v/>
      </c>
      <c r="M39">
        <f>IF(AND(E39="",I39=""),"",IF(H39="",E39,IF(I39="",E39,IFERROR((VALUE(E39)+VALUE(I39))/2,E39))))</f>
        <v/>
      </c>
      <c r="N39">
        <f>IF(AND(F39="",J39=""),"",IF(H39="",F39,IF(J39="",F39,IFERROR((VALUE(F39)+VALUE(J39))/2,F39))))</f>
        <v/>
      </c>
      <c r="O39">
        <f>IF(AND(M39="",N39=""),"",IF(M39="",N39,IF(N39="",M39,IFERROR((VALUE(M39)+VALUE(N39))/2,""))))</f>
        <v/>
      </c>
      <c r="P39">
        <f>IF(AND(OR('טכנו'!$C$3="הכל",IFERROR(VLOOKUP(D39,'הגדרות'!$A$2:$D$18,2,FALSE),"")='טכנו'!$C$3,IFERROR(VLOOKUP(D39,'הגדרות'!$A$2:$D$18,3,FALSE),"")='טכנו'!$C$3),OR('טכנו'!$C$4="הכל",C39='טכנו'!$C$4),OR('טכנו'!$C$5="הכל",L39='טכנו'!$C$5),OR('טכנו'!$C$6="",IFERROR(VALUE(M39),0)&gt;='טכנו'!$C$6),OR('טכנו'!$C$7="",IFERROR(VALUE(M39),0)&lt;='טכנו'!$C$7),A39&lt;&gt;""),ROW()-4,"")</f>
        <v/>
      </c>
    </row>
    <row r="40">
      <c r="B40">
        <f>IF(A40="","",IFERROR(INDEX('מלאי'!$B$3:$B$357,MATCH(A40,'מלאי'!$D$3:$D$357,0)),""))</f>
        <v/>
      </c>
      <c r="C40">
        <f>IF(A40="","",IFERROR(INDEX('מלאי'!$A$3:$A$357,MATCH(A40,'מלאי'!$D$3:$D$357,0)),""))</f>
        <v/>
      </c>
      <c r="D40">
        <f>IF(A40="","",IFERROR(INDEX('מלאי'!$H$3:$H$357,MATCH(A40,'מלאי'!$D$3:$D$357,0)),""))</f>
        <v/>
      </c>
      <c r="H40">
        <f>IF(A40="","",IFERROR(INDEX('מלאי'!$I$3:$I$357,MATCH(A40,'מלאי'!$D$3:$D$357,0)),""))</f>
        <v/>
      </c>
      <c r="M40">
        <f>IF(AND(E40="",I40=""),"",IF(H40="",E40,IF(I40="",E40,IFERROR((VALUE(E40)+VALUE(I40))/2,E40))))</f>
        <v/>
      </c>
      <c r="N40">
        <f>IF(AND(F40="",J40=""),"",IF(H40="",F40,IF(J40="",F40,IFERROR((VALUE(F40)+VALUE(J40))/2,F40))))</f>
        <v/>
      </c>
      <c r="O40">
        <f>IF(AND(M40="",N40=""),"",IF(M40="",N40,IF(N40="",M40,IFERROR((VALUE(M40)+VALUE(N40))/2,""))))</f>
        <v/>
      </c>
      <c r="P40">
        <f>IF(AND(OR('טכנו'!$C$3="הכל",IFERROR(VLOOKUP(D40,'הגדרות'!$A$2:$D$18,2,FALSE),"")='טכנו'!$C$3,IFERROR(VLOOKUP(D40,'הגדרות'!$A$2:$D$18,3,FALSE),"")='טכנו'!$C$3),OR('טכנו'!$C$4="הכל",C40='טכנו'!$C$4),OR('טכנו'!$C$5="הכל",L40='טכנו'!$C$5),OR('טכנו'!$C$6="",IFERROR(VALUE(M40),0)&gt;='טכנו'!$C$6),OR('טכנו'!$C$7="",IFERROR(VALUE(M40),0)&lt;='טכנו'!$C$7),A40&lt;&gt;""),ROW()-4,"")</f>
        <v/>
      </c>
    </row>
    <row r="41">
      <c r="B41">
        <f>IF(A41="","",IFERROR(INDEX('מלאי'!$B$3:$B$357,MATCH(A41,'מלאי'!$D$3:$D$357,0)),""))</f>
        <v/>
      </c>
      <c r="C41">
        <f>IF(A41="","",IFERROR(INDEX('מלאי'!$A$3:$A$357,MATCH(A41,'מלאי'!$D$3:$D$357,0)),""))</f>
        <v/>
      </c>
      <c r="D41">
        <f>IF(A41="","",IFERROR(INDEX('מלאי'!$H$3:$H$357,MATCH(A41,'מלאי'!$D$3:$D$357,0)),""))</f>
        <v/>
      </c>
      <c r="H41">
        <f>IF(A41="","",IFERROR(INDEX('מלאי'!$I$3:$I$357,MATCH(A41,'מלאי'!$D$3:$D$357,0)),""))</f>
        <v/>
      </c>
      <c r="M41">
        <f>IF(AND(E41="",I41=""),"",IF(H41="",E41,IF(I41="",E41,IFERROR((VALUE(E41)+VALUE(I41))/2,E41))))</f>
        <v/>
      </c>
      <c r="N41">
        <f>IF(AND(F41="",J41=""),"",IF(H41="",F41,IF(J41="",F41,IFERROR((VALUE(F41)+VALUE(J41))/2,F41))))</f>
        <v/>
      </c>
      <c r="O41">
        <f>IF(AND(M41="",N41=""),"",IF(M41="",N41,IF(N41="",M41,IFERROR((VALUE(M41)+VALUE(N41))/2,""))))</f>
        <v/>
      </c>
      <c r="P41">
        <f>IF(AND(OR('טכנו'!$C$3="הכל",IFERROR(VLOOKUP(D41,'הגדרות'!$A$2:$D$18,2,FALSE),"")='טכנו'!$C$3,IFERROR(VLOOKUP(D41,'הגדרות'!$A$2:$D$18,3,FALSE),"")='טכנו'!$C$3),OR('טכנו'!$C$4="הכל",C41='טכנו'!$C$4),OR('טכנו'!$C$5="הכל",L41='טכנו'!$C$5),OR('טכנו'!$C$6="",IFERROR(VALUE(M41),0)&gt;='טכנו'!$C$6),OR('טכנו'!$C$7="",IFERROR(VALUE(M41),0)&lt;='טכנו'!$C$7),A41&lt;&gt;""),ROW()-4,"")</f>
        <v/>
      </c>
    </row>
    <row r="42">
      <c r="B42">
        <f>IF(A42="","",IFERROR(INDEX('מלאי'!$B$3:$B$357,MATCH(A42,'מלאי'!$D$3:$D$357,0)),""))</f>
        <v/>
      </c>
      <c r="C42">
        <f>IF(A42="","",IFERROR(INDEX('מלאי'!$A$3:$A$357,MATCH(A42,'מלאי'!$D$3:$D$357,0)),""))</f>
        <v/>
      </c>
      <c r="D42">
        <f>IF(A42="","",IFERROR(INDEX('מלאי'!$H$3:$H$357,MATCH(A42,'מלאי'!$D$3:$D$357,0)),""))</f>
        <v/>
      </c>
      <c r="H42">
        <f>IF(A42="","",IFERROR(INDEX('מלאי'!$I$3:$I$357,MATCH(A42,'מלאי'!$D$3:$D$357,0)),""))</f>
        <v/>
      </c>
      <c r="M42">
        <f>IF(AND(E42="",I42=""),"",IF(H42="",E42,IF(I42="",E42,IFERROR((VALUE(E42)+VALUE(I42))/2,E42))))</f>
        <v/>
      </c>
      <c r="N42">
        <f>IF(AND(F42="",J42=""),"",IF(H42="",F42,IF(J42="",F42,IFERROR((VALUE(F42)+VALUE(J42))/2,F42))))</f>
        <v/>
      </c>
      <c r="O42">
        <f>IF(AND(M42="",N42=""),"",IF(M42="",N42,IF(N42="",M42,IFERROR((VALUE(M42)+VALUE(N42))/2,""))))</f>
        <v/>
      </c>
      <c r="P42">
        <f>IF(AND(OR('טכנו'!$C$3="הכל",IFERROR(VLOOKUP(D42,'הגדרות'!$A$2:$D$18,2,FALSE),"")='טכנו'!$C$3,IFERROR(VLOOKUP(D42,'הגדרות'!$A$2:$D$18,3,FALSE),"")='טכנו'!$C$3),OR('טכנו'!$C$4="הכל",C42='טכנו'!$C$4),OR('טכנו'!$C$5="הכל",L42='טכנו'!$C$5),OR('טכנו'!$C$6="",IFERROR(VALUE(M42),0)&gt;='טכנו'!$C$6),OR('טכנו'!$C$7="",IFERROR(VALUE(M42),0)&lt;='טכנו'!$C$7),A42&lt;&gt;""),ROW()-4,"")</f>
        <v/>
      </c>
    </row>
    <row r="43">
      <c r="B43">
        <f>IF(A43="","",IFERROR(INDEX('מלאי'!$B$3:$B$357,MATCH(A43,'מלאי'!$D$3:$D$357,0)),""))</f>
        <v/>
      </c>
      <c r="C43">
        <f>IF(A43="","",IFERROR(INDEX('מלאי'!$A$3:$A$357,MATCH(A43,'מלאי'!$D$3:$D$357,0)),""))</f>
        <v/>
      </c>
      <c r="D43">
        <f>IF(A43="","",IFERROR(INDEX('מלאי'!$H$3:$H$357,MATCH(A43,'מלאי'!$D$3:$D$357,0)),""))</f>
        <v/>
      </c>
      <c r="H43">
        <f>IF(A43="","",IFERROR(INDEX('מלאי'!$I$3:$I$357,MATCH(A43,'מלאי'!$D$3:$D$357,0)),""))</f>
        <v/>
      </c>
      <c r="M43">
        <f>IF(AND(E43="",I43=""),"",IF(H43="",E43,IF(I43="",E43,IFERROR((VALUE(E43)+VALUE(I43))/2,E43))))</f>
        <v/>
      </c>
      <c r="N43">
        <f>IF(AND(F43="",J43=""),"",IF(H43="",F43,IF(J43="",F43,IFERROR((VALUE(F43)+VALUE(J43))/2,F43))))</f>
        <v/>
      </c>
      <c r="O43">
        <f>IF(AND(M43="",N43=""),"",IF(M43="",N43,IF(N43="",M43,IFERROR((VALUE(M43)+VALUE(N43))/2,""))))</f>
        <v/>
      </c>
      <c r="P43">
        <f>IF(AND(OR('טכנו'!$C$3="הכל",IFERROR(VLOOKUP(D43,'הגדרות'!$A$2:$D$18,2,FALSE),"")='טכנו'!$C$3,IFERROR(VLOOKUP(D43,'הגדרות'!$A$2:$D$18,3,FALSE),"")='טכנו'!$C$3),OR('טכנו'!$C$4="הכל",C43='טכנו'!$C$4),OR('טכנו'!$C$5="הכל",L43='טכנו'!$C$5),OR('טכנו'!$C$6="",IFERROR(VALUE(M43),0)&gt;='טכנו'!$C$6),OR('טכנו'!$C$7="",IFERROR(VALUE(M43),0)&lt;='טכנו'!$C$7),A43&lt;&gt;""),ROW()-4,"")</f>
        <v/>
      </c>
    </row>
    <row r="44">
      <c r="B44">
        <f>IF(A44="","",IFERROR(INDEX('מלאי'!$B$3:$B$357,MATCH(A44,'מלאי'!$D$3:$D$357,0)),""))</f>
        <v/>
      </c>
      <c r="C44">
        <f>IF(A44="","",IFERROR(INDEX('מלאי'!$A$3:$A$357,MATCH(A44,'מלאי'!$D$3:$D$357,0)),""))</f>
        <v/>
      </c>
      <c r="D44">
        <f>IF(A44="","",IFERROR(INDEX('מלאי'!$H$3:$H$357,MATCH(A44,'מלאי'!$D$3:$D$357,0)),""))</f>
        <v/>
      </c>
      <c r="H44">
        <f>IF(A44="","",IFERROR(INDEX('מלאי'!$I$3:$I$357,MATCH(A44,'מלאי'!$D$3:$D$357,0)),""))</f>
        <v/>
      </c>
      <c r="M44">
        <f>IF(AND(E44="",I44=""),"",IF(H44="",E44,IF(I44="",E44,IFERROR((VALUE(E44)+VALUE(I44))/2,E44))))</f>
        <v/>
      </c>
      <c r="N44">
        <f>IF(AND(F44="",J44=""),"",IF(H44="",F44,IF(J44="",F44,IFERROR((VALUE(F44)+VALUE(J44))/2,F44))))</f>
        <v/>
      </c>
      <c r="O44">
        <f>IF(AND(M44="",N44=""),"",IF(M44="",N44,IF(N44="",M44,IFERROR((VALUE(M44)+VALUE(N44))/2,""))))</f>
        <v/>
      </c>
      <c r="P44">
        <f>IF(AND(OR('טכנו'!$C$3="הכל",IFERROR(VLOOKUP(D44,'הגדרות'!$A$2:$D$18,2,FALSE),"")='טכנו'!$C$3,IFERROR(VLOOKUP(D44,'הגדרות'!$A$2:$D$18,3,FALSE),"")='טכנו'!$C$3),OR('טכנו'!$C$4="הכל",C44='טכנו'!$C$4),OR('טכנו'!$C$5="הכל",L44='טכנו'!$C$5),OR('טכנו'!$C$6="",IFERROR(VALUE(M44),0)&gt;='טכנו'!$C$6),OR('טכנו'!$C$7="",IFERROR(VALUE(M44),0)&lt;='טכנו'!$C$7),A44&lt;&gt;""),ROW()-4,"")</f>
        <v/>
      </c>
    </row>
    <row r="45">
      <c r="B45">
        <f>IF(A45="","",IFERROR(INDEX('מלאי'!$B$3:$B$357,MATCH(A45,'מלאי'!$D$3:$D$357,0)),""))</f>
        <v/>
      </c>
      <c r="C45">
        <f>IF(A45="","",IFERROR(INDEX('מלאי'!$A$3:$A$357,MATCH(A45,'מלאי'!$D$3:$D$357,0)),""))</f>
        <v/>
      </c>
      <c r="D45">
        <f>IF(A45="","",IFERROR(INDEX('מלאי'!$H$3:$H$357,MATCH(A45,'מלאי'!$D$3:$D$357,0)),""))</f>
        <v/>
      </c>
      <c r="H45">
        <f>IF(A45="","",IFERROR(INDEX('מלאי'!$I$3:$I$357,MATCH(A45,'מלאי'!$D$3:$D$357,0)),""))</f>
        <v/>
      </c>
      <c r="M45">
        <f>IF(AND(E45="",I45=""),"",IF(H45="",E45,IF(I45="",E45,IFERROR((VALUE(E45)+VALUE(I45))/2,E45))))</f>
        <v/>
      </c>
      <c r="N45">
        <f>IF(AND(F45="",J45=""),"",IF(H45="",F45,IF(J45="",F45,IFERROR((VALUE(F45)+VALUE(J45))/2,F45))))</f>
        <v/>
      </c>
      <c r="O45">
        <f>IF(AND(M45="",N45=""),"",IF(M45="",N45,IF(N45="",M45,IFERROR((VALUE(M45)+VALUE(N45))/2,""))))</f>
        <v/>
      </c>
      <c r="P45">
        <f>IF(AND(OR('טכנו'!$C$3="הכל",IFERROR(VLOOKUP(D45,'הגדרות'!$A$2:$D$18,2,FALSE),"")='טכנו'!$C$3,IFERROR(VLOOKUP(D45,'הגדרות'!$A$2:$D$18,3,FALSE),"")='טכנו'!$C$3),OR('טכנו'!$C$4="הכל",C45='טכנו'!$C$4),OR('טכנו'!$C$5="הכל",L45='טכנו'!$C$5),OR('טכנו'!$C$6="",IFERROR(VALUE(M45),0)&gt;='טכנו'!$C$6),OR('טכנו'!$C$7="",IFERROR(VALUE(M45),0)&lt;='טכנו'!$C$7),A45&lt;&gt;""),ROW()-4,"")</f>
        <v/>
      </c>
    </row>
    <row r="46">
      <c r="B46">
        <f>IF(A46="","",IFERROR(INDEX('מלאי'!$B$3:$B$357,MATCH(A46,'מלאי'!$D$3:$D$357,0)),""))</f>
        <v/>
      </c>
      <c r="C46">
        <f>IF(A46="","",IFERROR(INDEX('מלאי'!$A$3:$A$357,MATCH(A46,'מלאי'!$D$3:$D$357,0)),""))</f>
        <v/>
      </c>
      <c r="D46">
        <f>IF(A46="","",IFERROR(INDEX('מלאי'!$H$3:$H$357,MATCH(A46,'מלאי'!$D$3:$D$357,0)),""))</f>
        <v/>
      </c>
      <c r="H46">
        <f>IF(A46="","",IFERROR(INDEX('מלאי'!$I$3:$I$357,MATCH(A46,'מלאי'!$D$3:$D$357,0)),""))</f>
        <v/>
      </c>
      <c r="M46">
        <f>IF(AND(E46="",I46=""),"",IF(H46="",E46,IF(I46="",E46,IFERROR((VALUE(E46)+VALUE(I46))/2,E46))))</f>
        <v/>
      </c>
      <c r="N46">
        <f>IF(AND(F46="",J46=""),"",IF(H46="",F46,IF(J46="",F46,IFERROR((VALUE(F46)+VALUE(J46))/2,F46))))</f>
        <v/>
      </c>
      <c r="O46">
        <f>IF(AND(M46="",N46=""),"",IF(M46="",N46,IF(N46="",M46,IFERROR((VALUE(M46)+VALUE(N46))/2,""))))</f>
        <v/>
      </c>
      <c r="P46">
        <f>IF(AND(OR('טכנו'!$C$3="הכל",IFERROR(VLOOKUP(D46,'הגדרות'!$A$2:$D$18,2,FALSE),"")='טכנו'!$C$3,IFERROR(VLOOKUP(D46,'הגדרות'!$A$2:$D$18,3,FALSE),"")='טכנו'!$C$3),OR('טכנו'!$C$4="הכל",C46='טכנו'!$C$4),OR('טכנו'!$C$5="הכל",L46='טכנו'!$C$5),OR('טכנו'!$C$6="",IFERROR(VALUE(M46),0)&gt;='טכנו'!$C$6),OR('טכנו'!$C$7="",IFERROR(VALUE(M46),0)&lt;='טכנו'!$C$7),A46&lt;&gt;""),ROW()-4,"")</f>
        <v/>
      </c>
    </row>
    <row r="47">
      <c r="B47">
        <f>IF(A47="","",IFERROR(INDEX('מלאי'!$B$3:$B$357,MATCH(A47,'מלאי'!$D$3:$D$357,0)),""))</f>
        <v/>
      </c>
      <c r="C47">
        <f>IF(A47="","",IFERROR(INDEX('מלאי'!$A$3:$A$357,MATCH(A47,'מלאי'!$D$3:$D$357,0)),""))</f>
        <v/>
      </c>
      <c r="D47">
        <f>IF(A47="","",IFERROR(INDEX('מלאי'!$H$3:$H$357,MATCH(A47,'מלאי'!$D$3:$D$357,0)),""))</f>
        <v/>
      </c>
      <c r="H47">
        <f>IF(A47="","",IFERROR(INDEX('מלאי'!$I$3:$I$357,MATCH(A47,'מלאי'!$D$3:$D$357,0)),""))</f>
        <v/>
      </c>
      <c r="M47">
        <f>IF(AND(E47="",I47=""),"",IF(H47="",E47,IF(I47="",E47,IFERROR((VALUE(E47)+VALUE(I47))/2,E47))))</f>
        <v/>
      </c>
      <c r="N47">
        <f>IF(AND(F47="",J47=""),"",IF(H47="",F47,IF(J47="",F47,IFERROR((VALUE(F47)+VALUE(J47))/2,F47))))</f>
        <v/>
      </c>
      <c r="O47">
        <f>IF(AND(M47="",N47=""),"",IF(M47="",N47,IF(N47="",M47,IFERROR((VALUE(M47)+VALUE(N47))/2,""))))</f>
        <v/>
      </c>
      <c r="P47">
        <f>IF(AND(OR('טכנו'!$C$3="הכל",IFERROR(VLOOKUP(D47,'הגדרות'!$A$2:$D$18,2,FALSE),"")='טכנו'!$C$3,IFERROR(VLOOKUP(D47,'הגדרות'!$A$2:$D$18,3,FALSE),"")='טכנו'!$C$3),OR('טכנו'!$C$4="הכל",C47='טכנו'!$C$4),OR('טכנו'!$C$5="הכל",L47='טכנו'!$C$5),OR('טכנו'!$C$6="",IFERROR(VALUE(M47),0)&gt;='טכנו'!$C$6),OR('טכנו'!$C$7="",IFERROR(VALUE(M47),0)&lt;='טכנו'!$C$7),A47&lt;&gt;""),ROW()-4,"")</f>
        <v/>
      </c>
    </row>
    <row r="48">
      <c r="B48">
        <f>IF(A48="","",IFERROR(INDEX('מלאי'!$B$3:$B$357,MATCH(A48,'מלאי'!$D$3:$D$357,0)),""))</f>
        <v/>
      </c>
      <c r="C48">
        <f>IF(A48="","",IFERROR(INDEX('מלאי'!$A$3:$A$357,MATCH(A48,'מלאי'!$D$3:$D$357,0)),""))</f>
        <v/>
      </c>
      <c r="D48">
        <f>IF(A48="","",IFERROR(INDEX('מלאי'!$H$3:$H$357,MATCH(A48,'מלאי'!$D$3:$D$357,0)),""))</f>
        <v/>
      </c>
      <c r="H48">
        <f>IF(A48="","",IFERROR(INDEX('מלאי'!$I$3:$I$357,MATCH(A48,'מלאי'!$D$3:$D$357,0)),""))</f>
        <v/>
      </c>
      <c r="M48">
        <f>IF(AND(E48="",I48=""),"",IF(H48="",E48,IF(I48="",E48,IFERROR((VALUE(E48)+VALUE(I48))/2,E48))))</f>
        <v/>
      </c>
      <c r="N48">
        <f>IF(AND(F48="",J48=""),"",IF(H48="",F48,IF(J48="",F48,IFERROR((VALUE(F48)+VALUE(J48))/2,F48))))</f>
        <v/>
      </c>
      <c r="O48">
        <f>IF(AND(M48="",N48=""),"",IF(M48="",N48,IF(N48="",M48,IFERROR((VALUE(M48)+VALUE(N48))/2,""))))</f>
        <v/>
      </c>
      <c r="P48">
        <f>IF(AND(OR('טכנו'!$C$3="הכל",IFERROR(VLOOKUP(D48,'הגדרות'!$A$2:$D$18,2,FALSE),"")='טכנו'!$C$3,IFERROR(VLOOKUP(D48,'הגדרות'!$A$2:$D$18,3,FALSE),"")='טכנו'!$C$3),OR('טכנו'!$C$4="הכל",C48='טכנו'!$C$4),OR('טכנו'!$C$5="הכל",L48='טכנו'!$C$5),OR('טכנו'!$C$6="",IFERROR(VALUE(M48),0)&gt;='טכנו'!$C$6),OR('טכנו'!$C$7="",IFERROR(VALUE(M48),0)&lt;='טכנו'!$C$7),A48&lt;&gt;""),ROW()-4,"")</f>
        <v/>
      </c>
    </row>
    <row r="49">
      <c r="B49">
        <f>IF(A49="","",IFERROR(INDEX('מלאי'!$B$3:$B$357,MATCH(A49,'מלאי'!$D$3:$D$357,0)),""))</f>
        <v/>
      </c>
      <c r="C49">
        <f>IF(A49="","",IFERROR(INDEX('מלאי'!$A$3:$A$357,MATCH(A49,'מלאי'!$D$3:$D$357,0)),""))</f>
        <v/>
      </c>
      <c r="D49">
        <f>IF(A49="","",IFERROR(INDEX('מלאי'!$H$3:$H$357,MATCH(A49,'מלאי'!$D$3:$D$357,0)),""))</f>
        <v/>
      </c>
      <c r="H49">
        <f>IF(A49="","",IFERROR(INDEX('מלאי'!$I$3:$I$357,MATCH(A49,'מלאי'!$D$3:$D$357,0)),""))</f>
        <v/>
      </c>
      <c r="M49">
        <f>IF(AND(E49="",I49=""),"",IF(H49="",E49,IF(I49="",E49,IFERROR((VALUE(E49)+VALUE(I49))/2,E49))))</f>
        <v/>
      </c>
      <c r="N49">
        <f>IF(AND(F49="",J49=""),"",IF(H49="",F49,IF(J49="",F49,IFERROR((VALUE(F49)+VALUE(J49))/2,F49))))</f>
        <v/>
      </c>
      <c r="O49">
        <f>IF(AND(M49="",N49=""),"",IF(M49="",N49,IF(N49="",M49,IFERROR((VALUE(M49)+VALUE(N49))/2,""))))</f>
        <v/>
      </c>
      <c r="P49">
        <f>IF(AND(OR('טכנו'!$C$3="הכל",IFERROR(VLOOKUP(D49,'הגדרות'!$A$2:$D$18,2,FALSE),"")='טכנו'!$C$3,IFERROR(VLOOKUP(D49,'הגדרות'!$A$2:$D$18,3,FALSE),"")='טכנו'!$C$3),OR('טכנו'!$C$4="הכל",C49='טכנו'!$C$4),OR('טכנו'!$C$5="הכל",L49='טכנו'!$C$5),OR('טכנו'!$C$6="",IFERROR(VALUE(M49),0)&gt;='טכנו'!$C$6),OR('טכנו'!$C$7="",IFERROR(VALUE(M49),0)&lt;='טכנו'!$C$7),A49&lt;&gt;""),ROW()-4,"")</f>
        <v/>
      </c>
    </row>
    <row r="50">
      <c r="B50">
        <f>IF(A50="","",IFERROR(INDEX('מלאי'!$B$3:$B$357,MATCH(A50,'מלאי'!$D$3:$D$357,0)),""))</f>
        <v/>
      </c>
      <c r="C50">
        <f>IF(A50="","",IFERROR(INDEX('מלאי'!$A$3:$A$357,MATCH(A50,'מלאי'!$D$3:$D$357,0)),""))</f>
        <v/>
      </c>
      <c r="D50">
        <f>IF(A50="","",IFERROR(INDEX('מלאי'!$H$3:$H$357,MATCH(A50,'מלאי'!$D$3:$D$357,0)),""))</f>
        <v/>
      </c>
      <c r="H50">
        <f>IF(A50="","",IFERROR(INDEX('מלאי'!$I$3:$I$357,MATCH(A50,'מלאי'!$D$3:$D$357,0)),""))</f>
        <v/>
      </c>
      <c r="M50">
        <f>IF(AND(E50="",I50=""),"",IF(H50="",E50,IF(I50="",E50,IFERROR((VALUE(E50)+VALUE(I50))/2,E50))))</f>
        <v/>
      </c>
      <c r="N50">
        <f>IF(AND(F50="",J50=""),"",IF(H50="",F50,IF(J50="",F50,IFERROR((VALUE(F50)+VALUE(J50))/2,F50))))</f>
        <v/>
      </c>
      <c r="O50">
        <f>IF(AND(M50="",N50=""),"",IF(M50="",N50,IF(N50="",M50,IFERROR((VALUE(M50)+VALUE(N50))/2,""))))</f>
        <v/>
      </c>
      <c r="P50">
        <f>IF(AND(OR('טכנו'!$C$3="הכל",IFERROR(VLOOKUP(D50,'הגדרות'!$A$2:$D$18,2,FALSE),"")='טכנו'!$C$3,IFERROR(VLOOKUP(D50,'הגדרות'!$A$2:$D$18,3,FALSE),"")='טכנו'!$C$3),OR('טכנו'!$C$4="הכל",C50='טכנו'!$C$4),OR('טכנו'!$C$5="הכל",L50='טכנו'!$C$5),OR('טכנו'!$C$6="",IFERROR(VALUE(M50),0)&gt;='טכנו'!$C$6),OR('טכנו'!$C$7="",IFERROR(VALUE(M50),0)&lt;='טכנו'!$C$7),A50&lt;&gt;""),ROW()-4,"")</f>
        <v/>
      </c>
    </row>
    <row r="51">
      <c r="B51">
        <f>IF(A51="","",IFERROR(INDEX('מלאי'!$B$3:$B$357,MATCH(A51,'מלאי'!$D$3:$D$357,0)),""))</f>
        <v/>
      </c>
      <c r="C51">
        <f>IF(A51="","",IFERROR(INDEX('מלאי'!$A$3:$A$357,MATCH(A51,'מלאי'!$D$3:$D$357,0)),""))</f>
        <v/>
      </c>
      <c r="D51">
        <f>IF(A51="","",IFERROR(INDEX('מלאי'!$H$3:$H$357,MATCH(A51,'מלאי'!$D$3:$D$357,0)),""))</f>
        <v/>
      </c>
      <c r="H51">
        <f>IF(A51="","",IFERROR(INDEX('מלאי'!$I$3:$I$357,MATCH(A51,'מלאי'!$D$3:$D$357,0)),""))</f>
        <v/>
      </c>
      <c r="M51">
        <f>IF(AND(E51="",I51=""),"",IF(H51="",E51,IF(I51="",E51,IFERROR((VALUE(E51)+VALUE(I51))/2,E51))))</f>
        <v/>
      </c>
      <c r="N51">
        <f>IF(AND(F51="",J51=""),"",IF(H51="",F51,IF(J51="",F51,IFERROR((VALUE(F51)+VALUE(J51))/2,F51))))</f>
        <v/>
      </c>
      <c r="O51">
        <f>IF(AND(M51="",N51=""),"",IF(M51="",N51,IF(N51="",M51,IFERROR((VALUE(M51)+VALUE(N51))/2,""))))</f>
        <v/>
      </c>
      <c r="P51">
        <f>IF(AND(OR('טכנו'!$C$3="הכל",IFERROR(VLOOKUP(D51,'הגדרות'!$A$2:$D$18,2,FALSE),"")='טכנו'!$C$3,IFERROR(VLOOKUP(D51,'הגדרות'!$A$2:$D$18,3,FALSE),"")='טכנו'!$C$3),OR('טכנו'!$C$4="הכל",C51='טכנו'!$C$4),OR('טכנו'!$C$5="הכל",L51='טכנו'!$C$5),OR('טכנו'!$C$6="",IFERROR(VALUE(M51),0)&gt;='טכנו'!$C$6),OR('טכנו'!$C$7="",IFERROR(VALUE(M51),0)&lt;='טכנו'!$C$7),A51&lt;&gt;""),ROW()-4,"")</f>
        <v/>
      </c>
    </row>
    <row r="52">
      <c r="B52">
        <f>IF(A52="","",IFERROR(INDEX('מלאי'!$B$3:$B$357,MATCH(A52,'מלאי'!$D$3:$D$357,0)),""))</f>
        <v/>
      </c>
      <c r="C52">
        <f>IF(A52="","",IFERROR(INDEX('מלאי'!$A$3:$A$357,MATCH(A52,'מלאי'!$D$3:$D$357,0)),""))</f>
        <v/>
      </c>
      <c r="D52">
        <f>IF(A52="","",IFERROR(INDEX('מלאי'!$H$3:$H$357,MATCH(A52,'מלאי'!$D$3:$D$357,0)),""))</f>
        <v/>
      </c>
      <c r="H52">
        <f>IF(A52="","",IFERROR(INDEX('מלאי'!$I$3:$I$357,MATCH(A52,'מלאי'!$D$3:$D$357,0)),""))</f>
        <v/>
      </c>
      <c r="M52">
        <f>IF(AND(E52="",I52=""),"",IF(H52="",E52,IF(I52="",E52,IFERROR((VALUE(E52)+VALUE(I52))/2,E52))))</f>
        <v/>
      </c>
      <c r="N52">
        <f>IF(AND(F52="",J52=""),"",IF(H52="",F52,IF(J52="",F52,IFERROR((VALUE(F52)+VALUE(J52))/2,F52))))</f>
        <v/>
      </c>
      <c r="O52">
        <f>IF(AND(M52="",N52=""),"",IF(M52="",N52,IF(N52="",M52,IFERROR((VALUE(M52)+VALUE(N52))/2,""))))</f>
        <v/>
      </c>
      <c r="P52">
        <f>IF(AND(OR('טכנו'!$C$3="הכל",IFERROR(VLOOKUP(D52,'הגדרות'!$A$2:$D$18,2,FALSE),"")='טכנו'!$C$3,IFERROR(VLOOKUP(D52,'הגדרות'!$A$2:$D$18,3,FALSE),"")='טכנו'!$C$3),OR('טכנו'!$C$4="הכל",C52='טכנו'!$C$4),OR('טכנו'!$C$5="הכל",L52='טכנו'!$C$5),OR('טכנו'!$C$6="",IFERROR(VALUE(M52),0)&gt;='טכנו'!$C$6),OR('טכנו'!$C$7="",IFERROR(VALUE(M52),0)&lt;='טכנו'!$C$7),A52&lt;&gt;""),ROW()-4,"")</f>
        <v/>
      </c>
    </row>
    <row r="53">
      <c r="B53">
        <f>IF(A53="","",IFERROR(INDEX('מלאי'!$B$3:$B$357,MATCH(A53,'מלאי'!$D$3:$D$357,0)),""))</f>
        <v/>
      </c>
      <c r="C53">
        <f>IF(A53="","",IFERROR(INDEX('מלאי'!$A$3:$A$357,MATCH(A53,'מלאי'!$D$3:$D$357,0)),""))</f>
        <v/>
      </c>
      <c r="D53">
        <f>IF(A53="","",IFERROR(INDEX('מלאי'!$H$3:$H$357,MATCH(A53,'מלאי'!$D$3:$D$357,0)),""))</f>
        <v/>
      </c>
      <c r="H53">
        <f>IF(A53="","",IFERROR(INDEX('מלאי'!$I$3:$I$357,MATCH(A53,'מלאי'!$D$3:$D$357,0)),""))</f>
        <v/>
      </c>
      <c r="M53">
        <f>IF(AND(E53="",I53=""),"",IF(H53="",E53,IF(I53="",E53,IFERROR((VALUE(E53)+VALUE(I53))/2,E53))))</f>
        <v/>
      </c>
      <c r="N53">
        <f>IF(AND(F53="",J53=""),"",IF(H53="",F53,IF(J53="",F53,IFERROR((VALUE(F53)+VALUE(J53))/2,F53))))</f>
        <v/>
      </c>
      <c r="O53">
        <f>IF(AND(M53="",N53=""),"",IF(M53="",N53,IF(N53="",M53,IFERROR((VALUE(M53)+VALUE(N53))/2,""))))</f>
        <v/>
      </c>
      <c r="P53">
        <f>IF(AND(OR('טכנו'!$C$3="הכל",IFERROR(VLOOKUP(D53,'הגדרות'!$A$2:$D$18,2,FALSE),"")='טכנו'!$C$3,IFERROR(VLOOKUP(D53,'הגדרות'!$A$2:$D$18,3,FALSE),"")='טכנו'!$C$3),OR('טכנו'!$C$4="הכל",C53='טכנו'!$C$4),OR('טכנו'!$C$5="הכל",L53='טכנו'!$C$5),OR('טכנו'!$C$6="",IFERROR(VALUE(M53),0)&gt;='טכנו'!$C$6),OR('טכנו'!$C$7="",IFERROR(VALUE(M53),0)&lt;='טכנו'!$C$7),A53&lt;&gt;""),ROW()-4,"")</f>
        <v/>
      </c>
    </row>
    <row r="54">
      <c r="B54">
        <f>IF(A54="","",IFERROR(INDEX('מלאי'!$B$3:$B$357,MATCH(A54,'מלאי'!$D$3:$D$357,0)),""))</f>
        <v/>
      </c>
      <c r="C54">
        <f>IF(A54="","",IFERROR(INDEX('מלאי'!$A$3:$A$357,MATCH(A54,'מלאי'!$D$3:$D$357,0)),""))</f>
        <v/>
      </c>
      <c r="D54">
        <f>IF(A54="","",IFERROR(INDEX('מלאי'!$H$3:$H$357,MATCH(A54,'מלאי'!$D$3:$D$357,0)),""))</f>
        <v/>
      </c>
      <c r="H54">
        <f>IF(A54="","",IFERROR(INDEX('מלאי'!$I$3:$I$357,MATCH(A54,'מלאי'!$D$3:$D$357,0)),""))</f>
        <v/>
      </c>
      <c r="M54">
        <f>IF(AND(E54="",I54=""),"",IF(H54="",E54,IF(I54="",E54,IFERROR((VALUE(E54)+VALUE(I54))/2,E54))))</f>
        <v/>
      </c>
      <c r="N54">
        <f>IF(AND(F54="",J54=""),"",IF(H54="",F54,IF(J54="",F54,IFERROR((VALUE(F54)+VALUE(J54))/2,F54))))</f>
        <v/>
      </c>
      <c r="O54">
        <f>IF(AND(M54="",N54=""),"",IF(M54="",N54,IF(N54="",M54,IFERROR((VALUE(M54)+VALUE(N54))/2,""))))</f>
        <v/>
      </c>
      <c r="P54">
        <f>IF(AND(OR('טכנו'!$C$3="הכל",IFERROR(VLOOKUP(D54,'הגדרות'!$A$2:$D$18,2,FALSE),"")='טכנו'!$C$3,IFERROR(VLOOKUP(D54,'הגדרות'!$A$2:$D$18,3,FALSE),"")='טכנו'!$C$3),OR('טכנו'!$C$4="הכל",C54='טכנו'!$C$4),OR('טכנו'!$C$5="הכל",L54='טכנו'!$C$5),OR('טכנו'!$C$6="",IFERROR(VALUE(M54),0)&gt;='טכנו'!$C$6),OR('טכנו'!$C$7="",IFERROR(VALUE(M54),0)&lt;='טכנו'!$C$7),A54&lt;&gt;""),ROW()-4,"")</f>
        <v/>
      </c>
    </row>
    <row r="55">
      <c r="B55">
        <f>IF(A55="","",IFERROR(INDEX('מלאי'!$B$3:$B$357,MATCH(A55,'מלאי'!$D$3:$D$357,0)),""))</f>
        <v/>
      </c>
      <c r="C55">
        <f>IF(A55="","",IFERROR(INDEX('מלאי'!$A$3:$A$357,MATCH(A55,'מלאי'!$D$3:$D$357,0)),""))</f>
        <v/>
      </c>
      <c r="D55">
        <f>IF(A55="","",IFERROR(INDEX('מלאי'!$H$3:$H$357,MATCH(A55,'מלאי'!$D$3:$D$357,0)),""))</f>
        <v/>
      </c>
      <c r="H55">
        <f>IF(A55="","",IFERROR(INDEX('מלאי'!$I$3:$I$357,MATCH(A55,'מלאי'!$D$3:$D$357,0)),""))</f>
        <v/>
      </c>
      <c r="M55">
        <f>IF(AND(E55="",I55=""),"",IF(H55="",E55,IF(I55="",E55,IFERROR((VALUE(E55)+VALUE(I55))/2,E55))))</f>
        <v/>
      </c>
      <c r="N55">
        <f>IF(AND(F55="",J55=""),"",IF(H55="",F55,IF(J55="",F55,IFERROR((VALUE(F55)+VALUE(J55))/2,F55))))</f>
        <v/>
      </c>
      <c r="O55">
        <f>IF(AND(M55="",N55=""),"",IF(M55="",N55,IF(N55="",M55,IFERROR((VALUE(M55)+VALUE(N55))/2,""))))</f>
        <v/>
      </c>
      <c r="P55">
        <f>IF(AND(OR('טכנו'!$C$3="הכל",IFERROR(VLOOKUP(D55,'הגדרות'!$A$2:$D$18,2,FALSE),"")='טכנו'!$C$3,IFERROR(VLOOKUP(D55,'הגדרות'!$A$2:$D$18,3,FALSE),"")='טכנו'!$C$3),OR('טכנו'!$C$4="הכל",C55='טכנו'!$C$4),OR('טכנו'!$C$5="הכל",L55='טכנו'!$C$5),OR('טכנו'!$C$6="",IFERROR(VALUE(M55),0)&gt;='טכנו'!$C$6),OR('טכנו'!$C$7="",IFERROR(VALUE(M55),0)&lt;='טכנו'!$C$7),A55&lt;&gt;""),ROW()-4,"")</f>
        <v/>
      </c>
    </row>
    <row r="56">
      <c r="B56">
        <f>IF(A56="","",IFERROR(INDEX('מלאי'!$B$3:$B$357,MATCH(A56,'מלאי'!$D$3:$D$357,0)),""))</f>
        <v/>
      </c>
      <c r="C56">
        <f>IF(A56="","",IFERROR(INDEX('מלאי'!$A$3:$A$357,MATCH(A56,'מלאי'!$D$3:$D$357,0)),""))</f>
        <v/>
      </c>
      <c r="D56">
        <f>IF(A56="","",IFERROR(INDEX('מלאי'!$H$3:$H$357,MATCH(A56,'מלאי'!$D$3:$D$357,0)),""))</f>
        <v/>
      </c>
      <c r="H56">
        <f>IF(A56="","",IFERROR(INDEX('מלאי'!$I$3:$I$357,MATCH(A56,'מלאי'!$D$3:$D$357,0)),""))</f>
        <v/>
      </c>
      <c r="M56">
        <f>IF(AND(E56="",I56=""),"",IF(H56="",E56,IF(I56="",E56,IFERROR((VALUE(E56)+VALUE(I56))/2,E56))))</f>
        <v/>
      </c>
      <c r="N56">
        <f>IF(AND(F56="",J56=""),"",IF(H56="",F56,IF(J56="",F56,IFERROR((VALUE(F56)+VALUE(J56))/2,F56))))</f>
        <v/>
      </c>
      <c r="O56">
        <f>IF(AND(M56="",N56=""),"",IF(M56="",N56,IF(N56="",M56,IFERROR((VALUE(M56)+VALUE(N56))/2,""))))</f>
        <v/>
      </c>
      <c r="P56">
        <f>IF(AND(OR('טכנו'!$C$3="הכל",IFERROR(VLOOKUP(D56,'הגדרות'!$A$2:$D$18,2,FALSE),"")='טכנו'!$C$3,IFERROR(VLOOKUP(D56,'הגדרות'!$A$2:$D$18,3,FALSE),"")='טכנו'!$C$3),OR('טכנו'!$C$4="הכל",C56='טכנו'!$C$4),OR('טכנו'!$C$5="הכל",L56='טכנו'!$C$5),OR('טכנו'!$C$6="",IFERROR(VALUE(M56),0)&gt;='טכנו'!$C$6),OR('טכנו'!$C$7="",IFERROR(VALUE(M56),0)&lt;='טכנו'!$C$7),A56&lt;&gt;""),ROW()-4,"")</f>
        <v/>
      </c>
    </row>
    <row r="57">
      <c r="B57">
        <f>IF(A57="","",IFERROR(INDEX('מלאי'!$B$3:$B$357,MATCH(A57,'מלאי'!$D$3:$D$357,0)),""))</f>
        <v/>
      </c>
      <c r="C57">
        <f>IF(A57="","",IFERROR(INDEX('מלאי'!$A$3:$A$357,MATCH(A57,'מלאי'!$D$3:$D$357,0)),""))</f>
        <v/>
      </c>
      <c r="D57">
        <f>IF(A57="","",IFERROR(INDEX('מלאי'!$H$3:$H$357,MATCH(A57,'מלאי'!$D$3:$D$357,0)),""))</f>
        <v/>
      </c>
      <c r="H57">
        <f>IF(A57="","",IFERROR(INDEX('מלאי'!$I$3:$I$357,MATCH(A57,'מלאי'!$D$3:$D$357,0)),""))</f>
        <v/>
      </c>
      <c r="M57">
        <f>IF(AND(E57="",I57=""),"",IF(H57="",E57,IF(I57="",E57,IFERROR((VALUE(E57)+VALUE(I57))/2,E57))))</f>
        <v/>
      </c>
      <c r="N57">
        <f>IF(AND(F57="",J57=""),"",IF(H57="",F57,IF(J57="",F57,IFERROR((VALUE(F57)+VALUE(J57))/2,F57))))</f>
        <v/>
      </c>
      <c r="O57">
        <f>IF(AND(M57="",N57=""),"",IF(M57="",N57,IF(N57="",M57,IFERROR((VALUE(M57)+VALUE(N57))/2,""))))</f>
        <v/>
      </c>
      <c r="P57">
        <f>IF(AND(OR('טכנו'!$C$3="הכל",IFERROR(VLOOKUP(D57,'הגדרות'!$A$2:$D$18,2,FALSE),"")='טכנו'!$C$3,IFERROR(VLOOKUP(D57,'הגדרות'!$A$2:$D$18,3,FALSE),"")='טכנו'!$C$3),OR('טכנו'!$C$4="הכל",C57='טכנו'!$C$4),OR('טכנו'!$C$5="הכל",L57='טכנו'!$C$5),OR('טכנו'!$C$6="",IFERROR(VALUE(M57),0)&gt;='טכנו'!$C$6),OR('טכנו'!$C$7="",IFERROR(VALUE(M57),0)&lt;='טכנו'!$C$7),A57&lt;&gt;""),ROW()-4,"")</f>
        <v/>
      </c>
    </row>
    <row r="58">
      <c r="B58">
        <f>IF(A58="","",IFERROR(INDEX('מלאי'!$B$3:$B$357,MATCH(A58,'מלאי'!$D$3:$D$357,0)),""))</f>
        <v/>
      </c>
      <c r="C58">
        <f>IF(A58="","",IFERROR(INDEX('מלאי'!$A$3:$A$357,MATCH(A58,'מלאי'!$D$3:$D$357,0)),""))</f>
        <v/>
      </c>
      <c r="D58">
        <f>IF(A58="","",IFERROR(INDEX('מלאי'!$H$3:$H$357,MATCH(A58,'מלאי'!$D$3:$D$357,0)),""))</f>
        <v/>
      </c>
      <c r="H58">
        <f>IF(A58="","",IFERROR(INDEX('מלאי'!$I$3:$I$357,MATCH(A58,'מלאי'!$D$3:$D$357,0)),""))</f>
        <v/>
      </c>
      <c r="M58">
        <f>IF(AND(E58="",I58=""),"",IF(H58="",E58,IF(I58="",E58,IFERROR((VALUE(E58)+VALUE(I58))/2,E58))))</f>
        <v/>
      </c>
      <c r="N58">
        <f>IF(AND(F58="",J58=""),"",IF(H58="",F58,IF(J58="",F58,IFERROR((VALUE(F58)+VALUE(J58))/2,F58))))</f>
        <v/>
      </c>
      <c r="O58">
        <f>IF(AND(M58="",N58=""),"",IF(M58="",N58,IF(N58="",M58,IFERROR((VALUE(M58)+VALUE(N58))/2,""))))</f>
        <v/>
      </c>
      <c r="P58">
        <f>IF(AND(OR('טכנו'!$C$3="הכל",IFERROR(VLOOKUP(D58,'הגדרות'!$A$2:$D$18,2,FALSE),"")='טכנו'!$C$3,IFERROR(VLOOKUP(D58,'הגדרות'!$A$2:$D$18,3,FALSE),"")='טכנו'!$C$3),OR('טכנו'!$C$4="הכל",C58='טכנו'!$C$4),OR('טכנו'!$C$5="הכל",L58='טכנו'!$C$5),OR('טכנו'!$C$6="",IFERROR(VALUE(M58),0)&gt;='טכנו'!$C$6),OR('טכנו'!$C$7="",IFERROR(VALUE(M58),0)&lt;='טכנו'!$C$7),A58&lt;&gt;""),ROW()-4,"")</f>
        <v/>
      </c>
    </row>
    <row r="59">
      <c r="B59">
        <f>IF(A59="","",IFERROR(INDEX('מלאי'!$B$3:$B$357,MATCH(A59,'מלאי'!$D$3:$D$357,0)),""))</f>
        <v/>
      </c>
      <c r="C59">
        <f>IF(A59="","",IFERROR(INDEX('מלאי'!$A$3:$A$357,MATCH(A59,'מלאי'!$D$3:$D$357,0)),""))</f>
        <v/>
      </c>
      <c r="D59">
        <f>IF(A59="","",IFERROR(INDEX('מלאי'!$H$3:$H$357,MATCH(A59,'מלאי'!$D$3:$D$357,0)),""))</f>
        <v/>
      </c>
      <c r="H59">
        <f>IF(A59="","",IFERROR(INDEX('מלאי'!$I$3:$I$357,MATCH(A59,'מלאי'!$D$3:$D$357,0)),""))</f>
        <v/>
      </c>
      <c r="M59">
        <f>IF(AND(E59="",I59=""),"",IF(H59="",E59,IF(I59="",E59,IFERROR((VALUE(E59)+VALUE(I59))/2,E59))))</f>
        <v/>
      </c>
      <c r="N59">
        <f>IF(AND(F59="",J59=""),"",IF(H59="",F59,IF(J59="",F59,IFERROR((VALUE(F59)+VALUE(J59))/2,F59))))</f>
        <v/>
      </c>
      <c r="O59">
        <f>IF(AND(M59="",N59=""),"",IF(M59="",N59,IF(N59="",M59,IFERROR((VALUE(M59)+VALUE(N59))/2,""))))</f>
        <v/>
      </c>
      <c r="P59">
        <f>IF(AND(OR('טכנו'!$C$3="הכל",IFERROR(VLOOKUP(D59,'הגדרות'!$A$2:$D$18,2,FALSE),"")='טכנו'!$C$3,IFERROR(VLOOKUP(D59,'הגדרות'!$A$2:$D$18,3,FALSE),"")='טכנו'!$C$3),OR('טכנו'!$C$4="הכל",C59='טכנו'!$C$4),OR('טכנו'!$C$5="הכל",L59='טכנו'!$C$5),OR('טכנו'!$C$6="",IFERROR(VALUE(M59),0)&gt;='טכנו'!$C$6),OR('טכנו'!$C$7="",IFERROR(VALUE(M59),0)&lt;='טכנו'!$C$7),A59&lt;&gt;""),ROW()-4,"")</f>
        <v/>
      </c>
    </row>
    <row r="60">
      <c r="B60">
        <f>IF(A60="","",IFERROR(INDEX('מלאי'!$B$3:$B$357,MATCH(A60,'מלאי'!$D$3:$D$357,0)),""))</f>
        <v/>
      </c>
      <c r="C60">
        <f>IF(A60="","",IFERROR(INDEX('מלאי'!$A$3:$A$357,MATCH(A60,'מלאי'!$D$3:$D$357,0)),""))</f>
        <v/>
      </c>
      <c r="D60">
        <f>IF(A60="","",IFERROR(INDEX('מלאי'!$H$3:$H$357,MATCH(A60,'מלאי'!$D$3:$D$357,0)),""))</f>
        <v/>
      </c>
      <c r="H60">
        <f>IF(A60="","",IFERROR(INDEX('מלאי'!$I$3:$I$357,MATCH(A60,'מלאי'!$D$3:$D$357,0)),""))</f>
        <v/>
      </c>
      <c r="M60">
        <f>IF(AND(E60="",I60=""),"",IF(H60="",E60,IF(I60="",E60,IFERROR((VALUE(E60)+VALUE(I60))/2,E60))))</f>
        <v/>
      </c>
      <c r="N60">
        <f>IF(AND(F60="",J60=""),"",IF(H60="",F60,IF(J60="",F60,IFERROR((VALUE(F60)+VALUE(J60))/2,F60))))</f>
        <v/>
      </c>
      <c r="O60">
        <f>IF(AND(M60="",N60=""),"",IF(M60="",N60,IF(N60="",M60,IFERROR((VALUE(M60)+VALUE(N60))/2,""))))</f>
        <v/>
      </c>
      <c r="P60">
        <f>IF(AND(OR('טכנו'!$C$3="הכל",IFERROR(VLOOKUP(D60,'הגדרות'!$A$2:$D$18,2,FALSE),"")='טכנו'!$C$3,IFERROR(VLOOKUP(D60,'הגדרות'!$A$2:$D$18,3,FALSE),"")='טכנו'!$C$3),OR('טכנו'!$C$4="הכל",C60='טכנו'!$C$4),OR('טכנו'!$C$5="הכל",L60='טכנו'!$C$5),OR('טכנו'!$C$6="",IFERROR(VALUE(M60),0)&gt;='טכנו'!$C$6),OR('טכנו'!$C$7="",IFERROR(VALUE(M60),0)&lt;='טכנו'!$C$7),A60&lt;&gt;""),ROW()-4,"")</f>
        <v/>
      </c>
    </row>
    <row r="61">
      <c r="B61">
        <f>IF(A61="","",IFERROR(INDEX('מלאי'!$B$3:$B$357,MATCH(A61,'מלאי'!$D$3:$D$357,0)),""))</f>
        <v/>
      </c>
      <c r="C61">
        <f>IF(A61="","",IFERROR(INDEX('מלאי'!$A$3:$A$357,MATCH(A61,'מלאי'!$D$3:$D$357,0)),""))</f>
        <v/>
      </c>
      <c r="D61">
        <f>IF(A61="","",IFERROR(INDEX('מלאי'!$H$3:$H$357,MATCH(A61,'מלאי'!$D$3:$D$357,0)),""))</f>
        <v/>
      </c>
      <c r="H61">
        <f>IF(A61="","",IFERROR(INDEX('מלאי'!$I$3:$I$357,MATCH(A61,'מלאי'!$D$3:$D$357,0)),""))</f>
        <v/>
      </c>
      <c r="M61">
        <f>IF(AND(E61="",I61=""),"",IF(H61="",E61,IF(I61="",E61,IFERROR((VALUE(E61)+VALUE(I61))/2,E61))))</f>
        <v/>
      </c>
      <c r="N61">
        <f>IF(AND(F61="",J61=""),"",IF(H61="",F61,IF(J61="",F61,IFERROR((VALUE(F61)+VALUE(J61))/2,F61))))</f>
        <v/>
      </c>
      <c r="O61">
        <f>IF(AND(M61="",N61=""),"",IF(M61="",N61,IF(N61="",M61,IFERROR((VALUE(M61)+VALUE(N61))/2,""))))</f>
        <v/>
      </c>
      <c r="P61">
        <f>IF(AND(OR('טכנו'!$C$3="הכל",IFERROR(VLOOKUP(D61,'הגדרות'!$A$2:$D$18,2,FALSE),"")='טכנו'!$C$3,IFERROR(VLOOKUP(D61,'הגדרות'!$A$2:$D$18,3,FALSE),"")='טכנו'!$C$3),OR('טכנו'!$C$4="הכל",C61='טכנו'!$C$4),OR('טכנו'!$C$5="הכל",L61='טכנו'!$C$5),OR('טכנו'!$C$6="",IFERROR(VALUE(M61),0)&gt;='טכנו'!$C$6),OR('טכנו'!$C$7="",IFERROR(VALUE(M61),0)&lt;='טכנו'!$C$7),A61&lt;&gt;""),ROW()-4,"")</f>
        <v/>
      </c>
    </row>
    <row r="62">
      <c r="B62">
        <f>IF(A62="","",IFERROR(INDEX('מלאי'!$B$3:$B$357,MATCH(A62,'מלאי'!$D$3:$D$357,0)),""))</f>
        <v/>
      </c>
      <c r="C62">
        <f>IF(A62="","",IFERROR(INDEX('מלאי'!$A$3:$A$357,MATCH(A62,'מלאי'!$D$3:$D$357,0)),""))</f>
        <v/>
      </c>
      <c r="D62">
        <f>IF(A62="","",IFERROR(INDEX('מלאי'!$H$3:$H$357,MATCH(A62,'מלאי'!$D$3:$D$357,0)),""))</f>
        <v/>
      </c>
      <c r="H62">
        <f>IF(A62="","",IFERROR(INDEX('מלאי'!$I$3:$I$357,MATCH(A62,'מלאי'!$D$3:$D$357,0)),""))</f>
        <v/>
      </c>
      <c r="M62">
        <f>IF(AND(E62="",I62=""),"",IF(H62="",E62,IF(I62="",E62,IFERROR((VALUE(E62)+VALUE(I62))/2,E62))))</f>
        <v/>
      </c>
      <c r="N62">
        <f>IF(AND(F62="",J62=""),"",IF(H62="",F62,IF(J62="",F62,IFERROR((VALUE(F62)+VALUE(J62))/2,F62))))</f>
        <v/>
      </c>
      <c r="O62">
        <f>IF(AND(M62="",N62=""),"",IF(M62="",N62,IF(N62="",M62,IFERROR((VALUE(M62)+VALUE(N62))/2,""))))</f>
        <v/>
      </c>
      <c r="P62">
        <f>IF(AND(OR('טכנו'!$C$3="הכל",IFERROR(VLOOKUP(D62,'הגדרות'!$A$2:$D$18,2,FALSE),"")='טכנו'!$C$3,IFERROR(VLOOKUP(D62,'הגדרות'!$A$2:$D$18,3,FALSE),"")='טכנו'!$C$3),OR('טכנו'!$C$4="הכל",C62='טכנו'!$C$4),OR('טכנו'!$C$5="הכל",L62='טכנו'!$C$5),OR('טכנו'!$C$6="",IFERROR(VALUE(M62),0)&gt;='טכנו'!$C$6),OR('טכנו'!$C$7="",IFERROR(VALUE(M62),0)&lt;='טכנו'!$C$7),A62&lt;&gt;""),ROW()-4,"")</f>
        <v/>
      </c>
    </row>
    <row r="63">
      <c r="B63">
        <f>IF(A63="","",IFERROR(INDEX('מלאי'!$B$3:$B$357,MATCH(A63,'מלאי'!$D$3:$D$357,0)),""))</f>
        <v/>
      </c>
      <c r="C63">
        <f>IF(A63="","",IFERROR(INDEX('מלאי'!$A$3:$A$357,MATCH(A63,'מלאי'!$D$3:$D$357,0)),""))</f>
        <v/>
      </c>
      <c r="D63">
        <f>IF(A63="","",IFERROR(INDEX('מלאי'!$H$3:$H$357,MATCH(A63,'מלאי'!$D$3:$D$357,0)),""))</f>
        <v/>
      </c>
      <c r="H63">
        <f>IF(A63="","",IFERROR(INDEX('מלאי'!$I$3:$I$357,MATCH(A63,'מלאי'!$D$3:$D$357,0)),""))</f>
        <v/>
      </c>
      <c r="M63">
        <f>IF(AND(E63="",I63=""),"",IF(H63="",E63,IF(I63="",E63,IFERROR((VALUE(E63)+VALUE(I63))/2,E63))))</f>
        <v/>
      </c>
      <c r="N63">
        <f>IF(AND(F63="",J63=""),"",IF(H63="",F63,IF(J63="",F63,IFERROR((VALUE(F63)+VALUE(J63))/2,F63))))</f>
        <v/>
      </c>
      <c r="O63">
        <f>IF(AND(M63="",N63=""),"",IF(M63="",N63,IF(N63="",M63,IFERROR((VALUE(M63)+VALUE(N63))/2,""))))</f>
        <v/>
      </c>
      <c r="P63">
        <f>IF(AND(OR('טכנו'!$C$3="הכל",IFERROR(VLOOKUP(D63,'הגדרות'!$A$2:$D$18,2,FALSE),"")='טכנו'!$C$3,IFERROR(VLOOKUP(D63,'הגדרות'!$A$2:$D$18,3,FALSE),"")='טכנו'!$C$3),OR('טכנו'!$C$4="הכל",C63='טכנו'!$C$4),OR('טכנו'!$C$5="הכל",L63='טכנו'!$C$5),OR('טכנו'!$C$6="",IFERROR(VALUE(M63),0)&gt;='טכנו'!$C$6),OR('טכנו'!$C$7="",IFERROR(VALUE(M63),0)&lt;='טכנו'!$C$7),A63&lt;&gt;""),ROW()-4,"")</f>
        <v/>
      </c>
    </row>
    <row r="64">
      <c r="B64">
        <f>IF(A64="","",IFERROR(INDEX('מלאי'!$B$3:$B$357,MATCH(A64,'מלאי'!$D$3:$D$357,0)),""))</f>
        <v/>
      </c>
      <c r="C64">
        <f>IF(A64="","",IFERROR(INDEX('מלאי'!$A$3:$A$357,MATCH(A64,'מלאי'!$D$3:$D$357,0)),""))</f>
        <v/>
      </c>
      <c r="D64">
        <f>IF(A64="","",IFERROR(INDEX('מלאי'!$H$3:$H$357,MATCH(A64,'מלאי'!$D$3:$D$357,0)),""))</f>
        <v/>
      </c>
      <c r="H64">
        <f>IF(A64="","",IFERROR(INDEX('מלאי'!$I$3:$I$357,MATCH(A64,'מלאי'!$D$3:$D$357,0)),""))</f>
        <v/>
      </c>
      <c r="M64">
        <f>IF(AND(E64="",I64=""),"",IF(H64="",E64,IF(I64="",E64,IFERROR((VALUE(E64)+VALUE(I64))/2,E64))))</f>
        <v/>
      </c>
      <c r="N64">
        <f>IF(AND(F64="",J64=""),"",IF(H64="",F64,IF(J64="",F64,IFERROR((VALUE(F64)+VALUE(J64))/2,F64))))</f>
        <v/>
      </c>
      <c r="O64">
        <f>IF(AND(M64="",N64=""),"",IF(M64="",N64,IF(N64="",M64,IFERROR((VALUE(M64)+VALUE(N64))/2,""))))</f>
        <v/>
      </c>
      <c r="P64">
        <f>IF(AND(OR('טכנו'!$C$3="הכל",IFERROR(VLOOKUP(D64,'הגדרות'!$A$2:$D$18,2,FALSE),"")='טכנו'!$C$3,IFERROR(VLOOKUP(D64,'הגדרות'!$A$2:$D$18,3,FALSE),"")='טכנו'!$C$3),OR('טכנו'!$C$4="הכל",C64='טכנו'!$C$4),OR('טכנו'!$C$5="הכל",L64='טכנו'!$C$5),OR('טכנו'!$C$6="",IFERROR(VALUE(M64),0)&gt;='טכנו'!$C$6),OR('טכנו'!$C$7="",IFERROR(VALUE(M64),0)&lt;='טכנו'!$C$7),A64&lt;&gt;""),ROW()-4,"")</f>
        <v/>
      </c>
    </row>
    <row r="65">
      <c r="B65">
        <f>IF(A65="","",IFERROR(INDEX('מלאי'!$B$3:$B$357,MATCH(A65,'מלאי'!$D$3:$D$357,0)),""))</f>
        <v/>
      </c>
      <c r="C65">
        <f>IF(A65="","",IFERROR(INDEX('מלאי'!$A$3:$A$357,MATCH(A65,'מלאי'!$D$3:$D$357,0)),""))</f>
        <v/>
      </c>
      <c r="D65">
        <f>IF(A65="","",IFERROR(INDEX('מלאי'!$H$3:$H$357,MATCH(A65,'מלאי'!$D$3:$D$357,0)),""))</f>
        <v/>
      </c>
      <c r="H65">
        <f>IF(A65="","",IFERROR(INDEX('מלאי'!$I$3:$I$357,MATCH(A65,'מלאי'!$D$3:$D$357,0)),""))</f>
        <v/>
      </c>
      <c r="M65">
        <f>IF(AND(E65="",I65=""),"",IF(H65="",E65,IF(I65="",E65,IFERROR((VALUE(E65)+VALUE(I65))/2,E65))))</f>
        <v/>
      </c>
      <c r="N65">
        <f>IF(AND(F65="",J65=""),"",IF(H65="",F65,IF(J65="",F65,IFERROR((VALUE(F65)+VALUE(J65))/2,F65))))</f>
        <v/>
      </c>
      <c r="O65">
        <f>IF(AND(M65="",N65=""),"",IF(M65="",N65,IF(N65="",M65,IFERROR((VALUE(M65)+VALUE(N65))/2,""))))</f>
        <v/>
      </c>
      <c r="P65">
        <f>IF(AND(OR('טכנו'!$C$3="הכל",IFERROR(VLOOKUP(D65,'הגדרות'!$A$2:$D$18,2,FALSE),"")='טכנו'!$C$3,IFERROR(VLOOKUP(D65,'הגדרות'!$A$2:$D$18,3,FALSE),"")='טכנו'!$C$3),OR('טכנו'!$C$4="הכל",C65='טכנו'!$C$4),OR('טכנו'!$C$5="הכל",L65='טכנו'!$C$5),OR('טכנו'!$C$6="",IFERROR(VALUE(M65),0)&gt;='טכנו'!$C$6),OR('טכנו'!$C$7="",IFERROR(VALUE(M65),0)&lt;='טכנו'!$C$7),A65&lt;&gt;""),ROW()-4,"")</f>
        <v/>
      </c>
    </row>
    <row r="66">
      <c r="B66">
        <f>IF(A66="","",IFERROR(INDEX('מלאי'!$B$3:$B$357,MATCH(A66,'מלאי'!$D$3:$D$357,0)),""))</f>
        <v/>
      </c>
      <c r="C66">
        <f>IF(A66="","",IFERROR(INDEX('מלאי'!$A$3:$A$357,MATCH(A66,'מלאי'!$D$3:$D$357,0)),""))</f>
        <v/>
      </c>
      <c r="D66">
        <f>IF(A66="","",IFERROR(INDEX('מלאי'!$H$3:$H$357,MATCH(A66,'מלאי'!$D$3:$D$357,0)),""))</f>
        <v/>
      </c>
      <c r="H66">
        <f>IF(A66="","",IFERROR(INDEX('מלאי'!$I$3:$I$357,MATCH(A66,'מלאי'!$D$3:$D$357,0)),""))</f>
        <v/>
      </c>
      <c r="M66">
        <f>IF(AND(E66="",I66=""),"",IF(H66="",E66,IF(I66="",E66,IFERROR((VALUE(E66)+VALUE(I66))/2,E66))))</f>
        <v/>
      </c>
      <c r="N66">
        <f>IF(AND(F66="",J66=""),"",IF(H66="",F66,IF(J66="",F66,IFERROR((VALUE(F66)+VALUE(J66))/2,F66))))</f>
        <v/>
      </c>
      <c r="O66">
        <f>IF(AND(M66="",N66=""),"",IF(M66="",N66,IF(N66="",M66,IFERROR((VALUE(M66)+VALUE(N66))/2,""))))</f>
        <v/>
      </c>
      <c r="P66">
        <f>IF(AND(OR('טכנו'!$C$3="הכל",IFERROR(VLOOKUP(D66,'הגדרות'!$A$2:$D$18,2,FALSE),"")='טכנו'!$C$3,IFERROR(VLOOKUP(D66,'הגדרות'!$A$2:$D$18,3,FALSE),"")='טכנו'!$C$3),OR('טכנו'!$C$4="הכל",C66='טכנו'!$C$4),OR('טכנו'!$C$5="הכל",L66='טכנו'!$C$5),OR('טכנו'!$C$6="",IFERROR(VALUE(M66),0)&gt;='טכנו'!$C$6),OR('טכנו'!$C$7="",IFERROR(VALUE(M66),0)&lt;='טכנו'!$C$7),A66&lt;&gt;""),ROW()-4,"")</f>
        <v/>
      </c>
    </row>
    <row r="67">
      <c r="B67">
        <f>IF(A67="","",IFERROR(INDEX('מלאי'!$B$3:$B$357,MATCH(A67,'מלאי'!$D$3:$D$357,0)),""))</f>
        <v/>
      </c>
      <c r="C67">
        <f>IF(A67="","",IFERROR(INDEX('מלאי'!$A$3:$A$357,MATCH(A67,'מלאי'!$D$3:$D$357,0)),""))</f>
        <v/>
      </c>
      <c r="D67">
        <f>IF(A67="","",IFERROR(INDEX('מלאי'!$H$3:$H$357,MATCH(A67,'מלאי'!$D$3:$D$357,0)),""))</f>
        <v/>
      </c>
      <c r="H67">
        <f>IF(A67="","",IFERROR(INDEX('מלאי'!$I$3:$I$357,MATCH(A67,'מלאי'!$D$3:$D$357,0)),""))</f>
        <v/>
      </c>
      <c r="M67">
        <f>IF(AND(E67="",I67=""),"",IF(H67="",E67,IF(I67="",E67,IFERROR((VALUE(E67)+VALUE(I67))/2,E67))))</f>
        <v/>
      </c>
      <c r="N67">
        <f>IF(AND(F67="",J67=""),"",IF(H67="",F67,IF(J67="",F67,IFERROR((VALUE(F67)+VALUE(J67))/2,F67))))</f>
        <v/>
      </c>
      <c r="O67">
        <f>IF(AND(M67="",N67=""),"",IF(M67="",N67,IF(N67="",M67,IFERROR((VALUE(M67)+VALUE(N67))/2,""))))</f>
        <v/>
      </c>
      <c r="P67">
        <f>IF(AND(OR('טכנו'!$C$3="הכל",IFERROR(VLOOKUP(D67,'הגדרות'!$A$2:$D$18,2,FALSE),"")='טכנו'!$C$3,IFERROR(VLOOKUP(D67,'הגדרות'!$A$2:$D$18,3,FALSE),"")='טכנו'!$C$3),OR('טכנו'!$C$4="הכל",C67='טכנו'!$C$4),OR('טכנו'!$C$5="הכל",L67='טכנו'!$C$5),OR('טכנו'!$C$6="",IFERROR(VALUE(M67),0)&gt;='טכנו'!$C$6),OR('טכנו'!$C$7="",IFERROR(VALUE(M67),0)&lt;='טכנו'!$C$7),A67&lt;&gt;""),ROW()-4,"")</f>
        <v/>
      </c>
    </row>
    <row r="68">
      <c r="B68">
        <f>IF(A68="","",IFERROR(INDEX('מלאי'!$B$3:$B$357,MATCH(A68,'מלאי'!$D$3:$D$357,0)),""))</f>
        <v/>
      </c>
      <c r="C68">
        <f>IF(A68="","",IFERROR(INDEX('מלאי'!$A$3:$A$357,MATCH(A68,'מלאי'!$D$3:$D$357,0)),""))</f>
        <v/>
      </c>
      <c r="D68">
        <f>IF(A68="","",IFERROR(INDEX('מלאי'!$H$3:$H$357,MATCH(A68,'מלאי'!$D$3:$D$357,0)),""))</f>
        <v/>
      </c>
      <c r="H68">
        <f>IF(A68="","",IFERROR(INDEX('מלאי'!$I$3:$I$357,MATCH(A68,'מלאי'!$D$3:$D$357,0)),""))</f>
        <v/>
      </c>
      <c r="M68">
        <f>IF(AND(E68="",I68=""),"",IF(H68="",E68,IF(I68="",E68,IFERROR((VALUE(E68)+VALUE(I68))/2,E68))))</f>
        <v/>
      </c>
      <c r="N68">
        <f>IF(AND(F68="",J68=""),"",IF(H68="",F68,IF(J68="",F68,IFERROR((VALUE(F68)+VALUE(J68))/2,F68))))</f>
        <v/>
      </c>
      <c r="O68">
        <f>IF(AND(M68="",N68=""),"",IF(M68="",N68,IF(N68="",M68,IFERROR((VALUE(M68)+VALUE(N68))/2,""))))</f>
        <v/>
      </c>
      <c r="P68">
        <f>IF(AND(OR('טכנו'!$C$3="הכל",IFERROR(VLOOKUP(D68,'הגדרות'!$A$2:$D$18,2,FALSE),"")='טכנו'!$C$3,IFERROR(VLOOKUP(D68,'הגדרות'!$A$2:$D$18,3,FALSE),"")='טכנו'!$C$3),OR('טכנו'!$C$4="הכל",C68='טכנו'!$C$4),OR('טכנו'!$C$5="הכל",L68='טכנו'!$C$5),OR('טכנו'!$C$6="",IFERROR(VALUE(M68),0)&gt;='טכנו'!$C$6),OR('טכנו'!$C$7="",IFERROR(VALUE(M68),0)&lt;='טכנו'!$C$7),A68&lt;&gt;""),ROW()-4,"")</f>
        <v/>
      </c>
    </row>
    <row r="69">
      <c r="B69">
        <f>IF(A69="","",IFERROR(INDEX('מלאי'!$B$3:$B$357,MATCH(A69,'מלאי'!$D$3:$D$357,0)),""))</f>
        <v/>
      </c>
      <c r="C69">
        <f>IF(A69="","",IFERROR(INDEX('מלאי'!$A$3:$A$357,MATCH(A69,'מלאי'!$D$3:$D$357,0)),""))</f>
        <v/>
      </c>
      <c r="D69">
        <f>IF(A69="","",IFERROR(INDEX('מלאי'!$H$3:$H$357,MATCH(A69,'מלאי'!$D$3:$D$357,0)),""))</f>
        <v/>
      </c>
      <c r="H69">
        <f>IF(A69="","",IFERROR(INDEX('מלאי'!$I$3:$I$357,MATCH(A69,'מלאי'!$D$3:$D$357,0)),""))</f>
        <v/>
      </c>
      <c r="M69">
        <f>IF(AND(E69="",I69=""),"",IF(H69="",E69,IF(I69="",E69,IFERROR((VALUE(E69)+VALUE(I69))/2,E69))))</f>
        <v/>
      </c>
      <c r="N69">
        <f>IF(AND(F69="",J69=""),"",IF(H69="",F69,IF(J69="",F69,IFERROR((VALUE(F69)+VALUE(J69))/2,F69))))</f>
        <v/>
      </c>
      <c r="O69">
        <f>IF(AND(M69="",N69=""),"",IF(M69="",N69,IF(N69="",M69,IFERROR((VALUE(M69)+VALUE(N69))/2,""))))</f>
        <v/>
      </c>
      <c r="P69">
        <f>IF(AND(OR('טכנו'!$C$3="הכל",IFERROR(VLOOKUP(D69,'הגדרות'!$A$2:$D$18,2,FALSE),"")='טכנו'!$C$3,IFERROR(VLOOKUP(D69,'הגדרות'!$A$2:$D$18,3,FALSE),"")='טכנו'!$C$3),OR('טכנו'!$C$4="הכל",C69='טכנו'!$C$4),OR('טכנו'!$C$5="הכל",L69='טכנו'!$C$5),OR('טכנו'!$C$6="",IFERROR(VALUE(M69),0)&gt;='טכנו'!$C$6),OR('טכנו'!$C$7="",IFERROR(VALUE(M69),0)&lt;='טכנו'!$C$7),A69&lt;&gt;""),ROW()-4,"")</f>
        <v/>
      </c>
    </row>
    <row r="70">
      <c r="B70">
        <f>IF(A70="","",IFERROR(INDEX('מלאי'!$B$3:$B$357,MATCH(A70,'מלאי'!$D$3:$D$357,0)),""))</f>
        <v/>
      </c>
      <c r="C70">
        <f>IF(A70="","",IFERROR(INDEX('מלאי'!$A$3:$A$357,MATCH(A70,'מלאי'!$D$3:$D$357,0)),""))</f>
        <v/>
      </c>
      <c r="D70">
        <f>IF(A70="","",IFERROR(INDEX('מלאי'!$H$3:$H$357,MATCH(A70,'מלאי'!$D$3:$D$357,0)),""))</f>
        <v/>
      </c>
      <c r="H70">
        <f>IF(A70="","",IFERROR(INDEX('מלאי'!$I$3:$I$357,MATCH(A70,'מלאי'!$D$3:$D$357,0)),""))</f>
        <v/>
      </c>
      <c r="M70">
        <f>IF(AND(E70="",I70=""),"",IF(H70="",E70,IF(I70="",E70,IFERROR((VALUE(E70)+VALUE(I70))/2,E70))))</f>
        <v/>
      </c>
      <c r="N70">
        <f>IF(AND(F70="",J70=""),"",IF(H70="",F70,IF(J70="",F70,IFERROR((VALUE(F70)+VALUE(J70))/2,F70))))</f>
        <v/>
      </c>
      <c r="O70">
        <f>IF(AND(M70="",N70=""),"",IF(M70="",N70,IF(N70="",M70,IFERROR((VALUE(M70)+VALUE(N70))/2,""))))</f>
        <v/>
      </c>
      <c r="P70">
        <f>IF(AND(OR('טכנו'!$C$3="הכל",IFERROR(VLOOKUP(D70,'הגדרות'!$A$2:$D$18,2,FALSE),"")='טכנו'!$C$3,IFERROR(VLOOKUP(D70,'הגדרות'!$A$2:$D$18,3,FALSE),"")='טכנו'!$C$3),OR('טכנו'!$C$4="הכל",C70='טכנו'!$C$4),OR('טכנו'!$C$5="הכל",L70='טכנו'!$C$5),OR('טכנו'!$C$6="",IFERROR(VALUE(M70),0)&gt;='טכנו'!$C$6),OR('טכנו'!$C$7="",IFERROR(VALUE(M70),0)&lt;='טכנו'!$C$7),A70&lt;&gt;""),ROW()-4,"")</f>
        <v/>
      </c>
    </row>
    <row r="71">
      <c r="B71">
        <f>IF(A71="","",IFERROR(INDEX('מלאי'!$B$3:$B$357,MATCH(A71,'מלאי'!$D$3:$D$357,0)),""))</f>
        <v/>
      </c>
      <c r="C71">
        <f>IF(A71="","",IFERROR(INDEX('מלאי'!$A$3:$A$357,MATCH(A71,'מלאי'!$D$3:$D$357,0)),""))</f>
        <v/>
      </c>
      <c r="D71">
        <f>IF(A71="","",IFERROR(INDEX('מלאי'!$H$3:$H$357,MATCH(A71,'מלאי'!$D$3:$D$357,0)),""))</f>
        <v/>
      </c>
      <c r="H71">
        <f>IF(A71="","",IFERROR(INDEX('מלאי'!$I$3:$I$357,MATCH(A71,'מלאי'!$D$3:$D$357,0)),""))</f>
        <v/>
      </c>
      <c r="M71">
        <f>IF(AND(E71="",I71=""),"",IF(H71="",E71,IF(I71="",E71,IFERROR((VALUE(E71)+VALUE(I71))/2,E71))))</f>
        <v/>
      </c>
      <c r="N71">
        <f>IF(AND(F71="",J71=""),"",IF(H71="",F71,IF(J71="",F71,IFERROR((VALUE(F71)+VALUE(J71))/2,F71))))</f>
        <v/>
      </c>
      <c r="O71">
        <f>IF(AND(M71="",N71=""),"",IF(M71="",N71,IF(N71="",M71,IFERROR((VALUE(M71)+VALUE(N71))/2,""))))</f>
        <v/>
      </c>
      <c r="P71">
        <f>IF(AND(OR('טכנו'!$C$3="הכל",IFERROR(VLOOKUP(D71,'הגדרות'!$A$2:$D$18,2,FALSE),"")='טכנו'!$C$3,IFERROR(VLOOKUP(D71,'הגדרות'!$A$2:$D$18,3,FALSE),"")='טכנו'!$C$3),OR('טכנו'!$C$4="הכל",C71='טכנו'!$C$4),OR('טכנו'!$C$5="הכל",L71='טכנו'!$C$5),OR('טכנו'!$C$6="",IFERROR(VALUE(M71),0)&gt;='טכנו'!$C$6),OR('טכנו'!$C$7="",IFERROR(VALUE(M71),0)&lt;='טכנו'!$C$7),A71&lt;&gt;""),ROW()-4,"")</f>
        <v/>
      </c>
    </row>
    <row r="72">
      <c r="B72">
        <f>IF(A72="","",IFERROR(INDEX('מלאי'!$B$3:$B$357,MATCH(A72,'מלאי'!$D$3:$D$357,0)),""))</f>
        <v/>
      </c>
      <c r="C72">
        <f>IF(A72="","",IFERROR(INDEX('מלאי'!$A$3:$A$357,MATCH(A72,'מלאי'!$D$3:$D$357,0)),""))</f>
        <v/>
      </c>
      <c r="D72">
        <f>IF(A72="","",IFERROR(INDEX('מלאי'!$H$3:$H$357,MATCH(A72,'מלאי'!$D$3:$D$357,0)),""))</f>
        <v/>
      </c>
      <c r="H72">
        <f>IF(A72="","",IFERROR(INDEX('מלאי'!$I$3:$I$357,MATCH(A72,'מלאי'!$D$3:$D$357,0)),""))</f>
        <v/>
      </c>
      <c r="M72">
        <f>IF(AND(E72="",I72=""),"",IF(H72="",E72,IF(I72="",E72,IFERROR((VALUE(E72)+VALUE(I72))/2,E72))))</f>
        <v/>
      </c>
      <c r="N72">
        <f>IF(AND(F72="",J72=""),"",IF(H72="",F72,IF(J72="",F72,IFERROR((VALUE(F72)+VALUE(J72))/2,F72))))</f>
        <v/>
      </c>
      <c r="O72">
        <f>IF(AND(M72="",N72=""),"",IF(M72="",N72,IF(N72="",M72,IFERROR((VALUE(M72)+VALUE(N72))/2,""))))</f>
        <v/>
      </c>
      <c r="P72">
        <f>IF(AND(OR('טכנו'!$C$3="הכל",IFERROR(VLOOKUP(D72,'הגדרות'!$A$2:$D$18,2,FALSE),"")='טכנו'!$C$3,IFERROR(VLOOKUP(D72,'הגדרות'!$A$2:$D$18,3,FALSE),"")='טכנו'!$C$3),OR('טכנו'!$C$4="הכל",C72='טכנו'!$C$4),OR('טכנו'!$C$5="הכל",L72='טכנו'!$C$5),OR('טכנו'!$C$6="",IFERROR(VALUE(M72),0)&gt;='טכנו'!$C$6),OR('טכנו'!$C$7="",IFERROR(VALUE(M72),0)&lt;='טכנו'!$C$7),A72&lt;&gt;""),ROW()-4,"")</f>
        <v/>
      </c>
    </row>
    <row r="73">
      <c r="B73">
        <f>IF(A73="","",IFERROR(INDEX('מלאי'!$B$3:$B$357,MATCH(A73,'מלאי'!$D$3:$D$357,0)),""))</f>
        <v/>
      </c>
      <c r="C73">
        <f>IF(A73="","",IFERROR(INDEX('מלאי'!$A$3:$A$357,MATCH(A73,'מלאי'!$D$3:$D$357,0)),""))</f>
        <v/>
      </c>
      <c r="D73">
        <f>IF(A73="","",IFERROR(INDEX('מלאי'!$H$3:$H$357,MATCH(A73,'מלאי'!$D$3:$D$357,0)),""))</f>
        <v/>
      </c>
      <c r="H73">
        <f>IF(A73="","",IFERROR(INDEX('מלאי'!$I$3:$I$357,MATCH(A73,'מלאי'!$D$3:$D$357,0)),""))</f>
        <v/>
      </c>
      <c r="M73">
        <f>IF(AND(E73="",I73=""),"",IF(H73="",E73,IF(I73="",E73,IFERROR((VALUE(E73)+VALUE(I73))/2,E73))))</f>
        <v/>
      </c>
      <c r="N73">
        <f>IF(AND(F73="",J73=""),"",IF(H73="",F73,IF(J73="",F73,IFERROR((VALUE(F73)+VALUE(J73))/2,F73))))</f>
        <v/>
      </c>
      <c r="O73">
        <f>IF(AND(M73="",N73=""),"",IF(M73="",N73,IF(N73="",M73,IFERROR((VALUE(M73)+VALUE(N73))/2,""))))</f>
        <v/>
      </c>
      <c r="P73">
        <f>IF(AND(OR('טכנו'!$C$3="הכל",IFERROR(VLOOKUP(D73,'הגדרות'!$A$2:$D$18,2,FALSE),"")='טכנו'!$C$3,IFERROR(VLOOKUP(D73,'הגדרות'!$A$2:$D$18,3,FALSE),"")='טכנו'!$C$3),OR('טכנו'!$C$4="הכל",C73='טכנו'!$C$4),OR('טכנו'!$C$5="הכל",L73='טכנו'!$C$5),OR('טכנו'!$C$6="",IFERROR(VALUE(M73),0)&gt;='טכנו'!$C$6),OR('טכנו'!$C$7="",IFERROR(VALUE(M73),0)&lt;='טכנו'!$C$7),A73&lt;&gt;""),ROW()-4,"")</f>
        <v/>
      </c>
    </row>
    <row r="74">
      <c r="B74">
        <f>IF(A74="","",IFERROR(INDEX('מלאי'!$B$3:$B$357,MATCH(A74,'מלאי'!$D$3:$D$357,0)),""))</f>
        <v/>
      </c>
      <c r="C74">
        <f>IF(A74="","",IFERROR(INDEX('מלאי'!$A$3:$A$357,MATCH(A74,'מלאי'!$D$3:$D$357,0)),""))</f>
        <v/>
      </c>
      <c r="D74">
        <f>IF(A74="","",IFERROR(INDEX('מלאי'!$H$3:$H$357,MATCH(A74,'מלאי'!$D$3:$D$357,0)),""))</f>
        <v/>
      </c>
      <c r="H74">
        <f>IF(A74="","",IFERROR(INDEX('מלאי'!$I$3:$I$357,MATCH(A74,'מלאי'!$D$3:$D$357,0)),""))</f>
        <v/>
      </c>
      <c r="M74">
        <f>IF(AND(E74="",I74=""),"",IF(H74="",E74,IF(I74="",E74,IFERROR((VALUE(E74)+VALUE(I74))/2,E74))))</f>
        <v/>
      </c>
      <c r="N74">
        <f>IF(AND(F74="",J74=""),"",IF(H74="",F74,IF(J74="",F74,IFERROR((VALUE(F74)+VALUE(J74))/2,F74))))</f>
        <v/>
      </c>
      <c r="O74">
        <f>IF(AND(M74="",N74=""),"",IF(M74="",N74,IF(N74="",M74,IFERROR((VALUE(M74)+VALUE(N74))/2,""))))</f>
        <v/>
      </c>
      <c r="P74">
        <f>IF(AND(OR('טכנו'!$C$3="הכל",IFERROR(VLOOKUP(D74,'הגדרות'!$A$2:$D$18,2,FALSE),"")='טכנו'!$C$3,IFERROR(VLOOKUP(D74,'הגדרות'!$A$2:$D$18,3,FALSE),"")='טכנו'!$C$3),OR('טכנו'!$C$4="הכל",C74='טכנו'!$C$4),OR('טכנו'!$C$5="הכל",L74='טכנו'!$C$5),OR('טכנו'!$C$6="",IFERROR(VALUE(M74),0)&gt;='טכנו'!$C$6),OR('טכנו'!$C$7="",IFERROR(VALUE(M74),0)&lt;='טכנו'!$C$7),A74&lt;&gt;""),ROW()-4,"")</f>
        <v/>
      </c>
    </row>
    <row r="75">
      <c r="B75">
        <f>IF(A75="","",IFERROR(INDEX('מלאי'!$B$3:$B$357,MATCH(A75,'מלאי'!$D$3:$D$357,0)),""))</f>
        <v/>
      </c>
      <c r="C75">
        <f>IF(A75="","",IFERROR(INDEX('מלאי'!$A$3:$A$357,MATCH(A75,'מלאי'!$D$3:$D$357,0)),""))</f>
        <v/>
      </c>
      <c r="D75">
        <f>IF(A75="","",IFERROR(INDEX('מלאי'!$H$3:$H$357,MATCH(A75,'מלאי'!$D$3:$D$357,0)),""))</f>
        <v/>
      </c>
      <c r="H75">
        <f>IF(A75="","",IFERROR(INDEX('מלאי'!$I$3:$I$357,MATCH(A75,'מלאי'!$D$3:$D$357,0)),""))</f>
        <v/>
      </c>
      <c r="M75">
        <f>IF(AND(E75="",I75=""),"",IF(H75="",E75,IF(I75="",E75,IFERROR((VALUE(E75)+VALUE(I75))/2,E75))))</f>
        <v/>
      </c>
      <c r="N75">
        <f>IF(AND(F75="",J75=""),"",IF(H75="",F75,IF(J75="",F75,IFERROR((VALUE(F75)+VALUE(J75))/2,F75))))</f>
        <v/>
      </c>
      <c r="O75">
        <f>IF(AND(M75="",N75=""),"",IF(M75="",N75,IF(N75="",M75,IFERROR((VALUE(M75)+VALUE(N75))/2,""))))</f>
        <v/>
      </c>
      <c r="P75">
        <f>IF(AND(OR('טכנו'!$C$3="הכל",IFERROR(VLOOKUP(D75,'הגדרות'!$A$2:$D$18,2,FALSE),"")='טכנו'!$C$3,IFERROR(VLOOKUP(D75,'הגדרות'!$A$2:$D$18,3,FALSE),"")='טכנו'!$C$3),OR('טכנו'!$C$4="הכל",C75='טכנו'!$C$4),OR('טכנו'!$C$5="הכל",L75='טכנו'!$C$5),OR('טכנו'!$C$6="",IFERROR(VALUE(M75),0)&gt;='טכנו'!$C$6),OR('טכנו'!$C$7="",IFERROR(VALUE(M75),0)&lt;='טכנו'!$C$7),A75&lt;&gt;""),ROW()-4,"")</f>
        <v/>
      </c>
    </row>
    <row r="76">
      <c r="B76">
        <f>IF(A76="","",IFERROR(INDEX('מלאי'!$B$3:$B$357,MATCH(A76,'מלאי'!$D$3:$D$357,0)),""))</f>
        <v/>
      </c>
      <c r="C76">
        <f>IF(A76="","",IFERROR(INDEX('מלאי'!$A$3:$A$357,MATCH(A76,'מלאי'!$D$3:$D$357,0)),""))</f>
        <v/>
      </c>
      <c r="D76">
        <f>IF(A76="","",IFERROR(INDEX('מלאי'!$H$3:$H$357,MATCH(A76,'מלאי'!$D$3:$D$357,0)),""))</f>
        <v/>
      </c>
      <c r="H76">
        <f>IF(A76="","",IFERROR(INDEX('מלאי'!$I$3:$I$357,MATCH(A76,'מלאי'!$D$3:$D$357,0)),""))</f>
        <v/>
      </c>
      <c r="M76">
        <f>IF(AND(E76="",I76=""),"",IF(H76="",E76,IF(I76="",E76,IFERROR((VALUE(E76)+VALUE(I76))/2,E76))))</f>
        <v/>
      </c>
      <c r="N76">
        <f>IF(AND(F76="",J76=""),"",IF(H76="",F76,IF(J76="",F76,IFERROR((VALUE(F76)+VALUE(J76))/2,F76))))</f>
        <v/>
      </c>
      <c r="O76">
        <f>IF(AND(M76="",N76=""),"",IF(M76="",N76,IF(N76="",M76,IFERROR((VALUE(M76)+VALUE(N76))/2,""))))</f>
        <v/>
      </c>
      <c r="P76">
        <f>IF(AND(OR('טכנו'!$C$3="הכל",IFERROR(VLOOKUP(D76,'הגדרות'!$A$2:$D$18,2,FALSE),"")='טכנו'!$C$3,IFERROR(VLOOKUP(D76,'הגדרות'!$A$2:$D$18,3,FALSE),"")='טכנו'!$C$3),OR('טכנו'!$C$4="הכל",C76='טכנו'!$C$4),OR('טכנו'!$C$5="הכל",L76='טכנו'!$C$5),OR('טכנו'!$C$6="",IFERROR(VALUE(M76),0)&gt;='טכנו'!$C$6),OR('טכנו'!$C$7="",IFERROR(VALUE(M76),0)&lt;='טכנו'!$C$7),A76&lt;&gt;""),ROW()-4,"")</f>
        <v/>
      </c>
    </row>
    <row r="77">
      <c r="B77">
        <f>IF(A77="","",IFERROR(INDEX('מלאי'!$B$3:$B$357,MATCH(A77,'מלאי'!$D$3:$D$357,0)),""))</f>
        <v/>
      </c>
      <c r="C77">
        <f>IF(A77="","",IFERROR(INDEX('מלאי'!$A$3:$A$357,MATCH(A77,'מלאי'!$D$3:$D$357,0)),""))</f>
        <v/>
      </c>
      <c r="D77">
        <f>IF(A77="","",IFERROR(INDEX('מלאי'!$H$3:$H$357,MATCH(A77,'מלאי'!$D$3:$D$357,0)),""))</f>
        <v/>
      </c>
      <c r="H77">
        <f>IF(A77="","",IFERROR(INDEX('מלאי'!$I$3:$I$357,MATCH(A77,'מלאי'!$D$3:$D$357,0)),""))</f>
        <v/>
      </c>
      <c r="M77">
        <f>IF(AND(E77="",I77=""),"",IF(H77="",E77,IF(I77="",E77,IFERROR((VALUE(E77)+VALUE(I77))/2,E77))))</f>
        <v/>
      </c>
      <c r="N77">
        <f>IF(AND(F77="",J77=""),"",IF(H77="",F77,IF(J77="",F77,IFERROR((VALUE(F77)+VALUE(J77))/2,F77))))</f>
        <v/>
      </c>
      <c r="O77">
        <f>IF(AND(M77="",N77=""),"",IF(M77="",N77,IF(N77="",M77,IFERROR((VALUE(M77)+VALUE(N77))/2,""))))</f>
        <v/>
      </c>
      <c r="P77">
        <f>IF(AND(OR('טכנו'!$C$3="הכל",IFERROR(VLOOKUP(D77,'הגדרות'!$A$2:$D$18,2,FALSE),"")='טכנו'!$C$3,IFERROR(VLOOKUP(D77,'הגדרות'!$A$2:$D$18,3,FALSE),"")='טכנו'!$C$3),OR('טכנו'!$C$4="הכל",C77='טכנו'!$C$4),OR('טכנו'!$C$5="הכל",L77='טכנו'!$C$5),OR('טכנו'!$C$6="",IFERROR(VALUE(M77),0)&gt;='טכנו'!$C$6),OR('טכנו'!$C$7="",IFERROR(VALUE(M77),0)&lt;='טכנו'!$C$7),A77&lt;&gt;""),ROW()-4,"")</f>
        <v/>
      </c>
    </row>
    <row r="78">
      <c r="B78">
        <f>IF(A78="","",IFERROR(INDEX('מלאי'!$B$3:$B$357,MATCH(A78,'מלאי'!$D$3:$D$357,0)),""))</f>
        <v/>
      </c>
      <c r="C78">
        <f>IF(A78="","",IFERROR(INDEX('מלאי'!$A$3:$A$357,MATCH(A78,'מלאי'!$D$3:$D$357,0)),""))</f>
        <v/>
      </c>
      <c r="D78">
        <f>IF(A78="","",IFERROR(INDEX('מלאי'!$H$3:$H$357,MATCH(A78,'מלאי'!$D$3:$D$357,0)),""))</f>
        <v/>
      </c>
      <c r="H78">
        <f>IF(A78="","",IFERROR(INDEX('מלאי'!$I$3:$I$357,MATCH(A78,'מלאי'!$D$3:$D$357,0)),""))</f>
        <v/>
      </c>
      <c r="M78">
        <f>IF(AND(E78="",I78=""),"",IF(H78="",E78,IF(I78="",E78,IFERROR((VALUE(E78)+VALUE(I78))/2,E78))))</f>
        <v/>
      </c>
      <c r="N78">
        <f>IF(AND(F78="",J78=""),"",IF(H78="",F78,IF(J78="",F78,IFERROR((VALUE(F78)+VALUE(J78))/2,F78))))</f>
        <v/>
      </c>
      <c r="O78">
        <f>IF(AND(M78="",N78=""),"",IF(M78="",N78,IF(N78="",M78,IFERROR((VALUE(M78)+VALUE(N78))/2,""))))</f>
        <v/>
      </c>
      <c r="P78">
        <f>IF(AND(OR('טכנו'!$C$3="הכל",IFERROR(VLOOKUP(D78,'הגדרות'!$A$2:$D$18,2,FALSE),"")='טכנו'!$C$3,IFERROR(VLOOKUP(D78,'הגדרות'!$A$2:$D$18,3,FALSE),"")='טכנו'!$C$3),OR('טכנו'!$C$4="הכל",C78='טכנו'!$C$4),OR('טכנו'!$C$5="הכל",L78='טכנו'!$C$5),OR('טכנו'!$C$6="",IFERROR(VALUE(M78),0)&gt;='טכנו'!$C$6),OR('טכנו'!$C$7="",IFERROR(VALUE(M78),0)&lt;='טכנו'!$C$7),A78&lt;&gt;""),ROW()-4,"")</f>
        <v/>
      </c>
    </row>
    <row r="79">
      <c r="B79">
        <f>IF(A79="","",IFERROR(INDEX('מלאי'!$B$3:$B$357,MATCH(A79,'מלאי'!$D$3:$D$357,0)),""))</f>
        <v/>
      </c>
      <c r="C79">
        <f>IF(A79="","",IFERROR(INDEX('מלאי'!$A$3:$A$357,MATCH(A79,'מלאי'!$D$3:$D$357,0)),""))</f>
        <v/>
      </c>
      <c r="D79">
        <f>IF(A79="","",IFERROR(INDEX('מלאי'!$H$3:$H$357,MATCH(A79,'מלאי'!$D$3:$D$357,0)),""))</f>
        <v/>
      </c>
      <c r="H79">
        <f>IF(A79="","",IFERROR(INDEX('מלאי'!$I$3:$I$357,MATCH(A79,'מלאי'!$D$3:$D$357,0)),""))</f>
        <v/>
      </c>
      <c r="M79">
        <f>IF(AND(E79="",I79=""),"",IF(H79="",E79,IF(I79="",E79,IFERROR((VALUE(E79)+VALUE(I79))/2,E79))))</f>
        <v/>
      </c>
      <c r="N79">
        <f>IF(AND(F79="",J79=""),"",IF(H79="",F79,IF(J79="",F79,IFERROR((VALUE(F79)+VALUE(J79))/2,F79))))</f>
        <v/>
      </c>
      <c r="O79">
        <f>IF(AND(M79="",N79=""),"",IF(M79="",N79,IF(N79="",M79,IFERROR((VALUE(M79)+VALUE(N79))/2,""))))</f>
        <v/>
      </c>
      <c r="P79">
        <f>IF(AND(OR('טכנו'!$C$3="הכל",IFERROR(VLOOKUP(D79,'הגדרות'!$A$2:$D$18,2,FALSE),"")='טכנו'!$C$3,IFERROR(VLOOKUP(D79,'הגדרות'!$A$2:$D$18,3,FALSE),"")='טכנו'!$C$3),OR('טכנו'!$C$4="הכל",C79='טכנו'!$C$4),OR('טכנו'!$C$5="הכל",L79='טכנו'!$C$5),OR('טכנו'!$C$6="",IFERROR(VALUE(M79),0)&gt;='טכנו'!$C$6),OR('טכנו'!$C$7="",IFERROR(VALUE(M79),0)&lt;='טכנו'!$C$7),A79&lt;&gt;""),ROW()-4,"")</f>
        <v/>
      </c>
    </row>
    <row r="80">
      <c r="B80">
        <f>IF(A80="","",IFERROR(INDEX('מלאי'!$B$3:$B$357,MATCH(A80,'מלאי'!$D$3:$D$357,0)),""))</f>
        <v/>
      </c>
      <c r="C80">
        <f>IF(A80="","",IFERROR(INDEX('מלאי'!$A$3:$A$357,MATCH(A80,'מלאי'!$D$3:$D$357,0)),""))</f>
        <v/>
      </c>
      <c r="D80">
        <f>IF(A80="","",IFERROR(INDEX('מלאי'!$H$3:$H$357,MATCH(A80,'מלאי'!$D$3:$D$357,0)),""))</f>
        <v/>
      </c>
      <c r="H80">
        <f>IF(A80="","",IFERROR(INDEX('מלאי'!$I$3:$I$357,MATCH(A80,'מלאי'!$D$3:$D$357,0)),""))</f>
        <v/>
      </c>
      <c r="M80">
        <f>IF(AND(E80="",I80=""),"",IF(H80="",E80,IF(I80="",E80,IFERROR((VALUE(E80)+VALUE(I80))/2,E80))))</f>
        <v/>
      </c>
      <c r="N80">
        <f>IF(AND(F80="",J80=""),"",IF(H80="",F80,IF(J80="",F80,IFERROR((VALUE(F80)+VALUE(J80))/2,F80))))</f>
        <v/>
      </c>
      <c r="O80">
        <f>IF(AND(M80="",N80=""),"",IF(M80="",N80,IF(N80="",M80,IFERROR((VALUE(M80)+VALUE(N80))/2,""))))</f>
        <v/>
      </c>
      <c r="P80">
        <f>IF(AND(OR('טכנו'!$C$3="הכל",IFERROR(VLOOKUP(D80,'הגדרות'!$A$2:$D$18,2,FALSE),"")='טכנו'!$C$3,IFERROR(VLOOKUP(D80,'הגדרות'!$A$2:$D$18,3,FALSE),"")='טכנו'!$C$3),OR('טכנו'!$C$4="הכל",C80='טכנו'!$C$4),OR('טכנו'!$C$5="הכל",L80='טכנו'!$C$5),OR('טכנו'!$C$6="",IFERROR(VALUE(M80),0)&gt;='טכנו'!$C$6),OR('טכנו'!$C$7="",IFERROR(VALUE(M80),0)&lt;='טכנו'!$C$7),A80&lt;&gt;""),ROW()-4,"")</f>
        <v/>
      </c>
    </row>
    <row r="81">
      <c r="B81">
        <f>IF(A81="","",IFERROR(INDEX('מלאי'!$B$3:$B$357,MATCH(A81,'מלאי'!$D$3:$D$357,0)),""))</f>
        <v/>
      </c>
      <c r="C81">
        <f>IF(A81="","",IFERROR(INDEX('מלאי'!$A$3:$A$357,MATCH(A81,'מלאי'!$D$3:$D$357,0)),""))</f>
        <v/>
      </c>
      <c r="D81">
        <f>IF(A81="","",IFERROR(INDEX('מלאי'!$H$3:$H$357,MATCH(A81,'מלאי'!$D$3:$D$357,0)),""))</f>
        <v/>
      </c>
      <c r="H81">
        <f>IF(A81="","",IFERROR(INDEX('מלאי'!$I$3:$I$357,MATCH(A81,'מלאי'!$D$3:$D$357,0)),""))</f>
        <v/>
      </c>
      <c r="M81">
        <f>IF(AND(E81="",I81=""),"",IF(H81="",E81,IF(I81="",E81,IFERROR((VALUE(E81)+VALUE(I81))/2,E81))))</f>
        <v/>
      </c>
      <c r="N81">
        <f>IF(AND(F81="",J81=""),"",IF(H81="",F81,IF(J81="",F81,IFERROR((VALUE(F81)+VALUE(J81))/2,F81))))</f>
        <v/>
      </c>
      <c r="O81">
        <f>IF(AND(M81="",N81=""),"",IF(M81="",N81,IF(N81="",M81,IFERROR((VALUE(M81)+VALUE(N81))/2,""))))</f>
        <v/>
      </c>
      <c r="P81">
        <f>IF(AND(OR('טכנו'!$C$3="הכל",IFERROR(VLOOKUP(D81,'הגדרות'!$A$2:$D$18,2,FALSE),"")='טכנו'!$C$3,IFERROR(VLOOKUP(D81,'הגדרות'!$A$2:$D$18,3,FALSE),"")='טכנו'!$C$3),OR('טכנו'!$C$4="הכל",C81='טכנו'!$C$4),OR('טכנו'!$C$5="הכל",L81='טכנו'!$C$5),OR('טכנו'!$C$6="",IFERROR(VALUE(M81),0)&gt;='טכנו'!$C$6),OR('טכנו'!$C$7="",IFERROR(VALUE(M81),0)&lt;='טכנו'!$C$7),A81&lt;&gt;""),ROW()-4,"")</f>
        <v/>
      </c>
    </row>
    <row r="82">
      <c r="B82">
        <f>IF(A82="","",IFERROR(INDEX('מלאי'!$B$3:$B$357,MATCH(A82,'מלאי'!$D$3:$D$357,0)),""))</f>
        <v/>
      </c>
      <c r="C82">
        <f>IF(A82="","",IFERROR(INDEX('מלאי'!$A$3:$A$357,MATCH(A82,'מלאי'!$D$3:$D$357,0)),""))</f>
        <v/>
      </c>
      <c r="D82">
        <f>IF(A82="","",IFERROR(INDEX('מלאי'!$H$3:$H$357,MATCH(A82,'מלאי'!$D$3:$D$357,0)),""))</f>
        <v/>
      </c>
      <c r="H82">
        <f>IF(A82="","",IFERROR(INDEX('מלאי'!$I$3:$I$357,MATCH(A82,'מלאי'!$D$3:$D$357,0)),""))</f>
        <v/>
      </c>
      <c r="M82">
        <f>IF(AND(E82="",I82=""),"",IF(H82="",E82,IF(I82="",E82,IFERROR((VALUE(E82)+VALUE(I82))/2,E82))))</f>
        <v/>
      </c>
      <c r="N82">
        <f>IF(AND(F82="",J82=""),"",IF(H82="",F82,IF(J82="",F82,IFERROR((VALUE(F82)+VALUE(J82))/2,F82))))</f>
        <v/>
      </c>
      <c r="O82">
        <f>IF(AND(M82="",N82=""),"",IF(M82="",N82,IF(N82="",M82,IFERROR((VALUE(M82)+VALUE(N82))/2,""))))</f>
        <v/>
      </c>
      <c r="P82">
        <f>IF(AND(OR('טכנו'!$C$3="הכל",IFERROR(VLOOKUP(D82,'הגדרות'!$A$2:$D$18,2,FALSE),"")='טכנו'!$C$3,IFERROR(VLOOKUP(D82,'הגדרות'!$A$2:$D$18,3,FALSE),"")='טכנו'!$C$3),OR('טכנו'!$C$4="הכל",C82='טכנו'!$C$4),OR('טכנו'!$C$5="הכל",L82='טכנו'!$C$5),OR('טכנו'!$C$6="",IFERROR(VALUE(M82),0)&gt;='טכנו'!$C$6),OR('טכנו'!$C$7="",IFERROR(VALUE(M82),0)&lt;='טכנו'!$C$7),A82&lt;&gt;""),ROW()-4,"")</f>
        <v/>
      </c>
    </row>
    <row r="83">
      <c r="B83">
        <f>IF(A83="","",IFERROR(INDEX('מלאי'!$B$3:$B$357,MATCH(A83,'מלאי'!$D$3:$D$357,0)),""))</f>
        <v/>
      </c>
      <c r="C83">
        <f>IF(A83="","",IFERROR(INDEX('מלאי'!$A$3:$A$357,MATCH(A83,'מלאי'!$D$3:$D$357,0)),""))</f>
        <v/>
      </c>
      <c r="D83">
        <f>IF(A83="","",IFERROR(INDEX('מלאי'!$H$3:$H$357,MATCH(A83,'מלאי'!$D$3:$D$357,0)),""))</f>
        <v/>
      </c>
      <c r="H83">
        <f>IF(A83="","",IFERROR(INDEX('מלאי'!$I$3:$I$357,MATCH(A83,'מלאי'!$D$3:$D$357,0)),""))</f>
        <v/>
      </c>
      <c r="M83">
        <f>IF(AND(E83="",I83=""),"",IF(H83="",E83,IF(I83="",E83,IFERROR((VALUE(E83)+VALUE(I83))/2,E83))))</f>
        <v/>
      </c>
      <c r="N83">
        <f>IF(AND(F83="",J83=""),"",IF(H83="",F83,IF(J83="",F83,IFERROR((VALUE(F83)+VALUE(J83))/2,F83))))</f>
        <v/>
      </c>
      <c r="O83">
        <f>IF(AND(M83="",N83=""),"",IF(M83="",N83,IF(N83="",M83,IFERROR((VALUE(M83)+VALUE(N83))/2,""))))</f>
        <v/>
      </c>
      <c r="P83">
        <f>IF(AND(OR('טכנו'!$C$3="הכל",IFERROR(VLOOKUP(D83,'הגדרות'!$A$2:$D$18,2,FALSE),"")='טכנו'!$C$3,IFERROR(VLOOKUP(D83,'הגדרות'!$A$2:$D$18,3,FALSE),"")='טכנו'!$C$3),OR('טכנו'!$C$4="הכל",C83='טכנו'!$C$4),OR('טכנו'!$C$5="הכל",L83='טכנו'!$C$5),OR('טכנו'!$C$6="",IFERROR(VALUE(M83),0)&gt;='טכנו'!$C$6),OR('טכנו'!$C$7="",IFERROR(VALUE(M83),0)&lt;='טכנו'!$C$7),A83&lt;&gt;""),ROW()-4,"")</f>
        <v/>
      </c>
    </row>
    <row r="84">
      <c r="B84">
        <f>IF(A84="","",IFERROR(INDEX('מלאי'!$B$3:$B$357,MATCH(A84,'מלאי'!$D$3:$D$357,0)),""))</f>
        <v/>
      </c>
      <c r="C84">
        <f>IF(A84="","",IFERROR(INDEX('מלאי'!$A$3:$A$357,MATCH(A84,'מלאי'!$D$3:$D$357,0)),""))</f>
        <v/>
      </c>
      <c r="D84">
        <f>IF(A84="","",IFERROR(INDEX('מלאי'!$H$3:$H$357,MATCH(A84,'מלאי'!$D$3:$D$357,0)),""))</f>
        <v/>
      </c>
      <c r="H84">
        <f>IF(A84="","",IFERROR(INDEX('מלאי'!$I$3:$I$357,MATCH(A84,'מלאי'!$D$3:$D$357,0)),""))</f>
        <v/>
      </c>
      <c r="M84">
        <f>IF(AND(E84="",I84=""),"",IF(H84="",E84,IF(I84="",E84,IFERROR((VALUE(E84)+VALUE(I84))/2,E84))))</f>
        <v/>
      </c>
      <c r="N84">
        <f>IF(AND(F84="",J84=""),"",IF(H84="",F84,IF(J84="",F84,IFERROR((VALUE(F84)+VALUE(J84))/2,F84))))</f>
        <v/>
      </c>
      <c r="O84">
        <f>IF(AND(M84="",N84=""),"",IF(M84="",N84,IF(N84="",M84,IFERROR((VALUE(M84)+VALUE(N84))/2,""))))</f>
        <v/>
      </c>
      <c r="P84">
        <f>IF(AND(OR('טכנו'!$C$3="הכל",IFERROR(VLOOKUP(D84,'הגדרות'!$A$2:$D$18,2,FALSE),"")='טכנו'!$C$3,IFERROR(VLOOKUP(D84,'הגדרות'!$A$2:$D$18,3,FALSE),"")='טכנו'!$C$3),OR('טכנו'!$C$4="הכל",C84='טכנו'!$C$4),OR('טכנו'!$C$5="הכל",L84='טכנו'!$C$5),OR('טכנו'!$C$6="",IFERROR(VALUE(M84),0)&gt;='טכנו'!$C$6),OR('טכנו'!$C$7="",IFERROR(VALUE(M84),0)&lt;='טכנו'!$C$7),A84&lt;&gt;""),ROW()-4,"")</f>
        <v/>
      </c>
    </row>
    <row r="85">
      <c r="B85">
        <f>IF(A85="","",IFERROR(INDEX('מלאי'!$B$3:$B$357,MATCH(A85,'מלאי'!$D$3:$D$357,0)),""))</f>
        <v/>
      </c>
      <c r="C85">
        <f>IF(A85="","",IFERROR(INDEX('מלאי'!$A$3:$A$357,MATCH(A85,'מלאי'!$D$3:$D$357,0)),""))</f>
        <v/>
      </c>
      <c r="D85">
        <f>IF(A85="","",IFERROR(INDEX('מלאי'!$H$3:$H$357,MATCH(A85,'מלאי'!$D$3:$D$357,0)),""))</f>
        <v/>
      </c>
      <c r="H85">
        <f>IF(A85="","",IFERROR(INDEX('מלאי'!$I$3:$I$357,MATCH(A85,'מלאי'!$D$3:$D$357,0)),""))</f>
        <v/>
      </c>
      <c r="M85">
        <f>IF(AND(E85="",I85=""),"",IF(H85="",E85,IF(I85="",E85,IFERROR((VALUE(E85)+VALUE(I85))/2,E85))))</f>
        <v/>
      </c>
      <c r="N85">
        <f>IF(AND(F85="",J85=""),"",IF(H85="",F85,IF(J85="",F85,IFERROR((VALUE(F85)+VALUE(J85))/2,F85))))</f>
        <v/>
      </c>
      <c r="O85">
        <f>IF(AND(M85="",N85=""),"",IF(M85="",N85,IF(N85="",M85,IFERROR((VALUE(M85)+VALUE(N85))/2,""))))</f>
        <v/>
      </c>
      <c r="P85">
        <f>IF(AND(OR('טכנו'!$C$3="הכל",IFERROR(VLOOKUP(D85,'הגדרות'!$A$2:$D$18,2,FALSE),"")='טכנו'!$C$3,IFERROR(VLOOKUP(D85,'הגדרות'!$A$2:$D$18,3,FALSE),"")='טכנו'!$C$3),OR('טכנו'!$C$4="הכל",C85='טכנו'!$C$4),OR('טכנו'!$C$5="הכל",L85='טכנו'!$C$5),OR('טכנו'!$C$6="",IFERROR(VALUE(M85),0)&gt;='טכנו'!$C$6),OR('טכנו'!$C$7="",IFERROR(VALUE(M85),0)&lt;='טכנו'!$C$7),A85&lt;&gt;""),ROW()-4,"")</f>
        <v/>
      </c>
    </row>
    <row r="86">
      <c r="B86">
        <f>IF(A86="","",IFERROR(INDEX('מלאי'!$B$3:$B$357,MATCH(A86,'מלאי'!$D$3:$D$357,0)),""))</f>
        <v/>
      </c>
      <c r="C86">
        <f>IF(A86="","",IFERROR(INDEX('מלאי'!$A$3:$A$357,MATCH(A86,'מלאי'!$D$3:$D$357,0)),""))</f>
        <v/>
      </c>
      <c r="D86">
        <f>IF(A86="","",IFERROR(INDEX('מלאי'!$H$3:$H$357,MATCH(A86,'מלאי'!$D$3:$D$357,0)),""))</f>
        <v/>
      </c>
      <c r="H86">
        <f>IF(A86="","",IFERROR(INDEX('מלאי'!$I$3:$I$357,MATCH(A86,'מלאי'!$D$3:$D$357,0)),""))</f>
        <v/>
      </c>
      <c r="M86">
        <f>IF(AND(E86="",I86=""),"",IF(H86="",E86,IF(I86="",E86,IFERROR((VALUE(E86)+VALUE(I86))/2,E86))))</f>
        <v/>
      </c>
      <c r="N86">
        <f>IF(AND(F86="",J86=""),"",IF(H86="",F86,IF(J86="",F86,IFERROR((VALUE(F86)+VALUE(J86))/2,F86))))</f>
        <v/>
      </c>
      <c r="O86">
        <f>IF(AND(M86="",N86=""),"",IF(M86="",N86,IF(N86="",M86,IFERROR((VALUE(M86)+VALUE(N86))/2,""))))</f>
        <v/>
      </c>
      <c r="P86">
        <f>IF(AND(OR('טכנו'!$C$3="הכל",IFERROR(VLOOKUP(D86,'הגדרות'!$A$2:$D$18,2,FALSE),"")='טכנו'!$C$3,IFERROR(VLOOKUP(D86,'הגדרות'!$A$2:$D$18,3,FALSE),"")='טכנו'!$C$3),OR('טכנו'!$C$4="הכל",C86='טכנו'!$C$4),OR('טכנו'!$C$5="הכל",L86='טכנו'!$C$5),OR('טכנו'!$C$6="",IFERROR(VALUE(M86),0)&gt;='טכנו'!$C$6),OR('טכנו'!$C$7="",IFERROR(VALUE(M86),0)&lt;='טכנו'!$C$7),A86&lt;&gt;""),ROW()-4,"")</f>
        <v/>
      </c>
    </row>
    <row r="87">
      <c r="B87">
        <f>IF(A87="","",IFERROR(INDEX('מלאי'!$B$3:$B$357,MATCH(A87,'מלאי'!$D$3:$D$357,0)),""))</f>
        <v/>
      </c>
      <c r="C87">
        <f>IF(A87="","",IFERROR(INDEX('מלאי'!$A$3:$A$357,MATCH(A87,'מלאי'!$D$3:$D$357,0)),""))</f>
        <v/>
      </c>
      <c r="D87">
        <f>IF(A87="","",IFERROR(INDEX('מלאי'!$H$3:$H$357,MATCH(A87,'מלאי'!$D$3:$D$357,0)),""))</f>
        <v/>
      </c>
      <c r="H87">
        <f>IF(A87="","",IFERROR(INDEX('מלאי'!$I$3:$I$357,MATCH(A87,'מלאי'!$D$3:$D$357,0)),""))</f>
        <v/>
      </c>
      <c r="M87">
        <f>IF(AND(E87="",I87=""),"",IF(H87="",E87,IF(I87="",E87,IFERROR((VALUE(E87)+VALUE(I87))/2,E87))))</f>
        <v/>
      </c>
      <c r="N87">
        <f>IF(AND(F87="",J87=""),"",IF(H87="",F87,IF(J87="",F87,IFERROR((VALUE(F87)+VALUE(J87))/2,F87))))</f>
        <v/>
      </c>
      <c r="O87">
        <f>IF(AND(M87="",N87=""),"",IF(M87="",N87,IF(N87="",M87,IFERROR((VALUE(M87)+VALUE(N87))/2,""))))</f>
        <v/>
      </c>
      <c r="P87">
        <f>IF(AND(OR('טכנו'!$C$3="הכל",IFERROR(VLOOKUP(D87,'הגדרות'!$A$2:$D$18,2,FALSE),"")='טכנו'!$C$3,IFERROR(VLOOKUP(D87,'הגדרות'!$A$2:$D$18,3,FALSE),"")='טכנו'!$C$3),OR('טכנו'!$C$4="הכל",C87='טכנו'!$C$4),OR('טכנו'!$C$5="הכל",L87='טכנו'!$C$5),OR('טכנו'!$C$6="",IFERROR(VALUE(M87),0)&gt;='טכנו'!$C$6),OR('טכנו'!$C$7="",IFERROR(VALUE(M87),0)&lt;='טכנו'!$C$7),A87&lt;&gt;""),ROW()-4,"")</f>
        <v/>
      </c>
    </row>
    <row r="88">
      <c r="B88">
        <f>IF(A88="","",IFERROR(INDEX('מלאי'!$B$3:$B$357,MATCH(A88,'מלאי'!$D$3:$D$357,0)),""))</f>
        <v/>
      </c>
      <c r="C88">
        <f>IF(A88="","",IFERROR(INDEX('מלאי'!$A$3:$A$357,MATCH(A88,'מלאי'!$D$3:$D$357,0)),""))</f>
        <v/>
      </c>
      <c r="D88">
        <f>IF(A88="","",IFERROR(INDEX('מלאי'!$H$3:$H$357,MATCH(A88,'מלאי'!$D$3:$D$357,0)),""))</f>
        <v/>
      </c>
      <c r="H88">
        <f>IF(A88="","",IFERROR(INDEX('מלאי'!$I$3:$I$357,MATCH(A88,'מלאי'!$D$3:$D$357,0)),""))</f>
        <v/>
      </c>
      <c r="M88">
        <f>IF(AND(E88="",I88=""),"",IF(H88="",E88,IF(I88="",E88,IFERROR((VALUE(E88)+VALUE(I88))/2,E88))))</f>
        <v/>
      </c>
      <c r="N88">
        <f>IF(AND(F88="",J88=""),"",IF(H88="",F88,IF(J88="",F88,IFERROR((VALUE(F88)+VALUE(J88))/2,F88))))</f>
        <v/>
      </c>
      <c r="O88">
        <f>IF(AND(M88="",N88=""),"",IF(M88="",N88,IF(N88="",M88,IFERROR((VALUE(M88)+VALUE(N88))/2,""))))</f>
        <v/>
      </c>
      <c r="P88">
        <f>IF(AND(OR('טכנו'!$C$3="הכל",IFERROR(VLOOKUP(D88,'הגדרות'!$A$2:$D$18,2,FALSE),"")='טכנו'!$C$3,IFERROR(VLOOKUP(D88,'הגדרות'!$A$2:$D$18,3,FALSE),"")='טכנו'!$C$3),OR('טכנו'!$C$4="הכל",C88='טכנו'!$C$4),OR('טכנו'!$C$5="הכל",L88='טכנו'!$C$5),OR('טכנו'!$C$6="",IFERROR(VALUE(M88),0)&gt;='טכנו'!$C$6),OR('טכנו'!$C$7="",IFERROR(VALUE(M88),0)&lt;='טכנו'!$C$7),A88&lt;&gt;""),ROW()-4,"")</f>
        <v/>
      </c>
    </row>
    <row r="89">
      <c r="B89">
        <f>IF(A89="","",IFERROR(INDEX('מלאי'!$B$3:$B$357,MATCH(A89,'מלאי'!$D$3:$D$357,0)),""))</f>
        <v/>
      </c>
      <c r="C89">
        <f>IF(A89="","",IFERROR(INDEX('מלאי'!$A$3:$A$357,MATCH(A89,'מלאי'!$D$3:$D$357,0)),""))</f>
        <v/>
      </c>
      <c r="D89">
        <f>IF(A89="","",IFERROR(INDEX('מלאי'!$H$3:$H$357,MATCH(A89,'מלאי'!$D$3:$D$357,0)),""))</f>
        <v/>
      </c>
      <c r="H89">
        <f>IF(A89="","",IFERROR(INDEX('מלאי'!$I$3:$I$357,MATCH(A89,'מלאי'!$D$3:$D$357,0)),""))</f>
        <v/>
      </c>
      <c r="M89">
        <f>IF(AND(E89="",I89=""),"",IF(H89="",E89,IF(I89="",E89,IFERROR((VALUE(E89)+VALUE(I89))/2,E89))))</f>
        <v/>
      </c>
      <c r="N89">
        <f>IF(AND(F89="",J89=""),"",IF(H89="",F89,IF(J89="",F89,IFERROR((VALUE(F89)+VALUE(J89))/2,F89))))</f>
        <v/>
      </c>
      <c r="O89">
        <f>IF(AND(M89="",N89=""),"",IF(M89="",N89,IF(N89="",M89,IFERROR((VALUE(M89)+VALUE(N89))/2,""))))</f>
        <v/>
      </c>
      <c r="P89">
        <f>IF(AND(OR('טכנו'!$C$3="הכל",IFERROR(VLOOKUP(D89,'הגדרות'!$A$2:$D$18,2,FALSE),"")='טכנו'!$C$3,IFERROR(VLOOKUP(D89,'הגדרות'!$A$2:$D$18,3,FALSE),"")='טכנו'!$C$3),OR('טכנו'!$C$4="הכל",C89='טכנו'!$C$4),OR('טכנו'!$C$5="הכל",L89='טכנו'!$C$5),OR('טכנו'!$C$6="",IFERROR(VALUE(M89),0)&gt;='טכנו'!$C$6),OR('טכנו'!$C$7="",IFERROR(VALUE(M89),0)&lt;='טכנו'!$C$7),A89&lt;&gt;""),ROW()-4,"")</f>
        <v/>
      </c>
    </row>
    <row r="90">
      <c r="B90">
        <f>IF(A90="","",IFERROR(INDEX('מלאי'!$B$3:$B$357,MATCH(A90,'מלאי'!$D$3:$D$357,0)),""))</f>
        <v/>
      </c>
      <c r="C90">
        <f>IF(A90="","",IFERROR(INDEX('מלאי'!$A$3:$A$357,MATCH(A90,'מלאי'!$D$3:$D$357,0)),""))</f>
        <v/>
      </c>
      <c r="D90">
        <f>IF(A90="","",IFERROR(INDEX('מלאי'!$H$3:$H$357,MATCH(A90,'מלאי'!$D$3:$D$357,0)),""))</f>
        <v/>
      </c>
      <c r="H90">
        <f>IF(A90="","",IFERROR(INDEX('מלאי'!$I$3:$I$357,MATCH(A90,'מלאי'!$D$3:$D$357,0)),""))</f>
        <v/>
      </c>
      <c r="M90">
        <f>IF(AND(E90="",I90=""),"",IF(H90="",E90,IF(I90="",E90,IFERROR((VALUE(E90)+VALUE(I90))/2,E90))))</f>
        <v/>
      </c>
      <c r="N90">
        <f>IF(AND(F90="",J90=""),"",IF(H90="",F90,IF(J90="",F90,IFERROR((VALUE(F90)+VALUE(J90))/2,F90))))</f>
        <v/>
      </c>
      <c r="O90">
        <f>IF(AND(M90="",N90=""),"",IF(M90="",N90,IF(N90="",M90,IFERROR((VALUE(M90)+VALUE(N90))/2,""))))</f>
        <v/>
      </c>
      <c r="P90">
        <f>IF(AND(OR('טכנו'!$C$3="הכל",IFERROR(VLOOKUP(D90,'הגדרות'!$A$2:$D$18,2,FALSE),"")='טכנו'!$C$3,IFERROR(VLOOKUP(D90,'הגדרות'!$A$2:$D$18,3,FALSE),"")='טכנו'!$C$3),OR('טכנו'!$C$4="הכל",C90='טכנו'!$C$4),OR('טכנו'!$C$5="הכל",L90='טכנו'!$C$5),OR('טכנו'!$C$6="",IFERROR(VALUE(M90),0)&gt;='טכנו'!$C$6),OR('טכנו'!$C$7="",IFERROR(VALUE(M90),0)&lt;='טכנו'!$C$7),A90&lt;&gt;""),ROW()-4,"")</f>
        <v/>
      </c>
    </row>
    <row r="91">
      <c r="B91">
        <f>IF(A91="","",IFERROR(INDEX('מלאי'!$B$3:$B$357,MATCH(A91,'מלאי'!$D$3:$D$357,0)),""))</f>
        <v/>
      </c>
      <c r="C91">
        <f>IF(A91="","",IFERROR(INDEX('מלאי'!$A$3:$A$357,MATCH(A91,'מלאי'!$D$3:$D$357,0)),""))</f>
        <v/>
      </c>
      <c r="D91">
        <f>IF(A91="","",IFERROR(INDEX('מלאי'!$H$3:$H$357,MATCH(A91,'מלאי'!$D$3:$D$357,0)),""))</f>
        <v/>
      </c>
      <c r="H91">
        <f>IF(A91="","",IFERROR(INDEX('מלאי'!$I$3:$I$357,MATCH(A91,'מלאי'!$D$3:$D$357,0)),""))</f>
        <v/>
      </c>
      <c r="M91">
        <f>IF(AND(E91="",I91=""),"",IF(H91="",E91,IF(I91="",E91,IFERROR((VALUE(E91)+VALUE(I91))/2,E91))))</f>
        <v/>
      </c>
      <c r="N91">
        <f>IF(AND(F91="",J91=""),"",IF(H91="",F91,IF(J91="",F91,IFERROR((VALUE(F91)+VALUE(J91))/2,F91))))</f>
        <v/>
      </c>
      <c r="O91">
        <f>IF(AND(M91="",N91=""),"",IF(M91="",N91,IF(N91="",M91,IFERROR((VALUE(M91)+VALUE(N91))/2,""))))</f>
        <v/>
      </c>
      <c r="P91">
        <f>IF(AND(OR('טכנו'!$C$3="הכל",IFERROR(VLOOKUP(D91,'הגדרות'!$A$2:$D$18,2,FALSE),"")='טכנו'!$C$3,IFERROR(VLOOKUP(D91,'הגדרות'!$A$2:$D$18,3,FALSE),"")='טכנו'!$C$3),OR('טכנו'!$C$4="הכל",C91='טכנו'!$C$4),OR('טכנו'!$C$5="הכל",L91='טכנו'!$C$5),OR('טכנו'!$C$6="",IFERROR(VALUE(M91),0)&gt;='טכנו'!$C$6),OR('טכנו'!$C$7="",IFERROR(VALUE(M91),0)&lt;='טכנו'!$C$7),A91&lt;&gt;""),ROW()-4,"")</f>
        <v/>
      </c>
    </row>
    <row r="92">
      <c r="B92">
        <f>IF(A92="","",IFERROR(INDEX('מלאי'!$B$3:$B$357,MATCH(A92,'מלאי'!$D$3:$D$357,0)),""))</f>
        <v/>
      </c>
      <c r="C92">
        <f>IF(A92="","",IFERROR(INDEX('מלאי'!$A$3:$A$357,MATCH(A92,'מלאי'!$D$3:$D$357,0)),""))</f>
        <v/>
      </c>
      <c r="D92">
        <f>IF(A92="","",IFERROR(INDEX('מלאי'!$H$3:$H$357,MATCH(A92,'מלאי'!$D$3:$D$357,0)),""))</f>
        <v/>
      </c>
      <c r="H92">
        <f>IF(A92="","",IFERROR(INDEX('מלאי'!$I$3:$I$357,MATCH(A92,'מלאי'!$D$3:$D$357,0)),""))</f>
        <v/>
      </c>
      <c r="M92">
        <f>IF(AND(E92="",I92=""),"",IF(H92="",E92,IF(I92="",E92,IFERROR((VALUE(E92)+VALUE(I92))/2,E92))))</f>
        <v/>
      </c>
      <c r="N92">
        <f>IF(AND(F92="",J92=""),"",IF(H92="",F92,IF(J92="",F92,IFERROR((VALUE(F92)+VALUE(J92))/2,F92))))</f>
        <v/>
      </c>
      <c r="O92">
        <f>IF(AND(M92="",N92=""),"",IF(M92="",N92,IF(N92="",M92,IFERROR((VALUE(M92)+VALUE(N92))/2,""))))</f>
        <v/>
      </c>
      <c r="P92">
        <f>IF(AND(OR('טכנו'!$C$3="הכל",IFERROR(VLOOKUP(D92,'הגדרות'!$A$2:$D$18,2,FALSE),"")='טכנו'!$C$3,IFERROR(VLOOKUP(D92,'הגדרות'!$A$2:$D$18,3,FALSE),"")='טכנו'!$C$3),OR('טכנו'!$C$4="הכל",C92='טכנו'!$C$4),OR('טכנו'!$C$5="הכל",L92='טכנו'!$C$5),OR('טכנו'!$C$6="",IFERROR(VALUE(M92),0)&gt;='טכנו'!$C$6),OR('טכנו'!$C$7="",IFERROR(VALUE(M92),0)&lt;='טכנו'!$C$7),A92&lt;&gt;""),ROW()-4,"")</f>
        <v/>
      </c>
    </row>
    <row r="93">
      <c r="B93">
        <f>IF(A93="","",IFERROR(INDEX('מלאי'!$B$3:$B$357,MATCH(A93,'מלאי'!$D$3:$D$357,0)),""))</f>
        <v/>
      </c>
      <c r="C93">
        <f>IF(A93="","",IFERROR(INDEX('מלאי'!$A$3:$A$357,MATCH(A93,'מלאי'!$D$3:$D$357,0)),""))</f>
        <v/>
      </c>
      <c r="D93">
        <f>IF(A93="","",IFERROR(INDEX('מלאי'!$H$3:$H$357,MATCH(A93,'מלאי'!$D$3:$D$357,0)),""))</f>
        <v/>
      </c>
      <c r="H93">
        <f>IF(A93="","",IFERROR(INDEX('מלאי'!$I$3:$I$357,MATCH(A93,'מלאי'!$D$3:$D$357,0)),""))</f>
        <v/>
      </c>
      <c r="M93">
        <f>IF(AND(E93="",I93=""),"",IF(H93="",E93,IF(I93="",E93,IFERROR((VALUE(E93)+VALUE(I93))/2,E93))))</f>
        <v/>
      </c>
      <c r="N93">
        <f>IF(AND(F93="",J93=""),"",IF(H93="",F93,IF(J93="",F93,IFERROR((VALUE(F93)+VALUE(J93))/2,F93))))</f>
        <v/>
      </c>
      <c r="O93">
        <f>IF(AND(M93="",N93=""),"",IF(M93="",N93,IF(N93="",M93,IFERROR((VALUE(M93)+VALUE(N93))/2,""))))</f>
        <v/>
      </c>
      <c r="P93">
        <f>IF(AND(OR('טכנו'!$C$3="הכל",IFERROR(VLOOKUP(D93,'הגדרות'!$A$2:$D$18,2,FALSE),"")='טכנו'!$C$3,IFERROR(VLOOKUP(D93,'הגדרות'!$A$2:$D$18,3,FALSE),"")='טכנו'!$C$3),OR('טכנו'!$C$4="הכל",C93='טכנו'!$C$4),OR('טכנו'!$C$5="הכל",L93='טכנו'!$C$5),OR('טכנו'!$C$6="",IFERROR(VALUE(M93),0)&gt;='טכנו'!$C$6),OR('טכנו'!$C$7="",IFERROR(VALUE(M93),0)&lt;='טכנו'!$C$7),A93&lt;&gt;""),ROW()-4,"")</f>
        <v/>
      </c>
    </row>
    <row r="94">
      <c r="B94">
        <f>IF(A94="","",IFERROR(INDEX('מלאי'!$B$3:$B$357,MATCH(A94,'מלאי'!$D$3:$D$357,0)),""))</f>
        <v/>
      </c>
      <c r="C94">
        <f>IF(A94="","",IFERROR(INDEX('מלאי'!$A$3:$A$357,MATCH(A94,'מלאי'!$D$3:$D$357,0)),""))</f>
        <v/>
      </c>
      <c r="D94">
        <f>IF(A94="","",IFERROR(INDEX('מלאי'!$H$3:$H$357,MATCH(A94,'מלאי'!$D$3:$D$357,0)),""))</f>
        <v/>
      </c>
      <c r="H94">
        <f>IF(A94="","",IFERROR(INDEX('מלאי'!$I$3:$I$357,MATCH(A94,'מלאי'!$D$3:$D$357,0)),""))</f>
        <v/>
      </c>
      <c r="M94">
        <f>IF(AND(E94="",I94=""),"",IF(H94="",E94,IF(I94="",E94,IFERROR((VALUE(E94)+VALUE(I94))/2,E94))))</f>
        <v/>
      </c>
      <c r="N94">
        <f>IF(AND(F94="",J94=""),"",IF(H94="",F94,IF(J94="",F94,IFERROR((VALUE(F94)+VALUE(J94))/2,F94))))</f>
        <v/>
      </c>
      <c r="O94">
        <f>IF(AND(M94="",N94=""),"",IF(M94="",N94,IF(N94="",M94,IFERROR((VALUE(M94)+VALUE(N94))/2,""))))</f>
        <v/>
      </c>
      <c r="P94">
        <f>IF(AND(OR('טכנו'!$C$3="הכל",IFERROR(VLOOKUP(D94,'הגדרות'!$A$2:$D$18,2,FALSE),"")='טכנו'!$C$3,IFERROR(VLOOKUP(D94,'הגדרות'!$A$2:$D$18,3,FALSE),"")='טכנו'!$C$3),OR('טכנו'!$C$4="הכל",C94='טכנו'!$C$4),OR('טכנו'!$C$5="הכל",L94='טכנו'!$C$5),OR('טכנו'!$C$6="",IFERROR(VALUE(M94),0)&gt;='טכנו'!$C$6),OR('טכנו'!$C$7="",IFERROR(VALUE(M94),0)&lt;='טכנו'!$C$7),A94&lt;&gt;""),ROW()-4,"")</f>
        <v/>
      </c>
    </row>
    <row r="95">
      <c r="B95">
        <f>IF(A95="","",IFERROR(INDEX('מלאי'!$B$3:$B$357,MATCH(A95,'מלאי'!$D$3:$D$357,0)),""))</f>
        <v/>
      </c>
      <c r="C95">
        <f>IF(A95="","",IFERROR(INDEX('מלאי'!$A$3:$A$357,MATCH(A95,'מלאי'!$D$3:$D$357,0)),""))</f>
        <v/>
      </c>
      <c r="D95">
        <f>IF(A95="","",IFERROR(INDEX('מלאי'!$H$3:$H$357,MATCH(A95,'מלאי'!$D$3:$D$357,0)),""))</f>
        <v/>
      </c>
      <c r="H95">
        <f>IF(A95="","",IFERROR(INDEX('מלאי'!$I$3:$I$357,MATCH(A95,'מלאי'!$D$3:$D$357,0)),""))</f>
        <v/>
      </c>
      <c r="M95">
        <f>IF(AND(E95="",I95=""),"",IF(H95="",E95,IF(I95="",E95,IFERROR((VALUE(E95)+VALUE(I95))/2,E95))))</f>
        <v/>
      </c>
      <c r="N95">
        <f>IF(AND(F95="",J95=""),"",IF(H95="",F95,IF(J95="",F95,IFERROR((VALUE(F95)+VALUE(J95))/2,F95))))</f>
        <v/>
      </c>
      <c r="O95">
        <f>IF(AND(M95="",N95=""),"",IF(M95="",N95,IF(N95="",M95,IFERROR((VALUE(M95)+VALUE(N95))/2,""))))</f>
        <v/>
      </c>
      <c r="P95">
        <f>IF(AND(OR('טכנו'!$C$3="הכל",IFERROR(VLOOKUP(D95,'הגדרות'!$A$2:$D$18,2,FALSE),"")='טכנו'!$C$3,IFERROR(VLOOKUP(D95,'הגדרות'!$A$2:$D$18,3,FALSE),"")='טכנו'!$C$3),OR('טכנו'!$C$4="הכל",C95='טכנו'!$C$4),OR('טכנו'!$C$5="הכל",L95='טכנו'!$C$5),OR('טכנו'!$C$6="",IFERROR(VALUE(M95),0)&gt;='טכנו'!$C$6),OR('טכנו'!$C$7="",IFERROR(VALUE(M95),0)&lt;='טכנו'!$C$7),A95&lt;&gt;""),ROW()-4,"")</f>
        <v/>
      </c>
    </row>
    <row r="96">
      <c r="B96">
        <f>IF(A96="","",IFERROR(INDEX('מלאי'!$B$3:$B$357,MATCH(A96,'מלאי'!$D$3:$D$357,0)),""))</f>
        <v/>
      </c>
      <c r="C96">
        <f>IF(A96="","",IFERROR(INDEX('מלאי'!$A$3:$A$357,MATCH(A96,'מלאי'!$D$3:$D$357,0)),""))</f>
        <v/>
      </c>
      <c r="D96">
        <f>IF(A96="","",IFERROR(INDEX('מלאי'!$H$3:$H$357,MATCH(A96,'מלאי'!$D$3:$D$357,0)),""))</f>
        <v/>
      </c>
      <c r="H96">
        <f>IF(A96="","",IFERROR(INDEX('מלאי'!$I$3:$I$357,MATCH(A96,'מלאי'!$D$3:$D$357,0)),""))</f>
        <v/>
      </c>
      <c r="M96">
        <f>IF(AND(E96="",I96=""),"",IF(H96="",E96,IF(I96="",E96,IFERROR((VALUE(E96)+VALUE(I96))/2,E96))))</f>
        <v/>
      </c>
      <c r="N96">
        <f>IF(AND(F96="",J96=""),"",IF(H96="",F96,IF(J96="",F96,IFERROR((VALUE(F96)+VALUE(J96))/2,F96))))</f>
        <v/>
      </c>
      <c r="O96">
        <f>IF(AND(M96="",N96=""),"",IF(M96="",N96,IF(N96="",M96,IFERROR((VALUE(M96)+VALUE(N96))/2,""))))</f>
        <v/>
      </c>
      <c r="P96">
        <f>IF(AND(OR('טכנו'!$C$3="הכל",IFERROR(VLOOKUP(D96,'הגדרות'!$A$2:$D$18,2,FALSE),"")='טכנו'!$C$3,IFERROR(VLOOKUP(D96,'הגדרות'!$A$2:$D$18,3,FALSE),"")='טכנו'!$C$3),OR('טכנו'!$C$4="הכל",C96='טכנו'!$C$4),OR('טכנו'!$C$5="הכל",L96='טכנו'!$C$5),OR('טכנו'!$C$6="",IFERROR(VALUE(M96),0)&gt;='טכנו'!$C$6),OR('טכנו'!$C$7="",IFERROR(VALUE(M96),0)&lt;='טכנו'!$C$7),A96&lt;&gt;""),ROW()-4,"")</f>
        <v/>
      </c>
    </row>
    <row r="97">
      <c r="B97">
        <f>IF(A97="","",IFERROR(INDEX('מלאי'!$B$3:$B$357,MATCH(A97,'מלאי'!$D$3:$D$357,0)),""))</f>
        <v/>
      </c>
      <c r="C97">
        <f>IF(A97="","",IFERROR(INDEX('מלאי'!$A$3:$A$357,MATCH(A97,'מלאי'!$D$3:$D$357,0)),""))</f>
        <v/>
      </c>
      <c r="D97">
        <f>IF(A97="","",IFERROR(INDEX('מלאי'!$H$3:$H$357,MATCH(A97,'מלאי'!$D$3:$D$357,0)),""))</f>
        <v/>
      </c>
      <c r="H97">
        <f>IF(A97="","",IFERROR(INDEX('מלאי'!$I$3:$I$357,MATCH(A97,'מלאי'!$D$3:$D$357,0)),""))</f>
        <v/>
      </c>
      <c r="M97">
        <f>IF(AND(E97="",I97=""),"",IF(H97="",E97,IF(I97="",E97,IFERROR((VALUE(E97)+VALUE(I97))/2,E97))))</f>
        <v/>
      </c>
      <c r="N97">
        <f>IF(AND(F97="",J97=""),"",IF(H97="",F97,IF(J97="",F97,IFERROR((VALUE(F97)+VALUE(J97))/2,F97))))</f>
        <v/>
      </c>
      <c r="O97">
        <f>IF(AND(M97="",N97=""),"",IF(M97="",N97,IF(N97="",M97,IFERROR((VALUE(M97)+VALUE(N97))/2,""))))</f>
        <v/>
      </c>
      <c r="P97">
        <f>IF(AND(OR('טכנו'!$C$3="הכל",IFERROR(VLOOKUP(D97,'הגדרות'!$A$2:$D$18,2,FALSE),"")='טכנו'!$C$3,IFERROR(VLOOKUP(D97,'הגדרות'!$A$2:$D$18,3,FALSE),"")='טכנו'!$C$3),OR('טכנו'!$C$4="הכל",C97='טכנו'!$C$4),OR('טכנו'!$C$5="הכל",L97='טכנו'!$C$5),OR('טכנו'!$C$6="",IFERROR(VALUE(M97),0)&gt;='טכנו'!$C$6),OR('טכנו'!$C$7="",IFERROR(VALUE(M97),0)&lt;='טכנו'!$C$7),A97&lt;&gt;""),ROW()-4,"")</f>
        <v/>
      </c>
    </row>
    <row r="98">
      <c r="B98">
        <f>IF(A98="","",IFERROR(INDEX('מלאי'!$B$3:$B$357,MATCH(A98,'מלאי'!$D$3:$D$357,0)),""))</f>
        <v/>
      </c>
      <c r="C98">
        <f>IF(A98="","",IFERROR(INDEX('מלאי'!$A$3:$A$357,MATCH(A98,'מלאי'!$D$3:$D$357,0)),""))</f>
        <v/>
      </c>
      <c r="D98">
        <f>IF(A98="","",IFERROR(INDEX('מלאי'!$H$3:$H$357,MATCH(A98,'מלאי'!$D$3:$D$357,0)),""))</f>
        <v/>
      </c>
      <c r="H98">
        <f>IF(A98="","",IFERROR(INDEX('מלאי'!$I$3:$I$357,MATCH(A98,'מלאי'!$D$3:$D$357,0)),""))</f>
        <v/>
      </c>
      <c r="M98">
        <f>IF(AND(E98="",I98=""),"",IF(H98="",E98,IF(I98="",E98,IFERROR((VALUE(E98)+VALUE(I98))/2,E98))))</f>
        <v/>
      </c>
      <c r="N98">
        <f>IF(AND(F98="",J98=""),"",IF(H98="",F98,IF(J98="",F98,IFERROR((VALUE(F98)+VALUE(J98))/2,F98))))</f>
        <v/>
      </c>
      <c r="O98">
        <f>IF(AND(M98="",N98=""),"",IF(M98="",N98,IF(N98="",M98,IFERROR((VALUE(M98)+VALUE(N98))/2,""))))</f>
        <v/>
      </c>
      <c r="P98">
        <f>IF(AND(OR('טכנו'!$C$3="הכל",IFERROR(VLOOKUP(D98,'הגדרות'!$A$2:$D$18,2,FALSE),"")='טכנו'!$C$3,IFERROR(VLOOKUP(D98,'הגדרות'!$A$2:$D$18,3,FALSE),"")='טכנו'!$C$3),OR('טכנו'!$C$4="הכל",C98='טכנו'!$C$4),OR('טכנו'!$C$5="הכל",L98='טכנו'!$C$5),OR('טכנו'!$C$6="",IFERROR(VALUE(M98),0)&gt;='טכנו'!$C$6),OR('טכנו'!$C$7="",IFERROR(VALUE(M98),0)&lt;='טכנו'!$C$7),A98&lt;&gt;""),ROW()-4,"")</f>
        <v/>
      </c>
    </row>
    <row r="99">
      <c r="B99">
        <f>IF(A99="","",IFERROR(INDEX('מלאי'!$B$3:$B$357,MATCH(A99,'מלאי'!$D$3:$D$357,0)),""))</f>
        <v/>
      </c>
      <c r="C99">
        <f>IF(A99="","",IFERROR(INDEX('מלאי'!$A$3:$A$357,MATCH(A99,'מלאי'!$D$3:$D$357,0)),""))</f>
        <v/>
      </c>
      <c r="D99">
        <f>IF(A99="","",IFERROR(INDEX('מלאי'!$H$3:$H$357,MATCH(A99,'מלאי'!$D$3:$D$357,0)),""))</f>
        <v/>
      </c>
      <c r="H99">
        <f>IF(A99="","",IFERROR(INDEX('מלאי'!$I$3:$I$357,MATCH(A99,'מלאי'!$D$3:$D$357,0)),""))</f>
        <v/>
      </c>
      <c r="M99">
        <f>IF(AND(E99="",I99=""),"",IF(H99="",E99,IF(I99="",E99,IFERROR((VALUE(E99)+VALUE(I99))/2,E99))))</f>
        <v/>
      </c>
      <c r="N99">
        <f>IF(AND(F99="",J99=""),"",IF(H99="",F99,IF(J99="",F99,IFERROR((VALUE(F99)+VALUE(J99))/2,F99))))</f>
        <v/>
      </c>
      <c r="O99">
        <f>IF(AND(M99="",N99=""),"",IF(M99="",N99,IF(N99="",M99,IFERROR((VALUE(M99)+VALUE(N99))/2,""))))</f>
        <v/>
      </c>
      <c r="P99">
        <f>IF(AND(OR('טכנו'!$C$3="הכל",IFERROR(VLOOKUP(D99,'הגדרות'!$A$2:$D$18,2,FALSE),"")='טכנו'!$C$3,IFERROR(VLOOKUP(D99,'הגדרות'!$A$2:$D$18,3,FALSE),"")='טכנו'!$C$3),OR('טכנו'!$C$4="הכל",C99='טכנו'!$C$4),OR('טכנו'!$C$5="הכל",L99='טכנו'!$C$5),OR('טכנו'!$C$6="",IFERROR(VALUE(M99),0)&gt;='טכנו'!$C$6),OR('טכנו'!$C$7="",IFERROR(VALUE(M99),0)&lt;='טכנו'!$C$7),A99&lt;&gt;""),ROW()-4,"")</f>
        <v/>
      </c>
    </row>
    <row r="100">
      <c r="B100">
        <f>IF(A100="","",IFERROR(INDEX('מלאי'!$B$3:$B$357,MATCH(A100,'מלאי'!$D$3:$D$357,0)),""))</f>
        <v/>
      </c>
      <c r="C100">
        <f>IF(A100="","",IFERROR(INDEX('מלאי'!$A$3:$A$357,MATCH(A100,'מלאי'!$D$3:$D$357,0)),""))</f>
        <v/>
      </c>
      <c r="D100">
        <f>IF(A100="","",IFERROR(INDEX('מלאי'!$H$3:$H$357,MATCH(A100,'מלאי'!$D$3:$D$357,0)),""))</f>
        <v/>
      </c>
      <c r="H100">
        <f>IF(A100="","",IFERROR(INDEX('מלאי'!$I$3:$I$357,MATCH(A100,'מלאי'!$D$3:$D$357,0)),""))</f>
        <v/>
      </c>
      <c r="M100">
        <f>IF(AND(E100="",I100=""),"",IF(H100="",E100,IF(I100="",E100,IFERROR((VALUE(E100)+VALUE(I100))/2,E100))))</f>
        <v/>
      </c>
      <c r="N100">
        <f>IF(AND(F100="",J100=""),"",IF(H100="",F100,IF(J100="",F100,IFERROR((VALUE(F100)+VALUE(J100))/2,F100))))</f>
        <v/>
      </c>
      <c r="O100">
        <f>IF(AND(M100="",N100=""),"",IF(M100="",N100,IF(N100="",M100,IFERROR((VALUE(M100)+VALUE(N100))/2,""))))</f>
        <v/>
      </c>
      <c r="P100">
        <f>IF(AND(OR('טכנו'!$C$3="הכל",IFERROR(VLOOKUP(D100,'הגדרות'!$A$2:$D$18,2,FALSE),"")='טכנו'!$C$3,IFERROR(VLOOKUP(D100,'הגדרות'!$A$2:$D$18,3,FALSE),"")='טכנו'!$C$3),OR('טכנו'!$C$4="הכל",C100='טכנו'!$C$4),OR('טכנו'!$C$5="הכל",L100='טכנו'!$C$5),OR('טכנו'!$C$6="",IFERROR(VALUE(M100),0)&gt;='טכנו'!$C$6),OR('טכנו'!$C$7="",IFERROR(VALUE(M100),0)&lt;='טכנו'!$C$7),A100&lt;&gt;""),ROW()-4,"")</f>
        <v/>
      </c>
    </row>
    <row r="101">
      <c r="B101">
        <f>IF(A101="","",IFERROR(INDEX('מלאי'!$B$3:$B$357,MATCH(A101,'מלאי'!$D$3:$D$357,0)),""))</f>
        <v/>
      </c>
      <c r="C101">
        <f>IF(A101="","",IFERROR(INDEX('מלאי'!$A$3:$A$357,MATCH(A101,'מלאי'!$D$3:$D$357,0)),""))</f>
        <v/>
      </c>
      <c r="D101">
        <f>IF(A101="","",IFERROR(INDEX('מלאי'!$H$3:$H$357,MATCH(A101,'מלאי'!$D$3:$D$357,0)),""))</f>
        <v/>
      </c>
      <c r="H101">
        <f>IF(A101="","",IFERROR(INDEX('מלאי'!$I$3:$I$357,MATCH(A101,'מלאי'!$D$3:$D$357,0)),""))</f>
        <v/>
      </c>
      <c r="M101">
        <f>IF(AND(E101="",I101=""),"",IF(H101="",E101,IF(I101="",E101,IFERROR((VALUE(E101)+VALUE(I101))/2,E101))))</f>
        <v/>
      </c>
      <c r="N101">
        <f>IF(AND(F101="",J101=""),"",IF(H101="",F101,IF(J101="",F101,IFERROR((VALUE(F101)+VALUE(J101))/2,F101))))</f>
        <v/>
      </c>
      <c r="O101">
        <f>IF(AND(M101="",N101=""),"",IF(M101="",N101,IF(N101="",M101,IFERROR((VALUE(M101)+VALUE(N101))/2,""))))</f>
        <v/>
      </c>
      <c r="P101">
        <f>IF(AND(OR('טכנו'!$C$3="הכל",IFERROR(VLOOKUP(D101,'הגדרות'!$A$2:$D$18,2,FALSE),"")='טכנו'!$C$3,IFERROR(VLOOKUP(D101,'הגדרות'!$A$2:$D$18,3,FALSE),"")='טכנו'!$C$3),OR('טכנו'!$C$4="הכל",C101='טכנו'!$C$4),OR('טכנו'!$C$5="הכל",L101='טכנו'!$C$5),OR('טכנו'!$C$6="",IFERROR(VALUE(M101),0)&gt;='טכנו'!$C$6),OR('טכנו'!$C$7="",IFERROR(VALUE(M101),0)&lt;='טכנו'!$C$7),A101&lt;&gt;""),ROW()-4,"")</f>
        <v/>
      </c>
    </row>
    <row r="102">
      <c r="B102">
        <f>IF(A102="","",IFERROR(INDEX('מלאי'!$B$3:$B$357,MATCH(A102,'מלאי'!$D$3:$D$357,0)),""))</f>
        <v/>
      </c>
      <c r="C102">
        <f>IF(A102="","",IFERROR(INDEX('מלאי'!$A$3:$A$357,MATCH(A102,'מלאי'!$D$3:$D$357,0)),""))</f>
        <v/>
      </c>
      <c r="D102">
        <f>IF(A102="","",IFERROR(INDEX('מלאי'!$H$3:$H$357,MATCH(A102,'מלאי'!$D$3:$D$357,0)),""))</f>
        <v/>
      </c>
      <c r="H102">
        <f>IF(A102="","",IFERROR(INDEX('מלאי'!$I$3:$I$357,MATCH(A102,'מלאי'!$D$3:$D$357,0)),""))</f>
        <v/>
      </c>
      <c r="M102">
        <f>IF(AND(E102="",I102=""),"",IF(H102="",E102,IF(I102="",E102,IFERROR((VALUE(E102)+VALUE(I102))/2,E102))))</f>
        <v/>
      </c>
      <c r="N102">
        <f>IF(AND(F102="",J102=""),"",IF(H102="",F102,IF(J102="",F102,IFERROR((VALUE(F102)+VALUE(J102))/2,F102))))</f>
        <v/>
      </c>
      <c r="O102">
        <f>IF(AND(M102="",N102=""),"",IF(M102="",N102,IF(N102="",M102,IFERROR((VALUE(M102)+VALUE(N102))/2,""))))</f>
        <v/>
      </c>
      <c r="P102">
        <f>IF(AND(OR('טכנו'!$C$3="הכל",IFERROR(VLOOKUP(D102,'הגדרות'!$A$2:$D$18,2,FALSE),"")='טכנו'!$C$3,IFERROR(VLOOKUP(D102,'הגדרות'!$A$2:$D$18,3,FALSE),"")='טכנו'!$C$3),OR('טכנו'!$C$4="הכל",C102='טכנו'!$C$4),OR('טכנו'!$C$5="הכל",L102='טכנו'!$C$5),OR('טכנו'!$C$6="",IFERROR(VALUE(M102),0)&gt;='טכנו'!$C$6),OR('טכנו'!$C$7="",IFERROR(VALUE(M102),0)&lt;='טכנו'!$C$7),A102&lt;&gt;""),ROW()-4,"")</f>
        <v/>
      </c>
    </row>
    <row r="103">
      <c r="B103">
        <f>IF(A103="","",IFERROR(INDEX('מלאי'!$B$3:$B$357,MATCH(A103,'מלאי'!$D$3:$D$357,0)),""))</f>
        <v/>
      </c>
      <c r="C103">
        <f>IF(A103="","",IFERROR(INDEX('מלאי'!$A$3:$A$357,MATCH(A103,'מלאי'!$D$3:$D$357,0)),""))</f>
        <v/>
      </c>
      <c r="D103">
        <f>IF(A103="","",IFERROR(INDEX('מלאי'!$H$3:$H$357,MATCH(A103,'מלאי'!$D$3:$D$357,0)),""))</f>
        <v/>
      </c>
      <c r="H103">
        <f>IF(A103="","",IFERROR(INDEX('מלאי'!$I$3:$I$357,MATCH(A103,'מלאי'!$D$3:$D$357,0)),""))</f>
        <v/>
      </c>
      <c r="M103">
        <f>IF(AND(E103="",I103=""),"",IF(H103="",E103,IF(I103="",E103,IFERROR((VALUE(E103)+VALUE(I103))/2,E103))))</f>
        <v/>
      </c>
      <c r="N103">
        <f>IF(AND(F103="",J103=""),"",IF(H103="",F103,IF(J103="",F103,IFERROR((VALUE(F103)+VALUE(J103))/2,F103))))</f>
        <v/>
      </c>
      <c r="O103">
        <f>IF(AND(M103="",N103=""),"",IF(M103="",N103,IF(N103="",M103,IFERROR((VALUE(M103)+VALUE(N103))/2,""))))</f>
        <v/>
      </c>
      <c r="P103">
        <f>IF(AND(OR('טכנו'!$C$3="הכל",IFERROR(VLOOKUP(D103,'הגדרות'!$A$2:$D$18,2,FALSE),"")='טכנו'!$C$3,IFERROR(VLOOKUP(D103,'הגדרות'!$A$2:$D$18,3,FALSE),"")='טכנו'!$C$3),OR('טכנו'!$C$4="הכל",C103='טכנו'!$C$4),OR('טכנו'!$C$5="הכל",L103='טכנו'!$C$5),OR('טכנו'!$C$6="",IFERROR(VALUE(M103),0)&gt;='טכנו'!$C$6),OR('טכנו'!$C$7="",IFERROR(VALUE(M103),0)&lt;='טכנו'!$C$7),A103&lt;&gt;""),ROW()-4,"")</f>
        <v/>
      </c>
    </row>
    <row r="104">
      <c r="B104">
        <f>IF(A104="","",IFERROR(INDEX('מלאי'!$B$3:$B$357,MATCH(A104,'מלאי'!$D$3:$D$357,0)),""))</f>
        <v/>
      </c>
      <c r="C104">
        <f>IF(A104="","",IFERROR(INDEX('מלאי'!$A$3:$A$357,MATCH(A104,'מלאי'!$D$3:$D$357,0)),""))</f>
        <v/>
      </c>
      <c r="D104">
        <f>IF(A104="","",IFERROR(INDEX('מלאי'!$H$3:$H$357,MATCH(A104,'מלאי'!$D$3:$D$357,0)),""))</f>
        <v/>
      </c>
      <c r="H104">
        <f>IF(A104="","",IFERROR(INDEX('מלאי'!$I$3:$I$357,MATCH(A104,'מלאי'!$D$3:$D$357,0)),""))</f>
        <v/>
      </c>
      <c r="M104">
        <f>IF(AND(E104="",I104=""),"",IF(H104="",E104,IF(I104="",E104,IFERROR((VALUE(E104)+VALUE(I104))/2,E104))))</f>
        <v/>
      </c>
      <c r="N104">
        <f>IF(AND(F104="",J104=""),"",IF(H104="",F104,IF(J104="",F104,IFERROR((VALUE(F104)+VALUE(J104))/2,F104))))</f>
        <v/>
      </c>
      <c r="O104">
        <f>IF(AND(M104="",N104=""),"",IF(M104="",N104,IF(N104="",M104,IFERROR((VALUE(M104)+VALUE(N104))/2,""))))</f>
        <v/>
      </c>
      <c r="P104">
        <f>IF(AND(OR('טכנו'!$C$3="הכל",IFERROR(VLOOKUP(D104,'הגדרות'!$A$2:$D$18,2,FALSE),"")='טכנו'!$C$3,IFERROR(VLOOKUP(D104,'הגדרות'!$A$2:$D$18,3,FALSE),"")='טכנו'!$C$3),OR('טכנו'!$C$4="הכל",C104='טכנו'!$C$4),OR('טכנו'!$C$5="הכל",L104='טכנו'!$C$5),OR('טכנו'!$C$6="",IFERROR(VALUE(M104),0)&gt;='טכנו'!$C$6),OR('טכנו'!$C$7="",IFERROR(VALUE(M104),0)&lt;='טכנו'!$C$7),A104&lt;&gt;""),ROW()-4,"")</f>
        <v/>
      </c>
    </row>
    <row r="105">
      <c r="B105">
        <f>IF(A105="","",IFERROR(INDEX('מלאי'!$B$3:$B$357,MATCH(A105,'מלאי'!$D$3:$D$357,0)),""))</f>
        <v/>
      </c>
      <c r="C105">
        <f>IF(A105="","",IFERROR(INDEX('מלאי'!$A$3:$A$357,MATCH(A105,'מלאי'!$D$3:$D$357,0)),""))</f>
        <v/>
      </c>
      <c r="D105">
        <f>IF(A105="","",IFERROR(INDEX('מלאי'!$H$3:$H$357,MATCH(A105,'מלאי'!$D$3:$D$357,0)),""))</f>
        <v/>
      </c>
      <c r="H105">
        <f>IF(A105="","",IFERROR(INDEX('מלאי'!$I$3:$I$357,MATCH(A105,'מלאי'!$D$3:$D$357,0)),""))</f>
        <v/>
      </c>
      <c r="M105">
        <f>IF(AND(E105="",I105=""),"",IF(H105="",E105,IF(I105="",E105,IFERROR((VALUE(E105)+VALUE(I105))/2,E105))))</f>
        <v/>
      </c>
      <c r="N105">
        <f>IF(AND(F105="",J105=""),"",IF(H105="",F105,IF(J105="",F105,IFERROR((VALUE(F105)+VALUE(J105))/2,F105))))</f>
        <v/>
      </c>
      <c r="O105">
        <f>IF(AND(M105="",N105=""),"",IF(M105="",N105,IF(N105="",M105,IFERROR((VALUE(M105)+VALUE(N105))/2,""))))</f>
        <v/>
      </c>
      <c r="P105">
        <f>IF(AND(OR('טכנו'!$C$3="הכל",IFERROR(VLOOKUP(D105,'הגדרות'!$A$2:$D$18,2,FALSE),"")='טכנו'!$C$3,IFERROR(VLOOKUP(D105,'הגדרות'!$A$2:$D$18,3,FALSE),"")='טכנו'!$C$3),OR('טכנו'!$C$4="הכל",C105='טכנו'!$C$4),OR('טכנו'!$C$5="הכל",L105='טכנו'!$C$5),OR('טכנו'!$C$6="",IFERROR(VALUE(M105),0)&gt;='טכנו'!$C$6),OR('טכנו'!$C$7="",IFERROR(VALUE(M105),0)&lt;='טכנו'!$C$7),A105&lt;&gt;""),ROW()-4,"")</f>
        <v/>
      </c>
    </row>
    <row r="106">
      <c r="B106">
        <f>IF(A106="","",IFERROR(INDEX('מלאי'!$B$3:$B$357,MATCH(A106,'מלאי'!$D$3:$D$357,0)),""))</f>
        <v/>
      </c>
      <c r="C106">
        <f>IF(A106="","",IFERROR(INDEX('מלאי'!$A$3:$A$357,MATCH(A106,'מלאי'!$D$3:$D$357,0)),""))</f>
        <v/>
      </c>
      <c r="D106">
        <f>IF(A106="","",IFERROR(INDEX('מלאי'!$H$3:$H$357,MATCH(A106,'מלאי'!$D$3:$D$357,0)),""))</f>
        <v/>
      </c>
      <c r="H106">
        <f>IF(A106="","",IFERROR(INDEX('מלאי'!$I$3:$I$357,MATCH(A106,'מלאי'!$D$3:$D$357,0)),""))</f>
        <v/>
      </c>
      <c r="M106">
        <f>IF(AND(E106="",I106=""),"",IF(H106="",E106,IF(I106="",E106,IFERROR((VALUE(E106)+VALUE(I106))/2,E106))))</f>
        <v/>
      </c>
      <c r="N106">
        <f>IF(AND(F106="",J106=""),"",IF(H106="",F106,IF(J106="",F106,IFERROR((VALUE(F106)+VALUE(J106))/2,F106))))</f>
        <v/>
      </c>
      <c r="O106">
        <f>IF(AND(M106="",N106=""),"",IF(M106="",N106,IF(N106="",M106,IFERROR((VALUE(M106)+VALUE(N106))/2,""))))</f>
        <v/>
      </c>
      <c r="P106">
        <f>IF(AND(OR('טכנו'!$C$3="הכל",IFERROR(VLOOKUP(D106,'הגדרות'!$A$2:$D$18,2,FALSE),"")='טכנו'!$C$3,IFERROR(VLOOKUP(D106,'הגדרות'!$A$2:$D$18,3,FALSE),"")='טכנו'!$C$3),OR('טכנו'!$C$4="הכל",C106='טכנו'!$C$4),OR('טכנו'!$C$5="הכל",L106='טכנו'!$C$5),OR('טכנו'!$C$6="",IFERROR(VALUE(M106),0)&gt;='טכנו'!$C$6),OR('טכנו'!$C$7="",IFERROR(VALUE(M106),0)&lt;='טכנו'!$C$7),A106&lt;&gt;""),ROW()-4,"")</f>
        <v/>
      </c>
    </row>
    <row r="107">
      <c r="B107">
        <f>IF(A107="","",IFERROR(INDEX('מלאי'!$B$3:$B$357,MATCH(A107,'מלאי'!$D$3:$D$357,0)),""))</f>
        <v/>
      </c>
      <c r="C107">
        <f>IF(A107="","",IFERROR(INDEX('מלאי'!$A$3:$A$357,MATCH(A107,'מלאי'!$D$3:$D$357,0)),""))</f>
        <v/>
      </c>
      <c r="D107">
        <f>IF(A107="","",IFERROR(INDEX('מלאי'!$H$3:$H$357,MATCH(A107,'מלאי'!$D$3:$D$357,0)),""))</f>
        <v/>
      </c>
      <c r="H107">
        <f>IF(A107="","",IFERROR(INDEX('מלאי'!$I$3:$I$357,MATCH(A107,'מלאי'!$D$3:$D$357,0)),""))</f>
        <v/>
      </c>
      <c r="M107">
        <f>IF(AND(E107="",I107=""),"",IF(H107="",E107,IF(I107="",E107,IFERROR((VALUE(E107)+VALUE(I107))/2,E107))))</f>
        <v/>
      </c>
      <c r="N107">
        <f>IF(AND(F107="",J107=""),"",IF(H107="",F107,IF(J107="",F107,IFERROR((VALUE(F107)+VALUE(J107))/2,F107))))</f>
        <v/>
      </c>
      <c r="O107">
        <f>IF(AND(M107="",N107=""),"",IF(M107="",N107,IF(N107="",M107,IFERROR((VALUE(M107)+VALUE(N107))/2,""))))</f>
        <v/>
      </c>
      <c r="P107">
        <f>IF(AND(OR('טכנו'!$C$3="הכל",IFERROR(VLOOKUP(D107,'הגדרות'!$A$2:$D$18,2,FALSE),"")='טכנו'!$C$3,IFERROR(VLOOKUP(D107,'הגדרות'!$A$2:$D$18,3,FALSE),"")='טכנו'!$C$3),OR('טכנו'!$C$4="הכל",C107='טכנו'!$C$4),OR('טכנו'!$C$5="הכל",L107='טכנו'!$C$5),OR('טכנו'!$C$6="",IFERROR(VALUE(M107),0)&gt;='טכנו'!$C$6),OR('טכנו'!$C$7="",IFERROR(VALUE(M107),0)&lt;='טכנו'!$C$7),A107&lt;&gt;""),ROW()-4,"")</f>
        <v/>
      </c>
    </row>
    <row r="108">
      <c r="B108">
        <f>IF(A108="","",IFERROR(INDEX('מלאי'!$B$3:$B$357,MATCH(A108,'מלאי'!$D$3:$D$357,0)),""))</f>
        <v/>
      </c>
      <c r="C108">
        <f>IF(A108="","",IFERROR(INDEX('מלאי'!$A$3:$A$357,MATCH(A108,'מלאי'!$D$3:$D$357,0)),""))</f>
        <v/>
      </c>
      <c r="D108">
        <f>IF(A108="","",IFERROR(INDEX('מלאי'!$H$3:$H$357,MATCH(A108,'מלאי'!$D$3:$D$357,0)),""))</f>
        <v/>
      </c>
      <c r="H108">
        <f>IF(A108="","",IFERROR(INDEX('מלאי'!$I$3:$I$357,MATCH(A108,'מלאי'!$D$3:$D$357,0)),""))</f>
        <v/>
      </c>
      <c r="M108">
        <f>IF(AND(E108="",I108=""),"",IF(H108="",E108,IF(I108="",E108,IFERROR((VALUE(E108)+VALUE(I108))/2,E108))))</f>
        <v/>
      </c>
      <c r="N108">
        <f>IF(AND(F108="",J108=""),"",IF(H108="",F108,IF(J108="",F108,IFERROR((VALUE(F108)+VALUE(J108))/2,F108))))</f>
        <v/>
      </c>
      <c r="O108">
        <f>IF(AND(M108="",N108=""),"",IF(M108="",N108,IF(N108="",M108,IFERROR((VALUE(M108)+VALUE(N108))/2,""))))</f>
        <v/>
      </c>
      <c r="P108">
        <f>IF(AND(OR('טכנו'!$C$3="הכל",IFERROR(VLOOKUP(D108,'הגדרות'!$A$2:$D$18,2,FALSE),"")='טכנו'!$C$3,IFERROR(VLOOKUP(D108,'הגדרות'!$A$2:$D$18,3,FALSE),"")='טכנו'!$C$3),OR('טכנו'!$C$4="הכל",C108='טכנו'!$C$4),OR('טכנו'!$C$5="הכל",L108='טכנו'!$C$5),OR('טכנו'!$C$6="",IFERROR(VALUE(M108),0)&gt;='טכנו'!$C$6),OR('טכנו'!$C$7="",IFERROR(VALUE(M108),0)&lt;='טכנו'!$C$7),A108&lt;&gt;""),ROW()-4,"")</f>
        <v/>
      </c>
    </row>
    <row r="109">
      <c r="B109">
        <f>IF(A109="","",IFERROR(INDEX('מלאי'!$B$3:$B$357,MATCH(A109,'מלאי'!$D$3:$D$357,0)),""))</f>
        <v/>
      </c>
      <c r="C109">
        <f>IF(A109="","",IFERROR(INDEX('מלאי'!$A$3:$A$357,MATCH(A109,'מלאי'!$D$3:$D$357,0)),""))</f>
        <v/>
      </c>
      <c r="D109">
        <f>IF(A109="","",IFERROR(INDEX('מלאי'!$H$3:$H$357,MATCH(A109,'מלאי'!$D$3:$D$357,0)),""))</f>
        <v/>
      </c>
      <c r="H109">
        <f>IF(A109="","",IFERROR(INDEX('מלאי'!$I$3:$I$357,MATCH(A109,'מלאי'!$D$3:$D$357,0)),""))</f>
        <v/>
      </c>
      <c r="M109">
        <f>IF(AND(E109="",I109=""),"",IF(H109="",E109,IF(I109="",E109,IFERROR((VALUE(E109)+VALUE(I109))/2,E109))))</f>
        <v/>
      </c>
      <c r="N109">
        <f>IF(AND(F109="",J109=""),"",IF(H109="",F109,IF(J109="",F109,IFERROR((VALUE(F109)+VALUE(J109))/2,F109))))</f>
        <v/>
      </c>
      <c r="O109">
        <f>IF(AND(M109="",N109=""),"",IF(M109="",N109,IF(N109="",M109,IFERROR((VALUE(M109)+VALUE(N109))/2,""))))</f>
        <v/>
      </c>
      <c r="P109">
        <f>IF(AND(OR('טכנו'!$C$3="הכל",IFERROR(VLOOKUP(D109,'הגדרות'!$A$2:$D$18,2,FALSE),"")='טכנו'!$C$3,IFERROR(VLOOKUP(D109,'הגדרות'!$A$2:$D$18,3,FALSE),"")='טכנו'!$C$3),OR('טכנו'!$C$4="הכל",C109='טכנו'!$C$4),OR('טכנו'!$C$5="הכל",L109='טכנו'!$C$5),OR('טכנו'!$C$6="",IFERROR(VALUE(M109),0)&gt;='טכנו'!$C$6),OR('טכנו'!$C$7="",IFERROR(VALUE(M109),0)&lt;='טכנו'!$C$7),A109&lt;&gt;""),ROW()-4,"")</f>
        <v/>
      </c>
    </row>
    <row r="110">
      <c r="B110">
        <f>IF(A110="","",IFERROR(INDEX('מלאי'!$B$3:$B$357,MATCH(A110,'מלאי'!$D$3:$D$357,0)),""))</f>
        <v/>
      </c>
      <c r="C110">
        <f>IF(A110="","",IFERROR(INDEX('מלאי'!$A$3:$A$357,MATCH(A110,'מלאי'!$D$3:$D$357,0)),""))</f>
        <v/>
      </c>
      <c r="D110">
        <f>IF(A110="","",IFERROR(INDEX('מלאי'!$H$3:$H$357,MATCH(A110,'מלאי'!$D$3:$D$357,0)),""))</f>
        <v/>
      </c>
      <c r="H110">
        <f>IF(A110="","",IFERROR(INDEX('מלאי'!$I$3:$I$357,MATCH(A110,'מלאי'!$D$3:$D$357,0)),""))</f>
        <v/>
      </c>
      <c r="M110">
        <f>IF(AND(E110="",I110=""),"",IF(H110="",E110,IF(I110="",E110,IFERROR((VALUE(E110)+VALUE(I110))/2,E110))))</f>
        <v/>
      </c>
      <c r="N110">
        <f>IF(AND(F110="",J110=""),"",IF(H110="",F110,IF(J110="",F110,IFERROR((VALUE(F110)+VALUE(J110))/2,F110))))</f>
        <v/>
      </c>
      <c r="O110">
        <f>IF(AND(M110="",N110=""),"",IF(M110="",N110,IF(N110="",M110,IFERROR((VALUE(M110)+VALUE(N110))/2,""))))</f>
        <v/>
      </c>
      <c r="P110">
        <f>IF(AND(OR('טכנו'!$C$3="הכל",IFERROR(VLOOKUP(D110,'הגדרות'!$A$2:$D$18,2,FALSE),"")='טכנו'!$C$3,IFERROR(VLOOKUP(D110,'הגדרות'!$A$2:$D$18,3,FALSE),"")='טכנו'!$C$3),OR('טכנו'!$C$4="הכל",C110='טכנו'!$C$4),OR('טכנו'!$C$5="הכל",L110='טכנו'!$C$5),OR('טכנו'!$C$6="",IFERROR(VALUE(M110),0)&gt;='טכנו'!$C$6),OR('טכנו'!$C$7="",IFERROR(VALUE(M110),0)&lt;='טכנו'!$C$7),A110&lt;&gt;""),ROW()-4,"")</f>
        <v/>
      </c>
    </row>
    <row r="111">
      <c r="B111">
        <f>IF(A111="","",IFERROR(INDEX('מלאי'!$B$3:$B$357,MATCH(A111,'מלאי'!$D$3:$D$357,0)),""))</f>
        <v/>
      </c>
      <c r="C111">
        <f>IF(A111="","",IFERROR(INDEX('מלאי'!$A$3:$A$357,MATCH(A111,'מלאי'!$D$3:$D$357,0)),""))</f>
        <v/>
      </c>
      <c r="D111">
        <f>IF(A111="","",IFERROR(INDEX('מלאי'!$H$3:$H$357,MATCH(A111,'מלאי'!$D$3:$D$357,0)),""))</f>
        <v/>
      </c>
      <c r="H111">
        <f>IF(A111="","",IFERROR(INDEX('מלאי'!$I$3:$I$357,MATCH(A111,'מלאי'!$D$3:$D$357,0)),""))</f>
        <v/>
      </c>
      <c r="M111">
        <f>IF(AND(E111="",I111=""),"",IF(H111="",E111,IF(I111="",E111,IFERROR((VALUE(E111)+VALUE(I111))/2,E111))))</f>
        <v/>
      </c>
      <c r="N111">
        <f>IF(AND(F111="",J111=""),"",IF(H111="",F111,IF(J111="",F111,IFERROR((VALUE(F111)+VALUE(J111))/2,F111))))</f>
        <v/>
      </c>
      <c r="O111">
        <f>IF(AND(M111="",N111=""),"",IF(M111="",N111,IF(N111="",M111,IFERROR((VALUE(M111)+VALUE(N111))/2,""))))</f>
        <v/>
      </c>
      <c r="P111">
        <f>IF(AND(OR('טכנו'!$C$3="הכל",IFERROR(VLOOKUP(D111,'הגדרות'!$A$2:$D$18,2,FALSE),"")='טכנו'!$C$3,IFERROR(VLOOKUP(D111,'הגדרות'!$A$2:$D$18,3,FALSE),"")='טכנו'!$C$3),OR('טכנו'!$C$4="הכל",C111='טכנו'!$C$4),OR('טכנו'!$C$5="הכל",L111='טכנו'!$C$5),OR('טכנו'!$C$6="",IFERROR(VALUE(M111),0)&gt;='טכנו'!$C$6),OR('טכנו'!$C$7="",IFERROR(VALUE(M111),0)&lt;='טכנו'!$C$7),A111&lt;&gt;""),ROW()-4,"")</f>
        <v/>
      </c>
    </row>
    <row r="112">
      <c r="B112">
        <f>IF(A112="","",IFERROR(INDEX('מלאי'!$B$3:$B$357,MATCH(A112,'מלאי'!$D$3:$D$357,0)),""))</f>
        <v/>
      </c>
      <c r="C112">
        <f>IF(A112="","",IFERROR(INDEX('מלאי'!$A$3:$A$357,MATCH(A112,'מלאי'!$D$3:$D$357,0)),""))</f>
        <v/>
      </c>
      <c r="D112">
        <f>IF(A112="","",IFERROR(INDEX('מלאי'!$H$3:$H$357,MATCH(A112,'מלאי'!$D$3:$D$357,0)),""))</f>
        <v/>
      </c>
      <c r="H112">
        <f>IF(A112="","",IFERROR(INDEX('מלאי'!$I$3:$I$357,MATCH(A112,'מלאי'!$D$3:$D$357,0)),""))</f>
        <v/>
      </c>
      <c r="M112">
        <f>IF(AND(E112="",I112=""),"",IF(H112="",E112,IF(I112="",E112,IFERROR((VALUE(E112)+VALUE(I112))/2,E112))))</f>
        <v/>
      </c>
      <c r="N112">
        <f>IF(AND(F112="",J112=""),"",IF(H112="",F112,IF(J112="",F112,IFERROR((VALUE(F112)+VALUE(J112))/2,F112))))</f>
        <v/>
      </c>
      <c r="O112">
        <f>IF(AND(M112="",N112=""),"",IF(M112="",N112,IF(N112="",M112,IFERROR((VALUE(M112)+VALUE(N112))/2,""))))</f>
        <v/>
      </c>
      <c r="P112">
        <f>IF(AND(OR('טכנו'!$C$3="הכל",IFERROR(VLOOKUP(D112,'הגדרות'!$A$2:$D$18,2,FALSE),"")='טכנו'!$C$3,IFERROR(VLOOKUP(D112,'הגדרות'!$A$2:$D$18,3,FALSE),"")='טכנו'!$C$3),OR('טכנו'!$C$4="הכל",C112='טכנו'!$C$4),OR('טכנו'!$C$5="הכל",L112='טכנו'!$C$5),OR('טכנו'!$C$6="",IFERROR(VALUE(M112),0)&gt;='טכנו'!$C$6),OR('טכנו'!$C$7="",IFERROR(VALUE(M112),0)&lt;='טכנו'!$C$7),A112&lt;&gt;""),ROW()-4,"")</f>
        <v/>
      </c>
    </row>
    <row r="113">
      <c r="B113">
        <f>IF(A113="","",IFERROR(INDEX('מלאי'!$B$3:$B$357,MATCH(A113,'מלאי'!$D$3:$D$357,0)),""))</f>
        <v/>
      </c>
      <c r="C113">
        <f>IF(A113="","",IFERROR(INDEX('מלאי'!$A$3:$A$357,MATCH(A113,'מלאי'!$D$3:$D$357,0)),""))</f>
        <v/>
      </c>
      <c r="D113">
        <f>IF(A113="","",IFERROR(INDEX('מלאי'!$H$3:$H$357,MATCH(A113,'מלאי'!$D$3:$D$357,0)),""))</f>
        <v/>
      </c>
      <c r="H113">
        <f>IF(A113="","",IFERROR(INDEX('מלאי'!$I$3:$I$357,MATCH(A113,'מלאי'!$D$3:$D$357,0)),""))</f>
        <v/>
      </c>
      <c r="M113">
        <f>IF(AND(E113="",I113=""),"",IF(H113="",E113,IF(I113="",E113,IFERROR((VALUE(E113)+VALUE(I113))/2,E113))))</f>
        <v/>
      </c>
      <c r="N113">
        <f>IF(AND(F113="",J113=""),"",IF(H113="",F113,IF(J113="",F113,IFERROR((VALUE(F113)+VALUE(J113))/2,F113))))</f>
        <v/>
      </c>
      <c r="O113">
        <f>IF(AND(M113="",N113=""),"",IF(M113="",N113,IF(N113="",M113,IFERROR((VALUE(M113)+VALUE(N113))/2,""))))</f>
        <v/>
      </c>
      <c r="P113">
        <f>IF(AND(OR('טכנו'!$C$3="הכל",IFERROR(VLOOKUP(D113,'הגדרות'!$A$2:$D$18,2,FALSE),"")='טכנו'!$C$3,IFERROR(VLOOKUP(D113,'הגדרות'!$A$2:$D$18,3,FALSE),"")='טכנו'!$C$3),OR('טכנו'!$C$4="הכל",C113='טכנו'!$C$4),OR('טכנו'!$C$5="הכל",L113='טכנו'!$C$5),OR('טכנו'!$C$6="",IFERROR(VALUE(M113),0)&gt;='טכנו'!$C$6),OR('טכנו'!$C$7="",IFERROR(VALUE(M113),0)&lt;='טכנו'!$C$7),A113&lt;&gt;""),ROW()-4,"")</f>
        <v/>
      </c>
    </row>
    <row r="114">
      <c r="B114">
        <f>IF(A114="","",IFERROR(INDEX('מלאי'!$B$3:$B$357,MATCH(A114,'מלאי'!$D$3:$D$357,0)),""))</f>
        <v/>
      </c>
      <c r="C114">
        <f>IF(A114="","",IFERROR(INDEX('מלאי'!$A$3:$A$357,MATCH(A114,'מלאי'!$D$3:$D$357,0)),""))</f>
        <v/>
      </c>
      <c r="D114">
        <f>IF(A114="","",IFERROR(INDEX('מלאי'!$H$3:$H$357,MATCH(A114,'מלאי'!$D$3:$D$357,0)),""))</f>
        <v/>
      </c>
      <c r="H114">
        <f>IF(A114="","",IFERROR(INDEX('מלאי'!$I$3:$I$357,MATCH(A114,'מלאי'!$D$3:$D$357,0)),""))</f>
        <v/>
      </c>
      <c r="M114">
        <f>IF(AND(E114="",I114=""),"",IF(H114="",E114,IF(I114="",E114,IFERROR((VALUE(E114)+VALUE(I114))/2,E114))))</f>
        <v/>
      </c>
      <c r="N114">
        <f>IF(AND(F114="",J114=""),"",IF(H114="",F114,IF(J114="",F114,IFERROR((VALUE(F114)+VALUE(J114))/2,F114))))</f>
        <v/>
      </c>
      <c r="O114">
        <f>IF(AND(M114="",N114=""),"",IF(M114="",N114,IF(N114="",M114,IFERROR((VALUE(M114)+VALUE(N114))/2,""))))</f>
        <v/>
      </c>
      <c r="P114">
        <f>IF(AND(OR('טכנו'!$C$3="הכל",IFERROR(VLOOKUP(D114,'הגדרות'!$A$2:$D$18,2,FALSE),"")='טכנו'!$C$3,IFERROR(VLOOKUP(D114,'הגדרות'!$A$2:$D$18,3,FALSE),"")='טכנו'!$C$3),OR('טכנו'!$C$4="הכל",C114='טכנו'!$C$4),OR('טכנו'!$C$5="הכל",L114='טכנו'!$C$5),OR('טכנו'!$C$6="",IFERROR(VALUE(M114),0)&gt;='טכנו'!$C$6),OR('טכנו'!$C$7="",IFERROR(VALUE(M114),0)&lt;='טכנו'!$C$7),A114&lt;&gt;""),ROW()-4,"")</f>
        <v/>
      </c>
    </row>
    <row r="115">
      <c r="B115">
        <f>IF(A115="","",IFERROR(INDEX('מלאי'!$B$3:$B$357,MATCH(A115,'מלאי'!$D$3:$D$357,0)),""))</f>
        <v/>
      </c>
      <c r="C115">
        <f>IF(A115="","",IFERROR(INDEX('מלאי'!$A$3:$A$357,MATCH(A115,'מלאי'!$D$3:$D$357,0)),""))</f>
        <v/>
      </c>
      <c r="D115">
        <f>IF(A115="","",IFERROR(INDEX('מלאי'!$H$3:$H$357,MATCH(A115,'מלאי'!$D$3:$D$357,0)),""))</f>
        <v/>
      </c>
      <c r="H115">
        <f>IF(A115="","",IFERROR(INDEX('מלאי'!$I$3:$I$357,MATCH(A115,'מלאי'!$D$3:$D$357,0)),""))</f>
        <v/>
      </c>
      <c r="M115">
        <f>IF(AND(E115="",I115=""),"",IF(H115="",E115,IF(I115="",E115,IFERROR((VALUE(E115)+VALUE(I115))/2,E115))))</f>
        <v/>
      </c>
      <c r="N115">
        <f>IF(AND(F115="",J115=""),"",IF(H115="",F115,IF(J115="",F115,IFERROR((VALUE(F115)+VALUE(J115))/2,F115))))</f>
        <v/>
      </c>
      <c r="O115">
        <f>IF(AND(M115="",N115=""),"",IF(M115="",N115,IF(N115="",M115,IFERROR((VALUE(M115)+VALUE(N115))/2,""))))</f>
        <v/>
      </c>
      <c r="P115">
        <f>IF(AND(OR('טכנו'!$C$3="הכל",IFERROR(VLOOKUP(D115,'הגדרות'!$A$2:$D$18,2,FALSE),"")='טכנו'!$C$3,IFERROR(VLOOKUP(D115,'הגדרות'!$A$2:$D$18,3,FALSE),"")='טכנו'!$C$3),OR('טכנו'!$C$4="הכל",C115='טכנו'!$C$4),OR('טכנו'!$C$5="הכל",L115='טכנו'!$C$5),OR('טכנו'!$C$6="",IFERROR(VALUE(M115),0)&gt;='טכנו'!$C$6),OR('טכנו'!$C$7="",IFERROR(VALUE(M115),0)&lt;='טכנו'!$C$7),A115&lt;&gt;""),ROW()-4,"")</f>
        <v/>
      </c>
    </row>
    <row r="116">
      <c r="B116">
        <f>IF(A116="","",IFERROR(INDEX('מלאי'!$B$3:$B$357,MATCH(A116,'מלאי'!$D$3:$D$357,0)),""))</f>
        <v/>
      </c>
      <c r="C116">
        <f>IF(A116="","",IFERROR(INDEX('מלאי'!$A$3:$A$357,MATCH(A116,'מלאי'!$D$3:$D$357,0)),""))</f>
        <v/>
      </c>
      <c r="D116">
        <f>IF(A116="","",IFERROR(INDEX('מלאי'!$H$3:$H$357,MATCH(A116,'מלאי'!$D$3:$D$357,0)),""))</f>
        <v/>
      </c>
      <c r="H116">
        <f>IF(A116="","",IFERROR(INDEX('מלאי'!$I$3:$I$357,MATCH(A116,'מלאי'!$D$3:$D$357,0)),""))</f>
        <v/>
      </c>
      <c r="M116">
        <f>IF(AND(E116="",I116=""),"",IF(H116="",E116,IF(I116="",E116,IFERROR((VALUE(E116)+VALUE(I116))/2,E116))))</f>
        <v/>
      </c>
      <c r="N116">
        <f>IF(AND(F116="",J116=""),"",IF(H116="",F116,IF(J116="",F116,IFERROR((VALUE(F116)+VALUE(J116))/2,F116))))</f>
        <v/>
      </c>
      <c r="O116">
        <f>IF(AND(M116="",N116=""),"",IF(M116="",N116,IF(N116="",M116,IFERROR((VALUE(M116)+VALUE(N116))/2,""))))</f>
        <v/>
      </c>
      <c r="P116">
        <f>IF(AND(OR('טכנו'!$C$3="הכל",IFERROR(VLOOKUP(D116,'הגדרות'!$A$2:$D$18,2,FALSE),"")='טכנו'!$C$3,IFERROR(VLOOKUP(D116,'הגדרות'!$A$2:$D$18,3,FALSE),"")='טכנו'!$C$3),OR('טכנו'!$C$4="הכל",C116='טכנו'!$C$4),OR('טכנו'!$C$5="הכל",L116='טכנו'!$C$5),OR('טכנו'!$C$6="",IFERROR(VALUE(M116),0)&gt;='טכנו'!$C$6),OR('טכנו'!$C$7="",IFERROR(VALUE(M116),0)&lt;='טכנו'!$C$7),A116&lt;&gt;""),ROW()-4,"")</f>
        <v/>
      </c>
    </row>
    <row r="117">
      <c r="B117">
        <f>IF(A117="","",IFERROR(INDEX('מלאי'!$B$3:$B$357,MATCH(A117,'מלאי'!$D$3:$D$357,0)),""))</f>
        <v/>
      </c>
      <c r="C117">
        <f>IF(A117="","",IFERROR(INDEX('מלאי'!$A$3:$A$357,MATCH(A117,'מלאי'!$D$3:$D$357,0)),""))</f>
        <v/>
      </c>
      <c r="D117">
        <f>IF(A117="","",IFERROR(INDEX('מלאי'!$H$3:$H$357,MATCH(A117,'מלאי'!$D$3:$D$357,0)),""))</f>
        <v/>
      </c>
      <c r="H117">
        <f>IF(A117="","",IFERROR(INDEX('מלאי'!$I$3:$I$357,MATCH(A117,'מלאי'!$D$3:$D$357,0)),""))</f>
        <v/>
      </c>
      <c r="M117">
        <f>IF(AND(E117="",I117=""),"",IF(H117="",E117,IF(I117="",E117,IFERROR((VALUE(E117)+VALUE(I117))/2,E117))))</f>
        <v/>
      </c>
      <c r="N117">
        <f>IF(AND(F117="",J117=""),"",IF(H117="",F117,IF(J117="",F117,IFERROR((VALUE(F117)+VALUE(J117))/2,F117))))</f>
        <v/>
      </c>
      <c r="O117">
        <f>IF(AND(M117="",N117=""),"",IF(M117="",N117,IF(N117="",M117,IFERROR((VALUE(M117)+VALUE(N117))/2,""))))</f>
        <v/>
      </c>
      <c r="P117">
        <f>IF(AND(OR('טכנו'!$C$3="הכל",IFERROR(VLOOKUP(D117,'הגדרות'!$A$2:$D$18,2,FALSE),"")='טכנו'!$C$3,IFERROR(VLOOKUP(D117,'הגדרות'!$A$2:$D$18,3,FALSE),"")='טכנו'!$C$3),OR('טכנו'!$C$4="הכל",C117='טכנו'!$C$4),OR('טכנו'!$C$5="הכל",L117='טכנו'!$C$5),OR('טכנו'!$C$6="",IFERROR(VALUE(M117),0)&gt;='טכנו'!$C$6),OR('טכנו'!$C$7="",IFERROR(VALUE(M117),0)&lt;='טכנו'!$C$7),A117&lt;&gt;""),ROW()-4,"")</f>
        <v/>
      </c>
    </row>
    <row r="118">
      <c r="B118">
        <f>IF(A118="","",IFERROR(INDEX('מלאי'!$B$3:$B$357,MATCH(A118,'מלאי'!$D$3:$D$357,0)),""))</f>
        <v/>
      </c>
      <c r="C118">
        <f>IF(A118="","",IFERROR(INDEX('מלאי'!$A$3:$A$357,MATCH(A118,'מלאי'!$D$3:$D$357,0)),""))</f>
        <v/>
      </c>
      <c r="D118">
        <f>IF(A118="","",IFERROR(INDEX('מלאי'!$H$3:$H$357,MATCH(A118,'מלאי'!$D$3:$D$357,0)),""))</f>
        <v/>
      </c>
      <c r="H118">
        <f>IF(A118="","",IFERROR(INDEX('מלאי'!$I$3:$I$357,MATCH(A118,'מלאי'!$D$3:$D$357,0)),""))</f>
        <v/>
      </c>
      <c r="M118">
        <f>IF(AND(E118="",I118=""),"",IF(H118="",E118,IF(I118="",E118,IFERROR((VALUE(E118)+VALUE(I118))/2,E118))))</f>
        <v/>
      </c>
      <c r="N118">
        <f>IF(AND(F118="",J118=""),"",IF(H118="",F118,IF(J118="",F118,IFERROR((VALUE(F118)+VALUE(J118))/2,F118))))</f>
        <v/>
      </c>
      <c r="O118">
        <f>IF(AND(M118="",N118=""),"",IF(M118="",N118,IF(N118="",M118,IFERROR((VALUE(M118)+VALUE(N118))/2,""))))</f>
        <v/>
      </c>
      <c r="P118">
        <f>IF(AND(OR('טכנו'!$C$3="הכל",IFERROR(VLOOKUP(D118,'הגדרות'!$A$2:$D$18,2,FALSE),"")='טכנו'!$C$3,IFERROR(VLOOKUP(D118,'הגדרות'!$A$2:$D$18,3,FALSE),"")='טכנו'!$C$3),OR('טכנו'!$C$4="הכל",C118='טכנו'!$C$4),OR('טכנו'!$C$5="הכל",L118='טכנו'!$C$5),OR('טכנו'!$C$6="",IFERROR(VALUE(M118),0)&gt;='טכנו'!$C$6),OR('טכנו'!$C$7="",IFERROR(VALUE(M118),0)&lt;='טכנו'!$C$7),A118&lt;&gt;""),ROW()-4,"")</f>
        <v/>
      </c>
    </row>
    <row r="119">
      <c r="B119">
        <f>IF(A119="","",IFERROR(INDEX('מלאי'!$B$3:$B$357,MATCH(A119,'מלאי'!$D$3:$D$357,0)),""))</f>
        <v/>
      </c>
      <c r="C119">
        <f>IF(A119="","",IFERROR(INDEX('מלאי'!$A$3:$A$357,MATCH(A119,'מלאי'!$D$3:$D$357,0)),""))</f>
        <v/>
      </c>
      <c r="D119">
        <f>IF(A119="","",IFERROR(INDEX('מלאי'!$H$3:$H$357,MATCH(A119,'מלאי'!$D$3:$D$357,0)),""))</f>
        <v/>
      </c>
      <c r="H119">
        <f>IF(A119="","",IFERROR(INDEX('מלאי'!$I$3:$I$357,MATCH(A119,'מלאי'!$D$3:$D$357,0)),""))</f>
        <v/>
      </c>
      <c r="M119">
        <f>IF(AND(E119="",I119=""),"",IF(H119="",E119,IF(I119="",E119,IFERROR((VALUE(E119)+VALUE(I119))/2,E119))))</f>
        <v/>
      </c>
      <c r="N119">
        <f>IF(AND(F119="",J119=""),"",IF(H119="",F119,IF(J119="",F119,IFERROR((VALUE(F119)+VALUE(J119))/2,F119))))</f>
        <v/>
      </c>
      <c r="O119">
        <f>IF(AND(M119="",N119=""),"",IF(M119="",N119,IF(N119="",M119,IFERROR((VALUE(M119)+VALUE(N119))/2,""))))</f>
        <v/>
      </c>
      <c r="P119">
        <f>IF(AND(OR('טכנו'!$C$3="הכל",IFERROR(VLOOKUP(D119,'הגדרות'!$A$2:$D$18,2,FALSE),"")='טכנו'!$C$3,IFERROR(VLOOKUP(D119,'הגדרות'!$A$2:$D$18,3,FALSE),"")='טכנו'!$C$3),OR('טכנו'!$C$4="הכל",C119='טכנו'!$C$4),OR('טכנו'!$C$5="הכל",L119='טכנו'!$C$5),OR('טכנו'!$C$6="",IFERROR(VALUE(M119),0)&gt;='טכנו'!$C$6),OR('טכנו'!$C$7="",IFERROR(VALUE(M119),0)&lt;='טכנו'!$C$7),A119&lt;&gt;""),ROW()-4,"")</f>
        <v/>
      </c>
    </row>
    <row r="120">
      <c r="B120">
        <f>IF(A120="","",IFERROR(INDEX('מלאי'!$B$3:$B$357,MATCH(A120,'מלאי'!$D$3:$D$357,0)),""))</f>
        <v/>
      </c>
      <c r="C120">
        <f>IF(A120="","",IFERROR(INDEX('מלאי'!$A$3:$A$357,MATCH(A120,'מלאי'!$D$3:$D$357,0)),""))</f>
        <v/>
      </c>
      <c r="D120">
        <f>IF(A120="","",IFERROR(INDEX('מלאי'!$H$3:$H$357,MATCH(A120,'מלאי'!$D$3:$D$357,0)),""))</f>
        <v/>
      </c>
      <c r="H120">
        <f>IF(A120="","",IFERROR(INDEX('מלאי'!$I$3:$I$357,MATCH(A120,'מלאי'!$D$3:$D$357,0)),""))</f>
        <v/>
      </c>
      <c r="M120">
        <f>IF(AND(E120="",I120=""),"",IF(H120="",E120,IF(I120="",E120,IFERROR((VALUE(E120)+VALUE(I120))/2,E120))))</f>
        <v/>
      </c>
      <c r="N120">
        <f>IF(AND(F120="",J120=""),"",IF(H120="",F120,IF(J120="",F120,IFERROR((VALUE(F120)+VALUE(J120))/2,F120))))</f>
        <v/>
      </c>
      <c r="O120">
        <f>IF(AND(M120="",N120=""),"",IF(M120="",N120,IF(N120="",M120,IFERROR((VALUE(M120)+VALUE(N120))/2,""))))</f>
        <v/>
      </c>
      <c r="P120">
        <f>IF(AND(OR('טכנו'!$C$3="הכל",IFERROR(VLOOKUP(D120,'הגדרות'!$A$2:$D$18,2,FALSE),"")='טכנו'!$C$3,IFERROR(VLOOKUP(D120,'הגדרות'!$A$2:$D$18,3,FALSE),"")='טכנו'!$C$3),OR('טכנו'!$C$4="הכל",C120='טכנו'!$C$4),OR('טכנו'!$C$5="הכל",L120='טכנו'!$C$5),OR('טכנו'!$C$6="",IFERROR(VALUE(M120),0)&gt;='טכנו'!$C$6),OR('טכנו'!$C$7="",IFERROR(VALUE(M120),0)&lt;='טכנו'!$C$7),A120&lt;&gt;""),ROW()-4,"")</f>
        <v/>
      </c>
    </row>
    <row r="121">
      <c r="B121">
        <f>IF(A121="","",IFERROR(INDEX('מלאי'!$B$3:$B$357,MATCH(A121,'מלאי'!$D$3:$D$357,0)),""))</f>
        <v/>
      </c>
      <c r="C121">
        <f>IF(A121="","",IFERROR(INDEX('מלאי'!$A$3:$A$357,MATCH(A121,'מלאי'!$D$3:$D$357,0)),""))</f>
        <v/>
      </c>
      <c r="D121">
        <f>IF(A121="","",IFERROR(INDEX('מלאי'!$H$3:$H$357,MATCH(A121,'מלאי'!$D$3:$D$357,0)),""))</f>
        <v/>
      </c>
      <c r="H121">
        <f>IF(A121="","",IFERROR(INDEX('מלאי'!$I$3:$I$357,MATCH(A121,'מלאי'!$D$3:$D$357,0)),""))</f>
        <v/>
      </c>
      <c r="M121">
        <f>IF(AND(E121="",I121=""),"",IF(H121="",E121,IF(I121="",E121,IFERROR((VALUE(E121)+VALUE(I121))/2,E121))))</f>
        <v/>
      </c>
      <c r="N121">
        <f>IF(AND(F121="",J121=""),"",IF(H121="",F121,IF(J121="",F121,IFERROR((VALUE(F121)+VALUE(J121))/2,F121))))</f>
        <v/>
      </c>
      <c r="O121">
        <f>IF(AND(M121="",N121=""),"",IF(M121="",N121,IF(N121="",M121,IFERROR((VALUE(M121)+VALUE(N121))/2,""))))</f>
        <v/>
      </c>
      <c r="P121">
        <f>IF(AND(OR('טכנו'!$C$3="הכל",IFERROR(VLOOKUP(D121,'הגדרות'!$A$2:$D$18,2,FALSE),"")='טכנו'!$C$3,IFERROR(VLOOKUP(D121,'הגדרות'!$A$2:$D$18,3,FALSE),"")='טכנו'!$C$3),OR('טכנו'!$C$4="הכל",C121='טכנו'!$C$4),OR('טכנו'!$C$5="הכל",L121='טכנו'!$C$5),OR('טכנו'!$C$6="",IFERROR(VALUE(M121),0)&gt;='טכנו'!$C$6),OR('טכנו'!$C$7="",IFERROR(VALUE(M121),0)&lt;='טכנו'!$C$7),A121&lt;&gt;""),ROW()-4,"")</f>
        <v/>
      </c>
    </row>
    <row r="122">
      <c r="B122">
        <f>IF(A122="","",IFERROR(INDEX('מלאי'!$B$3:$B$357,MATCH(A122,'מלאי'!$D$3:$D$357,0)),""))</f>
        <v/>
      </c>
      <c r="C122">
        <f>IF(A122="","",IFERROR(INDEX('מלאי'!$A$3:$A$357,MATCH(A122,'מלאי'!$D$3:$D$357,0)),""))</f>
        <v/>
      </c>
      <c r="D122">
        <f>IF(A122="","",IFERROR(INDEX('מלאי'!$H$3:$H$357,MATCH(A122,'מלאי'!$D$3:$D$357,0)),""))</f>
        <v/>
      </c>
      <c r="H122">
        <f>IF(A122="","",IFERROR(INDEX('מלאי'!$I$3:$I$357,MATCH(A122,'מלאי'!$D$3:$D$357,0)),""))</f>
        <v/>
      </c>
      <c r="M122">
        <f>IF(AND(E122="",I122=""),"",IF(H122="",E122,IF(I122="",E122,IFERROR((VALUE(E122)+VALUE(I122))/2,E122))))</f>
        <v/>
      </c>
      <c r="N122">
        <f>IF(AND(F122="",J122=""),"",IF(H122="",F122,IF(J122="",F122,IFERROR((VALUE(F122)+VALUE(J122))/2,F122))))</f>
        <v/>
      </c>
      <c r="O122">
        <f>IF(AND(M122="",N122=""),"",IF(M122="",N122,IF(N122="",M122,IFERROR((VALUE(M122)+VALUE(N122))/2,""))))</f>
        <v/>
      </c>
      <c r="P122">
        <f>IF(AND(OR('טכנו'!$C$3="הכל",IFERROR(VLOOKUP(D122,'הגדרות'!$A$2:$D$18,2,FALSE),"")='טכנו'!$C$3,IFERROR(VLOOKUP(D122,'הגדרות'!$A$2:$D$18,3,FALSE),"")='טכנו'!$C$3),OR('טכנו'!$C$4="הכל",C122='טכנו'!$C$4),OR('טכנו'!$C$5="הכל",L122='טכנו'!$C$5),OR('טכנו'!$C$6="",IFERROR(VALUE(M122),0)&gt;='טכנו'!$C$6),OR('טכנו'!$C$7="",IFERROR(VALUE(M122),0)&lt;='טכנו'!$C$7),A122&lt;&gt;""),ROW()-4,"")</f>
        <v/>
      </c>
    </row>
    <row r="123">
      <c r="B123">
        <f>IF(A123="","",IFERROR(INDEX('מלאי'!$B$3:$B$357,MATCH(A123,'מלאי'!$D$3:$D$357,0)),""))</f>
        <v/>
      </c>
      <c r="C123">
        <f>IF(A123="","",IFERROR(INDEX('מלאי'!$A$3:$A$357,MATCH(A123,'מלאי'!$D$3:$D$357,0)),""))</f>
        <v/>
      </c>
      <c r="D123">
        <f>IF(A123="","",IFERROR(INDEX('מלאי'!$H$3:$H$357,MATCH(A123,'מלאי'!$D$3:$D$357,0)),""))</f>
        <v/>
      </c>
      <c r="H123">
        <f>IF(A123="","",IFERROR(INDEX('מלאי'!$I$3:$I$357,MATCH(A123,'מלאי'!$D$3:$D$357,0)),""))</f>
        <v/>
      </c>
      <c r="M123">
        <f>IF(AND(E123="",I123=""),"",IF(H123="",E123,IF(I123="",E123,IFERROR((VALUE(E123)+VALUE(I123))/2,E123))))</f>
        <v/>
      </c>
      <c r="N123">
        <f>IF(AND(F123="",J123=""),"",IF(H123="",F123,IF(J123="",F123,IFERROR((VALUE(F123)+VALUE(J123))/2,F123))))</f>
        <v/>
      </c>
      <c r="O123">
        <f>IF(AND(M123="",N123=""),"",IF(M123="",N123,IF(N123="",M123,IFERROR((VALUE(M123)+VALUE(N123))/2,""))))</f>
        <v/>
      </c>
      <c r="P123">
        <f>IF(AND(OR('טכנו'!$C$3="הכל",IFERROR(VLOOKUP(D123,'הגדרות'!$A$2:$D$18,2,FALSE),"")='טכנו'!$C$3,IFERROR(VLOOKUP(D123,'הגדרות'!$A$2:$D$18,3,FALSE),"")='טכנו'!$C$3),OR('טכנו'!$C$4="הכל",C123='טכנו'!$C$4),OR('טכנו'!$C$5="הכל",L123='טכנו'!$C$5),OR('טכנו'!$C$6="",IFERROR(VALUE(M123),0)&gt;='טכנו'!$C$6),OR('טכנו'!$C$7="",IFERROR(VALUE(M123),0)&lt;='טכנו'!$C$7),A123&lt;&gt;""),ROW()-4,"")</f>
        <v/>
      </c>
    </row>
    <row r="124">
      <c r="B124">
        <f>IF(A124="","",IFERROR(INDEX('מלאי'!$B$3:$B$357,MATCH(A124,'מלאי'!$D$3:$D$357,0)),""))</f>
        <v/>
      </c>
      <c r="C124">
        <f>IF(A124="","",IFERROR(INDEX('מלאי'!$A$3:$A$357,MATCH(A124,'מלאי'!$D$3:$D$357,0)),""))</f>
        <v/>
      </c>
      <c r="D124">
        <f>IF(A124="","",IFERROR(INDEX('מלאי'!$H$3:$H$357,MATCH(A124,'מלאי'!$D$3:$D$357,0)),""))</f>
        <v/>
      </c>
      <c r="H124">
        <f>IF(A124="","",IFERROR(INDEX('מלאי'!$I$3:$I$357,MATCH(A124,'מלאי'!$D$3:$D$357,0)),""))</f>
        <v/>
      </c>
      <c r="M124">
        <f>IF(AND(E124="",I124=""),"",IF(H124="",E124,IF(I124="",E124,IFERROR((VALUE(E124)+VALUE(I124))/2,E124))))</f>
        <v/>
      </c>
      <c r="N124">
        <f>IF(AND(F124="",J124=""),"",IF(H124="",F124,IF(J124="",F124,IFERROR((VALUE(F124)+VALUE(J124))/2,F124))))</f>
        <v/>
      </c>
      <c r="O124">
        <f>IF(AND(M124="",N124=""),"",IF(M124="",N124,IF(N124="",M124,IFERROR((VALUE(M124)+VALUE(N124))/2,""))))</f>
        <v/>
      </c>
      <c r="P124">
        <f>IF(AND(OR('טכנו'!$C$3="הכל",IFERROR(VLOOKUP(D124,'הגדרות'!$A$2:$D$18,2,FALSE),"")='טכנו'!$C$3,IFERROR(VLOOKUP(D124,'הגדרות'!$A$2:$D$18,3,FALSE),"")='טכנו'!$C$3),OR('טכנו'!$C$4="הכל",C124='טכנו'!$C$4),OR('טכנו'!$C$5="הכל",L124='טכנו'!$C$5),OR('טכנו'!$C$6="",IFERROR(VALUE(M124),0)&gt;='טכנו'!$C$6),OR('טכנו'!$C$7="",IFERROR(VALUE(M124),0)&lt;='טכנו'!$C$7),A124&lt;&gt;""),ROW()-4,"")</f>
        <v/>
      </c>
    </row>
    <row r="125">
      <c r="B125">
        <f>IF(A125="","",IFERROR(INDEX('מלאי'!$B$3:$B$357,MATCH(A125,'מלאי'!$D$3:$D$357,0)),""))</f>
        <v/>
      </c>
      <c r="C125">
        <f>IF(A125="","",IFERROR(INDEX('מלאי'!$A$3:$A$357,MATCH(A125,'מלאי'!$D$3:$D$357,0)),""))</f>
        <v/>
      </c>
      <c r="D125">
        <f>IF(A125="","",IFERROR(INDEX('מלאי'!$H$3:$H$357,MATCH(A125,'מלאי'!$D$3:$D$357,0)),""))</f>
        <v/>
      </c>
      <c r="H125">
        <f>IF(A125="","",IFERROR(INDEX('מלאי'!$I$3:$I$357,MATCH(A125,'מלאי'!$D$3:$D$357,0)),""))</f>
        <v/>
      </c>
      <c r="M125">
        <f>IF(AND(E125="",I125=""),"",IF(H125="",E125,IF(I125="",E125,IFERROR((VALUE(E125)+VALUE(I125))/2,E125))))</f>
        <v/>
      </c>
      <c r="N125">
        <f>IF(AND(F125="",J125=""),"",IF(H125="",F125,IF(J125="",F125,IFERROR((VALUE(F125)+VALUE(J125))/2,F125))))</f>
        <v/>
      </c>
      <c r="O125">
        <f>IF(AND(M125="",N125=""),"",IF(M125="",N125,IF(N125="",M125,IFERROR((VALUE(M125)+VALUE(N125))/2,""))))</f>
        <v/>
      </c>
      <c r="P125">
        <f>IF(AND(OR('טכנו'!$C$3="הכל",IFERROR(VLOOKUP(D125,'הגדרות'!$A$2:$D$18,2,FALSE),"")='טכנו'!$C$3,IFERROR(VLOOKUP(D125,'הגדרות'!$A$2:$D$18,3,FALSE),"")='טכנו'!$C$3),OR('טכנו'!$C$4="הכל",C125='טכנו'!$C$4),OR('טכנו'!$C$5="הכל",L125='טכנו'!$C$5),OR('טכנו'!$C$6="",IFERROR(VALUE(M125),0)&gt;='טכנו'!$C$6),OR('טכנו'!$C$7="",IFERROR(VALUE(M125),0)&lt;='טכנו'!$C$7),A125&lt;&gt;""),ROW()-4,"")</f>
        <v/>
      </c>
    </row>
    <row r="126">
      <c r="B126">
        <f>IF(A126="","",IFERROR(INDEX('מלאי'!$B$3:$B$357,MATCH(A126,'מלאי'!$D$3:$D$357,0)),""))</f>
        <v/>
      </c>
      <c r="C126">
        <f>IF(A126="","",IFERROR(INDEX('מלאי'!$A$3:$A$357,MATCH(A126,'מלאי'!$D$3:$D$357,0)),""))</f>
        <v/>
      </c>
      <c r="D126">
        <f>IF(A126="","",IFERROR(INDEX('מלאי'!$H$3:$H$357,MATCH(A126,'מלאי'!$D$3:$D$357,0)),""))</f>
        <v/>
      </c>
      <c r="H126">
        <f>IF(A126="","",IFERROR(INDEX('מלאי'!$I$3:$I$357,MATCH(A126,'מלאי'!$D$3:$D$357,0)),""))</f>
        <v/>
      </c>
      <c r="M126">
        <f>IF(AND(E126="",I126=""),"",IF(H126="",E126,IF(I126="",E126,IFERROR((VALUE(E126)+VALUE(I126))/2,E126))))</f>
        <v/>
      </c>
      <c r="N126">
        <f>IF(AND(F126="",J126=""),"",IF(H126="",F126,IF(J126="",F126,IFERROR((VALUE(F126)+VALUE(J126))/2,F126))))</f>
        <v/>
      </c>
      <c r="O126">
        <f>IF(AND(M126="",N126=""),"",IF(M126="",N126,IF(N126="",M126,IFERROR((VALUE(M126)+VALUE(N126))/2,""))))</f>
        <v/>
      </c>
      <c r="P126">
        <f>IF(AND(OR('טכנו'!$C$3="הכל",IFERROR(VLOOKUP(D126,'הגדרות'!$A$2:$D$18,2,FALSE),"")='טכנו'!$C$3,IFERROR(VLOOKUP(D126,'הגדרות'!$A$2:$D$18,3,FALSE),"")='טכנו'!$C$3),OR('טכנו'!$C$4="הכל",C126='טכנו'!$C$4),OR('טכנו'!$C$5="הכל",L126='טכנו'!$C$5),OR('טכנו'!$C$6="",IFERROR(VALUE(M126),0)&gt;='טכנו'!$C$6),OR('טכנו'!$C$7="",IFERROR(VALUE(M126),0)&lt;='טכנו'!$C$7),A126&lt;&gt;""),ROW()-4,"")</f>
        <v/>
      </c>
    </row>
    <row r="127">
      <c r="B127">
        <f>IF(A127="","",IFERROR(INDEX('מלאי'!$B$3:$B$357,MATCH(A127,'מלאי'!$D$3:$D$357,0)),""))</f>
        <v/>
      </c>
      <c r="C127">
        <f>IF(A127="","",IFERROR(INDEX('מלאי'!$A$3:$A$357,MATCH(A127,'מלאי'!$D$3:$D$357,0)),""))</f>
        <v/>
      </c>
      <c r="D127">
        <f>IF(A127="","",IFERROR(INDEX('מלאי'!$H$3:$H$357,MATCH(A127,'מלאי'!$D$3:$D$357,0)),""))</f>
        <v/>
      </c>
      <c r="H127">
        <f>IF(A127="","",IFERROR(INDEX('מלאי'!$I$3:$I$357,MATCH(A127,'מלאי'!$D$3:$D$357,0)),""))</f>
        <v/>
      </c>
      <c r="M127">
        <f>IF(AND(E127="",I127=""),"",IF(H127="",E127,IF(I127="",E127,IFERROR((VALUE(E127)+VALUE(I127))/2,E127))))</f>
        <v/>
      </c>
      <c r="N127">
        <f>IF(AND(F127="",J127=""),"",IF(H127="",F127,IF(J127="",F127,IFERROR((VALUE(F127)+VALUE(J127))/2,F127))))</f>
        <v/>
      </c>
      <c r="O127">
        <f>IF(AND(M127="",N127=""),"",IF(M127="",N127,IF(N127="",M127,IFERROR((VALUE(M127)+VALUE(N127))/2,""))))</f>
        <v/>
      </c>
      <c r="P127">
        <f>IF(AND(OR('טכנו'!$C$3="הכל",IFERROR(VLOOKUP(D127,'הגדרות'!$A$2:$D$18,2,FALSE),"")='טכנו'!$C$3,IFERROR(VLOOKUP(D127,'הגדרות'!$A$2:$D$18,3,FALSE),"")='טכנו'!$C$3),OR('טכנו'!$C$4="הכל",C127='טכנו'!$C$4),OR('טכנו'!$C$5="הכל",L127='טכנו'!$C$5),OR('טכנו'!$C$6="",IFERROR(VALUE(M127),0)&gt;='טכנו'!$C$6),OR('טכנו'!$C$7="",IFERROR(VALUE(M127),0)&lt;='טכנו'!$C$7),A127&lt;&gt;""),ROW()-4,"")</f>
        <v/>
      </c>
    </row>
    <row r="128">
      <c r="B128">
        <f>IF(A128="","",IFERROR(INDEX('מלאי'!$B$3:$B$357,MATCH(A128,'מלאי'!$D$3:$D$357,0)),""))</f>
        <v/>
      </c>
      <c r="C128">
        <f>IF(A128="","",IFERROR(INDEX('מלאי'!$A$3:$A$357,MATCH(A128,'מלאי'!$D$3:$D$357,0)),""))</f>
        <v/>
      </c>
      <c r="D128">
        <f>IF(A128="","",IFERROR(INDEX('מלאי'!$H$3:$H$357,MATCH(A128,'מלאי'!$D$3:$D$357,0)),""))</f>
        <v/>
      </c>
      <c r="H128">
        <f>IF(A128="","",IFERROR(INDEX('מלאי'!$I$3:$I$357,MATCH(A128,'מלאי'!$D$3:$D$357,0)),""))</f>
        <v/>
      </c>
      <c r="M128">
        <f>IF(AND(E128="",I128=""),"",IF(H128="",E128,IF(I128="",E128,IFERROR((VALUE(E128)+VALUE(I128))/2,E128))))</f>
        <v/>
      </c>
      <c r="N128">
        <f>IF(AND(F128="",J128=""),"",IF(H128="",F128,IF(J128="",F128,IFERROR((VALUE(F128)+VALUE(J128))/2,F128))))</f>
        <v/>
      </c>
      <c r="O128">
        <f>IF(AND(M128="",N128=""),"",IF(M128="",N128,IF(N128="",M128,IFERROR((VALUE(M128)+VALUE(N128))/2,""))))</f>
        <v/>
      </c>
      <c r="P128">
        <f>IF(AND(OR('טכנו'!$C$3="הכל",IFERROR(VLOOKUP(D128,'הגדרות'!$A$2:$D$18,2,FALSE),"")='טכנו'!$C$3,IFERROR(VLOOKUP(D128,'הגדרות'!$A$2:$D$18,3,FALSE),"")='טכנו'!$C$3),OR('טכנו'!$C$4="הכל",C128='טכנו'!$C$4),OR('טכנו'!$C$5="הכל",L128='טכנו'!$C$5),OR('טכנו'!$C$6="",IFERROR(VALUE(M128),0)&gt;='טכנו'!$C$6),OR('טכנו'!$C$7="",IFERROR(VALUE(M128),0)&lt;='טכנו'!$C$7),A128&lt;&gt;""),ROW()-4,"")</f>
        <v/>
      </c>
    </row>
    <row r="129">
      <c r="B129">
        <f>IF(A129="","",IFERROR(INDEX('מלאי'!$B$3:$B$357,MATCH(A129,'מלאי'!$D$3:$D$357,0)),""))</f>
        <v/>
      </c>
      <c r="C129">
        <f>IF(A129="","",IFERROR(INDEX('מלאי'!$A$3:$A$357,MATCH(A129,'מלאי'!$D$3:$D$357,0)),""))</f>
        <v/>
      </c>
      <c r="D129">
        <f>IF(A129="","",IFERROR(INDEX('מלאי'!$H$3:$H$357,MATCH(A129,'מלאי'!$D$3:$D$357,0)),""))</f>
        <v/>
      </c>
      <c r="H129">
        <f>IF(A129="","",IFERROR(INDEX('מלאי'!$I$3:$I$357,MATCH(A129,'מלאי'!$D$3:$D$357,0)),""))</f>
        <v/>
      </c>
      <c r="M129">
        <f>IF(AND(E129="",I129=""),"",IF(H129="",E129,IF(I129="",E129,IFERROR((VALUE(E129)+VALUE(I129))/2,E129))))</f>
        <v/>
      </c>
      <c r="N129">
        <f>IF(AND(F129="",J129=""),"",IF(H129="",F129,IF(J129="",F129,IFERROR((VALUE(F129)+VALUE(J129))/2,F129))))</f>
        <v/>
      </c>
      <c r="O129">
        <f>IF(AND(M129="",N129=""),"",IF(M129="",N129,IF(N129="",M129,IFERROR((VALUE(M129)+VALUE(N129))/2,""))))</f>
        <v/>
      </c>
      <c r="P129">
        <f>IF(AND(OR('טכנו'!$C$3="הכל",IFERROR(VLOOKUP(D129,'הגדרות'!$A$2:$D$18,2,FALSE),"")='טכנו'!$C$3,IFERROR(VLOOKUP(D129,'הגדרות'!$A$2:$D$18,3,FALSE),"")='טכנו'!$C$3),OR('טכנו'!$C$4="הכל",C129='טכנו'!$C$4),OR('טכנו'!$C$5="הכל",L129='טכנו'!$C$5),OR('טכנו'!$C$6="",IFERROR(VALUE(M129),0)&gt;='טכנו'!$C$6),OR('טכנו'!$C$7="",IFERROR(VALUE(M129),0)&lt;='טכנו'!$C$7),A129&lt;&gt;""),ROW()-4,"")</f>
        <v/>
      </c>
    </row>
    <row r="130">
      <c r="B130">
        <f>IF(A130="","",IFERROR(INDEX('מלאי'!$B$3:$B$357,MATCH(A130,'מלאי'!$D$3:$D$357,0)),""))</f>
        <v/>
      </c>
      <c r="C130">
        <f>IF(A130="","",IFERROR(INDEX('מלאי'!$A$3:$A$357,MATCH(A130,'מלאי'!$D$3:$D$357,0)),""))</f>
        <v/>
      </c>
      <c r="D130">
        <f>IF(A130="","",IFERROR(INDEX('מלאי'!$H$3:$H$357,MATCH(A130,'מלאי'!$D$3:$D$357,0)),""))</f>
        <v/>
      </c>
      <c r="H130">
        <f>IF(A130="","",IFERROR(INDEX('מלאי'!$I$3:$I$357,MATCH(A130,'מלאי'!$D$3:$D$357,0)),""))</f>
        <v/>
      </c>
      <c r="M130">
        <f>IF(AND(E130="",I130=""),"",IF(H130="",E130,IF(I130="",E130,IFERROR((VALUE(E130)+VALUE(I130))/2,E130))))</f>
        <v/>
      </c>
      <c r="N130">
        <f>IF(AND(F130="",J130=""),"",IF(H130="",F130,IF(J130="",F130,IFERROR((VALUE(F130)+VALUE(J130))/2,F130))))</f>
        <v/>
      </c>
      <c r="O130">
        <f>IF(AND(M130="",N130=""),"",IF(M130="",N130,IF(N130="",M130,IFERROR((VALUE(M130)+VALUE(N130))/2,""))))</f>
        <v/>
      </c>
      <c r="P130">
        <f>IF(AND(OR('טכנו'!$C$3="הכל",IFERROR(VLOOKUP(D130,'הגדרות'!$A$2:$D$18,2,FALSE),"")='טכנו'!$C$3,IFERROR(VLOOKUP(D130,'הגדרות'!$A$2:$D$18,3,FALSE),"")='טכנו'!$C$3),OR('טכנו'!$C$4="הכל",C130='טכנו'!$C$4),OR('טכנו'!$C$5="הכל",L130='טכנו'!$C$5),OR('טכנו'!$C$6="",IFERROR(VALUE(M130),0)&gt;='טכנו'!$C$6),OR('טכנו'!$C$7="",IFERROR(VALUE(M130),0)&lt;='טכנו'!$C$7),A130&lt;&gt;""),ROW()-4,"")</f>
        <v/>
      </c>
    </row>
    <row r="131">
      <c r="B131">
        <f>IF(A131="","",IFERROR(INDEX('מלאי'!$B$3:$B$357,MATCH(A131,'מלאי'!$D$3:$D$357,0)),""))</f>
        <v/>
      </c>
      <c r="C131">
        <f>IF(A131="","",IFERROR(INDEX('מלאי'!$A$3:$A$357,MATCH(A131,'מלאי'!$D$3:$D$357,0)),""))</f>
        <v/>
      </c>
      <c r="D131">
        <f>IF(A131="","",IFERROR(INDEX('מלאי'!$H$3:$H$357,MATCH(A131,'מלאי'!$D$3:$D$357,0)),""))</f>
        <v/>
      </c>
      <c r="H131">
        <f>IF(A131="","",IFERROR(INDEX('מלאי'!$I$3:$I$357,MATCH(A131,'מלאי'!$D$3:$D$357,0)),""))</f>
        <v/>
      </c>
      <c r="M131">
        <f>IF(AND(E131="",I131=""),"",IF(H131="",E131,IF(I131="",E131,IFERROR((VALUE(E131)+VALUE(I131))/2,E131))))</f>
        <v/>
      </c>
      <c r="N131">
        <f>IF(AND(F131="",J131=""),"",IF(H131="",F131,IF(J131="",F131,IFERROR((VALUE(F131)+VALUE(J131))/2,F131))))</f>
        <v/>
      </c>
      <c r="O131">
        <f>IF(AND(M131="",N131=""),"",IF(M131="",N131,IF(N131="",M131,IFERROR((VALUE(M131)+VALUE(N131))/2,""))))</f>
        <v/>
      </c>
      <c r="P131">
        <f>IF(AND(OR('טכנו'!$C$3="הכל",IFERROR(VLOOKUP(D131,'הגדרות'!$A$2:$D$18,2,FALSE),"")='טכנו'!$C$3,IFERROR(VLOOKUP(D131,'הגדרות'!$A$2:$D$18,3,FALSE),"")='טכנו'!$C$3),OR('טכנו'!$C$4="הכל",C131='טכנו'!$C$4),OR('טכנו'!$C$5="הכל",L131='טכנו'!$C$5),OR('טכנו'!$C$6="",IFERROR(VALUE(M131),0)&gt;='טכנו'!$C$6),OR('טכנו'!$C$7="",IFERROR(VALUE(M131),0)&lt;='טכנו'!$C$7),A131&lt;&gt;""),ROW()-4,"")</f>
        <v/>
      </c>
    </row>
    <row r="132">
      <c r="B132">
        <f>IF(A132="","",IFERROR(INDEX('מלאי'!$B$3:$B$357,MATCH(A132,'מלאי'!$D$3:$D$357,0)),""))</f>
        <v/>
      </c>
      <c r="C132">
        <f>IF(A132="","",IFERROR(INDEX('מלאי'!$A$3:$A$357,MATCH(A132,'מלאי'!$D$3:$D$357,0)),""))</f>
        <v/>
      </c>
      <c r="D132">
        <f>IF(A132="","",IFERROR(INDEX('מלאי'!$H$3:$H$357,MATCH(A132,'מלאי'!$D$3:$D$357,0)),""))</f>
        <v/>
      </c>
      <c r="H132">
        <f>IF(A132="","",IFERROR(INDEX('מלאי'!$I$3:$I$357,MATCH(A132,'מלאי'!$D$3:$D$357,0)),""))</f>
        <v/>
      </c>
      <c r="M132">
        <f>IF(AND(E132="",I132=""),"",IF(H132="",E132,IF(I132="",E132,IFERROR((VALUE(E132)+VALUE(I132))/2,E132))))</f>
        <v/>
      </c>
      <c r="N132">
        <f>IF(AND(F132="",J132=""),"",IF(H132="",F132,IF(J132="",F132,IFERROR((VALUE(F132)+VALUE(J132))/2,F132))))</f>
        <v/>
      </c>
      <c r="O132">
        <f>IF(AND(M132="",N132=""),"",IF(M132="",N132,IF(N132="",M132,IFERROR((VALUE(M132)+VALUE(N132))/2,""))))</f>
        <v/>
      </c>
      <c r="P132">
        <f>IF(AND(OR('טכנו'!$C$3="הכל",IFERROR(VLOOKUP(D132,'הגדרות'!$A$2:$D$18,2,FALSE),"")='טכנו'!$C$3,IFERROR(VLOOKUP(D132,'הגדרות'!$A$2:$D$18,3,FALSE),"")='טכנו'!$C$3),OR('טכנו'!$C$4="הכל",C132='טכנו'!$C$4),OR('טכנו'!$C$5="הכל",L132='טכנו'!$C$5),OR('טכנו'!$C$6="",IFERROR(VALUE(M132),0)&gt;='טכנו'!$C$6),OR('טכנו'!$C$7="",IFERROR(VALUE(M132),0)&lt;='טכנו'!$C$7),A132&lt;&gt;""),ROW()-4,"")</f>
        <v/>
      </c>
    </row>
    <row r="133">
      <c r="B133">
        <f>IF(A133="","",IFERROR(INDEX('מלאי'!$B$3:$B$357,MATCH(A133,'מלאי'!$D$3:$D$357,0)),""))</f>
        <v/>
      </c>
      <c r="C133">
        <f>IF(A133="","",IFERROR(INDEX('מלאי'!$A$3:$A$357,MATCH(A133,'מלאי'!$D$3:$D$357,0)),""))</f>
        <v/>
      </c>
      <c r="D133">
        <f>IF(A133="","",IFERROR(INDEX('מלאי'!$H$3:$H$357,MATCH(A133,'מלאי'!$D$3:$D$357,0)),""))</f>
        <v/>
      </c>
      <c r="H133">
        <f>IF(A133="","",IFERROR(INDEX('מלאי'!$I$3:$I$357,MATCH(A133,'מלאי'!$D$3:$D$357,0)),""))</f>
        <v/>
      </c>
      <c r="M133">
        <f>IF(AND(E133="",I133=""),"",IF(H133="",E133,IF(I133="",E133,IFERROR((VALUE(E133)+VALUE(I133))/2,E133))))</f>
        <v/>
      </c>
      <c r="N133">
        <f>IF(AND(F133="",J133=""),"",IF(H133="",F133,IF(J133="",F133,IFERROR((VALUE(F133)+VALUE(J133))/2,F133))))</f>
        <v/>
      </c>
      <c r="O133">
        <f>IF(AND(M133="",N133=""),"",IF(M133="",N133,IF(N133="",M133,IFERROR((VALUE(M133)+VALUE(N133))/2,""))))</f>
        <v/>
      </c>
      <c r="P133">
        <f>IF(AND(OR('טכנו'!$C$3="הכל",IFERROR(VLOOKUP(D133,'הגדרות'!$A$2:$D$18,2,FALSE),"")='טכנו'!$C$3,IFERROR(VLOOKUP(D133,'הגדרות'!$A$2:$D$18,3,FALSE),"")='טכנו'!$C$3),OR('טכנו'!$C$4="הכל",C133='טכנו'!$C$4),OR('טכנו'!$C$5="הכל",L133='טכנו'!$C$5),OR('טכנו'!$C$6="",IFERROR(VALUE(M133),0)&gt;='טכנו'!$C$6),OR('טכנו'!$C$7="",IFERROR(VALUE(M133),0)&lt;='טכנו'!$C$7),A133&lt;&gt;""),ROW()-4,"")</f>
        <v/>
      </c>
    </row>
    <row r="134">
      <c r="B134">
        <f>IF(A134="","",IFERROR(INDEX('מלאי'!$B$3:$B$357,MATCH(A134,'מלאי'!$D$3:$D$357,0)),""))</f>
        <v/>
      </c>
      <c r="C134">
        <f>IF(A134="","",IFERROR(INDEX('מלאי'!$A$3:$A$357,MATCH(A134,'מלאי'!$D$3:$D$357,0)),""))</f>
        <v/>
      </c>
      <c r="D134">
        <f>IF(A134="","",IFERROR(INDEX('מלאי'!$H$3:$H$357,MATCH(A134,'מלאי'!$D$3:$D$357,0)),""))</f>
        <v/>
      </c>
      <c r="H134">
        <f>IF(A134="","",IFERROR(INDEX('מלאי'!$I$3:$I$357,MATCH(A134,'מלאי'!$D$3:$D$357,0)),""))</f>
        <v/>
      </c>
      <c r="M134">
        <f>IF(AND(E134="",I134=""),"",IF(H134="",E134,IF(I134="",E134,IFERROR((VALUE(E134)+VALUE(I134))/2,E134))))</f>
        <v/>
      </c>
      <c r="N134">
        <f>IF(AND(F134="",J134=""),"",IF(H134="",F134,IF(J134="",F134,IFERROR((VALUE(F134)+VALUE(J134))/2,F134))))</f>
        <v/>
      </c>
      <c r="O134">
        <f>IF(AND(M134="",N134=""),"",IF(M134="",N134,IF(N134="",M134,IFERROR((VALUE(M134)+VALUE(N134))/2,""))))</f>
        <v/>
      </c>
      <c r="P134">
        <f>IF(AND(OR('טכנו'!$C$3="הכל",IFERROR(VLOOKUP(D134,'הגדרות'!$A$2:$D$18,2,FALSE),"")='טכנו'!$C$3,IFERROR(VLOOKUP(D134,'הגדרות'!$A$2:$D$18,3,FALSE),"")='טכנו'!$C$3),OR('טכנו'!$C$4="הכל",C134='טכנו'!$C$4),OR('טכנו'!$C$5="הכל",L134='טכנו'!$C$5),OR('טכנו'!$C$6="",IFERROR(VALUE(M134),0)&gt;='טכנו'!$C$6),OR('טכנו'!$C$7="",IFERROR(VALUE(M134),0)&lt;='טכנו'!$C$7),A134&lt;&gt;""),ROW()-4,"")</f>
        <v/>
      </c>
    </row>
    <row r="135">
      <c r="B135">
        <f>IF(A135="","",IFERROR(INDEX('מלאי'!$B$3:$B$357,MATCH(A135,'מלאי'!$D$3:$D$357,0)),""))</f>
        <v/>
      </c>
      <c r="C135">
        <f>IF(A135="","",IFERROR(INDEX('מלאי'!$A$3:$A$357,MATCH(A135,'מלאי'!$D$3:$D$357,0)),""))</f>
        <v/>
      </c>
      <c r="D135">
        <f>IF(A135="","",IFERROR(INDEX('מלאי'!$H$3:$H$357,MATCH(A135,'מלאי'!$D$3:$D$357,0)),""))</f>
        <v/>
      </c>
      <c r="H135">
        <f>IF(A135="","",IFERROR(INDEX('מלאי'!$I$3:$I$357,MATCH(A135,'מלאי'!$D$3:$D$357,0)),""))</f>
        <v/>
      </c>
      <c r="M135">
        <f>IF(AND(E135="",I135=""),"",IF(H135="",E135,IF(I135="",E135,IFERROR((VALUE(E135)+VALUE(I135))/2,E135))))</f>
        <v/>
      </c>
      <c r="N135">
        <f>IF(AND(F135="",J135=""),"",IF(H135="",F135,IF(J135="",F135,IFERROR((VALUE(F135)+VALUE(J135))/2,F135))))</f>
        <v/>
      </c>
      <c r="O135">
        <f>IF(AND(M135="",N135=""),"",IF(M135="",N135,IF(N135="",M135,IFERROR((VALUE(M135)+VALUE(N135))/2,""))))</f>
        <v/>
      </c>
      <c r="P135">
        <f>IF(AND(OR('טכנו'!$C$3="הכל",IFERROR(VLOOKUP(D135,'הגדרות'!$A$2:$D$18,2,FALSE),"")='טכנו'!$C$3,IFERROR(VLOOKUP(D135,'הגדרות'!$A$2:$D$18,3,FALSE),"")='טכנו'!$C$3),OR('טכנו'!$C$4="הכל",C135='טכנו'!$C$4),OR('טכנו'!$C$5="הכל",L135='טכנו'!$C$5),OR('טכנו'!$C$6="",IFERROR(VALUE(M135),0)&gt;='טכנו'!$C$6),OR('טכנו'!$C$7="",IFERROR(VALUE(M135),0)&lt;='טכנו'!$C$7),A135&lt;&gt;""),ROW()-4,"")</f>
        <v/>
      </c>
    </row>
    <row r="136">
      <c r="B136">
        <f>IF(A136="","",IFERROR(INDEX('מלאי'!$B$3:$B$357,MATCH(A136,'מלאי'!$D$3:$D$357,0)),""))</f>
        <v/>
      </c>
      <c r="C136">
        <f>IF(A136="","",IFERROR(INDEX('מלאי'!$A$3:$A$357,MATCH(A136,'מלאי'!$D$3:$D$357,0)),""))</f>
        <v/>
      </c>
      <c r="D136">
        <f>IF(A136="","",IFERROR(INDEX('מלאי'!$H$3:$H$357,MATCH(A136,'מלאי'!$D$3:$D$357,0)),""))</f>
        <v/>
      </c>
      <c r="H136">
        <f>IF(A136="","",IFERROR(INDEX('מלאי'!$I$3:$I$357,MATCH(A136,'מלאי'!$D$3:$D$357,0)),""))</f>
        <v/>
      </c>
      <c r="M136">
        <f>IF(AND(E136="",I136=""),"",IF(H136="",E136,IF(I136="",E136,IFERROR((VALUE(E136)+VALUE(I136))/2,E136))))</f>
        <v/>
      </c>
      <c r="N136">
        <f>IF(AND(F136="",J136=""),"",IF(H136="",F136,IF(J136="",F136,IFERROR((VALUE(F136)+VALUE(J136))/2,F136))))</f>
        <v/>
      </c>
      <c r="O136">
        <f>IF(AND(M136="",N136=""),"",IF(M136="",N136,IF(N136="",M136,IFERROR((VALUE(M136)+VALUE(N136))/2,""))))</f>
        <v/>
      </c>
      <c r="P136">
        <f>IF(AND(OR('טכנו'!$C$3="הכל",IFERROR(VLOOKUP(D136,'הגדרות'!$A$2:$D$18,2,FALSE),"")='טכנו'!$C$3,IFERROR(VLOOKUP(D136,'הגדרות'!$A$2:$D$18,3,FALSE),"")='טכנו'!$C$3),OR('טכנו'!$C$4="הכל",C136='טכנו'!$C$4),OR('טכנו'!$C$5="הכל",L136='טכנו'!$C$5),OR('טכנו'!$C$6="",IFERROR(VALUE(M136),0)&gt;='טכנו'!$C$6),OR('טכנו'!$C$7="",IFERROR(VALUE(M136),0)&lt;='טכנו'!$C$7),A136&lt;&gt;""),ROW()-4,"")</f>
        <v/>
      </c>
    </row>
    <row r="137">
      <c r="B137">
        <f>IF(A137="","",IFERROR(INDEX('מלאי'!$B$3:$B$357,MATCH(A137,'מלאי'!$D$3:$D$357,0)),""))</f>
        <v/>
      </c>
      <c r="C137">
        <f>IF(A137="","",IFERROR(INDEX('מלאי'!$A$3:$A$357,MATCH(A137,'מלאי'!$D$3:$D$357,0)),""))</f>
        <v/>
      </c>
      <c r="D137">
        <f>IF(A137="","",IFERROR(INDEX('מלאי'!$H$3:$H$357,MATCH(A137,'מלאי'!$D$3:$D$357,0)),""))</f>
        <v/>
      </c>
      <c r="H137">
        <f>IF(A137="","",IFERROR(INDEX('מלאי'!$I$3:$I$357,MATCH(A137,'מלאי'!$D$3:$D$357,0)),""))</f>
        <v/>
      </c>
      <c r="M137">
        <f>IF(AND(E137="",I137=""),"",IF(H137="",E137,IF(I137="",E137,IFERROR((VALUE(E137)+VALUE(I137))/2,E137))))</f>
        <v/>
      </c>
      <c r="N137">
        <f>IF(AND(F137="",J137=""),"",IF(H137="",F137,IF(J137="",F137,IFERROR((VALUE(F137)+VALUE(J137))/2,F137))))</f>
        <v/>
      </c>
      <c r="O137">
        <f>IF(AND(M137="",N137=""),"",IF(M137="",N137,IF(N137="",M137,IFERROR((VALUE(M137)+VALUE(N137))/2,""))))</f>
        <v/>
      </c>
      <c r="P137">
        <f>IF(AND(OR('טכנו'!$C$3="הכל",IFERROR(VLOOKUP(D137,'הגדרות'!$A$2:$D$18,2,FALSE),"")='טכנו'!$C$3,IFERROR(VLOOKUP(D137,'הגדרות'!$A$2:$D$18,3,FALSE),"")='טכנו'!$C$3),OR('טכנו'!$C$4="הכל",C137='טכנו'!$C$4),OR('טכנו'!$C$5="הכל",L137='טכנו'!$C$5),OR('טכנו'!$C$6="",IFERROR(VALUE(M137),0)&gt;='טכנו'!$C$6),OR('טכנו'!$C$7="",IFERROR(VALUE(M137),0)&lt;='טכנו'!$C$7),A137&lt;&gt;""),ROW()-4,"")</f>
        <v/>
      </c>
    </row>
    <row r="138">
      <c r="B138">
        <f>IF(A138="","",IFERROR(INDEX('מלאי'!$B$3:$B$357,MATCH(A138,'מלאי'!$D$3:$D$357,0)),""))</f>
        <v/>
      </c>
      <c r="C138">
        <f>IF(A138="","",IFERROR(INDEX('מלאי'!$A$3:$A$357,MATCH(A138,'מלאי'!$D$3:$D$357,0)),""))</f>
        <v/>
      </c>
      <c r="D138">
        <f>IF(A138="","",IFERROR(INDEX('מלאי'!$H$3:$H$357,MATCH(A138,'מלאי'!$D$3:$D$357,0)),""))</f>
        <v/>
      </c>
      <c r="H138">
        <f>IF(A138="","",IFERROR(INDEX('מלאי'!$I$3:$I$357,MATCH(A138,'מלאי'!$D$3:$D$357,0)),""))</f>
        <v/>
      </c>
      <c r="M138">
        <f>IF(AND(E138="",I138=""),"",IF(H138="",E138,IF(I138="",E138,IFERROR((VALUE(E138)+VALUE(I138))/2,E138))))</f>
        <v/>
      </c>
      <c r="N138">
        <f>IF(AND(F138="",J138=""),"",IF(H138="",F138,IF(J138="",F138,IFERROR((VALUE(F138)+VALUE(J138))/2,F138))))</f>
        <v/>
      </c>
      <c r="O138">
        <f>IF(AND(M138="",N138=""),"",IF(M138="",N138,IF(N138="",M138,IFERROR((VALUE(M138)+VALUE(N138))/2,""))))</f>
        <v/>
      </c>
      <c r="P138">
        <f>IF(AND(OR('טכנו'!$C$3="הכל",IFERROR(VLOOKUP(D138,'הגדרות'!$A$2:$D$18,2,FALSE),"")='טכנו'!$C$3,IFERROR(VLOOKUP(D138,'הגדרות'!$A$2:$D$18,3,FALSE),"")='טכנו'!$C$3),OR('טכנו'!$C$4="הכל",C138='טכנו'!$C$4),OR('טכנו'!$C$5="הכל",L138='טכנו'!$C$5),OR('טכנו'!$C$6="",IFERROR(VALUE(M138),0)&gt;='טכנו'!$C$6),OR('טכנו'!$C$7="",IFERROR(VALUE(M138),0)&lt;='טכנו'!$C$7),A138&lt;&gt;""),ROW()-4,"")</f>
        <v/>
      </c>
    </row>
    <row r="139">
      <c r="B139">
        <f>IF(A139="","",IFERROR(INDEX('מלאי'!$B$3:$B$357,MATCH(A139,'מלאי'!$D$3:$D$357,0)),""))</f>
        <v/>
      </c>
      <c r="C139">
        <f>IF(A139="","",IFERROR(INDEX('מלאי'!$A$3:$A$357,MATCH(A139,'מלאי'!$D$3:$D$357,0)),""))</f>
        <v/>
      </c>
      <c r="D139">
        <f>IF(A139="","",IFERROR(INDEX('מלאי'!$H$3:$H$357,MATCH(A139,'מלאי'!$D$3:$D$357,0)),""))</f>
        <v/>
      </c>
      <c r="H139">
        <f>IF(A139="","",IFERROR(INDEX('מלאי'!$I$3:$I$357,MATCH(A139,'מלאי'!$D$3:$D$357,0)),""))</f>
        <v/>
      </c>
      <c r="M139">
        <f>IF(AND(E139="",I139=""),"",IF(H139="",E139,IF(I139="",E139,IFERROR((VALUE(E139)+VALUE(I139))/2,E139))))</f>
        <v/>
      </c>
      <c r="N139">
        <f>IF(AND(F139="",J139=""),"",IF(H139="",F139,IF(J139="",F139,IFERROR((VALUE(F139)+VALUE(J139))/2,F139))))</f>
        <v/>
      </c>
      <c r="O139">
        <f>IF(AND(M139="",N139=""),"",IF(M139="",N139,IF(N139="",M139,IFERROR((VALUE(M139)+VALUE(N139))/2,""))))</f>
        <v/>
      </c>
      <c r="P139">
        <f>IF(AND(OR('טכנו'!$C$3="הכל",IFERROR(VLOOKUP(D139,'הגדרות'!$A$2:$D$18,2,FALSE),"")='טכנו'!$C$3,IFERROR(VLOOKUP(D139,'הגדרות'!$A$2:$D$18,3,FALSE),"")='טכנו'!$C$3),OR('טכנו'!$C$4="הכל",C139='טכנו'!$C$4),OR('טכנו'!$C$5="הכל",L139='טכנו'!$C$5),OR('טכנו'!$C$6="",IFERROR(VALUE(M139),0)&gt;='טכנו'!$C$6),OR('טכנו'!$C$7="",IFERROR(VALUE(M139),0)&lt;='טכנו'!$C$7),A139&lt;&gt;""),ROW()-4,"")</f>
        <v/>
      </c>
    </row>
    <row r="140">
      <c r="B140">
        <f>IF(A140="","",IFERROR(INDEX('מלאי'!$B$3:$B$357,MATCH(A140,'מלאי'!$D$3:$D$357,0)),""))</f>
        <v/>
      </c>
      <c r="C140">
        <f>IF(A140="","",IFERROR(INDEX('מלאי'!$A$3:$A$357,MATCH(A140,'מלאי'!$D$3:$D$357,0)),""))</f>
        <v/>
      </c>
      <c r="D140">
        <f>IF(A140="","",IFERROR(INDEX('מלאי'!$H$3:$H$357,MATCH(A140,'מלאי'!$D$3:$D$357,0)),""))</f>
        <v/>
      </c>
      <c r="H140">
        <f>IF(A140="","",IFERROR(INDEX('מלאי'!$I$3:$I$357,MATCH(A140,'מלאי'!$D$3:$D$357,0)),""))</f>
        <v/>
      </c>
      <c r="M140">
        <f>IF(AND(E140="",I140=""),"",IF(H140="",E140,IF(I140="",E140,IFERROR((VALUE(E140)+VALUE(I140))/2,E140))))</f>
        <v/>
      </c>
      <c r="N140">
        <f>IF(AND(F140="",J140=""),"",IF(H140="",F140,IF(J140="",F140,IFERROR((VALUE(F140)+VALUE(J140))/2,F140))))</f>
        <v/>
      </c>
      <c r="O140">
        <f>IF(AND(M140="",N140=""),"",IF(M140="",N140,IF(N140="",M140,IFERROR((VALUE(M140)+VALUE(N140))/2,""))))</f>
        <v/>
      </c>
      <c r="P140">
        <f>IF(AND(OR('טכנו'!$C$3="הכל",IFERROR(VLOOKUP(D140,'הגדרות'!$A$2:$D$18,2,FALSE),"")='טכנו'!$C$3,IFERROR(VLOOKUP(D140,'הגדרות'!$A$2:$D$18,3,FALSE),"")='טכנו'!$C$3),OR('טכנו'!$C$4="הכל",C140='טכנו'!$C$4),OR('טכנו'!$C$5="הכל",L140='טכנו'!$C$5),OR('טכנו'!$C$6="",IFERROR(VALUE(M140),0)&gt;='טכנו'!$C$6),OR('טכנו'!$C$7="",IFERROR(VALUE(M140),0)&lt;='טכנו'!$C$7),A140&lt;&gt;""),ROW()-4,"")</f>
        <v/>
      </c>
    </row>
    <row r="141">
      <c r="B141">
        <f>IF(A141="","",IFERROR(INDEX('מלאי'!$B$3:$B$357,MATCH(A141,'מלאי'!$D$3:$D$357,0)),""))</f>
        <v/>
      </c>
      <c r="C141">
        <f>IF(A141="","",IFERROR(INDEX('מלאי'!$A$3:$A$357,MATCH(A141,'מלאי'!$D$3:$D$357,0)),""))</f>
        <v/>
      </c>
      <c r="D141">
        <f>IF(A141="","",IFERROR(INDEX('מלאי'!$H$3:$H$357,MATCH(A141,'מלאי'!$D$3:$D$357,0)),""))</f>
        <v/>
      </c>
      <c r="H141">
        <f>IF(A141="","",IFERROR(INDEX('מלאי'!$I$3:$I$357,MATCH(A141,'מלאי'!$D$3:$D$357,0)),""))</f>
        <v/>
      </c>
      <c r="M141">
        <f>IF(AND(E141="",I141=""),"",IF(H141="",E141,IF(I141="",E141,IFERROR((VALUE(E141)+VALUE(I141))/2,E141))))</f>
        <v/>
      </c>
      <c r="N141">
        <f>IF(AND(F141="",J141=""),"",IF(H141="",F141,IF(J141="",F141,IFERROR((VALUE(F141)+VALUE(J141))/2,F141))))</f>
        <v/>
      </c>
      <c r="O141">
        <f>IF(AND(M141="",N141=""),"",IF(M141="",N141,IF(N141="",M141,IFERROR((VALUE(M141)+VALUE(N141))/2,""))))</f>
        <v/>
      </c>
      <c r="P141">
        <f>IF(AND(OR('טכנו'!$C$3="הכל",IFERROR(VLOOKUP(D141,'הגדרות'!$A$2:$D$18,2,FALSE),"")='טכנו'!$C$3,IFERROR(VLOOKUP(D141,'הגדרות'!$A$2:$D$18,3,FALSE),"")='טכנו'!$C$3),OR('טכנו'!$C$4="הכל",C141='טכנו'!$C$4),OR('טכנו'!$C$5="הכל",L141='טכנו'!$C$5),OR('טכנו'!$C$6="",IFERROR(VALUE(M141),0)&gt;='טכנו'!$C$6),OR('טכנו'!$C$7="",IFERROR(VALUE(M141),0)&lt;='טכנו'!$C$7),A141&lt;&gt;""),ROW()-4,"")</f>
        <v/>
      </c>
    </row>
    <row r="142">
      <c r="B142">
        <f>IF(A142="","",IFERROR(INDEX('מלאי'!$B$3:$B$357,MATCH(A142,'מלאי'!$D$3:$D$357,0)),""))</f>
        <v/>
      </c>
      <c r="C142">
        <f>IF(A142="","",IFERROR(INDEX('מלאי'!$A$3:$A$357,MATCH(A142,'מלאי'!$D$3:$D$357,0)),""))</f>
        <v/>
      </c>
      <c r="D142">
        <f>IF(A142="","",IFERROR(INDEX('מלאי'!$H$3:$H$357,MATCH(A142,'מלאי'!$D$3:$D$357,0)),""))</f>
        <v/>
      </c>
      <c r="H142">
        <f>IF(A142="","",IFERROR(INDEX('מלאי'!$I$3:$I$357,MATCH(A142,'מלאי'!$D$3:$D$357,0)),""))</f>
        <v/>
      </c>
      <c r="M142">
        <f>IF(AND(E142="",I142=""),"",IF(H142="",E142,IF(I142="",E142,IFERROR((VALUE(E142)+VALUE(I142))/2,E142))))</f>
        <v/>
      </c>
      <c r="N142">
        <f>IF(AND(F142="",J142=""),"",IF(H142="",F142,IF(J142="",F142,IFERROR((VALUE(F142)+VALUE(J142))/2,F142))))</f>
        <v/>
      </c>
      <c r="O142">
        <f>IF(AND(M142="",N142=""),"",IF(M142="",N142,IF(N142="",M142,IFERROR((VALUE(M142)+VALUE(N142))/2,""))))</f>
        <v/>
      </c>
      <c r="P142">
        <f>IF(AND(OR('טכנו'!$C$3="הכל",IFERROR(VLOOKUP(D142,'הגדרות'!$A$2:$D$18,2,FALSE),"")='טכנו'!$C$3,IFERROR(VLOOKUP(D142,'הגדרות'!$A$2:$D$18,3,FALSE),"")='טכנו'!$C$3),OR('טכנו'!$C$4="הכל",C142='טכנו'!$C$4),OR('טכנו'!$C$5="הכל",L142='טכנו'!$C$5),OR('טכנו'!$C$6="",IFERROR(VALUE(M142),0)&gt;='טכנו'!$C$6),OR('טכנו'!$C$7="",IFERROR(VALUE(M142),0)&lt;='טכנו'!$C$7),A142&lt;&gt;""),ROW()-4,"")</f>
        <v/>
      </c>
    </row>
    <row r="143">
      <c r="B143">
        <f>IF(A143="","",IFERROR(INDEX('מלאי'!$B$3:$B$357,MATCH(A143,'מלאי'!$D$3:$D$357,0)),""))</f>
        <v/>
      </c>
      <c r="C143">
        <f>IF(A143="","",IFERROR(INDEX('מלאי'!$A$3:$A$357,MATCH(A143,'מלאי'!$D$3:$D$357,0)),""))</f>
        <v/>
      </c>
      <c r="D143">
        <f>IF(A143="","",IFERROR(INDEX('מלאי'!$H$3:$H$357,MATCH(A143,'מלאי'!$D$3:$D$357,0)),""))</f>
        <v/>
      </c>
      <c r="H143">
        <f>IF(A143="","",IFERROR(INDEX('מלאי'!$I$3:$I$357,MATCH(A143,'מלאי'!$D$3:$D$357,0)),""))</f>
        <v/>
      </c>
      <c r="M143">
        <f>IF(AND(E143="",I143=""),"",IF(H143="",E143,IF(I143="",E143,IFERROR((VALUE(E143)+VALUE(I143))/2,E143))))</f>
        <v/>
      </c>
      <c r="N143">
        <f>IF(AND(F143="",J143=""),"",IF(H143="",F143,IF(J143="",F143,IFERROR((VALUE(F143)+VALUE(J143))/2,F143))))</f>
        <v/>
      </c>
      <c r="O143">
        <f>IF(AND(M143="",N143=""),"",IF(M143="",N143,IF(N143="",M143,IFERROR((VALUE(M143)+VALUE(N143))/2,""))))</f>
        <v/>
      </c>
      <c r="P143">
        <f>IF(AND(OR('טכנו'!$C$3="הכל",IFERROR(VLOOKUP(D143,'הגדרות'!$A$2:$D$18,2,FALSE),"")='טכנו'!$C$3,IFERROR(VLOOKUP(D143,'הגדרות'!$A$2:$D$18,3,FALSE),"")='טכנו'!$C$3),OR('טכנו'!$C$4="הכל",C143='טכנו'!$C$4),OR('טכנו'!$C$5="הכל",L143='טכנו'!$C$5),OR('טכנו'!$C$6="",IFERROR(VALUE(M143),0)&gt;='טכנו'!$C$6),OR('טכנו'!$C$7="",IFERROR(VALUE(M143),0)&lt;='טכנו'!$C$7),A143&lt;&gt;""),ROW()-4,"")</f>
        <v/>
      </c>
    </row>
    <row r="144">
      <c r="B144">
        <f>IF(A144="","",IFERROR(INDEX('מלאי'!$B$3:$B$357,MATCH(A144,'מלאי'!$D$3:$D$357,0)),""))</f>
        <v/>
      </c>
      <c r="C144">
        <f>IF(A144="","",IFERROR(INDEX('מלאי'!$A$3:$A$357,MATCH(A144,'מלאי'!$D$3:$D$357,0)),""))</f>
        <v/>
      </c>
      <c r="D144">
        <f>IF(A144="","",IFERROR(INDEX('מלאי'!$H$3:$H$357,MATCH(A144,'מלאי'!$D$3:$D$357,0)),""))</f>
        <v/>
      </c>
      <c r="H144">
        <f>IF(A144="","",IFERROR(INDEX('מלאי'!$I$3:$I$357,MATCH(A144,'מלאי'!$D$3:$D$357,0)),""))</f>
        <v/>
      </c>
      <c r="M144">
        <f>IF(AND(E144="",I144=""),"",IF(H144="",E144,IF(I144="",E144,IFERROR((VALUE(E144)+VALUE(I144))/2,E144))))</f>
        <v/>
      </c>
      <c r="N144">
        <f>IF(AND(F144="",J144=""),"",IF(H144="",F144,IF(J144="",F144,IFERROR((VALUE(F144)+VALUE(J144))/2,F144))))</f>
        <v/>
      </c>
      <c r="O144">
        <f>IF(AND(M144="",N144=""),"",IF(M144="",N144,IF(N144="",M144,IFERROR((VALUE(M144)+VALUE(N144))/2,""))))</f>
        <v/>
      </c>
      <c r="P144">
        <f>IF(AND(OR('טכנו'!$C$3="הכל",IFERROR(VLOOKUP(D144,'הגדרות'!$A$2:$D$18,2,FALSE),"")='טכנו'!$C$3,IFERROR(VLOOKUP(D144,'הגדרות'!$A$2:$D$18,3,FALSE),"")='טכנו'!$C$3),OR('טכנו'!$C$4="הכל",C144='טכנו'!$C$4),OR('טכנו'!$C$5="הכל",L144='טכנו'!$C$5),OR('טכנו'!$C$6="",IFERROR(VALUE(M144),0)&gt;='טכנו'!$C$6),OR('טכנו'!$C$7="",IFERROR(VALUE(M144),0)&lt;='טכנו'!$C$7),A144&lt;&gt;""),ROW()-4,"")</f>
        <v/>
      </c>
    </row>
    <row r="145">
      <c r="B145">
        <f>IF(A145="","",IFERROR(INDEX('מלאי'!$B$3:$B$357,MATCH(A145,'מלאי'!$D$3:$D$357,0)),""))</f>
        <v/>
      </c>
      <c r="C145">
        <f>IF(A145="","",IFERROR(INDEX('מלאי'!$A$3:$A$357,MATCH(A145,'מלאי'!$D$3:$D$357,0)),""))</f>
        <v/>
      </c>
      <c r="D145">
        <f>IF(A145="","",IFERROR(INDEX('מלאי'!$H$3:$H$357,MATCH(A145,'מלאי'!$D$3:$D$357,0)),""))</f>
        <v/>
      </c>
      <c r="H145">
        <f>IF(A145="","",IFERROR(INDEX('מלאי'!$I$3:$I$357,MATCH(A145,'מלאי'!$D$3:$D$357,0)),""))</f>
        <v/>
      </c>
      <c r="M145">
        <f>IF(AND(E145="",I145=""),"",IF(H145="",E145,IF(I145="",E145,IFERROR((VALUE(E145)+VALUE(I145))/2,E145))))</f>
        <v/>
      </c>
      <c r="N145">
        <f>IF(AND(F145="",J145=""),"",IF(H145="",F145,IF(J145="",F145,IFERROR((VALUE(F145)+VALUE(J145))/2,F145))))</f>
        <v/>
      </c>
      <c r="O145">
        <f>IF(AND(M145="",N145=""),"",IF(M145="",N145,IF(N145="",M145,IFERROR((VALUE(M145)+VALUE(N145))/2,""))))</f>
        <v/>
      </c>
      <c r="P145">
        <f>IF(AND(OR('טכנו'!$C$3="הכל",IFERROR(VLOOKUP(D145,'הגדרות'!$A$2:$D$18,2,FALSE),"")='טכנו'!$C$3,IFERROR(VLOOKUP(D145,'הגדרות'!$A$2:$D$18,3,FALSE),"")='טכנו'!$C$3),OR('טכנו'!$C$4="הכל",C145='טכנו'!$C$4),OR('טכנו'!$C$5="הכל",L145='טכנו'!$C$5),OR('טכנו'!$C$6="",IFERROR(VALUE(M145),0)&gt;='טכנו'!$C$6),OR('טכנו'!$C$7="",IFERROR(VALUE(M145),0)&lt;='טכנו'!$C$7),A145&lt;&gt;""),ROW()-4,"")</f>
        <v/>
      </c>
    </row>
    <row r="146">
      <c r="B146">
        <f>IF(A146="","",IFERROR(INDEX('מלאי'!$B$3:$B$357,MATCH(A146,'מלאי'!$D$3:$D$357,0)),""))</f>
        <v/>
      </c>
      <c r="C146">
        <f>IF(A146="","",IFERROR(INDEX('מלאי'!$A$3:$A$357,MATCH(A146,'מלאי'!$D$3:$D$357,0)),""))</f>
        <v/>
      </c>
      <c r="D146">
        <f>IF(A146="","",IFERROR(INDEX('מלאי'!$H$3:$H$357,MATCH(A146,'מלאי'!$D$3:$D$357,0)),""))</f>
        <v/>
      </c>
      <c r="H146">
        <f>IF(A146="","",IFERROR(INDEX('מלאי'!$I$3:$I$357,MATCH(A146,'מלאי'!$D$3:$D$357,0)),""))</f>
        <v/>
      </c>
      <c r="M146">
        <f>IF(AND(E146="",I146=""),"",IF(H146="",E146,IF(I146="",E146,IFERROR((VALUE(E146)+VALUE(I146))/2,E146))))</f>
        <v/>
      </c>
      <c r="N146">
        <f>IF(AND(F146="",J146=""),"",IF(H146="",F146,IF(J146="",F146,IFERROR((VALUE(F146)+VALUE(J146))/2,F146))))</f>
        <v/>
      </c>
      <c r="O146">
        <f>IF(AND(M146="",N146=""),"",IF(M146="",N146,IF(N146="",M146,IFERROR((VALUE(M146)+VALUE(N146))/2,""))))</f>
        <v/>
      </c>
      <c r="P146">
        <f>IF(AND(OR('טכנו'!$C$3="הכל",IFERROR(VLOOKUP(D146,'הגדרות'!$A$2:$D$18,2,FALSE),"")='טכנו'!$C$3,IFERROR(VLOOKUP(D146,'הגדרות'!$A$2:$D$18,3,FALSE),"")='טכנו'!$C$3),OR('טכנו'!$C$4="הכל",C146='טכנו'!$C$4),OR('טכנו'!$C$5="הכל",L146='טכנו'!$C$5),OR('טכנו'!$C$6="",IFERROR(VALUE(M146),0)&gt;='טכנו'!$C$6),OR('טכנו'!$C$7="",IFERROR(VALUE(M146),0)&lt;='טכנו'!$C$7),A146&lt;&gt;""),ROW()-4,"")</f>
        <v/>
      </c>
    </row>
    <row r="147">
      <c r="B147">
        <f>IF(A147="","",IFERROR(INDEX('מלאי'!$B$3:$B$357,MATCH(A147,'מלאי'!$D$3:$D$357,0)),""))</f>
        <v/>
      </c>
      <c r="C147">
        <f>IF(A147="","",IFERROR(INDEX('מלאי'!$A$3:$A$357,MATCH(A147,'מלאי'!$D$3:$D$357,0)),""))</f>
        <v/>
      </c>
      <c r="D147">
        <f>IF(A147="","",IFERROR(INDEX('מלאי'!$H$3:$H$357,MATCH(A147,'מלאי'!$D$3:$D$357,0)),""))</f>
        <v/>
      </c>
      <c r="H147">
        <f>IF(A147="","",IFERROR(INDEX('מלאי'!$I$3:$I$357,MATCH(A147,'מלאי'!$D$3:$D$357,0)),""))</f>
        <v/>
      </c>
      <c r="M147">
        <f>IF(AND(E147="",I147=""),"",IF(H147="",E147,IF(I147="",E147,IFERROR((VALUE(E147)+VALUE(I147))/2,E147))))</f>
        <v/>
      </c>
      <c r="N147">
        <f>IF(AND(F147="",J147=""),"",IF(H147="",F147,IF(J147="",F147,IFERROR((VALUE(F147)+VALUE(J147))/2,F147))))</f>
        <v/>
      </c>
      <c r="O147">
        <f>IF(AND(M147="",N147=""),"",IF(M147="",N147,IF(N147="",M147,IFERROR((VALUE(M147)+VALUE(N147))/2,""))))</f>
        <v/>
      </c>
      <c r="P147">
        <f>IF(AND(OR('טכנו'!$C$3="הכל",IFERROR(VLOOKUP(D147,'הגדרות'!$A$2:$D$18,2,FALSE),"")='טכנו'!$C$3,IFERROR(VLOOKUP(D147,'הגדרות'!$A$2:$D$18,3,FALSE),"")='טכנו'!$C$3),OR('טכנו'!$C$4="הכל",C147='טכנו'!$C$4),OR('טכנו'!$C$5="הכל",L147='טכנו'!$C$5),OR('טכנו'!$C$6="",IFERROR(VALUE(M147),0)&gt;='טכנו'!$C$6),OR('טכנו'!$C$7="",IFERROR(VALUE(M147),0)&lt;='טכנו'!$C$7),A147&lt;&gt;""),ROW()-4,"")</f>
        <v/>
      </c>
    </row>
    <row r="148">
      <c r="B148">
        <f>IF(A148="","",IFERROR(INDEX('מלאי'!$B$3:$B$357,MATCH(A148,'מלאי'!$D$3:$D$357,0)),""))</f>
        <v/>
      </c>
      <c r="C148">
        <f>IF(A148="","",IFERROR(INDEX('מלאי'!$A$3:$A$357,MATCH(A148,'מלאי'!$D$3:$D$357,0)),""))</f>
        <v/>
      </c>
      <c r="D148">
        <f>IF(A148="","",IFERROR(INDEX('מלאי'!$H$3:$H$357,MATCH(A148,'מלאי'!$D$3:$D$357,0)),""))</f>
        <v/>
      </c>
      <c r="H148">
        <f>IF(A148="","",IFERROR(INDEX('מלאי'!$I$3:$I$357,MATCH(A148,'מלאי'!$D$3:$D$357,0)),""))</f>
        <v/>
      </c>
      <c r="M148">
        <f>IF(AND(E148="",I148=""),"",IF(H148="",E148,IF(I148="",E148,IFERROR((VALUE(E148)+VALUE(I148))/2,E148))))</f>
        <v/>
      </c>
      <c r="N148">
        <f>IF(AND(F148="",J148=""),"",IF(H148="",F148,IF(J148="",F148,IFERROR((VALUE(F148)+VALUE(J148))/2,F148))))</f>
        <v/>
      </c>
      <c r="O148">
        <f>IF(AND(M148="",N148=""),"",IF(M148="",N148,IF(N148="",M148,IFERROR((VALUE(M148)+VALUE(N148))/2,""))))</f>
        <v/>
      </c>
      <c r="P148">
        <f>IF(AND(OR('טכנו'!$C$3="הכל",IFERROR(VLOOKUP(D148,'הגדרות'!$A$2:$D$18,2,FALSE),"")='טכנו'!$C$3,IFERROR(VLOOKUP(D148,'הגדרות'!$A$2:$D$18,3,FALSE),"")='טכנו'!$C$3),OR('טכנו'!$C$4="הכל",C148='טכנו'!$C$4),OR('טכנו'!$C$5="הכל",L148='טכנו'!$C$5),OR('טכנו'!$C$6="",IFERROR(VALUE(M148),0)&gt;='טכנו'!$C$6),OR('טכנו'!$C$7="",IFERROR(VALUE(M148),0)&lt;='טכנו'!$C$7),A148&lt;&gt;""),ROW()-4,"")</f>
        <v/>
      </c>
    </row>
    <row r="149">
      <c r="B149">
        <f>IF(A149="","",IFERROR(INDEX('מלאי'!$B$3:$B$357,MATCH(A149,'מלאי'!$D$3:$D$357,0)),""))</f>
        <v/>
      </c>
      <c r="C149">
        <f>IF(A149="","",IFERROR(INDEX('מלאי'!$A$3:$A$357,MATCH(A149,'מלאי'!$D$3:$D$357,0)),""))</f>
        <v/>
      </c>
      <c r="D149">
        <f>IF(A149="","",IFERROR(INDEX('מלאי'!$H$3:$H$357,MATCH(A149,'מלאי'!$D$3:$D$357,0)),""))</f>
        <v/>
      </c>
      <c r="H149">
        <f>IF(A149="","",IFERROR(INDEX('מלאי'!$I$3:$I$357,MATCH(A149,'מלאי'!$D$3:$D$357,0)),""))</f>
        <v/>
      </c>
      <c r="M149">
        <f>IF(AND(E149="",I149=""),"",IF(H149="",E149,IF(I149="",E149,IFERROR((VALUE(E149)+VALUE(I149))/2,E149))))</f>
        <v/>
      </c>
      <c r="N149">
        <f>IF(AND(F149="",J149=""),"",IF(H149="",F149,IF(J149="",F149,IFERROR((VALUE(F149)+VALUE(J149))/2,F149))))</f>
        <v/>
      </c>
      <c r="O149">
        <f>IF(AND(M149="",N149=""),"",IF(M149="",N149,IF(N149="",M149,IFERROR((VALUE(M149)+VALUE(N149))/2,""))))</f>
        <v/>
      </c>
      <c r="P149">
        <f>IF(AND(OR('טכנו'!$C$3="הכל",IFERROR(VLOOKUP(D149,'הגדרות'!$A$2:$D$18,2,FALSE),"")='טכנו'!$C$3,IFERROR(VLOOKUP(D149,'הגדרות'!$A$2:$D$18,3,FALSE),"")='טכנו'!$C$3),OR('טכנו'!$C$4="הכל",C149='טכנו'!$C$4),OR('טכנו'!$C$5="הכל",L149='טכנו'!$C$5),OR('טכנו'!$C$6="",IFERROR(VALUE(M149),0)&gt;='טכנו'!$C$6),OR('טכנו'!$C$7="",IFERROR(VALUE(M149),0)&lt;='טכנו'!$C$7),A149&lt;&gt;""),ROW()-4,"")</f>
        <v/>
      </c>
    </row>
    <row r="150">
      <c r="B150">
        <f>IF(A150="","",IFERROR(INDEX('מלאי'!$B$3:$B$357,MATCH(A150,'מלאי'!$D$3:$D$357,0)),""))</f>
        <v/>
      </c>
      <c r="C150">
        <f>IF(A150="","",IFERROR(INDEX('מלאי'!$A$3:$A$357,MATCH(A150,'מלאי'!$D$3:$D$357,0)),""))</f>
        <v/>
      </c>
      <c r="D150">
        <f>IF(A150="","",IFERROR(INDEX('מלאי'!$H$3:$H$357,MATCH(A150,'מלאי'!$D$3:$D$357,0)),""))</f>
        <v/>
      </c>
      <c r="H150">
        <f>IF(A150="","",IFERROR(INDEX('מלאי'!$I$3:$I$357,MATCH(A150,'מלאי'!$D$3:$D$357,0)),""))</f>
        <v/>
      </c>
      <c r="M150">
        <f>IF(AND(E150="",I150=""),"",IF(H150="",E150,IF(I150="",E150,IFERROR((VALUE(E150)+VALUE(I150))/2,E150))))</f>
        <v/>
      </c>
      <c r="N150">
        <f>IF(AND(F150="",J150=""),"",IF(H150="",F150,IF(J150="",F150,IFERROR((VALUE(F150)+VALUE(J150))/2,F150))))</f>
        <v/>
      </c>
      <c r="O150">
        <f>IF(AND(M150="",N150=""),"",IF(M150="",N150,IF(N150="",M150,IFERROR((VALUE(M150)+VALUE(N150))/2,""))))</f>
        <v/>
      </c>
      <c r="P150">
        <f>IF(AND(OR('טכנו'!$C$3="הכל",IFERROR(VLOOKUP(D150,'הגדרות'!$A$2:$D$18,2,FALSE),"")='טכנו'!$C$3,IFERROR(VLOOKUP(D150,'הגדרות'!$A$2:$D$18,3,FALSE),"")='טכנו'!$C$3),OR('טכנו'!$C$4="הכל",C150='טכנו'!$C$4),OR('טכנו'!$C$5="הכל",L150='טכנו'!$C$5),OR('טכנו'!$C$6="",IFERROR(VALUE(M150),0)&gt;='טכנו'!$C$6),OR('טכנו'!$C$7="",IFERROR(VALUE(M150),0)&lt;='טכנו'!$C$7),A150&lt;&gt;""),ROW()-4,"")</f>
        <v/>
      </c>
    </row>
    <row r="151">
      <c r="B151">
        <f>IF(A151="","",IFERROR(INDEX('מלאי'!$B$3:$B$357,MATCH(A151,'מלאי'!$D$3:$D$357,0)),""))</f>
        <v/>
      </c>
      <c r="C151">
        <f>IF(A151="","",IFERROR(INDEX('מלאי'!$A$3:$A$357,MATCH(A151,'מלאי'!$D$3:$D$357,0)),""))</f>
        <v/>
      </c>
      <c r="D151">
        <f>IF(A151="","",IFERROR(INDEX('מלאי'!$H$3:$H$357,MATCH(A151,'מלאי'!$D$3:$D$357,0)),""))</f>
        <v/>
      </c>
      <c r="H151">
        <f>IF(A151="","",IFERROR(INDEX('מלאי'!$I$3:$I$357,MATCH(A151,'מלאי'!$D$3:$D$357,0)),""))</f>
        <v/>
      </c>
      <c r="M151">
        <f>IF(AND(E151="",I151=""),"",IF(H151="",E151,IF(I151="",E151,IFERROR((VALUE(E151)+VALUE(I151))/2,E151))))</f>
        <v/>
      </c>
      <c r="N151">
        <f>IF(AND(F151="",J151=""),"",IF(H151="",F151,IF(J151="",F151,IFERROR((VALUE(F151)+VALUE(J151))/2,F151))))</f>
        <v/>
      </c>
      <c r="O151">
        <f>IF(AND(M151="",N151=""),"",IF(M151="",N151,IF(N151="",M151,IFERROR((VALUE(M151)+VALUE(N151))/2,""))))</f>
        <v/>
      </c>
      <c r="P151">
        <f>IF(AND(OR('טכנו'!$C$3="הכל",IFERROR(VLOOKUP(D151,'הגדרות'!$A$2:$D$18,2,FALSE),"")='טכנו'!$C$3,IFERROR(VLOOKUP(D151,'הגדרות'!$A$2:$D$18,3,FALSE),"")='טכנו'!$C$3),OR('טכנו'!$C$4="הכל",C151='טכנו'!$C$4),OR('טכנו'!$C$5="הכל",L151='טכנו'!$C$5),OR('טכנו'!$C$6="",IFERROR(VALUE(M151),0)&gt;='טכנו'!$C$6),OR('טכנו'!$C$7="",IFERROR(VALUE(M151),0)&lt;='טכנו'!$C$7),A151&lt;&gt;""),ROW()-4,"")</f>
        <v/>
      </c>
    </row>
    <row r="152">
      <c r="B152">
        <f>IF(A152="","",IFERROR(INDEX('מלאי'!$B$3:$B$357,MATCH(A152,'מלאי'!$D$3:$D$357,0)),""))</f>
        <v/>
      </c>
      <c r="C152">
        <f>IF(A152="","",IFERROR(INDEX('מלאי'!$A$3:$A$357,MATCH(A152,'מלאי'!$D$3:$D$357,0)),""))</f>
        <v/>
      </c>
      <c r="D152">
        <f>IF(A152="","",IFERROR(INDEX('מלאי'!$H$3:$H$357,MATCH(A152,'מלאי'!$D$3:$D$357,0)),""))</f>
        <v/>
      </c>
      <c r="H152">
        <f>IF(A152="","",IFERROR(INDEX('מלאי'!$I$3:$I$357,MATCH(A152,'מלאי'!$D$3:$D$357,0)),""))</f>
        <v/>
      </c>
      <c r="M152">
        <f>IF(AND(E152="",I152=""),"",IF(H152="",E152,IF(I152="",E152,IFERROR((VALUE(E152)+VALUE(I152))/2,E152))))</f>
        <v/>
      </c>
      <c r="N152">
        <f>IF(AND(F152="",J152=""),"",IF(H152="",F152,IF(J152="",F152,IFERROR((VALUE(F152)+VALUE(J152))/2,F152))))</f>
        <v/>
      </c>
      <c r="O152">
        <f>IF(AND(M152="",N152=""),"",IF(M152="",N152,IF(N152="",M152,IFERROR((VALUE(M152)+VALUE(N152))/2,""))))</f>
        <v/>
      </c>
      <c r="P152">
        <f>IF(AND(OR('טכנו'!$C$3="הכל",IFERROR(VLOOKUP(D152,'הגדרות'!$A$2:$D$18,2,FALSE),"")='טכנו'!$C$3,IFERROR(VLOOKUP(D152,'הגדרות'!$A$2:$D$18,3,FALSE),"")='טכנו'!$C$3),OR('טכנו'!$C$4="הכל",C152='טכנו'!$C$4),OR('טכנו'!$C$5="הכל",L152='טכנו'!$C$5),OR('טכנו'!$C$6="",IFERROR(VALUE(M152),0)&gt;='טכנו'!$C$6),OR('טכנו'!$C$7="",IFERROR(VALUE(M152),0)&lt;='טכנו'!$C$7),A152&lt;&gt;""),ROW()-4,"")</f>
        <v/>
      </c>
    </row>
    <row r="153">
      <c r="B153">
        <f>IF(A153="","",IFERROR(INDEX('מלאי'!$B$3:$B$357,MATCH(A153,'מלאי'!$D$3:$D$357,0)),""))</f>
        <v/>
      </c>
      <c r="C153">
        <f>IF(A153="","",IFERROR(INDEX('מלאי'!$A$3:$A$357,MATCH(A153,'מלאי'!$D$3:$D$357,0)),""))</f>
        <v/>
      </c>
      <c r="D153">
        <f>IF(A153="","",IFERROR(INDEX('מלאי'!$H$3:$H$357,MATCH(A153,'מלאי'!$D$3:$D$357,0)),""))</f>
        <v/>
      </c>
      <c r="H153">
        <f>IF(A153="","",IFERROR(INDEX('מלאי'!$I$3:$I$357,MATCH(A153,'מלאי'!$D$3:$D$357,0)),""))</f>
        <v/>
      </c>
      <c r="M153">
        <f>IF(AND(E153="",I153=""),"",IF(H153="",E153,IF(I153="",E153,IFERROR((VALUE(E153)+VALUE(I153))/2,E153))))</f>
        <v/>
      </c>
      <c r="N153">
        <f>IF(AND(F153="",J153=""),"",IF(H153="",F153,IF(J153="",F153,IFERROR((VALUE(F153)+VALUE(J153))/2,F153))))</f>
        <v/>
      </c>
      <c r="O153">
        <f>IF(AND(M153="",N153=""),"",IF(M153="",N153,IF(N153="",M153,IFERROR((VALUE(M153)+VALUE(N153))/2,""))))</f>
        <v/>
      </c>
      <c r="P153">
        <f>IF(AND(OR('טכנו'!$C$3="הכל",IFERROR(VLOOKUP(D153,'הגדרות'!$A$2:$D$18,2,FALSE),"")='טכנו'!$C$3,IFERROR(VLOOKUP(D153,'הגדרות'!$A$2:$D$18,3,FALSE),"")='טכנו'!$C$3),OR('טכנו'!$C$4="הכל",C153='טכנו'!$C$4),OR('טכנו'!$C$5="הכל",L153='טכנו'!$C$5),OR('טכנו'!$C$6="",IFERROR(VALUE(M153),0)&gt;='טכנו'!$C$6),OR('טכנו'!$C$7="",IFERROR(VALUE(M153),0)&lt;='טכנו'!$C$7),A153&lt;&gt;""),ROW()-4,"")</f>
        <v/>
      </c>
    </row>
    <row r="154">
      <c r="B154">
        <f>IF(A154="","",IFERROR(INDEX('מלאי'!$B$3:$B$357,MATCH(A154,'מלאי'!$D$3:$D$357,0)),""))</f>
        <v/>
      </c>
      <c r="C154">
        <f>IF(A154="","",IFERROR(INDEX('מלאי'!$A$3:$A$357,MATCH(A154,'מלאי'!$D$3:$D$357,0)),""))</f>
        <v/>
      </c>
      <c r="D154">
        <f>IF(A154="","",IFERROR(INDEX('מלאי'!$H$3:$H$357,MATCH(A154,'מלאי'!$D$3:$D$357,0)),""))</f>
        <v/>
      </c>
      <c r="H154">
        <f>IF(A154="","",IFERROR(INDEX('מלאי'!$I$3:$I$357,MATCH(A154,'מלאי'!$D$3:$D$357,0)),""))</f>
        <v/>
      </c>
      <c r="M154">
        <f>IF(AND(E154="",I154=""),"",IF(H154="",E154,IF(I154="",E154,IFERROR((VALUE(E154)+VALUE(I154))/2,E154))))</f>
        <v/>
      </c>
      <c r="N154">
        <f>IF(AND(F154="",J154=""),"",IF(H154="",F154,IF(J154="",F154,IFERROR((VALUE(F154)+VALUE(J154))/2,F154))))</f>
        <v/>
      </c>
      <c r="O154">
        <f>IF(AND(M154="",N154=""),"",IF(M154="",N154,IF(N154="",M154,IFERROR((VALUE(M154)+VALUE(N154))/2,""))))</f>
        <v/>
      </c>
      <c r="P154">
        <f>IF(AND(OR('טכנו'!$C$3="הכל",IFERROR(VLOOKUP(D154,'הגדרות'!$A$2:$D$18,2,FALSE),"")='טכנו'!$C$3,IFERROR(VLOOKUP(D154,'הגדרות'!$A$2:$D$18,3,FALSE),"")='טכנו'!$C$3),OR('טכנו'!$C$4="הכל",C154='טכנו'!$C$4),OR('טכנו'!$C$5="הכל",L154='טכנו'!$C$5),OR('טכנו'!$C$6="",IFERROR(VALUE(M154),0)&gt;='טכנו'!$C$6),OR('טכנו'!$C$7="",IFERROR(VALUE(M154),0)&lt;='טכנו'!$C$7),A154&lt;&gt;""),ROW()-4,"")</f>
        <v/>
      </c>
    </row>
    <row r="155">
      <c r="B155">
        <f>IF(A155="","",IFERROR(INDEX('מלאי'!$B$3:$B$357,MATCH(A155,'מלאי'!$D$3:$D$357,0)),""))</f>
        <v/>
      </c>
      <c r="C155">
        <f>IF(A155="","",IFERROR(INDEX('מלאי'!$A$3:$A$357,MATCH(A155,'מלאי'!$D$3:$D$357,0)),""))</f>
        <v/>
      </c>
      <c r="D155">
        <f>IF(A155="","",IFERROR(INDEX('מלאי'!$H$3:$H$357,MATCH(A155,'מלאי'!$D$3:$D$357,0)),""))</f>
        <v/>
      </c>
      <c r="H155">
        <f>IF(A155="","",IFERROR(INDEX('מלאי'!$I$3:$I$357,MATCH(A155,'מלאי'!$D$3:$D$357,0)),""))</f>
        <v/>
      </c>
      <c r="M155">
        <f>IF(AND(E155="",I155=""),"",IF(H155="",E155,IF(I155="",E155,IFERROR((VALUE(E155)+VALUE(I155))/2,E155))))</f>
        <v/>
      </c>
      <c r="N155">
        <f>IF(AND(F155="",J155=""),"",IF(H155="",F155,IF(J155="",F155,IFERROR((VALUE(F155)+VALUE(J155))/2,F155))))</f>
        <v/>
      </c>
      <c r="O155">
        <f>IF(AND(M155="",N155=""),"",IF(M155="",N155,IF(N155="",M155,IFERROR((VALUE(M155)+VALUE(N155))/2,""))))</f>
        <v/>
      </c>
      <c r="P155">
        <f>IF(AND(OR('טכנו'!$C$3="הכל",IFERROR(VLOOKUP(D155,'הגדרות'!$A$2:$D$18,2,FALSE),"")='טכנו'!$C$3,IFERROR(VLOOKUP(D155,'הגדרות'!$A$2:$D$18,3,FALSE),"")='טכנו'!$C$3),OR('טכנו'!$C$4="הכל",C155='טכנו'!$C$4),OR('טכנו'!$C$5="הכל",L155='טכנו'!$C$5),OR('טכנו'!$C$6="",IFERROR(VALUE(M155),0)&gt;='טכנו'!$C$6),OR('טכנו'!$C$7="",IFERROR(VALUE(M155),0)&lt;='טכנו'!$C$7),A155&lt;&gt;""),ROW()-4,"")</f>
        <v/>
      </c>
    </row>
    <row r="156">
      <c r="B156">
        <f>IF(A156="","",IFERROR(INDEX('מלאי'!$B$3:$B$357,MATCH(A156,'מלאי'!$D$3:$D$357,0)),""))</f>
        <v/>
      </c>
      <c r="C156">
        <f>IF(A156="","",IFERROR(INDEX('מלאי'!$A$3:$A$357,MATCH(A156,'מלאי'!$D$3:$D$357,0)),""))</f>
        <v/>
      </c>
      <c r="D156">
        <f>IF(A156="","",IFERROR(INDEX('מלאי'!$H$3:$H$357,MATCH(A156,'מלאי'!$D$3:$D$357,0)),""))</f>
        <v/>
      </c>
      <c r="H156">
        <f>IF(A156="","",IFERROR(INDEX('מלאי'!$I$3:$I$357,MATCH(A156,'מלאי'!$D$3:$D$357,0)),""))</f>
        <v/>
      </c>
      <c r="M156">
        <f>IF(AND(E156="",I156=""),"",IF(H156="",E156,IF(I156="",E156,IFERROR((VALUE(E156)+VALUE(I156))/2,E156))))</f>
        <v/>
      </c>
      <c r="N156">
        <f>IF(AND(F156="",J156=""),"",IF(H156="",F156,IF(J156="",F156,IFERROR((VALUE(F156)+VALUE(J156))/2,F156))))</f>
        <v/>
      </c>
      <c r="O156">
        <f>IF(AND(M156="",N156=""),"",IF(M156="",N156,IF(N156="",M156,IFERROR((VALUE(M156)+VALUE(N156))/2,""))))</f>
        <v/>
      </c>
      <c r="P156">
        <f>IF(AND(OR('טכנו'!$C$3="הכל",IFERROR(VLOOKUP(D156,'הגדרות'!$A$2:$D$18,2,FALSE),"")='טכנו'!$C$3,IFERROR(VLOOKUP(D156,'הגדרות'!$A$2:$D$18,3,FALSE),"")='טכנו'!$C$3),OR('טכנו'!$C$4="הכל",C156='טכנו'!$C$4),OR('טכנו'!$C$5="הכל",L156='טכנו'!$C$5),OR('טכנו'!$C$6="",IFERROR(VALUE(M156),0)&gt;='טכנו'!$C$6),OR('טכנו'!$C$7="",IFERROR(VALUE(M156),0)&lt;='טכנו'!$C$7),A156&lt;&gt;""),ROW()-4,"")</f>
        <v/>
      </c>
    </row>
    <row r="157">
      <c r="B157">
        <f>IF(A157="","",IFERROR(INDEX('מלאי'!$B$3:$B$357,MATCH(A157,'מלאי'!$D$3:$D$357,0)),""))</f>
        <v/>
      </c>
      <c r="C157">
        <f>IF(A157="","",IFERROR(INDEX('מלאי'!$A$3:$A$357,MATCH(A157,'מלאי'!$D$3:$D$357,0)),""))</f>
        <v/>
      </c>
      <c r="D157">
        <f>IF(A157="","",IFERROR(INDEX('מלאי'!$H$3:$H$357,MATCH(A157,'מלאי'!$D$3:$D$357,0)),""))</f>
        <v/>
      </c>
      <c r="H157">
        <f>IF(A157="","",IFERROR(INDEX('מלאי'!$I$3:$I$357,MATCH(A157,'מלאי'!$D$3:$D$357,0)),""))</f>
        <v/>
      </c>
      <c r="M157">
        <f>IF(AND(E157="",I157=""),"",IF(H157="",E157,IF(I157="",E157,IFERROR((VALUE(E157)+VALUE(I157))/2,E157))))</f>
        <v/>
      </c>
      <c r="N157">
        <f>IF(AND(F157="",J157=""),"",IF(H157="",F157,IF(J157="",F157,IFERROR((VALUE(F157)+VALUE(J157))/2,F157))))</f>
        <v/>
      </c>
      <c r="O157">
        <f>IF(AND(M157="",N157=""),"",IF(M157="",N157,IF(N157="",M157,IFERROR((VALUE(M157)+VALUE(N157))/2,""))))</f>
        <v/>
      </c>
      <c r="P157">
        <f>IF(AND(OR('טכנו'!$C$3="הכל",IFERROR(VLOOKUP(D157,'הגדרות'!$A$2:$D$18,2,FALSE),"")='טכנו'!$C$3,IFERROR(VLOOKUP(D157,'הגדרות'!$A$2:$D$18,3,FALSE),"")='טכנו'!$C$3),OR('טכנו'!$C$4="הכל",C157='טכנו'!$C$4),OR('טכנו'!$C$5="הכל",L157='טכנו'!$C$5),OR('טכנו'!$C$6="",IFERROR(VALUE(M157),0)&gt;='טכנו'!$C$6),OR('טכנו'!$C$7="",IFERROR(VALUE(M157),0)&lt;='טכנו'!$C$7),A157&lt;&gt;""),ROW()-4,"")</f>
        <v/>
      </c>
    </row>
    <row r="158">
      <c r="B158">
        <f>IF(A158="","",IFERROR(INDEX('מלאי'!$B$3:$B$357,MATCH(A158,'מלאי'!$D$3:$D$357,0)),""))</f>
        <v/>
      </c>
      <c r="C158">
        <f>IF(A158="","",IFERROR(INDEX('מלאי'!$A$3:$A$357,MATCH(A158,'מלאי'!$D$3:$D$357,0)),""))</f>
        <v/>
      </c>
      <c r="D158">
        <f>IF(A158="","",IFERROR(INDEX('מלאי'!$H$3:$H$357,MATCH(A158,'מלאי'!$D$3:$D$357,0)),""))</f>
        <v/>
      </c>
      <c r="H158">
        <f>IF(A158="","",IFERROR(INDEX('מלאי'!$I$3:$I$357,MATCH(A158,'מלאי'!$D$3:$D$357,0)),""))</f>
        <v/>
      </c>
      <c r="M158">
        <f>IF(AND(E158="",I158=""),"",IF(H158="",E158,IF(I158="",E158,IFERROR((VALUE(E158)+VALUE(I158))/2,E158))))</f>
        <v/>
      </c>
      <c r="N158">
        <f>IF(AND(F158="",J158=""),"",IF(H158="",F158,IF(J158="",F158,IFERROR((VALUE(F158)+VALUE(J158))/2,F158))))</f>
        <v/>
      </c>
      <c r="O158">
        <f>IF(AND(M158="",N158=""),"",IF(M158="",N158,IF(N158="",M158,IFERROR((VALUE(M158)+VALUE(N158))/2,""))))</f>
        <v/>
      </c>
      <c r="P158">
        <f>IF(AND(OR('טכנו'!$C$3="הכל",IFERROR(VLOOKUP(D158,'הגדרות'!$A$2:$D$18,2,FALSE),"")='טכנו'!$C$3,IFERROR(VLOOKUP(D158,'הגדרות'!$A$2:$D$18,3,FALSE),"")='טכנו'!$C$3),OR('טכנו'!$C$4="הכל",C158='טכנו'!$C$4),OR('טכנו'!$C$5="הכל",L158='טכנו'!$C$5),OR('טכנו'!$C$6="",IFERROR(VALUE(M158),0)&gt;='טכנו'!$C$6),OR('טכנו'!$C$7="",IFERROR(VALUE(M158),0)&lt;='טכנו'!$C$7),A158&lt;&gt;""),ROW()-4,"")</f>
        <v/>
      </c>
    </row>
    <row r="159">
      <c r="B159">
        <f>IF(A159="","",IFERROR(INDEX('מלאי'!$B$3:$B$357,MATCH(A159,'מלאי'!$D$3:$D$357,0)),""))</f>
        <v/>
      </c>
      <c r="C159">
        <f>IF(A159="","",IFERROR(INDEX('מלאי'!$A$3:$A$357,MATCH(A159,'מלאי'!$D$3:$D$357,0)),""))</f>
        <v/>
      </c>
      <c r="D159">
        <f>IF(A159="","",IFERROR(INDEX('מלאי'!$H$3:$H$357,MATCH(A159,'מלאי'!$D$3:$D$357,0)),""))</f>
        <v/>
      </c>
      <c r="H159">
        <f>IF(A159="","",IFERROR(INDEX('מלאי'!$I$3:$I$357,MATCH(A159,'מלאי'!$D$3:$D$357,0)),""))</f>
        <v/>
      </c>
      <c r="M159">
        <f>IF(AND(E159="",I159=""),"",IF(H159="",E159,IF(I159="",E159,IFERROR((VALUE(E159)+VALUE(I159))/2,E159))))</f>
        <v/>
      </c>
      <c r="N159">
        <f>IF(AND(F159="",J159=""),"",IF(H159="",F159,IF(J159="",F159,IFERROR((VALUE(F159)+VALUE(J159))/2,F159))))</f>
        <v/>
      </c>
      <c r="O159">
        <f>IF(AND(M159="",N159=""),"",IF(M159="",N159,IF(N159="",M159,IFERROR((VALUE(M159)+VALUE(N159))/2,""))))</f>
        <v/>
      </c>
      <c r="P159">
        <f>IF(AND(OR('טכנו'!$C$3="הכל",IFERROR(VLOOKUP(D159,'הגדרות'!$A$2:$D$18,2,FALSE),"")='טכנו'!$C$3,IFERROR(VLOOKUP(D159,'הגדרות'!$A$2:$D$18,3,FALSE),"")='טכנו'!$C$3),OR('טכנו'!$C$4="הכל",C159='טכנו'!$C$4),OR('טכנו'!$C$5="הכל",L159='טכנו'!$C$5),OR('טכנו'!$C$6="",IFERROR(VALUE(M159),0)&gt;='טכנו'!$C$6),OR('טכנו'!$C$7="",IFERROR(VALUE(M159),0)&lt;='טכנו'!$C$7),A159&lt;&gt;""),ROW()-4,"")</f>
        <v/>
      </c>
    </row>
    <row r="160">
      <c r="B160">
        <f>IF(A160="","",IFERROR(INDEX('מלאי'!$B$3:$B$357,MATCH(A160,'מלאי'!$D$3:$D$357,0)),""))</f>
        <v/>
      </c>
      <c r="C160">
        <f>IF(A160="","",IFERROR(INDEX('מלאי'!$A$3:$A$357,MATCH(A160,'מלאי'!$D$3:$D$357,0)),""))</f>
        <v/>
      </c>
      <c r="D160">
        <f>IF(A160="","",IFERROR(INDEX('מלאי'!$H$3:$H$357,MATCH(A160,'מלאי'!$D$3:$D$357,0)),""))</f>
        <v/>
      </c>
      <c r="H160">
        <f>IF(A160="","",IFERROR(INDEX('מלאי'!$I$3:$I$357,MATCH(A160,'מלאי'!$D$3:$D$357,0)),""))</f>
        <v/>
      </c>
      <c r="M160">
        <f>IF(AND(E160="",I160=""),"",IF(H160="",E160,IF(I160="",E160,IFERROR((VALUE(E160)+VALUE(I160))/2,E160))))</f>
        <v/>
      </c>
      <c r="N160">
        <f>IF(AND(F160="",J160=""),"",IF(H160="",F160,IF(J160="",F160,IFERROR((VALUE(F160)+VALUE(J160))/2,F160))))</f>
        <v/>
      </c>
      <c r="O160">
        <f>IF(AND(M160="",N160=""),"",IF(M160="",N160,IF(N160="",M160,IFERROR((VALUE(M160)+VALUE(N160))/2,""))))</f>
        <v/>
      </c>
      <c r="P160">
        <f>IF(AND(OR('טכנו'!$C$3="הכל",IFERROR(VLOOKUP(D160,'הגדרות'!$A$2:$D$18,2,FALSE),"")='טכנו'!$C$3,IFERROR(VLOOKUP(D160,'הגדרות'!$A$2:$D$18,3,FALSE),"")='טכנו'!$C$3),OR('טכנו'!$C$4="הכל",C160='טכנו'!$C$4),OR('טכנו'!$C$5="הכל",L160='טכנו'!$C$5),OR('טכנו'!$C$6="",IFERROR(VALUE(M160),0)&gt;='טכנו'!$C$6),OR('טכנו'!$C$7="",IFERROR(VALUE(M160),0)&lt;='טכנו'!$C$7),A160&lt;&gt;""),ROW()-4,"")</f>
        <v/>
      </c>
    </row>
    <row r="161">
      <c r="B161">
        <f>IF(A161="","",IFERROR(INDEX('מלאי'!$B$3:$B$357,MATCH(A161,'מלאי'!$D$3:$D$357,0)),""))</f>
        <v/>
      </c>
      <c r="C161">
        <f>IF(A161="","",IFERROR(INDEX('מלאי'!$A$3:$A$357,MATCH(A161,'מלאי'!$D$3:$D$357,0)),""))</f>
        <v/>
      </c>
      <c r="D161">
        <f>IF(A161="","",IFERROR(INDEX('מלאי'!$H$3:$H$357,MATCH(A161,'מלאי'!$D$3:$D$357,0)),""))</f>
        <v/>
      </c>
      <c r="H161">
        <f>IF(A161="","",IFERROR(INDEX('מלאי'!$I$3:$I$357,MATCH(A161,'מלאי'!$D$3:$D$357,0)),""))</f>
        <v/>
      </c>
      <c r="M161">
        <f>IF(AND(E161="",I161=""),"",IF(H161="",E161,IF(I161="",E161,IFERROR((VALUE(E161)+VALUE(I161))/2,E161))))</f>
        <v/>
      </c>
      <c r="N161">
        <f>IF(AND(F161="",J161=""),"",IF(H161="",F161,IF(J161="",F161,IFERROR((VALUE(F161)+VALUE(J161))/2,F161))))</f>
        <v/>
      </c>
      <c r="O161">
        <f>IF(AND(M161="",N161=""),"",IF(M161="",N161,IF(N161="",M161,IFERROR((VALUE(M161)+VALUE(N161))/2,""))))</f>
        <v/>
      </c>
      <c r="P161">
        <f>IF(AND(OR('טכנו'!$C$3="הכל",IFERROR(VLOOKUP(D161,'הגדרות'!$A$2:$D$18,2,FALSE),"")='טכנו'!$C$3,IFERROR(VLOOKUP(D161,'הגדרות'!$A$2:$D$18,3,FALSE),"")='טכנו'!$C$3),OR('טכנו'!$C$4="הכל",C161='טכנו'!$C$4),OR('טכנו'!$C$5="הכל",L161='טכנו'!$C$5),OR('טכנו'!$C$6="",IFERROR(VALUE(M161),0)&gt;='טכנו'!$C$6),OR('טכנו'!$C$7="",IFERROR(VALUE(M161),0)&lt;='טכנו'!$C$7),A161&lt;&gt;""),ROW()-4,"")</f>
        <v/>
      </c>
    </row>
    <row r="162">
      <c r="B162">
        <f>IF(A162="","",IFERROR(INDEX('מלאי'!$B$3:$B$357,MATCH(A162,'מלאי'!$D$3:$D$357,0)),""))</f>
        <v/>
      </c>
      <c r="C162">
        <f>IF(A162="","",IFERROR(INDEX('מלאי'!$A$3:$A$357,MATCH(A162,'מלאי'!$D$3:$D$357,0)),""))</f>
        <v/>
      </c>
      <c r="D162">
        <f>IF(A162="","",IFERROR(INDEX('מלאי'!$H$3:$H$357,MATCH(A162,'מלאי'!$D$3:$D$357,0)),""))</f>
        <v/>
      </c>
      <c r="H162">
        <f>IF(A162="","",IFERROR(INDEX('מלאי'!$I$3:$I$357,MATCH(A162,'מלאי'!$D$3:$D$357,0)),""))</f>
        <v/>
      </c>
      <c r="M162">
        <f>IF(AND(E162="",I162=""),"",IF(H162="",E162,IF(I162="",E162,IFERROR((VALUE(E162)+VALUE(I162))/2,E162))))</f>
        <v/>
      </c>
      <c r="N162">
        <f>IF(AND(F162="",J162=""),"",IF(H162="",F162,IF(J162="",F162,IFERROR((VALUE(F162)+VALUE(J162))/2,F162))))</f>
        <v/>
      </c>
      <c r="O162">
        <f>IF(AND(M162="",N162=""),"",IF(M162="",N162,IF(N162="",M162,IFERROR((VALUE(M162)+VALUE(N162))/2,""))))</f>
        <v/>
      </c>
      <c r="P162">
        <f>IF(AND(OR('טכנו'!$C$3="הכל",IFERROR(VLOOKUP(D162,'הגדרות'!$A$2:$D$18,2,FALSE),"")='טכנו'!$C$3,IFERROR(VLOOKUP(D162,'הגדרות'!$A$2:$D$18,3,FALSE),"")='טכנו'!$C$3),OR('טכנו'!$C$4="הכל",C162='טכנו'!$C$4),OR('טכנו'!$C$5="הכל",L162='טכנו'!$C$5),OR('טכנו'!$C$6="",IFERROR(VALUE(M162),0)&gt;='טכנו'!$C$6),OR('טכנו'!$C$7="",IFERROR(VALUE(M162),0)&lt;='טכנו'!$C$7),A162&lt;&gt;""),ROW()-4,"")</f>
        <v/>
      </c>
    </row>
    <row r="163">
      <c r="B163">
        <f>IF(A163="","",IFERROR(INDEX('מלאי'!$B$3:$B$357,MATCH(A163,'מלאי'!$D$3:$D$357,0)),""))</f>
        <v/>
      </c>
      <c r="C163">
        <f>IF(A163="","",IFERROR(INDEX('מלאי'!$A$3:$A$357,MATCH(A163,'מלאי'!$D$3:$D$357,0)),""))</f>
        <v/>
      </c>
      <c r="D163">
        <f>IF(A163="","",IFERROR(INDEX('מלאי'!$H$3:$H$357,MATCH(A163,'מלאי'!$D$3:$D$357,0)),""))</f>
        <v/>
      </c>
      <c r="H163">
        <f>IF(A163="","",IFERROR(INDEX('מלאי'!$I$3:$I$357,MATCH(A163,'מלאי'!$D$3:$D$357,0)),""))</f>
        <v/>
      </c>
      <c r="M163">
        <f>IF(AND(E163="",I163=""),"",IF(H163="",E163,IF(I163="",E163,IFERROR((VALUE(E163)+VALUE(I163))/2,E163))))</f>
        <v/>
      </c>
      <c r="N163">
        <f>IF(AND(F163="",J163=""),"",IF(H163="",F163,IF(J163="",F163,IFERROR((VALUE(F163)+VALUE(J163))/2,F163))))</f>
        <v/>
      </c>
      <c r="O163">
        <f>IF(AND(M163="",N163=""),"",IF(M163="",N163,IF(N163="",M163,IFERROR((VALUE(M163)+VALUE(N163))/2,""))))</f>
        <v/>
      </c>
      <c r="P163">
        <f>IF(AND(OR('טכנו'!$C$3="הכל",IFERROR(VLOOKUP(D163,'הגדרות'!$A$2:$D$18,2,FALSE),"")='טכנו'!$C$3,IFERROR(VLOOKUP(D163,'הגדרות'!$A$2:$D$18,3,FALSE),"")='טכנו'!$C$3),OR('טכנו'!$C$4="הכל",C163='טכנו'!$C$4),OR('טכנו'!$C$5="הכל",L163='טכנו'!$C$5),OR('טכנו'!$C$6="",IFERROR(VALUE(M163),0)&gt;='טכנו'!$C$6),OR('טכנו'!$C$7="",IFERROR(VALUE(M163),0)&lt;='טכנו'!$C$7),A163&lt;&gt;""),ROW()-4,"")</f>
        <v/>
      </c>
    </row>
    <row r="164">
      <c r="B164">
        <f>IF(A164="","",IFERROR(INDEX('מלאי'!$B$3:$B$357,MATCH(A164,'מלאי'!$D$3:$D$357,0)),""))</f>
        <v/>
      </c>
      <c r="C164">
        <f>IF(A164="","",IFERROR(INDEX('מלאי'!$A$3:$A$357,MATCH(A164,'מלאי'!$D$3:$D$357,0)),""))</f>
        <v/>
      </c>
      <c r="D164">
        <f>IF(A164="","",IFERROR(INDEX('מלאי'!$H$3:$H$357,MATCH(A164,'מלאי'!$D$3:$D$357,0)),""))</f>
        <v/>
      </c>
      <c r="H164">
        <f>IF(A164="","",IFERROR(INDEX('מלאי'!$I$3:$I$357,MATCH(A164,'מלאי'!$D$3:$D$357,0)),""))</f>
        <v/>
      </c>
      <c r="M164">
        <f>IF(AND(E164="",I164=""),"",IF(H164="",E164,IF(I164="",E164,IFERROR((VALUE(E164)+VALUE(I164))/2,E164))))</f>
        <v/>
      </c>
      <c r="N164">
        <f>IF(AND(F164="",J164=""),"",IF(H164="",F164,IF(J164="",F164,IFERROR((VALUE(F164)+VALUE(J164))/2,F164))))</f>
        <v/>
      </c>
      <c r="O164">
        <f>IF(AND(M164="",N164=""),"",IF(M164="",N164,IF(N164="",M164,IFERROR((VALUE(M164)+VALUE(N164))/2,""))))</f>
        <v/>
      </c>
      <c r="P164">
        <f>IF(AND(OR('טכנו'!$C$3="הכל",IFERROR(VLOOKUP(D164,'הגדרות'!$A$2:$D$18,2,FALSE),"")='טכנו'!$C$3,IFERROR(VLOOKUP(D164,'הגדרות'!$A$2:$D$18,3,FALSE),"")='טכנו'!$C$3),OR('טכנו'!$C$4="הכל",C164='טכנו'!$C$4),OR('טכנו'!$C$5="הכל",L164='טכנו'!$C$5),OR('טכנו'!$C$6="",IFERROR(VALUE(M164),0)&gt;='טכנו'!$C$6),OR('טכנו'!$C$7="",IFERROR(VALUE(M164),0)&lt;='טכנו'!$C$7),A164&lt;&gt;""),ROW()-4,"")</f>
        <v/>
      </c>
    </row>
    <row r="165">
      <c r="B165">
        <f>IF(A165="","",IFERROR(INDEX('מלאי'!$B$3:$B$357,MATCH(A165,'מלאי'!$D$3:$D$357,0)),""))</f>
        <v/>
      </c>
      <c r="C165">
        <f>IF(A165="","",IFERROR(INDEX('מלאי'!$A$3:$A$357,MATCH(A165,'מלאי'!$D$3:$D$357,0)),""))</f>
        <v/>
      </c>
      <c r="D165">
        <f>IF(A165="","",IFERROR(INDEX('מלאי'!$H$3:$H$357,MATCH(A165,'מלאי'!$D$3:$D$357,0)),""))</f>
        <v/>
      </c>
      <c r="H165">
        <f>IF(A165="","",IFERROR(INDEX('מלאי'!$I$3:$I$357,MATCH(A165,'מלאי'!$D$3:$D$357,0)),""))</f>
        <v/>
      </c>
      <c r="M165">
        <f>IF(AND(E165="",I165=""),"",IF(H165="",E165,IF(I165="",E165,IFERROR((VALUE(E165)+VALUE(I165))/2,E165))))</f>
        <v/>
      </c>
      <c r="N165">
        <f>IF(AND(F165="",J165=""),"",IF(H165="",F165,IF(J165="",F165,IFERROR((VALUE(F165)+VALUE(J165))/2,F165))))</f>
        <v/>
      </c>
      <c r="O165">
        <f>IF(AND(M165="",N165=""),"",IF(M165="",N165,IF(N165="",M165,IFERROR((VALUE(M165)+VALUE(N165))/2,""))))</f>
        <v/>
      </c>
      <c r="P165">
        <f>IF(AND(OR('טכנו'!$C$3="הכל",IFERROR(VLOOKUP(D165,'הגדרות'!$A$2:$D$18,2,FALSE),"")='טכנו'!$C$3,IFERROR(VLOOKUP(D165,'הגדרות'!$A$2:$D$18,3,FALSE),"")='טכנו'!$C$3),OR('טכנו'!$C$4="הכל",C165='טכנו'!$C$4),OR('טכנו'!$C$5="הכל",L165='טכנו'!$C$5),OR('טכנו'!$C$6="",IFERROR(VALUE(M165),0)&gt;='טכנו'!$C$6),OR('טכנו'!$C$7="",IFERROR(VALUE(M165),0)&lt;='טכנו'!$C$7),A165&lt;&gt;""),ROW()-4,"")</f>
        <v/>
      </c>
    </row>
    <row r="166">
      <c r="B166">
        <f>IF(A166="","",IFERROR(INDEX('מלאי'!$B$3:$B$357,MATCH(A166,'מלאי'!$D$3:$D$357,0)),""))</f>
        <v/>
      </c>
      <c r="C166">
        <f>IF(A166="","",IFERROR(INDEX('מלאי'!$A$3:$A$357,MATCH(A166,'מלאי'!$D$3:$D$357,0)),""))</f>
        <v/>
      </c>
      <c r="D166">
        <f>IF(A166="","",IFERROR(INDEX('מלאי'!$H$3:$H$357,MATCH(A166,'מלאי'!$D$3:$D$357,0)),""))</f>
        <v/>
      </c>
      <c r="H166">
        <f>IF(A166="","",IFERROR(INDEX('מלאי'!$I$3:$I$357,MATCH(A166,'מלאי'!$D$3:$D$357,0)),""))</f>
        <v/>
      </c>
      <c r="M166">
        <f>IF(AND(E166="",I166=""),"",IF(H166="",E166,IF(I166="",E166,IFERROR((VALUE(E166)+VALUE(I166))/2,E166))))</f>
        <v/>
      </c>
      <c r="N166">
        <f>IF(AND(F166="",J166=""),"",IF(H166="",F166,IF(J166="",F166,IFERROR((VALUE(F166)+VALUE(J166))/2,F166))))</f>
        <v/>
      </c>
      <c r="O166">
        <f>IF(AND(M166="",N166=""),"",IF(M166="",N166,IF(N166="",M166,IFERROR((VALUE(M166)+VALUE(N166))/2,""))))</f>
        <v/>
      </c>
      <c r="P166">
        <f>IF(AND(OR('טכנו'!$C$3="הכל",IFERROR(VLOOKUP(D166,'הגדרות'!$A$2:$D$18,2,FALSE),"")='טכנו'!$C$3,IFERROR(VLOOKUP(D166,'הגדרות'!$A$2:$D$18,3,FALSE),"")='טכנו'!$C$3),OR('טכנו'!$C$4="הכל",C166='טכנו'!$C$4),OR('טכנו'!$C$5="הכל",L166='טכנו'!$C$5),OR('טכנו'!$C$6="",IFERROR(VALUE(M166),0)&gt;='טכנו'!$C$6),OR('טכנו'!$C$7="",IFERROR(VALUE(M166),0)&lt;='טכנו'!$C$7),A166&lt;&gt;""),ROW()-4,"")</f>
        <v/>
      </c>
    </row>
    <row r="167">
      <c r="B167">
        <f>IF(A167="","",IFERROR(INDEX('מלאי'!$B$3:$B$357,MATCH(A167,'מלאי'!$D$3:$D$357,0)),""))</f>
        <v/>
      </c>
      <c r="C167">
        <f>IF(A167="","",IFERROR(INDEX('מלאי'!$A$3:$A$357,MATCH(A167,'מלאי'!$D$3:$D$357,0)),""))</f>
        <v/>
      </c>
      <c r="D167">
        <f>IF(A167="","",IFERROR(INDEX('מלאי'!$H$3:$H$357,MATCH(A167,'מלאי'!$D$3:$D$357,0)),""))</f>
        <v/>
      </c>
      <c r="H167">
        <f>IF(A167="","",IFERROR(INDEX('מלאי'!$I$3:$I$357,MATCH(A167,'מלאי'!$D$3:$D$357,0)),""))</f>
        <v/>
      </c>
      <c r="M167">
        <f>IF(AND(E167="",I167=""),"",IF(H167="",E167,IF(I167="",E167,IFERROR((VALUE(E167)+VALUE(I167))/2,E167))))</f>
        <v/>
      </c>
      <c r="N167">
        <f>IF(AND(F167="",J167=""),"",IF(H167="",F167,IF(J167="",F167,IFERROR((VALUE(F167)+VALUE(J167))/2,F167))))</f>
        <v/>
      </c>
      <c r="O167">
        <f>IF(AND(M167="",N167=""),"",IF(M167="",N167,IF(N167="",M167,IFERROR((VALUE(M167)+VALUE(N167))/2,""))))</f>
        <v/>
      </c>
      <c r="P167">
        <f>IF(AND(OR('טכנו'!$C$3="הכל",IFERROR(VLOOKUP(D167,'הגדרות'!$A$2:$D$18,2,FALSE),"")='טכנו'!$C$3,IFERROR(VLOOKUP(D167,'הגדרות'!$A$2:$D$18,3,FALSE),"")='טכנו'!$C$3),OR('טכנו'!$C$4="הכל",C167='טכנו'!$C$4),OR('טכנו'!$C$5="הכל",L167='טכנו'!$C$5),OR('טכנו'!$C$6="",IFERROR(VALUE(M167),0)&gt;='טכנו'!$C$6),OR('טכנו'!$C$7="",IFERROR(VALUE(M167),0)&lt;='טכנו'!$C$7),A167&lt;&gt;""),ROW()-4,"")</f>
        <v/>
      </c>
    </row>
    <row r="168">
      <c r="B168">
        <f>IF(A168="","",IFERROR(INDEX('מלאי'!$B$3:$B$357,MATCH(A168,'מלאי'!$D$3:$D$357,0)),""))</f>
        <v/>
      </c>
      <c r="C168">
        <f>IF(A168="","",IFERROR(INDEX('מלאי'!$A$3:$A$357,MATCH(A168,'מלאי'!$D$3:$D$357,0)),""))</f>
        <v/>
      </c>
      <c r="D168">
        <f>IF(A168="","",IFERROR(INDEX('מלאי'!$H$3:$H$357,MATCH(A168,'מלאי'!$D$3:$D$357,0)),""))</f>
        <v/>
      </c>
      <c r="H168">
        <f>IF(A168="","",IFERROR(INDEX('מלאי'!$I$3:$I$357,MATCH(A168,'מלאי'!$D$3:$D$357,0)),""))</f>
        <v/>
      </c>
      <c r="M168">
        <f>IF(AND(E168="",I168=""),"",IF(H168="",E168,IF(I168="",E168,IFERROR((VALUE(E168)+VALUE(I168))/2,E168))))</f>
        <v/>
      </c>
      <c r="N168">
        <f>IF(AND(F168="",J168=""),"",IF(H168="",F168,IF(J168="",F168,IFERROR((VALUE(F168)+VALUE(J168))/2,F168))))</f>
        <v/>
      </c>
      <c r="O168">
        <f>IF(AND(M168="",N168=""),"",IF(M168="",N168,IF(N168="",M168,IFERROR((VALUE(M168)+VALUE(N168))/2,""))))</f>
        <v/>
      </c>
      <c r="P168">
        <f>IF(AND(OR('טכנו'!$C$3="הכל",IFERROR(VLOOKUP(D168,'הגדרות'!$A$2:$D$18,2,FALSE),"")='טכנו'!$C$3,IFERROR(VLOOKUP(D168,'הגדרות'!$A$2:$D$18,3,FALSE),"")='טכנו'!$C$3),OR('טכנו'!$C$4="הכל",C168='טכנו'!$C$4),OR('טכנו'!$C$5="הכל",L168='טכנו'!$C$5),OR('טכנו'!$C$6="",IFERROR(VALUE(M168),0)&gt;='טכנו'!$C$6),OR('טכנו'!$C$7="",IFERROR(VALUE(M168),0)&lt;='טכנו'!$C$7),A168&lt;&gt;""),ROW()-4,"")</f>
        <v/>
      </c>
    </row>
    <row r="169">
      <c r="B169">
        <f>IF(A169="","",IFERROR(INDEX('מלאי'!$B$3:$B$357,MATCH(A169,'מלאי'!$D$3:$D$357,0)),""))</f>
        <v/>
      </c>
      <c r="C169">
        <f>IF(A169="","",IFERROR(INDEX('מלאי'!$A$3:$A$357,MATCH(A169,'מלאי'!$D$3:$D$357,0)),""))</f>
        <v/>
      </c>
      <c r="D169">
        <f>IF(A169="","",IFERROR(INDEX('מלאי'!$H$3:$H$357,MATCH(A169,'מלאי'!$D$3:$D$357,0)),""))</f>
        <v/>
      </c>
      <c r="H169">
        <f>IF(A169="","",IFERROR(INDEX('מלאי'!$I$3:$I$357,MATCH(A169,'מלאי'!$D$3:$D$357,0)),""))</f>
        <v/>
      </c>
      <c r="M169">
        <f>IF(AND(E169="",I169=""),"",IF(H169="",E169,IF(I169="",E169,IFERROR((VALUE(E169)+VALUE(I169))/2,E169))))</f>
        <v/>
      </c>
      <c r="N169">
        <f>IF(AND(F169="",J169=""),"",IF(H169="",F169,IF(J169="",F169,IFERROR((VALUE(F169)+VALUE(J169))/2,F169))))</f>
        <v/>
      </c>
      <c r="O169">
        <f>IF(AND(M169="",N169=""),"",IF(M169="",N169,IF(N169="",M169,IFERROR((VALUE(M169)+VALUE(N169))/2,""))))</f>
        <v/>
      </c>
      <c r="P169">
        <f>IF(AND(OR('טכנו'!$C$3="הכל",IFERROR(VLOOKUP(D169,'הגדרות'!$A$2:$D$18,2,FALSE),"")='טכנו'!$C$3,IFERROR(VLOOKUP(D169,'הגדרות'!$A$2:$D$18,3,FALSE),"")='טכנו'!$C$3),OR('טכנו'!$C$4="הכל",C169='טכנו'!$C$4),OR('טכנו'!$C$5="הכל",L169='טכנו'!$C$5),OR('טכנו'!$C$6="",IFERROR(VALUE(M169),0)&gt;='טכנו'!$C$6),OR('טכנו'!$C$7="",IFERROR(VALUE(M169),0)&lt;='טכנו'!$C$7),A169&lt;&gt;""),ROW()-4,"")</f>
        <v/>
      </c>
    </row>
    <row r="170">
      <c r="B170">
        <f>IF(A170="","",IFERROR(INDEX('מלאי'!$B$3:$B$357,MATCH(A170,'מלאי'!$D$3:$D$357,0)),""))</f>
        <v/>
      </c>
      <c r="C170">
        <f>IF(A170="","",IFERROR(INDEX('מלאי'!$A$3:$A$357,MATCH(A170,'מלאי'!$D$3:$D$357,0)),""))</f>
        <v/>
      </c>
      <c r="D170">
        <f>IF(A170="","",IFERROR(INDEX('מלאי'!$H$3:$H$357,MATCH(A170,'מלאי'!$D$3:$D$357,0)),""))</f>
        <v/>
      </c>
      <c r="H170">
        <f>IF(A170="","",IFERROR(INDEX('מלאי'!$I$3:$I$357,MATCH(A170,'מלאי'!$D$3:$D$357,0)),""))</f>
        <v/>
      </c>
      <c r="M170">
        <f>IF(AND(E170="",I170=""),"",IF(H170="",E170,IF(I170="",E170,IFERROR((VALUE(E170)+VALUE(I170))/2,E170))))</f>
        <v/>
      </c>
      <c r="N170">
        <f>IF(AND(F170="",J170=""),"",IF(H170="",F170,IF(J170="",F170,IFERROR((VALUE(F170)+VALUE(J170))/2,F170))))</f>
        <v/>
      </c>
      <c r="O170">
        <f>IF(AND(M170="",N170=""),"",IF(M170="",N170,IF(N170="",M170,IFERROR((VALUE(M170)+VALUE(N170))/2,""))))</f>
        <v/>
      </c>
      <c r="P170">
        <f>IF(AND(OR('טכנו'!$C$3="הכל",IFERROR(VLOOKUP(D170,'הגדרות'!$A$2:$D$18,2,FALSE),"")='טכנו'!$C$3,IFERROR(VLOOKUP(D170,'הגדרות'!$A$2:$D$18,3,FALSE),"")='טכנו'!$C$3),OR('טכנו'!$C$4="הכל",C170='טכנו'!$C$4),OR('טכנו'!$C$5="הכל",L170='טכנו'!$C$5),OR('טכנו'!$C$6="",IFERROR(VALUE(M170),0)&gt;='טכנו'!$C$6),OR('טכנו'!$C$7="",IFERROR(VALUE(M170),0)&lt;='טכנו'!$C$7),A170&lt;&gt;""),ROW()-4,"")</f>
        <v/>
      </c>
    </row>
    <row r="171">
      <c r="B171">
        <f>IF(A171="","",IFERROR(INDEX('מלאי'!$B$3:$B$357,MATCH(A171,'מלאי'!$D$3:$D$357,0)),""))</f>
        <v/>
      </c>
      <c r="C171">
        <f>IF(A171="","",IFERROR(INDEX('מלאי'!$A$3:$A$357,MATCH(A171,'מלאי'!$D$3:$D$357,0)),""))</f>
        <v/>
      </c>
      <c r="D171">
        <f>IF(A171="","",IFERROR(INDEX('מלאי'!$H$3:$H$357,MATCH(A171,'מלאי'!$D$3:$D$357,0)),""))</f>
        <v/>
      </c>
      <c r="H171">
        <f>IF(A171="","",IFERROR(INDEX('מלאי'!$I$3:$I$357,MATCH(A171,'מלאי'!$D$3:$D$357,0)),""))</f>
        <v/>
      </c>
      <c r="M171">
        <f>IF(AND(E171="",I171=""),"",IF(H171="",E171,IF(I171="",E171,IFERROR((VALUE(E171)+VALUE(I171))/2,E171))))</f>
        <v/>
      </c>
      <c r="N171">
        <f>IF(AND(F171="",J171=""),"",IF(H171="",F171,IF(J171="",F171,IFERROR((VALUE(F171)+VALUE(J171))/2,F171))))</f>
        <v/>
      </c>
      <c r="O171">
        <f>IF(AND(M171="",N171=""),"",IF(M171="",N171,IF(N171="",M171,IFERROR((VALUE(M171)+VALUE(N171))/2,""))))</f>
        <v/>
      </c>
      <c r="P171">
        <f>IF(AND(OR('טכנו'!$C$3="הכל",IFERROR(VLOOKUP(D171,'הגדרות'!$A$2:$D$18,2,FALSE),"")='טכנו'!$C$3,IFERROR(VLOOKUP(D171,'הגדרות'!$A$2:$D$18,3,FALSE),"")='טכנו'!$C$3),OR('טכנו'!$C$4="הכל",C171='טכנו'!$C$4),OR('טכנו'!$C$5="הכל",L171='טכנו'!$C$5),OR('טכנו'!$C$6="",IFERROR(VALUE(M171),0)&gt;='טכנו'!$C$6),OR('טכנו'!$C$7="",IFERROR(VALUE(M171),0)&lt;='טכנו'!$C$7),A171&lt;&gt;""),ROW()-4,"")</f>
        <v/>
      </c>
    </row>
    <row r="172">
      <c r="B172">
        <f>IF(A172="","",IFERROR(INDEX('מלאי'!$B$3:$B$357,MATCH(A172,'מלאי'!$D$3:$D$357,0)),""))</f>
        <v/>
      </c>
      <c r="C172">
        <f>IF(A172="","",IFERROR(INDEX('מלאי'!$A$3:$A$357,MATCH(A172,'מלאי'!$D$3:$D$357,0)),""))</f>
        <v/>
      </c>
      <c r="D172">
        <f>IF(A172="","",IFERROR(INDEX('מלאי'!$H$3:$H$357,MATCH(A172,'מלאי'!$D$3:$D$357,0)),""))</f>
        <v/>
      </c>
      <c r="H172">
        <f>IF(A172="","",IFERROR(INDEX('מלאי'!$I$3:$I$357,MATCH(A172,'מלאי'!$D$3:$D$357,0)),""))</f>
        <v/>
      </c>
      <c r="M172">
        <f>IF(AND(E172="",I172=""),"",IF(H172="",E172,IF(I172="",E172,IFERROR((VALUE(E172)+VALUE(I172))/2,E172))))</f>
        <v/>
      </c>
      <c r="N172">
        <f>IF(AND(F172="",J172=""),"",IF(H172="",F172,IF(J172="",F172,IFERROR((VALUE(F172)+VALUE(J172))/2,F172))))</f>
        <v/>
      </c>
      <c r="O172">
        <f>IF(AND(M172="",N172=""),"",IF(M172="",N172,IF(N172="",M172,IFERROR((VALUE(M172)+VALUE(N172))/2,""))))</f>
        <v/>
      </c>
      <c r="P172">
        <f>IF(AND(OR('טכנו'!$C$3="הכל",IFERROR(VLOOKUP(D172,'הגדרות'!$A$2:$D$18,2,FALSE),"")='טכנו'!$C$3,IFERROR(VLOOKUP(D172,'הגדרות'!$A$2:$D$18,3,FALSE),"")='טכנו'!$C$3),OR('טכנו'!$C$4="הכל",C172='טכנו'!$C$4),OR('טכנו'!$C$5="הכל",L172='טכנו'!$C$5),OR('טכנו'!$C$6="",IFERROR(VALUE(M172),0)&gt;='טכנו'!$C$6),OR('טכנו'!$C$7="",IFERROR(VALUE(M172),0)&lt;='טכנו'!$C$7),A172&lt;&gt;""),ROW()-4,"")</f>
        <v/>
      </c>
    </row>
    <row r="173">
      <c r="B173">
        <f>IF(A173="","",IFERROR(INDEX('מלאי'!$B$3:$B$357,MATCH(A173,'מלאי'!$D$3:$D$357,0)),""))</f>
        <v/>
      </c>
      <c r="C173">
        <f>IF(A173="","",IFERROR(INDEX('מלאי'!$A$3:$A$357,MATCH(A173,'מלאי'!$D$3:$D$357,0)),""))</f>
        <v/>
      </c>
      <c r="D173">
        <f>IF(A173="","",IFERROR(INDEX('מלאי'!$H$3:$H$357,MATCH(A173,'מלאי'!$D$3:$D$357,0)),""))</f>
        <v/>
      </c>
      <c r="H173">
        <f>IF(A173="","",IFERROR(INDEX('מלאי'!$I$3:$I$357,MATCH(A173,'מלאי'!$D$3:$D$357,0)),""))</f>
        <v/>
      </c>
      <c r="M173">
        <f>IF(AND(E173="",I173=""),"",IF(H173="",E173,IF(I173="",E173,IFERROR((VALUE(E173)+VALUE(I173))/2,E173))))</f>
        <v/>
      </c>
      <c r="N173">
        <f>IF(AND(F173="",J173=""),"",IF(H173="",F173,IF(J173="",F173,IFERROR((VALUE(F173)+VALUE(J173))/2,F173))))</f>
        <v/>
      </c>
      <c r="O173">
        <f>IF(AND(M173="",N173=""),"",IF(M173="",N173,IF(N173="",M173,IFERROR((VALUE(M173)+VALUE(N173))/2,""))))</f>
        <v/>
      </c>
      <c r="P173">
        <f>IF(AND(OR('טכנו'!$C$3="הכל",IFERROR(VLOOKUP(D173,'הגדרות'!$A$2:$D$18,2,FALSE),"")='טכנו'!$C$3,IFERROR(VLOOKUP(D173,'הגדרות'!$A$2:$D$18,3,FALSE),"")='טכנו'!$C$3),OR('טכנו'!$C$4="הכל",C173='טכנו'!$C$4),OR('טכנו'!$C$5="הכל",L173='טכנו'!$C$5),OR('טכנו'!$C$6="",IFERROR(VALUE(M173),0)&gt;='טכנו'!$C$6),OR('טכנו'!$C$7="",IFERROR(VALUE(M173),0)&lt;='טכנו'!$C$7),A173&lt;&gt;""),ROW()-4,"")</f>
        <v/>
      </c>
    </row>
    <row r="174">
      <c r="B174">
        <f>IF(A174="","",IFERROR(INDEX('מלאי'!$B$3:$B$357,MATCH(A174,'מלאי'!$D$3:$D$357,0)),""))</f>
        <v/>
      </c>
      <c r="C174">
        <f>IF(A174="","",IFERROR(INDEX('מלאי'!$A$3:$A$357,MATCH(A174,'מלאי'!$D$3:$D$357,0)),""))</f>
        <v/>
      </c>
      <c r="D174">
        <f>IF(A174="","",IFERROR(INDEX('מלאי'!$H$3:$H$357,MATCH(A174,'מלאי'!$D$3:$D$357,0)),""))</f>
        <v/>
      </c>
      <c r="H174">
        <f>IF(A174="","",IFERROR(INDEX('מלאי'!$I$3:$I$357,MATCH(A174,'מלאי'!$D$3:$D$357,0)),""))</f>
        <v/>
      </c>
      <c r="M174">
        <f>IF(AND(E174="",I174=""),"",IF(H174="",E174,IF(I174="",E174,IFERROR((VALUE(E174)+VALUE(I174))/2,E174))))</f>
        <v/>
      </c>
      <c r="N174">
        <f>IF(AND(F174="",J174=""),"",IF(H174="",F174,IF(J174="",F174,IFERROR((VALUE(F174)+VALUE(J174))/2,F174))))</f>
        <v/>
      </c>
      <c r="O174">
        <f>IF(AND(M174="",N174=""),"",IF(M174="",N174,IF(N174="",M174,IFERROR((VALUE(M174)+VALUE(N174))/2,""))))</f>
        <v/>
      </c>
      <c r="P174">
        <f>IF(AND(OR('טכנו'!$C$3="הכל",IFERROR(VLOOKUP(D174,'הגדרות'!$A$2:$D$18,2,FALSE),"")='טכנו'!$C$3,IFERROR(VLOOKUP(D174,'הגדרות'!$A$2:$D$18,3,FALSE),"")='טכנו'!$C$3),OR('טכנו'!$C$4="הכל",C174='טכנו'!$C$4),OR('טכנו'!$C$5="הכל",L174='טכנו'!$C$5),OR('טכנו'!$C$6="",IFERROR(VALUE(M174),0)&gt;='טכנו'!$C$6),OR('טכנו'!$C$7="",IFERROR(VALUE(M174),0)&lt;='טכנו'!$C$7),A174&lt;&gt;""),ROW()-4,"")</f>
        <v/>
      </c>
    </row>
    <row r="175">
      <c r="B175">
        <f>IF(A175="","",IFERROR(INDEX('מלאי'!$B$3:$B$357,MATCH(A175,'מלאי'!$D$3:$D$357,0)),""))</f>
        <v/>
      </c>
      <c r="C175">
        <f>IF(A175="","",IFERROR(INDEX('מלאי'!$A$3:$A$357,MATCH(A175,'מלאי'!$D$3:$D$357,0)),""))</f>
        <v/>
      </c>
      <c r="D175">
        <f>IF(A175="","",IFERROR(INDEX('מלאי'!$H$3:$H$357,MATCH(A175,'מלאי'!$D$3:$D$357,0)),""))</f>
        <v/>
      </c>
      <c r="H175">
        <f>IF(A175="","",IFERROR(INDEX('מלאי'!$I$3:$I$357,MATCH(A175,'מלאי'!$D$3:$D$357,0)),""))</f>
        <v/>
      </c>
      <c r="M175">
        <f>IF(AND(E175="",I175=""),"",IF(H175="",E175,IF(I175="",E175,IFERROR((VALUE(E175)+VALUE(I175))/2,E175))))</f>
        <v/>
      </c>
      <c r="N175">
        <f>IF(AND(F175="",J175=""),"",IF(H175="",F175,IF(J175="",F175,IFERROR((VALUE(F175)+VALUE(J175))/2,F175))))</f>
        <v/>
      </c>
      <c r="O175">
        <f>IF(AND(M175="",N175=""),"",IF(M175="",N175,IF(N175="",M175,IFERROR((VALUE(M175)+VALUE(N175))/2,""))))</f>
        <v/>
      </c>
      <c r="P175">
        <f>IF(AND(OR('טכנו'!$C$3="הכל",IFERROR(VLOOKUP(D175,'הגדרות'!$A$2:$D$18,2,FALSE),"")='טכנו'!$C$3,IFERROR(VLOOKUP(D175,'הגדרות'!$A$2:$D$18,3,FALSE),"")='טכנו'!$C$3),OR('טכנו'!$C$4="הכל",C175='טכנו'!$C$4),OR('טכנו'!$C$5="הכל",L175='טכנו'!$C$5),OR('טכנו'!$C$6="",IFERROR(VALUE(M175),0)&gt;='טכנו'!$C$6),OR('טכנו'!$C$7="",IFERROR(VALUE(M175),0)&lt;='טכנו'!$C$7),A175&lt;&gt;""),ROW()-4,"")</f>
        <v/>
      </c>
    </row>
    <row r="176">
      <c r="B176">
        <f>IF(A176="","",IFERROR(INDEX('מלאי'!$B$3:$B$357,MATCH(A176,'מלאי'!$D$3:$D$357,0)),""))</f>
        <v/>
      </c>
      <c r="C176">
        <f>IF(A176="","",IFERROR(INDEX('מלאי'!$A$3:$A$357,MATCH(A176,'מלאי'!$D$3:$D$357,0)),""))</f>
        <v/>
      </c>
      <c r="D176">
        <f>IF(A176="","",IFERROR(INDEX('מלאי'!$H$3:$H$357,MATCH(A176,'מלאי'!$D$3:$D$357,0)),""))</f>
        <v/>
      </c>
      <c r="H176">
        <f>IF(A176="","",IFERROR(INDEX('מלאי'!$I$3:$I$357,MATCH(A176,'מלאי'!$D$3:$D$357,0)),""))</f>
        <v/>
      </c>
      <c r="M176">
        <f>IF(AND(E176="",I176=""),"",IF(H176="",E176,IF(I176="",E176,IFERROR((VALUE(E176)+VALUE(I176))/2,E176))))</f>
        <v/>
      </c>
      <c r="N176">
        <f>IF(AND(F176="",J176=""),"",IF(H176="",F176,IF(J176="",F176,IFERROR((VALUE(F176)+VALUE(J176))/2,F176))))</f>
        <v/>
      </c>
      <c r="O176">
        <f>IF(AND(M176="",N176=""),"",IF(M176="",N176,IF(N176="",M176,IFERROR((VALUE(M176)+VALUE(N176))/2,""))))</f>
        <v/>
      </c>
      <c r="P176">
        <f>IF(AND(OR('טכנו'!$C$3="הכל",IFERROR(VLOOKUP(D176,'הגדרות'!$A$2:$D$18,2,FALSE),"")='טכנו'!$C$3,IFERROR(VLOOKUP(D176,'הגדרות'!$A$2:$D$18,3,FALSE),"")='טכנו'!$C$3),OR('טכנו'!$C$4="הכל",C176='טכנו'!$C$4),OR('טכנו'!$C$5="הכל",L176='טכנו'!$C$5),OR('טכנו'!$C$6="",IFERROR(VALUE(M176),0)&gt;='טכנו'!$C$6),OR('טכנו'!$C$7="",IFERROR(VALUE(M176),0)&lt;='טכנו'!$C$7),A176&lt;&gt;""),ROW()-4,"")</f>
        <v/>
      </c>
    </row>
    <row r="177">
      <c r="B177">
        <f>IF(A177="","",IFERROR(INDEX('מלאי'!$B$3:$B$357,MATCH(A177,'מלאי'!$D$3:$D$357,0)),""))</f>
        <v/>
      </c>
      <c r="C177">
        <f>IF(A177="","",IFERROR(INDEX('מלאי'!$A$3:$A$357,MATCH(A177,'מלאי'!$D$3:$D$357,0)),""))</f>
        <v/>
      </c>
      <c r="D177">
        <f>IF(A177="","",IFERROR(INDEX('מלאי'!$H$3:$H$357,MATCH(A177,'מלאי'!$D$3:$D$357,0)),""))</f>
        <v/>
      </c>
      <c r="H177">
        <f>IF(A177="","",IFERROR(INDEX('מלאי'!$I$3:$I$357,MATCH(A177,'מלאי'!$D$3:$D$357,0)),""))</f>
        <v/>
      </c>
      <c r="M177">
        <f>IF(AND(E177="",I177=""),"",IF(H177="",E177,IF(I177="",E177,IFERROR((VALUE(E177)+VALUE(I177))/2,E177))))</f>
        <v/>
      </c>
      <c r="N177">
        <f>IF(AND(F177="",J177=""),"",IF(H177="",F177,IF(J177="",F177,IFERROR((VALUE(F177)+VALUE(J177))/2,F177))))</f>
        <v/>
      </c>
      <c r="O177">
        <f>IF(AND(M177="",N177=""),"",IF(M177="",N177,IF(N177="",M177,IFERROR((VALUE(M177)+VALUE(N177))/2,""))))</f>
        <v/>
      </c>
      <c r="P177">
        <f>IF(AND(OR('טכנו'!$C$3="הכל",IFERROR(VLOOKUP(D177,'הגדרות'!$A$2:$D$18,2,FALSE),"")='טכנו'!$C$3,IFERROR(VLOOKUP(D177,'הגדרות'!$A$2:$D$18,3,FALSE),"")='טכנו'!$C$3),OR('טכנו'!$C$4="הכל",C177='טכנו'!$C$4),OR('טכנו'!$C$5="הכל",L177='טכנו'!$C$5),OR('טכנו'!$C$6="",IFERROR(VALUE(M177),0)&gt;='טכנו'!$C$6),OR('טכנו'!$C$7="",IFERROR(VALUE(M177),0)&lt;='טכנו'!$C$7),A177&lt;&gt;""),ROW()-4,"")</f>
        <v/>
      </c>
    </row>
    <row r="178">
      <c r="B178">
        <f>IF(A178="","",IFERROR(INDEX('מלאי'!$B$3:$B$357,MATCH(A178,'מלאי'!$D$3:$D$357,0)),""))</f>
        <v/>
      </c>
      <c r="C178">
        <f>IF(A178="","",IFERROR(INDEX('מלאי'!$A$3:$A$357,MATCH(A178,'מלאי'!$D$3:$D$357,0)),""))</f>
        <v/>
      </c>
      <c r="D178">
        <f>IF(A178="","",IFERROR(INDEX('מלאי'!$H$3:$H$357,MATCH(A178,'מלאי'!$D$3:$D$357,0)),""))</f>
        <v/>
      </c>
      <c r="H178">
        <f>IF(A178="","",IFERROR(INDEX('מלאי'!$I$3:$I$357,MATCH(A178,'מלאי'!$D$3:$D$357,0)),""))</f>
        <v/>
      </c>
      <c r="M178">
        <f>IF(AND(E178="",I178=""),"",IF(H178="",E178,IF(I178="",E178,IFERROR((VALUE(E178)+VALUE(I178))/2,E178))))</f>
        <v/>
      </c>
      <c r="N178">
        <f>IF(AND(F178="",J178=""),"",IF(H178="",F178,IF(J178="",F178,IFERROR((VALUE(F178)+VALUE(J178))/2,F178))))</f>
        <v/>
      </c>
      <c r="O178">
        <f>IF(AND(M178="",N178=""),"",IF(M178="",N178,IF(N178="",M178,IFERROR((VALUE(M178)+VALUE(N178))/2,""))))</f>
        <v/>
      </c>
      <c r="P178">
        <f>IF(AND(OR('טכנו'!$C$3="הכל",IFERROR(VLOOKUP(D178,'הגדרות'!$A$2:$D$18,2,FALSE),"")='טכנו'!$C$3,IFERROR(VLOOKUP(D178,'הגדרות'!$A$2:$D$18,3,FALSE),"")='טכנו'!$C$3),OR('טכנו'!$C$4="הכל",C178='טכנו'!$C$4),OR('טכנו'!$C$5="הכל",L178='טכנו'!$C$5),OR('טכנו'!$C$6="",IFERROR(VALUE(M178),0)&gt;='טכנו'!$C$6),OR('טכנו'!$C$7="",IFERROR(VALUE(M178),0)&lt;='טכנו'!$C$7),A178&lt;&gt;""),ROW()-4,"")</f>
        <v/>
      </c>
    </row>
    <row r="179">
      <c r="B179">
        <f>IF(A179="","",IFERROR(INDEX('מלאי'!$B$3:$B$357,MATCH(A179,'מלאי'!$D$3:$D$357,0)),""))</f>
        <v/>
      </c>
      <c r="C179">
        <f>IF(A179="","",IFERROR(INDEX('מלאי'!$A$3:$A$357,MATCH(A179,'מלאי'!$D$3:$D$357,0)),""))</f>
        <v/>
      </c>
      <c r="D179">
        <f>IF(A179="","",IFERROR(INDEX('מלאי'!$H$3:$H$357,MATCH(A179,'מלאי'!$D$3:$D$357,0)),""))</f>
        <v/>
      </c>
      <c r="H179">
        <f>IF(A179="","",IFERROR(INDEX('מלאי'!$I$3:$I$357,MATCH(A179,'מלאי'!$D$3:$D$357,0)),""))</f>
        <v/>
      </c>
      <c r="M179">
        <f>IF(AND(E179="",I179=""),"",IF(H179="",E179,IF(I179="",E179,IFERROR((VALUE(E179)+VALUE(I179))/2,E179))))</f>
        <v/>
      </c>
      <c r="N179">
        <f>IF(AND(F179="",J179=""),"",IF(H179="",F179,IF(J179="",F179,IFERROR((VALUE(F179)+VALUE(J179))/2,F179))))</f>
        <v/>
      </c>
      <c r="O179">
        <f>IF(AND(M179="",N179=""),"",IF(M179="",N179,IF(N179="",M179,IFERROR((VALUE(M179)+VALUE(N179))/2,""))))</f>
        <v/>
      </c>
      <c r="P179">
        <f>IF(AND(OR('טכנו'!$C$3="הכל",IFERROR(VLOOKUP(D179,'הגדרות'!$A$2:$D$18,2,FALSE),"")='טכנו'!$C$3,IFERROR(VLOOKUP(D179,'הגדרות'!$A$2:$D$18,3,FALSE),"")='טכנו'!$C$3),OR('טכנו'!$C$4="הכל",C179='טכנו'!$C$4),OR('טכנו'!$C$5="הכל",L179='טכנו'!$C$5),OR('טכנו'!$C$6="",IFERROR(VALUE(M179),0)&gt;='טכנו'!$C$6),OR('טכנו'!$C$7="",IFERROR(VALUE(M179),0)&lt;='טכנו'!$C$7),A179&lt;&gt;""),ROW()-4,"")</f>
        <v/>
      </c>
    </row>
    <row r="180">
      <c r="B180">
        <f>IF(A180="","",IFERROR(INDEX('מלאי'!$B$3:$B$357,MATCH(A180,'מלאי'!$D$3:$D$357,0)),""))</f>
        <v/>
      </c>
      <c r="C180">
        <f>IF(A180="","",IFERROR(INDEX('מלאי'!$A$3:$A$357,MATCH(A180,'מלאי'!$D$3:$D$357,0)),""))</f>
        <v/>
      </c>
      <c r="D180">
        <f>IF(A180="","",IFERROR(INDEX('מלאי'!$H$3:$H$357,MATCH(A180,'מלאי'!$D$3:$D$357,0)),""))</f>
        <v/>
      </c>
      <c r="H180">
        <f>IF(A180="","",IFERROR(INDEX('מלאי'!$I$3:$I$357,MATCH(A180,'מלאי'!$D$3:$D$357,0)),""))</f>
        <v/>
      </c>
      <c r="M180">
        <f>IF(AND(E180="",I180=""),"",IF(H180="",E180,IF(I180="",E180,IFERROR((VALUE(E180)+VALUE(I180))/2,E180))))</f>
        <v/>
      </c>
      <c r="N180">
        <f>IF(AND(F180="",J180=""),"",IF(H180="",F180,IF(J180="",F180,IFERROR((VALUE(F180)+VALUE(J180))/2,F180))))</f>
        <v/>
      </c>
      <c r="O180">
        <f>IF(AND(M180="",N180=""),"",IF(M180="",N180,IF(N180="",M180,IFERROR((VALUE(M180)+VALUE(N180))/2,""))))</f>
        <v/>
      </c>
      <c r="P180">
        <f>IF(AND(OR('טכנו'!$C$3="הכל",IFERROR(VLOOKUP(D180,'הגדרות'!$A$2:$D$18,2,FALSE),"")='טכנו'!$C$3,IFERROR(VLOOKUP(D180,'הגדרות'!$A$2:$D$18,3,FALSE),"")='טכנו'!$C$3),OR('טכנו'!$C$4="הכל",C180='טכנו'!$C$4),OR('טכנו'!$C$5="הכל",L180='טכנו'!$C$5),OR('טכנו'!$C$6="",IFERROR(VALUE(M180),0)&gt;='טכנו'!$C$6),OR('טכנו'!$C$7="",IFERROR(VALUE(M180),0)&lt;='טכנו'!$C$7),A180&lt;&gt;""),ROW()-4,"")</f>
        <v/>
      </c>
    </row>
    <row r="181">
      <c r="B181">
        <f>IF(A181="","",IFERROR(INDEX('מלאי'!$B$3:$B$357,MATCH(A181,'מלאי'!$D$3:$D$357,0)),""))</f>
        <v/>
      </c>
      <c r="C181">
        <f>IF(A181="","",IFERROR(INDEX('מלאי'!$A$3:$A$357,MATCH(A181,'מלאי'!$D$3:$D$357,0)),""))</f>
        <v/>
      </c>
      <c r="D181">
        <f>IF(A181="","",IFERROR(INDEX('מלאי'!$H$3:$H$357,MATCH(A181,'מלאי'!$D$3:$D$357,0)),""))</f>
        <v/>
      </c>
      <c r="H181">
        <f>IF(A181="","",IFERROR(INDEX('מלאי'!$I$3:$I$357,MATCH(A181,'מלאי'!$D$3:$D$357,0)),""))</f>
        <v/>
      </c>
      <c r="M181">
        <f>IF(AND(E181="",I181=""),"",IF(H181="",E181,IF(I181="",E181,IFERROR((VALUE(E181)+VALUE(I181))/2,E181))))</f>
        <v/>
      </c>
      <c r="N181">
        <f>IF(AND(F181="",J181=""),"",IF(H181="",F181,IF(J181="",F181,IFERROR((VALUE(F181)+VALUE(J181))/2,F181))))</f>
        <v/>
      </c>
      <c r="O181">
        <f>IF(AND(M181="",N181=""),"",IF(M181="",N181,IF(N181="",M181,IFERROR((VALUE(M181)+VALUE(N181))/2,""))))</f>
        <v/>
      </c>
      <c r="P181">
        <f>IF(AND(OR('טכנו'!$C$3="הכל",IFERROR(VLOOKUP(D181,'הגדרות'!$A$2:$D$18,2,FALSE),"")='טכנו'!$C$3,IFERROR(VLOOKUP(D181,'הגדרות'!$A$2:$D$18,3,FALSE),"")='טכנו'!$C$3),OR('טכנו'!$C$4="הכל",C181='טכנו'!$C$4),OR('טכנו'!$C$5="הכל",L181='טכנו'!$C$5),OR('טכנו'!$C$6="",IFERROR(VALUE(M181),0)&gt;='טכנו'!$C$6),OR('טכנו'!$C$7="",IFERROR(VALUE(M181),0)&lt;='טכנו'!$C$7),A181&lt;&gt;""),ROW()-4,"")</f>
        <v/>
      </c>
    </row>
    <row r="182">
      <c r="B182">
        <f>IF(A182="","",IFERROR(INDEX('מלאי'!$B$3:$B$357,MATCH(A182,'מלאי'!$D$3:$D$357,0)),""))</f>
        <v/>
      </c>
      <c r="C182">
        <f>IF(A182="","",IFERROR(INDEX('מלאי'!$A$3:$A$357,MATCH(A182,'מלאי'!$D$3:$D$357,0)),""))</f>
        <v/>
      </c>
      <c r="D182">
        <f>IF(A182="","",IFERROR(INDEX('מלאי'!$H$3:$H$357,MATCH(A182,'מלאי'!$D$3:$D$357,0)),""))</f>
        <v/>
      </c>
      <c r="H182">
        <f>IF(A182="","",IFERROR(INDEX('מלאי'!$I$3:$I$357,MATCH(A182,'מלאי'!$D$3:$D$357,0)),""))</f>
        <v/>
      </c>
      <c r="M182">
        <f>IF(AND(E182="",I182=""),"",IF(H182="",E182,IF(I182="",E182,IFERROR((VALUE(E182)+VALUE(I182))/2,E182))))</f>
        <v/>
      </c>
      <c r="N182">
        <f>IF(AND(F182="",J182=""),"",IF(H182="",F182,IF(J182="",F182,IFERROR((VALUE(F182)+VALUE(J182))/2,F182))))</f>
        <v/>
      </c>
      <c r="O182">
        <f>IF(AND(M182="",N182=""),"",IF(M182="",N182,IF(N182="",M182,IFERROR((VALUE(M182)+VALUE(N182))/2,""))))</f>
        <v/>
      </c>
      <c r="P182">
        <f>IF(AND(OR('טכנו'!$C$3="הכל",IFERROR(VLOOKUP(D182,'הגדרות'!$A$2:$D$18,2,FALSE),"")='טכנו'!$C$3,IFERROR(VLOOKUP(D182,'הגדרות'!$A$2:$D$18,3,FALSE),"")='טכנו'!$C$3),OR('טכנו'!$C$4="הכל",C182='טכנו'!$C$4),OR('טכנו'!$C$5="הכל",L182='טכנו'!$C$5),OR('טכנו'!$C$6="",IFERROR(VALUE(M182),0)&gt;='טכנו'!$C$6),OR('טכנו'!$C$7="",IFERROR(VALUE(M182),0)&lt;='טכנו'!$C$7),A182&lt;&gt;""),ROW()-4,"")</f>
        <v/>
      </c>
    </row>
    <row r="183">
      <c r="B183">
        <f>IF(A183="","",IFERROR(INDEX('מלאי'!$B$3:$B$357,MATCH(A183,'מלאי'!$D$3:$D$357,0)),""))</f>
        <v/>
      </c>
      <c r="C183">
        <f>IF(A183="","",IFERROR(INDEX('מלאי'!$A$3:$A$357,MATCH(A183,'מלאי'!$D$3:$D$357,0)),""))</f>
        <v/>
      </c>
      <c r="D183">
        <f>IF(A183="","",IFERROR(INDEX('מלאי'!$H$3:$H$357,MATCH(A183,'מלאי'!$D$3:$D$357,0)),""))</f>
        <v/>
      </c>
      <c r="H183">
        <f>IF(A183="","",IFERROR(INDEX('מלאי'!$I$3:$I$357,MATCH(A183,'מלאי'!$D$3:$D$357,0)),""))</f>
        <v/>
      </c>
      <c r="M183">
        <f>IF(AND(E183="",I183=""),"",IF(H183="",E183,IF(I183="",E183,IFERROR((VALUE(E183)+VALUE(I183))/2,E183))))</f>
        <v/>
      </c>
      <c r="N183">
        <f>IF(AND(F183="",J183=""),"",IF(H183="",F183,IF(J183="",F183,IFERROR((VALUE(F183)+VALUE(J183))/2,F183))))</f>
        <v/>
      </c>
      <c r="O183">
        <f>IF(AND(M183="",N183=""),"",IF(M183="",N183,IF(N183="",M183,IFERROR((VALUE(M183)+VALUE(N183))/2,""))))</f>
        <v/>
      </c>
      <c r="P183">
        <f>IF(AND(OR('טכנו'!$C$3="הכל",IFERROR(VLOOKUP(D183,'הגדרות'!$A$2:$D$18,2,FALSE),"")='טכנו'!$C$3,IFERROR(VLOOKUP(D183,'הגדרות'!$A$2:$D$18,3,FALSE),"")='טכנו'!$C$3),OR('טכנו'!$C$4="הכל",C183='טכנו'!$C$4),OR('טכנו'!$C$5="הכל",L183='טכנו'!$C$5),OR('טכנו'!$C$6="",IFERROR(VALUE(M183),0)&gt;='טכנו'!$C$6),OR('טכנו'!$C$7="",IFERROR(VALUE(M183),0)&lt;='טכנו'!$C$7),A183&lt;&gt;""),ROW()-4,"")</f>
        <v/>
      </c>
    </row>
    <row r="184">
      <c r="B184">
        <f>IF(A184="","",IFERROR(INDEX('מלאי'!$B$3:$B$357,MATCH(A184,'מלאי'!$D$3:$D$357,0)),""))</f>
        <v/>
      </c>
      <c r="C184">
        <f>IF(A184="","",IFERROR(INDEX('מלאי'!$A$3:$A$357,MATCH(A184,'מלאי'!$D$3:$D$357,0)),""))</f>
        <v/>
      </c>
      <c r="D184">
        <f>IF(A184="","",IFERROR(INDEX('מלאי'!$H$3:$H$357,MATCH(A184,'מלאי'!$D$3:$D$357,0)),""))</f>
        <v/>
      </c>
      <c r="H184">
        <f>IF(A184="","",IFERROR(INDEX('מלאי'!$I$3:$I$357,MATCH(A184,'מלאי'!$D$3:$D$357,0)),""))</f>
        <v/>
      </c>
      <c r="M184">
        <f>IF(AND(E184="",I184=""),"",IF(H184="",E184,IF(I184="",E184,IFERROR((VALUE(E184)+VALUE(I184))/2,E184))))</f>
        <v/>
      </c>
      <c r="N184">
        <f>IF(AND(F184="",J184=""),"",IF(H184="",F184,IF(J184="",F184,IFERROR((VALUE(F184)+VALUE(J184))/2,F184))))</f>
        <v/>
      </c>
      <c r="O184">
        <f>IF(AND(M184="",N184=""),"",IF(M184="",N184,IF(N184="",M184,IFERROR((VALUE(M184)+VALUE(N184))/2,""))))</f>
        <v/>
      </c>
      <c r="P184">
        <f>IF(AND(OR('טכנו'!$C$3="הכל",IFERROR(VLOOKUP(D184,'הגדרות'!$A$2:$D$18,2,FALSE),"")='טכנו'!$C$3,IFERROR(VLOOKUP(D184,'הגדרות'!$A$2:$D$18,3,FALSE),"")='טכנו'!$C$3),OR('טכנו'!$C$4="הכל",C184='טכנו'!$C$4),OR('טכנו'!$C$5="הכל",L184='טכנו'!$C$5),OR('טכנו'!$C$6="",IFERROR(VALUE(M184),0)&gt;='טכנו'!$C$6),OR('טכנו'!$C$7="",IFERROR(VALUE(M184),0)&lt;='טכנו'!$C$7),A184&lt;&gt;""),ROW()-4,"")</f>
        <v/>
      </c>
    </row>
    <row r="185">
      <c r="B185">
        <f>IF(A185="","",IFERROR(INDEX('מלאי'!$B$3:$B$357,MATCH(A185,'מלאי'!$D$3:$D$357,0)),""))</f>
        <v/>
      </c>
      <c r="C185">
        <f>IF(A185="","",IFERROR(INDEX('מלאי'!$A$3:$A$357,MATCH(A185,'מלאי'!$D$3:$D$357,0)),""))</f>
        <v/>
      </c>
      <c r="D185">
        <f>IF(A185="","",IFERROR(INDEX('מלאי'!$H$3:$H$357,MATCH(A185,'מלאי'!$D$3:$D$357,0)),""))</f>
        <v/>
      </c>
      <c r="H185">
        <f>IF(A185="","",IFERROR(INDEX('מלאי'!$I$3:$I$357,MATCH(A185,'מלאי'!$D$3:$D$357,0)),""))</f>
        <v/>
      </c>
      <c r="M185">
        <f>IF(AND(E185="",I185=""),"",IF(H185="",E185,IF(I185="",E185,IFERROR((VALUE(E185)+VALUE(I185))/2,E185))))</f>
        <v/>
      </c>
      <c r="N185">
        <f>IF(AND(F185="",J185=""),"",IF(H185="",F185,IF(J185="",F185,IFERROR((VALUE(F185)+VALUE(J185))/2,F185))))</f>
        <v/>
      </c>
      <c r="O185">
        <f>IF(AND(M185="",N185=""),"",IF(M185="",N185,IF(N185="",M185,IFERROR((VALUE(M185)+VALUE(N185))/2,""))))</f>
        <v/>
      </c>
      <c r="P185">
        <f>IF(AND(OR('טכנו'!$C$3="הכל",IFERROR(VLOOKUP(D185,'הגדרות'!$A$2:$D$18,2,FALSE),"")='טכנו'!$C$3,IFERROR(VLOOKUP(D185,'הגדרות'!$A$2:$D$18,3,FALSE),"")='טכנו'!$C$3),OR('טכנו'!$C$4="הכל",C185='טכנו'!$C$4),OR('טכנו'!$C$5="הכל",L185='טכנו'!$C$5),OR('טכנו'!$C$6="",IFERROR(VALUE(M185),0)&gt;='טכנו'!$C$6),OR('טכנו'!$C$7="",IFERROR(VALUE(M185),0)&lt;='טכנו'!$C$7),A185&lt;&gt;""),ROW()-4,"")</f>
        <v/>
      </c>
    </row>
    <row r="186">
      <c r="B186">
        <f>IF(A186="","",IFERROR(INDEX('מלאי'!$B$3:$B$357,MATCH(A186,'מלאי'!$D$3:$D$357,0)),""))</f>
        <v/>
      </c>
      <c r="C186">
        <f>IF(A186="","",IFERROR(INDEX('מלאי'!$A$3:$A$357,MATCH(A186,'מלאי'!$D$3:$D$357,0)),""))</f>
        <v/>
      </c>
      <c r="D186">
        <f>IF(A186="","",IFERROR(INDEX('מלאי'!$H$3:$H$357,MATCH(A186,'מלאי'!$D$3:$D$357,0)),""))</f>
        <v/>
      </c>
      <c r="H186">
        <f>IF(A186="","",IFERROR(INDEX('מלאי'!$I$3:$I$357,MATCH(A186,'מלאי'!$D$3:$D$357,0)),""))</f>
        <v/>
      </c>
      <c r="M186">
        <f>IF(AND(E186="",I186=""),"",IF(H186="",E186,IF(I186="",E186,IFERROR((VALUE(E186)+VALUE(I186))/2,E186))))</f>
        <v/>
      </c>
      <c r="N186">
        <f>IF(AND(F186="",J186=""),"",IF(H186="",F186,IF(J186="",F186,IFERROR((VALUE(F186)+VALUE(J186))/2,F186))))</f>
        <v/>
      </c>
      <c r="O186">
        <f>IF(AND(M186="",N186=""),"",IF(M186="",N186,IF(N186="",M186,IFERROR((VALUE(M186)+VALUE(N186))/2,""))))</f>
        <v/>
      </c>
      <c r="P186">
        <f>IF(AND(OR('טכנו'!$C$3="הכל",IFERROR(VLOOKUP(D186,'הגדרות'!$A$2:$D$18,2,FALSE),"")='טכנו'!$C$3,IFERROR(VLOOKUP(D186,'הגדרות'!$A$2:$D$18,3,FALSE),"")='טכנו'!$C$3),OR('טכנו'!$C$4="הכל",C186='טכנו'!$C$4),OR('טכנו'!$C$5="הכל",L186='טכנו'!$C$5),OR('טכנו'!$C$6="",IFERROR(VALUE(M186),0)&gt;='טכנו'!$C$6),OR('טכנו'!$C$7="",IFERROR(VALUE(M186),0)&lt;='טכנו'!$C$7),A186&lt;&gt;""),ROW()-4,"")</f>
        <v/>
      </c>
    </row>
    <row r="187">
      <c r="B187">
        <f>IF(A187="","",IFERROR(INDEX('מלאי'!$B$3:$B$357,MATCH(A187,'מלאי'!$D$3:$D$357,0)),""))</f>
        <v/>
      </c>
      <c r="C187">
        <f>IF(A187="","",IFERROR(INDEX('מלאי'!$A$3:$A$357,MATCH(A187,'מלאי'!$D$3:$D$357,0)),""))</f>
        <v/>
      </c>
      <c r="D187">
        <f>IF(A187="","",IFERROR(INDEX('מלאי'!$H$3:$H$357,MATCH(A187,'מלאי'!$D$3:$D$357,0)),""))</f>
        <v/>
      </c>
      <c r="H187">
        <f>IF(A187="","",IFERROR(INDEX('מלאי'!$I$3:$I$357,MATCH(A187,'מלאי'!$D$3:$D$357,0)),""))</f>
        <v/>
      </c>
      <c r="M187">
        <f>IF(AND(E187="",I187=""),"",IF(H187="",E187,IF(I187="",E187,IFERROR((VALUE(E187)+VALUE(I187))/2,E187))))</f>
        <v/>
      </c>
      <c r="N187">
        <f>IF(AND(F187="",J187=""),"",IF(H187="",F187,IF(J187="",F187,IFERROR((VALUE(F187)+VALUE(J187))/2,F187))))</f>
        <v/>
      </c>
      <c r="O187">
        <f>IF(AND(M187="",N187=""),"",IF(M187="",N187,IF(N187="",M187,IFERROR((VALUE(M187)+VALUE(N187))/2,""))))</f>
        <v/>
      </c>
      <c r="P187">
        <f>IF(AND(OR('טכנו'!$C$3="הכל",IFERROR(VLOOKUP(D187,'הגדרות'!$A$2:$D$18,2,FALSE),"")='טכנו'!$C$3,IFERROR(VLOOKUP(D187,'הגדרות'!$A$2:$D$18,3,FALSE),"")='טכנו'!$C$3),OR('טכנו'!$C$4="הכל",C187='טכנו'!$C$4),OR('טכנו'!$C$5="הכל",L187='טכנו'!$C$5),OR('טכנו'!$C$6="",IFERROR(VALUE(M187),0)&gt;='טכנו'!$C$6),OR('טכנו'!$C$7="",IFERROR(VALUE(M187),0)&lt;='טכנו'!$C$7),A187&lt;&gt;""),ROW()-4,"")</f>
        <v/>
      </c>
    </row>
    <row r="188">
      <c r="B188">
        <f>IF(A188="","",IFERROR(INDEX('מלאי'!$B$3:$B$357,MATCH(A188,'מלאי'!$D$3:$D$357,0)),""))</f>
        <v/>
      </c>
      <c r="C188">
        <f>IF(A188="","",IFERROR(INDEX('מלאי'!$A$3:$A$357,MATCH(A188,'מלאי'!$D$3:$D$357,0)),""))</f>
        <v/>
      </c>
      <c r="D188">
        <f>IF(A188="","",IFERROR(INDEX('מלאי'!$H$3:$H$357,MATCH(A188,'מלאי'!$D$3:$D$357,0)),""))</f>
        <v/>
      </c>
      <c r="H188">
        <f>IF(A188="","",IFERROR(INDEX('מלאי'!$I$3:$I$357,MATCH(A188,'מלאי'!$D$3:$D$357,0)),""))</f>
        <v/>
      </c>
      <c r="M188">
        <f>IF(AND(E188="",I188=""),"",IF(H188="",E188,IF(I188="",E188,IFERROR((VALUE(E188)+VALUE(I188))/2,E188))))</f>
        <v/>
      </c>
      <c r="N188">
        <f>IF(AND(F188="",J188=""),"",IF(H188="",F188,IF(J188="",F188,IFERROR((VALUE(F188)+VALUE(J188))/2,F188))))</f>
        <v/>
      </c>
      <c r="O188">
        <f>IF(AND(M188="",N188=""),"",IF(M188="",N188,IF(N188="",M188,IFERROR((VALUE(M188)+VALUE(N188))/2,""))))</f>
        <v/>
      </c>
      <c r="P188">
        <f>IF(AND(OR('טכנו'!$C$3="הכל",IFERROR(VLOOKUP(D188,'הגדרות'!$A$2:$D$18,2,FALSE),"")='טכנו'!$C$3,IFERROR(VLOOKUP(D188,'הגדרות'!$A$2:$D$18,3,FALSE),"")='טכנו'!$C$3),OR('טכנו'!$C$4="הכל",C188='טכנו'!$C$4),OR('טכנו'!$C$5="הכל",L188='טכנו'!$C$5),OR('טכנו'!$C$6="",IFERROR(VALUE(M188),0)&gt;='טכנו'!$C$6),OR('טכנו'!$C$7="",IFERROR(VALUE(M188),0)&lt;='טכנו'!$C$7),A188&lt;&gt;""),ROW()-4,"")</f>
        <v/>
      </c>
    </row>
    <row r="189">
      <c r="B189">
        <f>IF(A189="","",IFERROR(INDEX('מלאי'!$B$3:$B$357,MATCH(A189,'מלאי'!$D$3:$D$357,0)),""))</f>
        <v/>
      </c>
      <c r="C189">
        <f>IF(A189="","",IFERROR(INDEX('מלאי'!$A$3:$A$357,MATCH(A189,'מלאי'!$D$3:$D$357,0)),""))</f>
        <v/>
      </c>
      <c r="D189">
        <f>IF(A189="","",IFERROR(INDEX('מלאי'!$H$3:$H$357,MATCH(A189,'מלאי'!$D$3:$D$357,0)),""))</f>
        <v/>
      </c>
      <c r="H189">
        <f>IF(A189="","",IFERROR(INDEX('מלאי'!$I$3:$I$357,MATCH(A189,'מלאי'!$D$3:$D$357,0)),""))</f>
        <v/>
      </c>
      <c r="M189">
        <f>IF(AND(E189="",I189=""),"",IF(H189="",E189,IF(I189="",E189,IFERROR((VALUE(E189)+VALUE(I189))/2,E189))))</f>
        <v/>
      </c>
      <c r="N189">
        <f>IF(AND(F189="",J189=""),"",IF(H189="",F189,IF(J189="",F189,IFERROR((VALUE(F189)+VALUE(J189))/2,F189))))</f>
        <v/>
      </c>
      <c r="O189">
        <f>IF(AND(M189="",N189=""),"",IF(M189="",N189,IF(N189="",M189,IFERROR((VALUE(M189)+VALUE(N189))/2,""))))</f>
        <v/>
      </c>
      <c r="P189">
        <f>IF(AND(OR('טכנו'!$C$3="הכל",IFERROR(VLOOKUP(D189,'הגדרות'!$A$2:$D$18,2,FALSE),"")='טכנו'!$C$3,IFERROR(VLOOKUP(D189,'הגדרות'!$A$2:$D$18,3,FALSE),"")='טכנו'!$C$3),OR('טכנו'!$C$4="הכל",C189='טכנו'!$C$4),OR('טכנו'!$C$5="הכל",L189='טכנו'!$C$5),OR('טכנו'!$C$6="",IFERROR(VALUE(M189),0)&gt;='טכנו'!$C$6),OR('טכנו'!$C$7="",IFERROR(VALUE(M189),0)&lt;='טכנו'!$C$7),A189&lt;&gt;""),ROW()-4,"")</f>
        <v/>
      </c>
    </row>
    <row r="190">
      <c r="B190">
        <f>IF(A190="","",IFERROR(INDEX('מלאי'!$B$3:$B$357,MATCH(A190,'מלאי'!$D$3:$D$357,0)),""))</f>
        <v/>
      </c>
      <c r="C190">
        <f>IF(A190="","",IFERROR(INDEX('מלאי'!$A$3:$A$357,MATCH(A190,'מלאי'!$D$3:$D$357,0)),""))</f>
        <v/>
      </c>
      <c r="D190">
        <f>IF(A190="","",IFERROR(INDEX('מלאי'!$H$3:$H$357,MATCH(A190,'מלאי'!$D$3:$D$357,0)),""))</f>
        <v/>
      </c>
      <c r="H190">
        <f>IF(A190="","",IFERROR(INDEX('מלאי'!$I$3:$I$357,MATCH(A190,'מלאי'!$D$3:$D$357,0)),""))</f>
        <v/>
      </c>
      <c r="M190">
        <f>IF(AND(E190="",I190=""),"",IF(H190="",E190,IF(I190="",E190,IFERROR((VALUE(E190)+VALUE(I190))/2,E190))))</f>
        <v/>
      </c>
      <c r="N190">
        <f>IF(AND(F190="",J190=""),"",IF(H190="",F190,IF(J190="",F190,IFERROR((VALUE(F190)+VALUE(J190))/2,F190))))</f>
        <v/>
      </c>
      <c r="O190">
        <f>IF(AND(M190="",N190=""),"",IF(M190="",N190,IF(N190="",M190,IFERROR((VALUE(M190)+VALUE(N190))/2,""))))</f>
        <v/>
      </c>
      <c r="P190">
        <f>IF(AND(OR('טכנו'!$C$3="הכל",IFERROR(VLOOKUP(D190,'הגדרות'!$A$2:$D$18,2,FALSE),"")='טכנו'!$C$3,IFERROR(VLOOKUP(D190,'הגדרות'!$A$2:$D$18,3,FALSE),"")='טכנו'!$C$3),OR('טכנו'!$C$4="הכל",C190='טכנו'!$C$4),OR('טכנו'!$C$5="הכל",L190='טכנו'!$C$5),OR('טכנו'!$C$6="",IFERROR(VALUE(M190),0)&gt;='טכנו'!$C$6),OR('טכנו'!$C$7="",IFERROR(VALUE(M190),0)&lt;='טכנו'!$C$7),A190&lt;&gt;""),ROW()-4,"")</f>
        <v/>
      </c>
    </row>
    <row r="191">
      <c r="B191">
        <f>IF(A191="","",IFERROR(INDEX('מלאי'!$B$3:$B$357,MATCH(A191,'מלאי'!$D$3:$D$357,0)),""))</f>
        <v/>
      </c>
      <c r="C191">
        <f>IF(A191="","",IFERROR(INDEX('מלאי'!$A$3:$A$357,MATCH(A191,'מלאי'!$D$3:$D$357,0)),""))</f>
        <v/>
      </c>
      <c r="D191">
        <f>IF(A191="","",IFERROR(INDEX('מלאי'!$H$3:$H$357,MATCH(A191,'מלאי'!$D$3:$D$357,0)),""))</f>
        <v/>
      </c>
      <c r="H191">
        <f>IF(A191="","",IFERROR(INDEX('מלאי'!$I$3:$I$357,MATCH(A191,'מלאי'!$D$3:$D$357,0)),""))</f>
        <v/>
      </c>
      <c r="M191">
        <f>IF(AND(E191="",I191=""),"",IF(H191="",E191,IF(I191="",E191,IFERROR((VALUE(E191)+VALUE(I191))/2,E191))))</f>
        <v/>
      </c>
      <c r="N191">
        <f>IF(AND(F191="",J191=""),"",IF(H191="",F191,IF(J191="",F191,IFERROR((VALUE(F191)+VALUE(J191))/2,F191))))</f>
        <v/>
      </c>
      <c r="O191">
        <f>IF(AND(M191="",N191=""),"",IF(M191="",N191,IF(N191="",M191,IFERROR((VALUE(M191)+VALUE(N191))/2,""))))</f>
        <v/>
      </c>
      <c r="P191">
        <f>IF(AND(OR('טכנו'!$C$3="הכל",IFERROR(VLOOKUP(D191,'הגדרות'!$A$2:$D$18,2,FALSE),"")='טכנו'!$C$3,IFERROR(VLOOKUP(D191,'הגדרות'!$A$2:$D$18,3,FALSE),"")='טכנו'!$C$3),OR('טכנו'!$C$4="הכל",C191='טכנו'!$C$4),OR('טכנו'!$C$5="הכל",L191='טכנו'!$C$5),OR('טכנו'!$C$6="",IFERROR(VALUE(M191),0)&gt;='טכנו'!$C$6),OR('טכנו'!$C$7="",IFERROR(VALUE(M191),0)&lt;='טכנו'!$C$7),A191&lt;&gt;""),ROW()-4,"")</f>
        <v/>
      </c>
    </row>
    <row r="192">
      <c r="B192">
        <f>IF(A192="","",IFERROR(INDEX('מלאי'!$B$3:$B$357,MATCH(A192,'מלאי'!$D$3:$D$357,0)),""))</f>
        <v/>
      </c>
      <c r="C192">
        <f>IF(A192="","",IFERROR(INDEX('מלאי'!$A$3:$A$357,MATCH(A192,'מלאי'!$D$3:$D$357,0)),""))</f>
        <v/>
      </c>
      <c r="D192">
        <f>IF(A192="","",IFERROR(INDEX('מלאי'!$H$3:$H$357,MATCH(A192,'מלאי'!$D$3:$D$357,0)),""))</f>
        <v/>
      </c>
      <c r="H192">
        <f>IF(A192="","",IFERROR(INDEX('מלאי'!$I$3:$I$357,MATCH(A192,'מלאי'!$D$3:$D$357,0)),""))</f>
        <v/>
      </c>
      <c r="M192">
        <f>IF(AND(E192="",I192=""),"",IF(H192="",E192,IF(I192="",E192,IFERROR((VALUE(E192)+VALUE(I192))/2,E192))))</f>
        <v/>
      </c>
      <c r="N192">
        <f>IF(AND(F192="",J192=""),"",IF(H192="",F192,IF(J192="",F192,IFERROR((VALUE(F192)+VALUE(J192))/2,F192))))</f>
        <v/>
      </c>
      <c r="O192">
        <f>IF(AND(M192="",N192=""),"",IF(M192="",N192,IF(N192="",M192,IFERROR((VALUE(M192)+VALUE(N192))/2,""))))</f>
        <v/>
      </c>
      <c r="P192">
        <f>IF(AND(OR('טכנו'!$C$3="הכל",IFERROR(VLOOKUP(D192,'הגדרות'!$A$2:$D$18,2,FALSE),"")='טכנו'!$C$3,IFERROR(VLOOKUP(D192,'הגדרות'!$A$2:$D$18,3,FALSE),"")='טכנו'!$C$3),OR('טכנו'!$C$4="הכל",C192='טכנו'!$C$4),OR('טכנו'!$C$5="הכל",L192='טכנו'!$C$5),OR('טכנו'!$C$6="",IFERROR(VALUE(M192),0)&gt;='טכנו'!$C$6),OR('טכנו'!$C$7="",IFERROR(VALUE(M192),0)&lt;='טכנו'!$C$7),A192&lt;&gt;""),ROW()-4,"")</f>
        <v/>
      </c>
    </row>
    <row r="193">
      <c r="B193">
        <f>IF(A193="","",IFERROR(INDEX('מלאי'!$B$3:$B$357,MATCH(A193,'מלאי'!$D$3:$D$357,0)),""))</f>
        <v/>
      </c>
      <c r="C193">
        <f>IF(A193="","",IFERROR(INDEX('מלאי'!$A$3:$A$357,MATCH(A193,'מלאי'!$D$3:$D$357,0)),""))</f>
        <v/>
      </c>
      <c r="D193">
        <f>IF(A193="","",IFERROR(INDEX('מלאי'!$H$3:$H$357,MATCH(A193,'מלאי'!$D$3:$D$357,0)),""))</f>
        <v/>
      </c>
      <c r="H193">
        <f>IF(A193="","",IFERROR(INDEX('מלאי'!$I$3:$I$357,MATCH(A193,'מלאי'!$D$3:$D$357,0)),""))</f>
        <v/>
      </c>
      <c r="M193">
        <f>IF(AND(E193="",I193=""),"",IF(H193="",E193,IF(I193="",E193,IFERROR((VALUE(E193)+VALUE(I193))/2,E193))))</f>
        <v/>
      </c>
      <c r="N193">
        <f>IF(AND(F193="",J193=""),"",IF(H193="",F193,IF(J193="",F193,IFERROR((VALUE(F193)+VALUE(J193))/2,F193))))</f>
        <v/>
      </c>
      <c r="O193">
        <f>IF(AND(M193="",N193=""),"",IF(M193="",N193,IF(N193="",M193,IFERROR((VALUE(M193)+VALUE(N193))/2,""))))</f>
        <v/>
      </c>
      <c r="P193">
        <f>IF(AND(OR('טכנו'!$C$3="הכל",IFERROR(VLOOKUP(D193,'הגדרות'!$A$2:$D$18,2,FALSE),"")='טכנו'!$C$3,IFERROR(VLOOKUP(D193,'הגדרות'!$A$2:$D$18,3,FALSE),"")='טכנו'!$C$3),OR('טכנו'!$C$4="הכל",C193='טכנו'!$C$4),OR('טכנו'!$C$5="הכל",L193='טכנו'!$C$5),OR('טכנו'!$C$6="",IFERROR(VALUE(M193),0)&gt;='טכנו'!$C$6),OR('טכנו'!$C$7="",IFERROR(VALUE(M193),0)&lt;='טכנו'!$C$7),A193&lt;&gt;""),ROW()-4,"")</f>
        <v/>
      </c>
    </row>
    <row r="194">
      <c r="B194">
        <f>IF(A194="","",IFERROR(INDEX('מלאי'!$B$3:$B$357,MATCH(A194,'מלאי'!$D$3:$D$357,0)),""))</f>
        <v/>
      </c>
      <c r="C194">
        <f>IF(A194="","",IFERROR(INDEX('מלאי'!$A$3:$A$357,MATCH(A194,'מלאי'!$D$3:$D$357,0)),""))</f>
        <v/>
      </c>
      <c r="D194">
        <f>IF(A194="","",IFERROR(INDEX('מלאי'!$H$3:$H$357,MATCH(A194,'מלאי'!$D$3:$D$357,0)),""))</f>
        <v/>
      </c>
      <c r="H194">
        <f>IF(A194="","",IFERROR(INDEX('מלאי'!$I$3:$I$357,MATCH(A194,'מלאי'!$D$3:$D$357,0)),""))</f>
        <v/>
      </c>
      <c r="M194">
        <f>IF(AND(E194="",I194=""),"",IF(H194="",E194,IF(I194="",E194,IFERROR((VALUE(E194)+VALUE(I194))/2,E194))))</f>
        <v/>
      </c>
      <c r="N194">
        <f>IF(AND(F194="",J194=""),"",IF(H194="",F194,IF(J194="",F194,IFERROR((VALUE(F194)+VALUE(J194))/2,F194))))</f>
        <v/>
      </c>
      <c r="O194">
        <f>IF(AND(M194="",N194=""),"",IF(M194="",N194,IF(N194="",M194,IFERROR((VALUE(M194)+VALUE(N194))/2,""))))</f>
        <v/>
      </c>
      <c r="P194">
        <f>IF(AND(OR('טכנו'!$C$3="הכל",IFERROR(VLOOKUP(D194,'הגדרות'!$A$2:$D$18,2,FALSE),"")='טכנו'!$C$3,IFERROR(VLOOKUP(D194,'הגדרות'!$A$2:$D$18,3,FALSE),"")='טכנו'!$C$3),OR('טכנו'!$C$4="הכל",C194='טכנו'!$C$4),OR('טכנו'!$C$5="הכל",L194='טכנו'!$C$5),OR('טכנו'!$C$6="",IFERROR(VALUE(M194),0)&gt;='טכנו'!$C$6),OR('טכנו'!$C$7="",IFERROR(VALUE(M194),0)&lt;='טכנו'!$C$7),A194&lt;&gt;""),ROW()-4,"")</f>
        <v/>
      </c>
    </row>
    <row r="195">
      <c r="B195">
        <f>IF(A195="","",IFERROR(INDEX('מלאי'!$B$3:$B$357,MATCH(A195,'מלאי'!$D$3:$D$357,0)),""))</f>
        <v/>
      </c>
      <c r="C195">
        <f>IF(A195="","",IFERROR(INDEX('מלאי'!$A$3:$A$357,MATCH(A195,'מלאי'!$D$3:$D$357,0)),""))</f>
        <v/>
      </c>
      <c r="D195">
        <f>IF(A195="","",IFERROR(INDEX('מלאי'!$H$3:$H$357,MATCH(A195,'מלאי'!$D$3:$D$357,0)),""))</f>
        <v/>
      </c>
      <c r="H195">
        <f>IF(A195="","",IFERROR(INDEX('מלאי'!$I$3:$I$357,MATCH(A195,'מלאי'!$D$3:$D$357,0)),""))</f>
        <v/>
      </c>
      <c r="M195">
        <f>IF(AND(E195="",I195=""),"",IF(H195="",E195,IF(I195="",E195,IFERROR((VALUE(E195)+VALUE(I195))/2,E195))))</f>
        <v/>
      </c>
      <c r="N195">
        <f>IF(AND(F195="",J195=""),"",IF(H195="",F195,IF(J195="",F195,IFERROR((VALUE(F195)+VALUE(J195))/2,F195))))</f>
        <v/>
      </c>
      <c r="O195">
        <f>IF(AND(M195="",N195=""),"",IF(M195="",N195,IF(N195="",M195,IFERROR((VALUE(M195)+VALUE(N195))/2,""))))</f>
        <v/>
      </c>
      <c r="P195">
        <f>IF(AND(OR('טכנו'!$C$3="הכל",IFERROR(VLOOKUP(D195,'הגדרות'!$A$2:$D$18,2,FALSE),"")='טכנו'!$C$3,IFERROR(VLOOKUP(D195,'הגדרות'!$A$2:$D$18,3,FALSE),"")='טכנו'!$C$3),OR('טכנו'!$C$4="הכל",C195='טכנו'!$C$4),OR('טכנו'!$C$5="הכל",L195='טכנו'!$C$5),OR('טכנו'!$C$6="",IFERROR(VALUE(M195),0)&gt;='טכנו'!$C$6),OR('טכנו'!$C$7="",IFERROR(VALUE(M195),0)&lt;='טכנו'!$C$7),A195&lt;&gt;""),ROW()-4,"")</f>
        <v/>
      </c>
    </row>
    <row r="196">
      <c r="B196">
        <f>IF(A196="","",IFERROR(INDEX('מלאי'!$B$3:$B$357,MATCH(A196,'מלאי'!$D$3:$D$357,0)),""))</f>
        <v/>
      </c>
      <c r="C196">
        <f>IF(A196="","",IFERROR(INDEX('מלאי'!$A$3:$A$357,MATCH(A196,'מלאי'!$D$3:$D$357,0)),""))</f>
        <v/>
      </c>
      <c r="D196">
        <f>IF(A196="","",IFERROR(INDEX('מלאי'!$H$3:$H$357,MATCH(A196,'מלאי'!$D$3:$D$357,0)),""))</f>
        <v/>
      </c>
      <c r="H196">
        <f>IF(A196="","",IFERROR(INDEX('מלאי'!$I$3:$I$357,MATCH(A196,'מלאי'!$D$3:$D$357,0)),""))</f>
        <v/>
      </c>
      <c r="M196">
        <f>IF(AND(E196="",I196=""),"",IF(H196="",E196,IF(I196="",E196,IFERROR((VALUE(E196)+VALUE(I196))/2,E196))))</f>
        <v/>
      </c>
      <c r="N196">
        <f>IF(AND(F196="",J196=""),"",IF(H196="",F196,IF(J196="",F196,IFERROR((VALUE(F196)+VALUE(J196))/2,F196))))</f>
        <v/>
      </c>
      <c r="O196">
        <f>IF(AND(M196="",N196=""),"",IF(M196="",N196,IF(N196="",M196,IFERROR((VALUE(M196)+VALUE(N196))/2,""))))</f>
        <v/>
      </c>
      <c r="P196">
        <f>IF(AND(OR('טכנו'!$C$3="הכל",IFERROR(VLOOKUP(D196,'הגדרות'!$A$2:$D$18,2,FALSE),"")='טכנו'!$C$3,IFERROR(VLOOKUP(D196,'הגדרות'!$A$2:$D$18,3,FALSE),"")='טכנו'!$C$3),OR('טכנו'!$C$4="הכל",C196='טכנו'!$C$4),OR('טכנו'!$C$5="הכל",L196='טכנו'!$C$5),OR('טכנו'!$C$6="",IFERROR(VALUE(M196),0)&gt;='טכנו'!$C$6),OR('טכנו'!$C$7="",IFERROR(VALUE(M196),0)&lt;='טכנו'!$C$7),A196&lt;&gt;""),ROW()-4,"")</f>
        <v/>
      </c>
    </row>
    <row r="197">
      <c r="B197">
        <f>IF(A197="","",IFERROR(INDEX('מלאי'!$B$3:$B$357,MATCH(A197,'מלאי'!$D$3:$D$357,0)),""))</f>
        <v/>
      </c>
      <c r="C197">
        <f>IF(A197="","",IFERROR(INDEX('מלאי'!$A$3:$A$357,MATCH(A197,'מלאי'!$D$3:$D$357,0)),""))</f>
        <v/>
      </c>
      <c r="D197">
        <f>IF(A197="","",IFERROR(INDEX('מלאי'!$H$3:$H$357,MATCH(A197,'מלאי'!$D$3:$D$357,0)),""))</f>
        <v/>
      </c>
      <c r="H197">
        <f>IF(A197="","",IFERROR(INDEX('מלאי'!$I$3:$I$357,MATCH(A197,'מלאי'!$D$3:$D$357,0)),""))</f>
        <v/>
      </c>
      <c r="M197">
        <f>IF(AND(E197="",I197=""),"",IF(H197="",E197,IF(I197="",E197,IFERROR((VALUE(E197)+VALUE(I197))/2,E197))))</f>
        <v/>
      </c>
      <c r="N197">
        <f>IF(AND(F197="",J197=""),"",IF(H197="",F197,IF(J197="",F197,IFERROR((VALUE(F197)+VALUE(J197))/2,F197))))</f>
        <v/>
      </c>
      <c r="O197">
        <f>IF(AND(M197="",N197=""),"",IF(M197="",N197,IF(N197="",M197,IFERROR((VALUE(M197)+VALUE(N197))/2,""))))</f>
        <v/>
      </c>
      <c r="P197">
        <f>IF(AND(OR('טכנו'!$C$3="הכל",IFERROR(VLOOKUP(D197,'הגדרות'!$A$2:$D$18,2,FALSE),"")='טכנו'!$C$3,IFERROR(VLOOKUP(D197,'הגדרות'!$A$2:$D$18,3,FALSE),"")='טכנו'!$C$3),OR('טכנו'!$C$4="הכל",C197='טכנו'!$C$4),OR('טכנו'!$C$5="הכל",L197='טכנו'!$C$5),OR('טכנו'!$C$6="",IFERROR(VALUE(M197),0)&gt;='טכנו'!$C$6),OR('טכנו'!$C$7="",IFERROR(VALUE(M197),0)&lt;='טכנו'!$C$7),A197&lt;&gt;""),ROW()-4,"")</f>
        <v/>
      </c>
    </row>
    <row r="198">
      <c r="B198">
        <f>IF(A198="","",IFERROR(INDEX('מלאי'!$B$3:$B$357,MATCH(A198,'מלאי'!$D$3:$D$357,0)),""))</f>
        <v/>
      </c>
      <c r="C198">
        <f>IF(A198="","",IFERROR(INDEX('מלאי'!$A$3:$A$357,MATCH(A198,'מלאי'!$D$3:$D$357,0)),""))</f>
        <v/>
      </c>
      <c r="D198">
        <f>IF(A198="","",IFERROR(INDEX('מלאי'!$H$3:$H$357,MATCH(A198,'מלאי'!$D$3:$D$357,0)),""))</f>
        <v/>
      </c>
      <c r="H198">
        <f>IF(A198="","",IFERROR(INDEX('מלאי'!$I$3:$I$357,MATCH(A198,'מלאי'!$D$3:$D$357,0)),""))</f>
        <v/>
      </c>
      <c r="M198">
        <f>IF(AND(E198="",I198=""),"",IF(H198="",E198,IF(I198="",E198,IFERROR((VALUE(E198)+VALUE(I198))/2,E198))))</f>
        <v/>
      </c>
      <c r="N198">
        <f>IF(AND(F198="",J198=""),"",IF(H198="",F198,IF(J198="",F198,IFERROR((VALUE(F198)+VALUE(J198))/2,F198))))</f>
        <v/>
      </c>
      <c r="O198">
        <f>IF(AND(M198="",N198=""),"",IF(M198="",N198,IF(N198="",M198,IFERROR((VALUE(M198)+VALUE(N198))/2,""))))</f>
        <v/>
      </c>
      <c r="P198">
        <f>IF(AND(OR('טכנו'!$C$3="הכל",IFERROR(VLOOKUP(D198,'הגדרות'!$A$2:$D$18,2,FALSE),"")='טכנו'!$C$3,IFERROR(VLOOKUP(D198,'הגדרות'!$A$2:$D$18,3,FALSE),"")='טכנו'!$C$3),OR('טכנו'!$C$4="הכל",C198='טכנו'!$C$4),OR('טכנו'!$C$5="הכל",L198='טכנו'!$C$5),OR('טכנו'!$C$6="",IFERROR(VALUE(M198),0)&gt;='טכנו'!$C$6),OR('טכנו'!$C$7="",IFERROR(VALUE(M198),0)&lt;='טכנו'!$C$7),A198&lt;&gt;""),ROW()-4,"")</f>
        <v/>
      </c>
    </row>
    <row r="199">
      <c r="B199">
        <f>IF(A199="","",IFERROR(INDEX('מלאי'!$B$3:$B$357,MATCH(A199,'מלאי'!$D$3:$D$357,0)),""))</f>
        <v/>
      </c>
      <c r="C199">
        <f>IF(A199="","",IFERROR(INDEX('מלאי'!$A$3:$A$357,MATCH(A199,'מלאי'!$D$3:$D$357,0)),""))</f>
        <v/>
      </c>
      <c r="D199">
        <f>IF(A199="","",IFERROR(INDEX('מלאי'!$H$3:$H$357,MATCH(A199,'מלאי'!$D$3:$D$357,0)),""))</f>
        <v/>
      </c>
      <c r="H199">
        <f>IF(A199="","",IFERROR(INDEX('מלאי'!$I$3:$I$357,MATCH(A199,'מלאי'!$D$3:$D$357,0)),""))</f>
        <v/>
      </c>
      <c r="M199">
        <f>IF(AND(E199="",I199=""),"",IF(H199="",E199,IF(I199="",E199,IFERROR((VALUE(E199)+VALUE(I199))/2,E199))))</f>
        <v/>
      </c>
      <c r="N199">
        <f>IF(AND(F199="",J199=""),"",IF(H199="",F199,IF(J199="",F199,IFERROR((VALUE(F199)+VALUE(J199))/2,F199))))</f>
        <v/>
      </c>
      <c r="O199">
        <f>IF(AND(M199="",N199=""),"",IF(M199="",N199,IF(N199="",M199,IFERROR((VALUE(M199)+VALUE(N199))/2,""))))</f>
        <v/>
      </c>
      <c r="P199">
        <f>IF(AND(OR('טכנו'!$C$3="הכל",IFERROR(VLOOKUP(D199,'הגדרות'!$A$2:$D$18,2,FALSE),"")='טכנו'!$C$3,IFERROR(VLOOKUP(D199,'הגדרות'!$A$2:$D$18,3,FALSE),"")='טכנו'!$C$3),OR('טכנו'!$C$4="הכל",C199='טכנו'!$C$4),OR('טכנו'!$C$5="הכל",L199='טכנו'!$C$5),OR('טכנו'!$C$6="",IFERROR(VALUE(M199),0)&gt;='טכנו'!$C$6),OR('טכנו'!$C$7="",IFERROR(VALUE(M199),0)&lt;='טכנו'!$C$7),A199&lt;&gt;""),ROW()-4,"")</f>
        <v/>
      </c>
    </row>
    <row r="200">
      <c r="B200">
        <f>IF(A200="","",IFERROR(INDEX('מלאי'!$B$3:$B$357,MATCH(A200,'מלאי'!$D$3:$D$357,0)),""))</f>
        <v/>
      </c>
      <c r="C200">
        <f>IF(A200="","",IFERROR(INDEX('מלאי'!$A$3:$A$357,MATCH(A200,'מלאי'!$D$3:$D$357,0)),""))</f>
        <v/>
      </c>
      <c r="D200">
        <f>IF(A200="","",IFERROR(INDEX('מלאי'!$H$3:$H$357,MATCH(A200,'מלאי'!$D$3:$D$357,0)),""))</f>
        <v/>
      </c>
      <c r="H200">
        <f>IF(A200="","",IFERROR(INDEX('מלאי'!$I$3:$I$357,MATCH(A200,'מלאי'!$D$3:$D$357,0)),""))</f>
        <v/>
      </c>
      <c r="M200">
        <f>IF(AND(E200="",I200=""),"",IF(H200="",E200,IF(I200="",E200,IFERROR((VALUE(E200)+VALUE(I200))/2,E200))))</f>
        <v/>
      </c>
      <c r="N200">
        <f>IF(AND(F200="",J200=""),"",IF(H200="",F200,IF(J200="",F200,IFERROR((VALUE(F200)+VALUE(J200))/2,F200))))</f>
        <v/>
      </c>
      <c r="O200">
        <f>IF(AND(M200="",N200=""),"",IF(M200="",N200,IF(N200="",M200,IFERROR((VALUE(M200)+VALUE(N200))/2,""))))</f>
        <v/>
      </c>
      <c r="P200">
        <f>IF(AND(OR('טכנו'!$C$3="הכל",IFERROR(VLOOKUP(D200,'הגדרות'!$A$2:$D$18,2,FALSE),"")='טכנו'!$C$3,IFERROR(VLOOKUP(D200,'הגדרות'!$A$2:$D$18,3,FALSE),"")='טכנו'!$C$3),OR('טכנו'!$C$4="הכל",C200='טכנו'!$C$4),OR('טכנו'!$C$5="הכל",L200='טכנו'!$C$5),OR('טכנו'!$C$6="",IFERROR(VALUE(M200),0)&gt;='טכנו'!$C$6),OR('טכנו'!$C$7="",IFERROR(VALUE(M200),0)&lt;='טכנו'!$C$7),A200&lt;&gt;""),ROW()-4,"")</f>
        <v/>
      </c>
    </row>
    <row r="201">
      <c r="B201">
        <f>IF(A201="","",IFERROR(INDEX('מלאי'!$B$3:$B$357,MATCH(A201,'מלאי'!$D$3:$D$357,0)),""))</f>
        <v/>
      </c>
      <c r="C201">
        <f>IF(A201="","",IFERROR(INDEX('מלאי'!$A$3:$A$357,MATCH(A201,'מלאי'!$D$3:$D$357,0)),""))</f>
        <v/>
      </c>
      <c r="D201">
        <f>IF(A201="","",IFERROR(INDEX('מלאי'!$H$3:$H$357,MATCH(A201,'מלאי'!$D$3:$D$357,0)),""))</f>
        <v/>
      </c>
      <c r="H201">
        <f>IF(A201="","",IFERROR(INDEX('מלאי'!$I$3:$I$357,MATCH(A201,'מלאי'!$D$3:$D$357,0)),""))</f>
        <v/>
      </c>
      <c r="M201">
        <f>IF(AND(E201="",I201=""),"",IF(H201="",E201,IF(I201="",E201,IFERROR((VALUE(E201)+VALUE(I201))/2,E201))))</f>
        <v/>
      </c>
      <c r="N201">
        <f>IF(AND(F201="",J201=""),"",IF(H201="",F201,IF(J201="",F201,IFERROR((VALUE(F201)+VALUE(J201))/2,F201))))</f>
        <v/>
      </c>
      <c r="O201">
        <f>IF(AND(M201="",N201=""),"",IF(M201="",N201,IF(N201="",M201,IFERROR((VALUE(M201)+VALUE(N201))/2,""))))</f>
        <v/>
      </c>
      <c r="P201">
        <f>IF(AND(OR('טכנו'!$C$3="הכל",IFERROR(VLOOKUP(D201,'הגדרות'!$A$2:$D$18,2,FALSE),"")='טכנו'!$C$3,IFERROR(VLOOKUP(D201,'הגדרות'!$A$2:$D$18,3,FALSE),"")='טכנו'!$C$3),OR('טכנו'!$C$4="הכל",C201='טכנו'!$C$4),OR('טכנו'!$C$5="הכל",L201='טכנו'!$C$5),OR('טכנו'!$C$6="",IFERROR(VALUE(M201),0)&gt;='טכנו'!$C$6),OR('טכנו'!$C$7="",IFERROR(VALUE(M201),0)&lt;='טכנו'!$C$7),A201&lt;&gt;""),ROW()-4,"")</f>
        <v/>
      </c>
    </row>
    <row r="202">
      <c r="B202">
        <f>IF(A202="","",IFERROR(INDEX('מלאי'!$B$3:$B$357,MATCH(A202,'מלאי'!$D$3:$D$357,0)),""))</f>
        <v/>
      </c>
      <c r="C202">
        <f>IF(A202="","",IFERROR(INDEX('מלאי'!$A$3:$A$357,MATCH(A202,'מלאי'!$D$3:$D$357,0)),""))</f>
        <v/>
      </c>
      <c r="D202">
        <f>IF(A202="","",IFERROR(INDEX('מלאי'!$H$3:$H$357,MATCH(A202,'מלאי'!$D$3:$D$357,0)),""))</f>
        <v/>
      </c>
      <c r="H202">
        <f>IF(A202="","",IFERROR(INDEX('מלאי'!$I$3:$I$357,MATCH(A202,'מלאי'!$D$3:$D$357,0)),""))</f>
        <v/>
      </c>
      <c r="M202">
        <f>IF(AND(E202="",I202=""),"",IF(H202="",E202,IF(I202="",E202,IFERROR((VALUE(E202)+VALUE(I202))/2,E202))))</f>
        <v/>
      </c>
      <c r="N202">
        <f>IF(AND(F202="",J202=""),"",IF(H202="",F202,IF(J202="",F202,IFERROR((VALUE(F202)+VALUE(J202))/2,F202))))</f>
        <v/>
      </c>
      <c r="O202">
        <f>IF(AND(M202="",N202=""),"",IF(M202="",N202,IF(N202="",M202,IFERROR((VALUE(M202)+VALUE(N202))/2,""))))</f>
        <v/>
      </c>
      <c r="P202">
        <f>IF(AND(OR('טכנו'!$C$3="הכל",IFERROR(VLOOKUP(D202,'הגדרות'!$A$2:$D$18,2,FALSE),"")='טכנו'!$C$3,IFERROR(VLOOKUP(D202,'הגדרות'!$A$2:$D$18,3,FALSE),"")='טכנו'!$C$3),OR('טכנו'!$C$4="הכל",C202='טכנו'!$C$4),OR('טכנו'!$C$5="הכל",L202='טכנו'!$C$5),OR('טכנו'!$C$6="",IFERROR(VALUE(M202),0)&gt;='טכנו'!$C$6),OR('טכנו'!$C$7="",IFERROR(VALUE(M202),0)&lt;='טכנו'!$C$7),A202&lt;&gt;""),ROW()-4,"")</f>
        <v/>
      </c>
    </row>
    <row r="203">
      <c r="B203">
        <f>IF(A203="","",IFERROR(INDEX('מלאי'!$B$3:$B$357,MATCH(A203,'מלאי'!$D$3:$D$357,0)),""))</f>
        <v/>
      </c>
      <c r="C203">
        <f>IF(A203="","",IFERROR(INDEX('מלאי'!$A$3:$A$357,MATCH(A203,'מלאי'!$D$3:$D$357,0)),""))</f>
        <v/>
      </c>
      <c r="D203">
        <f>IF(A203="","",IFERROR(INDEX('מלאי'!$H$3:$H$357,MATCH(A203,'מלאי'!$D$3:$D$357,0)),""))</f>
        <v/>
      </c>
      <c r="H203">
        <f>IF(A203="","",IFERROR(INDEX('מלאי'!$I$3:$I$357,MATCH(A203,'מלאי'!$D$3:$D$357,0)),""))</f>
        <v/>
      </c>
      <c r="M203">
        <f>IF(AND(E203="",I203=""),"",IF(H203="",E203,IF(I203="",E203,IFERROR((VALUE(E203)+VALUE(I203))/2,E203))))</f>
        <v/>
      </c>
      <c r="N203">
        <f>IF(AND(F203="",J203=""),"",IF(H203="",F203,IF(J203="",F203,IFERROR((VALUE(F203)+VALUE(J203))/2,F203))))</f>
        <v/>
      </c>
      <c r="O203">
        <f>IF(AND(M203="",N203=""),"",IF(M203="",N203,IF(N203="",M203,IFERROR((VALUE(M203)+VALUE(N203))/2,""))))</f>
        <v/>
      </c>
      <c r="P203">
        <f>IF(AND(OR('טכנו'!$C$3="הכל",IFERROR(VLOOKUP(D203,'הגדרות'!$A$2:$D$18,2,FALSE),"")='טכנו'!$C$3,IFERROR(VLOOKUP(D203,'הגדרות'!$A$2:$D$18,3,FALSE),"")='טכנו'!$C$3),OR('טכנו'!$C$4="הכל",C203='טכנו'!$C$4),OR('טכנו'!$C$5="הכל",L203='טכנו'!$C$5),OR('טכנו'!$C$6="",IFERROR(VALUE(M203),0)&gt;='טכנו'!$C$6),OR('טכנו'!$C$7="",IFERROR(VALUE(M203),0)&lt;='טכנו'!$C$7),A203&lt;&gt;""),ROW()-4,"")</f>
        <v/>
      </c>
    </row>
    <row r="204">
      <c r="B204">
        <f>IF(A204="","",IFERROR(INDEX('מלאי'!$B$3:$B$357,MATCH(A204,'מלאי'!$D$3:$D$357,0)),""))</f>
        <v/>
      </c>
      <c r="C204">
        <f>IF(A204="","",IFERROR(INDEX('מלאי'!$A$3:$A$357,MATCH(A204,'מלאי'!$D$3:$D$357,0)),""))</f>
        <v/>
      </c>
      <c r="D204">
        <f>IF(A204="","",IFERROR(INDEX('מלאי'!$H$3:$H$357,MATCH(A204,'מלאי'!$D$3:$D$357,0)),""))</f>
        <v/>
      </c>
      <c r="H204">
        <f>IF(A204="","",IFERROR(INDEX('מלאי'!$I$3:$I$357,MATCH(A204,'מלאי'!$D$3:$D$357,0)),""))</f>
        <v/>
      </c>
      <c r="M204">
        <f>IF(AND(E204="",I204=""),"",IF(H204="",E204,IF(I204="",E204,IFERROR((VALUE(E204)+VALUE(I204))/2,E204))))</f>
        <v/>
      </c>
      <c r="N204">
        <f>IF(AND(F204="",J204=""),"",IF(H204="",F204,IF(J204="",F204,IFERROR((VALUE(F204)+VALUE(J204))/2,F204))))</f>
        <v/>
      </c>
      <c r="O204">
        <f>IF(AND(M204="",N204=""),"",IF(M204="",N204,IF(N204="",M204,IFERROR((VALUE(M204)+VALUE(N204))/2,""))))</f>
        <v/>
      </c>
      <c r="P204">
        <f>IF(AND(OR('טכנו'!$C$3="הכל",IFERROR(VLOOKUP(D204,'הגדרות'!$A$2:$D$18,2,FALSE),"")='טכנו'!$C$3,IFERROR(VLOOKUP(D204,'הגדרות'!$A$2:$D$18,3,FALSE),"")='טכנו'!$C$3),OR('טכנו'!$C$4="הכל",C204='טכנו'!$C$4),OR('טכנו'!$C$5="הכל",L204='טכנו'!$C$5),OR('טכנו'!$C$6="",IFERROR(VALUE(M204),0)&gt;='טכנו'!$C$6),OR('טכנו'!$C$7="",IFERROR(VALUE(M204),0)&lt;='טכנו'!$C$7),A204&lt;&gt;""),ROW()-4,"")</f>
        <v/>
      </c>
    </row>
    <row r="205">
      <c r="B205">
        <f>IF(A205="","",IFERROR(INDEX('מלאי'!$B$3:$B$357,MATCH(A205,'מלאי'!$D$3:$D$357,0)),""))</f>
        <v/>
      </c>
      <c r="C205">
        <f>IF(A205="","",IFERROR(INDEX('מלאי'!$A$3:$A$357,MATCH(A205,'מלאי'!$D$3:$D$357,0)),""))</f>
        <v/>
      </c>
      <c r="D205">
        <f>IF(A205="","",IFERROR(INDEX('מלאי'!$H$3:$H$357,MATCH(A205,'מלאי'!$D$3:$D$357,0)),""))</f>
        <v/>
      </c>
      <c r="H205">
        <f>IF(A205="","",IFERROR(INDEX('מלאי'!$I$3:$I$357,MATCH(A205,'מלאי'!$D$3:$D$357,0)),""))</f>
        <v/>
      </c>
      <c r="M205">
        <f>IF(AND(E205="",I205=""),"",IF(H205="",E205,IF(I205="",E205,IFERROR((VALUE(E205)+VALUE(I205))/2,E205))))</f>
        <v/>
      </c>
      <c r="N205">
        <f>IF(AND(F205="",J205=""),"",IF(H205="",F205,IF(J205="",F205,IFERROR((VALUE(F205)+VALUE(J205))/2,F205))))</f>
        <v/>
      </c>
      <c r="O205">
        <f>IF(AND(M205="",N205=""),"",IF(M205="",N205,IF(N205="",M205,IFERROR((VALUE(M205)+VALUE(N205))/2,""))))</f>
        <v/>
      </c>
      <c r="P205">
        <f>IF(AND(OR('טכנו'!$C$3="הכל",IFERROR(VLOOKUP(D205,'הגדרות'!$A$2:$D$18,2,FALSE),"")='טכנו'!$C$3,IFERROR(VLOOKUP(D205,'הגדרות'!$A$2:$D$18,3,FALSE),"")='טכנו'!$C$3),OR('טכנו'!$C$4="הכל",C205='טכנו'!$C$4),OR('טכנו'!$C$5="הכל",L205='טכנו'!$C$5),OR('טכנו'!$C$6="",IFERROR(VALUE(M205),0)&gt;='טכנו'!$C$6),OR('טכנו'!$C$7="",IFERROR(VALUE(M205),0)&lt;='טכנו'!$C$7),A205&lt;&gt;""),ROW()-4,"")</f>
        <v/>
      </c>
    </row>
    <row r="206">
      <c r="B206">
        <f>IF(A206="","",IFERROR(INDEX('מלאי'!$B$3:$B$357,MATCH(A206,'מלאי'!$D$3:$D$357,0)),""))</f>
        <v/>
      </c>
      <c r="C206">
        <f>IF(A206="","",IFERROR(INDEX('מלאי'!$A$3:$A$357,MATCH(A206,'מלאי'!$D$3:$D$357,0)),""))</f>
        <v/>
      </c>
      <c r="D206">
        <f>IF(A206="","",IFERROR(INDEX('מלאי'!$H$3:$H$357,MATCH(A206,'מלאי'!$D$3:$D$357,0)),""))</f>
        <v/>
      </c>
      <c r="H206">
        <f>IF(A206="","",IFERROR(INDEX('מלאי'!$I$3:$I$357,MATCH(A206,'מלאי'!$D$3:$D$357,0)),""))</f>
        <v/>
      </c>
      <c r="M206">
        <f>IF(AND(E206="",I206=""),"",IF(H206="",E206,IF(I206="",E206,IFERROR((VALUE(E206)+VALUE(I206))/2,E206))))</f>
        <v/>
      </c>
      <c r="N206">
        <f>IF(AND(F206="",J206=""),"",IF(H206="",F206,IF(J206="",F206,IFERROR((VALUE(F206)+VALUE(J206))/2,F206))))</f>
        <v/>
      </c>
      <c r="O206">
        <f>IF(AND(M206="",N206=""),"",IF(M206="",N206,IF(N206="",M206,IFERROR((VALUE(M206)+VALUE(N206))/2,""))))</f>
        <v/>
      </c>
      <c r="P206">
        <f>IF(AND(OR('טכנו'!$C$3="הכל",IFERROR(VLOOKUP(D206,'הגדרות'!$A$2:$D$18,2,FALSE),"")='טכנו'!$C$3,IFERROR(VLOOKUP(D206,'הגדרות'!$A$2:$D$18,3,FALSE),"")='טכנו'!$C$3),OR('טכנו'!$C$4="הכל",C206='טכנו'!$C$4),OR('טכנו'!$C$5="הכל",L206='טכנו'!$C$5),OR('טכנו'!$C$6="",IFERROR(VALUE(M206),0)&gt;='טכנו'!$C$6),OR('טכנו'!$C$7="",IFERROR(VALUE(M206),0)&lt;='טכנו'!$C$7),A206&lt;&gt;""),ROW()-4,"")</f>
        <v/>
      </c>
    </row>
    <row r="207">
      <c r="B207">
        <f>IF(A207="","",IFERROR(INDEX('מלאי'!$B$3:$B$357,MATCH(A207,'מלאי'!$D$3:$D$357,0)),""))</f>
        <v/>
      </c>
      <c r="C207">
        <f>IF(A207="","",IFERROR(INDEX('מלאי'!$A$3:$A$357,MATCH(A207,'מלאי'!$D$3:$D$357,0)),""))</f>
        <v/>
      </c>
      <c r="D207">
        <f>IF(A207="","",IFERROR(INDEX('מלאי'!$H$3:$H$357,MATCH(A207,'מלאי'!$D$3:$D$357,0)),""))</f>
        <v/>
      </c>
      <c r="H207">
        <f>IF(A207="","",IFERROR(INDEX('מלאי'!$I$3:$I$357,MATCH(A207,'מלאי'!$D$3:$D$357,0)),""))</f>
        <v/>
      </c>
      <c r="M207">
        <f>IF(AND(E207="",I207=""),"",IF(H207="",E207,IF(I207="",E207,IFERROR((VALUE(E207)+VALUE(I207))/2,E207))))</f>
        <v/>
      </c>
      <c r="N207">
        <f>IF(AND(F207="",J207=""),"",IF(H207="",F207,IF(J207="",F207,IFERROR((VALUE(F207)+VALUE(J207))/2,F207))))</f>
        <v/>
      </c>
      <c r="O207">
        <f>IF(AND(M207="",N207=""),"",IF(M207="",N207,IF(N207="",M207,IFERROR((VALUE(M207)+VALUE(N207))/2,""))))</f>
        <v/>
      </c>
      <c r="P207">
        <f>IF(AND(OR('טכנו'!$C$3="הכל",IFERROR(VLOOKUP(D207,'הגדרות'!$A$2:$D$18,2,FALSE),"")='טכנו'!$C$3,IFERROR(VLOOKUP(D207,'הגדרות'!$A$2:$D$18,3,FALSE),"")='טכנו'!$C$3),OR('טכנו'!$C$4="הכל",C207='טכנו'!$C$4),OR('טכנו'!$C$5="הכל",L207='טכנו'!$C$5),OR('טכנו'!$C$6="",IFERROR(VALUE(M207),0)&gt;='טכנו'!$C$6),OR('טכנו'!$C$7="",IFERROR(VALUE(M207),0)&lt;='טכנו'!$C$7),A207&lt;&gt;""),ROW()-4,"")</f>
        <v/>
      </c>
    </row>
    <row r="208">
      <c r="B208">
        <f>IF(A208="","",IFERROR(INDEX('מלאי'!$B$3:$B$357,MATCH(A208,'מלאי'!$D$3:$D$357,0)),""))</f>
        <v/>
      </c>
      <c r="C208">
        <f>IF(A208="","",IFERROR(INDEX('מלאי'!$A$3:$A$357,MATCH(A208,'מלאי'!$D$3:$D$357,0)),""))</f>
        <v/>
      </c>
      <c r="D208">
        <f>IF(A208="","",IFERROR(INDEX('מלאי'!$H$3:$H$357,MATCH(A208,'מלאי'!$D$3:$D$357,0)),""))</f>
        <v/>
      </c>
      <c r="H208">
        <f>IF(A208="","",IFERROR(INDEX('מלאי'!$I$3:$I$357,MATCH(A208,'מלאי'!$D$3:$D$357,0)),""))</f>
        <v/>
      </c>
      <c r="M208">
        <f>IF(AND(E208="",I208=""),"",IF(H208="",E208,IF(I208="",E208,IFERROR((VALUE(E208)+VALUE(I208))/2,E208))))</f>
        <v/>
      </c>
      <c r="N208">
        <f>IF(AND(F208="",J208=""),"",IF(H208="",F208,IF(J208="",F208,IFERROR((VALUE(F208)+VALUE(J208))/2,F208))))</f>
        <v/>
      </c>
      <c r="O208">
        <f>IF(AND(M208="",N208=""),"",IF(M208="",N208,IF(N208="",M208,IFERROR((VALUE(M208)+VALUE(N208))/2,""))))</f>
        <v/>
      </c>
      <c r="P208">
        <f>IF(AND(OR('טכנו'!$C$3="הכל",IFERROR(VLOOKUP(D208,'הגדרות'!$A$2:$D$18,2,FALSE),"")='טכנו'!$C$3,IFERROR(VLOOKUP(D208,'הגדרות'!$A$2:$D$18,3,FALSE),"")='טכנו'!$C$3),OR('טכנו'!$C$4="הכל",C208='טכנו'!$C$4),OR('טכנו'!$C$5="הכל",L208='טכנו'!$C$5),OR('טכנו'!$C$6="",IFERROR(VALUE(M208),0)&gt;='טכנו'!$C$6),OR('טכנו'!$C$7="",IFERROR(VALUE(M208),0)&lt;='טכנו'!$C$7),A208&lt;&gt;""),ROW()-4,"")</f>
        <v/>
      </c>
    </row>
    <row r="209">
      <c r="B209">
        <f>IF(A209="","",IFERROR(INDEX('מלאי'!$B$3:$B$357,MATCH(A209,'מלאי'!$D$3:$D$357,0)),""))</f>
        <v/>
      </c>
      <c r="C209">
        <f>IF(A209="","",IFERROR(INDEX('מלאי'!$A$3:$A$357,MATCH(A209,'מלאי'!$D$3:$D$357,0)),""))</f>
        <v/>
      </c>
      <c r="D209">
        <f>IF(A209="","",IFERROR(INDEX('מלאי'!$H$3:$H$357,MATCH(A209,'מלאי'!$D$3:$D$357,0)),""))</f>
        <v/>
      </c>
      <c r="H209">
        <f>IF(A209="","",IFERROR(INDEX('מלאי'!$I$3:$I$357,MATCH(A209,'מלאי'!$D$3:$D$357,0)),""))</f>
        <v/>
      </c>
      <c r="M209">
        <f>IF(AND(E209="",I209=""),"",IF(H209="",E209,IF(I209="",E209,IFERROR((VALUE(E209)+VALUE(I209))/2,E209))))</f>
        <v/>
      </c>
      <c r="N209">
        <f>IF(AND(F209="",J209=""),"",IF(H209="",F209,IF(J209="",F209,IFERROR((VALUE(F209)+VALUE(J209))/2,F209))))</f>
        <v/>
      </c>
      <c r="O209">
        <f>IF(AND(M209="",N209=""),"",IF(M209="",N209,IF(N209="",M209,IFERROR((VALUE(M209)+VALUE(N209))/2,""))))</f>
        <v/>
      </c>
      <c r="P209">
        <f>IF(AND(OR('טכנו'!$C$3="הכל",IFERROR(VLOOKUP(D209,'הגדרות'!$A$2:$D$18,2,FALSE),"")='טכנו'!$C$3,IFERROR(VLOOKUP(D209,'הגדרות'!$A$2:$D$18,3,FALSE),"")='טכנו'!$C$3),OR('טכנו'!$C$4="הכל",C209='טכנו'!$C$4),OR('טכנו'!$C$5="הכל",L209='טכנו'!$C$5),OR('טכנו'!$C$6="",IFERROR(VALUE(M209),0)&gt;='טכנו'!$C$6),OR('טכנו'!$C$7="",IFERROR(VALUE(M209),0)&lt;='טכנו'!$C$7),A209&lt;&gt;""),ROW()-4,"")</f>
        <v/>
      </c>
    </row>
    <row r="210">
      <c r="B210">
        <f>IF(A210="","",IFERROR(INDEX('מלאי'!$B$3:$B$357,MATCH(A210,'מלאי'!$D$3:$D$357,0)),""))</f>
        <v/>
      </c>
      <c r="C210">
        <f>IF(A210="","",IFERROR(INDEX('מלאי'!$A$3:$A$357,MATCH(A210,'מלאי'!$D$3:$D$357,0)),""))</f>
        <v/>
      </c>
      <c r="D210">
        <f>IF(A210="","",IFERROR(INDEX('מלאי'!$H$3:$H$357,MATCH(A210,'מלאי'!$D$3:$D$357,0)),""))</f>
        <v/>
      </c>
      <c r="H210">
        <f>IF(A210="","",IFERROR(INDEX('מלאי'!$I$3:$I$357,MATCH(A210,'מלאי'!$D$3:$D$357,0)),""))</f>
        <v/>
      </c>
      <c r="M210">
        <f>IF(AND(E210="",I210=""),"",IF(H210="",E210,IF(I210="",E210,IFERROR((VALUE(E210)+VALUE(I210))/2,E210))))</f>
        <v/>
      </c>
      <c r="N210">
        <f>IF(AND(F210="",J210=""),"",IF(H210="",F210,IF(J210="",F210,IFERROR((VALUE(F210)+VALUE(J210))/2,F210))))</f>
        <v/>
      </c>
      <c r="O210">
        <f>IF(AND(M210="",N210=""),"",IF(M210="",N210,IF(N210="",M210,IFERROR((VALUE(M210)+VALUE(N210))/2,""))))</f>
        <v/>
      </c>
      <c r="P210">
        <f>IF(AND(OR('טכנו'!$C$3="הכל",IFERROR(VLOOKUP(D210,'הגדרות'!$A$2:$D$18,2,FALSE),"")='טכנו'!$C$3,IFERROR(VLOOKUP(D210,'הגדרות'!$A$2:$D$18,3,FALSE),"")='טכנו'!$C$3),OR('טכנו'!$C$4="הכל",C210='טכנו'!$C$4),OR('טכנו'!$C$5="הכל",L210='טכנו'!$C$5),OR('טכנו'!$C$6="",IFERROR(VALUE(M210),0)&gt;='טכנו'!$C$6),OR('טכנו'!$C$7="",IFERROR(VALUE(M210),0)&lt;='טכנו'!$C$7),A210&lt;&gt;""),ROW()-4,"")</f>
        <v/>
      </c>
    </row>
    <row r="211">
      <c r="B211">
        <f>IF(A211="","",IFERROR(INDEX('מלאי'!$B$3:$B$357,MATCH(A211,'מלאי'!$D$3:$D$357,0)),""))</f>
        <v/>
      </c>
      <c r="C211">
        <f>IF(A211="","",IFERROR(INDEX('מלאי'!$A$3:$A$357,MATCH(A211,'מלאי'!$D$3:$D$357,0)),""))</f>
        <v/>
      </c>
      <c r="D211">
        <f>IF(A211="","",IFERROR(INDEX('מלאי'!$H$3:$H$357,MATCH(A211,'מלאי'!$D$3:$D$357,0)),""))</f>
        <v/>
      </c>
      <c r="H211">
        <f>IF(A211="","",IFERROR(INDEX('מלאי'!$I$3:$I$357,MATCH(A211,'מלאי'!$D$3:$D$357,0)),""))</f>
        <v/>
      </c>
      <c r="M211">
        <f>IF(AND(E211="",I211=""),"",IF(H211="",E211,IF(I211="",E211,IFERROR((VALUE(E211)+VALUE(I211))/2,E211))))</f>
        <v/>
      </c>
      <c r="N211">
        <f>IF(AND(F211="",J211=""),"",IF(H211="",F211,IF(J211="",F211,IFERROR((VALUE(F211)+VALUE(J211))/2,F211))))</f>
        <v/>
      </c>
      <c r="O211">
        <f>IF(AND(M211="",N211=""),"",IF(M211="",N211,IF(N211="",M211,IFERROR((VALUE(M211)+VALUE(N211))/2,""))))</f>
        <v/>
      </c>
      <c r="P211">
        <f>IF(AND(OR('טכנו'!$C$3="הכל",IFERROR(VLOOKUP(D211,'הגדרות'!$A$2:$D$18,2,FALSE),"")='טכנו'!$C$3,IFERROR(VLOOKUP(D211,'הגדרות'!$A$2:$D$18,3,FALSE),"")='טכנו'!$C$3),OR('טכנו'!$C$4="הכל",C211='טכנו'!$C$4),OR('טכנו'!$C$5="הכל",L211='טכנו'!$C$5),OR('טכנו'!$C$6="",IFERROR(VALUE(M211),0)&gt;='טכנו'!$C$6),OR('טכנו'!$C$7="",IFERROR(VALUE(M211),0)&lt;='טכנו'!$C$7),A211&lt;&gt;""),ROW()-4,"")</f>
        <v/>
      </c>
    </row>
    <row r="212">
      <c r="B212">
        <f>IF(A212="","",IFERROR(INDEX('מלאי'!$B$3:$B$357,MATCH(A212,'מלאי'!$D$3:$D$357,0)),""))</f>
        <v/>
      </c>
      <c r="C212">
        <f>IF(A212="","",IFERROR(INDEX('מלאי'!$A$3:$A$357,MATCH(A212,'מלאי'!$D$3:$D$357,0)),""))</f>
        <v/>
      </c>
      <c r="D212">
        <f>IF(A212="","",IFERROR(INDEX('מלאי'!$H$3:$H$357,MATCH(A212,'מלאי'!$D$3:$D$357,0)),""))</f>
        <v/>
      </c>
      <c r="H212">
        <f>IF(A212="","",IFERROR(INDEX('מלאי'!$I$3:$I$357,MATCH(A212,'מלאי'!$D$3:$D$357,0)),""))</f>
        <v/>
      </c>
      <c r="M212">
        <f>IF(AND(E212="",I212=""),"",IF(H212="",E212,IF(I212="",E212,IFERROR((VALUE(E212)+VALUE(I212))/2,E212))))</f>
        <v/>
      </c>
      <c r="N212">
        <f>IF(AND(F212="",J212=""),"",IF(H212="",F212,IF(J212="",F212,IFERROR((VALUE(F212)+VALUE(J212))/2,F212))))</f>
        <v/>
      </c>
      <c r="O212">
        <f>IF(AND(M212="",N212=""),"",IF(M212="",N212,IF(N212="",M212,IFERROR((VALUE(M212)+VALUE(N212))/2,""))))</f>
        <v/>
      </c>
      <c r="P212">
        <f>IF(AND(OR('טכנו'!$C$3="הכל",IFERROR(VLOOKUP(D212,'הגדרות'!$A$2:$D$18,2,FALSE),"")='טכנו'!$C$3,IFERROR(VLOOKUP(D212,'הגדרות'!$A$2:$D$18,3,FALSE),"")='טכנו'!$C$3),OR('טכנו'!$C$4="הכל",C212='טכנו'!$C$4),OR('טכנו'!$C$5="הכל",L212='טכנו'!$C$5),OR('טכנו'!$C$6="",IFERROR(VALUE(M212),0)&gt;='טכנו'!$C$6),OR('טכנו'!$C$7="",IFERROR(VALUE(M212),0)&lt;='טכנו'!$C$7),A212&lt;&gt;""),ROW()-4,"")</f>
        <v/>
      </c>
    </row>
    <row r="213">
      <c r="B213">
        <f>IF(A213="","",IFERROR(INDEX('מלאי'!$B$3:$B$357,MATCH(A213,'מלאי'!$D$3:$D$357,0)),""))</f>
        <v/>
      </c>
      <c r="C213">
        <f>IF(A213="","",IFERROR(INDEX('מלאי'!$A$3:$A$357,MATCH(A213,'מלאי'!$D$3:$D$357,0)),""))</f>
        <v/>
      </c>
      <c r="D213">
        <f>IF(A213="","",IFERROR(INDEX('מלאי'!$H$3:$H$357,MATCH(A213,'מלאי'!$D$3:$D$357,0)),""))</f>
        <v/>
      </c>
      <c r="H213">
        <f>IF(A213="","",IFERROR(INDEX('מלאי'!$I$3:$I$357,MATCH(A213,'מלאי'!$D$3:$D$357,0)),""))</f>
        <v/>
      </c>
      <c r="M213">
        <f>IF(AND(E213="",I213=""),"",IF(H213="",E213,IF(I213="",E213,IFERROR((VALUE(E213)+VALUE(I213))/2,E213))))</f>
        <v/>
      </c>
      <c r="N213">
        <f>IF(AND(F213="",J213=""),"",IF(H213="",F213,IF(J213="",F213,IFERROR((VALUE(F213)+VALUE(J213))/2,F213))))</f>
        <v/>
      </c>
      <c r="O213">
        <f>IF(AND(M213="",N213=""),"",IF(M213="",N213,IF(N213="",M213,IFERROR((VALUE(M213)+VALUE(N213))/2,""))))</f>
        <v/>
      </c>
      <c r="P213">
        <f>IF(AND(OR('טכנו'!$C$3="הכל",IFERROR(VLOOKUP(D213,'הגדרות'!$A$2:$D$18,2,FALSE),"")='טכנו'!$C$3,IFERROR(VLOOKUP(D213,'הגדרות'!$A$2:$D$18,3,FALSE),"")='טכנו'!$C$3),OR('טכנו'!$C$4="הכל",C213='טכנו'!$C$4),OR('טכנו'!$C$5="הכל",L213='טכנו'!$C$5),OR('טכנו'!$C$6="",IFERROR(VALUE(M213),0)&gt;='טכנו'!$C$6),OR('טכנו'!$C$7="",IFERROR(VALUE(M213),0)&lt;='טכנו'!$C$7),A213&lt;&gt;""),ROW()-4,"")</f>
        <v/>
      </c>
    </row>
    <row r="214">
      <c r="B214">
        <f>IF(A214="","",IFERROR(INDEX('מלאי'!$B$3:$B$357,MATCH(A214,'מלאי'!$D$3:$D$357,0)),""))</f>
        <v/>
      </c>
      <c r="C214">
        <f>IF(A214="","",IFERROR(INDEX('מלאי'!$A$3:$A$357,MATCH(A214,'מלאי'!$D$3:$D$357,0)),""))</f>
        <v/>
      </c>
      <c r="D214">
        <f>IF(A214="","",IFERROR(INDEX('מלאי'!$H$3:$H$357,MATCH(A214,'מלאי'!$D$3:$D$357,0)),""))</f>
        <v/>
      </c>
      <c r="H214">
        <f>IF(A214="","",IFERROR(INDEX('מלאי'!$I$3:$I$357,MATCH(A214,'מלאי'!$D$3:$D$357,0)),""))</f>
        <v/>
      </c>
      <c r="M214">
        <f>IF(AND(E214="",I214=""),"",IF(H214="",E214,IF(I214="",E214,IFERROR((VALUE(E214)+VALUE(I214))/2,E214))))</f>
        <v/>
      </c>
      <c r="N214">
        <f>IF(AND(F214="",J214=""),"",IF(H214="",F214,IF(J214="",F214,IFERROR((VALUE(F214)+VALUE(J214))/2,F214))))</f>
        <v/>
      </c>
      <c r="O214">
        <f>IF(AND(M214="",N214=""),"",IF(M214="",N214,IF(N214="",M214,IFERROR((VALUE(M214)+VALUE(N214))/2,""))))</f>
        <v/>
      </c>
      <c r="P214">
        <f>IF(AND(OR('טכנו'!$C$3="הכל",IFERROR(VLOOKUP(D214,'הגדרות'!$A$2:$D$18,2,FALSE),"")='טכנו'!$C$3,IFERROR(VLOOKUP(D214,'הגדרות'!$A$2:$D$18,3,FALSE),"")='טכנו'!$C$3),OR('טכנו'!$C$4="הכל",C214='טכנו'!$C$4),OR('טכנו'!$C$5="הכל",L214='טכנו'!$C$5),OR('טכנו'!$C$6="",IFERROR(VALUE(M214),0)&gt;='טכנו'!$C$6),OR('טכנו'!$C$7="",IFERROR(VALUE(M214),0)&lt;='טכנו'!$C$7),A214&lt;&gt;""),ROW()-4,"")</f>
        <v/>
      </c>
    </row>
    <row r="215">
      <c r="B215">
        <f>IF(A215="","",IFERROR(INDEX('מלאי'!$B$3:$B$357,MATCH(A215,'מלאי'!$D$3:$D$357,0)),""))</f>
        <v/>
      </c>
      <c r="C215">
        <f>IF(A215="","",IFERROR(INDEX('מלאי'!$A$3:$A$357,MATCH(A215,'מלאי'!$D$3:$D$357,0)),""))</f>
        <v/>
      </c>
      <c r="D215">
        <f>IF(A215="","",IFERROR(INDEX('מלאי'!$H$3:$H$357,MATCH(A215,'מלאי'!$D$3:$D$357,0)),""))</f>
        <v/>
      </c>
      <c r="H215">
        <f>IF(A215="","",IFERROR(INDEX('מלאי'!$I$3:$I$357,MATCH(A215,'מלאי'!$D$3:$D$357,0)),""))</f>
        <v/>
      </c>
      <c r="M215">
        <f>IF(AND(E215="",I215=""),"",IF(H215="",E215,IF(I215="",E215,IFERROR((VALUE(E215)+VALUE(I215))/2,E215))))</f>
        <v/>
      </c>
      <c r="N215">
        <f>IF(AND(F215="",J215=""),"",IF(H215="",F215,IF(J215="",F215,IFERROR((VALUE(F215)+VALUE(J215))/2,F215))))</f>
        <v/>
      </c>
      <c r="O215">
        <f>IF(AND(M215="",N215=""),"",IF(M215="",N215,IF(N215="",M215,IFERROR((VALUE(M215)+VALUE(N215))/2,""))))</f>
        <v/>
      </c>
      <c r="P215">
        <f>IF(AND(OR('טכנו'!$C$3="הכל",IFERROR(VLOOKUP(D215,'הגדרות'!$A$2:$D$18,2,FALSE),"")='טכנו'!$C$3,IFERROR(VLOOKUP(D215,'הגדרות'!$A$2:$D$18,3,FALSE),"")='טכנו'!$C$3),OR('טכנו'!$C$4="הכל",C215='טכנו'!$C$4),OR('טכנו'!$C$5="הכל",L215='טכנו'!$C$5),OR('טכנו'!$C$6="",IFERROR(VALUE(M215),0)&gt;='טכנו'!$C$6),OR('טכנו'!$C$7="",IFERROR(VALUE(M215),0)&lt;='טכנו'!$C$7),A215&lt;&gt;""),ROW()-4,"")</f>
        <v/>
      </c>
    </row>
    <row r="216">
      <c r="B216">
        <f>IF(A216="","",IFERROR(INDEX('מלאי'!$B$3:$B$357,MATCH(A216,'מלאי'!$D$3:$D$357,0)),""))</f>
        <v/>
      </c>
      <c r="C216">
        <f>IF(A216="","",IFERROR(INDEX('מלאי'!$A$3:$A$357,MATCH(A216,'מלאי'!$D$3:$D$357,0)),""))</f>
        <v/>
      </c>
      <c r="D216">
        <f>IF(A216="","",IFERROR(INDEX('מלאי'!$H$3:$H$357,MATCH(A216,'מלאי'!$D$3:$D$357,0)),""))</f>
        <v/>
      </c>
      <c r="H216">
        <f>IF(A216="","",IFERROR(INDEX('מלאי'!$I$3:$I$357,MATCH(A216,'מלאי'!$D$3:$D$357,0)),""))</f>
        <v/>
      </c>
      <c r="M216">
        <f>IF(AND(E216="",I216=""),"",IF(H216="",E216,IF(I216="",E216,IFERROR((VALUE(E216)+VALUE(I216))/2,E216))))</f>
        <v/>
      </c>
      <c r="N216">
        <f>IF(AND(F216="",J216=""),"",IF(H216="",F216,IF(J216="",F216,IFERROR((VALUE(F216)+VALUE(J216))/2,F216))))</f>
        <v/>
      </c>
      <c r="O216">
        <f>IF(AND(M216="",N216=""),"",IF(M216="",N216,IF(N216="",M216,IFERROR((VALUE(M216)+VALUE(N216))/2,""))))</f>
        <v/>
      </c>
      <c r="P216">
        <f>IF(AND(OR('טכנו'!$C$3="הכל",IFERROR(VLOOKUP(D216,'הגדרות'!$A$2:$D$18,2,FALSE),"")='טכנו'!$C$3,IFERROR(VLOOKUP(D216,'הגדרות'!$A$2:$D$18,3,FALSE),"")='טכנו'!$C$3),OR('טכנו'!$C$4="הכל",C216='טכנו'!$C$4),OR('טכנו'!$C$5="הכל",L216='טכנו'!$C$5),OR('טכנו'!$C$6="",IFERROR(VALUE(M216),0)&gt;='טכנו'!$C$6),OR('טכנו'!$C$7="",IFERROR(VALUE(M216),0)&lt;='טכנו'!$C$7),A216&lt;&gt;""),ROW()-4,"")</f>
        <v/>
      </c>
    </row>
    <row r="217">
      <c r="B217">
        <f>IF(A217="","",IFERROR(INDEX('מלאי'!$B$3:$B$357,MATCH(A217,'מלאי'!$D$3:$D$357,0)),""))</f>
        <v/>
      </c>
      <c r="C217">
        <f>IF(A217="","",IFERROR(INDEX('מלאי'!$A$3:$A$357,MATCH(A217,'מלאי'!$D$3:$D$357,0)),""))</f>
        <v/>
      </c>
      <c r="D217">
        <f>IF(A217="","",IFERROR(INDEX('מלאי'!$H$3:$H$357,MATCH(A217,'מלאי'!$D$3:$D$357,0)),""))</f>
        <v/>
      </c>
      <c r="H217">
        <f>IF(A217="","",IFERROR(INDEX('מלאי'!$I$3:$I$357,MATCH(A217,'מלאי'!$D$3:$D$357,0)),""))</f>
        <v/>
      </c>
      <c r="M217">
        <f>IF(AND(E217="",I217=""),"",IF(H217="",E217,IF(I217="",E217,IFERROR((VALUE(E217)+VALUE(I217))/2,E217))))</f>
        <v/>
      </c>
      <c r="N217">
        <f>IF(AND(F217="",J217=""),"",IF(H217="",F217,IF(J217="",F217,IFERROR((VALUE(F217)+VALUE(J217))/2,F217))))</f>
        <v/>
      </c>
      <c r="O217">
        <f>IF(AND(M217="",N217=""),"",IF(M217="",N217,IF(N217="",M217,IFERROR((VALUE(M217)+VALUE(N217))/2,""))))</f>
        <v/>
      </c>
      <c r="P217">
        <f>IF(AND(OR('טכנו'!$C$3="הכל",IFERROR(VLOOKUP(D217,'הגדרות'!$A$2:$D$18,2,FALSE),"")='טכנו'!$C$3,IFERROR(VLOOKUP(D217,'הגדרות'!$A$2:$D$18,3,FALSE),"")='טכנו'!$C$3),OR('טכנו'!$C$4="הכל",C217='טכנו'!$C$4),OR('טכנו'!$C$5="הכל",L217='טכנו'!$C$5),OR('טכנו'!$C$6="",IFERROR(VALUE(M217),0)&gt;='טכנו'!$C$6),OR('טכנו'!$C$7="",IFERROR(VALUE(M217),0)&lt;='טכנו'!$C$7),A217&lt;&gt;""),ROW()-4,"")</f>
        <v/>
      </c>
    </row>
    <row r="218">
      <c r="B218">
        <f>IF(A218="","",IFERROR(INDEX('מלאי'!$B$3:$B$357,MATCH(A218,'מלאי'!$D$3:$D$357,0)),""))</f>
        <v/>
      </c>
      <c r="C218">
        <f>IF(A218="","",IFERROR(INDEX('מלאי'!$A$3:$A$357,MATCH(A218,'מלאי'!$D$3:$D$357,0)),""))</f>
        <v/>
      </c>
      <c r="D218">
        <f>IF(A218="","",IFERROR(INDEX('מלאי'!$H$3:$H$357,MATCH(A218,'מלאי'!$D$3:$D$357,0)),""))</f>
        <v/>
      </c>
      <c r="H218">
        <f>IF(A218="","",IFERROR(INDEX('מלאי'!$I$3:$I$357,MATCH(A218,'מלאי'!$D$3:$D$357,0)),""))</f>
        <v/>
      </c>
      <c r="M218">
        <f>IF(AND(E218="",I218=""),"",IF(H218="",E218,IF(I218="",E218,IFERROR((VALUE(E218)+VALUE(I218))/2,E218))))</f>
        <v/>
      </c>
      <c r="N218">
        <f>IF(AND(F218="",J218=""),"",IF(H218="",F218,IF(J218="",F218,IFERROR((VALUE(F218)+VALUE(J218))/2,F218))))</f>
        <v/>
      </c>
      <c r="O218">
        <f>IF(AND(M218="",N218=""),"",IF(M218="",N218,IF(N218="",M218,IFERROR((VALUE(M218)+VALUE(N218))/2,""))))</f>
        <v/>
      </c>
      <c r="P218">
        <f>IF(AND(OR('טכנו'!$C$3="הכל",IFERROR(VLOOKUP(D218,'הגדרות'!$A$2:$D$18,2,FALSE),"")='טכנו'!$C$3,IFERROR(VLOOKUP(D218,'הגדרות'!$A$2:$D$18,3,FALSE),"")='טכנו'!$C$3),OR('טכנו'!$C$4="הכל",C218='טכנו'!$C$4),OR('טכנו'!$C$5="הכל",L218='טכנו'!$C$5),OR('טכנו'!$C$6="",IFERROR(VALUE(M218),0)&gt;='טכנו'!$C$6),OR('טכנו'!$C$7="",IFERROR(VALUE(M218),0)&lt;='טכנו'!$C$7),A218&lt;&gt;""),ROW()-4,"")</f>
        <v/>
      </c>
    </row>
    <row r="219">
      <c r="B219">
        <f>IF(A219="","",IFERROR(INDEX('מלאי'!$B$3:$B$357,MATCH(A219,'מלאי'!$D$3:$D$357,0)),""))</f>
        <v/>
      </c>
      <c r="C219">
        <f>IF(A219="","",IFERROR(INDEX('מלאי'!$A$3:$A$357,MATCH(A219,'מלאי'!$D$3:$D$357,0)),""))</f>
        <v/>
      </c>
      <c r="D219">
        <f>IF(A219="","",IFERROR(INDEX('מלאי'!$H$3:$H$357,MATCH(A219,'מלאי'!$D$3:$D$357,0)),""))</f>
        <v/>
      </c>
      <c r="H219">
        <f>IF(A219="","",IFERROR(INDEX('מלאי'!$I$3:$I$357,MATCH(A219,'מלאי'!$D$3:$D$357,0)),""))</f>
        <v/>
      </c>
      <c r="M219">
        <f>IF(AND(E219="",I219=""),"",IF(H219="",E219,IF(I219="",E219,IFERROR((VALUE(E219)+VALUE(I219))/2,E219))))</f>
        <v/>
      </c>
      <c r="N219">
        <f>IF(AND(F219="",J219=""),"",IF(H219="",F219,IF(J219="",F219,IFERROR((VALUE(F219)+VALUE(J219))/2,F219))))</f>
        <v/>
      </c>
      <c r="O219">
        <f>IF(AND(M219="",N219=""),"",IF(M219="",N219,IF(N219="",M219,IFERROR((VALUE(M219)+VALUE(N219))/2,""))))</f>
        <v/>
      </c>
      <c r="P219">
        <f>IF(AND(OR('טכנו'!$C$3="הכל",IFERROR(VLOOKUP(D219,'הגדרות'!$A$2:$D$18,2,FALSE),"")='טכנו'!$C$3,IFERROR(VLOOKUP(D219,'הגדרות'!$A$2:$D$18,3,FALSE),"")='טכנו'!$C$3),OR('טכנו'!$C$4="הכל",C219='טכנו'!$C$4),OR('טכנו'!$C$5="הכל",L219='טכנו'!$C$5),OR('טכנו'!$C$6="",IFERROR(VALUE(M219),0)&gt;='טכנו'!$C$6),OR('טכנו'!$C$7="",IFERROR(VALUE(M219),0)&lt;='טכנו'!$C$7),A219&lt;&gt;""),ROW()-4,"")</f>
        <v/>
      </c>
    </row>
    <row r="220">
      <c r="B220">
        <f>IF(A220="","",IFERROR(INDEX('מלאי'!$B$3:$B$357,MATCH(A220,'מלאי'!$D$3:$D$357,0)),""))</f>
        <v/>
      </c>
      <c r="C220">
        <f>IF(A220="","",IFERROR(INDEX('מלאי'!$A$3:$A$357,MATCH(A220,'מלאי'!$D$3:$D$357,0)),""))</f>
        <v/>
      </c>
      <c r="D220">
        <f>IF(A220="","",IFERROR(INDEX('מלאי'!$H$3:$H$357,MATCH(A220,'מלאי'!$D$3:$D$357,0)),""))</f>
        <v/>
      </c>
      <c r="H220">
        <f>IF(A220="","",IFERROR(INDEX('מלאי'!$I$3:$I$357,MATCH(A220,'מלאי'!$D$3:$D$357,0)),""))</f>
        <v/>
      </c>
      <c r="M220">
        <f>IF(AND(E220="",I220=""),"",IF(H220="",E220,IF(I220="",E220,IFERROR((VALUE(E220)+VALUE(I220))/2,E220))))</f>
        <v/>
      </c>
      <c r="N220">
        <f>IF(AND(F220="",J220=""),"",IF(H220="",F220,IF(J220="",F220,IFERROR((VALUE(F220)+VALUE(J220))/2,F220))))</f>
        <v/>
      </c>
      <c r="O220">
        <f>IF(AND(M220="",N220=""),"",IF(M220="",N220,IF(N220="",M220,IFERROR((VALUE(M220)+VALUE(N220))/2,""))))</f>
        <v/>
      </c>
      <c r="P220">
        <f>IF(AND(OR('טכנו'!$C$3="הכל",IFERROR(VLOOKUP(D220,'הגדרות'!$A$2:$D$18,2,FALSE),"")='טכנו'!$C$3,IFERROR(VLOOKUP(D220,'הגדרות'!$A$2:$D$18,3,FALSE),"")='טכנו'!$C$3),OR('טכנו'!$C$4="הכל",C220='טכנו'!$C$4),OR('טכנו'!$C$5="הכל",L220='טכנו'!$C$5),OR('טכנו'!$C$6="",IFERROR(VALUE(M220),0)&gt;='טכנו'!$C$6),OR('טכנו'!$C$7="",IFERROR(VALUE(M220),0)&lt;='טכנו'!$C$7),A220&lt;&gt;""),ROW()-4,"")</f>
        <v/>
      </c>
    </row>
    <row r="221">
      <c r="B221">
        <f>IF(A221="","",IFERROR(INDEX('מלאי'!$B$3:$B$357,MATCH(A221,'מלאי'!$D$3:$D$357,0)),""))</f>
        <v/>
      </c>
      <c r="C221">
        <f>IF(A221="","",IFERROR(INDEX('מלאי'!$A$3:$A$357,MATCH(A221,'מלאי'!$D$3:$D$357,0)),""))</f>
        <v/>
      </c>
      <c r="D221">
        <f>IF(A221="","",IFERROR(INDEX('מלאי'!$H$3:$H$357,MATCH(A221,'מלאי'!$D$3:$D$357,0)),""))</f>
        <v/>
      </c>
      <c r="H221">
        <f>IF(A221="","",IFERROR(INDEX('מלאי'!$I$3:$I$357,MATCH(A221,'מלאי'!$D$3:$D$357,0)),""))</f>
        <v/>
      </c>
      <c r="M221">
        <f>IF(AND(E221="",I221=""),"",IF(H221="",E221,IF(I221="",E221,IFERROR((VALUE(E221)+VALUE(I221))/2,E221))))</f>
        <v/>
      </c>
      <c r="N221">
        <f>IF(AND(F221="",J221=""),"",IF(H221="",F221,IF(J221="",F221,IFERROR((VALUE(F221)+VALUE(J221))/2,F221))))</f>
        <v/>
      </c>
      <c r="O221">
        <f>IF(AND(M221="",N221=""),"",IF(M221="",N221,IF(N221="",M221,IFERROR((VALUE(M221)+VALUE(N221))/2,""))))</f>
        <v/>
      </c>
      <c r="P221">
        <f>IF(AND(OR('טכנו'!$C$3="הכל",IFERROR(VLOOKUP(D221,'הגדרות'!$A$2:$D$18,2,FALSE),"")='טכנו'!$C$3,IFERROR(VLOOKUP(D221,'הגדרות'!$A$2:$D$18,3,FALSE),"")='טכנו'!$C$3),OR('טכנו'!$C$4="הכל",C221='טכנו'!$C$4),OR('טכנו'!$C$5="הכל",L221='טכנו'!$C$5),OR('טכנו'!$C$6="",IFERROR(VALUE(M221),0)&gt;='טכנו'!$C$6),OR('טכנו'!$C$7="",IFERROR(VALUE(M221),0)&lt;='טכנו'!$C$7),A221&lt;&gt;""),ROW()-4,"")</f>
        <v/>
      </c>
    </row>
    <row r="222">
      <c r="B222">
        <f>IF(A222="","",IFERROR(INDEX('מלאי'!$B$3:$B$357,MATCH(A222,'מלאי'!$D$3:$D$357,0)),""))</f>
        <v/>
      </c>
      <c r="C222">
        <f>IF(A222="","",IFERROR(INDEX('מלאי'!$A$3:$A$357,MATCH(A222,'מלאי'!$D$3:$D$357,0)),""))</f>
        <v/>
      </c>
      <c r="D222">
        <f>IF(A222="","",IFERROR(INDEX('מלאי'!$H$3:$H$357,MATCH(A222,'מלאי'!$D$3:$D$357,0)),""))</f>
        <v/>
      </c>
      <c r="H222">
        <f>IF(A222="","",IFERROR(INDEX('מלאי'!$I$3:$I$357,MATCH(A222,'מלאי'!$D$3:$D$357,0)),""))</f>
        <v/>
      </c>
      <c r="M222">
        <f>IF(AND(E222="",I222=""),"",IF(H222="",E222,IF(I222="",E222,IFERROR((VALUE(E222)+VALUE(I222))/2,E222))))</f>
        <v/>
      </c>
      <c r="N222">
        <f>IF(AND(F222="",J222=""),"",IF(H222="",F222,IF(J222="",F222,IFERROR((VALUE(F222)+VALUE(J222))/2,F222))))</f>
        <v/>
      </c>
      <c r="O222">
        <f>IF(AND(M222="",N222=""),"",IF(M222="",N222,IF(N222="",M222,IFERROR((VALUE(M222)+VALUE(N222))/2,""))))</f>
        <v/>
      </c>
      <c r="P222">
        <f>IF(AND(OR('טכנו'!$C$3="הכל",IFERROR(VLOOKUP(D222,'הגדרות'!$A$2:$D$18,2,FALSE),"")='טכנו'!$C$3,IFERROR(VLOOKUP(D222,'הגדרות'!$A$2:$D$18,3,FALSE),"")='טכנו'!$C$3),OR('טכנו'!$C$4="הכל",C222='טכנו'!$C$4),OR('טכנו'!$C$5="הכל",L222='טכנו'!$C$5),OR('טכנו'!$C$6="",IFERROR(VALUE(M222),0)&gt;='טכנו'!$C$6),OR('טכנו'!$C$7="",IFERROR(VALUE(M222),0)&lt;='טכנו'!$C$7),A222&lt;&gt;""),ROW()-4,"")</f>
        <v/>
      </c>
    </row>
    <row r="223">
      <c r="B223">
        <f>IF(A223="","",IFERROR(INDEX('מלאי'!$B$3:$B$357,MATCH(A223,'מלאי'!$D$3:$D$357,0)),""))</f>
        <v/>
      </c>
      <c r="C223">
        <f>IF(A223="","",IFERROR(INDEX('מלאי'!$A$3:$A$357,MATCH(A223,'מלאי'!$D$3:$D$357,0)),""))</f>
        <v/>
      </c>
      <c r="D223">
        <f>IF(A223="","",IFERROR(INDEX('מלאי'!$H$3:$H$357,MATCH(A223,'מלאי'!$D$3:$D$357,0)),""))</f>
        <v/>
      </c>
      <c r="H223">
        <f>IF(A223="","",IFERROR(INDEX('מלאי'!$I$3:$I$357,MATCH(A223,'מלאי'!$D$3:$D$357,0)),""))</f>
        <v/>
      </c>
      <c r="M223">
        <f>IF(AND(E223="",I223=""),"",IF(H223="",E223,IF(I223="",E223,IFERROR((VALUE(E223)+VALUE(I223))/2,E223))))</f>
        <v/>
      </c>
      <c r="N223">
        <f>IF(AND(F223="",J223=""),"",IF(H223="",F223,IF(J223="",F223,IFERROR((VALUE(F223)+VALUE(J223))/2,F223))))</f>
        <v/>
      </c>
      <c r="O223">
        <f>IF(AND(M223="",N223=""),"",IF(M223="",N223,IF(N223="",M223,IFERROR((VALUE(M223)+VALUE(N223))/2,""))))</f>
        <v/>
      </c>
      <c r="P223">
        <f>IF(AND(OR('טכנו'!$C$3="הכל",IFERROR(VLOOKUP(D223,'הגדרות'!$A$2:$D$18,2,FALSE),"")='טכנו'!$C$3,IFERROR(VLOOKUP(D223,'הגדרות'!$A$2:$D$18,3,FALSE),"")='טכנו'!$C$3),OR('טכנו'!$C$4="הכל",C223='טכנו'!$C$4),OR('טכנו'!$C$5="הכל",L223='טכנו'!$C$5),OR('טכנו'!$C$6="",IFERROR(VALUE(M223),0)&gt;='טכנו'!$C$6),OR('טכנו'!$C$7="",IFERROR(VALUE(M223),0)&lt;='טכנו'!$C$7),A223&lt;&gt;""),ROW()-4,"")</f>
        <v/>
      </c>
    </row>
    <row r="224">
      <c r="B224">
        <f>IF(A224="","",IFERROR(INDEX('מלאי'!$B$3:$B$357,MATCH(A224,'מלאי'!$D$3:$D$357,0)),""))</f>
        <v/>
      </c>
      <c r="C224">
        <f>IF(A224="","",IFERROR(INDEX('מלאי'!$A$3:$A$357,MATCH(A224,'מלאי'!$D$3:$D$357,0)),""))</f>
        <v/>
      </c>
      <c r="D224">
        <f>IF(A224="","",IFERROR(INDEX('מלאי'!$H$3:$H$357,MATCH(A224,'מלאי'!$D$3:$D$357,0)),""))</f>
        <v/>
      </c>
      <c r="H224">
        <f>IF(A224="","",IFERROR(INDEX('מלאי'!$I$3:$I$357,MATCH(A224,'מלאי'!$D$3:$D$357,0)),""))</f>
        <v/>
      </c>
      <c r="M224">
        <f>IF(AND(E224="",I224=""),"",IF(H224="",E224,IF(I224="",E224,IFERROR((VALUE(E224)+VALUE(I224))/2,E224))))</f>
        <v/>
      </c>
      <c r="N224">
        <f>IF(AND(F224="",J224=""),"",IF(H224="",F224,IF(J224="",F224,IFERROR((VALUE(F224)+VALUE(J224))/2,F224))))</f>
        <v/>
      </c>
      <c r="O224">
        <f>IF(AND(M224="",N224=""),"",IF(M224="",N224,IF(N224="",M224,IFERROR((VALUE(M224)+VALUE(N224))/2,""))))</f>
        <v/>
      </c>
      <c r="P224">
        <f>IF(AND(OR('טכנו'!$C$3="הכל",IFERROR(VLOOKUP(D224,'הגדרות'!$A$2:$D$18,2,FALSE),"")='טכנו'!$C$3,IFERROR(VLOOKUP(D224,'הגדרות'!$A$2:$D$18,3,FALSE),"")='טכנו'!$C$3),OR('טכנו'!$C$4="הכל",C224='טכנו'!$C$4),OR('טכנו'!$C$5="הכל",L224='טכנו'!$C$5),OR('טכנו'!$C$6="",IFERROR(VALUE(M224),0)&gt;='טכנו'!$C$6),OR('טכנו'!$C$7="",IFERROR(VALUE(M224),0)&lt;='טכנו'!$C$7),A224&lt;&gt;""),ROW()-4,"")</f>
        <v/>
      </c>
    </row>
    <row r="225">
      <c r="B225">
        <f>IF(A225="","",IFERROR(INDEX('מלאי'!$B$3:$B$357,MATCH(A225,'מלאי'!$D$3:$D$357,0)),""))</f>
        <v/>
      </c>
      <c r="C225">
        <f>IF(A225="","",IFERROR(INDEX('מלאי'!$A$3:$A$357,MATCH(A225,'מלאי'!$D$3:$D$357,0)),""))</f>
        <v/>
      </c>
      <c r="D225">
        <f>IF(A225="","",IFERROR(INDEX('מלאי'!$H$3:$H$357,MATCH(A225,'מלאי'!$D$3:$D$357,0)),""))</f>
        <v/>
      </c>
      <c r="H225">
        <f>IF(A225="","",IFERROR(INDEX('מלאי'!$I$3:$I$357,MATCH(A225,'מלאי'!$D$3:$D$357,0)),""))</f>
        <v/>
      </c>
      <c r="M225">
        <f>IF(AND(E225="",I225=""),"",IF(H225="",E225,IF(I225="",E225,IFERROR((VALUE(E225)+VALUE(I225))/2,E225))))</f>
        <v/>
      </c>
      <c r="N225">
        <f>IF(AND(F225="",J225=""),"",IF(H225="",F225,IF(J225="",F225,IFERROR((VALUE(F225)+VALUE(J225))/2,F225))))</f>
        <v/>
      </c>
      <c r="O225">
        <f>IF(AND(M225="",N225=""),"",IF(M225="",N225,IF(N225="",M225,IFERROR((VALUE(M225)+VALUE(N225))/2,""))))</f>
        <v/>
      </c>
      <c r="P225">
        <f>IF(AND(OR('טכנו'!$C$3="הכל",IFERROR(VLOOKUP(D225,'הגדרות'!$A$2:$D$18,2,FALSE),"")='טכנו'!$C$3,IFERROR(VLOOKUP(D225,'הגדרות'!$A$2:$D$18,3,FALSE),"")='טכנו'!$C$3),OR('טכנו'!$C$4="הכל",C225='טכנו'!$C$4),OR('טכנו'!$C$5="הכל",L225='טכנו'!$C$5),OR('טכנו'!$C$6="",IFERROR(VALUE(M225),0)&gt;='טכנו'!$C$6),OR('טכנו'!$C$7="",IFERROR(VALUE(M225),0)&lt;='טכנו'!$C$7),A225&lt;&gt;""),ROW()-4,"")</f>
        <v/>
      </c>
    </row>
    <row r="226">
      <c r="B226">
        <f>IF(A226="","",IFERROR(INDEX('מלאי'!$B$3:$B$357,MATCH(A226,'מלאי'!$D$3:$D$357,0)),""))</f>
        <v/>
      </c>
      <c r="C226">
        <f>IF(A226="","",IFERROR(INDEX('מלאי'!$A$3:$A$357,MATCH(A226,'מלאי'!$D$3:$D$357,0)),""))</f>
        <v/>
      </c>
      <c r="D226">
        <f>IF(A226="","",IFERROR(INDEX('מלאי'!$H$3:$H$357,MATCH(A226,'מלאי'!$D$3:$D$357,0)),""))</f>
        <v/>
      </c>
      <c r="H226">
        <f>IF(A226="","",IFERROR(INDEX('מלאי'!$I$3:$I$357,MATCH(A226,'מלאי'!$D$3:$D$357,0)),""))</f>
        <v/>
      </c>
      <c r="M226">
        <f>IF(AND(E226="",I226=""),"",IF(H226="",E226,IF(I226="",E226,IFERROR((VALUE(E226)+VALUE(I226))/2,E226))))</f>
        <v/>
      </c>
      <c r="N226">
        <f>IF(AND(F226="",J226=""),"",IF(H226="",F226,IF(J226="",F226,IFERROR((VALUE(F226)+VALUE(J226))/2,F226))))</f>
        <v/>
      </c>
      <c r="O226">
        <f>IF(AND(M226="",N226=""),"",IF(M226="",N226,IF(N226="",M226,IFERROR((VALUE(M226)+VALUE(N226))/2,""))))</f>
        <v/>
      </c>
      <c r="P226">
        <f>IF(AND(OR('טכנו'!$C$3="הכל",IFERROR(VLOOKUP(D226,'הגדרות'!$A$2:$D$18,2,FALSE),"")='טכנו'!$C$3,IFERROR(VLOOKUP(D226,'הגדרות'!$A$2:$D$18,3,FALSE),"")='טכנו'!$C$3),OR('טכנו'!$C$4="הכל",C226='טכנו'!$C$4),OR('טכנו'!$C$5="הכל",L226='טכנו'!$C$5),OR('טכנו'!$C$6="",IFERROR(VALUE(M226),0)&gt;='טכנו'!$C$6),OR('טכנו'!$C$7="",IFERROR(VALUE(M226),0)&lt;='טכנו'!$C$7),A226&lt;&gt;""),ROW()-4,"")</f>
        <v/>
      </c>
    </row>
    <row r="227">
      <c r="B227">
        <f>IF(A227="","",IFERROR(INDEX('מלאי'!$B$3:$B$357,MATCH(A227,'מלאי'!$D$3:$D$357,0)),""))</f>
        <v/>
      </c>
      <c r="C227">
        <f>IF(A227="","",IFERROR(INDEX('מלאי'!$A$3:$A$357,MATCH(A227,'מלאי'!$D$3:$D$357,0)),""))</f>
        <v/>
      </c>
      <c r="D227">
        <f>IF(A227="","",IFERROR(INDEX('מלאי'!$H$3:$H$357,MATCH(A227,'מלאי'!$D$3:$D$357,0)),""))</f>
        <v/>
      </c>
      <c r="H227">
        <f>IF(A227="","",IFERROR(INDEX('מלאי'!$I$3:$I$357,MATCH(A227,'מלאי'!$D$3:$D$357,0)),""))</f>
        <v/>
      </c>
      <c r="M227">
        <f>IF(AND(E227="",I227=""),"",IF(H227="",E227,IF(I227="",E227,IFERROR((VALUE(E227)+VALUE(I227))/2,E227))))</f>
        <v/>
      </c>
      <c r="N227">
        <f>IF(AND(F227="",J227=""),"",IF(H227="",F227,IF(J227="",F227,IFERROR((VALUE(F227)+VALUE(J227))/2,F227))))</f>
        <v/>
      </c>
      <c r="O227">
        <f>IF(AND(M227="",N227=""),"",IF(M227="",N227,IF(N227="",M227,IFERROR((VALUE(M227)+VALUE(N227))/2,""))))</f>
        <v/>
      </c>
      <c r="P227">
        <f>IF(AND(OR('טכנו'!$C$3="הכל",IFERROR(VLOOKUP(D227,'הגדרות'!$A$2:$D$18,2,FALSE),"")='טכנו'!$C$3,IFERROR(VLOOKUP(D227,'הגדרות'!$A$2:$D$18,3,FALSE),"")='טכנו'!$C$3),OR('טכנו'!$C$4="הכל",C227='טכנו'!$C$4),OR('טכנו'!$C$5="הכל",L227='טכנו'!$C$5),OR('טכנו'!$C$6="",IFERROR(VALUE(M227),0)&gt;='טכנו'!$C$6),OR('טכנו'!$C$7="",IFERROR(VALUE(M227),0)&lt;='טכנו'!$C$7),A227&lt;&gt;""),ROW()-4,"")</f>
        <v/>
      </c>
    </row>
    <row r="228">
      <c r="B228">
        <f>IF(A228="","",IFERROR(INDEX('מלאי'!$B$3:$B$357,MATCH(A228,'מלאי'!$D$3:$D$357,0)),""))</f>
        <v/>
      </c>
      <c r="C228">
        <f>IF(A228="","",IFERROR(INDEX('מלאי'!$A$3:$A$357,MATCH(A228,'מלאי'!$D$3:$D$357,0)),""))</f>
        <v/>
      </c>
      <c r="D228">
        <f>IF(A228="","",IFERROR(INDEX('מלאי'!$H$3:$H$357,MATCH(A228,'מלאי'!$D$3:$D$357,0)),""))</f>
        <v/>
      </c>
      <c r="H228">
        <f>IF(A228="","",IFERROR(INDEX('מלאי'!$I$3:$I$357,MATCH(A228,'מלאי'!$D$3:$D$357,0)),""))</f>
        <v/>
      </c>
      <c r="M228">
        <f>IF(AND(E228="",I228=""),"",IF(H228="",E228,IF(I228="",E228,IFERROR((VALUE(E228)+VALUE(I228))/2,E228))))</f>
        <v/>
      </c>
      <c r="N228">
        <f>IF(AND(F228="",J228=""),"",IF(H228="",F228,IF(J228="",F228,IFERROR((VALUE(F228)+VALUE(J228))/2,F228))))</f>
        <v/>
      </c>
      <c r="O228">
        <f>IF(AND(M228="",N228=""),"",IF(M228="",N228,IF(N228="",M228,IFERROR((VALUE(M228)+VALUE(N228))/2,""))))</f>
        <v/>
      </c>
      <c r="P228">
        <f>IF(AND(OR('טכנו'!$C$3="הכל",IFERROR(VLOOKUP(D228,'הגדרות'!$A$2:$D$18,2,FALSE),"")='טכנו'!$C$3,IFERROR(VLOOKUP(D228,'הגדרות'!$A$2:$D$18,3,FALSE),"")='טכנו'!$C$3),OR('טכנו'!$C$4="הכל",C228='טכנו'!$C$4),OR('טכנו'!$C$5="הכל",L228='טכנו'!$C$5),OR('טכנו'!$C$6="",IFERROR(VALUE(M228),0)&gt;='טכנו'!$C$6),OR('טכנו'!$C$7="",IFERROR(VALUE(M228),0)&lt;='טכנו'!$C$7),A228&lt;&gt;""),ROW()-4,"")</f>
        <v/>
      </c>
    </row>
    <row r="229">
      <c r="B229">
        <f>IF(A229="","",IFERROR(INDEX('מלאי'!$B$3:$B$357,MATCH(A229,'מלאי'!$D$3:$D$357,0)),""))</f>
        <v/>
      </c>
      <c r="C229">
        <f>IF(A229="","",IFERROR(INDEX('מלאי'!$A$3:$A$357,MATCH(A229,'מלאי'!$D$3:$D$357,0)),""))</f>
        <v/>
      </c>
      <c r="D229">
        <f>IF(A229="","",IFERROR(INDEX('מלאי'!$H$3:$H$357,MATCH(A229,'מלאי'!$D$3:$D$357,0)),""))</f>
        <v/>
      </c>
      <c r="H229">
        <f>IF(A229="","",IFERROR(INDEX('מלאי'!$I$3:$I$357,MATCH(A229,'מלאי'!$D$3:$D$357,0)),""))</f>
        <v/>
      </c>
      <c r="M229">
        <f>IF(AND(E229="",I229=""),"",IF(H229="",E229,IF(I229="",E229,IFERROR((VALUE(E229)+VALUE(I229))/2,E229))))</f>
        <v/>
      </c>
      <c r="N229">
        <f>IF(AND(F229="",J229=""),"",IF(H229="",F229,IF(J229="",F229,IFERROR((VALUE(F229)+VALUE(J229))/2,F229))))</f>
        <v/>
      </c>
      <c r="O229">
        <f>IF(AND(M229="",N229=""),"",IF(M229="",N229,IF(N229="",M229,IFERROR((VALUE(M229)+VALUE(N229))/2,""))))</f>
        <v/>
      </c>
      <c r="P229">
        <f>IF(AND(OR('טכנו'!$C$3="הכל",IFERROR(VLOOKUP(D229,'הגדרות'!$A$2:$D$18,2,FALSE),"")='טכנו'!$C$3,IFERROR(VLOOKUP(D229,'הגדרות'!$A$2:$D$18,3,FALSE),"")='טכנו'!$C$3),OR('טכנו'!$C$4="הכל",C229='טכנו'!$C$4),OR('טכנו'!$C$5="הכל",L229='טכנו'!$C$5),OR('טכנו'!$C$6="",IFERROR(VALUE(M229),0)&gt;='טכנו'!$C$6),OR('טכנו'!$C$7="",IFERROR(VALUE(M229),0)&lt;='טכנו'!$C$7),A229&lt;&gt;""),ROW()-4,"")</f>
        <v/>
      </c>
    </row>
    <row r="230">
      <c r="B230">
        <f>IF(A230="","",IFERROR(INDEX('מלאי'!$B$3:$B$357,MATCH(A230,'מלאי'!$D$3:$D$357,0)),""))</f>
        <v/>
      </c>
      <c r="C230">
        <f>IF(A230="","",IFERROR(INDEX('מלאי'!$A$3:$A$357,MATCH(A230,'מלאי'!$D$3:$D$357,0)),""))</f>
        <v/>
      </c>
      <c r="D230">
        <f>IF(A230="","",IFERROR(INDEX('מלאי'!$H$3:$H$357,MATCH(A230,'מלאי'!$D$3:$D$357,0)),""))</f>
        <v/>
      </c>
      <c r="H230">
        <f>IF(A230="","",IFERROR(INDEX('מלאי'!$I$3:$I$357,MATCH(A230,'מלאי'!$D$3:$D$357,0)),""))</f>
        <v/>
      </c>
      <c r="M230">
        <f>IF(AND(E230="",I230=""),"",IF(H230="",E230,IF(I230="",E230,IFERROR((VALUE(E230)+VALUE(I230))/2,E230))))</f>
        <v/>
      </c>
      <c r="N230">
        <f>IF(AND(F230="",J230=""),"",IF(H230="",F230,IF(J230="",F230,IFERROR((VALUE(F230)+VALUE(J230))/2,F230))))</f>
        <v/>
      </c>
      <c r="O230">
        <f>IF(AND(M230="",N230=""),"",IF(M230="",N230,IF(N230="",M230,IFERROR((VALUE(M230)+VALUE(N230))/2,""))))</f>
        <v/>
      </c>
      <c r="P230">
        <f>IF(AND(OR('טכנו'!$C$3="הכל",IFERROR(VLOOKUP(D230,'הגדרות'!$A$2:$D$18,2,FALSE),"")='טכנו'!$C$3,IFERROR(VLOOKUP(D230,'הגדרות'!$A$2:$D$18,3,FALSE),"")='טכנו'!$C$3),OR('טכנו'!$C$4="הכל",C230='טכנו'!$C$4),OR('טכנו'!$C$5="הכל",L230='טכנו'!$C$5),OR('טכנו'!$C$6="",IFERROR(VALUE(M230),0)&gt;='טכנו'!$C$6),OR('טכנו'!$C$7="",IFERROR(VALUE(M230),0)&lt;='טכנו'!$C$7),A230&lt;&gt;""),ROW()-4,"")</f>
        <v/>
      </c>
    </row>
    <row r="231">
      <c r="B231">
        <f>IF(A231="","",IFERROR(INDEX('מלאי'!$B$3:$B$357,MATCH(A231,'מלאי'!$D$3:$D$357,0)),""))</f>
        <v/>
      </c>
      <c r="C231">
        <f>IF(A231="","",IFERROR(INDEX('מלאי'!$A$3:$A$357,MATCH(A231,'מלאי'!$D$3:$D$357,0)),""))</f>
        <v/>
      </c>
      <c r="D231">
        <f>IF(A231="","",IFERROR(INDEX('מלאי'!$H$3:$H$357,MATCH(A231,'מלאי'!$D$3:$D$357,0)),""))</f>
        <v/>
      </c>
      <c r="H231">
        <f>IF(A231="","",IFERROR(INDEX('מלאי'!$I$3:$I$357,MATCH(A231,'מלאי'!$D$3:$D$357,0)),""))</f>
        <v/>
      </c>
      <c r="M231">
        <f>IF(AND(E231="",I231=""),"",IF(H231="",E231,IF(I231="",E231,IFERROR((VALUE(E231)+VALUE(I231))/2,E231))))</f>
        <v/>
      </c>
      <c r="N231">
        <f>IF(AND(F231="",J231=""),"",IF(H231="",F231,IF(J231="",F231,IFERROR((VALUE(F231)+VALUE(J231))/2,F231))))</f>
        <v/>
      </c>
      <c r="O231">
        <f>IF(AND(M231="",N231=""),"",IF(M231="",N231,IF(N231="",M231,IFERROR((VALUE(M231)+VALUE(N231))/2,""))))</f>
        <v/>
      </c>
      <c r="P231">
        <f>IF(AND(OR('טכנו'!$C$3="הכל",IFERROR(VLOOKUP(D231,'הגדרות'!$A$2:$D$18,2,FALSE),"")='טכנו'!$C$3,IFERROR(VLOOKUP(D231,'הגדרות'!$A$2:$D$18,3,FALSE),"")='טכנו'!$C$3),OR('טכנו'!$C$4="הכל",C231='טכנו'!$C$4),OR('טכנו'!$C$5="הכל",L231='טכנו'!$C$5),OR('טכנו'!$C$6="",IFERROR(VALUE(M231),0)&gt;='טכנו'!$C$6),OR('טכנו'!$C$7="",IFERROR(VALUE(M231),0)&lt;='טכנו'!$C$7),A231&lt;&gt;""),ROW()-4,"")</f>
        <v/>
      </c>
    </row>
    <row r="232">
      <c r="B232">
        <f>IF(A232="","",IFERROR(INDEX('מלאי'!$B$3:$B$357,MATCH(A232,'מלאי'!$D$3:$D$357,0)),""))</f>
        <v/>
      </c>
      <c r="C232">
        <f>IF(A232="","",IFERROR(INDEX('מלאי'!$A$3:$A$357,MATCH(A232,'מלאי'!$D$3:$D$357,0)),""))</f>
        <v/>
      </c>
      <c r="D232">
        <f>IF(A232="","",IFERROR(INDEX('מלאי'!$H$3:$H$357,MATCH(A232,'מלאי'!$D$3:$D$357,0)),""))</f>
        <v/>
      </c>
      <c r="H232">
        <f>IF(A232="","",IFERROR(INDEX('מלאי'!$I$3:$I$357,MATCH(A232,'מלאי'!$D$3:$D$357,0)),""))</f>
        <v/>
      </c>
      <c r="M232">
        <f>IF(AND(E232="",I232=""),"",IF(H232="",E232,IF(I232="",E232,IFERROR((VALUE(E232)+VALUE(I232))/2,E232))))</f>
        <v/>
      </c>
      <c r="N232">
        <f>IF(AND(F232="",J232=""),"",IF(H232="",F232,IF(J232="",F232,IFERROR((VALUE(F232)+VALUE(J232))/2,F232))))</f>
        <v/>
      </c>
      <c r="O232">
        <f>IF(AND(M232="",N232=""),"",IF(M232="",N232,IF(N232="",M232,IFERROR((VALUE(M232)+VALUE(N232))/2,""))))</f>
        <v/>
      </c>
      <c r="P232">
        <f>IF(AND(OR('טכנו'!$C$3="הכל",IFERROR(VLOOKUP(D232,'הגדרות'!$A$2:$D$18,2,FALSE),"")='טכנו'!$C$3,IFERROR(VLOOKUP(D232,'הגדרות'!$A$2:$D$18,3,FALSE),"")='טכנו'!$C$3),OR('טכנו'!$C$4="הכל",C232='טכנו'!$C$4),OR('טכנו'!$C$5="הכל",L232='טכנו'!$C$5),OR('טכנו'!$C$6="",IFERROR(VALUE(M232),0)&gt;='טכנו'!$C$6),OR('טכנו'!$C$7="",IFERROR(VALUE(M232),0)&lt;='טכנו'!$C$7),A232&lt;&gt;""),ROW()-4,"")</f>
        <v/>
      </c>
    </row>
    <row r="233">
      <c r="B233">
        <f>IF(A233="","",IFERROR(INDEX('מלאי'!$B$3:$B$357,MATCH(A233,'מלאי'!$D$3:$D$357,0)),""))</f>
        <v/>
      </c>
      <c r="C233">
        <f>IF(A233="","",IFERROR(INDEX('מלאי'!$A$3:$A$357,MATCH(A233,'מלאי'!$D$3:$D$357,0)),""))</f>
        <v/>
      </c>
      <c r="D233">
        <f>IF(A233="","",IFERROR(INDEX('מלאי'!$H$3:$H$357,MATCH(A233,'מלאי'!$D$3:$D$357,0)),""))</f>
        <v/>
      </c>
      <c r="H233">
        <f>IF(A233="","",IFERROR(INDEX('מלאי'!$I$3:$I$357,MATCH(A233,'מלאי'!$D$3:$D$357,0)),""))</f>
        <v/>
      </c>
      <c r="M233">
        <f>IF(AND(E233="",I233=""),"",IF(H233="",E233,IF(I233="",E233,IFERROR((VALUE(E233)+VALUE(I233))/2,E233))))</f>
        <v/>
      </c>
      <c r="N233">
        <f>IF(AND(F233="",J233=""),"",IF(H233="",F233,IF(J233="",F233,IFERROR((VALUE(F233)+VALUE(J233))/2,F233))))</f>
        <v/>
      </c>
      <c r="O233">
        <f>IF(AND(M233="",N233=""),"",IF(M233="",N233,IF(N233="",M233,IFERROR((VALUE(M233)+VALUE(N233))/2,""))))</f>
        <v/>
      </c>
      <c r="P233">
        <f>IF(AND(OR('טכנו'!$C$3="הכל",IFERROR(VLOOKUP(D233,'הגדרות'!$A$2:$D$18,2,FALSE),"")='טכנו'!$C$3,IFERROR(VLOOKUP(D233,'הגדרות'!$A$2:$D$18,3,FALSE),"")='טכנו'!$C$3),OR('טכנו'!$C$4="הכל",C233='טכנו'!$C$4),OR('טכנו'!$C$5="הכל",L233='טכנו'!$C$5),OR('טכנו'!$C$6="",IFERROR(VALUE(M233),0)&gt;='טכנו'!$C$6),OR('טכנו'!$C$7="",IFERROR(VALUE(M233),0)&lt;='טכנו'!$C$7),A233&lt;&gt;""),ROW()-4,"")</f>
        <v/>
      </c>
    </row>
    <row r="234">
      <c r="B234">
        <f>IF(A234="","",IFERROR(INDEX('מלאי'!$B$3:$B$357,MATCH(A234,'מלאי'!$D$3:$D$357,0)),""))</f>
        <v/>
      </c>
      <c r="C234">
        <f>IF(A234="","",IFERROR(INDEX('מלאי'!$A$3:$A$357,MATCH(A234,'מלאי'!$D$3:$D$357,0)),""))</f>
        <v/>
      </c>
      <c r="D234">
        <f>IF(A234="","",IFERROR(INDEX('מלאי'!$H$3:$H$357,MATCH(A234,'מלאי'!$D$3:$D$357,0)),""))</f>
        <v/>
      </c>
      <c r="H234">
        <f>IF(A234="","",IFERROR(INDEX('מלאי'!$I$3:$I$357,MATCH(A234,'מלאי'!$D$3:$D$357,0)),""))</f>
        <v/>
      </c>
      <c r="M234">
        <f>IF(AND(E234="",I234=""),"",IF(H234="",E234,IF(I234="",E234,IFERROR((VALUE(E234)+VALUE(I234))/2,E234))))</f>
        <v/>
      </c>
      <c r="N234">
        <f>IF(AND(F234="",J234=""),"",IF(H234="",F234,IF(J234="",F234,IFERROR((VALUE(F234)+VALUE(J234))/2,F234))))</f>
        <v/>
      </c>
      <c r="O234">
        <f>IF(AND(M234="",N234=""),"",IF(M234="",N234,IF(N234="",M234,IFERROR((VALUE(M234)+VALUE(N234))/2,""))))</f>
        <v/>
      </c>
      <c r="P234">
        <f>IF(AND(OR('טכנו'!$C$3="הכל",IFERROR(VLOOKUP(D234,'הגדרות'!$A$2:$D$18,2,FALSE),"")='טכנו'!$C$3,IFERROR(VLOOKUP(D234,'הגדרות'!$A$2:$D$18,3,FALSE),"")='טכנו'!$C$3),OR('טכנו'!$C$4="הכל",C234='טכנו'!$C$4),OR('טכנו'!$C$5="הכל",L234='טכנו'!$C$5),OR('טכנו'!$C$6="",IFERROR(VALUE(M234),0)&gt;='טכנו'!$C$6),OR('טכנו'!$C$7="",IFERROR(VALUE(M234),0)&lt;='טכנו'!$C$7),A234&lt;&gt;""),ROW()-4,"")</f>
        <v/>
      </c>
    </row>
    <row r="235">
      <c r="B235">
        <f>IF(A235="","",IFERROR(INDEX('מלאי'!$B$3:$B$357,MATCH(A235,'מלאי'!$D$3:$D$357,0)),""))</f>
        <v/>
      </c>
      <c r="C235">
        <f>IF(A235="","",IFERROR(INDEX('מלאי'!$A$3:$A$357,MATCH(A235,'מלאי'!$D$3:$D$357,0)),""))</f>
        <v/>
      </c>
      <c r="D235">
        <f>IF(A235="","",IFERROR(INDEX('מלאי'!$H$3:$H$357,MATCH(A235,'מלאי'!$D$3:$D$357,0)),""))</f>
        <v/>
      </c>
      <c r="H235">
        <f>IF(A235="","",IFERROR(INDEX('מלאי'!$I$3:$I$357,MATCH(A235,'מלאי'!$D$3:$D$357,0)),""))</f>
        <v/>
      </c>
      <c r="M235">
        <f>IF(AND(E235="",I235=""),"",IF(H235="",E235,IF(I235="",E235,IFERROR((VALUE(E235)+VALUE(I235))/2,E235))))</f>
        <v/>
      </c>
      <c r="N235">
        <f>IF(AND(F235="",J235=""),"",IF(H235="",F235,IF(J235="",F235,IFERROR((VALUE(F235)+VALUE(J235))/2,F235))))</f>
        <v/>
      </c>
      <c r="O235">
        <f>IF(AND(M235="",N235=""),"",IF(M235="",N235,IF(N235="",M235,IFERROR((VALUE(M235)+VALUE(N235))/2,""))))</f>
        <v/>
      </c>
      <c r="P235">
        <f>IF(AND(OR('טכנו'!$C$3="הכל",IFERROR(VLOOKUP(D235,'הגדרות'!$A$2:$D$18,2,FALSE),"")='טכנו'!$C$3,IFERROR(VLOOKUP(D235,'הגדרות'!$A$2:$D$18,3,FALSE),"")='טכנו'!$C$3),OR('טכנו'!$C$4="הכל",C235='טכנו'!$C$4),OR('טכנו'!$C$5="הכל",L235='טכנו'!$C$5),OR('טכנו'!$C$6="",IFERROR(VALUE(M235),0)&gt;='טכנו'!$C$6),OR('טכנו'!$C$7="",IFERROR(VALUE(M235),0)&lt;='טכנו'!$C$7),A235&lt;&gt;""),ROW()-4,"")</f>
        <v/>
      </c>
    </row>
    <row r="236">
      <c r="B236">
        <f>IF(A236="","",IFERROR(INDEX('מלאי'!$B$3:$B$357,MATCH(A236,'מלאי'!$D$3:$D$357,0)),""))</f>
        <v/>
      </c>
      <c r="C236">
        <f>IF(A236="","",IFERROR(INDEX('מלאי'!$A$3:$A$357,MATCH(A236,'מלאי'!$D$3:$D$357,0)),""))</f>
        <v/>
      </c>
      <c r="D236">
        <f>IF(A236="","",IFERROR(INDEX('מלאי'!$H$3:$H$357,MATCH(A236,'מלאי'!$D$3:$D$357,0)),""))</f>
        <v/>
      </c>
      <c r="H236">
        <f>IF(A236="","",IFERROR(INDEX('מלאי'!$I$3:$I$357,MATCH(A236,'מלאי'!$D$3:$D$357,0)),""))</f>
        <v/>
      </c>
      <c r="M236">
        <f>IF(AND(E236="",I236=""),"",IF(H236="",E236,IF(I236="",E236,IFERROR((VALUE(E236)+VALUE(I236))/2,E236))))</f>
        <v/>
      </c>
      <c r="N236">
        <f>IF(AND(F236="",J236=""),"",IF(H236="",F236,IF(J236="",F236,IFERROR((VALUE(F236)+VALUE(J236))/2,F236))))</f>
        <v/>
      </c>
      <c r="O236">
        <f>IF(AND(M236="",N236=""),"",IF(M236="",N236,IF(N236="",M236,IFERROR((VALUE(M236)+VALUE(N236))/2,""))))</f>
        <v/>
      </c>
      <c r="P236">
        <f>IF(AND(OR('טכנו'!$C$3="הכל",IFERROR(VLOOKUP(D236,'הגדרות'!$A$2:$D$18,2,FALSE),"")='טכנו'!$C$3,IFERROR(VLOOKUP(D236,'הגדרות'!$A$2:$D$18,3,FALSE),"")='טכנו'!$C$3),OR('טכנו'!$C$4="הכל",C236='טכנו'!$C$4),OR('טכנו'!$C$5="הכל",L236='טכנו'!$C$5),OR('טכנו'!$C$6="",IFERROR(VALUE(M236),0)&gt;='טכנו'!$C$6),OR('טכנו'!$C$7="",IFERROR(VALUE(M236),0)&lt;='טכנו'!$C$7),A236&lt;&gt;""),ROW()-4,"")</f>
        <v/>
      </c>
    </row>
    <row r="237">
      <c r="B237">
        <f>IF(A237="","",IFERROR(INDEX('מלאי'!$B$3:$B$357,MATCH(A237,'מלאי'!$D$3:$D$357,0)),""))</f>
        <v/>
      </c>
      <c r="C237">
        <f>IF(A237="","",IFERROR(INDEX('מלאי'!$A$3:$A$357,MATCH(A237,'מלאי'!$D$3:$D$357,0)),""))</f>
        <v/>
      </c>
      <c r="D237">
        <f>IF(A237="","",IFERROR(INDEX('מלאי'!$H$3:$H$357,MATCH(A237,'מלאי'!$D$3:$D$357,0)),""))</f>
        <v/>
      </c>
      <c r="H237">
        <f>IF(A237="","",IFERROR(INDEX('מלאי'!$I$3:$I$357,MATCH(A237,'מלאי'!$D$3:$D$357,0)),""))</f>
        <v/>
      </c>
      <c r="M237">
        <f>IF(AND(E237="",I237=""),"",IF(H237="",E237,IF(I237="",E237,IFERROR((VALUE(E237)+VALUE(I237))/2,E237))))</f>
        <v/>
      </c>
      <c r="N237">
        <f>IF(AND(F237="",J237=""),"",IF(H237="",F237,IF(J237="",F237,IFERROR((VALUE(F237)+VALUE(J237))/2,F237))))</f>
        <v/>
      </c>
      <c r="O237">
        <f>IF(AND(M237="",N237=""),"",IF(M237="",N237,IF(N237="",M237,IFERROR((VALUE(M237)+VALUE(N237))/2,""))))</f>
        <v/>
      </c>
      <c r="P237">
        <f>IF(AND(OR('טכנו'!$C$3="הכל",IFERROR(VLOOKUP(D237,'הגדרות'!$A$2:$D$18,2,FALSE),"")='טכנו'!$C$3,IFERROR(VLOOKUP(D237,'הגדרות'!$A$2:$D$18,3,FALSE),"")='טכנו'!$C$3),OR('טכנו'!$C$4="הכל",C237='טכנו'!$C$4),OR('טכנו'!$C$5="הכל",L237='טכנו'!$C$5),OR('טכנו'!$C$6="",IFERROR(VALUE(M237),0)&gt;='טכנו'!$C$6),OR('טכנו'!$C$7="",IFERROR(VALUE(M237),0)&lt;='טכנו'!$C$7),A237&lt;&gt;""),ROW()-4,"")</f>
        <v/>
      </c>
    </row>
    <row r="238">
      <c r="B238">
        <f>IF(A238="","",IFERROR(INDEX('מלאי'!$B$3:$B$357,MATCH(A238,'מלאי'!$D$3:$D$357,0)),""))</f>
        <v/>
      </c>
      <c r="C238">
        <f>IF(A238="","",IFERROR(INDEX('מלאי'!$A$3:$A$357,MATCH(A238,'מלאי'!$D$3:$D$357,0)),""))</f>
        <v/>
      </c>
      <c r="D238">
        <f>IF(A238="","",IFERROR(INDEX('מלאי'!$H$3:$H$357,MATCH(A238,'מלאי'!$D$3:$D$357,0)),""))</f>
        <v/>
      </c>
      <c r="H238">
        <f>IF(A238="","",IFERROR(INDEX('מלאי'!$I$3:$I$357,MATCH(A238,'מלאי'!$D$3:$D$357,0)),""))</f>
        <v/>
      </c>
      <c r="M238">
        <f>IF(AND(E238="",I238=""),"",IF(H238="",E238,IF(I238="",E238,IFERROR((VALUE(E238)+VALUE(I238))/2,E238))))</f>
        <v/>
      </c>
      <c r="N238">
        <f>IF(AND(F238="",J238=""),"",IF(H238="",F238,IF(J238="",F238,IFERROR((VALUE(F238)+VALUE(J238))/2,F238))))</f>
        <v/>
      </c>
      <c r="O238">
        <f>IF(AND(M238="",N238=""),"",IF(M238="",N238,IF(N238="",M238,IFERROR((VALUE(M238)+VALUE(N238))/2,""))))</f>
        <v/>
      </c>
      <c r="P238">
        <f>IF(AND(OR('טכנו'!$C$3="הכל",IFERROR(VLOOKUP(D238,'הגדרות'!$A$2:$D$18,2,FALSE),"")='טכנו'!$C$3,IFERROR(VLOOKUP(D238,'הגדרות'!$A$2:$D$18,3,FALSE),"")='טכנו'!$C$3),OR('טכנו'!$C$4="הכל",C238='טכנו'!$C$4),OR('טכנו'!$C$5="הכל",L238='טכנו'!$C$5),OR('טכנו'!$C$6="",IFERROR(VALUE(M238),0)&gt;='טכנו'!$C$6),OR('טכנו'!$C$7="",IFERROR(VALUE(M238),0)&lt;='טכנו'!$C$7),A238&lt;&gt;""),ROW()-4,"")</f>
        <v/>
      </c>
    </row>
    <row r="239">
      <c r="B239">
        <f>IF(A239="","",IFERROR(INDEX('מלאי'!$B$3:$B$357,MATCH(A239,'מלאי'!$D$3:$D$357,0)),""))</f>
        <v/>
      </c>
      <c r="C239">
        <f>IF(A239="","",IFERROR(INDEX('מלאי'!$A$3:$A$357,MATCH(A239,'מלאי'!$D$3:$D$357,0)),""))</f>
        <v/>
      </c>
      <c r="D239">
        <f>IF(A239="","",IFERROR(INDEX('מלאי'!$H$3:$H$357,MATCH(A239,'מלאי'!$D$3:$D$357,0)),""))</f>
        <v/>
      </c>
      <c r="H239">
        <f>IF(A239="","",IFERROR(INDEX('מלאי'!$I$3:$I$357,MATCH(A239,'מלאי'!$D$3:$D$357,0)),""))</f>
        <v/>
      </c>
      <c r="M239">
        <f>IF(AND(E239="",I239=""),"",IF(H239="",E239,IF(I239="",E239,IFERROR((VALUE(E239)+VALUE(I239))/2,E239))))</f>
        <v/>
      </c>
      <c r="N239">
        <f>IF(AND(F239="",J239=""),"",IF(H239="",F239,IF(J239="",F239,IFERROR((VALUE(F239)+VALUE(J239))/2,F239))))</f>
        <v/>
      </c>
      <c r="O239">
        <f>IF(AND(M239="",N239=""),"",IF(M239="",N239,IF(N239="",M239,IFERROR((VALUE(M239)+VALUE(N239))/2,""))))</f>
        <v/>
      </c>
      <c r="P239">
        <f>IF(AND(OR('טכנו'!$C$3="הכל",IFERROR(VLOOKUP(D239,'הגדרות'!$A$2:$D$18,2,FALSE),"")='טכנו'!$C$3,IFERROR(VLOOKUP(D239,'הגדרות'!$A$2:$D$18,3,FALSE),"")='טכנו'!$C$3),OR('טכנו'!$C$4="הכל",C239='טכנו'!$C$4),OR('טכנו'!$C$5="הכל",L239='טכנו'!$C$5),OR('טכנו'!$C$6="",IFERROR(VALUE(M239),0)&gt;='טכנו'!$C$6),OR('טכנו'!$C$7="",IFERROR(VALUE(M239),0)&lt;='טכנו'!$C$7),A239&lt;&gt;""),ROW()-4,"")</f>
        <v/>
      </c>
    </row>
    <row r="240">
      <c r="B240">
        <f>IF(A240="","",IFERROR(INDEX('מלאי'!$B$3:$B$357,MATCH(A240,'מלאי'!$D$3:$D$357,0)),""))</f>
        <v/>
      </c>
      <c r="C240">
        <f>IF(A240="","",IFERROR(INDEX('מלאי'!$A$3:$A$357,MATCH(A240,'מלאי'!$D$3:$D$357,0)),""))</f>
        <v/>
      </c>
      <c r="D240">
        <f>IF(A240="","",IFERROR(INDEX('מלאי'!$H$3:$H$357,MATCH(A240,'מלאי'!$D$3:$D$357,0)),""))</f>
        <v/>
      </c>
      <c r="H240">
        <f>IF(A240="","",IFERROR(INDEX('מלאי'!$I$3:$I$357,MATCH(A240,'מלאי'!$D$3:$D$357,0)),""))</f>
        <v/>
      </c>
      <c r="M240">
        <f>IF(AND(E240="",I240=""),"",IF(H240="",E240,IF(I240="",E240,IFERROR((VALUE(E240)+VALUE(I240))/2,E240))))</f>
        <v/>
      </c>
      <c r="N240">
        <f>IF(AND(F240="",J240=""),"",IF(H240="",F240,IF(J240="",F240,IFERROR((VALUE(F240)+VALUE(J240))/2,F240))))</f>
        <v/>
      </c>
      <c r="O240">
        <f>IF(AND(M240="",N240=""),"",IF(M240="",N240,IF(N240="",M240,IFERROR((VALUE(M240)+VALUE(N240))/2,""))))</f>
        <v/>
      </c>
      <c r="P240">
        <f>IF(AND(OR('טכנו'!$C$3="הכל",IFERROR(VLOOKUP(D240,'הגדרות'!$A$2:$D$18,2,FALSE),"")='טכנו'!$C$3,IFERROR(VLOOKUP(D240,'הגדרות'!$A$2:$D$18,3,FALSE),"")='טכנו'!$C$3),OR('טכנו'!$C$4="הכל",C240='טכנו'!$C$4),OR('טכנו'!$C$5="הכל",L240='טכנו'!$C$5),OR('טכנו'!$C$6="",IFERROR(VALUE(M240),0)&gt;='טכנו'!$C$6),OR('טכנו'!$C$7="",IFERROR(VALUE(M240),0)&lt;='טכנו'!$C$7),A240&lt;&gt;""),ROW()-4,"")</f>
        <v/>
      </c>
    </row>
    <row r="241">
      <c r="B241">
        <f>IF(A241="","",IFERROR(INDEX('מלאי'!$B$3:$B$357,MATCH(A241,'מלאי'!$D$3:$D$357,0)),""))</f>
        <v/>
      </c>
      <c r="C241">
        <f>IF(A241="","",IFERROR(INDEX('מלאי'!$A$3:$A$357,MATCH(A241,'מלאי'!$D$3:$D$357,0)),""))</f>
        <v/>
      </c>
      <c r="D241">
        <f>IF(A241="","",IFERROR(INDEX('מלאי'!$H$3:$H$357,MATCH(A241,'מלאי'!$D$3:$D$357,0)),""))</f>
        <v/>
      </c>
      <c r="H241">
        <f>IF(A241="","",IFERROR(INDEX('מלאי'!$I$3:$I$357,MATCH(A241,'מלאי'!$D$3:$D$357,0)),""))</f>
        <v/>
      </c>
      <c r="M241">
        <f>IF(AND(E241="",I241=""),"",IF(H241="",E241,IF(I241="",E241,IFERROR((VALUE(E241)+VALUE(I241))/2,E241))))</f>
        <v/>
      </c>
      <c r="N241">
        <f>IF(AND(F241="",J241=""),"",IF(H241="",F241,IF(J241="",F241,IFERROR((VALUE(F241)+VALUE(J241))/2,F241))))</f>
        <v/>
      </c>
      <c r="O241">
        <f>IF(AND(M241="",N241=""),"",IF(M241="",N241,IF(N241="",M241,IFERROR((VALUE(M241)+VALUE(N241))/2,""))))</f>
        <v/>
      </c>
      <c r="P241">
        <f>IF(AND(OR('טכנו'!$C$3="הכל",IFERROR(VLOOKUP(D241,'הגדרות'!$A$2:$D$18,2,FALSE),"")='טכנו'!$C$3,IFERROR(VLOOKUP(D241,'הגדרות'!$A$2:$D$18,3,FALSE),"")='טכנו'!$C$3),OR('טכנו'!$C$4="הכל",C241='טכנו'!$C$4),OR('טכנו'!$C$5="הכל",L241='טכנו'!$C$5),OR('טכנו'!$C$6="",IFERROR(VALUE(M241),0)&gt;='טכנו'!$C$6),OR('טכנו'!$C$7="",IFERROR(VALUE(M241),0)&lt;='טכנו'!$C$7),A241&lt;&gt;""),ROW()-4,"")</f>
        <v/>
      </c>
    </row>
    <row r="242">
      <c r="B242">
        <f>IF(A242="","",IFERROR(INDEX('מלאי'!$B$3:$B$357,MATCH(A242,'מלאי'!$D$3:$D$357,0)),""))</f>
        <v/>
      </c>
      <c r="C242">
        <f>IF(A242="","",IFERROR(INDEX('מלאי'!$A$3:$A$357,MATCH(A242,'מלאי'!$D$3:$D$357,0)),""))</f>
        <v/>
      </c>
      <c r="D242">
        <f>IF(A242="","",IFERROR(INDEX('מלאי'!$H$3:$H$357,MATCH(A242,'מלאי'!$D$3:$D$357,0)),""))</f>
        <v/>
      </c>
      <c r="H242">
        <f>IF(A242="","",IFERROR(INDEX('מלאי'!$I$3:$I$357,MATCH(A242,'מלאי'!$D$3:$D$357,0)),""))</f>
        <v/>
      </c>
      <c r="M242">
        <f>IF(AND(E242="",I242=""),"",IF(H242="",E242,IF(I242="",E242,IFERROR((VALUE(E242)+VALUE(I242))/2,E242))))</f>
        <v/>
      </c>
      <c r="N242">
        <f>IF(AND(F242="",J242=""),"",IF(H242="",F242,IF(J242="",F242,IFERROR((VALUE(F242)+VALUE(J242))/2,F242))))</f>
        <v/>
      </c>
      <c r="O242">
        <f>IF(AND(M242="",N242=""),"",IF(M242="",N242,IF(N242="",M242,IFERROR((VALUE(M242)+VALUE(N242))/2,""))))</f>
        <v/>
      </c>
      <c r="P242">
        <f>IF(AND(OR('טכנו'!$C$3="הכל",IFERROR(VLOOKUP(D242,'הגדרות'!$A$2:$D$18,2,FALSE),"")='טכנו'!$C$3,IFERROR(VLOOKUP(D242,'הגדרות'!$A$2:$D$18,3,FALSE),"")='טכנו'!$C$3),OR('טכנו'!$C$4="הכל",C242='טכנו'!$C$4),OR('טכנו'!$C$5="הכל",L242='טכנו'!$C$5),OR('טכנו'!$C$6="",IFERROR(VALUE(M242),0)&gt;='טכנו'!$C$6),OR('טכנו'!$C$7="",IFERROR(VALUE(M242),0)&lt;='טכנו'!$C$7),A242&lt;&gt;""),ROW()-4,"")</f>
        <v/>
      </c>
    </row>
    <row r="243">
      <c r="B243">
        <f>IF(A243="","",IFERROR(INDEX('מלאי'!$B$3:$B$357,MATCH(A243,'מלאי'!$D$3:$D$357,0)),""))</f>
        <v/>
      </c>
      <c r="C243">
        <f>IF(A243="","",IFERROR(INDEX('מלאי'!$A$3:$A$357,MATCH(A243,'מלאי'!$D$3:$D$357,0)),""))</f>
        <v/>
      </c>
      <c r="D243">
        <f>IF(A243="","",IFERROR(INDEX('מלאי'!$H$3:$H$357,MATCH(A243,'מלאי'!$D$3:$D$357,0)),""))</f>
        <v/>
      </c>
      <c r="H243">
        <f>IF(A243="","",IFERROR(INDEX('מלאי'!$I$3:$I$357,MATCH(A243,'מלאי'!$D$3:$D$357,0)),""))</f>
        <v/>
      </c>
      <c r="M243">
        <f>IF(AND(E243="",I243=""),"",IF(H243="",E243,IF(I243="",E243,IFERROR((VALUE(E243)+VALUE(I243))/2,E243))))</f>
        <v/>
      </c>
      <c r="N243">
        <f>IF(AND(F243="",J243=""),"",IF(H243="",F243,IF(J243="",F243,IFERROR((VALUE(F243)+VALUE(J243))/2,F243))))</f>
        <v/>
      </c>
      <c r="O243">
        <f>IF(AND(M243="",N243=""),"",IF(M243="",N243,IF(N243="",M243,IFERROR((VALUE(M243)+VALUE(N243))/2,""))))</f>
        <v/>
      </c>
      <c r="P243">
        <f>IF(AND(OR('טכנו'!$C$3="הכל",IFERROR(VLOOKUP(D243,'הגדרות'!$A$2:$D$18,2,FALSE),"")='טכנו'!$C$3,IFERROR(VLOOKUP(D243,'הגדרות'!$A$2:$D$18,3,FALSE),"")='טכנו'!$C$3),OR('טכנו'!$C$4="הכל",C243='טכנו'!$C$4),OR('טכנו'!$C$5="הכל",L243='טכנו'!$C$5),OR('טכנו'!$C$6="",IFERROR(VALUE(M243),0)&gt;='טכנו'!$C$6),OR('טכנו'!$C$7="",IFERROR(VALUE(M243),0)&lt;='טכנו'!$C$7),A243&lt;&gt;""),ROW()-4,"")</f>
        <v/>
      </c>
    </row>
    <row r="244">
      <c r="B244">
        <f>IF(A244="","",IFERROR(INDEX('מלאי'!$B$3:$B$357,MATCH(A244,'מלאי'!$D$3:$D$357,0)),""))</f>
        <v/>
      </c>
      <c r="C244">
        <f>IF(A244="","",IFERROR(INDEX('מלאי'!$A$3:$A$357,MATCH(A244,'מלאי'!$D$3:$D$357,0)),""))</f>
        <v/>
      </c>
      <c r="D244">
        <f>IF(A244="","",IFERROR(INDEX('מלאי'!$H$3:$H$357,MATCH(A244,'מלאי'!$D$3:$D$357,0)),""))</f>
        <v/>
      </c>
      <c r="H244">
        <f>IF(A244="","",IFERROR(INDEX('מלאי'!$I$3:$I$357,MATCH(A244,'מלאי'!$D$3:$D$357,0)),""))</f>
        <v/>
      </c>
      <c r="M244">
        <f>IF(AND(E244="",I244=""),"",IF(H244="",E244,IF(I244="",E244,IFERROR((VALUE(E244)+VALUE(I244))/2,E244))))</f>
        <v/>
      </c>
      <c r="N244">
        <f>IF(AND(F244="",J244=""),"",IF(H244="",F244,IF(J244="",F244,IFERROR((VALUE(F244)+VALUE(J244))/2,F244))))</f>
        <v/>
      </c>
      <c r="O244">
        <f>IF(AND(M244="",N244=""),"",IF(M244="",N244,IF(N244="",M244,IFERROR((VALUE(M244)+VALUE(N244))/2,""))))</f>
        <v/>
      </c>
      <c r="P244">
        <f>IF(AND(OR('טכנו'!$C$3="הכל",IFERROR(VLOOKUP(D244,'הגדרות'!$A$2:$D$18,2,FALSE),"")='טכנו'!$C$3,IFERROR(VLOOKUP(D244,'הגדרות'!$A$2:$D$18,3,FALSE),"")='טכנו'!$C$3),OR('טכנו'!$C$4="הכל",C244='טכנו'!$C$4),OR('טכנו'!$C$5="הכל",L244='טכנו'!$C$5),OR('טכנו'!$C$6="",IFERROR(VALUE(M244),0)&gt;='טכנו'!$C$6),OR('טכנו'!$C$7="",IFERROR(VALUE(M244),0)&lt;='טכנו'!$C$7),A244&lt;&gt;""),ROW()-4,"")</f>
        <v/>
      </c>
    </row>
    <row r="245">
      <c r="B245">
        <f>IF(A245="","",IFERROR(INDEX('מלאי'!$B$3:$B$357,MATCH(A245,'מלאי'!$D$3:$D$357,0)),""))</f>
        <v/>
      </c>
      <c r="C245">
        <f>IF(A245="","",IFERROR(INDEX('מלאי'!$A$3:$A$357,MATCH(A245,'מלאי'!$D$3:$D$357,0)),""))</f>
        <v/>
      </c>
      <c r="D245">
        <f>IF(A245="","",IFERROR(INDEX('מלאי'!$H$3:$H$357,MATCH(A245,'מלאי'!$D$3:$D$357,0)),""))</f>
        <v/>
      </c>
      <c r="H245">
        <f>IF(A245="","",IFERROR(INDEX('מלאי'!$I$3:$I$357,MATCH(A245,'מלאי'!$D$3:$D$357,0)),""))</f>
        <v/>
      </c>
      <c r="M245">
        <f>IF(AND(E245="",I245=""),"",IF(H245="",E245,IF(I245="",E245,IFERROR((VALUE(E245)+VALUE(I245))/2,E245))))</f>
        <v/>
      </c>
      <c r="N245">
        <f>IF(AND(F245="",J245=""),"",IF(H245="",F245,IF(J245="",F245,IFERROR((VALUE(F245)+VALUE(J245))/2,F245))))</f>
        <v/>
      </c>
      <c r="O245">
        <f>IF(AND(M245="",N245=""),"",IF(M245="",N245,IF(N245="",M245,IFERROR((VALUE(M245)+VALUE(N245))/2,""))))</f>
        <v/>
      </c>
      <c r="P245">
        <f>IF(AND(OR('טכנו'!$C$3="הכל",IFERROR(VLOOKUP(D245,'הגדרות'!$A$2:$D$18,2,FALSE),"")='טכנו'!$C$3,IFERROR(VLOOKUP(D245,'הגדרות'!$A$2:$D$18,3,FALSE),"")='טכנו'!$C$3),OR('טכנו'!$C$4="הכל",C245='טכנו'!$C$4),OR('טכנו'!$C$5="הכל",L245='טכנו'!$C$5),OR('טכנו'!$C$6="",IFERROR(VALUE(M245),0)&gt;='טכנו'!$C$6),OR('טכנו'!$C$7="",IFERROR(VALUE(M245),0)&lt;='טכנו'!$C$7),A245&lt;&gt;""),ROW()-4,"")</f>
        <v/>
      </c>
    </row>
    <row r="246">
      <c r="B246">
        <f>IF(A246="","",IFERROR(INDEX('מלאי'!$B$3:$B$357,MATCH(A246,'מלאי'!$D$3:$D$357,0)),""))</f>
        <v/>
      </c>
      <c r="C246">
        <f>IF(A246="","",IFERROR(INDEX('מלאי'!$A$3:$A$357,MATCH(A246,'מלאי'!$D$3:$D$357,0)),""))</f>
        <v/>
      </c>
      <c r="D246">
        <f>IF(A246="","",IFERROR(INDEX('מלאי'!$H$3:$H$357,MATCH(A246,'מלאי'!$D$3:$D$357,0)),""))</f>
        <v/>
      </c>
      <c r="H246">
        <f>IF(A246="","",IFERROR(INDEX('מלאי'!$I$3:$I$357,MATCH(A246,'מלאי'!$D$3:$D$357,0)),""))</f>
        <v/>
      </c>
      <c r="M246">
        <f>IF(AND(E246="",I246=""),"",IF(H246="",E246,IF(I246="",E246,IFERROR((VALUE(E246)+VALUE(I246))/2,E246))))</f>
        <v/>
      </c>
      <c r="N246">
        <f>IF(AND(F246="",J246=""),"",IF(H246="",F246,IF(J246="",F246,IFERROR((VALUE(F246)+VALUE(J246))/2,F246))))</f>
        <v/>
      </c>
      <c r="O246">
        <f>IF(AND(M246="",N246=""),"",IF(M246="",N246,IF(N246="",M246,IFERROR((VALUE(M246)+VALUE(N246))/2,""))))</f>
        <v/>
      </c>
      <c r="P246">
        <f>IF(AND(OR('טכנו'!$C$3="הכל",IFERROR(VLOOKUP(D246,'הגדרות'!$A$2:$D$18,2,FALSE),"")='טכנו'!$C$3,IFERROR(VLOOKUP(D246,'הגדרות'!$A$2:$D$18,3,FALSE),"")='טכנו'!$C$3),OR('טכנו'!$C$4="הכל",C246='טכנו'!$C$4),OR('טכנו'!$C$5="הכל",L246='טכנו'!$C$5),OR('טכנו'!$C$6="",IFERROR(VALUE(M246),0)&gt;='טכנו'!$C$6),OR('טכנו'!$C$7="",IFERROR(VALUE(M246),0)&lt;='טכנו'!$C$7),A246&lt;&gt;""),ROW()-4,"")</f>
        <v/>
      </c>
    </row>
    <row r="247">
      <c r="B247">
        <f>IF(A247="","",IFERROR(INDEX('מלאי'!$B$3:$B$357,MATCH(A247,'מלאי'!$D$3:$D$357,0)),""))</f>
        <v/>
      </c>
      <c r="C247">
        <f>IF(A247="","",IFERROR(INDEX('מלאי'!$A$3:$A$357,MATCH(A247,'מלאי'!$D$3:$D$357,0)),""))</f>
        <v/>
      </c>
      <c r="D247">
        <f>IF(A247="","",IFERROR(INDEX('מלאי'!$H$3:$H$357,MATCH(A247,'מלאי'!$D$3:$D$357,0)),""))</f>
        <v/>
      </c>
      <c r="H247">
        <f>IF(A247="","",IFERROR(INDEX('מלאי'!$I$3:$I$357,MATCH(A247,'מלאי'!$D$3:$D$357,0)),""))</f>
        <v/>
      </c>
      <c r="M247">
        <f>IF(AND(E247="",I247=""),"",IF(H247="",E247,IF(I247="",E247,IFERROR((VALUE(E247)+VALUE(I247))/2,E247))))</f>
        <v/>
      </c>
      <c r="N247">
        <f>IF(AND(F247="",J247=""),"",IF(H247="",F247,IF(J247="",F247,IFERROR((VALUE(F247)+VALUE(J247))/2,F247))))</f>
        <v/>
      </c>
      <c r="O247">
        <f>IF(AND(M247="",N247=""),"",IF(M247="",N247,IF(N247="",M247,IFERROR((VALUE(M247)+VALUE(N247))/2,""))))</f>
        <v/>
      </c>
      <c r="P247">
        <f>IF(AND(OR('טכנו'!$C$3="הכל",IFERROR(VLOOKUP(D247,'הגדרות'!$A$2:$D$18,2,FALSE),"")='טכנו'!$C$3,IFERROR(VLOOKUP(D247,'הגדרות'!$A$2:$D$18,3,FALSE),"")='טכנו'!$C$3),OR('טכנו'!$C$4="הכל",C247='טכנו'!$C$4),OR('טכנו'!$C$5="הכל",L247='טכנו'!$C$5),OR('טכנו'!$C$6="",IFERROR(VALUE(M247),0)&gt;='טכנו'!$C$6),OR('טכנו'!$C$7="",IFERROR(VALUE(M247),0)&lt;='טכנו'!$C$7),A247&lt;&gt;""),ROW()-4,"")</f>
        <v/>
      </c>
    </row>
    <row r="248">
      <c r="B248">
        <f>IF(A248="","",IFERROR(INDEX('מלאי'!$B$3:$B$357,MATCH(A248,'מלאי'!$D$3:$D$357,0)),""))</f>
        <v/>
      </c>
      <c r="C248">
        <f>IF(A248="","",IFERROR(INDEX('מלאי'!$A$3:$A$357,MATCH(A248,'מלאי'!$D$3:$D$357,0)),""))</f>
        <v/>
      </c>
      <c r="D248">
        <f>IF(A248="","",IFERROR(INDEX('מלאי'!$H$3:$H$357,MATCH(A248,'מלאי'!$D$3:$D$357,0)),""))</f>
        <v/>
      </c>
      <c r="H248">
        <f>IF(A248="","",IFERROR(INDEX('מלאי'!$I$3:$I$357,MATCH(A248,'מלאי'!$D$3:$D$357,0)),""))</f>
        <v/>
      </c>
      <c r="M248">
        <f>IF(AND(E248="",I248=""),"",IF(H248="",E248,IF(I248="",E248,IFERROR((VALUE(E248)+VALUE(I248))/2,E248))))</f>
        <v/>
      </c>
      <c r="N248">
        <f>IF(AND(F248="",J248=""),"",IF(H248="",F248,IF(J248="",F248,IFERROR((VALUE(F248)+VALUE(J248))/2,F248))))</f>
        <v/>
      </c>
      <c r="O248">
        <f>IF(AND(M248="",N248=""),"",IF(M248="",N248,IF(N248="",M248,IFERROR((VALUE(M248)+VALUE(N248))/2,""))))</f>
        <v/>
      </c>
      <c r="P248">
        <f>IF(AND(OR('טכנו'!$C$3="הכל",IFERROR(VLOOKUP(D248,'הגדרות'!$A$2:$D$18,2,FALSE),"")='טכנו'!$C$3,IFERROR(VLOOKUP(D248,'הגדרות'!$A$2:$D$18,3,FALSE),"")='טכנו'!$C$3),OR('טכנו'!$C$4="הכל",C248='טכנו'!$C$4),OR('טכנו'!$C$5="הכל",L248='טכנו'!$C$5),OR('טכנו'!$C$6="",IFERROR(VALUE(M248),0)&gt;='טכנו'!$C$6),OR('טכנו'!$C$7="",IFERROR(VALUE(M248),0)&lt;='טכנו'!$C$7),A248&lt;&gt;""),ROW()-4,"")</f>
        <v/>
      </c>
    </row>
    <row r="249">
      <c r="B249">
        <f>IF(A249="","",IFERROR(INDEX('מלאי'!$B$3:$B$357,MATCH(A249,'מלאי'!$D$3:$D$357,0)),""))</f>
        <v/>
      </c>
      <c r="C249">
        <f>IF(A249="","",IFERROR(INDEX('מלאי'!$A$3:$A$357,MATCH(A249,'מלאי'!$D$3:$D$357,0)),""))</f>
        <v/>
      </c>
      <c r="D249">
        <f>IF(A249="","",IFERROR(INDEX('מלאי'!$H$3:$H$357,MATCH(A249,'מלאי'!$D$3:$D$357,0)),""))</f>
        <v/>
      </c>
      <c r="H249">
        <f>IF(A249="","",IFERROR(INDEX('מלאי'!$I$3:$I$357,MATCH(A249,'מלאי'!$D$3:$D$357,0)),""))</f>
        <v/>
      </c>
      <c r="M249">
        <f>IF(AND(E249="",I249=""),"",IF(H249="",E249,IF(I249="",E249,IFERROR((VALUE(E249)+VALUE(I249))/2,E249))))</f>
        <v/>
      </c>
      <c r="N249">
        <f>IF(AND(F249="",J249=""),"",IF(H249="",F249,IF(J249="",F249,IFERROR((VALUE(F249)+VALUE(J249))/2,F249))))</f>
        <v/>
      </c>
      <c r="O249">
        <f>IF(AND(M249="",N249=""),"",IF(M249="",N249,IF(N249="",M249,IFERROR((VALUE(M249)+VALUE(N249))/2,""))))</f>
        <v/>
      </c>
      <c r="P249">
        <f>IF(AND(OR('טכנו'!$C$3="הכל",IFERROR(VLOOKUP(D249,'הגדרות'!$A$2:$D$18,2,FALSE),"")='טכנו'!$C$3,IFERROR(VLOOKUP(D249,'הגדרות'!$A$2:$D$18,3,FALSE),"")='טכנו'!$C$3),OR('טכנו'!$C$4="הכל",C249='טכנו'!$C$4),OR('טכנו'!$C$5="הכל",L249='טכנו'!$C$5),OR('טכנו'!$C$6="",IFERROR(VALUE(M249),0)&gt;='טכנו'!$C$6),OR('טכנו'!$C$7="",IFERROR(VALUE(M249),0)&lt;='טכנו'!$C$7),A249&lt;&gt;""),ROW()-4,"")</f>
        <v/>
      </c>
    </row>
    <row r="250">
      <c r="B250">
        <f>IF(A250="","",IFERROR(INDEX('מלאי'!$B$3:$B$357,MATCH(A250,'מלאי'!$D$3:$D$357,0)),""))</f>
        <v/>
      </c>
      <c r="C250">
        <f>IF(A250="","",IFERROR(INDEX('מלאי'!$A$3:$A$357,MATCH(A250,'מלאי'!$D$3:$D$357,0)),""))</f>
        <v/>
      </c>
      <c r="D250">
        <f>IF(A250="","",IFERROR(INDEX('מלאי'!$H$3:$H$357,MATCH(A250,'מלאי'!$D$3:$D$357,0)),""))</f>
        <v/>
      </c>
      <c r="H250">
        <f>IF(A250="","",IFERROR(INDEX('מלאי'!$I$3:$I$357,MATCH(A250,'מלאי'!$D$3:$D$357,0)),""))</f>
        <v/>
      </c>
      <c r="M250">
        <f>IF(AND(E250="",I250=""),"",IF(H250="",E250,IF(I250="",E250,IFERROR((VALUE(E250)+VALUE(I250))/2,E250))))</f>
        <v/>
      </c>
      <c r="N250">
        <f>IF(AND(F250="",J250=""),"",IF(H250="",F250,IF(J250="",F250,IFERROR((VALUE(F250)+VALUE(J250))/2,F250))))</f>
        <v/>
      </c>
      <c r="O250">
        <f>IF(AND(M250="",N250=""),"",IF(M250="",N250,IF(N250="",M250,IFERROR((VALUE(M250)+VALUE(N250))/2,""))))</f>
        <v/>
      </c>
      <c r="P250">
        <f>IF(AND(OR('טכנו'!$C$3="הכל",IFERROR(VLOOKUP(D250,'הגדרות'!$A$2:$D$18,2,FALSE),"")='טכנו'!$C$3,IFERROR(VLOOKUP(D250,'הגדרות'!$A$2:$D$18,3,FALSE),"")='טכנו'!$C$3),OR('טכנו'!$C$4="הכל",C250='טכנו'!$C$4),OR('טכנו'!$C$5="הכל",L250='טכנו'!$C$5),OR('טכנו'!$C$6="",IFERROR(VALUE(M250),0)&gt;='טכנו'!$C$6),OR('טכנו'!$C$7="",IFERROR(VALUE(M250),0)&lt;='טכנו'!$C$7),A250&lt;&gt;""),ROW()-4,"")</f>
        <v/>
      </c>
    </row>
    <row r="251">
      <c r="B251">
        <f>IF(A251="","",IFERROR(INDEX('מלאי'!$B$3:$B$357,MATCH(A251,'מלאי'!$D$3:$D$357,0)),""))</f>
        <v/>
      </c>
      <c r="C251">
        <f>IF(A251="","",IFERROR(INDEX('מלאי'!$A$3:$A$357,MATCH(A251,'מלאי'!$D$3:$D$357,0)),""))</f>
        <v/>
      </c>
      <c r="D251">
        <f>IF(A251="","",IFERROR(INDEX('מלאי'!$H$3:$H$357,MATCH(A251,'מלאי'!$D$3:$D$357,0)),""))</f>
        <v/>
      </c>
      <c r="H251">
        <f>IF(A251="","",IFERROR(INDEX('מלאי'!$I$3:$I$357,MATCH(A251,'מלאי'!$D$3:$D$357,0)),""))</f>
        <v/>
      </c>
      <c r="M251">
        <f>IF(AND(E251="",I251=""),"",IF(H251="",E251,IF(I251="",E251,IFERROR((VALUE(E251)+VALUE(I251))/2,E251))))</f>
        <v/>
      </c>
      <c r="N251">
        <f>IF(AND(F251="",J251=""),"",IF(H251="",F251,IF(J251="",F251,IFERROR((VALUE(F251)+VALUE(J251))/2,F251))))</f>
        <v/>
      </c>
      <c r="O251">
        <f>IF(AND(M251="",N251=""),"",IF(M251="",N251,IF(N251="",M251,IFERROR((VALUE(M251)+VALUE(N251))/2,""))))</f>
        <v/>
      </c>
      <c r="P251">
        <f>IF(AND(OR('טכנו'!$C$3="הכל",IFERROR(VLOOKUP(D251,'הגדרות'!$A$2:$D$18,2,FALSE),"")='טכנו'!$C$3,IFERROR(VLOOKUP(D251,'הגדרות'!$A$2:$D$18,3,FALSE),"")='טכנו'!$C$3),OR('טכנו'!$C$4="הכל",C251='טכנו'!$C$4),OR('טכנו'!$C$5="הכל",L251='טכנו'!$C$5),OR('טכנו'!$C$6="",IFERROR(VALUE(M251),0)&gt;='טכנו'!$C$6),OR('טכנו'!$C$7="",IFERROR(VALUE(M251),0)&lt;='טכנו'!$C$7),A251&lt;&gt;""),ROW()-4,"")</f>
        <v/>
      </c>
    </row>
    <row r="252">
      <c r="B252">
        <f>IF(A252="","",IFERROR(INDEX('מלאי'!$B$3:$B$357,MATCH(A252,'מלאי'!$D$3:$D$357,0)),""))</f>
        <v/>
      </c>
      <c r="C252">
        <f>IF(A252="","",IFERROR(INDEX('מלאי'!$A$3:$A$357,MATCH(A252,'מלאי'!$D$3:$D$357,0)),""))</f>
        <v/>
      </c>
      <c r="D252">
        <f>IF(A252="","",IFERROR(INDEX('מלאי'!$H$3:$H$357,MATCH(A252,'מלאי'!$D$3:$D$357,0)),""))</f>
        <v/>
      </c>
      <c r="H252">
        <f>IF(A252="","",IFERROR(INDEX('מלאי'!$I$3:$I$357,MATCH(A252,'מלאי'!$D$3:$D$357,0)),""))</f>
        <v/>
      </c>
      <c r="M252">
        <f>IF(AND(E252="",I252=""),"",IF(H252="",E252,IF(I252="",E252,IFERROR((VALUE(E252)+VALUE(I252))/2,E252))))</f>
        <v/>
      </c>
      <c r="N252">
        <f>IF(AND(F252="",J252=""),"",IF(H252="",F252,IF(J252="",F252,IFERROR((VALUE(F252)+VALUE(J252))/2,F252))))</f>
        <v/>
      </c>
      <c r="O252">
        <f>IF(AND(M252="",N252=""),"",IF(M252="",N252,IF(N252="",M252,IFERROR((VALUE(M252)+VALUE(N252))/2,""))))</f>
        <v/>
      </c>
      <c r="P252">
        <f>IF(AND(OR('טכנו'!$C$3="הכל",IFERROR(VLOOKUP(D252,'הגדרות'!$A$2:$D$18,2,FALSE),"")='טכנו'!$C$3,IFERROR(VLOOKUP(D252,'הגדרות'!$A$2:$D$18,3,FALSE),"")='טכנו'!$C$3),OR('טכנו'!$C$4="הכל",C252='טכנו'!$C$4),OR('טכנו'!$C$5="הכל",L252='טכנו'!$C$5),OR('טכנו'!$C$6="",IFERROR(VALUE(M252),0)&gt;='טכנו'!$C$6),OR('טכנו'!$C$7="",IFERROR(VALUE(M252),0)&lt;='טכנו'!$C$7),A252&lt;&gt;""),ROW()-4,"")</f>
        <v/>
      </c>
    </row>
    <row r="253">
      <c r="B253">
        <f>IF(A253="","",IFERROR(INDEX('מלאי'!$B$3:$B$357,MATCH(A253,'מלאי'!$D$3:$D$357,0)),""))</f>
        <v/>
      </c>
      <c r="C253">
        <f>IF(A253="","",IFERROR(INDEX('מלאי'!$A$3:$A$357,MATCH(A253,'מלאי'!$D$3:$D$357,0)),""))</f>
        <v/>
      </c>
      <c r="D253">
        <f>IF(A253="","",IFERROR(INDEX('מלאי'!$H$3:$H$357,MATCH(A253,'מלאי'!$D$3:$D$357,0)),""))</f>
        <v/>
      </c>
      <c r="H253">
        <f>IF(A253="","",IFERROR(INDEX('מלאי'!$I$3:$I$357,MATCH(A253,'מלאי'!$D$3:$D$357,0)),""))</f>
        <v/>
      </c>
      <c r="M253">
        <f>IF(AND(E253="",I253=""),"",IF(H253="",E253,IF(I253="",E253,IFERROR((VALUE(E253)+VALUE(I253))/2,E253))))</f>
        <v/>
      </c>
      <c r="N253">
        <f>IF(AND(F253="",J253=""),"",IF(H253="",F253,IF(J253="",F253,IFERROR((VALUE(F253)+VALUE(J253))/2,F253))))</f>
        <v/>
      </c>
      <c r="O253">
        <f>IF(AND(M253="",N253=""),"",IF(M253="",N253,IF(N253="",M253,IFERROR((VALUE(M253)+VALUE(N253))/2,""))))</f>
        <v/>
      </c>
      <c r="P253">
        <f>IF(AND(OR('טכנו'!$C$3="הכל",IFERROR(VLOOKUP(D253,'הגדרות'!$A$2:$D$18,2,FALSE),"")='טכנו'!$C$3,IFERROR(VLOOKUP(D253,'הגדרות'!$A$2:$D$18,3,FALSE),"")='טכנו'!$C$3),OR('טכנו'!$C$4="הכל",C253='טכנו'!$C$4),OR('טכנו'!$C$5="הכל",L253='טכנו'!$C$5),OR('טכנו'!$C$6="",IFERROR(VALUE(M253),0)&gt;='טכנו'!$C$6),OR('טכנו'!$C$7="",IFERROR(VALUE(M253),0)&lt;='טכנו'!$C$7),A253&lt;&gt;""),ROW()-4,"")</f>
        <v/>
      </c>
    </row>
    <row r="254">
      <c r="B254">
        <f>IF(A254="","",IFERROR(INDEX('מלאי'!$B$3:$B$357,MATCH(A254,'מלאי'!$D$3:$D$357,0)),""))</f>
        <v/>
      </c>
      <c r="C254">
        <f>IF(A254="","",IFERROR(INDEX('מלאי'!$A$3:$A$357,MATCH(A254,'מלאי'!$D$3:$D$357,0)),""))</f>
        <v/>
      </c>
      <c r="D254">
        <f>IF(A254="","",IFERROR(INDEX('מלאי'!$H$3:$H$357,MATCH(A254,'מלאי'!$D$3:$D$357,0)),""))</f>
        <v/>
      </c>
      <c r="H254">
        <f>IF(A254="","",IFERROR(INDEX('מלאי'!$I$3:$I$357,MATCH(A254,'מלאי'!$D$3:$D$357,0)),""))</f>
        <v/>
      </c>
      <c r="M254">
        <f>IF(AND(E254="",I254=""),"",IF(H254="",E254,IF(I254="",E254,IFERROR((VALUE(E254)+VALUE(I254))/2,E254))))</f>
        <v/>
      </c>
      <c r="N254">
        <f>IF(AND(F254="",J254=""),"",IF(H254="",F254,IF(J254="",F254,IFERROR((VALUE(F254)+VALUE(J254))/2,F254))))</f>
        <v/>
      </c>
      <c r="O254">
        <f>IF(AND(M254="",N254=""),"",IF(M254="",N254,IF(N254="",M254,IFERROR((VALUE(M254)+VALUE(N254))/2,""))))</f>
        <v/>
      </c>
      <c r="P254">
        <f>IF(AND(OR('טכנו'!$C$3="הכל",IFERROR(VLOOKUP(D254,'הגדרות'!$A$2:$D$18,2,FALSE),"")='טכנו'!$C$3,IFERROR(VLOOKUP(D254,'הגדרות'!$A$2:$D$18,3,FALSE),"")='טכנו'!$C$3),OR('טכנו'!$C$4="הכל",C254='טכנו'!$C$4),OR('טכנו'!$C$5="הכל",L254='טכנו'!$C$5),OR('טכנו'!$C$6="",IFERROR(VALUE(M254),0)&gt;='טכנו'!$C$6),OR('טכנו'!$C$7="",IFERROR(VALUE(M254),0)&lt;='טכנו'!$C$7),A254&lt;&gt;""),ROW()-4,"")</f>
        <v/>
      </c>
    </row>
    <row r="255">
      <c r="B255">
        <f>IF(A255="","",IFERROR(INDEX('מלאי'!$B$3:$B$357,MATCH(A255,'מלאי'!$D$3:$D$357,0)),""))</f>
        <v/>
      </c>
      <c r="C255">
        <f>IF(A255="","",IFERROR(INDEX('מלאי'!$A$3:$A$357,MATCH(A255,'מלאי'!$D$3:$D$357,0)),""))</f>
        <v/>
      </c>
      <c r="D255">
        <f>IF(A255="","",IFERROR(INDEX('מלאי'!$H$3:$H$357,MATCH(A255,'מלאי'!$D$3:$D$357,0)),""))</f>
        <v/>
      </c>
      <c r="H255">
        <f>IF(A255="","",IFERROR(INDEX('מלאי'!$I$3:$I$357,MATCH(A255,'מלאי'!$D$3:$D$357,0)),""))</f>
        <v/>
      </c>
      <c r="M255">
        <f>IF(AND(E255="",I255=""),"",IF(H255="",E255,IF(I255="",E255,IFERROR((VALUE(E255)+VALUE(I255))/2,E255))))</f>
        <v/>
      </c>
      <c r="N255">
        <f>IF(AND(F255="",J255=""),"",IF(H255="",F255,IF(J255="",F255,IFERROR((VALUE(F255)+VALUE(J255))/2,F255))))</f>
        <v/>
      </c>
      <c r="O255">
        <f>IF(AND(M255="",N255=""),"",IF(M255="",N255,IF(N255="",M255,IFERROR((VALUE(M255)+VALUE(N255))/2,""))))</f>
        <v/>
      </c>
      <c r="P255">
        <f>IF(AND(OR('טכנו'!$C$3="הכל",IFERROR(VLOOKUP(D255,'הגדרות'!$A$2:$D$18,2,FALSE),"")='טכנו'!$C$3,IFERROR(VLOOKUP(D255,'הגדרות'!$A$2:$D$18,3,FALSE),"")='טכנו'!$C$3),OR('טכנו'!$C$4="הכל",C255='טכנו'!$C$4),OR('טכנו'!$C$5="הכל",L255='טכנו'!$C$5),OR('טכנו'!$C$6="",IFERROR(VALUE(M255),0)&gt;='טכנו'!$C$6),OR('טכנו'!$C$7="",IFERROR(VALUE(M255),0)&lt;='טכנו'!$C$7),A255&lt;&gt;""),ROW()-4,"")</f>
        <v/>
      </c>
    </row>
    <row r="256">
      <c r="B256">
        <f>IF(A256="","",IFERROR(INDEX('מלאי'!$B$3:$B$357,MATCH(A256,'מלאי'!$D$3:$D$357,0)),""))</f>
        <v/>
      </c>
      <c r="C256">
        <f>IF(A256="","",IFERROR(INDEX('מלאי'!$A$3:$A$357,MATCH(A256,'מלאי'!$D$3:$D$357,0)),""))</f>
        <v/>
      </c>
      <c r="D256">
        <f>IF(A256="","",IFERROR(INDEX('מלאי'!$H$3:$H$357,MATCH(A256,'מלאי'!$D$3:$D$357,0)),""))</f>
        <v/>
      </c>
      <c r="H256">
        <f>IF(A256="","",IFERROR(INDEX('מלאי'!$I$3:$I$357,MATCH(A256,'מלאי'!$D$3:$D$357,0)),""))</f>
        <v/>
      </c>
      <c r="M256">
        <f>IF(AND(E256="",I256=""),"",IF(H256="",E256,IF(I256="",E256,IFERROR((VALUE(E256)+VALUE(I256))/2,E256))))</f>
        <v/>
      </c>
      <c r="N256">
        <f>IF(AND(F256="",J256=""),"",IF(H256="",F256,IF(J256="",F256,IFERROR((VALUE(F256)+VALUE(J256))/2,F256))))</f>
        <v/>
      </c>
      <c r="O256">
        <f>IF(AND(M256="",N256=""),"",IF(M256="",N256,IF(N256="",M256,IFERROR((VALUE(M256)+VALUE(N256))/2,""))))</f>
        <v/>
      </c>
      <c r="P256">
        <f>IF(AND(OR('טכנו'!$C$3="הכל",IFERROR(VLOOKUP(D256,'הגדרות'!$A$2:$D$18,2,FALSE),"")='טכנו'!$C$3,IFERROR(VLOOKUP(D256,'הגדרות'!$A$2:$D$18,3,FALSE),"")='טכנו'!$C$3),OR('טכנו'!$C$4="הכל",C256='טכנו'!$C$4),OR('טכנו'!$C$5="הכל",L256='טכנו'!$C$5),OR('טכנו'!$C$6="",IFERROR(VALUE(M256),0)&gt;='טכנו'!$C$6),OR('טכנו'!$C$7="",IFERROR(VALUE(M256),0)&lt;='טכנו'!$C$7),A256&lt;&gt;""),ROW()-4,"")</f>
        <v/>
      </c>
    </row>
    <row r="257">
      <c r="B257">
        <f>IF(A257="","",IFERROR(INDEX('מלאי'!$B$3:$B$357,MATCH(A257,'מלאי'!$D$3:$D$357,0)),""))</f>
        <v/>
      </c>
      <c r="C257">
        <f>IF(A257="","",IFERROR(INDEX('מלאי'!$A$3:$A$357,MATCH(A257,'מלאי'!$D$3:$D$357,0)),""))</f>
        <v/>
      </c>
      <c r="D257">
        <f>IF(A257="","",IFERROR(INDEX('מלאי'!$H$3:$H$357,MATCH(A257,'מלאי'!$D$3:$D$357,0)),""))</f>
        <v/>
      </c>
      <c r="H257">
        <f>IF(A257="","",IFERROR(INDEX('מלאי'!$I$3:$I$357,MATCH(A257,'מלאי'!$D$3:$D$357,0)),""))</f>
        <v/>
      </c>
      <c r="M257">
        <f>IF(AND(E257="",I257=""),"",IF(H257="",E257,IF(I257="",E257,IFERROR((VALUE(E257)+VALUE(I257))/2,E257))))</f>
        <v/>
      </c>
      <c r="N257">
        <f>IF(AND(F257="",J257=""),"",IF(H257="",F257,IF(J257="",F257,IFERROR((VALUE(F257)+VALUE(J257))/2,F257))))</f>
        <v/>
      </c>
      <c r="O257">
        <f>IF(AND(M257="",N257=""),"",IF(M257="",N257,IF(N257="",M257,IFERROR((VALUE(M257)+VALUE(N257))/2,""))))</f>
        <v/>
      </c>
      <c r="P257">
        <f>IF(AND(OR('טכנו'!$C$3="הכל",IFERROR(VLOOKUP(D257,'הגדרות'!$A$2:$D$18,2,FALSE),"")='טכנו'!$C$3,IFERROR(VLOOKUP(D257,'הגדרות'!$A$2:$D$18,3,FALSE),"")='טכנו'!$C$3),OR('טכנו'!$C$4="הכל",C257='טכנו'!$C$4),OR('טכנו'!$C$5="הכל",L257='טכנו'!$C$5),OR('טכנו'!$C$6="",IFERROR(VALUE(M257),0)&gt;='טכנו'!$C$6),OR('טכנו'!$C$7="",IFERROR(VALUE(M257),0)&lt;='טכנו'!$C$7),A257&lt;&gt;""),ROW()-4,"")</f>
        <v/>
      </c>
    </row>
    <row r="258">
      <c r="B258">
        <f>IF(A258="","",IFERROR(INDEX('מלאי'!$B$3:$B$357,MATCH(A258,'מלאי'!$D$3:$D$357,0)),""))</f>
        <v/>
      </c>
      <c r="C258">
        <f>IF(A258="","",IFERROR(INDEX('מלאי'!$A$3:$A$357,MATCH(A258,'מלאי'!$D$3:$D$357,0)),""))</f>
        <v/>
      </c>
      <c r="D258">
        <f>IF(A258="","",IFERROR(INDEX('מלאי'!$H$3:$H$357,MATCH(A258,'מלאי'!$D$3:$D$357,0)),""))</f>
        <v/>
      </c>
      <c r="H258">
        <f>IF(A258="","",IFERROR(INDEX('מלאי'!$I$3:$I$357,MATCH(A258,'מלאי'!$D$3:$D$357,0)),""))</f>
        <v/>
      </c>
      <c r="M258">
        <f>IF(AND(E258="",I258=""),"",IF(H258="",E258,IF(I258="",E258,IFERROR((VALUE(E258)+VALUE(I258))/2,E258))))</f>
        <v/>
      </c>
      <c r="N258">
        <f>IF(AND(F258="",J258=""),"",IF(H258="",F258,IF(J258="",F258,IFERROR((VALUE(F258)+VALUE(J258))/2,F258))))</f>
        <v/>
      </c>
      <c r="O258">
        <f>IF(AND(M258="",N258=""),"",IF(M258="",N258,IF(N258="",M258,IFERROR((VALUE(M258)+VALUE(N258))/2,""))))</f>
        <v/>
      </c>
      <c r="P258">
        <f>IF(AND(OR('טכנו'!$C$3="הכל",IFERROR(VLOOKUP(D258,'הגדרות'!$A$2:$D$18,2,FALSE),"")='טכנו'!$C$3,IFERROR(VLOOKUP(D258,'הגדרות'!$A$2:$D$18,3,FALSE),"")='טכנו'!$C$3),OR('טכנו'!$C$4="הכל",C258='טכנו'!$C$4),OR('טכנו'!$C$5="הכל",L258='טכנו'!$C$5),OR('טכנו'!$C$6="",IFERROR(VALUE(M258),0)&gt;='טכנו'!$C$6),OR('טכנו'!$C$7="",IFERROR(VALUE(M258),0)&lt;='טכנו'!$C$7),A258&lt;&gt;""),ROW()-4,"")</f>
        <v/>
      </c>
    </row>
    <row r="259">
      <c r="B259">
        <f>IF(A259="","",IFERROR(INDEX('מלאי'!$B$3:$B$357,MATCH(A259,'מלאי'!$D$3:$D$357,0)),""))</f>
        <v/>
      </c>
      <c r="C259">
        <f>IF(A259="","",IFERROR(INDEX('מלאי'!$A$3:$A$357,MATCH(A259,'מלאי'!$D$3:$D$357,0)),""))</f>
        <v/>
      </c>
      <c r="D259">
        <f>IF(A259="","",IFERROR(INDEX('מלאי'!$H$3:$H$357,MATCH(A259,'מלאי'!$D$3:$D$357,0)),""))</f>
        <v/>
      </c>
      <c r="H259">
        <f>IF(A259="","",IFERROR(INDEX('מלאי'!$I$3:$I$357,MATCH(A259,'מלאי'!$D$3:$D$357,0)),""))</f>
        <v/>
      </c>
      <c r="M259">
        <f>IF(AND(E259="",I259=""),"",IF(H259="",E259,IF(I259="",E259,IFERROR((VALUE(E259)+VALUE(I259))/2,E259))))</f>
        <v/>
      </c>
      <c r="N259">
        <f>IF(AND(F259="",J259=""),"",IF(H259="",F259,IF(J259="",F259,IFERROR((VALUE(F259)+VALUE(J259))/2,F259))))</f>
        <v/>
      </c>
      <c r="O259">
        <f>IF(AND(M259="",N259=""),"",IF(M259="",N259,IF(N259="",M259,IFERROR((VALUE(M259)+VALUE(N259))/2,""))))</f>
        <v/>
      </c>
      <c r="P259">
        <f>IF(AND(OR('טכנו'!$C$3="הכל",IFERROR(VLOOKUP(D259,'הגדרות'!$A$2:$D$18,2,FALSE),"")='טכנו'!$C$3,IFERROR(VLOOKUP(D259,'הגדרות'!$A$2:$D$18,3,FALSE),"")='טכנו'!$C$3),OR('טכנו'!$C$4="הכל",C259='טכנו'!$C$4),OR('טכנו'!$C$5="הכל",L259='טכנו'!$C$5),OR('טכנו'!$C$6="",IFERROR(VALUE(M259),0)&gt;='טכנו'!$C$6),OR('טכנו'!$C$7="",IFERROR(VALUE(M259),0)&lt;='טכנו'!$C$7),A259&lt;&gt;""),ROW()-4,"")</f>
        <v/>
      </c>
    </row>
    <row r="260">
      <c r="B260">
        <f>IF(A260="","",IFERROR(INDEX('מלאי'!$B$3:$B$357,MATCH(A260,'מלאי'!$D$3:$D$357,0)),""))</f>
        <v/>
      </c>
      <c r="C260">
        <f>IF(A260="","",IFERROR(INDEX('מלאי'!$A$3:$A$357,MATCH(A260,'מלאי'!$D$3:$D$357,0)),""))</f>
        <v/>
      </c>
      <c r="D260">
        <f>IF(A260="","",IFERROR(INDEX('מלאי'!$H$3:$H$357,MATCH(A260,'מלאי'!$D$3:$D$357,0)),""))</f>
        <v/>
      </c>
      <c r="H260">
        <f>IF(A260="","",IFERROR(INDEX('מלאי'!$I$3:$I$357,MATCH(A260,'מלאי'!$D$3:$D$357,0)),""))</f>
        <v/>
      </c>
      <c r="M260">
        <f>IF(AND(E260="",I260=""),"",IF(H260="",E260,IF(I260="",E260,IFERROR((VALUE(E260)+VALUE(I260))/2,E260))))</f>
        <v/>
      </c>
      <c r="N260">
        <f>IF(AND(F260="",J260=""),"",IF(H260="",F260,IF(J260="",F260,IFERROR((VALUE(F260)+VALUE(J260))/2,F260))))</f>
        <v/>
      </c>
      <c r="O260">
        <f>IF(AND(M260="",N260=""),"",IF(M260="",N260,IF(N260="",M260,IFERROR((VALUE(M260)+VALUE(N260))/2,""))))</f>
        <v/>
      </c>
      <c r="P260">
        <f>IF(AND(OR('טכנו'!$C$3="הכל",IFERROR(VLOOKUP(D260,'הגדרות'!$A$2:$D$18,2,FALSE),"")='טכנו'!$C$3,IFERROR(VLOOKUP(D260,'הגדרות'!$A$2:$D$18,3,FALSE),"")='טכנו'!$C$3),OR('טכנו'!$C$4="הכל",C260='טכנו'!$C$4),OR('טכנו'!$C$5="הכל",L260='טכנו'!$C$5),OR('טכנו'!$C$6="",IFERROR(VALUE(M260),0)&gt;='טכנו'!$C$6),OR('טכנו'!$C$7="",IFERROR(VALUE(M260),0)&lt;='טכנו'!$C$7),A260&lt;&gt;""),ROW()-4,"")</f>
        <v/>
      </c>
    </row>
    <row r="261">
      <c r="B261">
        <f>IF(A261="","",IFERROR(INDEX('מלאי'!$B$3:$B$357,MATCH(A261,'מלאי'!$D$3:$D$357,0)),""))</f>
        <v/>
      </c>
      <c r="C261">
        <f>IF(A261="","",IFERROR(INDEX('מלאי'!$A$3:$A$357,MATCH(A261,'מלאי'!$D$3:$D$357,0)),""))</f>
        <v/>
      </c>
      <c r="D261">
        <f>IF(A261="","",IFERROR(INDEX('מלאי'!$H$3:$H$357,MATCH(A261,'מלאי'!$D$3:$D$357,0)),""))</f>
        <v/>
      </c>
      <c r="H261">
        <f>IF(A261="","",IFERROR(INDEX('מלאי'!$I$3:$I$357,MATCH(A261,'מלאי'!$D$3:$D$357,0)),""))</f>
        <v/>
      </c>
      <c r="M261">
        <f>IF(AND(E261="",I261=""),"",IF(H261="",E261,IF(I261="",E261,IFERROR((VALUE(E261)+VALUE(I261))/2,E261))))</f>
        <v/>
      </c>
      <c r="N261">
        <f>IF(AND(F261="",J261=""),"",IF(H261="",F261,IF(J261="",F261,IFERROR((VALUE(F261)+VALUE(J261))/2,F261))))</f>
        <v/>
      </c>
      <c r="O261">
        <f>IF(AND(M261="",N261=""),"",IF(M261="",N261,IF(N261="",M261,IFERROR((VALUE(M261)+VALUE(N261))/2,""))))</f>
        <v/>
      </c>
      <c r="P261">
        <f>IF(AND(OR('טכנו'!$C$3="הכל",IFERROR(VLOOKUP(D261,'הגדרות'!$A$2:$D$18,2,FALSE),"")='טכנו'!$C$3,IFERROR(VLOOKUP(D261,'הגדרות'!$A$2:$D$18,3,FALSE),"")='טכנו'!$C$3),OR('טכנו'!$C$4="הכל",C261='טכנו'!$C$4),OR('טכנו'!$C$5="הכל",L261='טכנו'!$C$5),OR('טכנו'!$C$6="",IFERROR(VALUE(M261),0)&gt;='טכנו'!$C$6),OR('טכנו'!$C$7="",IFERROR(VALUE(M261),0)&lt;='טכנו'!$C$7),A261&lt;&gt;""),ROW()-4,"")</f>
        <v/>
      </c>
    </row>
    <row r="262">
      <c r="B262">
        <f>IF(A262="","",IFERROR(INDEX('מלאי'!$B$3:$B$357,MATCH(A262,'מלאי'!$D$3:$D$357,0)),""))</f>
        <v/>
      </c>
      <c r="C262">
        <f>IF(A262="","",IFERROR(INDEX('מלאי'!$A$3:$A$357,MATCH(A262,'מלאי'!$D$3:$D$357,0)),""))</f>
        <v/>
      </c>
      <c r="D262">
        <f>IF(A262="","",IFERROR(INDEX('מלאי'!$H$3:$H$357,MATCH(A262,'מלאי'!$D$3:$D$357,0)),""))</f>
        <v/>
      </c>
      <c r="H262">
        <f>IF(A262="","",IFERROR(INDEX('מלאי'!$I$3:$I$357,MATCH(A262,'מלאי'!$D$3:$D$357,0)),""))</f>
        <v/>
      </c>
      <c r="M262">
        <f>IF(AND(E262="",I262=""),"",IF(H262="",E262,IF(I262="",E262,IFERROR((VALUE(E262)+VALUE(I262))/2,E262))))</f>
        <v/>
      </c>
      <c r="N262">
        <f>IF(AND(F262="",J262=""),"",IF(H262="",F262,IF(J262="",F262,IFERROR((VALUE(F262)+VALUE(J262))/2,F262))))</f>
        <v/>
      </c>
      <c r="O262">
        <f>IF(AND(M262="",N262=""),"",IF(M262="",N262,IF(N262="",M262,IFERROR((VALUE(M262)+VALUE(N262))/2,""))))</f>
        <v/>
      </c>
      <c r="P262">
        <f>IF(AND(OR('טכנו'!$C$3="הכל",IFERROR(VLOOKUP(D262,'הגדרות'!$A$2:$D$18,2,FALSE),"")='טכנו'!$C$3,IFERROR(VLOOKUP(D262,'הגדרות'!$A$2:$D$18,3,FALSE),"")='טכנו'!$C$3),OR('טכנו'!$C$4="הכל",C262='טכנו'!$C$4),OR('טכנו'!$C$5="הכל",L262='טכנו'!$C$5),OR('טכנו'!$C$6="",IFERROR(VALUE(M262),0)&gt;='טכנו'!$C$6),OR('טכנו'!$C$7="",IFERROR(VALUE(M262),0)&lt;='טכנו'!$C$7),A262&lt;&gt;""),ROW()-4,"")</f>
        <v/>
      </c>
    </row>
    <row r="263">
      <c r="B263">
        <f>IF(A263="","",IFERROR(INDEX('מלאי'!$B$3:$B$357,MATCH(A263,'מלאי'!$D$3:$D$357,0)),""))</f>
        <v/>
      </c>
      <c r="C263">
        <f>IF(A263="","",IFERROR(INDEX('מלאי'!$A$3:$A$357,MATCH(A263,'מלאי'!$D$3:$D$357,0)),""))</f>
        <v/>
      </c>
      <c r="D263">
        <f>IF(A263="","",IFERROR(INDEX('מלאי'!$H$3:$H$357,MATCH(A263,'מלאי'!$D$3:$D$357,0)),""))</f>
        <v/>
      </c>
      <c r="H263">
        <f>IF(A263="","",IFERROR(INDEX('מלאי'!$I$3:$I$357,MATCH(A263,'מלאי'!$D$3:$D$357,0)),""))</f>
        <v/>
      </c>
      <c r="M263">
        <f>IF(AND(E263="",I263=""),"",IF(H263="",E263,IF(I263="",E263,IFERROR((VALUE(E263)+VALUE(I263))/2,E263))))</f>
        <v/>
      </c>
      <c r="N263">
        <f>IF(AND(F263="",J263=""),"",IF(H263="",F263,IF(J263="",F263,IFERROR((VALUE(F263)+VALUE(J263))/2,F263))))</f>
        <v/>
      </c>
      <c r="O263">
        <f>IF(AND(M263="",N263=""),"",IF(M263="",N263,IF(N263="",M263,IFERROR((VALUE(M263)+VALUE(N263))/2,""))))</f>
        <v/>
      </c>
      <c r="P263">
        <f>IF(AND(OR('טכנו'!$C$3="הכל",IFERROR(VLOOKUP(D263,'הגדרות'!$A$2:$D$18,2,FALSE),"")='טכנו'!$C$3,IFERROR(VLOOKUP(D263,'הגדרות'!$A$2:$D$18,3,FALSE),"")='טכנו'!$C$3),OR('טכנו'!$C$4="הכל",C263='טכנו'!$C$4),OR('טכנו'!$C$5="הכל",L263='טכנו'!$C$5),OR('טכנו'!$C$6="",IFERROR(VALUE(M263),0)&gt;='טכנו'!$C$6),OR('טכנו'!$C$7="",IFERROR(VALUE(M263),0)&lt;='טכנו'!$C$7),A263&lt;&gt;""),ROW()-4,"")</f>
        <v/>
      </c>
    </row>
    <row r="264">
      <c r="B264">
        <f>IF(A264="","",IFERROR(INDEX('מלאי'!$B$3:$B$357,MATCH(A264,'מלאי'!$D$3:$D$357,0)),""))</f>
        <v/>
      </c>
      <c r="C264">
        <f>IF(A264="","",IFERROR(INDEX('מלאי'!$A$3:$A$357,MATCH(A264,'מלאי'!$D$3:$D$357,0)),""))</f>
        <v/>
      </c>
      <c r="D264">
        <f>IF(A264="","",IFERROR(INDEX('מלאי'!$H$3:$H$357,MATCH(A264,'מלאי'!$D$3:$D$357,0)),""))</f>
        <v/>
      </c>
      <c r="H264">
        <f>IF(A264="","",IFERROR(INDEX('מלאי'!$I$3:$I$357,MATCH(A264,'מלאי'!$D$3:$D$357,0)),""))</f>
        <v/>
      </c>
      <c r="M264">
        <f>IF(AND(E264="",I264=""),"",IF(H264="",E264,IF(I264="",E264,IFERROR((VALUE(E264)+VALUE(I264))/2,E264))))</f>
        <v/>
      </c>
      <c r="N264">
        <f>IF(AND(F264="",J264=""),"",IF(H264="",F264,IF(J264="",F264,IFERROR((VALUE(F264)+VALUE(J264))/2,F264))))</f>
        <v/>
      </c>
      <c r="O264">
        <f>IF(AND(M264="",N264=""),"",IF(M264="",N264,IF(N264="",M264,IFERROR((VALUE(M264)+VALUE(N264))/2,""))))</f>
        <v/>
      </c>
      <c r="P264">
        <f>IF(AND(OR('טכנו'!$C$3="הכל",IFERROR(VLOOKUP(D264,'הגדרות'!$A$2:$D$18,2,FALSE),"")='טכנו'!$C$3,IFERROR(VLOOKUP(D264,'הגדרות'!$A$2:$D$18,3,FALSE),"")='טכנו'!$C$3),OR('טכנו'!$C$4="הכל",C264='טכנו'!$C$4),OR('טכנו'!$C$5="הכל",L264='טכנו'!$C$5),OR('טכנו'!$C$6="",IFERROR(VALUE(M264),0)&gt;='טכנו'!$C$6),OR('טכנו'!$C$7="",IFERROR(VALUE(M264),0)&lt;='טכנו'!$C$7),A264&lt;&gt;""),ROW()-4,"")</f>
        <v/>
      </c>
    </row>
    <row r="265">
      <c r="B265">
        <f>IF(A265="","",IFERROR(INDEX('מלאי'!$B$3:$B$357,MATCH(A265,'מלאי'!$D$3:$D$357,0)),""))</f>
        <v/>
      </c>
      <c r="C265">
        <f>IF(A265="","",IFERROR(INDEX('מלאי'!$A$3:$A$357,MATCH(A265,'מלאי'!$D$3:$D$357,0)),""))</f>
        <v/>
      </c>
      <c r="D265">
        <f>IF(A265="","",IFERROR(INDEX('מלאי'!$H$3:$H$357,MATCH(A265,'מלאי'!$D$3:$D$357,0)),""))</f>
        <v/>
      </c>
      <c r="H265">
        <f>IF(A265="","",IFERROR(INDEX('מלאי'!$I$3:$I$357,MATCH(A265,'מלאי'!$D$3:$D$357,0)),""))</f>
        <v/>
      </c>
      <c r="M265">
        <f>IF(AND(E265="",I265=""),"",IF(H265="",E265,IF(I265="",E265,IFERROR((VALUE(E265)+VALUE(I265))/2,E265))))</f>
        <v/>
      </c>
      <c r="N265">
        <f>IF(AND(F265="",J265=""),"",IF(H265="",F265,IF(J265="",F265,IFERROR((VALUE(F265)+VALUE(J265))/2,F265))))</f>
        <v/>
      </c>
      <c r="O265">
        <f>IF(AND(M265="",N265=""),"",IF(M265="",N265,IF(N265="",M265,IFERROR((VALUE(M265)+VALUE(N265))/2,""))))</f>
        <v/>
      </c>
      <c r="P265">
        <f>IF(AND(OR('טכנו'!$C$3="הכל",IFERROR(VLOOKUP(D265,'הגדרות'!$A$2:$D$18,2,FALSE),"")='טכנו'!$C$3,IFERROR(VLOOKUP(D265,'הגדרות'!$A$2:$D$18,3,FALSE),"")='טכנו'!$C$3),OR('טכנו'!$C$4="הכל",C265='טכנו'!$C$4),OR('טכנו'!$C$5="הכל",L265='טכנו'!$C$5),OR('טכנו'!$C$6="",IFERROR(VALUE(M265),0)&gt;='טכנו'!$C$6),OR('טכנו'!$C$7="",IFERROR(VALUE(M265),0)&lt;='טכנו'!$C$7),A265&lt;&gt;""),ROW()-4,"")</f>
        <v/>
      </c>
    </row>
    <row r="266">
      <c r="B266">
        <f>IF(A266="","",IFERROR(INDEX('מלאי'!$B$3:$B$357,MATCH(A266,'מלאי'!$D$3:$D$357,0)),""))</f>
        <v/>
      </c>
      <c r="C266">
        <f>IF(A266="","",IFERROR(INDEX('מלאי'!$A$3:$A$357,MATCH(A266,'מלאי'!$D$3:$D$357,0)),""))</f>
        <v/>
      </c>
      <c r="D266">
        <f>IF(A266="","",IFERROR(INDEX('מלאי'!$H$3:$H$357,MATCH(A266,'מלאי'!$D$3:$D$357,0)),""))</f>
        <v/>
      </c>
      <c r="H266">
        <f>IF(A266="","",IFERROR(INDEX('מלאי'!$I$3:$I$357,MATCH(A266,'מלאי'!$D$3:$D$357,0)),""))</f>
        <v/>
      </c>
      <c r="M266">
        <f>IF(AND(E266="",I266=""),"",IF(H266="",E266,IF(I266="",E266,IFERROR((VALUE(E266)+VALUE(I266))/2,E266))))</f>
        <v/>
      </c>
      <c r="N266">
        <f>IF(AND(F266="",J266=""),"",IF(H266="",F266,IF(J266="",F266,IFERROR((VALUE(F266)+VALUE(J266))/2,F266))))</f>
        <v/>
      </c>
      <c r="O266">
        <f>IF(AND(M266="",N266=""),"",IF(M266="",N266,IF(N266="",M266,IFERROR((VALUE(M266)+VALUE(N266))/2,""))))</f>
        <v/>
      </c>
      <c r="P266">
        <f>IF(AND(OR('טכנו'!$C$3="הכל",IFERROR(VLOOKUP(D266,'הגדרות'!$A$2:$D$18,2,FALSE),"")='טכנו'!$C$3,IFERROR(VLOOKUP(D266,'הגדרות'!$A$2:$D$18,3,FALSE),"")='טכנו'!$C$3),OR('טכנו'!$C$4="הכל",C266='טכנו'!$C$4),OR('טכנו'!$C$5="הכל",L266='טכנו'!$C$5),OR('טכנו'!$C$6="",IFERROR(VALUE(M266),0)&gt;='טכנו'!$C$6),OR('טכנו'!$C$7="",IFERROR(VALUE(M266),0)&lt;='טכנו'!$C$7),A266&lt;&gt;""),ROW()-4,"")</f>
        <v/>
      </c>
    </row>
    <row r="267">
      <c r="B267">
        <f>IF(A267="","",IFERROR(INDEX('מלאי'!$B$3:$B$357,MATCH(A267,'מלאי'!$D$3:$D$357,0)),""))</f>
        <v/>
      </c>
      <c r="C267">
        <f>IF(A267="","",IFERROR(INDEX('מלאי'!$A$3:$A$357,MATCH(A267,'מלאי'!$D$3:$D$357,0)),""))</f>
        <v/>
      </c>
      <c r="D267">
        <f>IF(A267="","",IFERROR(INDEX('מלאי'!$H$3:$H$357,MATCH(A267,'מלאי'!$D$3:$D$357,0)),""))</f>
        <v/>
      </c>
      <c r="H267">
        <f>IF(A267="","",IFERROR(INDEX('מלאי'!$I$3:$I$357,MATCH(A267,'מלאי'!$D$3:$D$357,0)),""))</f>
        <v/>
      </c>
      <c r="M267">
        <f>IF(AND(E267="",I267=""),"",IF(H267="",E267,IF(I267="",E267,IFERROR((VALUE(E267)+VALUE(I267))/2,E267))))</f>
        <v/>
      </c>
      <c r="N267">
        <f>IF(AND(F267="",J267=""),"",IF(H267="",F267,IF(J267="",F267,IFERROR((VALUE(F267)+VALUE(J267))/2,F267))))</f>
        <v/>
      </c>
      <c r="O267">
        <f>IF(AND(M267="",N267=""),"",IF(M267="",N267,IF(N267="",M267,IFERROR((VALUE(M267)+VALUE(N267))/2,""))))</f>
        <v/>
      </c>
      <c r="P267">
        <f>IF(AND(OR('טכנו'!$C$3="הכל",IFERROR(VLOOKUP(D267,'הגדרות'!$A$2:$D$18,2,FALSE),"")='טכנו'!$C$3,IFERROR(VLOOKUP(D267,'הגדרות'!$A$2:$D$18,3,FALSE),"")='טכנו'!$C$3),OR('טכנו'!$C$4="הכל",C267='טכנו'!$C$4),OR('טכנו'!$C$5="הכל",L267='טכנו'!$C$5),OR('טכנו'!$C$6="",IFERROR(VALUE(M267),0)&gt;='טכנו'!$C$6),OR('טכנו'!$C$7="",IFERROR(VALUE(M267),0)&lt;='טכנו'!$C$7),A267&lt;&gt;""),ROW()-4,"")</f>
        <v/>
      </c>
    </row>
    <row r="268">
      <c r="B268">
        <f>IF(A268="","",IFERROR(INDEX('מלאי'!$B$3:$B$357,MATCH(A268,'מלאי'!$D$3:$D$357,0)),""))</f>
        <v/>
      </c>
      <c r="C268">
        <f>IF(A268="","",IFERROR(INDEX('מלאי'!$A$3:$A$357,MATCH(A268,'מלאי'!$D$3:$D$357,0)),""))</f>
        <v/>
      </c>
      <c r="D268">
        <f>IF(A268="","",IFERROR(INDEX('מלאי'!$H$3:$H$357,MATCH(A268,'מלאי'!$D$3:$D$357,0)),""))</f>
        <v/>
      </c>
      <c r="H268">
        <f>IF(A268="","",IFERROR(INDEX('מלאי'!$I$3:$I$357,MATCH(A268,'מלאי'!$D$3:$D$357,0)),""))</f>
        <v/>
      </c>
      <c r="M268">
        <f>IF(AND(E268="",I268=""),"",IF(H268="",E268,IF(I268="",E268,IFERROR((VALUE(E268)+VALUE(I268))/2,E268))))</f>
        <v/>
      </c>
      <c r="N268">
        <f>IF(AND(F268="",J268=""),"",IF(H268="",F268,IF(J268="",F268,IFERROR((VALUE(F268)+VALUE(J268))/2,F268))))</f>
        <v/>
      </c>
      <c r="O268">
        <f>IF(AND(M268="",N268=""),"",IF(M268="",N268,IF(N268="",M268,IFERROR((VALUE(M268)+VALUE(N268))/2,""))))</f>
        <v/>
      </c>
      <c r="P268">
        <f>IF(AND(OR('טכנו'!$C$3="הכל",IFERROR(VLOOKUP(D268,'הגדרות'!$A$2:$D$18,2,FALSE),"")='טכנו'!$C$3,IFERROR(VLOOKUP(D268,'הגדרות'!$A$2:$D$18,3,FALSE),"")='טכנו'!$C$3),OR('טכנו'!$C$4="הכל",C268='טכנו'!$C$4),OR('טכנו'!$C$5="הכל",L268='טכנו'!$C$5),OR('טכנו'!$C$6="",IFERROR(VALUE(M268),0)&gt;='טכנו'!$C$6),OR('טכנו'!$C$7="",IFERROR(VALUE(M268),0)&lt;='טכנו'!$C$7),A268&lt;&gt;""),ROW()-4,"")</f>
        <v/>
      </c>
    </row>
    <row r="269">
      <c r="B269">
        <f>IF(A269="","",IFERROR(INDEX('מלאי'!$B$3:$B$357,MATCH(A269,'מלאי'!$D$3:$D$357,0)),""))</f>
        <v/>
      </c>
      <c r="C269">
        <f>IF(A269="","",IFERROR(INDEX('מלאי'!$A$3:$A$357,MATCH(A269,'מלאי'!$D$3:$D$357,0)),""))</f>
        <v/>
      </c>
      <c r="D269">
        <f>IF(A269="","",IFERROR(INDEX('מלאי'!$H$3:$H$357,MATCH(A269,'מלאי'!$D$3:$D$357,0)),""))</f>
        <v/>
      </c>
      <c r="H269">
        <f>IF(A269="","",IFERROR(INDEX('מלאי'!$I$3:$I$357,MATCH(A269,'מלאי'!$D$3:$D$357,0)),""))</f>
        <v/>
      </c>
      <c r="M269">
        <f>IF(AND(E269="",I269=""),"",IF(H269="",E269,IF(I269="",E269,IFERROR((VALUE(E269)+VALUE(I269))/2,E269))))</f>
        <v/>
      </c>
      <c r="N269">
        <f>IF(AND(F269="",J269=""),"",IF(H269="",F269,IF(J269="",F269,IFERROR((VALUE(F269)+VALUE(J269))/2,F269))))</f>
        <v/>
      </c>
      <c r="O269">
        <f>IF(AND(M269="",N269=""),"",IF(M269="",N269,IF(N269="",M269,IFERROR((VALUE(M269)+VALUE(N269))/2,""))))</f>
        <v/>
      </c>
      <c r="P269">
        <f>IF(AND(OR('טכנו'!$C$3="הכל",IFERROR(VLOOKUP(D269,'הגדרות'!$A$2:$D$18,2,FALSE),"")='טכנו'!$C$3,IFERROR(VLOOKUP(D269,'הגדרות'!$A$2:$D$18,3,FALSE),"")='טכנו'!$C$3),OR('טכנו'!$C$4="הכל",C269='טכנו'!$C$4),OR('טכנו'!$C$5="הכל",L269='טכנו'!$C$5),OR('טכנו'!$C$6="",IFERROR(VALUE(M269),0)&gt;='טכנו'!$C$6),OR('טכנו'!$C$7="",IFERROR(VALUE(M269),0)&lt;='טכנו'!$C$7),A269&lt;&gt;""),ROW()-4,"")</f>
        <v/>
      </c>
    </row>
    <row r="270">
      <c r="B270">
        <f>IF(A270="","",IFERROR(INDEX('מלאי'!$B$3:$B$357,MATCH(A270,'מלאי'!$D$3:$D$357,0)),""))</f>
        <v/>
      </c>
      <c r="C270">
        <f>IF(A270="","",IFERROR(INDEX('מלאי'!$A$3:$A$357,MATCH(A270,'מלאי'!$D$3:$D$357,0)),""))</f>
        <v/>
      </c>
      <c r="D270">
        <f>IF(A270="","",IFERROR(INDEX('מלאי'!$H$3:$H$357,MATCH(A270,'מלאי'!$D$3:$D$357,0)),""))</f>
        <v/>
      </c>
      <c r="H270">
        <f>IF(A270="","",IFERROR(INDEX('מלאי'!$I$3:$I$357,MATCH(A270,'מלאי'!$D$3:$D$357,0)),""))</f>
        <v/>
      </c>
      <c r="M270">
        <f>IF(AND(E270="",I270=""),"",IF(H270="",E270,IF(I270="",E270,IFERROR((VALUE(E270)+VALUE(I270))/2,E270))))</f>
        <v/>
      </c>
      <c r="N270">
        <f>IF(AND(F270="",J270=""),"",IF(H270="",F270,IF(J270="",F270,IFERROR((VALUE(F270)+VALUE(J270))/2,F270))))</f>
        <v/>
      </c>
      <c r="O270">
        <f>IF(AND(M270="",N270=""),"",IF(M270="",N270,IF(N270="",M270,IFERROR((VALUE(M270)+VALUE(N270))/2,""))))</f>
        <v/>
      </c>
      <c r="P270">
        <f>IF(AND(OR('טכנו'!$C$3="הכל",IFERROR(VLOOKUP(D270,'הגדרות'!$A$2:$D$18,2,FALSE),"")='טכנו'!$C$3,IFERROR(VLOOKUP(D270,'הגדרות'!$A$2:$D$18,3,FALSE),"")='טכנו'!$C$3),OR('טכנו'!$C$4="הכל",C270='טכנו'!$C$4),OR('טכנו'!$C$5="הכל",L270='טכנו'!$C$5),OR('טכנו'!$C$6="",IFERROR(VALUE(M270),0)&gt;='טכנו'!$C$6),OR('טכנו'!$C$7="",IFERROR(VALUE(M270),0)&lt;='טכנו'!$C$7),A270&lt;&gt;""),ROW()-4,"")</f>
        <v/>
      </c>
    </row>
    <row r="271">
      <c r="B271">
        <f>IF(A271="","",IFERROR(INDEX('מלאי'!$B$3:$B$357,MATCH(A271,'מלאי'!$D$3:$D$357,0)),""))</f>
        <v/>
      </c>
      <c r="C271">
        <f>IF(A271="","",IFERROR(INDEX('מלאי'!$A$3:$A$357,MATCH(A271,'מלאי'!$D$3:$D$357,0)),""))</f>
        <v/>
      </c>
      <c r="D271">
        <f>IF(A271="","",IFERROR(INDEX('מלאי'!$H$3:$H$357,MATCH(A271,'מלאי'!$D$3:$D$357,0)),""))</f>
        <v/>
      </c>
      <c r="H271">
        <f>IF(A271="","",IFERROR(INDEX('מלאי'!$I$3:$I$357,MATCH(A271,'מלאי'!$D$3:$D$357,0)),""))</f>
        <v/>
      </c>
      <c r="M271">
        <f>IF(AND(E271="",I271=""),"",IF(H271="",E271,IF(I271="",E271,IFERROR((VALUE(E271)+VALUE(I271))/2,E271))))</f>
        <v/>
      </c>
      <c r="N271">
        <f>IF(AND(F271="",J271=""),"",IF(H271="",F271,IF(J271="",F271,IFERROR((VALUE(F271)+VALUE(J271))/2,F271))))</f>
        <v/>
      </c>
      <c r="O271">
        <f>IF(AND(M271="",N271=""),"",IF(M271="",N271,IF(N271="",M271,IFERROR((VALUE(M271)+VALUE(N271))/2,""))))</f>
        <v/>
      </c>
      <c r="P271">
        <f>IF(AND(OR('טכנו'!$C$3="הכל",IFERROR(VLOOKUP(D271,'הגדרות'!$A$2:$D$18,2,FALSE),"")='טכנו'!$C$3,IFERROR(VLOOKUP(D271,'הגדרות'!$A$2:$D$18,3,FALSE),"")='טכנו'!$C$3),OR('טכנו'!$C$4="הכל",C271='טכנו'!$C$4),OR('טכנו'!$C$5="הכל",L271='טכנו'!$C$5),OR('טכנו'!$C$6="",IFERROR(VALUE(M271),0)&gt;='טכנו'!$C$6),OR('טכנו'!$C$7="",IFERROR(VALUE(M271),0)&lt;='טכנו'!$C$7),A271&lt;&gt;""),ROW()-4,"")</f>
        <v/>
      </c>
    </row>
    <row r="272">
      <c r="B272">
        <f>IF(A272="","",IFERROR(INDEX('מלאי'!$B$3:$B$357,MATCH(A272,'מלאי'!$D$3:$D$357,0)),""))</f>
        <v/>
      </c>
      <c r="C272">
        <f>IF(A272="","",IFERROR(INDEX('מלאי'!$A$3:$A$357,MATCH(A272,'מלאי'!$D$3:$D$357,0)),""))</f>
        <v/>
      </c>
      <c r="D272">
        <f>IF(A272="","",IFERROR(INDEX('מלאי'!$H$3:$H$357,MATCH(A272,'מלאי'!$D$3:$D$357,0)),""))</f>
        <v/>
      </c>
      <c r="H272">
        <f>IF(A272="","",IFERROR(INDEX('מלאי'!$I$3:$I$357,MATCH(A272,'מלאי'!$D$3:$D$357,0)),""))</f>
        <v/>
      </c>
      <c r="M272">
        <f>IF(AND(E272="",I272=""),"",IF(H272="",E272,IF(I272="",E272,IFERROR((VALUE(E272)+VALUE(I272))/2,E272))))</f>
        <v/>
      </c>
      <c r="N272">
        <f>IF(AND(F272="",J272=""),"",IF(H272="",F272,IF(J272="",F272,IFERROR((VALUE(F272)+VALUE(J272))/2,F272))))</f>
        <v/>
      </c>
      <c r="O272">
        <f>IF(AND(M272="",N272=""),"",IF(M272="",N272,IF(N272="",M272,IFERROR((VALUE(M272)+VALUE(N272))/2,""))))</f>
        <v/>
      </c>
      <c r="P272">
        <f>IF(AND(OR('טכנו'!$C$3="הכל",IFERROR(VLOOKUP(D272,'הגדרות'!$A$2:$D$18,2,FALSE),"")='טכנו'!$C$3,IFERROR(VLOOKUP(D272,'הגדרות'!$A$2:$D$18,3,FALSE),"")='טכנו'!$C$3),OR('טכנו'!$C$4="הכל",C272='טכנו'!$C$4),OR('טכנו'!$C$5="הכל",L272='טכנו'!$C$5),OR('טכנו'!$C$6="",IFERROR(VALUE(M272),0)&gt;='טכנו'!$C$6),OR('טכנו'!$C$7="",IFERROR(VALUE(M272),0)&lt;='טכנו'!$C$7),A272&lt;&gt;""),ROW()-4,"")</f>
        <v/>
      </c>
    </row>
    <row r="273">
      <c r="B273">
        <f>IF(A273="","",IFERROR(INDEX('מלאי'!$B$3:$B$357,MATCH(A273,'מלאי'!$D$3:$D$357,0)),""))</f>
        <v/>
      </c>
      <c r="C273">
        <f>IF(A273="","",IFERROR(INDEX('מלאי'!$A$3:$A$357,MATCH(A273,'מלאי'!$D$3:$D$357,0)),""))</f>
        <v/>
      </c>
      <c r="D273">
        <f>IF(A273="","",IFERROR(INDEX('מלאי'!$H$3:$H$357,MATCH(A273,'מלאי'!$D$3:$D$357,0)),""))</f>
        <v/>
      </c>
      <c r="H273">
        <f>IF(A273="","",IFERROR(INDEX('מלאי'!$I$3:$I$357,MATCH(A273,'מלאי'!$D$3:$D$357,0)),""))</f>
        <v/>
      </c>
      <c r="M273">
        <f>IF(AND(E273="",I273=""),"",IF(H273="",E273,IF(I273="",E273,IFERROR((VALUE(E273)+VALUE(I273))/2,E273))))</f>
        <v/>
      </c>
      <c r="N273">
        <f>IF(AND(F273="",J273=""),"",IF(H273="",F273,IF(J273="",F273,IFERROR((VALUE(F273)+VALUE(J273))/2,F273))))</f>
        <v/>
      </c>
      <c r="O273">
        <f>IF(AND(M273="",N273=""),"",IF(M273="",N273,IF(N273="",M273,IFERROR((VALUE(M273)+VALUE(N273))/2,""))))</f>
        <v/>
      </c>
      <c r="P273">
        <f>IF(AND(OR('טכנו'!$C$3="הכל",IFERROR(VLOOKUP(D273,'הגדרות'!$A$2:$D$18,2,FALSE),"")='טכנו'!$C$3,IFERROR(VLOOKUP(D273,'הגדרות'!$A$2:$D$18,3,FALSE),"")='טכנו'!$C$3),OR('טכנו'!$C$4="הכל",C273='טכנו'!$C$4),OR('טכנו'!$C$5="הכל",L273='טכנו'!$C$5),OR('טכנו'!$C$6="",IFERROR(VALUE(M273),0)&gt;='טכנו'!$C$6),OR('טכנו'!$C$7="",IFERROR(VALUE(M273),0)&lt;='טכנו'!$C$7),A273&lt;&gt;""),ROW()-4,"")</f>
        <v/>
      </c>
    </row>
    <row r="274">
      <c r="B274">
        <f>IF(A274="","",IFERROR(INDEX('מלאי'!$B$3:$B$357,MATCH(A274,'מלאי'!$D$3:$D$357,0)),""))</f>
        <v/>
      </c>
      <c r="C274">
        <f>IF(A274="","",IFERROR(INDEX('מלאי'!$A$3:$A$357,MATCH(A274,'מלאי'!$D$3:$D$357,0)),""))</f>
        <v/>
      </c>
      <c r="D274">
        <f>IF(A274="","",IFERROR(INDEX('מלאי'!$H$3:$H$357,MATCH(A274,'מלאי'!$D$3:$D$357,0)),""))</f>
        <v/>
      </c>
      <c r="H274">
        <f>IF(A274="","",IFERROR(INDEX('מלאי'!$I$3:$I$357,MATCH(A274,'מלאי'!$D$3:$D$357,0)),""))</f>
        <v/>
      </c>
      <c r="M274">
        <f>IF(AND(E274="",I274=""),"",IF(H274="",E274,IF(I274="",E274,IFERROR((VALUE(E274)+VALUE(I274))/2,E274))))</f>
        <v/>
      </c>
      <c r="N274">
        <f>IF(AND(F274="",J274=""),"",IF(H274="",F274,IF(J274="",F274,IFERROR((VALUE(F274)+VALUE(J274))/2,F274))))</f>
        <v/>
      </c>
      <c r="O274">
        <f>IF(AND(M274="",N274=""),"",IF(M274="",N274,IF(N274="",M274,IFERROR((VALUE(M274)+VALUE(N274))/2,""))))</f>
        <v/>
      </c>
      <c r="P274">
        <f>IF(AND(OR('טכנו'!$C$3="הכל",IFERROR(VLOOKUP(D274,'הגדרות'!$A$2:$D$18,2,FALSE),"")='טכנו'!$C$3,IFERROR(VLOOKUP(D274,'הגדרות'!$A$2:$D$18,3,FALSE),"")='טכנו'!$C$3),OR('טכנו'!$C$4="הכל",C274='טכנו'!$C$4),OR('טכנו'!$C$5="הכל",L274='טכנו'!$C$5),OR('טכנו'!$C$6="",IFERROR(VALUE(M274),0)&gt;='טכנו'!$C$6),OR('טכנו'!$C$7="",IFERROR(VALUE(M274),0)&lt;='טכנו'!$C$7),A274&lt;&gt;""),ROW()-4,"")</f>
        <v/>
      </c>
    </row>
    <row r="275">
      <c r="B275">
        <f>IF(A275="","",IFERROR(INDEX('מלאי'!$B$3:$B$357,MATCH(A275,'מלאי'!$D$3:$D$357,0)),""))</f>
        <v/>
      </c>
      <c r="C275">
        <f>IF(A275="","",IFERROR(INDEX('מלאי'!$A$3:$A$357,MATCH(A275,'מלאי'!$D$3:$D$357,0)),""))</f>
        <v/>
      </c>
      <c r="D275">
        <f>IF(A275="","",IFERROR(INDEX('מלאי'!$H$3:$H$357,MATCH(A275,'מלאי'!$D$3:$D$357,0)),""))</f>
        <v/>
      </c>
      <c r="H275">
        <f>IF(A275="","",IFERROR(INDEX('מלאי'!$I$3:$I$357,MATCH(A275,'מלאי'!$D$3:$D$357,0)),""))</f>
        <v/>
      </c>
      <c r="M275">
        <f>IF(AND(E275="",I275=""),"",IF(H275="",E275,IF(I275="",E275,IFERROR((VALUE(E275)+VALUE(I275))/2,E275))))</f>
        <v/>
      </c>
      <c r="N275">
        <f>IF(AND(F275="",J275=""),"",IF(H275="",F275,IF(J275="",F275,IFERROR((VALUE(F275)+VALUE(J275))/2,F275))))</f>
        <v/>
      </c>
      <c r="O275">
        <f>IF(AND(M275="",N275=""),"",IF(M275="",N275,IF(N275="",M275,IFERROR((VALUE(M275)+VALUE(N275))/2,""))))</f>
        <v/>
      </c>
      <c r="P275">
        <f>IF(AND(OR('טכנו'!$C$3="הכל",IFERROR(VLOOKUP(D275,'הגדרות'!$A$2:$D$18,2,FALSE),"")='טכנו'!$C$3,IFERROR(VLOOKUP(D275,'הגדרות'!$A$2:$D$18,3,FALSE),"")='טכנו'!$C$3),OR('טכנו'!$C$4="הכל",C275='טכנו'!$C$4),OR('טכנו'!$C$5="הכל",L275='טכנו'!$C$5),OR('טכנו'!$C$6="",IFERROR(VALUE(M275),0)&gt;='טכנו'!$C$6),OR('טכנו'!$C$7="",IFERROR(VALUE(M275),0)&lt;='טכנו'!$C$7),A275&lt;&gt;""),ROW()-4,"")</f>
        <v/>
      </c>
    </row>
    <row r="276">
      <c r="B276">
        <f>IF(A276="","",IFERROR(INDEX('מלאי'!$B$3:$B$357,MATCH(A276,'מלאי'!$D$3:$D$357,0)),""))</f>
        <v/>
      </c>
      <c r="C276">
        <f>IF(A276="","",IFERROR(INDEX('מלאי'!$A$3:$A$357,MATCH(A276,'מלאי'!$D$3:$D$357,0)),""))</f>
        <v/>
      </c>
      <c r="D276">
        <f>IF(A276="","",IFERROR(INDEX('מלאי'!$H$3:$H$357,MATCH(A276,'מלאי'!$D$3:$D$357,0)),""))</f>
        <v/>
      </c>
      <c r="H276">
        <f>IF(A276="","",IFERROR(INDEX('מלאי'!$I$3:$I$357,MATCH(A276,'מלאי'!$D$3:$D$357,0)),""))</f>
        <v/>
      </c>
      <c r="M276">
        <f>IF(AND(E276="",I276=""),"",IF(H276="",E276,IF(I276="",E276,IFERROR((VALUE(E276)+VALUE(I276))/2,E276))))</f>
        <v/>
      </c>
      <c r="N276">
        <f>IF(AND(F276="",J276=""),"",IF(H276="",F276,IF(J276="",F276,IFERROR((VALUE(F276)+VALUE(J276))/2,F276))))</f>
        <v/>
      </c>
      <c r="O276">
        <f>IF(AND(M276="",N276=""),"",IF(M276="",N276,IF(N276="",M276,IFERROR((VALUE(M276)+VALUE(N276))/2,""))))</f>
        <v/>
      </c>
      <c r="P276">
        <f>IF(AND(OR('טכנו'!$C$3="הכל",IFERROR(VLOOKUP(D276,'הגדרות'!$A$2:$D$18,2,FALSE),"")='טכנו'!$C$3,IFERROR(VLOOKUP(D276,'הגדרות'!$A$2:$D$18,3,FALSE),"")='טכנו'!$C$3),OR('טכנו'!$C$4="הכל",C276='טכנו'!$C$4),OR('טכנו'!$C$5="הכל",L276='טכנו'!$C$5),OR('טכנו'!$C$6="",IFERROR(VALUE(M276),0)&gt;='טכנו'!$C$6),OR('טכנו'!$C$7="",IFERROR(VALUE(M276),0)&lt;='טכנו'!$C$7),A276&lt;&gt;""),ROW()-4,"")</f>
        <v/>
      </c>
    </row>
    <row r="277">
      <c r="B277">
        <f>IF(A277="","",IFERROR(INDEX('מלאי'!$B$3:$B$357,MATCH(A277,'מלאי'!$D$3:$D$357,0)),""))</f>
        <v/>
      </c>
      <c r="C277">
        <f>IF(A277="","",IFERROR(INDEX('מלאי'!$A$3:$A$357,MATCH(A277,'מלאי'!$D$3:$D$357,0)),""))</f>
        <v/>
      </c>
      <c r="D277">
        <f>IF(A277="","",IFERROR(INDEX('מלאי'!$H$3:$H$357,MATCH(A277,'מלאי'!$D$3:$D$357,0)),""))</f>
        <v/>
      </c>
      <c r="H277">
        <f>IF(A277="","",IFERROR(INDEX('מלאי'!$I$3:$I$357,MATCH(A277,'מלאי'!$D$3:$D$357,0)),""))</f>
        <v/>
      </c>
      <c r="M277">
        <f>IF(AND(E277="",I277=""),"",IF(H277="",E277,IF(I277="",E277,IFERROR((VALUE(E277)+VALUE(I277))/2,E277))))</f>
        <v/>
      </c>
      <c r="N277">
        <f>IF(AND(F277="",J277=""),"",IF(H277="",F277,IF(J277="",F277,IFERROR((VALUE(F277)+VALUE(J277))/2,F277))))</f>
        <v/>
      </c>
      <c r="O277">
        <f>IF(AND(M277="",N277=""),"",IF(M277="",N277,IF(N277="",M277,IFERROR((VALUE(M277)+VALUE(N277))/2,""))))</f>
        <v/>
      </c>
      <c r="P277">
        <f>IF(AND(OR('טכנו'!$C$3="הכל",IFERROR(VLOOKUP(D277,'הגדרות'!$A$2:$D$18,2,FALSE),"")='טכנו'!$C$3,IFERROR(VLOOKUP(D277,'הגדרות'!$A$2:$D$18,3,FALSE),"")='טכנו'!$C$3),OR('טכנו'!$C$4="הכל",C277='טכנו'!$C$4),OR('טכנו'!$C$5="הכל",L277='טכנו'!$C$5),OR('טכנו'!$C$6="",IFERROR(VALUE(M277),0)&gt;='טכנו'!$C$6),OR('טכנו'!$C$7="",IFERROR(VALUE(M277),0)&lt;='טכנו'!$C$7),A277&lt;&gt;""),ROW()-4,"")</f>
        <v/>
      </c>
    </row>
    <row r="278">
      <c r="B278">
        <f>IF(A278="","",IFERROR(INDEX('מלאי'!$B$3:$B$357,MATCH(A278,'מלאי'!$D$3:$D$357,0)),""))</f>
        <v/>
      </c>
      <c r="C278">
        <f>IF(A278="","",IFERROR(INDEX('מלאי'!$A$3:$A$357,MATCH(A278,'מלאי'!$D$3:$D$357,0)),""))</f>
        <v/>
      </c>
      <c r="D278">
        <f>IF(A278="","",IFERROR(INDEX('מלאי'!$H$3:$H$357,MATCH(A278,'מלאי'!$D$3:$D$357,0)),""))</f>
        <v/>
      </c>
      <c r="H278">
        <f>IF(A278="","",IFERROR(INDEX('מלאי'!$I$3:$I$357,MATCH(A278,'מלאי'!$D$3:$D$357,0)),""))</f>
        <v/>
      </c>
      <c r="M278">
        <f>IF(AND(E278="",I278=""),"",IF(H278="",E278,IF(I278="",E278,IFERROR((VALUE(E278)+VALUE(I278))/2,E278))))</f>
        <v/>
      </c>
      <c r="N278">
        <f>IF(AND(F278="",J278=""),"",IF(H278="",F278,IF(J278="",F278,IFERROR((VALUE(F278)+VALUE(J278))/2,F278))))</f>
        <v/>
      </c>
      <c r="O278">
        <f>IF(AND(M278="",N278=""),"",IF(M278="",N278,IF(N278="",M278,IFERROR((VALUE(M278)+VALUE(N278))/2,""))))</f>
        <v/>
      </c>
      <c r="P278">
        <f>IF(AND(OR('טכנו'!$C$3="הכל",IFERROR(VLOOKUP(D278,'הגדרות'!$A$2:$D$18,2,FALSE),"")='טכנו'!$C$3,IFERROR(VLOOKUP(D278,'הגדרות'!$A$2:$D$18,3,FALSE),"")='טכנו'!$C$3),OR('טכנו'!$C$4="הכל",C278='טכנו'!$C$4),OR('טכנו'!$C$5="הכל",L278='טכנו'!$C$5),OR('טכנו'!$C$6="",IFERROR(VALUE(M278),0)&gt;='טכנו'!$C$6),OR('טכנו'!$C$7="",IFERROR(VALUE(M278),0)&lt;='טכנו'!$C$7),A278&lt;&gt;""),ROW()-4,"")</f>
        <v/>
      </c>
    </row>
    <row r="279">
      <c r="B279">
        <f>IF(A279="","",IFERROR(INDEX('מלאי'!$B$3:$B$357,MATCH(A279,'מלאי'!$D$3:$D$357,0)),""))</f>
        <v/>
      </c>
      <c r="C279">
        <f>IF(A279="","",IFERROR(INDEX('מלאי'!$A$3:$A$357,MATCH(A279,'מלאי'!$D$3:$D$357,0)),""))</f>
        <v/>
      </c>
      <c r="D279">
        <f>IF(A279="","",IFERROR(INDEX('מלאי'!$H$3:$H$357,MATCH(A279,'מלאי'!$D$3:$D$357,0)),""))</f>
        <v/>
      </c>
      <c r="H279">
        <f>IF(A279="","",IFERROR(INDEX('מלאי'!$I$3:$I$357,MATCH(A279,'מלאי'!$D$3:$D$357,0)),""))</f>
        <v/>
      </c>
      <c r="M279">
        <f>IF(AND(E279="",I279=""),"",IF(H279="",E279,IF(I279="",E279,IFERROR((VALUE(E279)+VALUE(I279))/2,E279))))</f>
        <v/>
      </c>
      <c r="N279">
        <f>IF(AND(F279="",J279=""),"",IF(H279="",F279,IF(J279="",F279,IFERROR((VALUE(F279)+VALUE(J279))/2,F279))))</f>
        <v/>
      </c>
      <c r="O279">
        <f>IF(AND(M279="",N279=""),"",IF(M279="",N279,IF(N279="",M279,IFERROR((VALUE(M279)+VALUE(N279))/2,""))))</f>
        <v/>
      </c>
      <c r="P279">
        <f>IF(AND(OR('טכנו'!$C$3="הכל",IFERROR(VLOOKUP(D279,'הגדרות'!$A$2:$D$18,2,FALSE),"")='טכנו'!$C$3,IFERROR(VLOOKUP(D279,'הגדרות'!$A$2:$D$18,3,FALSE),"")='טכנו'!$C$3),OR('טכנו'!$C$4="הכל",C279='טכנו'!$C$4),OR('טכנו'!$C$5="הכל",L279='טכנו'!$C$5),OR('טכנו'!$C$6="",IFERROR(VALUE(M279),0)&gt;='טכנו'!$C$6),OR('טכנו'!$C$7="",IFERROR(VALUE(M279),0)&lt;='טכנו'!$C$7),A279&lt;&gt;""),ROW()-4,"")</f>
        <v/>
      </c>
    </row>
    <row r="280">
      <c r="B280">
        <f>IF(A280="","",IFERROR(INDEX('מלאי'!$B$3:$B$357,MATCH(A280,'מלאי'!$D$3:$D$357,0)),""))</f>
        <v/>
      </c>
      <c r="C280">
        <f>IF(A280="","",IFERROR(INDEX('מלאי'!$A$3:$A$357,MATCH(A280,'מלאי'!$D$3:$D$357,0)),""))</f>
        <v/>
      </c>
      <c r="D280">
        <f>IF(A280="","",IFERROR(INDEX('מלאי'!$H$3:$H$357,MATCH(A280,'מלאי'!$D$3:$D$357,0)),""))</f>
        <v/>
      </c>
      <c r="H280">
        <f>IF(A280="","",IFERROR(INDEX('מלאי'!$I$3:$I$357,MATCH(A280,'מלאי'!$D$3:$D$357,0)),""))</f>
        <v/>
      </c>
      <c r="M280">
        <f>IF(AND(E280="",I280=""),"",IF(H280="",E280,IF(I280="",E280,IFERROR((VALUE(E280)+VALUE(I280))/2,E280))))</f>
        <v/>
      </c>
      <c r="N280">
        <f>IF(AND(F280="",J280=""),"",IF(H280="",F280,IF(J280="",F280,IFERROR((VALUE(F280)+VALUE(J280))/2,F280))))</f>
        <v/>
      </c>
      <c r="O280">
        <f>IF(AND(M280="",N280=""),"",IF(M280="",N280,IF(N280="",M280,IFERROR((VALUE(M280)+VALUE(N280))/2,""))))</f>
        <v/>
      </c>
      <c r="P280">
        <f>IF(AND(OR('טכנו'!$C$3="הכל",IFERROR(VLOOKUP(D280,'הגדרות'!$A$2:$D$18,2,FALSE),"")='טכנו'!$C$3,IFERROR(VLOOKUP(D280,'הגדרות'!$A$2:$D$18,3,FALSE),"")='טכנו'!$C$3),OR('טכנו'!$C$4="הכל",C280='טכנו'!$C$4),OR('טכנו'!$C$5="הכל",L280='טכנו'!$C$5),OR('טכנו'!$C$6="",IFERROR(VALUE(M280),0)&gt;='טכנו'!$C$6),OR('טכנו'!$C$7="",IFERROR(VALUE(M280),0)&lt;='טכנו'!$C$7),A280&lt;&gt;""),ROW()-4,"")</f>
        <v/>
      </c>
    </row>
    <row r="281">
      <c r="B281">
        <f>IF(A281="","",IFERROR(INDEX('מלאי'!$B$3:$B$357,MATCH(A281,'מלאי'!$D$3:$D$357,0)),""))</f>
        <v/>
      </c>
      <c r="C281">
        <f>IF(A281="","",IFERROR(INDEX('מלאי'!$A$3:$A$357,MATCH(A281,'מלאי'!$D$3:$D$357,0)),""))</f>
        <v/>
      </c>
      <c r="D281">
        <f>IF(A281="","",IFERROR(INDEX('מלאי'!$H$3:$H$357,MATCH(A281,'מלאי'!$D$3:$D$357,0)),""))</f>
        <v/>
      </c>
      <c r="H281">
        <f>IF(A281="","",IFERROR(INDEX('מלאי'!$I$3:$I$357,MATCH(A281,'מלאי'!$D$3:$D$357,0)),""))</f>
        <v/>
      </c>
      <c r="M281">
        <f>IF(AND(E281="",I281=""),"",IF(H281="",E281,IF(I281="",E281,IFERROR((VALUE(E281)+VALUE(I281))/2,E281))))</f>
        <v/>
      </c>
      <c r="N281">
        <f>IF(AND(F281="",J281=""),"",IF(H281="",F281,IF(J281="",F281,IFERROR((VALUE(F281)+VALUE(J281))/2,F281))))</f>
        <v/>
      </c>
      <c r="O281">
        <f>IF(AND(M281="",N281=""),"",IF(M281="",N281,IF(N281="",M281,IFERROR((VALUE(M281)+VALUE(N281))/2,""))))</f>
        <v/>
      </c>
      <c r="P281">
        <f>IF(AND(OR('טכנו'!$C$3="הכל",IFERROR(VLOOKUP(D281,'הגדרות'!$A$2:$D$18,2,FALSE),"")='טכנו'!$C$3,IFERROR(VLOOKUP(D281,'הגדרות'!$A$2:$D$18,3,FALSE),"")='טכנו'!$C$3),OR('טכנו'!$C$4="הכל",C281='טכנו'!$C$4),OR('טכנו'!$C$5="הכל",L281='טכנו'!$C$5),OR('טכנו'!$C$6="",IFERROR(VALUE(M281),0)&gt;='טכנו'!$C$6),OR('טכנו'!$C$7="",IFERROR(VALUE(M281),0)&lt;='טכנו'!$C$7),A281&lt;&gt;""),ROW()-4,"")</f>
        <v/>
      </c>
    </row>
    <row r="282">
      <c r="B282">
        <f>IF(A282="","",IFERROR(INDEX('מלאי'!$B$3:$B$357,MATCH(A282,'מלאי'!$D$3:$D$357,0)),""))</f>
        <v/>
      </c>
      <c r="C282">
        <f>IF(A282="","",IFERROR(INDEX('מלאי'!$A$3:$A$357,MATCH(A282,'מלאי'!$D$3:$D$357,0)),""))</f>
        <v/>
      </c>
      <c r="D282">
        <f>IF(A282="","",IFERROR(INDEX('מלאי'!$H$3:$H$357,MATCH(A282,'מלאי'!$D$3:$D$357,0)),""))</f>
        <v/>
      </c>
      <c r="H282">
        <f>IF(A282="","",IFERROR(INDEX('מלאי'!$I$3:$I$357,MATCH(A282,'מלאי'!$D$3:$D$357,0)),""))</f>
        <v/>
      </c>
      <c r="M282">
        <f>IF(AND(E282="",I282=""),"",IF(H282="",E282,IF(I282="",E282,IFERROR((VALUE(E282)+VALUE(I282))/2,E282))))</f>
        <v/>
      </c>
      <c r="N282">
        <f>IF(AND(F282="",J282=""),"",IF(H282="",F282,IF(J282="",F282,IFERROR((VALUE(F282)+VALUE(J282))/2,F282))))</f>
        <v/>
      </c>
      <c r="O282">
        <f>IF(AND(M282="",N282=""),"",IF(M282="",N282,IF(N282="",M282,IFERROR((VALUE(M282)+VALUE(N282))/2,""))))</f>
        <v/>
      </c>
      <c r="P282">
        <f>IF(AND(OR('טכנו'!$C$3="הכל",IFERROR(VLOOKUP(D282,'הגדרות'!$A$2:$D$18,2,FALSE),"")='טכנו'!$C$3,IFERROR(VLOOKUP(D282,'הגדרות'!$A$2:$D$18,3,FALSE),"")='טכנו'!$C$3),OR('טכנו'!$C$4="הכל",C282='טכנו'!$C$4),OR('טכנו'!$C$5="הכל",L282='טכנו'!$C$5),OR('טכנו'!$C$6="",IFERROR(VALUE(M282),0)&gt;='טכנו'!$C$6),OR('טכנו'!$C$7="",IFERROR(VALUE(M282),0)&lt;='טכנו'!$C$7),A282&lt;&gt;""),ROW()-4,"")</f>
        <v/>
      </c>
    </row>
    <row r="283">
      <c r="B283">
        <f>IF(A283="","",IFERROR(INDEX('מלאי'!$B$3:$B$357,MATCH(A283,'מלאי'!$D$3:$D$357,0)),""))</f>
        <v/>
      </c>
      <c r="C283">
        <f>IF(A283="","",IFERROR(INDEX('מלאי'!$A$3:$A$357,MATCH(A283,'מלאי'!$D$3:$D$357,0)),""))</f>
        <v/>
      </c>
      <c r="D283">
        <f>IF(A283="","",IFERROR(INDEX('מלאי'!$H$3:$H$357,MATCH(A283,'מלאי'!$D$3:$D$357,0)),""))</f>
        <v/>
      </c>
      <c r="H283">
        <f>IF(A283="","",IFERROR(INDEX('מלאי'!$I$3:$I$357,MATCH(A283,'מלאי'!$D$3:$D$357,0)),""))</f>
        <v/>
      </c>
      <c r="M283">
        <f>IF(AND(E283="",I283=""),"",IF(H283="",E283,IF(I283="",E283,IFERROR((VALUE(E283)+VALUE(I283))/2,E283))))</f>
        <v/>
      </c>
      <c r="N283">
        <f>IF(AND(F283="",J283=""),"",IF(H283="",F283,IF(J283="",F283,IFERROR((VALUE(F283)+VALUE(J283))/2,F283))))</f>
        <v/>
      </c>
      <c r="O283">
        <f>IF(AND(M283="",N283=""),"",IF(M283="",N283,IF(N283="",M283,IFERROR((VALUE(M283)+VALUE(N283))/2,""))))</f>
        <v/>
      </c>
      <c r="P283">
        <f>IF(AND(OR('טכנו'!$C$3="הכל",IFERROR(VLOOKUP(D283,'הגדרות'!$A$2:$D$18,2,FALSE),"")='טכנו'!$C$3,IFERROR(VLOOKUP(D283,'הגדרות'!$A$2:$D$18,3,FALSE),"")='טכנו'!$C$3),OR('טכנו'!$C$4="הכל",C283='טכנו'!$C$4),OR('טכנו'!$C$5="הכל",L283='טכנו'!$C$5),OR('טכנו'!$C$6="",IFERROR(VALUE(M283),0)&gt;='טכנו'!$C$6),OR('טכנו'!$C$7="",IFERROR(VALUE(M283),0)&lt;='טכנו'!$C$7),A283&lt;&gt;""),ROW()-4,"")</f>
        <v/>
      </c>
    </row>
    <row r="284">
      <c r="B284">
        <f>IF(A284="","",IFERROR(INDEX('מלאי'!$B$3:$B$357,MATCH(A284,'מלאי'!$D$3:$D$357,0)),""))</f>
        <v/>
      </c>
      <c r="C284">
        <f>IF(A284="","",IFERROR(INDEX('מלאי'!$A$3:$A$357,MATCH(A284,'מלאי'!$D$3:$D$357,0)),""))</f>
        <v/>
      </c>
      <c r="D284">
        <f>IF(A284="","",IFERROR(INDEX('מלאי'!$H$3:$H$357,MATCH(A284,'מלאי'!$D$3:$D$357,0)),""))</f>
        <v/>
      </c>
      <c r="H284">
        <f>IF(A284="","",IFERROR(INDEX('מלאי'!$I$3:$I$357,MATCH(A284,'מלאי'!$D$3:$D$357,0)),""))</f>
        <v/>
      </c>
      <c r="M284">
        <f>IF(AND(E284="",I284=""),"",IF(H284="",E284,IF(I284="",E284,IFERROR((VALUE(E284)+VALUE(I284))/2,E284))))</f>
        <v/>
      </c>
      <c r="N284">
        <f>IF(AND(F284="",J284=""),"",IF(H284="",F284,IF(J284="",F284,IFERROR((VALUE(F284)+VALUE(J284))/2,F284))))</f>
        <v/>
      </c>
      <c r="O284">
        <f>IF(AND(M284="",N284=""),"",IF(M284="",N284,IF(N284="",M284,IFERROR((VALUE(M284)+VALUE(N284))/2,""))))</f>
        <v/>
      </c>
      <c r="P284">
        <f>IF(AND(OR('טכנו'!$C$3="הכל",IFERROR(VLOOKUP(D284,'הגדרות'!$A$2:$D$18,2,FALSE),"")='טכנו'!$C$3,IFERROR(VLOOKUP(D284,'הגדרות'!$A$2:$D$18,3,FALSE),"")='טכנו'!$C$3),OR('טכנו'!$C$4="הכל",C284='טכנו'!$C$4),OR('טכנו'!$C$5="הכל",L284='טכנו'!$C$5),OR('טכנו'!$C$6="",IFERROR(VALUE(M284),0)&gt;='טכנו'!$C$6),OR('טכנו'!$C$7="",IFERROR(VALUE(M284),0)&lt;='טכנו'!$C$7),A284&lt;&gt;""),ROW()-4,"")</f>
        <v/>
      </c>
    </row>
    <row r="285">
      <c r="B285">
        <f>IF(A285="","",IFERROR(INDEX('מלאי'!$B$3:$B$357,MATCH(A285,'מלאי'!$D$3:$D$357,0)),""))</f>
        <v/>
      </c>
      <c r="C285">
        <f>IF(A285="","",IFERROR(INDEX('מלאי'!$A$3:$A$357,MATCH(A285,'מלאי'!$D$3:$D$357,0)),""))</f>
        <v/>
      </c>
      <c r="D285">
        <f>IF(A285="","",IFERROR(INDEX('מלאי'!$H$3:$H$357,MATCH(A285,'מלאי'!$D$3:$D$357,0)),""))</f>
        <v/>
      </c>
      <c r="H285">
        <f>IF(A285="","",IFERROR(INDEX('מלאי'!$I$3:$I$357,MATCH(A285,'מלאי'!$D$3:$D$357,0)),""))</f>
        <v/>
      </c>
      <c r="M285">
        <f>IF(AND(E285="",I285=""),"",IF(H285="",E285,IF(I285="",E285,IFERROR((VALUE(E285)+VALUE(I285))/2,E285))))</f>
        <v/>
      </c>
      <c r="N285">
        <f>IF(AND(F285="",J285=""),"",IF(H285="",F285,IF(J285="",F285,IFERROR((VALUE(F285)+VALUE(J285))/2,F285))))</f>
        <v/>
      </c>
      <c r="O285">
        <f>IF(AND(M285="",N285=""),"",IF(M285="",N285,IF(N285="",M285,IFERROR((VALUE(M285)+VALUE(N285))/2,""))))</f>
        <v/>
      </c>
      <c r="P285">
        <f>IF(AND(OR('טכנו'!$C$3="הכל",IFERROR(VLOOKUP(D285,'הגדרות'!$A$2:$D$18,2,FALSE),"")='טכנו'!$C$3,IFERROR(VLOOKUP(D285,'הגדרות'!$A$2:$D$18,3,FALSE),"")='טכנו'!$C$3),OR('טכנו'!$C$4="הכל",C285='טכנו'!$C$4),OR('טכנו'!$C$5="הכל",L285='טכנו'!$C$5),OR('טכנו'!$C$6="",IFERROR(VALUE(M285),0)&gt;='טכנו'!$C$6),OR('טכנו'!$C$7="",IFERROR(VALUE(M285),0)&lt;='טכנו'!$C$7),A285&lt;&gt;""),ROW()-4,"")</f>
        <v/>
      </c>
    </row>
    <row r="286">
      <c r="B286">
        <f>IF(A286="","",IFERROR(INDEX('מלאי'!$B$3:$B$357,MATCH(A286,'מלאי'!$D$3:$D$357,0)),""))</f>
        <v/>
      </c>
      <c r="C286">
        <f>IF(A286="","",IFERROR(INDEX('מלאי'!$A$3:$A$357,MATCH(A286,'מלאי'!$D$3:$D$357,0)),""))</f>
        <v/>
      </c>
      <c r="D286">
        <f>IF(A286="","",IFERROR(INDEX('מלאי'!$H$3:$H$357,MATCH(A286,'מלאי'!$D$3:$D$357,0)),""))</f>
        <v/>
      </c>
      <c r="H286">
        <f>IF(A286="","",IFERROR(INDEX('מלאי'!$I$3:$I$357,MATCH(A286,'מלאי'!$D$3:$D$357,0)),""))</f>
        <v/>
      </c>
      <c r="M286">
        <f>IF(AND(E286="",I286=""),"",IF(H286="",E286,IF(I286="",E286,IFERROR((VALUE(E286)+VALUE(I286))/2,E286))))</f>
        <v/>
      </c>
      <c r="N286">
        <f>IF(AND(F286="",J286=""),"",IF(H286="",F286,IF(J286="",F286,IFERROR((VALUE(F286)+VALUE(J286))/2,F286))))</f>
        <v/>
      </c>
      <c r="O286">
        <f>IF(AND(M286="",N286=""),"",IF(M286="",N286,IF(N286="",M286,IFERROR((VALUE(M286)+VALUE(N286))/2,""))))</f>
        <v/>
      </c>
      <c r="P286">
        <f>IF(AND(OR('טכנו'!$C$3="הכל",IFERROR(VLOOKUP(D286,'הגדרות'!$A$2:$D$18,2,FALSE),"")='טכנו'!$C$3,IFERROR(VLOOKUP(D286,'הגדרות'!$A$2:$D$18,3,FALSE),"")='טכנו'!$C$3),OR('טכנו'!$C$4="הכל",C286='טכנו'!$C$4),OR('טכנו'!$C$5="הכל",L286='טכנו'!$C$5),OR('טכנו'!$C$6="",IFERROR(VALUE(M286),0)&gt;='טכנו'!$C$6),OR('טכנו'!$C$7="",IFERROR(VALUE(M286),0)&lt;='טכנו'!$C$7),A286&lt;&gt;""),ROW()-4,"")</f>
        <v/>
      </c>
    </row>
    <row r="287">
      <c r="B287">
        <f>IF(A287="","",IFERROR(INDEX('מלאי'!$B$3:$B$357,MATCH(A287,'מלאי'!$D$3:$D$357,0)),""))</f>
        <v/>
      </c>
      <c r="C287">
        <f>IF(A287="","",IFERROR(INDEX('מלאי'!$A$3:$A$357,MATCH(A287,'מלאי'!$D$3:$D$357,0)),""))</f>
        <v/>
      </c>
      <c r="D287">
        <f>IF(A287="","",IFERROR(INDEX('מלאי'!$H$3:$H$357,MATCH(A287,'מלאי'!$D$3:$D$357,0)),""))</f>
        <v/>
      </c>
      <c r="H287">
        <f>IF(A287="","",IFERROR(INDEX('מלאי'!$I$3:$I$357,MATCH(A287,'מלאי'!$D$3:$D$357,0)),""))</f>
        <v/>
      </c>
      <c r="M287">
        <f>IF(AND(E287="",I287=""),"",IF(H287="",E287,IF(I287="",E287,IFERROR((VALUE(E287)+VALUE(I287))/2,E287))))</f>
        <v/>
      </c>
      <c r="N287">
        <f>IF(AND(F287="",J287=""),"",IF(H287="",F287,IF(J287="",F287,IFERROR((VALUE(F287)+VALUE(J287))/2,F287))))</f>
        <v/>
      </c>
      <c r="O287">
        <f>IF(AND(M287="",N287=""),"",IF(M287="",N287,IF(N287="",M287,IFERROR((VALUE(M287)+VALUE(N287))/2,""))))</f>
        <v/>
      </c>
      <c r="P287">
        <f>IF(AND(OR('טכנו'!$C$3="הכל",IFERROR(VLOOKUP(D287,'הגדרות'!$A$2:$D$18,2,FALSE),"")='טכנו'!$C$3,IFERROR(VLOOKUP(D287,'הגדרות'!$A$2:$D$18,3,FALSE),"")='טכנו'!$C$3),OR('טכנו'!$C$4="הכל",C287='טכנו'!$C$4),OR('טכנו'!$C$5="הכל",L287='טכנו'!$C$5),OR('טכנו'!$C$6="",IFERROR(VALUE(M287),0)&gt;='טכנו'!$C$6),OR('טכנו'!$C$7="",IFERROR(VALUE(M287),0)&lt;='טכנו'!$C$7),A287&lt;&gt;""),ROW()-4,"")</f>
        <v/>
      </c>
    </row>
    <row r="288">
      <c r="B288">
        <f>IF(A288="","",IFERROR(INDEX('מלאי'!$B$3:$B$357,MATCH(A288,'מלאי'!$D$3:$D$357,0)),""))</f>
        <v/>
      </c>
      <c r="C288">
        <f>IF(A288="","",IFERROR(INDEX('מלאי'!$A$3:$A$357,MATCH(A288,'מלאי'!$D$3:$D$357,0)),""))</f>
        <v/>
      </c>
      <c r="D288">
        <f>IF(A288="","",IFERROR(INDEX('מלאי'!$H$3:$H$357,MATCH(A288,'מלאי'!$D$3:$D$357,0)),""))</f>
        <v/>
      </c>
      <c r="H288">
        <f>IF(A288="","",IFERROR(INDEX('מלאי'!$I$3:$I$357,MATCH(A288,'מלאי'!$D$3:$D$357,0)),""))</f>
        <v/>
      </c>
      <c r="M288">
        <f>IF(AND(E288="",I288=""),"",IF(H288="",E288,IF(I288="",E288,IFERROR((VALUE(E288)+VALUE(I288))/2,E288))))</f>
        <v/>
      </c>
      <c r="N288">
        <f>IF(AND(F288="",J288=""),"",IF(H288="",F288,IF(J288="",F288,IFERROR((VALUE(F288)+VALUE(J288))/2,F288))))</f>
        <v/>
      </c>
      <c r="O288">
        <f>IF(AND(M288="",N288=""),"",IF(M288="",N288,IF(N288="",M288,IFERROR((VALUE(M288)+VALUE(N288))/2,""))))</f>
        <v/>
      </c>
      <c r="P288">
        <f>IF(AND(OR('טכנו'!$C$3="הכל",IFERROR(VLOOKUP(D288,'הגדרות'!$A$2:$D$18,2,FALSE),"")='טכנו'!$C$3,IFERROR(VLOOKUP(D288,'הגדרות'!$A$2:$D$18,3,FALSE),"")='טכנו'!$C$3),OR('טכנו'!$C$4="הכל",C288='טכנו'!$C$4),OR('טכנו'!$C$5="הכל",L288='טכנו'!$C$5),OR('טכנו'!$C$6="",IFERROR(VALUE(M288),0)&gt;='טכנו'!$C$6),OR('טכנו'!$C$7="",IFERROR(VALUE(M288),0)&lt;='טכנו'!$C$7),A288&lt;&gt;""),ROW()-4,"")</f>
        <v/>
      </c>
    </row>
    <row r="289">
      <c r="B289">
        <f>IF(A289="","",IFERROR(INDEX('מלאי'!$B$3:$B$357,MATCH(A289,'מלאי'!$D$3:$D$357,0)),""))</f>
        <v/>
      </c>
      <c r="C289">
        <f>IF(A289="","",IFERROR(INDEX('מלאי'!$A$3:$A$357,MATCH(A289,'מלאי'!$D$3:$D$357,0)),""))</f>
        <v/>
      </c>
      <c r="D289">
        <f>IF(A289="","",IFERROR(INDEX('מלאי'!$H$3:$H$357,MATCH(A289,'מלאי'!$D$3:$D$357,0)),""))</f>
        <v/>
      </c>
      <c r="H289">
        <f>IF(A289="","",IFERROR(INDEX('מלאי'!$I$3:$I$357,MATCH(A289,'מלאי'!$D$3:$D$357,0)),""))</f>
        <v/>
      </c>
      <c r="M289">
        <f>IF(AND(E289="",I289=""),"",IF(H289="",E289,IF(I289="",E289,IFERROR((VALUE(E289)+VALUE(I289))/2,E289))))</f>
        <v/>
      </c>
      <c r="N289">
        <f>IF(AND(F289="",J289=""),"",IF(H289="",F289,IF(J289="",F289,IFERROR((VALUE(F289)+VALUE(J289))/2,F289))))</f>
        <v/>
      </c>
      <c r="O289">
        <f>IF(AND(M289="",N289=""),"",IF(M289="",N289,IF(N289="",M289,IFERROR((VALUE(M289)+VALUE(N289))/2,""))))</f>
        <v/>
      </c>
      <c r="P289">
        <f>IF(AND(OR('טכנו'!$C$3="הכל",IFERROR(VLOOKUP(D289,'הגדרות'!$A$2:$D$18,2,FALSE),"")='טכנו'!$C$3,IFERROR(VLOOKUP(D289,'הגדרות'!$A$2:$D$18,3,FALSE),"")='טכנו'!$C$3),OR('טכנו'!$C$4="הכל",C289='טכנו'!$C$4),OR('טכנו'!$C$5="הכל",L289='טכנו'!$C$5),OR('טכנו'!$C$6="",IFERROR(VALUE(M289),0)&gt;='טכנו'!$C$6),OR('טכנו'!$C$7="",IFERROR(VALUE(M289),0)&lt;='טכנו'!$C$7),A289&lt;&gt;""),ROW()-4,"")</f>
        <v/>
      </c>
    </row>
    <row r="290">
      <c r="B290">
        <f>IF(A290="","",IFERROR(INDEX('מלאי'!$B$3:$B$357,MATCH(A290,'מלאי'!$D$3:$D$357,0)),""))</f>
        <v/>
      </c>
      <c r="C290">
        <f>IF(A290="","",IFERROR(INDEX('מלאי'!$A$3:$A$357,MATCH(A290,'מלאי'!$D$3:$D$357,0)),""))</f>
        <v/>
      </c>
      <c r="D290">
        <f>IF(A290="","",IFERROR(INDEX('מלאי'!$H$3:$H$357,MATCH(A290,'מלאי'!$D$3:$D$357,0)),""))</f>
        <v/>
      </c>
      <c r="H290">
        <f>IF(A290="","",IFERROR(INDEX('מלאי'!$I$3:$I$357,MATCH(A290,'מלאי'!$D$3:$D$357,0)),""))</f>
        <v/>
      </c>
      <c r="M290">
        <f>IF(AND(E290="",I290=""),"",IF(H290="",E290,IF(I290="",E290,IFERROR((VALUE(E290)+VALUE(I290))/2,E290))))</f>
        <v/>
      </c>
      <c r="N290">
        <f>IF(AND(F290="",J290=""),"",IF(H290="",F290,IF(J290="",F290,IFERROR((VALUE(F290)+VALUE(J290))/2,F290))))</f>
        <v/>
      </c>
      <c r="O290">
        <f>IF(AND(M290="",N290=""),"",IF(M290="",N290,IF(N290="",M290,IFERROR((VALUE(M290)+VALUE(N290))/2,""))))</f>
        <v/>
      </c>
      <c r="P290">
        <f>IF(AND(OR('טכנו'!$C$3="הכל",IFERROR(VLOOKUP(D290,'הגדרות'!$A$2:$D$18,2,FALSE),"")='טכנו'!$C$3,IFERROR(VLOOKUP(D290,'הגדרות'!$A$2:$D$18,3,FALSE),"")='טכנו'!$C$3),OR('טכנו'!$C$4="הכל",C290='טכנו'!$C$4),OR('טכנו'!$C$5="הכל",L290='טכנו'!$C$5),OR('טכנו'!$C$6="",IFERROR(VALUE(M290),0)&gt;='טכנו'!$C$6),OR('טכנו'!$C$7="",IFERROR(VALUE(M290),0)&lt;='טכנו'!$C$7),A290&lt;&gt;""),ROW()-4,"")</f>
        <v/>
      </c>
    </row>
    <row r="291">
      <c r="B291">
        <f>IF(A291="","",IFERROR(INDEX('מלאי'!$B$3:$B$357,MATCH(A291,'מלאי'!$D$3:$D$357,0)),""))</f>
        <v/>
      </c>
      <c r="C291">
        <f>IF(A291="","",IFERROR(INDEX('מלאי'!$A$3:$A$357,MATCH(A291,'מלאי'!$D$3:$D$357,0)),""))</f>
        <v/>
      </c>
      <c r="D291">
        <f>IF(A291="","",IFERROR(INDEX('מלאי'!$H$3:$H$357,MATCH(A291,'מלאי'!$D$3:$D$357,0)),""))</f>
        <v/>
      </c>
      <c r="H291">
        <f>IF(A291="","",IFERROR(INDEX('מלאי'!$I$3:$I$357,MATCH(A291,'מלאי'!$D$3:$D$357,0)),""))</f>
        <v/>
      </c>
      <c r="M291">
        <f>IF(AND(E291="",I291=""),"",IF(H291="",E291,IF(I291="",E291,IFERROR((VALUE(E291)+VALUE(I291))/2,E291))))</f>
        <v/>
      </c>
      <c r="N291">
        <f>IF(AND(F291="",J291=""),"",IF(H291="",F291,IF(J291="",F291,IFERROR((VALUE(F291)+VALUE(J291))/2,F291))))</f>
        <v/>
      </c>
      <c r="O291">
        <f>IF(AND(M291="",N291=""),"",IF(M291="",N291,IF(N291="",M291,IFERROR((VALUE(M291)+VALUE(N291))/2,""))))</f>
        <v/>
      </c>
      <c r="P291">
        <f>IF(AND(OR('טכנו'!$C$3="הכל",IFERROR(VLOOKUP(D291,'הגדרות'!$A$2:$D$18,2,FALSE),"")='טכנו'!$C$3,IFERROR(VLOOKUP(D291,'הגדרות'!$A$2:$D$18,3,FALSE),"")='טכנו'!$C$3),OR('טכנו'!$C$4="הכל",C291='טכנו'!$C$4),OR('טכנו'!$C$5="הכל",L291='טכנו'!$C$5),OR('טכנו'!$C$6="",IFERROR(VALUE(M291),0)&gt;='טכנו'!$C$6),OR('טכנו'!$C$7="",IFERROR(VALUE(M291),0)&lt;='טכנו'!$C$7),A291&lt;&gt;""),ROW()-4,"")</f>
        <v/>
      </c>
    </row>
    <row r="292">
      <c r="B292">
        <f>IF(A292="","",IFERROR(INDEX('מלאי'!$B$3:$B$357,MATCH(A292,'מלאי'!$D$3:$D$357,0)),""))</f>
        <v/>
      </c>
      <c r="C292">
        <f>IF(A292="","",IFERROR(INDEX('מלאי'!$A$3:$A$357,MATCH(A292,'מלאי'!$D$3:$D$357,0)),""))</f>
        <v/>
      </c>
      <c r="D292">
        <f>IF(A292="","",IFERROR(INDEX('מלאי'!$H$3:$H$357,MATCH(A292,'מלאי'!$D$3:$D$357,0)),""))</f>
        <v/>
      </c>
      <c r="H292">
        <f>IF(A292="","",IFERROR(INDEX('מלאי'!$I$3:$I$357,MATCH(A292,'מלאי'!$D$3:$D$357,0)),""))</f>
        <v/>
      </c>
      <c r="M292">
        <f>IF(AND(E292="",I292=""),"",IF(H292="",E292,IF(I292="",E292,IFERROR((VALUE(E292)+VALUE(I292))/2,E292))))</f>
        <v/>
      </c>
      <c r="N292">
        <f>IF(AND(F292="",J292=""),"",IF(H292="",F292,IF(J292="",F292,IFERROR((VALUE(F292)+VALUE(J292))/2,F292))))</f>
        <v/>
      </c>
      <c r="O292">
        <f>IF(AND(M292="",N292=""),"",IF(M292="",N292,IF(N292="",M292,IFERROR((VALUE(M292)+VALUE(N292))/2,""))))</f>
        <v/>
      </c>
      <c r="P292">
        <f>IF(AND(OR('טכנו'!$C$3="הכל",IFERROR(VLOOKUP(D292,'הגדרות'!$A$2:$D$18,2,FALSE),"")='טכנו'!$C$3,IFERROR(VLOOKUP(D292,'הגדרות'!$A$2:$D$18,3,FALSE),"")='טכנו'!$C$3),OR('טכנו'!$C$4="הכל",C292='טכנו'!$C$4),OR('טכנו'!$C$5="הכל",L292='טכנו'!$C$5),OR('טכנו'!$C$6="",IFERROR(VALUE(M292),0)&gt;='טכנו'!$C$6),OR('טכנו'!$C$7="",IFERROR(VALUE(M292),0)&lt;='טכנו'!$C$7),A292&lt;&gt;""),ROW()-4,"")</f>
        <v/>
      </c>
    </row>
    <row r="293">
      <c r="B293">
        <f>IF(A293="","",IFERROR(INDEX('מלאי'!$B$3:$B$357,MATCH(A293,'מלאי'!$D$3:$D$357,0)),""))</f>
        <v/>
      </c>
      <c r="C293">
        <f>IF(A293="","",IFERROR(INDEX('מלאי'!$A$3:$A$357,MATCH(A293,'מלאי'!$D$3:$D$357,0)),""))</f>
        <v/>
      </c>
      <c r="D293">
        <f>IF(A293="","",IFERROR(INDEX('מלאי'!$H$3:$H$357,MATCH(A293,'מלאי'!$D$3:$D$357,0)),""))</f>
        <v/>
      </c>
      <c r="H293">
        <f>IF(A293="","",IFERROR(INDEX('מלאי'!$I$3:$I$357,MATCH(A293,'מלאי'!$D$3:$D$357,0)),""))</f>
        <v/>
      </c>
      <c r="M293">
        <f>IF(AND(E293="",I293=""),"",IF(H293="",E293,IF(I293="",E293,IFERROR((VALUE(E293)+VALUE(I293))/2,E293))))</f>
        <v/>
      </c>
      <c r="N293">
        <f>IF(AND(F293="",J293=""),"",IF(H293="",F293,IF(J293="",F293,IFERROR((VALUE(F293)+VALUE(J293))/2,F293))))</f>
        <v/>
      </c>
      <c r="O293">
        <f>IF(AND(M293="",N293=""),"",IF(M293="",N293,IF(N293="",M293,IFERROR((VALUE(M293)+VALUE(N293))/2,""))))</f>
        <v/>
      </c>
      <c r="P293">
        <f>IF(AND(OR('טכנו'!$C$3="הכל",IFERROR(VLOOKUP(D293,'הגדרות'!$A$2:$D$18,2,FALSE),"")='טכנו'!$C$3,IFERROR(VLOOKUP(D293,'הגדרות'!$A$2:$D$18,3,FALSE),"")='טכנו'!$C$3),OR('טכנו'!$C$4="הכל",C293='טכנו'!$C$4),OR('טכנו'!$C$5="הכל",L293='טכנו'!$C$5),OR('טכנו'!$C$6="",IFERROR(VALUE(M293),0)&gt;='טכנו'!$C$6),OR('טכנו'!$C$7="",IFERROR(VALUE(M293),0)&lt;='טכנו'!$C$7),A293&lt;&gt;""),ROW()-4,"")</f>
        <v/>
      </c>
    </row>
    <row r="294">
      <c r="B294">
        <f>IF(A294="","",IFERROR(INDEX('מלאי'!$B$3:$B$357,MATCH(A294,'מלאי'!$D$3:$D$357,0)),""))</f>
        <v/>
      </c>
      <c r="C294">
        <f>IF(A294="","",IFERROR(INDEX('מלאי'!$A$3:$A$357,MATCH(A294,'מלאי'!$D$3:$D$357,0)),""))</f>
        <v/>
      </c>
      <c r="D294">
        <f>IF(A294="","",IFERROR(INDEX('מלאי'!$H$3:$H$357,MATCH(A294,'מלאי'!$D$3:$D$357,0)),""))</f>
        <v/>
      </c>
      <c r="H294">
        <f>IF(A294="","",IFERROR(INDEX('מלאי'!$I$3:$I$357,MATCH(A294,'מלאי'!$D$3:$D$357,0)),""))</f>
        <v/>
      </c>
      <c r="M294">
        <f>IF(AND(E294="",I294=""),"",IF(H294="",E294,IF(I294="",E294,IFERROR((VALUE(E294)+VALUE(I294))/2,E294))))</f>
        <v/>
      </c>
      <c r="N294">
        <f>IF(AND(F294="",J294=""),"",IF(H294="",F294,IF(J294="",F294,IFERROR((VALUE(F294)+VALUE(J294))/2,F294))))</f>
        <v/>
      </c>
      <c r="O294">
        <f>IF(AND(M294="",N294=""),"",IF(M294="",N294,IF(N294="",M294,IFERROR((VALUE(M294)+VALUE(N294))/2,""))))</f>
        <v/>
      </c>
      <c r="P294">
        <f>IF(AND(OR('טכנו'!$C$3="הכל",IFERROR(VLOOKUP(D294,'הגדרות'!$A$2:$D$18,2,FALSE),"")='טכנו'!$C$3,IFERROR(VLOOKUP(D294,'הגדרות'!$A$2:$D$18,3,FALSE),"")='טכנו'!$C$3),OR('טכנו'!$C$4="הכל",C294='טכנו'!$C$4),OR('טכנו'!$C$5="הכל",L294='טכנו'!$C$5),OR('טכנו'!$C$6="",IFERROR(VALUE(M294),0)&gt;='טכנו'!$C$6),OR('טכנו'!$C$7="",IFERROR(VALUE(M294),0)&lt;='טכנו'!$C$7),A294&lt;&gt;""),ROW()-4,"")</f>
        <v/>
      </c>
    </row>
    <row r="295">
      <c r="B295">
        <f>IF(A295="","",IFERROR(INDEX('מלאי'!$B$3:$B$357,MATCH(A295,'מלאי'!$D$3:$D$357,0)),""))</f>
        <v/>
      </c>
      <c r="C295">
        <f>IF(A295="","",IFERROR(INDEX('מלאי'!$A$3:$A$357,MATCH(A295,'מלאי'!$D$3:$D$357,0)),""))</f>
        <v/>
      </c>
      <c r="D295">
        <f>IF(A295="","",IFERROR(INDEX('מלאי'!$H$3:$H$357,MATCH(A295,'מלאי'!$D$3:$D$357,0)),""))</f>
        <v/>
      </c>
      <c r="H295">
        <f>IF(A295="","",IFERROR(INDEX('מלאי'!$I$3:$I$357,MATCH(A295,'מלאי'!$D$3:$D$357,0)),""))</f>
        <v/>
      </c>
      <c r="M295">
        <f>IF(AND(E295="",I295=""),"",IF(H295="",E295,IF(I295="",E295,IFERROR((VALUE(E295)+VALUE(I295))/2,E295))))</f>
        <v/>
      </c>
      <c r="N295">
        <f>IF(AND(F295="",J295=""),"",IF(H295="",F295,IF(J295="",F295,IFERROR((VALUE(F295)+VALUE(J295))/2,F295))))</f>
        <v/>
      </c>
      <c r="O295">
        <f>IF(AND(M295="",N295=""),"",IF(M295="",N295,IF(N295="",M295,IFERROR((VALUE(M295)+VALUE(N295))/2,""))))</f>
        <v/>
      </c>
      <c r="P295">
        <f>IF(AND(OR('טכנו'!$C$3="הכל",IFERROR(VLOOKUP(D295,'הגדרות'!$A$2:$D$18,2,FALSE),"")='טכנו'!$C$3,IFERROR(VLOOKUP(D295,'הגדרות'!$A$2:$D$18,3,FALSE),"")='טכנו'!$C$3),OR('טכנו'!$C$4="הכל",C295='טכנו'!$C$4),OR('טכנו'!$C$5="הכל",L295='טכנו'!$C$5),OR('טכנו'!$C$6="",IFERROR(VALUE(M295),0)&gt;='טכנו'!$C$6),OR('טכנו'!$C$7="",IFERROR(VALUE(M295),0)&lt;='טכנו'!$C$7),A295&lt;&gt;""),ROW()-4,"")</f>
        <v/>
      </c>
    </row>
    <row r="296">
      <c r="B296">
        <f>IF(A296="","",IFERROR(INDEX('מלאי'!$B$3:$B$357,MATCH(A296,'מלאי'!$D$3:$D$357,0)),""))</f>
        <v/>
      </c>
      <c r="C296">
        <f>IF(A296="","",IFERROR(INDEX('מלאי'!$A$3:$A$357,MATCH(A296,'מלאי'!$D$3:$D$357,0)),""))</f>
        <v/>
      </c>
      <c r="D296">
        <f>IF(A296="","",IFERROR(INDEX('מלאי'!$H$3:$H$357,MATCH(A296,'מלאי'!$D$3:$D$357,0)),""))</f>
        <v/>
      </c>
      <c r="H296">
        <f>IF(A296="","",IFERROR(INDEX('מלאי'!$I$3:$I$357,MATCH(A296,'מלאי'!$D$3:$D$357,0)),""))</f>
        <v/>
      </c>
      <c r="M296">
        <f>IF(AND(E296="",I296=""),"",IF(H296="",E296,IF(I296="",E296,IFERROR((VALUE(E296)+VALUE(I296))/2,E296))))</f>
        <v/>
      </c>
      <c r="N296">
        <f>IF(AND(F296="",J296=""),"",IF(H296="",F296,IF(J296="",F296,IFERROR((VALUE(F296)+VALUE(J296))/2,F296))))</f>
        <v/>
      </c>
      <c r="O296">
        <f>IF(AND(M296="",N296=""),"",IF(M296="",N296,IF(N296="",M296,IFERROR((VALUE(M296)+VALUE(N296))/2,""))))</f>
        <v/>
      </c>
      <c r="P296">
        <f>IF(AND(OR('טכנו'!$C$3="הכל",IFERROR(VLOOKUP(D296,'הגדרות'!$A$2:$D$18,2,FALSE),"")='טכנו'!$C$3,IFERROR(VLOOKUP(D296,'הגדרות'!$A$2:$D$18,3,FALSE),"")='טכנו'!$C$3),OR('טכנו'!$C$4="הכל",C296='טכנו'!$C$4),OR('טכנו'!$C$5="הכל",L296='טכנו'!$C$5),OR('טכנו'!$C$6="",IFERROR(VALUE(M296),0)&gt;='טכנו'!$C$6),OR('טכנו'!$C$7="",IFERROR(VALUE(M296),0)&lt;='טכנו'!$C$7),A296&lt;&gt;""),ROW()-4,"")</f>
        <v/>
      </c>
    </row>
    <row r="297">
      <c r="B297">
        <f>IF(A297="","",IFERROR(INDEX('מלאי'!$B$3:$B$357,MATCH(A297,'מלאי'!$D$3:$D$357,0)),""))</f>
        <v/>
      </c>
      <c r="C297">
        <f>IF(A297="","",IFERROR(INDEX('מלאי'!$A$3:$A$357,MATCH(A297,'מלאי'!$D$3:$D$357,0)),""))</f>
        <v/>
      </c>
      <c r="D297">
        <f>IF(A297="","",IFERROR(INDEX('מלאי'!$H$3:$H$357,MATCH(A297,'מלאי'!$D$3:$D$357,0)),""))</f>
        <v/>
      </c>
      <c r="H297">
        <f>IF(A297="","",IFERROR(INDEX('מלאי'!$I$3:$I$357,MATCH(A297,'מלאי'!$D$3:$D$357,0)),""))</f>
        <v/>
      </c>
      <c r="M297">
        <f>IF(AND(E297="",I297=""),"",IF(H297="",E297,IF(I297="",E297,IFERROR((VALUE(E297)+VALUE(I297))/2,E297))))</f>
        <v/>
      </c>
      <c r="N297">
        <f>IF(AND(F297="",J297=""),"",IF(H297="",F297,IF(J297="",F297,IFERROR((VALUE(F297)+VALUE(J297))/2,F297))))</f>
        <v/>
      </c>
      <c r="O297">
        <f>IF(AND(M297="",N297=""),"",IF(M297="",N297,IF(N297="",M297,IFERROR((VALUE(M297)+VALUE(N297))/2,""))))</f>
        <v/>
      </c>
      <c r="P297">
        <f>IF(AND(OR('טכנו'!$C$3="הכל",IFERROR(VLOOKUP(D297,'הגדרות'!$A$2:$D$18,2,FALSE),"")='טכנו'!$C$3,IFERROR(VLOOKUP(D297,'הגדרות'!$A$2:$D$18,3,FALSE),"")='טכנו'!$C$3),OR('טכנו'!$C$4="הכל",C297='טכנו'!$C$4),OR('טכנו'!$C$5="הכל",L297='טכנו'!$C$5),OR('טכנו'!$C$6="",IFERROR(VALUE(M297),0)&gt;='טכנו'!$C$6),OR('טכנו'!$C$7="",IFERROR(VALUE(M297),0)&lt;='טכנו'!$C$7),A297&lt;&gt;""),ROW()-4,"")</f>
        <v/>
      </c>
    </row>
    <row r="298">
      <c r="B298">
        <f>IF(A298="","",IFERROR(INDEX('מלאי'!$B$3:$B$357,MATCH(A298,'מלאי'!$D$3:$D$357,0)),""))</f>
        <v/>
      </c>
      <c r="C298">
        <f>IF(A298="","",IFERROR(INDEX('מלאי'!$A$3:$A$357,MATCH(A298,'מלאי'!$D$3:$D$357,0)),""))</f>
        <v/>
      </c>
      <c r="D298">
        <f>IF(A298="","",IFERROR(INDEX('מלאי'!$H$3:$H$357,MATCH(A298,'מלאי'!$D$3:$D$357,0)),""))</f>
        <v/>
      </c>
      <c r="H298">
        <f>IF(A298="","",IFERROR(INDEX('מלאי'!$I$3:$I$357,MATCH(A298,'מלאי'!$D$3:$D$357,0)),""))</f>
        <v/>
      </c>
      <c r="M298">
        <f>IF(AND(E298="",I298=""),"",IF(H298="",E298,IF(I298="",E298,IFERROR((VALUE(E298)+VALUE(I298))/2,E298))))</f>
        <v/>
      </c>
      <c r="N298">
        <f>IF(AND(F298="",J298=""),"",IF(H298="",F298,IF(J298="",F298,IFERROR((VALUE(F298)+VALUE(J298))/2,F298))))</f>
        <v/>
      </c>
      <c r="O298">
        <f>IF(AND(M298="",N298=""),"",IF(M298="",N298,IF(N298="",M298,IFERROR((VALUE(M298)+VALUE(N298))/2,""))))</f>
        <v/>
      </c>
      <c r="P298">
        <f>IF(AND(OR('טכנו'!$C$3="הכל",IFERROR(VLOOKUP(D298,'הגדרות'!$A$2:$D$18,2,FALSE),"")='טכנו'!$C$3,IFERROR(VLOOKUP(D298,'הגדרות'!$A$2:$D$18,3,FALSE),"")='טכנו'!$C$3),OR('טכנו'!$C$4="הכל",C298='טכנו'!$C$4),OR('טכנו'!$C$5="הכל",L298='טכנו'!$C$5),OR('טכנו'!$C$6="",IFERROR(VALUE(M298),0)&gt;='טכנו'!$C$6),OR('טכנו'!$C$7="",IFERROR(VALUE(M298),0)&lt;='טכנו'!$C$7),A298&lt;&gt;""),ROW()-4,"")</f>
        <v/>
      </c>
    </row>
    <row r="299">
      <c r="B299">
        <f>IF(A299="","",IFERROR(INDEX('מלאי'!$B$3:$B$357,MATCH(A299,'מלאי'!$D$3:$D$357,0)),""))</f>
        <v/>
      </c>
      <c r="C299">
        <f>IF(A299="","",IFERROR(INDEX('מלאי'!$A$3:$A$357,MATCH(A299,'מלאי'!$D$3:$D$357,0)),""))</f>
        <v/>
      </c>
      <c r="D299">
        <f>IF(A299="","",IFERROR(INDEX('מלאי'!$H$3:$H$357,MATCH(A299,'מלאי'!$D$3:$D$357,0)),""))</f>
        <v/>
      </c>
      <c r="H299">
        <f>IF(A299="","",IFERROR(INDEX('מלאי'!$I$3:$I$357,MATCH(A299,'מלאי'!$D$3:$D$357,0)),""))</f>
        <v/>
      </c>
      <c r="M299">
        <f>IF(AND(E299="",I299=""),"",IF(H299="",E299,IF(I299="",E299,IFERROR((VALUE(E299)+VALUE(I299))/2,E299))))</f>
        <v/>
      </c>
      <c r="N299">
        <f>IF(AND(F299="",J299=""),"",IF(H299="",F299,IF(J299="",F299,IFERROR((VALUE(F299)+VALUE(J299))/2,F299))))</f>
        <v/>
      </c>
      <c r="O299">
        <f>IF(AND(M299="",N299=""),"",IF(M299="",N299,IF(N299="",M299,IFERROR((VALUE(M299)+VALUE(N299))/2,""))))</f>
        <v/>
      </c>
      <c r="P299">
        <f>IF(AND(OR('טכנו'!$C$3="הכל",IFERROR(VLOOKUP(D299,'הגדרות'!$A$2:$D$18,2,FALSE),"")='טכנו'!$C$3,IFERROR(VLOOKUP(D299,'הגדרות'!$A$2:$D$18,3,FALSE),"")='טכנו'!$C$3),OR('טכנו'!$C$4="הכל",C299='טכנו'!$C$4),OR('טכנו'!$C$5="הכל",L299='טכנו'!$C$5),OR('טכנו'!$C$6="",IFERROR(VALUE(M299),0)&gt;='טכנו'!$C$6),OR('טכנו'!$C$7="",IFERROR(VALUE(M299),0)&lt;='טכנו'!$C$7),A299&lt;&gt;""),ROW()-4,"")</f>
        <v/>
      </c>
    </row>
    <row r="300">
      <c r="B300">
        <f>IF(A300="","",IFERROR(INDEX('מלאי'!$B$3:$B$357,MATCH(A300,'מלאי'!$D$3:$D$357,0)),""))</f>
        <v/>
      </c>
      <c r="C300">
        <f>IF(A300="","",IFERROR(INDEX('מלאי'!$A$3:$A$357,MATCH(A300,'מלאי'!$D$3:$D$357,0)),""))</f>
        <v/>
      </c>
      <c r="D300">
        <f>IF(A300="","",IFERROR(INDEX('מלאי'!$H$3:$H$357,MATCH(A300,'מלאי'!$D$3:$D$357,0)),""))</f>
        <v/>
      </c>
      <c r="H300">
        <f>IF(A300="","",IFERROR(INDEX('מלאי'!$I$3:$I$357,MATCH(A300,'מלאי'!$D$3:$D$357,0)),""))</f>
        <v/>
      </c>
      <c r="M300">
        <f>IF(AND(E300="",I300=""),"",IF(H300="",E300,IF(I300="",E300,IFERROR((VALUE(E300)+VALUE(I300))/2,E300))))</f>
        <v/>
      </c>
      <c r="N300">
        <f>IF(AND(F300="",J300=""),"",IF(H300="",F300,IF(J300="",F300,IFERROR((VALUE(F300)+VALUE(J300))/2,F300))))</f>
        <v/>
      </c>
      <c r="O300">
        <f>IF(AND(M300="",N300=""),"",IF(M300="",N300,IF(N300="",M300,IFERROR((VALUE(M300)+VALUE(N300))/2,""))))</f>
        <v/>
      </c>
      <c r="P300">
        <f>IF(AND(OR('טכנו'!$C$3="הכל",IFERROR(VLOOKUP(D300,'הגדרות'!$A$2:$D$18,2,FALSE),"")='טכנו'!$C$3,IFERROR(VLOOKUP(D300,'הגדרות'!$A$2:$D$18,3,FALSE),"")='טכנו'!$C$3),OR('טכנו'!$C$4="הכל",C300='טכנו'!$C$4),OR('טכנו'!$C$5="הכל",L300='טכנו'!$C$5),OR('טכנו'!$C$6="",IFERROR(VALUE(M300),0)&gt;='טכנו'!$C$6),OR('טכנו'!$C$7="",IFERROR(VALUE(M300),0)&lt;='טכנו'!$C$7),A300&lt;&gt;""),ROW()-4,"")</f>
        <v/>
      </c>
    </row>
    <row r="301">
      <c r="B301">
        <f>IF(A301="","",IFERROR(INDEX('מלאי'!$B$3:$B$357,MATCH(A301,'מלאי'!$D$3:$D$357,0)),""))</f>
        <v/>
      </c>
      <c r="C301">
        <f>IF(A301="","",IFERROR(INDEX('מלאי'!$A$3:$A$357,MATCH(A301,'מלאי'!$D$3:$D$357,0)),""))</f>
        <v/>
      </c>
      <c r="D301">
        <f>IF(A301="","",IFERROR(INDEX('מלאי'!$H$3:$H$357,MATCH(A301,'מלאי'!$D$3:$D$357,0)),""))</f>
        <v/>
      </c>
      <c r="H301">
        <f>IF(A301="","",IFERROR(INDEX('מלאי'!$I$3:$I$357,MATCH(A301,'מלאי'!$D$3:$D$357,0)),""))</f>
        <v/>
      </c>
      <c r="M301">
        <f>IF(AND(E301="",I301=""),"",IF(H301="",E301,IF(I301="",E301,IFERROR((VALUE(E301)+VALUE(I301))/2,E301))))</f>
        <v/>
      </c>
      <c r="N301">
        <f>IF(AND(F301="",J301=""),"",IF(H301="",F301,IF(J301="",F301,IFERROR((VALUE(F301)+VALUE(J301))/2,F301))))</f>
        <v/>
      </c>
      <c r="O301">
        <f>IF(AND(M301="",N301=""),"",IF(M301="",N301,IF(N301="",M301,IFERROR((VALUE(M301)+VALUE(N301))/2,""))))</f>
        <v/>
      </c>
      <c r="P301">
        <f>IF(AND(OR('טכנו'!$C$3="הכל",IFERROR(VLOOKUP(D301,'הגדרות'!$A$2:$D$18,2,FALSE),"")='טכנו'!$C$3,IFERROR(VLOOKUP(D301,'הגדרות'!$A$2:$D$18,3,FALSE),"")='טכנו'!$C$3),OR('טכנו'!$C$4="הכל",C301='טכנו'!$C$4),OR('טכנו'!$C$5="הכל",L301='טכנו'!$C$5),OR('טכנו'!$C$6="",IFERROR(VALUE(M301),0)&gt;='טכנו'!$C$6),OR('טכנו'!$C$7="",IFERROR(VALUE(M301),0)&lt;='טכנו'!$C$7),A301&lt;&gt;""),ROW()-4,"")</f>
        <v/>
      </c>
    </row>
    <row r="302">
      <c r="B302">
        <f>IF(A302="","",IFERROR(INDEX('מלאי'!$B$3:$B$357,MATCH(A302,'מלאי'!$D$3:$D$357,0)),""))</f>
        <v/>
      </c>
      <c r="C302">
        <f>IF(A302="","",IFERROR(INDEX('מלאי'!$A$3:$A$357,MATCH(A302,'מלאי'!$D$3:$D$357,0)),""))</f>
        <v/>
      </c>
      <c r="D302">
        <f>IF(A302="","",IFERROR(INDEX('מלאי'!$H$3:$H$357,MATCH(A302,'מלאי'!$D$3:$D$357,0)),""))</f>
        <v/>
      </c>
      <c r="H302">
        <f>IF(A302="","",IFERROR(INDEX('מלאי'!$I$3:$I$357,MATCH(A302,'מלאי'!$D$3:$D$357,0)),""))</f>
        <v/>
      </c>
      <c r="M302">
        <f>IF(AND(E302="",I302=""),"",IF(H302="",E302,IF(I302="",E302,IFERROR((VALUE(E302)+VALUE(I302))/2,E302))))</f>
        <v/>
      </c>
      <c r="N302">
        <f>IF(AND(F302="",J302=""),"",IF(H302="",F302,IF(J302="",F302,IFERROR((VALUE(F302)+VALUE(J302))/2,F302))))</f>
        <v/>
      </c>
      <c r="O302">
        <f>IF(AND(M302="",N302=""),"",IF(M302="",N302,IF(N302="",M302,IFERROR((VALUE(M302)+VALUE(N302))/2,""))))</f>
        <v/>
      </c>
      <c r="P302">
        <f>IF(AND(OR('טכנו'!$C$3="הכל",IFERROR(VLOOKUP(D302,'הגדרות'!$A$2:$D$18,2,FALSE),"")='טכנו'!$C$3,IFERROR(VLOOKUP(D302,'הגדרות'!$A$2:$D$18,3,FALSE),"")='טכנו'!$C$3),OR('טכנו'!$C$4="הכל",C302='טכנו'!$C$4),OR('טכנו'!$C$5="הכל",L302='טכנו'!$C$5),OR('טכנו'!$C$6="",IFERROR(VALUE(M302),0)&gt;='טכנו'!$C$6),OR('טכנו'!$C$7="",IFERROR(VALUE(M302),0)&lt;='טכנו'!$C$7),A302&lt;&gt;""),ROW()-4,"")</f>
        <v/>
      </c>
    </row>
    <row r="303">
      <c r="B303">
        <f>IF(A303="","",IFERROR(INDEX('מלאי'!$B$3:$B$357,MATCH(A303,'מלאי'!$D$3:$D$357,0)),""))</f>
        <v/>
      </c>
      <c r="C303">
        <f>IF(A303="","",IFERROR(INDEX('מלאי'!$A$3:$A$357,MATCH(A303,'מלאי'!$D$3:$D$357,0)),""))</f>
        <v/>
      </c>
      <c r="D303">
        <f>IF(A303="","",IFERROR(INDEX('מלאי'!$H$3:$H$357,MATCH(A303,'מלאי'!$D$3:$D$357,0)),""))</f>
        <v/>
      </c>
      <c r="H303">
        <f>IF(A303="","",IFERROR(INDEX('מלאי'!$I$3:$I$357,MATCH(A303,'מלאי'!$D$3:$D$357,0)),""))</f>
        <v/>
      </c>
      <c r="M303">
        <f>IF(AND(E303="",I303=""),"",IF(H303="",E303,IF(I303="",E303,IFERROR((VALUE(E303)+VALUE(I303))/2,E303))))</f>
        <v/>
      </c>
      <c r="N303">
        <f>IF(AND(F303="",J303=""),"",IF(H303="",F303,IF(J303="",F303,IFERROR((VALUE(F303)+VALUE(J303))/2,F303))))</f>
        <v/>
      </c>
      <c r="O303">
        <f>IF(AND(M303="",N303=""),"",IF(M303="",N303,IF(N303="",M303,IFERROR((VALUE(M303)+VALUE(N303))/2,""))))</f>
        <v/>
      </c>
      <c r="P303">
        <f>IF(AND(OR('טכנו'!$C$3="הכל",IFERROR(VLOOKUP(D303,'הגדרות'!$A$2:$D$18,2,FALSE),"")='טכנו'!$C$3,IFERROR(VLOOKUP(D303,'הגדרות'!$A$2:$D$18,3,FALSE),"")='טכנו'!$C$3),OR('טכנו'!$C$4="הכל",C303='טכנו'!$C$4),OR('טכנו'!$C$5="הכל",L303='טכנו'!$C$5),OR('טכנו'!$C$6="",IFERROR(VALUE(M303),0)&gt;='טכנו'!$C$6),OR('טכנו'!$C$7="",IFERROR(VALUE(M303),0)&lt;='טכנו'!$C$7),A303&lt;&gt;""),ROW()-4,"")</f>
        <v/>
      </c>
    </row>
    <row r="304">
      <c r="B304">
        <f>IF(A304="","",IFERROR(INDEX('מלאי'!$B$3:$B$357,MATCH(A304,'מלאי'!$D$3:$D$357,0)),""))</f>
        <v/>
      </c>
      <c r="C304">
        <f>IF(A304="","",IFERROR(INDEX('מלאי'!$A$3:$A$357,MATCH(A304,'מלאי'!$D$3:$D$357,0)),""))</f>
        <v/>
      </c>
      <c r="D304">
        <f>IF(A304="","",IFERROR(INDEX('מלאי'!$H$3:$H$357,MATCH(A304,'מלאי'!$D$3:$D$357,0)),""))</f>
        <v/>
      </c>
      <c r="H304">
        <f>IF(A304="","",IFERROR(INDEX('מלאי'!$I$3:$I$357,MATCH(A304,'מלאי'!$D$3:$D$357,0)),""))</f>
        <v/>
      </c>
      <c r="M304">
        <f>IF(AND(E304="",I304=""),"",IF(H304="",E304,IF(I304="",E304,IFERROR((VALUE(E304)+VALUE(I304))/2,E304))))</f>
        <v/>
      </c>
      <c r="N304">
        <f>IF(AND(F304="",J304=""),"",IF(H304="",F304,IF(J304="",F304,IFERROR((VALUE(F304)+VALUE(J304))/2,F304))))</f>
        <v/>
      </c>
      <c r="O304">
        <f>IF(AND(M304="",N304=""),"",IF(M304="",N304,IF(N304="",M304,IFERROR((VALUE(M304)+VALUE(N304))/2,""))))</f>
        <v/>
      </c>
      <c r="P304">
        <f>IF(AND(OR('טכנו'!$C$3="הכל",IFERROR(VLOOKUP(D304,'הגדרות'!$A$2:$D$18,2,FALSE),"")='טכנו'!$C$3,IFERROR(VLOOKUP(D304,'הגדרות'!$A$2:$D$18,3,FALSE),"")='טכנו'!$C$3),OR('טכנו'!$C$4="הכל",C304='טכנו'!$C$4),OR('טכנו'!$C$5="הכל",L304='טכנו'!$C$5),OR('טכנו'!$C$6="",IFERROR(VALUE(M304),0)&gt;='טכנו'!$C$6),OR('טכנו'!$C$7="",IFERROR(VALUE(M304),0)&lt;='טכנו'!$C$7),A304&lt;&gt;""),ROW()-4,"")</f>
        <v/>
      </c>
    </row>
    <row r="305">
      <c r="B305">
        <f>IF(A305="","",IFERROR(INDEX('מלאי'!$B$3:$B$357,MATCH(A305,'מלאי'!$D$3:$D$357,0)),""))</f>
        <v/>
      </c>
      <c r="C305">
        <f>IF(A305="","",IFERROR(INDEX('מלאי'!$A$3:$A$357,MATCH(A305,'מלאי'!$D$3:$D$357,0)),""))</f>
        <v/>
      </c>
      <c r="D305">
        <f>IF(A305="","",IFERROR(INDEX('מלאי'!$H$3:$H$357,MATCH(A305,'מלאי'!$D$3:$D$357,0)),""))</f>
        <v/>
      </c>
      <c r="H305">
        <f>IF(A305="","",IFERROR(INDEX('מלאי'!$I$3:$I$357,MATCH(A305,'מלאי'!$D$3:$D$357,0)),""))</f>
        <v/>
      </c>
      <c r="M305">
        <f>IF(AND(E305="",I305=""),"",IF(H305="",E305,IF(I305="",E305,IFERROR((VALUE(E305)+VALUE(I305))/2,E305))))</f>
        <v/>
      </c>
      <c r="N305">
        <f>IF(AND(F305="",J305=""),"",IF(H305="",F305,IF(J305="",F305,IFERROR((VALUE(F305)+VALUE(J305))/2,F305))))</f>
        <v/>
      </c>
      <c r="O305">
        <f>IF(AND(M305="",N305=""),"",IF(M305="",N305,IF(N305="",M305,IFERROR((VALUE(M305)+VALUE(N305))/2,""))))</f>
        <v/>
      </c>
      <c r="P305">
        <f>IF(AND(OR('טכנו'!$C$3="הכל",IFERROR(VLOOKUP(D305,'הגדרות'!$A$2:$D$18,2,FALSE),"")='טכנו'!$C$3,IFERROR(VLOOKUP(D305,'הגדרות'!$A$2:$D$18,3,FALSE),"")='טכנו'!$C$3),OR('טכנו'!$C$4="הכל",C305='טכנו'!$C$4),OR('טכנו'!$C$5="הכל",L305='טכנו'!$C$5),OR('טכנו'!$C$6="",IFERROR(VALUE(M305),0)&gt;='טכנו'!$C$6),OR('טכנו'!$C$7="",IFERROR(VALUE(M305),0)&lt;='טכנו'!$C$7),A305&lt;&gt;""),ROW()-4,"")</f>
        <v/>
      </c>
    </row>
    <row r="306">
      <c r="B306">
        <f>IF(A306="","",IFERROR(INDEX('מלאי'!$B$3:$B$357,MATCH(A306,'מלאי'!$D$3:$D$357,0)),""))</f>
        <v/>
      </c>
      <c r="C306">
        <f>IF(A306="","",IFERROR(INDEX('מלאי'!$A$3:$A$357,MATCH(A306,'מלאי'!$D$3:$D$357,0)),""))</f>
        <v/>
      </c>
      <c r="D306">
        <f>IF(A306="","",IFERROR(INDEX('מלאי'!$H$3:$H$357,MATCH(A306,'מלאי'!$D$3:$D$357,0)),""))</f>
        <v/>
      </c>
      <c r="H306">
        <f>IF(A306="","",IFERROR(INDEX('מלאי'!$I$3:$I$357,MATCH(A306,'מלאי'!$D$3:$D$357,0)),""))</f>
        <v/>
      </c>
      <c r="M306">
        <f>IF(AND(E306="",I306=""),"",IF(H306="",E306,IF(I306="",E306,IFERROR((VALUE(E306)+VALUE(I306))/2,E306))))</f>
        <v/>
      </c>
      <c r="N306">
        <f>IF(AND(F306="",J306=""),"",IF(H306="",F306,IF(J306="",F306,IFERROR((VALUE(F306)+VALUE(J306))/2,F306))))</f>
        <v/>
      </c>
      <c r="O306">
        <f>IF(AND(M306="",N306=""),"",IF(M306="",N306,IF(N306="",M306,IFERROR((VALUE(M306)+VALUE(N306))/2,""))))</f>
        <v/>
      </c>
      <c r="P306">
        <f>IF(AND(OR('טכנו'!$C$3="הכל",IFERROR(VLOOKUP(D306,'הגדרות'!$A$2:$D$18,2,FALSE),"")='טכנו'!$C$3,IFERROR(VLOOKUP(D306,'הגדרות'!$A$2:$D$18,3,FALSE),"")='טכנו'!$C$3),OR('טכנו'!$C$4="הכל",C306='טכנו'!$C$4),OR('טכנו'!$C$5="הכל",L306='טכנו'!$C$5),OR('טכנו'!$C$6="",IFERROR(VALUE(M306),0)&gt;='טכנו'!$C$6),OR('טכנו'!$C$7="",IFERROR(VALUE(M306),0)&lt;='טכנו'!$C$7),A306&lt;&gt;""),ROW()-4,"")</f>
        <v/>
      </c>
    </row>
    <row r="307">
      <c r="B307">
        <f>IF(A307="","",IFERROR(INDEX('מלאי'!$B$3:$B$357,MATCH(A307,'מלאי'!$D$3:$D$357,0)),""))</f>
        <v/>
      </c>
      <c r="C307">
        <f>IF(A307="","",IFERROR(INDEX('מלאי'!$A$3:$A$357,MATCH(A307,'מלאי'!$D$3:$D$357,0)),""))</f>
        <v/>
      </c>
      <c r="D307">
        <f>IF(A307="","",IFERROR(INDEX('מלאי'!$H$3:$H$357,MATCH(A307,'מלאי'!$D$3:$D$357,0)),""))</f>
        <v/>
      </c>
      <c r="H307">
        <f>IF(A307="","",IFERROR(INDEX('מלאי'!$I$3:$I$357,MATCH(A307,'מלאי'!$D$3:$D$357,0)),""))</f>
        <v/>
      </c>
      <c r="M307">
        <f>IF(AND(E307="",I307=""),"",IF(H307="",E307,IF(I307="",E307,IFERROR((VALUE(E307)+VALUE(I307))/2,E307))))</f>
        <v/>
      </c>
      <c r="N307">
        <f>IF(AND(F307="",J307=""),"",IF(H307="",F307,IF(J307="",F307,IFERROR((VALUE(F307)+VALUE(J307))/2,F307))))</f>
        <v/>
      </c>
      <c r="O307">
        <f>IF(AND(M307="",N307=""),"",IF(M307="",N307,IF(N307="",M307,IFERROR((VALUE(M307)+VALUE(N307))/2,""))))</f>
        <v/>
      </c>
      <c r="P307">
        <f>IF(AND(OR('טכנו'!$C$3="הכל",IFERROR(VLOOKUP(D307,'הגדרות'!$A$2:$D$18,2,FALSE),"")='טכנו'!$C$3,IFERROR(VLOOKUP(D307,'הגדרות'!$A$2:$D$18,3,FALSE),"")='טכנו'!$C$3),OR('טכנו'!$C$4="הכל",C307='טכנו'!$C$4),OR('טכנו'!$C$5="הכל",L307='טכנו'!$C$5),OR('טכנו'!$C$6="",IFERROR(VALUE(M307),0)&gt;='טכנו'!$C$6),OR('טכנו'!$C$7="",IFERROR(VALUE(M307),0)&lt;='טכנו'!$C$7),A307&lt;&gt;""),ROW()-4,"")</f>
        <v/>
      </c>
    </row>
    <row r="308">
      <c r="B308">
        <f>IF(A308="","",IFERROR(INDEX('מלאי'!$B$3:$B$357,MATCH(A308,'מלאי'!$D$3:$D$357,0)),""))</f>
        <v/>
      </c>
      <c r="C308">
        <f>IF(A308="","",IFERROR(INDEX('מלאי'!$A$3:$A$357,MATCH(A308,'מלאי'!$D$3:$D$357,0)),""))</f>
        <v/>
      </c>
      <c r="D308">
        <f>IF(A308="","",IFERROR(INDEX('מלאי'!$H$3:$H$357,MATCH(A308,'מלאי'!$D$3:$D$357,0)),""))</f>
        <v/>
      </c>
      <c r="H308">
        <f>IF(A308="","",IFERROR(INDEX('מלאי'!$I$3:$I$357,MATCH(A308,'מלאי'!$D$3:$D$357,0)),""))</f>
        <v/>
      </c>
      <c r="M308">
        <f>IF(AND(E308="",I308=""),"",IF(H308="",E308,IF(I308="",E308,IFERROR((VALUE(E308)+VALUE(I308))/2,E308))))</f>
        <v/>
      </c>
      <c r="N308">
        <f>IF(AND(F308="",J308=""),"",IF(H308="",F308,IF(J308="",F308,IFERROR((VALUE(F308)+VALUE(J308))/2,F308))))</f>
        <v/>
      </c>
      <c r="O308">
        <f>IF(AND(M308="",N308=""),"",IF(M308="",N308,IF(N308="",M308,IFERROR((VALUE(M308)+VALUE(N308))/2,""))))</f>
        <v/>
      </c>
      <c r="P308">
        <f>IF(AND(OR('טכנו'!$C$3="הכל",IFERROR(VLOOKUP(D308,'הגדרות'!$A$2:$D$18,2,FALSE),"")='טכנו'!$C$3,IFERROR(VLOOKUP(D308,'הגדרות'!$A$2:$D$18,3,FALSE),"")='טכנו'!$C$3),OR('טכנו'!$C$4="הכל",C308='טכנו'!$C$4),OR('טכנו'!$C$5="הכל",L308='טכנו'!$C$5),OR('טכנו'!$C$6="",IFERROR(VALUE(M308),0)&gt;='טכנו'!$C$6),OR('טכנו'!$C$7="",IFERROR(VALUE(M308),0)&lt;='טכנו'!$C$7),A308&lt;&gt;""),ROW()-4,"")</f>
        <v/>
      </c>
    </row>
    <row r="309">
      <c r="B309">
        <f>IF(A309="","",IFERROR(INDEX('מלאי'!$B$3:$B$357,MATCH(A309,'מלאי'!$D$3:$D$357,0)),""))</f>
        <v/>
      </c>
      <c r="C309">
        <f>IF(A309="","",IFERROR(INDEX('מלאי'!$A$3:$A$357,MATCH(A309,'מלאי'!$D$3:$D$357,0)),""))</f>
        <v/>
      </c>
      <c r="D309">
        <f>IF(A309="","",IFERROR(INDEX('מלאי'!$H$3:$H$357,MATCH(A309,'מלאי'!$D$3:$D$357,0)),""))</f>
        <v/>
      </c>
      <c r="H309">
        <f>IF(A309="","",IFERROR(INDEX('מלאי'!$I$3:$I$357,MATCH(A309,'מלאי'!$D$3:$D$357,0)),""))</f>
        <v/>
      </c>
      <c r="M309">
        <f>IF(AND(E309="",I309=""),"",IF(H309="",E309,IF(I309="",E309,IFERROR((VALUE(E309)+VALUE(I309))/2,E309))))</f>
        <v/>
      </c>
      <c r="N309">
        <f>IF(AND(F309="",J309=""),"",IF(H309="",F309,IF(J309="",F309,IFERROR((VALUE(F309)+VALUE(J309))/2,F309))))</f>
        <v/>
      </c>
      <c r="O309">
        <f>IF(AND(M309="",N309=""),"",IF(M309="",N309,IF(N309="",M309,IFERROR((VALUE(M309)+VALUE(N309))/2,""))))</f>
        <v/>
      </c>
      <c r="P309">
        <f>IF(AND(OR('טכנו'!$C$3="הכל",IFERROR(VLOOKUP(D309,'הגדרות'!$A$2:$D$18,2,FALSE),"")='טכנו'!$C$3,IFERROR(VLOOKUP(D309,'הגדרות'!$A$2:$D$18,3,FALSE),"")='טכנו'!$C$3),OR('טכנו'!$C$4="הכל",C309='טכנו'!$C$4),OR('טכנו'!$C$5="הכל",L309='טכנו'!$C$5),OR('טכנו'!$C$6="",IFERROR(VALUE(M309),0)&gt;='טכנו'!$C$6),OR('טכנו'!$C$7="",IFERROR(VALUE(M309),0)&lt;='טכנו'!$C$7),A309&lt;&gt;""),ROW()-4,"")</f>
        <v/>
      </c>
    </row>
    <row r="310">
      <c r="B310">
        <f>IF(A310="","",IFERROR(INDEX('מלאי'!$B$3:$B$357,MATCH(A310,'מלאי'!$D$3:$D$357,0)),""))</f>
        <v/>
      </c>
      <c r="C310">
        <f>IF(A310="","",IFERROR(INDEX('מלאי'!$A$3:$A$357,MATCH(A310,'מלאי'!$D$3:$D$357,0)),""))</f>
        <v/>
      </c>
      <c r="D310">
        <f>IF(A310="","",IFERROR(INDEX('מלאי'!$H$3:$H$357,MATCH(A310,'מלאי'!$D$3:$D$357,0)),""))</f>
        <v/>
      </c>
      <c r="H310">
        <f>IF(A310="","",IFERROR(INDEX('מלאי'!$I$3:$I$357,MATCH(A310,'מלאי'!$D$3:$D$357,0)),""))</f>
        <v/>
      </c>
      <c r="M310">
        <f>IF(AND(E310="",I310=""),"",IF(H310="",E310,IF(I310="",E310,IFERROR((VALUE(E310)+VALUE(I310))/2,E310))))</f>
        <v/>
      </c>
      <c r="N310">
        <f>IF(AND(F310="",J310=""),"",IF(H310="",F310,IF(J310="",F310,IFERROR((VALUE(F310)+VALUE(J310))/2,F310))))</f>
        <v/>
      </c>
      <c r="O310">
        <f>IF(AND(M310="",N310=""),"",IF(M310="",N310,IF(N310="",M310,IFERROR((VALUE(M310)+VALUE(N310))/2,""))))</f>
        <v/>
      </c>
      <c r="P310">
        <f>IF(AND(OR('טכנו'!$C$3="הכל",IFERROR(VLOOKUP(D310,'הגדרות'!$A$2:$D$18,2,FALSE),"")='טכנו'!$C$3,IFERROR(VLOOKUP(D310,'הגדרות'!$A$2:$D$18,3,FALSE),"")='טכנו'!$C$3),OR('טכנו'!$C$4="הכל",C310='טכנו'!$C$4),OR('טכנו'!$C$5="הכל",L310='טכנו'!$C$5),OR('טכנו'!$C$6="",IFERROR(VALUE(M310),0)&gt;='טכנו'!$C$6),OR('טכנו'!$C$7="",IFERROR(VALUE(M310),0)&lt;='טכנו'!$C$7),A310&lt;&gt;""),ROW()-4,"")</f>
        <v/>
      </c>
    </row>
    <row r="311">
      <c r="B311">
        <f>IF(A311="","",IFERROR(INDEX('מלאי'!$B$3:$B$357,MATCH(A311,'מלאי'!$D$3:$D$357,0)),""))</f>
        <v/>
      </c>
      <c r="C311">
        <f>IF(A311="","",IFERROR(INDEX('מלאי'!$A$3:$A$357,MATCH(A311,'מלאי'!$D$3:$D$357,0)),""))</f>
        <v/>
      </c>
      <c r="D311">
        <f>IF(A311="","",IFERROR(INDEX('מלאי'!$H$3:$H$357,MATCH(A311,'מלאי'!$D$3:$D$357,0)),""))</f>
        <v/>
      </c>
      <c r="H311">
        <f>IF(A311="","",IFERROR(INDEX('מלאי'!$I$3:$I$357,MATCH(A311,'מלאי'!$D$3:$D$357,0)),""))</f>
        <v/>
      </c>
      <c r="M311">
        <f>IF(AND(E311="",I311=""),"",IF(H311="",E311,IF(I311="",E311,IFERROR((VALUE(E311)+VALUE(I311))/2,E311))))</f>
        <v/>
      </c>
      <c r="N311">
        <f>IF(AND(F311="",J311=""),"",IF(H311="",F311,IF(J311="",F311,IFERROR((VALUE(F311)+VALUE(J311))/2,F311))))</f>
        <v/>
      </c>
      <c r="O311">
        <f>IF(AND(M311="",N311=""),"",IF(M311="",N311,IF(N311="",M311,IFERROR((VALUE(M311)+VALUE(N311))/2,""))))</f>
        <v/>
      </c>
      <c r="P311">
        <f>IF(AND(OR('טכנו'!$C$3="הכל",IFERROR(VLOOKUP(D311,'הגדרות'!$A$2:$D$18,2,FALSE),"")='טכנו'!$C$3,IFERROR(VLOOKUP(D311,'הגדרות'!$A$2:$D$18,3,FALSE),"")='טכנו'!$C$3),OR('טכנו'!$C$4="הכל",C311='טכנו'!$C$4),OR('טכנו'!$C$5="הכל",L311='טכנו'!$C$5),OR('טכנו'!$C$6="",IFERROR(VALUE(M311),0)&gt;='טכנו'!$C$6),OR('טכנו'!$C$7="",IFERROR(VALUE(M311),0)&lt;='טכנו'!$C$7),A311&lt;&gt;""),ROW()-4,"")</f>
        <v/>
      </c>
    </row>
    <row r="312">
      <c r="B312">
        <f>IF(A312="","",IFERROR(INDEX('מלאי'!$B$3:$B$357,MATCH(A312,'מלאי'!$D$3:$D$357,0)),""))</f>
        <v/>
      </c>
      <c r="C312">
        <f>IF(A312="","",IFERROR(INDEX('מלאי'!$A$3:$A$357,MATCH(A312,'מלאי'!$D$3:$D$357,0)),""))</f>
        <v/>
      </c>
      <c r="D312">
        <f>IF(A312="","",IFERROR(INDEX('מלאי'!$H$3:$H$357,MATCH(A312,'מלאי'!$D$3:$D$357,0)),""))</f>
        <v/>
      </c>
      <c r="H312">
        <f>IF(A312="","",IFERROR(INDEX('מלאי'!$I$3:$I$357,MATCH(A312,'מלאי'!$D$3:$D$357,0)),""))</f>
        <v/>
      </c>
      <c r="M312">
        <f>IF(AND(E312="",I312=""),"",IF(H312="",E312,IF(I312="",E312,IFERROR((VALUE(E312)+VALUE(I312))/2,E312))))</f>
        <v/>
      </c>
      <c r="N312">
        <f>IF(AND(F312="",J312=""),"",IF(H312="",F312,IF(J312="",F312,IFERROR((VALUE(F312)+VALUE(J312))/2,F312))))</f>
        <v/>
      </c>
      <c r="O312">
        <f>IF(AND(M312="",N312=""),"",IF(M312="",N312,IF(N312="",M312,IFERROR((VALUE(M312)+VALUE(N312))/2,""))))</f>
        <v/>
      </c>
      <c r="P312">
        <f>IF(AND(OR('טכנו'!$C$3="הכל",IFERROR(VLOOKUP(D312,'הגדרות'!$A$2:$D$18,2,FALSE),"")='טכנו'!$C$3,IFERROR(VLOOKUP(D312,'הגדרות'!$A$2:$D$18,3,FALSE),"")='טכנו'!$C$3),OR('טכנו'!$C$4="הכל",C312='טכנו'!$C$4),OR('טכנו'!$C$5="הכל",L312='טכנו'!$C$5),OR('טכנו'!$C$6="",IFERROR(VALUE(M312),0)&gt;='טכנו'!$C$6),OR('טכנו'!$C$7="",IFERROR(VALUE(M312),0)&lt;='טכנו'!$C$7),A312&lt;&gt;""),ROW()-4,"")</f>
        <v/>
      </c>
    </row>
    <row r="313">
      <c r="B313">
        <f>IF(A313="","",IFERROR(INDEX('מלאי'!$B$3:$B$357,MATCH(A313,'מלאי'!$D$3:$D$357,0)),""))</f>
        <v/>
      </c>
      <c r="C313">
        <f>IF(A313="","",IFERROR(INDEX('מלאי'!$A$3:$A$357,MATCH(A313,'מלאי'!$D$3:$D$357,0)),""))</f>
        <v/>
      </c>
      <c r="D313">
        <f>IF(A313="","",IFERROR(INDEX('מלאי'!$H$3:$H$357,MATCH(A313,'מלאי'!$D$3:$D$357,0)),""))</f>
        <v/>
      </c>
      <c r="H313">
        <f>IF(A313="","",IFERROR(INDEX('מלאי'!$I$3:$I$357,MATCH(A313,'מלאי'!$D$3:$D$357,0)),""))</f>
        <v/>
      </c>
      <c r="M313">
        <f>IF(AND(E313="",I313=""),"",IF(H313="",E313,IF(I313="",E313,IFERROR((VALUE(E313)+VALUE(I313))/2,E313))))</f>
        <v/>
      </c>
      <c r="N313">
        <f>IF(AND(F313="",J313=""),"",IF(H313="",F313,IF(J313="",F313,IFERROR((VALUE(F313)+VALUE(J313))/2,F313))))</f>
        <v/>
      </c>
      <c r="O313">
        <f>IF(AND(M313="",N313=""),"",IF(M313="",N313,IF(N313="",M313,IFERROR((VALUE(M313)+VALUE(N313))/2,""))))</f>
        <v/>
      </c>
      <c r="P313">
        <f>IF(AND(OR('טכנו'!$C$3="הכל",IFERROR(VLOOKUP(D313,'הגדרות'!$A$2:$D$18,2,FALSE),"")='טכנו'!$C$3,IFERROR(VLOOKUP(D313,'הגדרות'!$A$2:$D$18,3,FALSE),"")='טכנו'!$C$3),OR('טכנו'!$C$4="הכל",C313='טכנו'!$C$4),OR('טכנו'!$C$5="הכל",L313='טכנו'!$C$5),OR('טכנו'!$C$6="",IFERROR(VALUE(M313),0)&gt;='טכנו'!$C$6),OR('טכנו'!$C$7="",IFERROR(VALUE(M313),0)&lt;='טכנו'!$C$7),A313&lt;&gt;""),ROW()-4,"")</f>
        <v/>
      </c>
    </row>
    <row r="314">
      <c r="B314">
        <f>IF(A314="","",IFERROR(INDEX('מלאי'!$B$3:$B$357,MATCH(A314,'מלאי'!$D$3:$D$357,0)),""))</f>
        <v/>
      </c>
      <c r="C314">
        <f>IF(A314="","",IFERROR(INDEX('מלאי'!$A$3:$A$357,MATCH(A314,'מלאי'!$D$3:$D$357,0)),""))</f>
        <v/>
      </c>
      <c r="D314">
        <f>IF(A314="","",IFERROR(INDEX('מלאי'!$H$3:$H$357,MATCH(A314,'מלאי'!$D$3:$D$357,0)),""))</f>
        <v/>
      </c>
      <c r="H314">
        <f>IF(A314="","",IFERROR(INDEX('מלאי'!$I$3:$I$357,MATCH(A314,'מלאי'!$D$3:$D$357,0)),""))</f>
        <v/>
      </c>
      <c r="M314">
        <f>IF(AND(E314="",I314=""),"",IF(H314="",E314,IF(I314="",E314,IFERROR((VALUE(E314)+VALUE(I314))/2,E314))))</f>
        <v/>
      </c>
      <c r="N314">
        <f>IF(AND(F314="",J314=""),"",IF(H314="",F314,IF(J314="",F314,IFERROR((VALUE(F314)+VALUE(J314))/2,F314))))</f>
        <v/>
      </c>
      <c r="O314">
        <f>IF(AND(M314="",N314=""),"",IF(M314="",N314,IF(N314="",M314,IFERROR((VALUE(M314)+VALUE(N314))/2,""))))</f>
        <v/>
      </c>
      <c r="P314">
        <f>IF(AND(OR('טכנו'!$C$3="הכל",IFERROR(VLOOKUP(D314,'הגדרות'!$A$2:$D$18,2,FALSE),"")='טכנו'!$C$3,IFERROR(VLOOKUP(D314,'הגדרות'!$A$2:$D$18,3,FALSE),"")='טכנו'!$C$3),OR('טכנו'!$C$4="הכל",C314='טכנו'!$C$4),OR('טכנו'!$C$5="הכל",L314='טכנו'!$C$5),OR('טכנו'!$C$6="",IFERROR(VALUE(M314),0)&gt;='טכנו'!$C$6),OR('טכנו'!$C$7="",IFERROR(VALUE(M314),0)&lt;='טכנו'!$C$7),A314&lt;&gt;""),ROW()-4,"")</f>
        <v/>
      </c>
    </row>
    <row r="315">
      <c r="B315">
        <f>IF(A315="","",IFERROR(INDEX('מלאי'!$B$3:$B$357,MATCH(A315,'מלאי'!$D$3:$D$357,0)),""))</f>
        <v/>
      </c>
      <c r="C315">
        <f>IF(A315="","",IFERROR(INDEX('מלאי'!$A$3:$A$357,MATCH(A315,'מלאי'!$D$3:$D$357,0)),""))</f>
        <v/>
      </c>
      <c r="D315">
        <f>IF(A315="","",IFERROR(INDEX('מלאי'!$H$3:$H$357,MATCH(A315,'מלאי'!$D$3:$D$357,0)),""))</f>
        <v/>
      </c>
      <c r="H315">
        <f>IF(A315="","",IFERROR(INDEX('מלאי'!$I$3:$I$357,MATCH(A315,'מלאי'!$D$3:$D$357,0)),""))</f>
        <v/>
      </c>
      <c r="M315">
        <f>IF(AND(E315="",I315=""),"",IF(H315="",E315,IF(I315="",E315,IFERROR((VALUE(E315)+VALUE(I315))/2,E315))))</f>
        <v/>
      </c>
      <c r="N315">
        <f>IF(AND(F315="",J315=""),"",IF(H315="",F315,IF(J315="",F315,IFERROR((VALUE(F315)+VALUE(J315))/2,F315))))</f>
        <v/>
      </c>
      <c r="O315">
        <f>IF(AND(M315="",N315=""),"",IF(M315="",N315,IF(N315="",M315,IFERROR((VALUE(M315)+VALUE(N315))/2,""))))</f>
        <v/>
      </c>
      <c r="P315">
        <f>IF(AND(OR('טכנו'!$C$3="הכל",IFERROR(VLOOKUP(D315,'הגדרות'!$A$2:$D$18,2,FALSE),"")='טכנו'!$C$3,IFERROR(VLOOKUP(D315,'הגדרות'!$A$2:$D$18,3,FALSE),"")='טכנו'!$C$3),OR('טכנו'!$C$4="הכל",C315='טכנו'!$C$4),OR('טכנו'!$C$5="הכל",L315='טכנו'!$C$5),OR('טכנו'!$C$6="",IFERROR(VALUE(M315),0)&gt;='טכנו'!$C$6),OR('טכנו'!$C$7="",IFERROR(VALUE(M315),0)&lt;='טכנו'!$C$7),A315&lt;&gt;""),ROW()-4,"")</f>
        <v/>
      </c>
    </row>
    <row r="316">
      <c r="B316">
        <f>IF(A316="","",IFERROR(INDEX('מלאי'!$B$3:$B$357,MATCH(A316,'מלאי'!$D$3:$D$357,0)),""))</f>
        <v/>
      </c>
      <c r="C316">
        <f>IF(A316="","",IFERROR(INDEX('מלאי'!$A$3:$A$357,MATCH(A316,'מלאי'!$D$3:$D$357,0)),""))</f>
        <v/>
      </c>
      <c r="D316">
        <f>IF(A316="","",IFERROR(INDEX('מלאי'!$H$3:$H$357,MATCH(A316,'מלאי'!$D$3:$D$357,0)),""))</f>
        <v/>
      </c>
      <c r="H316">
        <f>IF(A316="","",IFERROR(INDEX('מלאי'!$I$3:$I$357,MATCH(A316,'מלאי'!$D$3:$D$357,0)),""))</f>
        <v/>
      </c>
      <c r="M316">
        <f>IF(AND(E316="",I316=""),"",IF(H316="",E316,IF(I316="",E316,IFERROR((VALUE(E316)+VALUE(I316))/2,E316))))</f>
        <v/>
      </c>
      <c r="N316">
        <f>IF(AND(F316="",J316=""),"",IF(H316="",F316,IF(J316="",F316,IFERROR((VALUE(F316)+VALUE(J316))/2,F316))))</f>
        <v/>
      </c>
      <c r="O316">
        <f>IF(AND(M316="",N316=""),"",IF(M316="",N316,IF(N316="",M316,IFERROR((VALUE(M316)+VALUE(N316))/2,""))))</f>
        <v/>
      </c>
      <c r="P316">
        <f>IF(AND(OR('טכנו'!$C$3="הכל",IFERROR(VLOOKUP(D316,'הגדרות'!$A$2:$D$18,2,FALSE),"")='טכנו'!$C$3,IFERROR(VLOOKUP(D316,'הגדרות'!$A$2:$D$18,3,FALSE),"")='טכנו'!$C$3),OR('טכנו'!$C$4="הכל",C316='טכנו'!$C$4),OR('טכנו'!$C$5="הכל",L316='טכנו'!$C$5),OR('טכנו'!$C$6="",IFERROR(VALUE(M316),0)&gt;='טכנו'!$C$6),OR('טכנו'!$C$7="",IFERROR(VALUE(M316),0)&lt;='טכנו'!$C$7),A316&lt;&gt;""),ROW()-4,"")</f>
        <v/>
      </c>
    </row>
    <row r="317">
      <c r="B317">
        <f>IF(A317="","",IFERROR(INDEX('מלאי'!$B$3:$B$357,MATCH(A317,'מלאי'!$D$3:$D$357,0)),""))</f>
        <v/>
      </c>
      <c r="C317">
        <f>IF(A317="","",IFERROR(INDEX('מלאי'!$A$3:$A$357,MATCH(A317,'מלאי'!$D$3:$D$357,0)),""))</f>
        <v/>
      </c>
      <c r="D317">
        <f>IF(A317="","",IFERROR(INDEX('מלאי'!$H$3:$H$357,MATCH(A317,'מלאי'!$D$3:$D$357,0)),""))</f>
        <v/>
      </c>
      <c r="H317">
        <f>IF(A317="","",IFERROR(INDEX('מלאי'!$I$3:$I$357,MATCH(A317,'מלאי'!$D$3:$D$357,0)),""))</f>
        <v/>
      </c>
      <c r="M317">
        <f>IF(AND(E317="",I317=""),"",IF(H317="",E317,IF(I317="",E317,IFERROR((VALUE(E317)+VALUE(I317))/2,E317))))</f>
        <v/>
      </c>
      <c r="N317">
        <f>IF(AND(F317="",J317=""),"",IF(H317="",F317,IF(J317="",F317,IFERROR((VALUE(F317)+VALUE(J317))/2,F317))))</f>
        <v/>
      </c>
      <c r="O317">
        <f>IF(AND(M317="",N317=""),"",IF(M317="",N317,IF(N317="",M317,IFERROR((VALUE(M317)+VALUE(N317))/2,""))))</f>
        <v/>
      </c>
      <c r="P317">
        <f>IF(AND(OR('טכנו'!$C$3="הכל",IFERROR(VLOOKUP(D317,'הגדרות'!$A$2:$D$18,2,FALSE),"")='טכנו'!$C$3,IFERROR(VLOOKUP(D317,'הגדרות'!$A$2:$D$18,3,FALSE),"")='טכנו'!$C$3),OR('טכנו'!$C$4="הכל",C317='טכנו'!$C$4),OR('טכנו'!$C$5="הכל",L317='טכנו'!$C$5),OR('טכנו'!$C$6="",IFERROR(VALUE(M317),0)&gt;='טכנו'!$C$6),OR('טכנו'!$C$7="",IFERROR(VALUE(M317),0)&lt;='טכנו'!$C$7),A317&lt;&gt;""),ROW()-4,"")</f>
        <v/>
      </c>
    </row>
    <row r="318">
      <c r="B318">
        <f>IF(A318="","",IFERROR(INDEX('מלאי'!$B$3:$B$357,MATCH(A318,'מלאי'!$D$3:$D$357,0)),""))</f>
        <v/>
      </c>
      <c r="C318">
        <f>IF(A318="","",IFERROR(INDEX('מלאי'!$A$3:$A$357,MATCH(A318,'מלאי'!$D$3:$D$357,0)),""))</f>
        <v/>
      </c>
      <c r="D318">
        <f>IF(A318="","",IFERROR(INDEX('מלאי'!$H$3:$H$357,MATCH(A318,'מלאי'!$D$3:$D$357,0)),""))</f>
        <v/>
      </c>
      <c r="H318">
        <f>IF(A318="","",IFERROR(INDEX('מלאי'!$I$3:$I$357,MATCH(A318,'מלאי'!$D$3:$D$357,0)),""))</f>
        <v/>
      </c>
      <c r="M318">
        <f>IF(AND(E318="",I318=""),"",IF(H318="",E318,IF(I318="",E318,IFERROR((VALUE(E318)+VALUE(I318))/2,E318))))</f>
        <v/>
      </c>
      <c r="N318">
        <f>IF(AND(F318="",J318=""),"",IF(H318="",F318,IF(J318="",F318,IFERROR((VALUE(F318)+VALUE(J318))/2,F318))))</f>
        <v/>
      </c>
      <c r="O318">
        <f>IF(AND(M318="",N318=""),"",IF(M318="",N318,IF(N318="",M318,IFERROR((VALUE(M318)+VALUE(N318))/2,""))))</f>
        <v/>
      </c>
      <c r="P318">
        <f>IF(AND(OR('טכנו'!$C$3="הכל",IFERROR(VLOOKUP(D318,'הגדרות'!$A$2:$D$18,2,FALSE),"")='טכנו'!$C$3,IFERROR(VLOOKUP(D318,'הגדרות'!$A$2:$D$18,3,FALSE),"")='טכנו'!$C$3),OR('טכנו'!$C$4="הכל",C318='טכנו'!$C$4),OR('טכנו'!$C$5="הכל",L318='טכנו'!$C$5),OR('טכנו'!$C$6="",IFERROR(VALUE(M318),0)&gt;='טכנו'!$C$6),OR('טכנו'!$C$7="",IFERROR(VALUE(M318),0)&lt;='טכנו'!$C$7),A318&lt;&gt;""),ROW()-4,"")</f>
        <v/>
      </c>
    </row>
    <row r="319">
      <c r="B319">
        <f>IF(A319="","",IFERROR(INDEX('מלאי'!$B$3:$B$357,MATCH(A319,'מלאי'!$D$3:$D$357,0)),""))</f>
        <v/>
      </c>
      <c r="C319">
        <f>IF(A319="","",IFERROR(INDEX('מלאי'!$A$3:$A$357,MATCH(A319,'מלאי'!$D$3:$D$357,0)),""))</f>
        <v/>
      </c>
      <c r="D319">
        <f>IF(A319="","",IFERROR(INDEX('מלאי'!$H$3:$H$357,MATCH(A319,'מלאי'!$D$3:$D$357,0)),""))</f>
        <v/>
      </c>
      <c r="H319">
        <f>IF(A319="","",IFERROR(INDEX('מלאי'!$I$3:$I$357,MATCH(A319,'מלאי'!$D$3:$D$357,0)),""))</f>
        <v/>
      </c>
      <c r="M319">
        <f>IF(AND(E319="",I319=""),"",IF(H319="",E319,IF(I319="",E319,IFERROR((VALUE(E319)+VALUE(I319))/2,E319))))</f>
        <v/>
      </c>
      <c r="N319">
        <f>IF(AND(F319="",J319=""),"",IF(H319="",F319,IF(J319="",F319,IFERROR((VALUE(F319)+VALUE(J319))/2,F319))))</f>
        <v/>
      </c>
      <c r="O319">
        <f>IF(AND(M319="",N319=""),"",IF(M319="",N319,IF(N319="",M319,IFERROR((VALUE(M319)+VALUE(N319))/2,""))))</f>
        <v/>
      </c>
      <c r="P319">
        <f>IF(AND(OR('טכנו'!$C$3="הכל",IFERROR(VLOOKUP(D319,'הגדרות'!$A$2:$D$18,2,FALSE),"")='טכנו'!$C$3,IFERROR(VLOOKUP(D319,'הגדרות'!$A$2:$D$18,3,FALSE),"")='טכנו'!$C$3),OR('טכנו'!$C$4="הכל",C319='טכנו'!$C$4),OR('טכנו'!$C$5="הכל",L319='טכנו'!$C$5),OR('טכנו'!$C$6="",IFERROR(VALUE(M319),0)&gt;='טכנו'!$C$6),OR('טכנו'!$C$7="",IFERROR(VALUE(M319),0)&lt;='טכנו'!$C$7),A319&lt;&gt;""),ROW()-4,"")</f>
        <v/>
      </c>
    </row>
    <row r="320">
      <c r="B320">
        <f>IF(A320="","",IFERROR(INDEX('מלאי'!$B$3:$B$357,MATCH(A320,'מלאי'!$D$3:$D$357,0)),""))</f>
        <v/>
      </c>
      <c r="C320">
        <f>IF(A320="","",IFERROR(INDEX('מלאי'!$A$3:$A$357,MATCH(A320,'מלאי'!$D$3:$D$357,0)),""))</f>
        <v/>
      </c>
      <c r="D320">
        <f>IF(A320="","",IFERROR(INDEX('מלאי'!$H$3:$H$357,MATCH(A320,'מלאי'!$D$3:$D$357,0)),""))</f>
        <v/>
      </c>
      <c r="H320">
        <f>IF(A320="","",IFERROR(INDEX('מלאי'!$I$3:$I$357,MATCH(A320,'מלאי'!$D$3:$D$357,0)),""))</f>
        <v/>
      </c>
      <c r="M320">
        <f>IF(AND(E320="",I320=""),"",IF(H320="",E320,IF(I320="",E320,IFERROR((VALUE(E320)+VALUE(I320))/2,E320))))</f>
        <v/>
      </c>
      <c r="N320">
        <f>IF(AND(F320="",J320=""),"",IF(H320="",F320,IF(J320="",F320,IFERROR((VALUE(F320)+VALUE(J320))/2,F320))))</f>
        <v/>
      </c>
      <c r="O320">
        <f>IF(AND(M320="",N320=""),"",IF(M320="",N320,IF(N320="",M320,IFERROR((VALUE(M320)+VALUE(N320))/2,""))))</f>
        <v/>
      </c>
      <c r="P320">
        <f>IF(AND(OR('טכנו'!$C$3="הכל",IFERROR(VLOOKUP(D320,'הגדרות'!$A$2:$D$18,2,FALSE),"")='טכנו'!$C$3,IFERROR(VLOOKUP(D320,'הגדרות'!$A$2:$D$18,3,FALSE),"")='טכנו'!$C$3),OR('טכנו'!$C$4="הכל",C320='טכנו'!$C$4),OR('טכנו'!$C$5="הכל",L320='טכנו'!$C$5),OR('טכנו'!$C$6="",IFERROR(VALUE(M320),0)&gt;='טכנו'!$C$6),OR('טכנו'!$C$7="",IFERROR(VALUE(M320),0)&lt;='טכנו'!$C$7),A320&lt;&gt;""),ROW()-4,"")</f>
        <v/>
      </c>
    </row>
    <row r="321">
      <c r="B321">
        <f>IF(A321="","",IFERROR(INDEX('מלאי'!$B$3:$B$357,MATCH(A321,'מלאי'!$D$3:$D$357,0)),""))</f>
        <v/>
      </c>
      <c r="C321">
        <f>IF(A321="","",IFERROR(INDEX('מלאי'!$A$3:$A$357,MATCH(A321,'מלאי'!$D$3:$D$357,0)),""))</f>
        <v/>
      </c>
      <c r="D321">
        <f>IF(A321="","",IFERROR(INDEX('מלאי'!$H$3:$H$357,MATCH(A321,'מלאי'!$D$3:$D$357,0)),""))</f>
        <v/>
      </c>
      <c r="H321">
        <f>IF(A321="","",IFERROR(INDEX('מלאי'!$I$3:$I$357,MATCH(A321,'מלאי'!$D$3:$D$357,0)),""))</f>
        <v/>
      </c>
      <c r="M321">
        <f>IF(AND(E321="",I321=""),"",IF(H321="",E321,IF(I321="",E321,IFERROR((VALUE(E321)+VALUE(I321))/2,E321))))</f>
        <v/>
      </c>
      <c r="N321">
        <f>IF(AND(F321="",J321=""),"",IF(H321="",F321,IF(J321="",F321,IFERROR((VALUE(F321)+VALUE(J321))/2,F321))))</f>
        <v/>
      </c>
      <c r="O321">
        <f>IF(AND(M321="",N321=""),"",IF(M321="",N321,IF(N321="",M321,IFERROR((VALUE(M321)+VALUE(N321))/2,""))))</f>
        <v/>
      </c>
      <c r="P321">
        <f>IF(AND(OR('טכנו'!$C$3="הכל",IFERROR(VLOOKUP(D321,'הגדרות'!$A$2:$D$18,2,FALSE),"")='טכנו'!$C$3,IFERROR(VLOOKUP(D321,'הגדרות'!$A$2:$D$18,3,FALSE),"")='טכנו'!$C$3),OR('טכנו'!$C$4="הכל",C321='טכנו'!$C$4),OR('טכנו'!$C$5="הכל",L321='טכנו'!$C$5),OR('טכנו'!$C$6="",IFERROR(VALUE(M321),0)&gt;='טכנו'!$C$6),OR('טכנו'!$C$7="",IFERROR(VALUE(M321),0)&lt;='טכנו'!$C$7),A321&lt;&gt;""),ROW()-4,"")</f>
        <v/>
      </c>
    </row>
    <row r="322">
      <c r="B322">
        <f>IF(A322="","",IFERROR(INDEX('מלאי'!$B$3:$B$357,MATCH(A322,'מלאי'!$D$3:$D$357,0)),""))</f>
        <v/>
      </c>
      <c r="C322">
        <f>IF(A322="","",IFERROR(INDEX('מלאי'!$A$3:$A$357,MATCH(A322,'מלאי'!$D$3:$D$357,0)),""))</f>
        <v/>
      </c>
      <c r="D322">
        <f>IF(A322="","",IFERROR(INDEX('מלאי'!$H$3:$H$357,MATCH(A322,'מלאי'!$D$3:$D$357,0)),""))</f>
        <v/>
      </c>
      <c r="H322">
        <f>IF(A322="","",IFERROR(INDEX('מלאי'!$I$3:$I$357,MATCH(A322,'מלאי'!$D$3:$D$357,0)),""))</f>
        <v/>
      </c>
      <c r="M322">
        <f>IF(AND(E322="",I322=""),"",IF(H322="",E322,IF(I322="",E322,IFERROR((VALUE(E322)+VALUE(I322))/2,E322))))</f>
        <v/>
      </c>
      <c r="N322">
        <f>IF(AND(F322="",J322=""),"",IF(H322="",F322,IF(J322="",F322,IFERROR((VALUE(F322)+VALUE(J322))/2,F322))))</f>
        <v/>
      </c>
      <c r="O322">
        <f>IF(AND(M322="",N322=""),"",IF(M322="",N322,IF(N322="",M322,IFERROR((VALUE(M322)+VALUE(N322))/2,""))))</f>
        <v/>
      </c>
      <c r="P322">
        <f>IF(AND(OR('טכנו'!$C$3="הכל",IFERROR(VLOOKUP(D322,'הגדרות'!$A$2:$D$18,2,FALSE),"")='טכנו'!$C$3,IFERROR(VLOOKUP(D322,'הגדרות'!$A$2:$D$18,3,FALSE),"")='טכנו'!$C$3),OR('טכנו'!$C$4="הכל",C322='טכנו'!$C$4),OR('טכנו'!$C$5="הכל",L322='טכנו'!$C$5),OR('טכנו'!$C$6="",IFERROR(VALUE(M322),0)&gt;='טכנו'!$C$6),OR('טכנו'!$C$7="",IFERROR(VALUE(M322),0)&lt;='טכנו'!$C$7),A322&lt;&gt;""),ROW()-4,"")</f>
        <v/>
      </c>
    </row>
    <row r="323">
      <c r="B323">
        <f>IF(A323="","",IFERROR(INDEX('מלאי'!$B$3:$B$357,MATCH(A323,'מלאי'!$D$3:$D$357,0)),""))</f>
        <v/>
      </c>
      <c r="C323">
        <f>IF(A323="","",IFERROR(INDEX('מלאי'!$A$3:$A$357,MATCH(A323,'מלאי'!$D$3:$D$357,0)),""))</f>
        <v/>
      </c>
      <c r="D323">
        <f>IF(A323="","",IFERROR(INDEX('מלאי'!$H$3:$H$357,MATCH(A323,'מלאי'!$D$3:$D$357,0)),""))</f>
        <v/>
      </c>
      <c r="H323">
        <f>IF(A323="","",IFERROR(INDEX('מלאי'!$I$3:$I$357,MATCH(A323,'מלאי'!$D$3:$D$357,0)),""))</f>
        <v/>
      </c>
      <c r="M323">
        <f>IF(AND(E323="",I323=""),"",IF(H323="",E323,IF(I323="",E323,IFERROR((VALUE(E323)+VALUE(I323))/2,E323))))</f>
        <v/>
      </c>
      <c r="N323">
        <f>IF(AND(F323="",J323=""),"",IF(H323="",F323,IF(J323="",F323,IFERROR((VALUE(F323)+VALUE(J323))/2,F323))))</f>
        <v/>
      </c>
      <c r="O323">
        <f>IF(AND(M323="",N323=""),"",IF(M323="",N323,IF(N323="",M323,IFERROR((VALUE(M323)+VALUE(N323))/2,""))))</f>
        <v/>
      </c>
      <c r="P323">
        <f>IF(AND(OR('טכנו'!$C$3="הכל",IFERROR(VLOOKUP(D323,'הגדרות'!$A$2:$D$18,2,FALSE),"")='טכנו'!$C$3,IFERROR(VLOOKUP(D323,'הגדרות'!$A$2:$D$18,3,FALSE),"")='טכנו'!$C$3),OR('טכנו'!$C$4="הכל",C323='טכנו'!$C$4),OR('טכנו'!$C$5="הכל",L323='טכנו'!$C$5),OR('טכנו'!$C$6="",IFERROR(VALUE(M323),0)&gt;='טכנו'!$C$6),OR('טכנו'!$C$7="",IFERROR(VALUE(M323),0)&lt;='טכנו'!$C$7),A323&lt;&gt;""),ROW()-4,"")</f>
        <v/>
      </c>
    </row>
    <row r="324">
      <c r="B324">
        <f>IF(A324="","",IFERROR(INDEX('מלאי'!$B$3:$B$357,MATCH(A324,'מלאי'!$D$3:$D$357,0)),""))</f>
        <v/>
      </c>
      <c r="C324">
        <f>IF(A324="","",IFERROR(INDEX('מלאי'!$A$3:$A$357,MATCH(A324,'מלאי'!$D$3:$D$357,0)),""))</f>
        <v/>
      </c>
      <c r="D324">
        <f>IF(A324="","",IFERROR(INDEX('מלאי'!$H$3:$H$357,MATCH(A324,'מלאי'!$D$3:$D$357,0)),""))</f>
        <v/>
      </c>
      <c r="H324">
        <f>IF(A324="","",IFERROR(INDEX('מלאי'!$I$3:$I$357,MATCH(A324,'מלאי'!$D$3:$D$357,0)),""))</f>
        <v/>
      </c>
      <c r="M324">
        <f>IF(AND(E324="",I324=""),"",IF(H324="",E324,IF(I324="",E324,IFERROR((VALUE(E324)+VALUE(I324))/2,E324))))</f>
        <v/>
      </c>
      <c r="N324">
        <f>IF(AND(F324="",J324=""),"",IF(H324="",F324,IF(J324="",F324,IFERROR((VALUE(F324)+VALUE(J324))/2,F324))))</f>
        <v/>
      </c>
      <c r="O324">
        <f>IF(AND(M324="",N324=""),"",IF(M324="",N324,IF(N324="",M324,IFERROR((VALUE(M324)+VALUE(N324))/2,""))))</f>
        <v/>
      </c>
      <c r="P324">
        <f>IF(AND(OR('טכנו'!$C$3="הכל",IFERROR(VLOOKUP(D324,'הגדרות'!$A$2:$D$18,2,FALSE),"")='טכנו'!$C$3,IFERROR(VLOOKUP(D324,'הגדרות'!$A$2:$D$18,3,FALSE),"")='טכנו'!$C$3),OR('טכנו'!$C$4="הכל",C324='טכנו'!$C$4),OR('טכנו'!$C$5="הכל",L324='טכנו'!$C$5),OR('טכנו'!$C$6="",IFERROR(VALUE(M324),0)&gt;='טכנו'!$C$6),OR('טכנו'!$C$7="",IFERROR(VALUE(M324),0)&lt;='טכנו'!$C$7),A324&lt;&gt;""),ROW()-4,"")</f>
        <v/>
      </c>
    </row>
    <row r="325">
      <c r="B325">
        <f>IF(A325="","",IFERROR(INDEX('מלאי'!$B$3:$B$357,MATCH(A325,'מלאי'!$D$3:$D$357,0)),""))</f>
        <v/>
      </c>
      <c r="C325">
        <f>IF(A325="","",IFERROR(INDEX('מלאי'!$A$3:$A$357,MATCH(A325,'מלאי'!$D$3:$D$357,0)),""))</f>
        <v/>
      </c>
      <c r="D325">
        <f>IF(A325="","",IFERROR(INDEX('מלאי'!$H$3:$H$357,MATCH(A325,'מלאי'!$D$3:$D$357,0)),""))</f>
        <v/>
      </c>
      <c r="H325">
        <f>IF(A325="","",IFERROR(INDEX('מלאי'!$I$3:$I$357,MATCH(A325,'מלאי'!$D$3:$D$357,0)),""))</f>
        <v/>
      </c>
      <c r="M325">
        <f>IF(AND(E325="",I325=""),"",IF(H325="",E325,IF(I325="",E325,IFERROR((VALUE(E325)+VALUE(I325))/2,E325))))</f>
        <v/>
      </c>
      <c r="N325">
        <f>IF(AND(F325="",J325=""),"",IF(H325="",F325,IF(J325="",F325,IFERROR((VALUE(F325)+VALUE(J325))/2,F325))))</f>
        <v/>
      </c>
      <c r="O325">
        <f>IF(AND(M325="",N325=""),"",IF(M325="",N325,IF(N325="",M325,IFERROR((VALUE(M325)+VALUE(N325))/2,""))))</f>
        <v/>
      </c>
      <c r="P325">
        <f>IF(AND(OR('טכנו'!$C$3="הכל",IFERROR(VLOOKUP(D325,'הגדרות'!$A$2:$D$18,2,FALSE),"")='טכנו'!$C$3,IFERROR(VLOOKUP(D325,'הגדרות'!$A$2:$D$18,3,FALSE),"")='טכנו'!$C$3),OR('טכנו'!$C$4="הכל",C325='טכנו'!$C$4),OR('טכנו'!$C$5="הכל",L325='טכנו'!$C$5),OR('טכנו'!$C$6="",IFERROR(VALUE(M325),0)&gt;='טכנו'!$C$6),OR('טכנו'!$C$7="",IFERROR(VALUE(M325),0)&lt;='טכנו'!$C$7),A325&lt;&gt;""),ROW()-4,"")</f>
        <v/>
      </c>
    </row>
    <row r="326">
      <c r="B326">
        <f>IF(A326="","",IFERROR(INDEX('מלאי'!$B$3:$B$357,MATCH(A326,'מלאי'!$D$3:$D$357,0)),""))</f>
        <v/>
      </c>
      <c r="C326">
        <f>IF(A326="","",IFERROR(INDEX('מלאי'!$A$3:$A$357,MATCH(A326,'מלאי'!$D$3:$D$357,0)),""))</f>
        <v/>
      </c>
      <c r="D326">
        <f>IF(A326="","",IFERROR(INDEX('מלאי'!$H$3:$H$357,MATCH(A326,'מלאי'!$D$3:$D$357,0)),""))</f>
        <v/>
      </c>
      <c r="H326">
        <f>IF(A326="","",IFERROR(INDEX('מלאי'!$I$3:$I$357,MATCH(A326,'מלאי'!$D$3:$D$357,0)),""))</f>
        <v/>
      </c>
      <c r="M326">
        <f>IF(AND(E326="",I326=""),"",IF(H326="",E326,IF(I326="",E326,IFERROR((VALUE(E326)+VALUE(I326))/2,E326))))</f>
        <v/>
      </c>
      <c r="N326">
        <f>IF(AND(F326="",J326=""),"",IF(H326="",F326,IF(J326="",F326,IFERROR((VALUE(F326)+VALUE(J326))/2,F326))))</f>
        <v/>
      </c>
      <c r="O326">
        <f>IF(AND(M326="",N326=""),"",IF(M326="",N326,IF(N326="",M326,IFERROR((VALUE(M326)+VALUE(N326))/2,""))))</f>
        <v/>
      </c>
      <c r="P326">
        <f>IF(AND(OR('טכנו'!$C$3="הכל",IFERROR(VLOOKUP(D326,'הגדרות'!$A$2:$D$18,2,FALSE),"")='טכנו'!$C$3,IFERROR(VLOOKUP(D326,'הגדרות'!$A$2:$D$18,3,FALSE),"")='טכנו'!$C$3),OR('טכנו'!$C$4="הכל",C326='טכנו'!$C$4),OR('טכנו'!$C$5="הכל",L326='טכנו'!$C$5),OR('טכנו'!$C$6="",IFERROR(VALUE(M326),0)&gt;='טכנו'!$C$6),OR('טכנו'!$C$7="",IFERROR(VALUE(M326),0)&lt;='טכנו'!$C$7),A326&lt;&gt;""),ROW()-4,"")</f>
        <v/>
      </c>
    </row>
    <row r="327">
      <c r="B327">
        <f>IF(A327="","",IFERROR(INDEX('מלאי'!$B$3:$B$357,MATCH(A327,'מלאי'!$D$3:$D$357,0)),""))</f>
        <v/>
      </c>
      <c r="C327">
        <f>IF(A327="","",IFERROR(INDEX('מלאי'!$A$3:$A$357,MATCH(A327,'מלאי'!$D$3:$D$357,0)),""))</f>
        <v/>
      </c>
      <c r="D327">
        <f>IF(A327="","",IFERROR(INDEX('מלאי'!$H$3:$H$357,MATCH(A327,'מלאי'!$D$3:$D$357,0)),""))</f>
        <v/>
      </c>
      <c r="H327">
        <f>IF(A327="","",IFERROR(INDEX('מלאי'!$I$3:$I$357,MATCH(A327,'מלאי'!$D$3:$D$357,0)),""))</f>
        <v/>
      </c>
      <c r="M327">
        <f>IF(AND(E327="",I327=""),"",IF(H327="",E327,IF(I327="",E327,IFERROR((VALUE(E327)+VALUE(I327))/2,E327))))</f>
        <v/>
      </c>
      <c r="N327">
        <f>IF(AND(F327="",J327=""),"",IF(H327="",F327,IF(J327="",F327,IFERROR((VALUE(F327)+VALUE(J327))/2,F327))))</f>
        <v/>
      </c>
      <c r="O327">
        <f>IF(AND(M327="",N327=""),"",IF(M327="",N327,IF(N327="",M327,IFERROR((VALUE(M327)+VALUE(N327))/2,""))))</f>
        <v/>
      </c>
      <c r="P327">
        <f>IF(AND(OR('טכנו'!$C$3="הכל",IFERROR(VLOOKUP(D327,'הגדרות'!$A$2:$D$18,2,FALSE),"")='טכנו'!$C$3,IFERROR(VLOOKUP(D327,'הגדרות'!$A$2:$D$18,3,FALSE),"")='טכנו'!$C$3),OR('טכנו'!$C$4="הכל",C327='טכנו'!$C$4),OR('טכנו'!$C$5="הכל",L327='טכנו'!$C$5),OR('טכנו'!$C$6="",IFERROR(VALUE(M327),0)&gt;='טכנו'!$C$6),OR('טכנו'!$C$7="",IFERROR(VALUE(M327),0)&lt;='טכנו'!$C$7),A327&lt;&gt;""),ROW()-4,"")</f>
        <v/>
      </c>
    </row>
    <row r="328">
      <c r="B328">
        <f>IF(A328="","",IFERROR(INDEX('מלאי'!$B$3:$B$357,MATCH(A328,'מלאי'!$D$3:$D$357,0)),""))</f>
        <v/>
      </c>
      <c r="C328">
        <f>IF(A328="","",IFERROR(INDEX('מלאי'!$A$3:$A$357,MATCH(A328,'מלאי'!$D$3:$D$357,0)),""))</f>
        <v/>
      </c>
      <c r="D328">
        <f>IF(A328="","",IFERROR(INDEX('מלאי'!$H$3:$H$357,MATCH(A328,'מלאי'!$D$3:$D$357,0)),""))</f>
        <v/>
      </c>
      <c r="H328">
        <f>IF(A328="","",IFERROR(INDEX('מלאי'!$I$3:$I$357,MATCH(A328,'מלאי'!$D$3:$D$357,0)),""))</f>
        <v/>
      </c>
      <c r="M328">
        <f>IF(AND(E328="",I328=""),"",IF(H328="",E328,IF(I328="",E328,IFERROR((VALUE(E328)+VALUE(I328))/2,E328))))</f>
        <v/>
      </c>
      <c r="N328">
        <f>IF(AND(F328="",J328=""),"",IF(H328="",F328,IF(J328="",F328,IFERROR((VALUE(F328)+VALUE(J328))/2,F328))))</f>
        <v/>
      </c>
      <c r="O328">
        <f>IF(AND(M328="",N328=""),"",IF(M328="",N328,IF(N328="",M328,IFERROR((VALUE(M328)+VALUE(N328))/2,""))))</f>
        <v/>
      </c>
      <c r="P328">
        <f>IF(AND(OR('טכנו'!$C$3="הכל",IFERROR(VLOOKUP(D328,'הגדרות'!$A$2:$D$18,2,FALSE),"")='טכנו'!$C$3,IFERROR(VLOOKUP(D328,'הגדרות'!$A$2:$D$18,3,FALSE),"")='טכנו'!$C$3),OR('טכנו'!$C$4="הכל",C328='טכנו'!$C$4),OR('טכנו'!$C$5="הכל",L328='טכנו'!$C$5),OR('טכנו'!$C$6="",IFERROR(VALUE(M328),0)&gt;='טכנו'!$C$6),OR('טכנו'!$C$7="",IFERROR(VALUE(M328),0)&lt;='טכנו'!$C$7),A328&lt;&gt;""),ROW()-4,"")</f>
        <v/>
      </c>
    </row>
    <row r="329">
      <c r="B329">
        <f>IF(A329="","",IFERROR(INDEX('מלאי'!$B$3:$B$357,MATCH(A329,'מלאי'!$D$3:$D$357,0)),""))</f>
        <v/>
      </c>
      <c r="C329">
        <f>IF(A329="","",IFERROR(INDEX('מלאי'!$A$3:$A$357,MATCH(A329,'מלאי'!$D$3:$D$357,0)),""))</f>
        <v/>
      </c>
      <c r="D329">
        <f>IF(A329="","",IFERROR(INDEX('מלאי'!$H$3:$H$357,MATCH(A329,'מלאי'!$D$3:$D$357,0)),""))</f>
        <v/>
      </c>
      <c r="H329">
        <f>IF(A329="","",IFERROR(INDEX('מלאי'!$I$3:$I$357,MATCH(A329,'מלאי'!$D$3:$D$357,0)),""))</f>
        <v/>
      </c>
      <c r="M329">
        <f>IF(AND(E329="",I329=""),"",IF(H329="",E329,IF(I329="",E329,IFERROR((VALUE(E329)+VALUE(I329))/2,E329))))</f>
        <v/>
      </c>
      <c r="N329">
        <f>IF(AND(F329="",J329=""),"",IF(H329="",F329,IF(J329="",F329,IFERROR((VALUE(F329)+VALUE(J329))/2,F329))))</f>
        <v/>
      </c>
      <c r="O329">
        <f>IF(AND(M329="",N329=""),"",IF(M329="",N329,IF(N329="",M329,IFERROR((VALUE(M329)+VALUE(N329))/2,""))))</f>
        <v/>
      </c>
      <c r="P329">
        <f>IF(AND(OR('טכנו'!$C$3="הכל",IFERROR(VLOOKUP(D329,'הגדרות'!$A$2:$D$18,2,FALSE),"")='טכנו'!$C$3,IFERROR(VLOOKUP(D329,'הגדרות'!$A$2:$D$18,3,FALSE),"")='טכנו'!$C$3),OR('טכנו'!$C$4="הכל",C329='טכנו'!$C$4),OR('טכנו'!$C$5="הכל",L329='טכנו'!$C$5),OR('טכנו'!$C$6="",IFERROR(VALUE(M329),0)&gt;='טכנו'!$C$6),OR('טכנו'!$C$7="",IFERROR(VALUE(M329),0)&lt;='טכנו'!$C$7),A329&lt;&gt;""),ROW()-4,"")</f>
        <v/>
      </c>
    </row>
    <row r="330">
      <c r="B330">
        <f>IF(A330="","",IFERROR(INDEX('מלאי'!$B$3:$B$357,MATCH(A330,'מלאי'!$D$3:$D$357,0)),""))</f>
        <v/>
      </c>
      <c r="C330">
        <f>IF(A330="","",IFERROR(INDEX('מלאי'!$A$3:$A$357,MATCH(A330,'מלאי'!$D$3:$D$357,0)),""))</f>
        <v/>
      </c>
      <c r="D330">
        <f>IF(A330="","",IFERROR(INDEX('מלאי'!$H$3:$H$357,MATCH(A330,'מלאי'!$D$3:$D$357,0)),""))</f>
        <v/>
      </c>
      <c r="H330">
        <f>IF(A330="","",IFERROR(INDEX('מלאי'!$I$3:$I$357,MATCH(A330,'מלאי'!$D$3:$D$357,0)),""))</f>
        <v/>
      </c>
      <c r="M330">
        <f>IF(AND(E330="",I330=""),"",IF(H330="",E330,IF(I330="",E330,IFERROR((VALUE(E330)+VALUE(I330))/2,E330))))</f>
        <v/>
      </c>
      <c r="N330">
        <f>IF(AND(F330="",J330=""),"",IF(H330="",F330,IF(J330="",F330,IFERROR((VALUE(F330)+VALUE(J330))/2,F330))))</f>
        <v/>
      </c>
      <c r="O330">
        <f>IF(AND(M330="",N330=""),"",IF(M330="",N330,IF(N330="",M330,IFERROR((VALUE(M330)+VALUE(N330))/2,""))))</f>
        <v/>
      </c>
      <c r="P330">
        <f>IF(AND(OR('טכנו'!$C$3="הכל",IFERROR(VLOOKUP(D330,'הגדרות'!$A$2:$D$18,2,FALSE),"")='טכנו'!$C$3,IFERROR(VLOOKUP(D330,'הגדרות'!$A$2:$D$18,3,FALSE),"")='טכנו'!$C$3),OR('טכנו'!$C$4="הכל",C330='טכנו'!$C$4),OR('טכנו'!$C$5="הכל",L330='טכנו'!$C$5),OR('טכנו'!$C$6="",IFERROR(VALUE(M330),0)&gt;='טכנו'!$C$6),OR('טכנו'!$C$7="",IFERROR(VALUE(M330),0)&lt;='טכנו'!$C$7),A330&lt;&gt;""),ROW()-4,"")</f>
        <v/>
      </c>
    </row>
    <row r="331">
      <c r="B331">
        <f>IF(A331="","",IFERROR(INDEX('מלאי'!$B$3:$B$357,MATCH(A331,'מלאי'!$D$3:$D$357,0)),""))</f>
        <v/>
      </c>
      <c r="C331">
        <f>IF(A331="","",IFERROR(INDEX('מלאי'!$A$3:$A$357,MATCH(A331,'מלאי'!$D$3:$D$357,0)),""))</f>
        <v/>
      </c>
      <c r="D331">
        <f>IF(A331="","",IFERROR(INDEX('מלאי'!$H$3:$H$357,MATCH(A331,'מלאי'!$D$3:$D$357,0)),""))</f>
        <v/>
      </c>
      <c r="H331">
        <f>IF(A331="","",IFERROR(INDEX('מלאי'!$I$3:$I$357,MATCH(A331,'מלאי'!$D$3:$D$357,0)),""))</f>
        <v/>
      </c>
      <c r="M331">
        <f>IF(AND(E331="",I331=""),"",IF(H331="",E331,IF(I331="",E331,IFERROR((VALUE(E331)+VALUE(I331))/2,E331))))</f>
        <v/>
      </c>
      <c r="N331">
        <f>IF(AND(F331="",J331=""),"",IF(H331="",F331,IF(J331="",F331,IFERROR((VALUE(F331)+VALUE(J331))/2,F331))))</f>
        <v/>
      </c>
      <c r="O331">
        <f>IF(AND(M331="",N331=""),"",IF(M331="",N331,IF(N331="",M331,IFERROR((VALUE(M331)+VALUE(N331))/2,""))))</f>
        <v/>
      </c>
      <c r="P331">
        <f>IF(AND(OR('טכנו'!$C$3="הכל",IFERROR(VLOOKUP(D331,'הגדרות'!$A$2:$D$18,2,FALSE),"")='טכנו'!$C$3,IFERROR(VLOOKUP(D331,'הגדרות'!$A$2:$D$18,3,FALSE),"")='טכנו'!$C$3),OR('טכנו'!$C$4="הכל",C331='טכנו'!$C$4),OR('טכנו'!$C$5="הכל",L331='טכנו'!$C$5),OR('טכנו'!$C$6="",IFERROR(VALUE(M331),0)&gt;='טכנו'!$C$6),OR('טכנו'!$C$7="",IFERROR(VALUE(M331),0)&lt;='טכנו'!$C$7),A331&lt;&gt;""),ROW()-4,"")</f>
        <v/>
      </c>
    </row>
    <row r="332">
      <c r="B332">
        <f>IF(A332="","",IFERROR(INDEX('מלאי'!$B$3:$B$357,MATCH(A332,'מלאי'!$D$3:$D$357,0)),""))</f>
        <v/>
      </c>
      <c r="C332">
        <f>IF(A332="","",IFERROR(INDEX('מלאי'!$A$3:$A$357,MATCH(A332,'מלאי'!$D$3:$D$357,0)),""))</f>
        <v/>
      </c>
      <c r="D332">
        <f>IF(A332="","",IFERROR(INDEX('מלאי'!$H$3:$H$357,MATCH(A332,'מלאי'!$D$3:$D$357,0)),""))</f>
        <v/>
      </c>
      <c r="H332">
        <f>IF(A332="","",IFERROR(INDEX('מלאי'!$I$3:$I$357,MATCH(A332,'מלאי'!$D$3:$D$357,0)),""))</f>
        <v/>
      </c>
      <c r="M332">
        <f>IF(AND(E332="",I332=""),"",IF(H332="",E332,IF(I332="",E332,IFERROR((VALUE(E332)+VALUE(I332))/2,E332))))</f>
        <v/>
      </c>
      <c r="N332">
        <f>IF(AND(F332="",J332=""),"",IF(H332="",F332,IF(J332="",F332,IFERROR((VALUE(F332)+VALUE(J332))/2,F332))))</f>
        <v/>
      </c>
      <c r="O332">
        <f>IF(AND(M332="",N332=""),"",IF(M332="",N332,IF(N332="",M332,IFERROR((VALUE(M332)+VALUE(N332))/2,""))))</f>
        <v/>
      </c>
      <c r="P332">
        <f>IF(AND(OR('טכנו'!$C$3="הכל",IFERROR(VLOOKUP(D332,'הגדרות'!$A$2:$D$18,2,FALSE),"")='טכנו'!$C$3,IFERROR(VLOOKUP(D332,'הגדרות'!$A$2:$D$18,3,FALSE),"")='טכנו'!$C$3),OR('טכנו'!$C$4="הכל",C332='טכנו'!$C$4),OR('טכנו'!$C$5="הכל",L332='טכנו'!$C$5),OR('טכנו'!$C$6="",IFERROR(VALUE(M332),0)&gt;='טכנו'!$C$6),OR('טכנו'!$C$7="",IFERROR(VALUE(M332),0)&lt;='טכנו'!$C$7),A332&lt;&gt;""),ROW()-4,"")</f>
        <v/>
      </c>
    </row>
    <row r="333">
      <c r="B333">
        <f>IF(A333="","",IFERROR(INDEX('מלאי'!$B$3:$B$357,MATCH(A333,'מלאי'!$D$3:$D$357,0)),""))</f>
        <v/>
      </c>
      <c r="C333">
        <f>IF(A333="","",IFERROR(INDEX('מלאי'!$A$3:$A$357,MATCH(A333,'מלאי'!$D$3:$D$357,0)),""))</f>
        <v/>
      </c>
      <c r="D333">
        <f>IF(A333="","",IFERROR(INDEX('מלאי'!$H$3:$H$357,MATCH(A333,'מלאי'!$D$3:$D$357,0)),""))</f>
        <v/>
      </c>
      <c r="H333">
        <f>IF(A333="","",IFERROR(INDEX('מלאי'!$I$3:$I$357,MATCH(A333,'מלאי'!$D$3:$D$357,0)),""))</f>
        <v/>
      </c>
      <c r="M333">
        <f>IF(AND(E333="",I333=""),"",IF(H333="",E333,IF(I333="",E333,IFERROR((VALUE(E333)+VALUE(I333))/2,E333))))</f>
        <v/>
      </c>
      <c r="N333">
        <f>IF(AND(F333="",J333=""),"",IF(H333="",F333,IF(J333="",F333,IFERROR((VALUE(F333)+VALUE(J333))/2,F333))))</f>
        <v/>
      </c>
      <c r="O333">
        <f>IF(AND(M333="",N333=""),"",IF(M333="",N333,IF(N333="",M333,IFERROR((VALUE(M333)+VALUE(N333))/2,""))))</f>
        <v/>
      </c>
      <c r="P333">
        <f>IF(AND(OR('טכנו'!$C$3="הכל",IFERROR(VLOOKUP(D333,'הגדרות'!$A$2:$D$18,2,FALSE),"")='טכנו'!$C$3,IFERROR(VLOOKUP(D333,'הגדרות'!$A$2:$D$18,3,FALSE),"")='טכנו'!$C$3),OR('טכנו'!$C$4="הכל",C333='טכנו'!$C$4),OR('טכנו'!$C$5="הכל",L333='טכנו'!$C$5),OR('טכנו'!$C$6="",IFERROR(VALUE(M333),0)&gt;='טכנו'!$C$6),OR('טכנו'!$C$7="",IFERROR(VALUE(M333),0)&lt;='טכנו'!$C$7),A333&lt;&gt;""),ROW()-4,"")</f>
        <v/>
      </c>
    </row>
    <row r="334">
      <c r="B334">
        <f>IF(A334="","",IFERROR(INDEX('מלאי'!$B$3:$B$357,MATCH(A334,'מלאי'!$D$3:$D$357,0)),""))</f>
        <v/>
      </c>
      <c r="C334">
        <f>IF(A334="","",IFERROR(INDEX('מלאי'!$A$3:$A$357,MATCH(A334,'מלאי'!$D$3:$D$357,0)),""))</f>
        <v/>
      </c>
      <c r="D334">
        <f>IF(A334="","",IFERROR(INDEX('מלאי'!$H$3:$H$357,MATCH(A334,'מלאי'!$D$3:$D$357,0)),""))</f>
        <v/>
      </c>
      <c r="H334">
        <f>IF(A334="","",IFERROR(INDEX('מלאי'!$I$3:$I$357,MATCH(A334,'מלאי'!$D$3:$D$357,0)),""))</f>
        <v/>
      </c>
      <c r="M334">
        <f>IF(AND(E334="",I334=""),"",IF(H334="",E334,IF(I334="",E334,IFERROR((VALUE(E334)+VALUE(I334))/2,E334))))</f>
        <v/>
      </c>
      <c r="N334">
        <f>IF(AND(F334="",J334=""),"",IF(H334="",F334,IF(J334="",F334,IFERROR((VALUE(F334)+VALUE(J334))/2,F334))))</f>
        <v/>
      </c>
      <c r="O334">
        <f>IF(AND(M334="",N334=""),"",IF(M334="",N334,IF(N334="",M334,IFERROR((VALUE(M334)+VALUE(N334))/2,""))))</f>
        <v/>
      </c>
      <c r="P334">
        <f>IF(AND(OR('טכנו'!$C$3="הכל",IFERROR(VLOOKUP(D334,'הגדרות'!$A$2:$D$18,2,FALSE),"")='טכנו'!$C$3,IFERROR(VLOOKUP(D334,'הגדרות'!$A$2:$D$18,3,FALSE),"")='טכנו'!$C$3),OR('טכנו'!$C$4="הכל",C334='טכנו'!$C$4),OR('טכנו'!$C$5="הכל",L334='טכנו'!$C$5),OR('טכנו'!$C$6="",IFERROR(VALUE(M334),0)&gt;='טכנו'!$C$6),OR('טכנו'!$C$7="",IFERROR(VALUE(M334),0)&lt;='טכנו'!$C$7),A334&lt;&gt;""),ROW()-4,"")</f>
        <v/>
      </c>
    </row>
    <row r="335">
      <c r="B335">
        <f>IF(A335="","",IFERROR(INDEX('מלאי'!$B$3:$B$357,MATCH(A335,'מלאי'!$D$3:$D$357,0)),""))</f>
        <v/>
      </c>
      <c r="C335">
        <f>IF(A335="","",IFERROR(INDEX('מלאי'!$A$3:$A$357,MATCH(A335,'מלאי'!$D$3:$D$357,0)),""))</f>
        <v/>
      </c>
      <c r="D335">
        <f>IF(A335="","",IFERROR(INDEX('מלאי'!$H$3:$H$357,MATCH(A335,'מלאי'!$D$3:$D$357,0)),""))</f>
        <v/>
      </c>
      <c r="H335">
        <f>IF(A335="","",IFERROR(INDEX('מלאי'!$I$3:$I$357,MATCH(A335,'מלאי'!$D$3:$D$357,0)),""))</f>
        <v/>
      </c>
      <c r="M335">
        <f>IF(AND(E335="",I335=""),"",IF(H335="",E335,IF(I335="",E335,IFERROR((VALUE(E335)+VALUE(I335))/2,E335))))</f>
        <v/>
      </c>
      <c r="N335">
        <f>IF(AND(F335="",J335=""),"",IF(H335="",F335,IF(J335="",F335,IFERROR((VALUE(F335)+VALUE(J335))/2,F335))))</f>
        <v/>
      </c>
      <c r="O335">
        <f>IF(AND(M335="",N335=""),"",IF(M335="",N335,IF(N335="",M335,IFERROR((VALUE(M335)+VALUE(N335))/2,""))))</f>
        <v/>
      </c>
      <c r="P335">
        <f>IF(AND(OR('טכנו'!$C$3="הכל",IFERROR(VLOOKUP(D335,'הגדרות'!$A$2:$D$18,2,FALSE),"")='טכנו'!$C$3,IFERROR(VLOOKUP(D335,'הגדרות'!$A$2:$D$18,3,FALSE),"")='טכנו'!$C$3),OR('טכנו'!$C$4="הכל",C335='טכנו'!$C$4),OR('טכנו'!$C$5="הכל",L335='טכנו'!$C$5),OR('טכנו'!$C$6="",IFERROR(VALUE(M335),0)&gt;='טכנו'!$C$6),OR('טכנו'!$C$7="",IFERROR(VALUE(M335),0)&lt;='טכנו'!$C$7),A335&lt;&gt;""),ROW()-4,"")</f>
        <v/>
      </c>
    </row>
    <row r="336">
      <c r="B336">
        <f>IF(A336="","",IFERROR(INDEX('מלאי'!$B$3:$B$357,MATCH(A336,'מלאי'!$D$3:$D$357,0)),""))</f>
        <v/>
      </c>
      <c r="C336">
        <f>IF(A336="","",IFERROR(INDEX('מלאי'!$A$3:$A$357,MATCH(A336,'מלאי'!$D$3:$D$357,0)),""))</f>
        <v/>
      </c>
      <c r="D336">
        <f>IF(A336="","",IFERROR(INDEX('מלאי'!$H$3:$H$357,MATCH(A336,'מלאי'!$D$3:$D$357,0)),""))</f>
        <v/>
      </c>
      <c r="H336">
        <f>IF(A336="","",IFERROR(INDEX('מלאי'!$I$3:$I$357,MATCH(A336,'מלאי'!$D$3:$D$357,0)),""))</f>
        <v/>
      </c>
      <c r="M336">
        <f>IF(AND(E336="",I336=""),"",IF(H336="",E336,IF(I336="",E336,IFERROR((VALUE(E336)+VALUE(I336))/2,E336))))</f>
        <v/>
      </c>
      <c r="N336">
        <f>IF(AND(F336="",J336=""),"",IF(H336="",F336,IF(J336="",F336,IFERROR((VALUE(F336)+VALUE(J336))/2,F336))))</f>
        <v/>
      </c>
      <c r="O336">
        <f>IF(AND(M336="",N336=""),"",IF(M336="",N336,IF(N336="",M336,IFERROR((VALUE(M336)+VALUE(N336))/2,""))))</f>
        <v/>
      </c>
      <c r="P336">
        <f>IF(AND(OR('טכנו'!$C$3="הכל",IFERROR(VLOOKUP(D336,'הגדרות'!$A$2:$D$18,2,FALSE),"")='טכנו'!$C$3,IFERROR(VLOOKUP(D336,'הגדרות'!$A$2:$D$18,3,FALSE),"")='טכנו'!$C$3),OR('טכנו'!$C$4="הכל",C336='טכנו'!$C$4),OR('טכנו'!$C$5="הכל",L336='טכנו'!$C$5),OR('טכנו'!$C$6="",IFERROR(VALUE(M336),0)&gt;='טכנו'!$C$6),OR('טכנו'!$C$7="",IFERROR(VALUE(M336),0)&lt;='טכנו'!$C$7),A336&lt;&gt;""),ROW()-4,"")</f>
        <v/>
      </c>
    </row>
    <row r="337">
      <c r="B337">
        <f>IF(A337="","",IFERROR(INDEX('מלאי'!$B$3:$B$357,MATCH(A337,'מלאי'!$D$3:$D$357,0)),""))</f>
        <v/>
      </c>
      <c r="C337">
        <f>IF(A337="","",IFERROR(INDEX('מלאי'!$A$3:$A$357,MATCH(A337,'מלאי'!$D$3:$D$357,0)),""))</f>
        <v/>
      </c>
      <c r="D337">
        <f>IF(A337="","",IFERROR(INDEX('מלאי'!$H$3:$H$357,MATCH(A337,'מלאי'!$D$3:$D$357,0)),""))</f>
        <v/>
      </c>
      <c r="H337">
        <f>IF(A337="","",IFERROR(INDEX('מלאי'!$I$3:$I$357,MATCH(A337,'מלאי'!$D$3:$D$357,0)),""))</f>
        <v/>
      </c>
      <c r="M337">
        <f>IF(AND(E337="",I337=""),"",IF(H337="",E337,IF(I337="",E337,IFERROR((VALUE(E337)+VALUE(I337))/2,E337))))</f>
        <v/>
      </c>
      <c r="N337">
        <f>IF(AND(F337="",J337=""),"",IF(H337="",F337,IF(J337="",F337,IFERROR((VALUE(F337)+VALUE(J337))/2,F337))))</f>
        <v/>
      </c>
      <c r="O337">
        <f>IF(AND(M337="",N337=""),"",IF(M337="",N337,IF(N337="",M337,IFERROR((VALUE(M337)+VALUE(N337))/2,""))))</f>
        <v/>
      </c>
      <c r="P337">
        <f>IF(AND(OR('טכנו'!$C$3="הכל",IFERROR(VLOOKUP(D337,'הגדרות'!$A$2:$D$18,2,FALSE),"")='טכנו'!$C$3,IFERROR(VLOOKUP(D337,'הגדרות'!$A$2:$D$18,3,FALSE),"")='טכנו'!$C$3),OR('טכנו'!$C$4="הכל",C337='טכנו'!$C$4),OR('טכנו'!$C$5="הכל",L337='טכנו'!$C$5),OR('טכנו'!$C$6="",IFERROR(VALUE(M337),0)&gt;='טכנו'!$C$6),OR('טכנו'!$C$7="",IFERROR(VALUE(M337),0)&lt;='טכנו'!$C$7),A337&lt;&gt;""),ROW()-4,"")</f>
        <v/>
      </c>
    </row>
    <row r="338">
      <c r="B338">
        <f>IF(A338="","",IFERROR(INDEX('מלאי'!$B$3:$B$357,MATCH(A338,'מלאי'!$D$3:$D$357,0)),""))</f>
        <v/>
      </c>
      <c r="C338">
        <f>IF(A338="","",IFERROR(INDEX('מלאי'!$A$3:$A$357,MATCH(A338,'מלאי'!$D$3:$D$357,0)),""))</f>
        <v/>
      </c>
      <c r="D338">
        <f>IF(A338="","",IFERROR(INDEX('מלאי'!$H$3:$H$357,MATCH(A338,'מלאי'!$D$3:$D$357,0)),""))</f>
        <v/>
      </c>
      <c r="H338">
        <f>IF(A338="","",IFERROR(INDEX('מלאי'!$I$3:$I$357,MATCH(A338,'מלאי'!$D$3:$D$357,0)),""))</f>
        <v/>
      </c>
      <c r="M338">
        <f>IF(AND(E338="",I338=""),"",IF(H338="",E338,IF(I338="",E338,IFERROR((VALUE(E338)+VALUE(I338))/2,E338))))</f>
        <v/>
      </c>
      <c r="N338">
        <f>IF(AND(F338="",J338=""),"",IF(H338="",F338,IF(J338="",F338,IFERROR((VALUE(F338)+VALUE(J338))/2,F338))))</f>
        <v/>
      </c>
      <c r="O338">
        <f>IF(AND(M338="",N338=""),"",IF(M338="",N338,IF(N338="",M338,IFERROR((VALUE(M338)+VALUE(N338))/2,""))))</f>
        <v/>
      </c>
      <c r="P338">
        <f>IF(AND(OR('טכנו'!$C$3="הכל",IFERROR(VLOOKUP(D338,'הגדרות'!$A$2:$D$18,2,FALSE),"")='טכנו'!$C$3,IFERROR(VLOOKUP(D338,'הגדרות'!$A$2:$D$18,3,FALSE),"")='טכנו'!$C$3),OR('טכנו'!$C$4="הכל",C338='טכנו'!$C$4),OR('טכנו'!$C$5="הכל",L338='טכנו'!$C$5),OR('טכנו'!$C$6="",IFERROR(VALUE(M338),0)&gt;='טכנו'!$C$6),OR('טכנו'!$C$7="",IFERROR(VALUE(M338),0)&lt;='טכנו'!$C$7),A338&lt;&gt;""),ROW()-4,"")</f>
        <v/>
      </c>
    </row>
    <row r="339">
      <c r="B339">
        <f>IF(A339="","",IFERROR(INDEX('מלאי'!$B$3:$B$357,MATCH(A339,'מלאי'!$D$3:$D$357,0)),""))</f>
        <v/>
      </c>
      <c r="C339">
        <f>IF(A339="","",IFERROR(INDEX('מלאי'!$A$3:$A$357,MATCH(A339,'מלאי'!$D$3:$D$357,0)),""))</f>
        <v/>
      </c>
      <c r="D339">
        <f>IF(A339="","",IFERROR(INDEX('מלאי'!$H$3:$H$357,MATCH(A339,'מלאי'!$D$3:$D$357,0)),""))</f>
        <v/>
      </c>
      <c r="H339">
        <f>IF(A339="","",IFERROR(INDEX('מלאי'!$I$3:$I$357,MATCH(A339,'מלאי'!$D$3:$D$357,0)),""))</f>
        <v/>
      </c>
      <c r="M339">
        <f>IF(AND(E339="",I339=""),"",IF(H339="",E339,IF(I339="",E339,IFERROR((VALUE(E339)+VALUE(I339))/2,E339))))</f>
        <v/>
      </c>
      <c r="N339">
        <f>IF(AND(F339="",J339=""),"",IF(H339="",F339,IF(J339="",F339,IFERROR((VALUE(F339)+VALUE(J339))/2,F339))))</f>
        <v/>
      </c>
      <c r="O339">
        <f>IF(AND(M339="",N339=""),"",IF(M339="",N339,IF(N339="",M339,IFERROR((VALUE(M339)+VALUE(N339))/2,""))))</f>
        <v/>
      </c>
      <c r="P339">
        <f>IF(AND(OR('טכנו'!$C$3="הכל",IFERROR(VLOOKUP(D339,'הגדרות'!$A$2:$D$18,2,FALSE),"")='טכנו'!$C$3,IFERROR(VLOOKUP(D339,'הגדרות'!$A$2:$D$18,3,FALSE),"")='טכנו'!$C$3),OR('טכנו'!$C$4="הכל",C339='טכנו'!$C$4),OR('טכנו'!$C$5="הכל",L339='טכנו'!$C$5),OR('טכנו'!$C$6="",IFERROR(VALUE(M339),0)&gt;='טכנו'!$C$6),OR('טכנו'!$C$7="",IFERROR(VALUE(M339),0)&lt;='טכנו'!$C$7),A339&lt;&gt;""),ROW()-4,"")</f>
        <v/>
      </c>
    </row>
    <row r="340">
      <c r="B340">
        <f>IF(A340="","",IFERROR(INDEX('מלאי'!$B$3:$B$357,MATCH(A340,'מלאי'!$D$3:$D$357,0)),""))</f>
        <v/>
      </c>
      <c r="C340">
        <f>IF(A340="","",IFERROR(INDEX('מלאי'!$A$3:$A$357,MATCH(A340,'מלאי'!$D$3:$D$357,0)),""))</f>
        <v/>
      </c>
      <c r="D340">
        <f>IF(A340="","",IFERROR(INDEX('מלאי'!$H$3:$H$357,MATCH(A340,'מלאי'!$D$3:$D$357,0)),""))</f>
        <v/>
      </c>
      <c r="H340">
        <f>IF(A340="","",IFERROR(INDEX('מלאי'!$I$3:$I$357,MATCH(A340,'מלאי'!$D$3:$D$357,0)),""))</f>
        <v/>
      </c>
      <c r="M340">
        <f>IF(AND(E340="",I340=""),"",IF(H340="",E340,IF(I340="",E340,IFERROR((VALUE(E340)+VALUE(I340))/2,E340))))</f>
        <v/>
      </c>
      <c r="N340">
        <f>IF(AND(F340="",J340=""),"",IF(H340="",F340,IF(J340="",F340,IFERROR((VALUE(F340)+VALUE(J340))/2,F340))))</f>
        <v/>
      </c>
      <c r="O340">
        <f>IF(AND(M340="",N340=""),"",IF(M340="",N340,IF(N340="",M340,IFERROR((VALUE(M340)+VALUE(N340))/2,""))))</f>
        <v/>
      </c>
      <c r="P340">
        <f>IF(AND(OR('טכנו'!$C$3="הכל",IFERROR(VLOOKUP(D340,'הגדרות'!$A$2:$D$18,2,FALSE),"")='טכנו'!$C$3,IFERROR(VLOOKUP(D340,'הגדרות'!$A$2:$D$18,3,FALSE),"")='טכנו'!$C$3),OR('טכנו'!$C$4="הכל",C340='טכנו'!$C$4),OR('טכנו'!$C$5="הכל",L340='טכנו'!$C$5),OR('טכנו'!$C$6="",IFERROR(VALUE(M340),0)&gt;='טכנו'!$C$6),OR('טכנו'!$C$7="",IFERROR(VALUE(M340),0)&lt;='טכנו'!$C$7),A340&lt;&gt;""),ROW()-4,"")</f>
        <v/>
      </c>
    </row>
    <row r="341">
      <c r="B341">
        <f>IF(A341="","",IFERROR(INDEX('מלאי'!$B$3:$B$357,MATCH(A341,'מלאי'!$D$3:$D$357,0)),""))</f>
        <v/>
      </c>
      <c r="C341">
        <f>IF(A341="","",IFERROR(INDEX('מלאי'!$A$3:$A$357,MATCH(A341,'מלאי'!$D$3:$D$357,0)),""))</f>
        <v/>
      </c>
      <c r="D341">
        <f>IF(A341="","",IFERROR(INDEX('מלאי'!$H$3:$H$357,MATCH(A341,'מלאי'!$D$3:$D$357,0)),""))</f>
        <v/>
      </c>
      <c r="H341">
        <f>IF(A341="","",IFERROR(INDEX('מלאי'!$I$3:$I$357,MATCH(A341,'מלאי'!$D$3:$D$357,0)),""))</f>
        <v/>
      </c>
      <c r="M341">
        <f>IF(AND(E341="",I341=""),"",IF(H341="",E341,IF(I341="",E341,IFERROR((VALUE(E341)+VALUE(I341))/2,E341))))</f>
        <v/>
      </c>
      <c r="N341">
        <f>IF(AND(F341="",J341=""),"",IF(H341="",F341,IF(J341="",F341,IFERROR((VALUE(F341)+VALUE(J341))/2,F341))))</f>
        <v/>
      </c>
      <c r="O341">
        <f>IF(AND(M341="",N341=""),"",IF(M341="",N341,IF(N341="",M341,IFERROR((VALUE(M341)+VALUE(N341))/2,""))))</f>
        <v/>
      </c>
      <c r="P341">
        <f>IF(AND(OR('טכנו'!$C$3="הכל",IFERROR(VLOOKUP(D341,'הגדרות'!$A$2:$D$18,2,FALSE),"")='טכנו'!$C$3,IFERROR(VLOOKUP(D341,'הגדרות'!$A$2:$D$18,3,FALSE),"")='טכנו'!$C$3),OR('טכנו'!$C$4="הכל",C341='טכנו'!$C$4),OR('טכנו'!$C$5="הכל",L341='טכנו'!$C$5),OR('טכנו'!$C$6="",IFERROR(VALUE(M341),0)&gt;='טכנו'!$C$6),OR('טכנו'!$C$7="",IFERROR(VALUE(M341),0)&lt;='טכנו'!$C$7),A341&lt;&gt;""),ROW()-4,"")</f>
        <v/>
      </c>
    </row>
    <row r="342">
      <c r="B342">
        <f>IF(A342="","",IFERROR(INDEX('מלאי'!$B$3:$B$357,MATCH(A342,'מלאי'!$D$3:$D$357,0)),""))</f>
        <v/>
      </c>
      <c r="C342">
        <f>IF(A342="","",IFERROR(INDEX('מלאי'!$A$3:$A$357,MATCH(A342,'מלאי'!$D$3:$D$357,0)),""))</f>
        <v/>
      </c>
      <c r="D342">
        <f>IF(A342="","",IFERROR(INDEX('מלאי'!$H$3:$H$357,MATCH(A342,'מלאי'!$D$3:$D$357,0)),""))</f>
        <v/>
      </c>
      <c r="H342">
        <f>IF(A342="","",IFERROR(INDEX('מלאי'!$I$3:$I$357,MATCH(A342,'מלאי'!$D$3:$D$357,0)),""))</f>
        <v/>
      </c>
      <c r="M342">
        <f>IF(AND(E342="",I342=""),"",IF(H342="",E342,IF(I342="",E342,IFERROR((VALUE(E342)+VALUE(I342))/2,E342))))</f>
        <v/>
      </c>
      <c r="N342">
        <f>IF(AND(F342="",J342=""),"",IF(H342="",F342,IF(J342="",F342,IFERROR((VALUE(F342)+VALUE(J342))/2,F342))))</f>
        <v/>
      </c>
      <c r="O342">
        <f>IF(AND(M342="",N342=""),"",IF(M342="",N342,IF(N342="",M342,IFERROR((VALUE(M342)+VALUE(N342))/2,""))))</f>
        <v/>
      </c>
      <c r="P342">
        <f>IF(AND(OR('טכנו'!$C$3="הכל",IFERROR(VLOOKUP(D342,'הגדרות'!$A$2:$D$18,2,FALSE),"")='טכנו'!$C$3,IFERROR(VLOOKUP(D342,'הגדרות'!$A$2:$D$18,3,FALSE),"")='טכנו'!$C$3),OR('טכנו'!$C$4="הכל",C342='טכנו'!$C$4),OR('טכנו'!$C$5="הכל",L342='טכנו'!$C$5),OR('טכנו'!$C$6="",IFERROR(VALUE(M342),0)&gt;='טכנו'!$C$6),OR('טכנו'!$C$7="",IFERROR(VALUE(M342),0)&lt;='טכנו'!$C$7),A342&lt;&gt;""),ROW()-4,"")</f>
        <v/>
      </c>
    </row>
    <row r="343">
      <c r="B343">
        <f>IF(A343="","",IFERROR(INDEX('מלאי'!$B$3:$B$357,MATCH(A343,'מלאי'!$D$3:$D$357,0)),""))</f>
        <v/>
      </c>
      <c r="C343">
        <f>IF(A343="","",IFERROR(INDEX('מלאי'!$A$3:$A$357,MATCH(A343,'מלאי'!$D$3:$D$357,0)),""))</f>
        <v/>
      </c>
      <c r="D343">
        <f>IF(A343="","",IFERROR(INDEX('מלאי'!$H$3:$H$357,MATCH(A343,'מלאי'!$D$3:$D$357,0)),""))</f>
        <v/>
      </c>
      <c r="H343">
        <f>IF(A343="","",IFERROR(INDEX('מלאי'!$I$3:$I$357,MATCH(A343,'מלאי'!$D$3:$D$357,0)),""))</f>
        <v/>
      </c>
      <c r="M343">
        <f>IF(AND(E343="",I343=""),"",IF(H343="",E343,IF(I343="",E343,IFERROR((VALUE(E343)+VALUE(I343))/2,E343))))</f>
        <v/>
      </c>
      <c r="N343">
        <f>IF(AND(F343="",J343=""),"",IF(H343="",F343,IF(J343="",F343,IFERROR((VALUE(F343)+VALUE(J343))/2,F343))))</f>
        <v/>
      </c>
      <c r="O343">
        <f>IF(AND(M343="",N343=""),"",IF(M343="",N343,IF(N343="",M343,IFERROR((VALUE(M343)+VALUE(N343))/2,""))))</f>
        <v/>
      </c>
      <c r="P343">
        <f>IF(AND(OR('טכנו'!$C$3="הכל",IFERROR(VLOOKUP(D343,'הגדרות'!$A$2:$D$18,2,FALSE),"")='טכנו'!$C$3,IFERROR(VLOOKUP(D343,'הגדרות'!$A$2:$D$18,3,FALSE),"")='טכנו'!$C$3),OR('טכנו'!$C$4="הכל",C343='טכנו'!$C$4),OR('טכנו'!$C$5="הכל",L343='טכנו'!$C$5),OR('טכנו'!$C$6="",IFERROR(VALUE(M343),0)&gt;='טכנו'!$C$6),OR('טכנו'!$C$7="",IFERROR(VALUE(M343),0)&lt;='טכנו'!$C$7),A343&lt;&gt;""),ROW()-4,"")</f>
        <v/>
      </c>
    </row>
    <row r="344">
      <c r="B344">
        <f>IF(A344="","",IFERROR(INDEX('מלאי'!$B$3:$B$357,MATCH(A344,'מלאי'!$D$3:$D$357,0)),""))</f>
        <v/>
      </c>
      <c r="C344">
        <f>IF(A344="","",IFERROR(INDEX('מלאי'!$A$3:$A$357,MATCH(A344,'מלאי'!$D$3:$D$357,0)),""))</f>
        <v/>
      </c>
      <c r="D344">
        <f>IF(A344="","",IFERROR(INDEX('מלאי'!$H$3:$H$357,MATCH(A344,'מלאי'!$D$3:$D$357,0)),""))</f>
        <v/>
      </c>
      <c r="H344">
        <f>IF(A344="","",IFERROR(INDEX('מלאי'!$I$3:$I$357,MATCH(A344,'מלאי'!$D$3:$D$357,0)),""))</f>
        <v/>
      </c>
      <c r="M344">
        <f>IF(AND(E344="",I344=""),"",IF(H344="",E344,IF(I344="",E344,IFERROR((VALUE(E344)+VALUE(I344))/2,E344))))</f>
        <v/>
      </c>
      <c r="N344">
        <f>IF(AND(F344="",J344=""),"",IF(H344="",F344,IF(J344="",F344,IFERROR((VALUE(F344)+VALUE(J344))/2,F344))))</f>
        <v/>
      </c>
      <c r="O344">
        <f>IF(AND(M344="",N344=""),"",IF(M344="",N344,IF(N344="",M344,IFERROR((VALUE(M344)+VALUE(N344))/2,""))))</f>
        <v/>
      </c>
      <c r="P344">
        <f>IF(AND(OR('טכנו'!$C$3="הכל",IFERROR(VLOOKUP(D344,'הגדרות'!$A$2:$D$18,2,FALSE),"")='טכנו'!$C$3,IFERROR(VLOOKUP(D344,'הגדרות'!$A$2:$D$18,3,FALSE),"")='טכנו'!$C$3),OR('טכנו'!$C$4="הכל",C344='טכנו'!$C$4),OR('טכנו'!$C$5="הכל",L344='טכנו'!$C$5),OR('טכנו'!$C$6="",IFERROR(VALUE(M344),0)&gt;='טכנו'!$C$6),OR('טכנו'!$C$7="",IFERROR(VALUE(M344),0)&lt;='טכנו'!$C$7),A344&lt;&gt;""),ROW()-4,"")</f>
        <v/>
      </c>
    </row>
    <row r="345">
      <c r="B345">
        <f>IF(A345="","",IFERROR(INDEX('מלאי'!$B$3:$B$357,MATCH(A345,'מלאי'!$D$3:$D$357,0)),""))</f>
        <v/>
      </c>
      <c r="C345">
        <f>IF(A345="","",IFERROR(INDEX('מלאי'!$A$3:$A$357,MATCH(A345,'מלאי'!$D$3:$D$357,0)),""))</f>
        <v/>
      </c>
      <c r="D345">
        <f>IF(A345="","",IFERROR(INDEX('מלאי'!$H$3:$H$357,MATCH(A345,'מלאי'!$D$3:$D$357,0)),""))</f>
        <v/>
      </c>
      <c r="H345">
        <f>IF(A345="","",IFERROR(INDEX('מלאי'!$I$3:$I$357,MATCH(A345,'מלאי'!$D$3:$D$357,0)),""))</f>
        <v/>
      </c>
      <c r="M345">
        <f>IF(AND(E345="",I345=""),"",IF(H345="",E345,IF(I345="",E345,IFERROR((VALUE(E345)+VALUE(I345))/2,E345))))</f>
        <v/>
      </c>
      <c r="N345">
        <f>IF(AND(F345="",J345=""),"",IF(H345="",F345,IF(J345="",F345,IFERROR((VALUE(F345)+VALUE(J345))/2,F345))))</f>
        <v/>
      </c>
      <c r="O345">
        <f>IF(AND(M345="",N345=""),"",IF(M345="",N345,IF(N345="",M345,IFERROR((VALUE(M345)+VALUE(N345))/2,""))))</f>
        <v/>
      </c>
      <c r="P345">
        <f>IF(AND(OR('טכנו'!$C$3="הכל",IFERROR(VLOOKUP(D345,'הגדרות'!$A$2:$D$18,2,FALSE),"")='טכנו'!$C$3,IFERROR(VLOOKUP(D345,'הגדרות'!$A$2:$D$18,3,FALSE),"")='טכנו'!$C$3),OR('טכנו'!$C$4="הכל",C345='טכנו'!$C$4),OR('טכנו'!$C$5="הכל",L345='טכנו'!$C$5),OR('טכנו'!$C$6="",IFERROR(VALUE(M345),0)&gt;='טכנו'!$C$6),OR('טכנו'!$C$7="",IFERROR(VALUE(M345),0)&lt;='טכנו'!$C$7),A345&lt;&gt;""),ROW()-4,"")</f>
        <v/>
      </c>
    </row>
    <row r="346">
      <c r="B346">
        <f>IF(A346="","",IFERROR(INDEX('מלאי'!$B$3:$B$357,MATCH(A346,'מלאי'!$D$3:$D$357,0)),""))</f>
        <v/>
      </c>
      <c r="C346">
        <f>IF(A346="","",IFERROR(INDEX('מלאי'!$A$3:$A$357,MATCH(A346,'מלאי'!$D$3:$D$357,0)),""))</f>
        <v/>
      </c>
      <c r="D346">
        <f>IF(A346="","",IFERROR(INDEX('מלאי'!$H$3:$H$357,MATCH(A346,'מלאי'!$D$3:$D$357,0)),""))</f>
        <v/>
      </c>
      <c r="H346">
        <f>IF(A346="","",IFERROR(INDEX('מלאי'!$I$3:$I$357,MATCH(A346,'מלאי'!$D$3:$D$357,0)),""))</f>
        <v/>
      </c>
      <c r="M346">
        <f>IF(AND(E346="",I346=""),"",IF(H346="",E346,IF(I346="",E346,IFERROR((VALUE(E346)+VALUE(I346))/2,E346))))</f>
        <v/>
      </c>
      <c r="N346">
        <f>IF(AND(F346="",J346=""),"",IF(H346="",F346,IF(J346="",F346,IFERROR((VALUE(F346)+VALUE(J346))/2,F346))))</f>
        <v/>
      </c>
      <c r="O346">
        <f>IF(AND(M346="",N346=""),"",IF(M346="",N346,IF(N346="",M346,IFERROR((VALUE(M346)+VALUE(N346))/2,""))))</f>
        <v/>
      </c>
      <c r="P346">
        <f>IF(AND(OR('טכנו'!$C$3="הכל",IFERROR(VLOOKUP(D346,'הגדרות'!$A$2:$D$18,2,FALSE),"")='טכנו'!$C$3,IFERROR(VLOOKUP(D346,'הגדרות'!$A$2:$D$18,3,FALSE),"")='טכנו'!$C$3),OR('טכנו'!$C$4="הכל",C346='טכנו'!$C$4),OR('טכנו'!$C$5="הכל",L346='טכנו'!$C$5),OR('טכנו'!$C$6="",IFERROR(VALUE(M346),0)&gt;='טכנו'!$C$6),OR('טכנו'!$C$7="",IFERROR(VALUE(M346),0)&lt;='טכנו'!$C$7),A346&lt;&gt;""),ROW()-4,"")</f>
        <v/>
      </c>
    </row>
    <row r="347">
      <c r="B347">
        <f>IF(A347="","",IFERROR(INDEX('מלאי'!$B$3:$B$357,MATCH(A347,'מלאי'!$D$3:$D$357,0)),""))</f>
        <v/>
      </c>
      <c r="C347">
        <f>IF(A347="","",IFERROR(INDEX('מלאי'!$A$3:$A$357,MATCH(A347,'מלאי'!$D$3:$D$357,0)),""))</f>
        <v/>
      </c>
      <c r="D347">
        <f>IF(A347="","",IFERROR(INDEX('מלאי'!$H$3:$H$357,MATCH(A347,'מלאי'!$D$3:$D$357,0)),""))</f>
        <v/>
      </c>
      <c r="H347">
        <f>IF(A347="","",IFERROR(INDEX('מלאי'!$I$3:$I$357,MATCH(A347,'מלאי'!$D$3:$D$357,0)),""))</f>
        <v/>
      </c>
      <c r="M347">
        <f>IF(AND(E347="",I347=""),"",IF(H347="",E347,IF(I347="",E347,IFERROR((VALUE(E347)+VALUE(I347))/2,E347))))</f>
        <v/>
      </c>
      <c r="N347">
        <f>IF(AND(F347="",J347=""),"",IF(H347="",F347,IF(J347="",F347,IFERROR((VALUE(F347)+VALUE(J347))/2,F347))))</f>
        <v/>
      </c>
      <c r="O347">
        <f>IF(AND(M347="",N347=""),"",IF(M347="",N347,IF(N347="",M347,IFERROR((VALUE(M347)+VALUE(N347))/2,""))))</f>
        <v/>
      </c>
      <c r="P347">
        <f>IF(AND(OR('טכנו'!$C$3="הכל",IFERROR(VLOOKUP(D347,'הגדרות'!$A$2:$D$18,2,FALSE),"")='טכנו'!$C$3,IFERROR(VLOOKUP(D347,'הגדרות'!$A$2:$D$18,3,FALSE),"")='טכנו'!$C$3),OR('טכנו'!$C$4="הכל",C347='טכנו'!$C$4),OR('טכנו'!$C$5="הכל",L347='טכנו'!$C$5),OR('טכנו'!$C$6="",IFERROR(VALUE(M347),0)&gt;='טכנו'!$C$6),OR('טכנו'!$C$7="",IFERROR(VALUE(M347),0)&lt;='טכנו'!$C$7),A347&lt;&gt;""),ROW()-4,"")</f>
        <v/>
      </c>
    </row>
    <row r="348">
      <c r="B348">
        <f>IF(A348="","",IFERROR(INDEX('מלאי'!$B$3:$B$357,MATCH(A348,'מלאי'!$D$3:$D$357,0)),""))</f>
        <v/>
      </c>
      <c r="C348">
        <f>IF(A348="","",IFERROR(INDEX('מלאי'!$A$3:$A$357,MATCH(A348,'מלאי'!$D$3:$D$357,0)),""))</f>
        <v/>
      </c>
      <c r="D348">
        <f>IF(A348="","",IFERROR(INDEX('מלאי'!$H$3:$H$357,MATCH(A348,'מלאי'!$D$3:$D$357,0)),""))</f>
        <v/>
      </c>
      <c r="H348">
        <f>IF(A348="","",IFERROR(INDEX('מלאי'!$I$3:$I$357,MATCH(A348,'מלאי'!$D$3:$D$357,0)),""))</f>
        <v/>
      </c>
      <c r="M348">
        <f>IF(AND(E348="",I348=""),"",IF(H348="",E348,IF(I348="",E348,IFERROR((VALUE(E348)+VALUE(I348))/2,E348))))</f>
        <v/>
      </c>
      <c r="N348">
        <f>IF(AND(F348="",J348=""),"",IF(H348="",F348,IF(J348="",F348,IFERROR((VALUE(F348)+VALUE(J348))/2,F348))))</f>
        <v/>
      </c>
      <c r="O348">
        <f>IF(AND(M348="",N348=""),"",IF(M348="",N348,IF(N348="",M348,IFERROR((VALUE(M348)+VALUE(N348))/2,""))))</f>
        <v/>
      </c>
      <c r="P348">
        <f>IF(AND(OR('טכנו'!$C$3="הכל",IFERROR(VLOOKUP(D348,'הגדרות'!$A$2:$D$18,2,FALSE),"")='טכנו'!$C$3,IFERROR(VLOOKUP(D348,'הגדרות'!$A$2:$D$18,3,FALSE),"")='טכנו'!$C$3),OR('טכנו'!$C$4="הכל",C348='טכנו'!$C$4),OR('טכנו'!$C$5="הכל",L348='טכנו'!$C$5),OR('טכנו'!$C$6="",IFERROR(VALUE(M348),0)&gt;='טכנו'!$C$6),OR('טכנו'!$C$7="",IFERROR(VALUE(M348),0)&lt;='טכנו'!$C$7),A348&lt;&gt;""),ROW()-4,"")</f>
        <v/>
      </c>
    </row>
    <row r="349">
      <c r="B349">
        <f>IF(A349="","",IFERROR(INDEX('מלאי'!$B$3:$B$357,MATCH(A349,'מלאי'!$D$3:$D$357,0)),""))</f>
        <v/>
      </c>
      <c r="C349">
        <f>IF(A349="","",IFERROR(INDEX('מלאי'!$A$3:$A$357,MATCH(A349,'מלאי'!$D$3:$D$357,0)),""))</f>
        <v/>
      </c>
      <c r="D349">
        <f>IF(A349="","",IFERROR(INDEX('מלאי'!$H$3:$H$357,MATCH(A349,'מלאי'!$D$3:$D$357,0)),""))</f>
        <v/>
      </c>
      <c r="H349">
        <f>IF(A349="","",IFERROR(INDEX('מלאי'!$I$3:$I$357,MATCH(A349,'מלאי'!$D$3:$D$357,0)),""))</f>
        <v/>
      </c>
      <c r="M349">
        <f>IF(AND(E349="",I349=""),"",IF(H349="",E349,IF(I349="",E349,IFERROR((VALUE(E349)+VALUE(I349))/2,E349))))</f>
        <v/>
      </c>
      <c r="N349">
        <f>IF(AND(F349="",J349=""),"",IF(H349="",F349,IF(J349="",F349,IFERROR((VALUE(F349)+VALUE(J349))/2,F349))))</f>
        <v/>
      </c>
      <c r="O349">
        <f>IF(AND(M349="",N349=""),"",IF(M349="",N349,IF(N349="",M349,IFERROR((VALUE(M349)+VALUE(N349))/2,""))))</f>
        <v/>
      </c>
      <c r="P349">
        <f>IF(AND(OR('טכנו'!$C$3="הכל",IFERROR(VLOOKUP(D349,'הגדרות'!$A$2:$D$18,2,FALSE),"")='טכנו'!$C$3,IFERROR(VLOOKUP(D349,'הגדרות'!$A$2:$D$18,3,FALSE),"")='טכנו'!$C$3),OR('טכנו'!$C$4="הכל",C349='טכנו'!$C$4),OR('טכנו'!$C$5="הכל",L349='טכנו'!$C$5),OR('טכנו'!$C$6="",IFERROR(VALUE(M349),0)&gt;='טכנו'!$C$6),OR('טכנו'!$C$7="",IFERROR(VALUE(M349),0)&lt;='טכנו'!$C$7),A349&lt;&gt;""),ROW()-4,"")</f>
        <v/>
      </c>
    </row>
    <row r="350">
      <c r="B350">
        <f>IF(A350="","",IFERROR(INDEX('מלאי'!$B$3:$B$357,MATCH(A350,'מלאי'!$D$3:$D$357,0)),""))</f>
        <v/>
      </c>
      <c r="C350">
        <f>IF(A350="","",IFERROR(INDEX('מלאי'!$A$3:$A$357,MATCH(A350,'מלאי'!$D$3:$D$357,0)),""))</f>
        <v/>
      </c>
      <c r="D350">
        <f>IF(A350="","",IFERROR(INDEX('מלאי'!$H$3:$H$357,MATCH(A350,'מלאי'!$D$3:$D$357,0)),""))</f>
        <v/>
      </c>
      <c r="H350">
        <f>IF(A350="","",IFERROR(INDEX('מלאי'!$I$3:$I$357,MATCH(A350,'מלאי'!$D$3:$D$357,0)),""))</f>
        <v/>
      </c>
      <c r="M350">
        <f>IF(AND(E350="",I350=""),"",IF(H350="",E350,IF(I350="",E350,IFERROR((VALUE(E350)+VALUE(I350))/2,E350))))</f>
        <v/>
      </c>
      <c r="N350">
        <f>IF(AND(F350="",J350=""),"",IF(H350="",F350,IF(J350="",F350,IFERROR((VALUE(F350)+VALUE(J350))/2,F350))))</f>
        <v/>
      </c>
      <c r="O350">
        <f>IF(AND(M350="",N350=""),"",IF(M350="",N350,IF(N350="",M350,IFERROR((VALUE(M350)+VALUE(N350))/2,""))))</f>
        <v/>
      </c>
      <c r="P350">
        <f>IF(AND(OR('טכנו'!$C$3="הכל",IFERROR(VLOOKUP(D350,'הגדרות'!$A$2:$D$18,2,FALSE),"")='טכנו'!$C$3,IFERROR(VLOOKUP(D350,'הגדרות'!$A$2:$D$18,3,FALSE),"")='טכנו'!$C$3),OR('טכנו'!$C$4="הכל",C350='טכנו'!$C$4),OR('טכנו'!$C$5="הכל",L350='טכנו'!$C$5),OR('טכנו'!$C$6="",IFERROR(VALUE(M350),0)&gt;='טכנו'!$C$6),OR('טכנו'!$C$7="",IFERROR(VALUE(M350),0)&lt;='טכנו'!$C$7),A350&lt;&gt;""),ROW()-4,"")</f>
        <v/>
      </c>
    </row>
    <row r="351">
      <c r="B351">
        <f>IF(A351="","",IFERROR(INDEX('מלאי'!$B$3:$B$357,MATCH(A351,'מלאי'!$D$3:$D$357,0)),""))</f>
        <v/>
      </c>
      <c r="C351">
        <f>IF(A351="","",IFERROR(INDEX('מלאי'!$A$3:$A$357,MATCH(A351,'מלאי'!$D$3:$D$357,0)),""))</f>
        <v/>
      </c>
      <c r="D351">
        <f>IF(A351="","",IFERROR(INDEX('מלאי'!$H$3:$H$357,MATCH(A351,'מלאי'!$D$3:$D$357,0)),""))</f>
        <v/>
      </c>
      <c r="H351">
        <f>IF(A351="","",IFERROR(INDEX('מלאי'!$I$3:$I$357,MATCH(A351,'מלאי'!$D$3:$D$357,0)),""))</f>
        <v/>
      </c>
      <c r="M351">
        <f>IF(AND(E351="",I351=""),"",IF(H351="",E351,IF(I351="",E351,IFERROR((VALUE(E351)+VALUE(I351))/2,E351))))</f>
        <v/>
      </c>
      <c r="N351">
        <f>IF(AND(F351="",J351=""),"",IF(H351="",F351,IF(J351="",F351,IFERROR((VALUE(F351)+VALUE(J351))/2,F351))))</f>
        <v/>
      </c>
      <c r="O351">
        <f>IF(AND(M351="",N351=""),"",IF(M351="",N351,IF(N351="",M351,IFERROR((VALUE(M351)+VALUE(N351))/2,""))))</f>
        <v/>
      </c>
      <c r="P351">
        <f>IF(AND(OR('טכנו'!$C$3="הכל",IFERROR(VLOOKUP(D351,'הגדרות'!$A$2:$D$18,2,FALSE),"")='טכנו'!$C$3,IFERROR(VLOOKUP(D351,'הגדרות'!$A$2:$D$18,3,FALSE),"")='טכנו'!$C$3),OR('טכנו'!$C$4="הכל",C351='טכנו'!$C$4),OR('טכנו'!$C$5="הכל",L351='טכנו'!$C$5),OR('טכנו'!$C$6="",IFERROR(VALUE(M351),0)&gt;='טכנו'!$C$6),OR('טכנו'!$C$7="",IFERROR(VALUE(M351),0)&lt;='טכנו'!$C$7),A351&lt;&gt;""),ROW()-4,"")</f>
        <v/>
      </c>
    </row>
    <row r="352">
      <c r="B352">
        <f>IF(A352="","",IFERROR(INDEX('מלאי'!$B$3:$B$357,MATCH(A352,'מלאי'!$D$3:$D$357,0)),""))</f>
        <v/>
      </c>
      <c r="C352">
        <f>IF(A352="","",IFERROR(INDEX('מלאי'!$A$3:$A$357,MATCH(A352,'מלאי'!$D$3:$D$357,0)),""))</f>
        <v/>
      </c>
      <c r="D352">
        <f>IF(A352="","",IFERROR(INDEX('מלאי'!$H$3:$H$357,MATCH(A352,'מלאי'!$D$3:$D$357,0)),""))</f>
        <v/>
      </c>
      <c r="H352">
        <f>IF(A352="","",IFERROR(INDEX('מלאי'!$I$3:$I$357,MATCH(A352,'מלאי'!$D$3:$D$357,0)),""))</f>
        <v/>
      </c>
      <c r="M352">
        <f>IF(AND(E352="",I352=""),"",IF(H352="",E352,IF(I352="",E352,IFERROR((VALUE(E352)+VALUE(I352))/2,E352))))</f>
        <v/>
      </c>
      <c r="N352">
        <f>IF(AND(F352="",J352=""),"",IF(H352="",F352,IF(J352="",F352,IFERROR((VALUE(F352)+VALUE(J352))/2,F352))))</f>
        <v/>
      </c>
      <c r="O352">
        <f>IF(AND(M352="",N352=""),"",IF(M352="",N352,IF(N352="",M352,IFERROR((VALUE(M352)+VALUE(N352))/2,""))))</f>
        <v/>
      </c>
      <c r="P352">
        <f>IF(AND(OR('טכנו'!$C$3="הכל",IFERROR(VLOOKUP(D352,'הגדרות'!$A$2:$D$18,2,FALSE),"")='טכנו'!$C$3,IFERROR(VLOOKUP(D352,'הגדרות'!$A$2:$D$18,3,FALSE),"")='טכנו'!$C$3),OR('טכנו'!$C$4="הכל",C352='טכנו'!$C$4),OR('טכנו'!$C$5="הכל",L352='טכנו'!$C$5),OR('טכנו'!$C$6="",IFERROR(VALUE(M352),0)&gt;='טכנו'!$C$6),OR('טכנו'!$C$7="",IFERROR(VALUE(M352),0)&lt;='טכנו'!$C$7),A352&lt;&gt;""),ROW()-4,"")</f>
        <v/>
      </c>
    </row>
    <row r="353">
      <c r="B353">
        <f>IF(A353="","",IFERROR(INDEX('מלאי'!$B$3:$B$357,MATCH(A353,'מלאי'!$D$3:$D$357,0)),""))</f>
        <v/>
      </c>
      <c r="C353">
        <f>IF(A353="","",IFERROR(INDEX('מלאי'!$A$3:$A$357,MATCH(A353,'מלאי'!$D$3:$D$357,0)),""))</f>
        <v/>
      </c>
      <c r="D353">
        <f>IF(A353="","",IFERROR(INDEX('מלאי'!$H$3:$H$357,MATCH(A353,'מלאי'!$D$3:$D$357,0)),""))</f>
        <v/>
      </c>
      <c r="H353">
        <f>IF(A353="","",IFERROR(INDEX('מלאי'!$I$3:$I$357,MATCH(A353,'מלאי'!$D$3:$D$357,0)),""))</f>
        <v/>
      </c>
      <c r="M353">
        <f>IF(AND(E353="",I353=""),"",IF(H353="",E353,IF(I353="",E353,IFERROR((VALUE(E353)+VALUE(I353))/2,E353))))</f>
        <v/>
      </c>
      <c r="N353">
        <f>IF(AND(F353="",J353=""),"",IF(H353="",F353,IF(J353="",F353,IFERROR((VALUE(F353)+VALUE(J353))/2,F353))))</f>
        <v/>
      </c>
      <c r="O353">
        <f>IF(AND(M353="",N353=""),"",IF(M353="",N353,IF(N353="",M353,IFERROR((VALUE(M353)+VALUE(N353))/2,""))))</f>
        <v/>
      </c>
      <c r="P353">
        <f>IF(AND(OR('טכנו'!$C$3="הכל",IFERROR(VLOOKUP(D353,'הגדרות'!$A$2:$D$18,2,FALSE),"")='טכנו'!$C$3,IFERROR(VLOOKUP(D353,'הגדרות'!$A$2:$D$18,3,FALSE),"")='טכנו'!$C$3),OR('טכנו'!$C$4="הכל",C353='טכנו'!$C$4),OR('טכנו'!$C$5="הכל",L353='טכנו'!$C$5),OR('טכנו'!$C$6="",IFERROR(VALUE(M353),0)&gt;='טכנו'!$C$6),OR('טכנו'!$C$7="",IFERROR(VALUE(M353),0)&lt;='טכנו'!$C$7),A353&lt;&gt;""),ROW()-4,"")</f>
        <v/>
      </c>
    </row>
    <row r="354">
      <c r="B354">
        <f>IF(A354="","",IFERROR(INDEX('מלאי'!$B$3:$B$357,MATCH(A354,'מלאי'!$D$3:$D$357,0)),""))</f>
        <v/>
      </c>
      <c r="C354">
        <f>IF(A354="","",IFERROR(INDEX('מלאי'!$A$3:$A$357,MATCH(A354,'מלאי'!$D$3:$D$357,0)),""))</f>
        <v/>
      </c>
      <c r="D354">
        <f>IF(A354="","",IFERROR(INDEX('מלאי'!$H$3:$H$357,MATCH(A354,'מלאי'!$D$3:$D$357,0)),""))</f>
        <v/>
      </c>
      <c r="H354">
        <f>IF(A354="","",IFERROR(INDEX('מלאי'!$I$3:$I$357,MATCH(A354,'מלאי'!$D$3:$D$357,0)),""))</f>
        <v/>
      </c>
      <c r="M354">
        <f>IF(AND(E354="",I354=""),"",IF(H354="",E354,IF(I354="",E354,IFERROR((VALUE(E354)+VALUE(I354))/2,E354))))</f>
        <v/>
      </c>
      <c r="N354">
        <f>IF(AND(F354="",J354=""),"",IF(H354="",F354,IF(J354="",F354,IFERROR((VALUE(F354)+VALUE(J354))/2,F354))))</f>
        <v/>
      </c>
      <c r="O354">
        <f>IF(AND(M354="",N354=""),"",IF(M354="",N354,IF(N354="",M354,IFERROR((VALUE(M354)+VALUE(N354))/2,""))))</f>
        <v/>
      </c>
      <c r="P354">
        <f>IF(AND(OR('טכנו'!$C$3="הכל",IFERROR(VLOOKUP(D354,'הגדרות'!$A$2:$D$18,2,FALSE),"")='טכנו'!$C$3,IFERROR(VLOOKUP(D354,'הגדרות'!$A$2:$D$18,3,FALSE),"")='טכנו'!$C$3),OR('טכנו'!$C$4="הכל",C354='טכנו'!$C$4),OR('טכנו'!$C$5="הכל",L354='טכנו'!$C$5),OR('טכנו'!$C$6="",IFERROR(VALUE(M354),0)&gt;='טכנו'!$C$6),OR('טכנו'!$C$7="",IFERROR(VALUE(M354),0)&lt;='טכנו'!$C$7),A354&lt;&gt;""),ROW()-4,"")</f>
        <v/>
      </c>
    </row>
    <row r="355">
      <c r="B355">
        <f>IF(A355="","",IFERROR(INDEX('מלאי'!$B$3:$B$357,MATCH(A355,'מלאי'!$D$3:$D$357,0)),""))</f>
        <v/>
      </c>
      <c r="C355">
        <f>IF(A355="","",IFERROR(INDEX('מלאי'!$A$3:$A$357,MATCH(A355,'מלאי'!$D$3:$D$357,0)),""))</f>
        <v/>
      </c>
      <c r="D355">
        <f>IF(A355="","",IFERROR(INDEX('מלאי'!$H$3:$H$357,MATCH(A355,'מלאי'!$D$3:$D$357,0)),""))</f>
        <v/>
      </c>
      <c r="H355">
        <f>IF(A355="","",IFERROR(INDEX('מלאי'!$I$3:$I$357,MATCH(A355,'מלאי'!$D$3:$D$357,0)),""))</f>
        <v/>
      </c>
      <c r="M355">
        <f>IF(AND(E355="",I355=""),"",IF(H355="",E355,IF(I355="",E355,IFERROR((VALUE(E355)+VALUE(I355))/2,E355))))</f>
        <v/>
      </c>
      <c r="N355">
        <f>IF(AND(F355="",J355=""),"",IF(H355="",F355,IF(J355="",F355,IFERROR((VALUE(F355)+VALUE(J355))/2,F355))))</f>
        <v/>
      </c>
      <c r="O355">
        <f>IF(AND(M355="",N355=""),"",IF(M355="",N355,IF(N355="",M355,IFERROR((VALUE(M355)+VALUE(N355))/2,""))))</f>
        <v/>
      </c>
      <c r="P355">
        <f>IF(AND(OR('טכנו'!$C$3="הכל",IFERROR(VLOOKUP(D355,'הגדרות'!$A$2:$D$18,2,FALSE),"")='טכנו'!$C$3,IFERROR(VLOOKUP(D355,'הגדרות'!$A$2:$D$18,3,FALSE),"")='טכנו'!$C$3),OR('טכנו'!$C$4="הכל",C355='טכנו'!$C$4),OR('טכנו'!$C$5="הכל",L355='טכנו'!$C$5),OR('טכנו'!$C$6="",IFERROR(VALUE(M355),0)&gt;='טכנו'!$C$6),OR('טכנו'!$C$7="",IFERROR(VALUE(M355),0)&lt;='טכנו'!$C$7),A355&lt;&gt;""),ROW()-4,"")</f>
        <v/>
      </c>
    </row>
    <row r="356">
      <c r="B356">
        <f>IF(A356="","",IFERROR(INDEX('מלאי'!$B$3:$B$357,MATCH(A356,'מלאי'!$D$3:$D$357,0)),""))</f>
        <v/>
      </c>
      <c r="C356">
        <f>IF(A356="","",IFERROR(INDEX('מלאי'!$A$3:$A$357,MATCH(A356,'מלאי'!$D$3:$D$357,0)),""))</f>
        <v/>
      </c>
      <c r="D356">
        <f>IF(A356="","",IFERROR(INDEX('מלאי'!$H$3:$H$357,MATCH(A356,'מלאי'!$D$3:$D$357,0)),""))</f>
        <v/>
      </c>
      <c r="H356">
        <f>IF(A356="","",IFERROR(INDEX('מלאי'!$I$3:$I$357,MATCH(A356,'מלאי'!$D$3:$D$357,0)),""))</f>
        <v/>
      </c>
      <c r="M356">
        <f>IF(AND(E356="",I356=""),"",IF(H356="",E356,IF(I356="",E356,IFERROR((VALUE(E356)+VALUE(I356))/2,E356))))</f>
        <v/>
      </c>
      <c r="N356">
        <f>IF(AND(F356="",J356=""),"",IF(H356="",F356,IF(J356="",F356,IFERROR((VALUE(F356)+VALUE(J356))/2,F356))))</f>
        <v/>
      </c>
      <c r="O356">
        <f>IF(AND(M356="",N356=""),"",IF(M356="",N356,IF(N356="",M356,IFERROR((VALUE(M356)+VALUE(N356))/2,""))))</f>
        <v/>
      </c>
      <c r="P356">
        <f>IF(AND(OR('טכנו'!$C$3="הכל",IFERROR(VLOOKUP(D356,'הגדרות'!$A$2:$D$18,2,FALSE),"")='טכנו'!$C$3,IFERROR(VLOOKUP(D356,'הגדרות'!$A$2:$D$18,3,FALSE),"")='טכנו'!$C$3),OR('טכנו'!$C$4="הכל",C356='טכנו'!$C$4),OR('טכנו'!$C$5="הכל",L356='טכנו'!$C$5),OR('טכנו'!$C$6="",IFERROR(VALUE(M356),0)&gt;='טכנו'!$C$6),OR('טכנו'!$C$7="",IFERROR(VALUE(M356),0)&lt;='טכנו'!$C$7),A356&lt;&gt;""),ROW()-4,"")</f>
        <v/>
      </c>
    </row>
    <row r="357">
      <c r="B357">
        <f>IF(A357="","",IFERROR(INDEX('מלאי'!$B$3:$B$357,MATCH(A357,'מלאי'!$D$3:$D$357,0)),""))</f>
        <v/>
      </c>
      <c r="C357">
        <f>IF(A357="","",IFERROR(INDEX('מלאי'!$A$3:$A$357,MATCH(A357,'מלאי'!$D$3:$D$357,0)),""))</f>
        <v/>
      </c>
      <c r="D357">
        <f>IF(A357="","",IFERROR(INDEX('מלאי'!$H$3:$H$357,MATCH(A357,'מלאי'!$D$3:$D$357,0)),""))</f>
        <v/>
      </c>
      <c r="H357">
        <f>IF(A357="","",IFERROR(INDEX('מלאי'!$I$3:$I$357,MATCH(A357,'מלאי'!$D$3:$D$357,0)),""))</f>
        <v/>
      </c>
      <c r="M357">
        <f>IF(AND(E357="",I357=""),"",IF(H357="",E357,IF(I357="",E357,IFERROR((VALUE(E357)+VALUE(I357))/2,E357))))</f>
        <v/>
      </c>
      <c r="N357">
        <f>IF(AND(F357="",J357=""),"",IF(H357="",F357,IF(J357="",F357,IFERROR((VALUE(F357)+VALUE(J357))/2,F357))))</f>
        <v/>
      </c>
      <c r="O357">
        <f>IF(AND(M357="",N357=""),"",IF(M357="",N357,IF(N357="",M357,IFERROR((VALUE(M357)+VALUE(N357))/2,""))))</f>
        <v/>
      </c>
      <c r="P357">
        <f>IF(AND(OR('טכנו'!$C$3="הכל",IFERROR(VLOOKUP(D357,'הגדרות'!$A$2:$D$18,2,FALSE),"")='טכנו'!$C$3,IFERROR(VLOOKUP(D357,'הגדרות'!$A$2:$D$18,3,FALSE),"")='טכנו'!$C$3),OR('טכנו'!$C$4="הכל",C357='טכנו'!$C$4),OR('טכנו'!$C$5="הכל",L357='טכנו'!$C$5),OR('טכנו'!$C$6="",IFERROR(VALUE(M357),0)&gt;='טכנו'!$C$6),OR('טכנו'!$C$7="",IFERROR(VALUE(M357),0)&lt;='טכנו'!$C$7),A357&lt;&gt;""),ROW()-4,"")</f>
        <v/>
      </c>
    </row>
  </sheetData>
  <mergeCells count="2">
    <mergeCell ref="A1:O1"/>
    <mergeCell ref="A3:O3"/>
  </mergeCells>
  <dataValidations count="1">
    <dataValidation sqref="L5:L357" showDropDown="0" showInputMessage="0" showErrorMessage="0" allowBlank="1" type="list">
      <formula1>'הגדרות'!$O$3:$O$4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4" t="inlineStr">
        <is>
          <t>מוצר תכולה</t>
        </is>
      </c>
      <c r="B1" s="4" t="inlineStr">
        <is>
          <t>תכולה סטנדרטית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0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22" customWidth="1" min="10" max="10"/>
  </cols>
  <sheetData>
    <row r="1" ht="28" customHeight="1">
      <c r="A1" s="9" t="inlineStr">
        <is>
          <t>לוח בקרה – מלאי מדגימי שיווק</t>
        </is>
      </c>
    </row>
    <row r="2">
      <c r="B2" s="10" t="inlineStr">
        <is>
          <t>סינונ</t>
        </is>
      </c>
    </row>
    <row r="3">
      <c r="B3" s="11" t="inlineStr">
        <is>
          <t>סביבה</t>
        </is>
      </c>
      <c r="C3" s="12" t="inlineStr">
        <is>
          <t>הכל</t>
        </is>
      </c>
    </row>
    <row r="4">
      <c r="B4" s="11" t="inlineStr">
        <is>
          <t>קו מוצר</t>
        </is>
      </c>
      <c r="C4" s="12" t="inlineStr">
        <is>
          <t>הכל</t>
        </is>
      </c>
    </row>
    <row r="5">
      <c r="B5" s="11" t="inlineStr">
        <is>
          <t>סטטוס</t>
        </is>
      </c>
      <c r="C5" s="12" t="inlineStr">
        <is>
          <t>הכל</t>
        </is>
      </c>
    </row>
    <row r="6">
      <c r="B6" s="11" t="inlineStr">
        <is>
          <t>הדפס</t>
        </is>
      </c>
      <c r="C6" s="12" t="inlineStr">
        <is>
          <t>הכל</t>
        </is>
      </c>
    </row>
    <row r="7">
      <c r="B7" s="11" t="inlineStr">
        <is>
          <t>תקינות ויזואלית א'</t>
        </is>
      </c>
      <c r="C7" s="12" t="inlineStr">
        <is>
          <t>הכל</t>
        </is>
      </c>
    </row>
    <row r="8">
      <c r="B8" s="11" t="inlineStr">
        <is>
          <t>תקינות תרמית א'</t>
        </is>
      </c>
      <c r="C8" s="12" t="inlineStr">
        <is>
          <t>הכל</t>
        </is>
      </c>
    </row>
    <row r="9">
      <c r="B9" s="11" t="inlineStr">
        <is>
          <t>גרסה מיוחדת</t>
        </is>
      </c>
      <c r="C9" s="12" t="inlineStr">
        <is>
          <t>הכל</t>
        </is>
      </c>
    </row>
    <row r="10">
      <c r="B10" s="11" t="inlineStr">
        <is>
          <t>סוג בד</t>
        </is>
      </c>
      <c r="C10" s="12" t="inlineStr">
        <is>
          <t>הכל</t>
        </is>
      </c>
    </row>
    <row r="13">
      <c r="B13" s="10" t="inlineStr">
        <is>
          <t>סיכום</t>
        </is>
      </c>
    </row>
    <row r="14">
      <c r="B14" s="13" t="inlineStr">
        <is>
          <t>סה"כ מוצרים מסוננים</t>
        </is>
      </c>
      <c r="C14" s="14">
        <f>SUMPRODUCT(('מלאי'!$AD$3:$AD$357&lt;&gt;"")*1)</f>
        <v/>
      </c>
    </row>
    <row r="15">
      <c r="B15" s="13" t="inlineStr">
        <is>
          <t>במלאי</t>
        </is>
      </c>
      <c r="C15" s="14">
        <f>SUMPRODUCT(('מלאי'!$AD$3:$AD$357&lt;&gt;"")*('מלאי'!$T$3:$T$357="במלאי"))</f>
        <v/>
      </c>
    </row>
    <row r="16">
      <c r="B16" s="13" t="inlineStr">
        <is>
          <t>בחדר תצוגה</t>
        </is>
      </c>
      <c r="C16" s="14">
        <f>SUMPRODUCT(('מלאי'!$AD$3:$AD$357&lt;&gt;"")*('מלאי'!$T$3:$T$357="בחדר תצוגה"))</f>
        <v/>
      </c>
    </row>
    <row r="17">
      <c r="B17" s="13" t="inlineStr">
        <is>
          <t>מושאל</t>
        </is>
      </c>
      <c r="C17" s="14">
        <f>SUMPRODUCT(('מלאי'!$AD$3:$AD$357&lt;&gt;"")*('מלאי'!$T$3:$T$357="מושאל"))</f>
        <v/>
      </c>
    </row>
    <row r="18">
      <c r="B18" s="13" t="inlineStr">
        <is>
          <t>בתיק הדגמה</t>
        </is>
      </c>
      <c r="C18" s="14">
        <f>SUMPRODUCT(('מלאי'!$AD$3:$AD$357&lt;&gt;"")*('מלאי'!$T$3:$T$357="בתיק הדגמה"))</f>
        <v/>
      </c>
    </row>
    <row r="19">
      <c r="B19" s="13" t="inlineStr">
        <is>
          <t>תקין ויזואלית + תרמית</t>
        </is>
      </c>
      <c r="C19" s="14">
        <f>SUMPRODUCT(('מלאי'!$AD$3:$AD$357&lt;&gt;"")*(('מלאי'!$J$3:$J$357="כן")+('מלאי'!$J$3:$J$357="1")&gt;0)*(('מלאי'!$L$3:$L$357="כן")+('מלאי'!$L$3:$L$357="1")&gt;0))</f>
        <v/>
      </c>
    </row>
    <row r="20">
      <c r="B20" s="13" t="inlineStr">
        <is>
          <t>גרסה מיוחדת (פיתוח)</t>
        </is>
      </c>
      <c r="C20" s="14">
        <f>SUMPRODUCT(('מלאי'!$AD$3:$AD$357&lt;&gt;"")*('מלאי'!$Q$3:$Q$357="כן"))</f>
        <v/>
      </c>
    </row>
    <row r="22" ht="24" customHeight="1">
      <c r="A22" s="2" t="inlineStr">
        <is>
          <t>קו מוצר</t>
        </is>
      </c>
      <c r="B22" s="2" t="inlineStr">
        <is>
          <t>שם מוצר</t>
        </is>
      </c>
      <c r="C22" s="2" t="inlineStr">
        <is>
          <t>גרסה</t>
        </is>
      </c>
      <c r="D22" s="2" t="inlineStr">
        <is>
          <t>מזהה</t>
        </is>
      </c>
      <c r="E22" s="2" t="inlineStr">
        <is>
          <t>הדפס א'</t>
        </is>
      </c>
      <c r="F22" s="2" t="inlineStr">
        <is>
          <t>הדפס ב'</t>
        </is>
      </c>
      <c r="G22" s="2" t="inlineStr">
        <is>
          <t>סביבה</t>
        </is>
      </c>
      <c r="H22" s="2" t="inlineStr">
        <is>
          <t>סטטוס</t>
        </is>
      </c>
      <c r="I22" s="2" t="inlineStr">
        <is>
          <t>מושאל ל</t>
        </is>
      </c>
      <c r="J22" s="2" t="inlineStr">
        <is>
          <t>הערות</t>
        </is>
      </c>
    </row>
    <row r="23">
      <c r="A23">
        <f>IFERROR(INDEX('מלאי'!$A$3:$A$357,SMALL('מלאי'!$AD$3:$AD$357,1)),"")</f>
        <v/>
      </c>
      <c r="B23">
        <f>IFERROR(INDEX('מלאי'!$B$3:$B$357,SMALL('מלאי'!$AD$3:$AD$357,1)),"")</f>
        <v/>
      </c>
      <c r="C23">
        <f>IFERROR(INDEX('מלאי'!$C$3:$C$357,SMALL('מלאי'!$AD$3:$AD$357,1)),"")</f>
        <v/>
      </c>
      <c r="D23">
        <f>IFERROR(INDEX('מלאי'!$D$3:$D$357,SMALL('מלאי'!$AD$3:$AD$357,1)),"")</f>
        <v/>
      </c>
      <c r="E23">
        <f>IFERROR(INDEX('מלאי'!$H$3:$H$357,SMALL('מלאי'!$AD$3:$AD$357,1)),"")</f>
        <v/>
      </c>
      <c r="F23">
        <f>IFERROR(INDEX('מלאי'!$I$3:$I$357,SMALL('מלאי'!$AD$3:$AD$357,1)),"")</f>
        <v/>
      </c>
      <c r="G23">
        <f>IFERROR(INDEX('מלאי'!$Z$3:$Z$357,SMALL('מלאי'!$AD$3:$AD$357,1)),"")</f>
        <v/>
      </c>
      <c r="H23">
        <f>IFERROR(INDEX('מלאי'!$T$3:$T$357,SMALL('מלאי'!$AD$3:$AD$357,1)),"")</f>
        <v/>
      </c>
      <c r="I23">
        <f>IFERROR(INDEX('מלאי'!$V$3:$V$357,SMALL('מלאי'!$AD$3:$AD$357,1)),"")</f>
        <v/>
      </c>
      <c r="J23">
        <f>IFERROR(INDEX('מלאי'!$U$3:$U$357,SMALL('מלאי'!$AD$3:$AD$357,1)),"")</f>
        <v/>
      </c>
    </row>
    <row r="24">
      <c r="A24">
        <f>IFERROR(INDEX('מלאי'!$A$3:$A$357,SMALL('מלאי'!$AD$3:$AD$357,2)),"")</f>
        <v/>
      </c>
      <c r="B24">
        <f>IFERROR(INDEX('מלאי'!$B$3:$B$357,SMALL('מלאי'!$AD$3:$AD$357,2)),"")</f>
        <v/>
      </c>
      <c r="C24">
        <f>IFERROR(INDEX('מלאי'!$C$3:$C$357,SMALL('מלאי'!$AD$3:$AD$357,2)),"")</f>
        <v/>
      </c>
      <c r="D24">
        <f>IFERROR(INDEX('מלאי'!$D$3:$D$357,SMALL('מלאי'!$AD$3:$AD$357,2)),"")</f>
        <v/>
      </c>
      <c r="E24">
        <f>IFERROR(INDEX('מלאי'!$H$3:$H$357,SMALL('מלאי'!$AD$3:$AD$357,2)),"")</f>
        <v/>
      </c>
      <c r="F24">
        <f>IFERROR(INDEX('מלאי'!$I$3:$I$357,SMALL('מלאי'!$AD$3:$AD$357,2)),"")</f>
        <v/>
      </c>
      <c r="G24">
        <f>IFERROR(INDEX('מלאי'!$Z$3:$Z$357,SMALL('מלאי'!$AD$3:$AD$357,2)),"")</f>
        <v/>
      </c>
      <c r="H24">
        <f>IFERROR(INDEX('מלאי'!$T$3:$T$357,SMALL('מלאי'!$AD$3:$AD$357,2)),"")</f>
        <v/>
      </c>
      <c r="I24">
        <f>IFERROR(INDEX('מלאי'!$V$3:$V$357,SMALL('מלאי'!$AD$3:$AD$357,2)),"")</f>
        <v/>
      </c>
      <c r="J24">
        <f>IFERROR(INDEX('מלאי'!$U$3:$U$357,SMALL('מלאי'!$AD$3:$AD$357,2)),"")</f>
        <v/>
      </c>
    </row>
    <row r="25">
      <c r="A25">
        <f>IFERROR(INDEX('מלאי'!$A$3:$A$357,SMALL('מלאי'!$AD$3:$AD$357,3)),"")</f>
        <v/>
      </c>
      <c r="B25">
        <f>IFERROR(INDEX('מלאי'!$B$3:$B$357,SMALL('מלאי'!$AD$3:$AD$357,3)),"")</f>
        <v/>
      </c>
      <c r="C25">
        <f>IFERROR(INDEX('מלאי'!$C$3:$C$357,SMALL('מלאי'!$AD$3:$AD$357,3)),"")</f>
        <v/>
      </c>
      <c r="D25">
        <f>IFERROR(INDEX('מלאי'!$D$3:$D$357,SMALL('מלאי'!$AD$3:$AD$357,3)),"")</f>
        <v/>
      </c>
      <c r="E25">
        <f>IFERROR(INDEX('מלאי'!$H$3:$H$357,SMALL('מלאי'!$AD$3:$AD$357,3)),"")</f>
        <v/>
      </c>
      <c r="F25">
        <f>IFERROR(INDEX('מלאי'!$I$3:$I$357,SMALL('מלאי'!$AD$3:$AD$357,3)),"")</f>
        <v/>
      </c>
      <c r="G25">
        <f>IFERROR(INDEX('מלאי'!$Z$3:$Z$357,SMALL('מלאי'!$AD$3:$AD$357,3)),"")</f>
        <v/>
      </c>
      <c r="H25">
        <f>IFERROR(INDEX('מלאי'!$T$3:$T$357,SMALL('מלאי'!$AD$3:$AD$357,3)),"")</f>
        <v/>
      </c>
      <c r="I25">
        <f>IFERROR(INDEX('מלאי'!$V$3:$V$357,SMALL('מלאי'!$AD$3:$AD$357,3)),"")</f>
        <v/>
      </c>
      <c r="J25">
        <f>IFERROR(INDEX('מלאי'!$U$3:$U$357,SMALL('מלאי'!$AD$3:$AD$357,3)),"")</f>
        <v/>
      </c>
    </row>
    <row r="26">
      <c r="A26">
        <f>IFERROR(INDEX('מלאי'!$A$3:$A$357,SMALL('מלאי'!$AD$3:$AD$357,4)),"")</f>
        <v/>
      </c>
      <c r="B26">
        <f>IFERROR(INDEX('מלאי'!$B$3:$B$357,SMALL('מלאי'!$AD$3:$AD$357,4)),"")</f>
        <v/>
      </c>
      <c r="C26">
        <f>IFERROR(INDEX('מלאי'!$C$3:$C$357,SMALL('מלאי'!$AD$3:$AD$357,4)),"")</f>
        <v/>
      </c>
      <c r="D26">
        <f>IFERROR(INDEX('מלאי'!$D$3:$D$357,SMALL('מלאי'!$AD$3:$AD$357,4)),"")</f>
        <v/>
      </c>
      <c r="E26">
        <f>IFERROR(INDEX('מלאי'!$H$3:$H$357,SMALL('מלאי'!$AD$3:$AD$357,4)),"")</f>
        <v/>
      </c>
      <c r="F26">
        <f>IFERROR(INDEX('מלאי'!$I$3:$I$357,SMALL('מלאי'!$AD$3:$AD$357,4)),"")</f>
        <v/>
      </c>
      <c r="G26">
        <f>IFERROR(INDEX('מלאי'!$Z$3:$Z$357,SMALL('מלאי'!$AD$3:$AD$357,4)),"")</f>
        <v/>
      </c>
      <c r="H26">
        <f>IFERROR(INDEX('מלאי'!$T$3:$T$357,SMALL('מלאי'!$AD$3:$AD$357,4)),"")</f>
        <v/>
      </c>
      <c r="I26">
        <f>IFERROR(INDEX('מלאי'!$V$3:$V$357,SMALL('מלאי'!$AD$3:$AD$357,4)),"")</f>
        <v/>
      </c>
      <c r="J26">
        <f>IFERROR(INDEX('מלאי'!$U$3:$U$357,SMALL('מלאי'!$AD$3:$AD$357,4)),"")</f>
        <v/>
      </c>
    </row>
    <row r="27">
      <c r="A27">
        <f>IFERROR(INDEX('מלאי'!$A$3:$A$357,SMALL('מלאי'!$AD$3:$AD$357,5)),"")</f>
        <v/>
      </c>
      <c r="B27">
        <f>IFERROR(INDEX('מלאי'!$B$3:$B$357,SMALL('מלאי'!$AD$3:$AD$357,5)),"")</f>
        <v/>
      </c>
      <c r="C27">
        <f>IFERROR(INDEX('מלאי'!$C$3:$C$357,SMALL('מלאי'!$AD$3:$AD$357,5)),"")</f>
        <v/>
      </c>
      <c r="D27">
        <f>IFERROR(INDEX('מלאי'!$D$3:$D$357,SMALL('מלאי'!$AD$3:$AD$357,5)),"")</f>
        <v/>
      </c>
      <c r="E27">
        <f>IFERROR(INDEX('מלאי'!$H$3:$H$357,SMALL('מלאי'!$AD$3:$AD$357,5)),"")</f>
        <v/>
      </c>
      <c r="F27">
        <f>IFERROR(INDEX('מלאי'!$I$3:$I$357,SMALL('מלאי'!$AD$3:$AD$357,5)),"")</f>
        <v/>
      </c>
      <c r="G27">
        <f>IFERROR(INDEX('מלאי'!$Z$3:$Z$357,SMALL('מלאי'!$AD$3:$AD$357,5)),"")</f>
        <v/>
      </c>
      <c r="H27">
        <f>IFERROR(INDEX('מלאי'!$T$3:$T$357,SMALL('מלאי'!$AD$3:$AD$357,5)),"")</f>
        <v/>
      </c>
      <c r="I27">
        <f>IFERROR(INDEX('מלאי'!$V$3:$V$357,SMALL('מלאי'!$AD$3:$AD$357,5)),"")</f>
        <v/>
      </c>
      <c r="J27">
        <f>IFERROR(INDEX('מלאי'!$U$3:$U$357,SMALL('מלאי'!$AD$3:$AD$357,5)),"")</f>
        <v/>
      </c>
    </row>
    <row r="28">
      <c r="A28">
        <f>IFERROR(INDEX('מלאי'!$A$3:$A$357,SMALL('מלאי'!$AD$3:$AD$357,6)),"")</f>
        <v/>
      </c>
      <c r="B28">
        <f>IFERROR(INDEX('מלאי'!$B$3:$B$357,SMALL('מלאי'!$AD$3:$AD$357,6)),"")</f>
        <v/>
      </c>
      <c r="C28">
        <f>IFERROR(INDEX('מלאי'!$C$3:$C$357,SMALL('מלאי'!$AD$3:$AD$357,6)),"")</f>
        <v/>
      </c>
      <c r="D28">
        <f>IFERROR(INDEX('מלאי'!$D$3:$D$357,SMALL('מלאי'!$AD$3:$AD$357,6)),"")</f>
        <v/>
      </c>
      <c r="E28">
        <f>IFERROR(INDEX('מלאי'!$H$3:$H$357,SMALL('מלאי'!$AD$3:$AD$357,6)),"")</f>
        <v/>
      </c>
      <c r="F28">
        <f>IFERROR(INDEX('מלאי'!$I$3:$I$357,SMALL('מלאי'!$AD$3:$AD$357,6)),"")</f>
        <v/>
      </c>
      <c r="G28">
        <f>IFERROR(INDEX('מלאי'!$Z$3:$Z$357,SMALL('מלאי'!$AD$3:$AD$357,6)),"")</f>
        <v/>
      </c>
      <c r="H28">
        <f>IFERROR(INDEX('מלאי'!$T$3:$T$357,SMALL('מלאי'!$AD$3:$AD$357,6)),"")</f>
        <v/>
      </c>
      <c r="I28">
        <f>IFERROR(INDEX('מלאי'!$V$3:$V$357,SMALL('מלאי'!$AD$3:$AD$357,6)),"")</f>
        <v/>
      </c>
      <c r="J28">
        <f>IFERROR(INDEX('מלאי'!$U$3:$U$357,SMALL('מלאי'!$AD$3:$AD$357,6)),"")</f>
        <v/>
      </c>
    </row>
    <row r="29">
      <c r="A29">
        <f>IFERROR(INDEX('מלאי'!$A$3:$A$357,SMALL('מלאי'!$AD$3:$AD$357,7)),"")</f>
        <v/>
      </c>
      <c r="B29">
        <f>IFERROR(INDEX('מלאי'!$B$3:$B$357,SMALL('מלאי'!$AD$3:$AD$357,7)),"")</f>
        <v/>
      </c>
      <c r="C29">
        <f>IFERROR(INDEX('מלאי'!$C$3:$C$357,SMALL('מלאי'!$AD$3:$AD$357,7)),"")</f>
        <v/>
      </c>
      <c r="D29">
        <f>IFERROR(INDEX('מלאי'!$D$3:$D$357,SMALL('מלאי'!$AD$3:$AD$357,7)),"")</f>
        <v/>
      </c>
      <c r="E29">
        <f>IFERROR(INDEX('מלאי'!$H$3:$H$357,SMALL('מלאי'!$AD$3:$AD$357,7)),"")</f>
        <v/>
      </c>
      <c r="F29">
        <f>IFERROR(INDEX('מלאי'!$I$3:$I$357,SMALL('מלאי'!$AD$3:$AD$357,7)),"")</f>
        <v/>
      </c>
      <c r="G29">
        <f>IFERROR(INDEX('מלאי'!$Z$3:$Z$357,SMALL('מלאי'!$AD$3:$AD$357,7)),"")</f>
        <v/>
      </c>
      <c r="H29">
        <f>IFERROR(INDEX('מלאי'!$T$3:$T$357,SMALL('מלאי'!$AD$3:$AD$357,7)),"")</f>
        <v/>
      </c>
      <c r="I29">
        <f>IFERROR(INDEX('מלאי'!$V$3:$V$357,SMALL('מלאי'!$AD$3:$AD$357,7)),"")</f>
        <v/>
      </c>
      <c r="J29">
        <f>IFERROR(INDEX('מלאי'!$U$3:$U$357,SMALL('מלאי'!$AD$3:$AD$357,7)),"")</f>
        <v/>
      </c>
    </row>
    <row r="30">
      <c r="A30">
        <f>IFERROR(INDEX('מלאי'!$A$3:$A$357,SMALL('מלאי'!$AD$3:$AD$357,8)),"")</f>
        <v/>
      </c>
      <c r="B30">
        <f>IFERROR(INDEX('מלאי'!$B$3:$B$357,SMALL('מלאי'!$AD$3:$AD$357,8)),"")</f>
        <v/>
      </c>
      <c r="C30">
        <f>IFERROR(INDEX('מלאי'!$C$3:$C$357,SMALL('מלאי'!$AD$3:$AD$357,8)),"")</f>
        <v/>
      </c>
      <c r="D30">
        <f>IFERROR(INDEX('מלאי'!$D$3:$D$357,SMALL('מלאי'!$AD$3:$AD$357,8)),"")</f>
        <v/>
      </c>
      <c r="E30">
        <f>IFERROR(INDEX('מלאי'!$H$3:$H$357,SMALL('מלאי'!$AD$3:$AD$357,8)),"")</f>
        <v/>
      </c>
      <c r="F30">
        <f>IFERROR(INDEX('מלאי'!$I$3:$I$357,SMALL('מלאי'!$AD$3:$AD$357,8)),"")</f>
        <v/>
      </c>
      <c r="G30">
        <f>IFERROR(INDEX('מלאי'!$Z$3:$Z$357,SMALL('מלאי'!$AD$3:$AD$357,8)),"")</f>
        <v/>
      </c>
      <c r="H30">
        <f>IFERROR(INDEX('מלאי'!$T$3:$T$357,SMALL('מלאי'!$AD$3:$AD$357,8)),"")</f>
        <v/>
      </c>
      <c r="I30">
        <f>IFERROR(INDEX('מלאי'!$V$3:$V$357,SMALL('מלאי'!$AD$3:$AD$357,8)),"")</f>
        <v/>
      </c>
      <c r="J30">
        <f>IFERROR(INDEX('מלאי'!$U$3:$U$357,SMALL('מלאי'!$AD$3:$AD$357,8)),"")</f>
        <v/>
      </c>
    </row>
    <row r="31">
      <c r="A31">
        <f>IFERROR(INDEX('מלאי'!$A$3:$A$357,SMALL('מלאי'!$AD$3:$AD$357,9)),"")</f>
        <v/>
      </c>
      <c r="B31">
        <f>IFERROR(INDEX('מלאי'!$B$3:$B$357,SMALL('מלאי'!$AD$3:$AD$357,9)),"")</f>
        <v/>
      </c>
      <c r="C31">
        <f>IFERROR(INDEX('מלאי'!$C$3:$C$357,SMALL('מלאי'!$AD$3:$AD$357,9)),"")</f>
        <v/>
      </c>
      <c r="D31">
        <f>IFERROR(INDEX('מלאי'!$D$3:$D$357,SMALL('מלאי'!$AD$3:$AD$357,9)),"")</f>
        <v/>
      </c>
      <c r="E31">
        <f>IFERROR(INDEX('מלאי'!$H$3:$H$357,SMALL('מלאי'!$AD$3:$AD$357,9)),"")</f>
        <v/>
      </c>
      <c r="F31">
        <f>IFERROR(INDEX('מלאי'!$I$3:$I$357,SMALL('מלאי'!$AD$3:$AD$357,9)),"")</f>
        <v/>
      </c>
      <c r="G31">
        <f>IFERROR(INDEX('מלאי'!$Z$3:$Z$357,SMALL('מלאי'!$AD$3:$AD$357,9)),"")</f>
        <v/>
      </c>
      <c r="H31">
        <f>IFERROR(INDEX('מלאי'!$T$3:$T$357,SMALL('מלאי'!$AD$3:$AD$357,9)),"")</f>
        <v/>
      </c>
      <c r="I31">
        <f>IFERROR(INDEX('מלאי'!$V$3:$V$357,SMALL('מלאי'!$AD$3:$AD$357,9)),"")</f>
        <v/>
      </c>
      <c r="J31">
        <f>IFERROR(INDEX('מלאי'!$U$3:$U$357,SMALL('מלאי'!$AD$3:$AD$357,9)),"")</f>
        <v/>
      </c>
    </row>
    <row r="32">
      <c r="A32">
        <f>IFERROR(INDEX('מלאי'!$A$3:$A$357,SMALL('מלאי'!$AD$3:$AD$357,10)),"")</f>
        <v/>
      </c>
      <c r="B32">
        <f>IFERROR(INDEX('מלאי'!$B$3:$B$357,SMALL('מלאי'!$AD$3:$AD$357,10)),"")</f>
        <v/>
      </c>
      <c r="C32">
        <f>IFERROR(INDEX('מלאי'!$C$3:$C$357,SMALL('מלאי'!$AD$3:$AD$357,10)),"")</f>
        <v/>
      </c>
      <c r="D32">
        <f>IFERROR(INDEX('מלאי'!$D$3:$D$357,SMALL('מלאי'!$AD$3:$AD$357,10)),"")</f>
        <v/>
      </c>
      <c r="E32">
        <f>IFERROR(INDEX('מלאי'!$H$3:$H$357,SMALL('מלאי'!$AD$3:$AD$357,10)),"")</f>
        <v/>
      </c>
      <c r="F32">
        <f>IFERROR(INDEX('מלאי'!$I$3:$I$357,SMALL('מלאי'!$AD$3:$AD$357,10)),"")</f>
        <v/>
      </c>
      <c r="G32">
        <f>IFERROR(INDEX('מלאי'!$Z$3:$Z$357,SMALL('מלאי'!$AD$3:$AD$357,10)),"")</f>
        <v/>
      </c>
      <c r="H32">
        <f>IFERROR(INDEX('מלאי'!$T$3:$T$357,SMALL('מלאי'!$AD$3:$AD$357,10)),"")</f>
        <v/>
      </c>
      <c r="I32">
        <f>IFERROR(INDEX('מלאי'!$V$3:$V$357,SMALL('מלאי'!$AD$3:$AD$357,10)),"")</f>
        <v/>
      </c>
      <c r="J32">
        <f>IFERROR(INDEX('מלאי'!$U$3:$U$357,SMALL('מלאי'!$AD$3:$AD$357,10)),"")</f>
        <v/>
      </c>
    </row>
    <row r="33">
      <c r="A33">
        <f>IFERROR(INDEX('מלאי'!$A$3:$A$357,SMALL('מלאי'!$AD$3:$AD$357,11)),"")</f>
        <v/>
      </c>
      <c r="B33">
        <f>IFERROR(INDEX('מלאי'!$B$3:$B$357,SMALL('מלאי'!$AD$3:$AD$357,11)),"")</f>
        <v/>
      </c>
      <c r="C33">
        <f>IFERROR(INDEX('מלאי'!$C$3:$C$357,SMALL('מלאי'!$AD$3:$AD$357,11)),"")</f>
        <v/>
      </c>
      <c r="D33">
        <f>IFERROR(INDEX('מלאי'!$D$3:$D$357,SMALL('מלאי'!$AD$3:$AD$357,11)),"")</f>
        <v/>
      </c>
      <c r="E33">
        <f>IFERROR(INDEX('מלאי'!$H$3:$H$357,SMALL('מלאי'!$AD$3:$AD$357,11)),"")</f>
        <v/>
      </c>
      <c r="F33">
        <f>IFERROR(INDEX('מלאי'!$I$3:$I$357,SMALL('מלאי'!$AD$3:$AD$357,11)),"")</f>
        <v/>
      </c>
      <c r="G33">
        <f>IFERROR(INDEX('מלאי'!$Z$3:$Z$357,SMALL('מלאי'!$AD$3:$AD$357,11)),"")</f>
        <v/>
      </c>
      <c r="H33">
        <f>IFERROR(INDEX('מלאי'!$T$3:$T$357,SMALL('מלאי'!$AD$3:$AD$357,11)),"")</f>
        <v/>
      </c>
      <c r="I33">
        <f>IFERROR(INDEX('מלאי'!$V$3:$V$357,SMALL('מלאי'!$AD$3:$AD$357,11)),"")</f>
        <v/>
      </c>
      <c r="J33">
        <f>IFERROR(INDEX('מלאי'!$U$3:$U$357,SMALL('מלאי'!$AD$3:$AD$357,11)),"")</f>
        <v/>
      </c>
    </row>
    <row r="34">
      <c r="A34">
        <f>IFERROR(INDEX('מלאי'!$A$3:$A$357,SMALL('מלאי'!$AD$3:$AD$357,12)),"")</f>
        <v/>
      </c>
      <c r="B34">
        <f>IFERROR(INDEX('מלאי'!$B$3:$B$357,SMALL('מלאי'!$AD$3:$AD$357,12)),"")</f>
        <v/>
      </c>
      <c r="C34">
        <f>IFERROR(INDEX('מלאי'!$C$3:$C$357,SMALL('מלאי'!$AD$3:$AD$357,12)),"")</f>
        <v/>
      </c>
      <c r="D34">
        <f>IFERROR(INDEX('מלאי'!$D$3:$D$357,SMALL('מלאי'!$AD$3:$AD$357,12)),"")</f>
        <v/>
      </c>
      <c r="E34">
        <f>IFERROR(INDEX('מלאי'!$H$3:$H$357,SMALL('מלאי'!$AD$3:$AD$357,12)),"")</f>
        <v/>
      </c>
      <c r="F34">
        <f>IFERROR(INDEX('מלאי'!$I$3:$I$357,SMALL('מלאי'!$AD$3:$AD$357,12)),"")</f>
        <v/>
      </c>
      <c r="G34">
        <f>IFERROR(INDEX('מלאי'!$Z$3:$Z$357,SMALL('מלאי'!$AD$3:$AD$357,12)),"")</f>
        <v/>
      </c>
      <c r="H34">
        <f>IFERROR(INDEX('מלאי'!$T$3:$T$357,SMALL('מלאי'!$AD$3:$AD$357,12)),"")</f>
        <v/>
      </c>
      <c r="I34">
        <f>IFERROR(INDEX('מלאי'!$V$3:$V$357,SMALL('מלאי'!$AD$3:$AD$357,12)),"")</f>
        <v/>
      </c>
      <c r="J34">
        <f>IFERROR(INDEX('מלאי'!$U$3:$U$357,SMALL('מלאי'!$AD$3:$AD$357,12)),"")</f>
        <v/>
      </c>
    </row>
    <row r="35">
      <c r="A35">
        <f>IFERROR(INDEX('מלאי'!$A$3:$A$357,SMALL('מלאי'!$AD$3:$AD$357,13)),"")</f>
        <v/>
      </c>
      <c r="B35">
        <f>IFERROR(INDEX('מלאי'!$B$3:$B$357,SMALL('מלאי'!$AD$3:$AD$357,13)),"")</f>
        <v/>
      </c>
      <c r="C35">
        <f>IFERROR(INDEX('מלאי'!$C$3:$C$357,SMALL('מלאי'!$AD$3:$AD$357,13)),"")</f>
        <v/>
      </c>
      <c r="D35">
        <f>IFERROR(INDEX('מלאי'!$D$3:$D$357,SMALL('מלאי'!$AD$3:$AD$357,13)),"")</f>
        <v/>
      </c>
      <c r="E35">
        <f>IFERROR(INDEX('מלאי'!$H$3:$H$357,SMALL('מלאי'!$AD$3:$AD$357,13)),"")</f>
        <v/>
      </c>
      <c r="F35">
        <f>IFERROR(INDEX('מלאי'!$I$3:$I$357,SMALL('מלאי'!$AD$3:$AD$357,13)),"")</f>
        <v/>
      </c>
      <c r="G35">
        <f>IFERROR(INDEX('מלאי'!$Z$3:$Z$357,SMALL('מלאי'!$AD$3:$AD$357,13)),"")</f>
        <v/>
      </c>
      <c r="H35">
        <f>IFERROR(INDEX('מלאי'!$T$3:$T$357,SMALL('מלאי'!$AD$3:$AD$357,13)),"")</f>
        <v/>
      </c>
      <c r="I35">
        <f>IFERROR(INDEX('מלאי'!$V$3:$V$357,SMALL('מלאי'!$AD$3:$AD$357,13)),"")</f>
        <v/>
      </c>
      <c r="J35">
        <f>IFERROR(INDEX('מלאי'!$U$3:$U$357,SMALL('מלאי'!$AD$3:$AD$357,13)),"")</f>
        <v/>
      </c>
    </row>
    <row r="36">
      <c r="A36">
        <f>IFERROR(INDEX('מלאי'!$A$3:$A$357,SMALL('מלאי'!$AD$3:$AD$357,14)),"")</f>
        <v/>
      </c>
      <c r="B36">
        <f>IFERROR(INDEX('מלאי'!$B$3:$B$357,SMALL('מלאי'!$AD$3:$AD$357,14)),"")</f>
        <v/>
      </c>
      <c r="C36">
        <f>IFERROR(INDEX('מלאי'!$C$3:$C$357,SMALL('מלאי'!$AD$3:$AD$357,14)),"")</f>
        <v/>
      </c>
      <c r="D36">
        <f>IFERROR(INDEX('מלאי'!$D$3:$D$357,SMALL('מלאי'!$AD$3:$AD$357,14)),"")</f>
        <v/>
      </c>
      <c r="E36">
        <f>IFERROR(INDEX('מלאי'!$H$3:$H$357,SMALL('מלאי'!$AD$3:$AD$357,14)),"")</f>
        <v/>
      </c>
      <c r="F36">
        <f>IFERROR(INDEX('מלאי'!$I$3:$I$357,SMALL('מלאי'!$AD$3:$AD$357,14)),"")</f>
        <v/>
      </c>
      <c r="G36">
        <f>IFERROR(INDEX('מלאי'!$Z$3:$Z$357,SMALL('מלאי'!$AD$3:$AD$357,14)),"")</f>
        <v/>
      </c>
      <c r="H36">
        <f>IFERROR(INDEX('מלאי'!$T$3:$T$357,SMALL('מלאי'!$AD$3:$AD$357,14)),"")</f>
        <v/>
      </c>
      <c r="I36">
        <f>IFERROR(INDEX('מלאי'!$V$3:$V$357,SMALL('מלאי'!$AD$3:$AD$357,14)),"")</f>
        <v/>
      </c>
      <c r="J36">
        <f>IFERROR(INDEX('מלאי'!$U$3:$U$357,SMALL('מלאי'!$AD$3:$AD$357,14)),"")</f>
        <v/>
      </c>
    </row>
    <row r="37">
      <c r="A37">
        <f>IFERROR(INDEX('מלאי'!$A$3:$A$357,SMALL('מלאי'!$AD$3:$AD$357,15)),"")</f>
        <v/>
      </c>
      <c r="B37">
        <f>IFERROR(INDEX('מלאי'!$B$3:$B$357,SMALL('מלאי'!$AD$3:$AD$357,15)),"")</f>
        <v/>
      </c>
      <c r="C37">
        <f>IFERROR(INDEX('מלאי'!$C$3:$C$357,SMALL('מלאי'!$AD$3:$AD$357,15)),"")</f>
        <v/>
      </c>
      <c r="D37">
        <f>IFERROR(INDEX('מלאי'!$D$3:$D$357,SMALL('מלאי'!$AD$3:$AD$357,15)),"")</f>
        <v/>
      </c>
      <c r="E37">
        <f>IFERROR(INDEX('מלאי'!$H$3:$H$357,SMALL('מלאי'!$AD$3:$AD$357,15)),"")</f>
        <v/>
      </c>
      <c r="F37">
        <f>IFERROR(INDEX('מלאי'!$I$3:$I$357,SMALL('מלאי'!$AD$3:$AD$357,15)),"")</f>
        <v/>
      </c>
      <c r="G37">
        <f>IFERROR(INDEX('מלאי'!$Z$3:$Z$357,SMALL('מלאי'!$AD$3:$AD$357,15)),"")</f>
        <v/>
      </c>
      <c r="H37">
        <f>IFERROR(INDEX('מלאי'!$T$3:$T$357,SMALL('מלאי'!$AD$3:$AD$357,15)),"")</f>
        <v/>
      </c>
      <c r="I37">
        <f>IFERROR(INDEX('מלאי'!$V$3:$V$357,SMALL('מלאי'!$AD$3:$AD$357,15)),"")</f>
        <v/>
      </c>
      <c r="J37">
        <f>IFERROR(INDEX('מלאי'!$U$3:$U$357,SMALL('מלאי'!$AD$3:$AD$357,15)),"")</f>
        <v/>
      </c>
    </row>
    <row r="38">
      <c r="A38">
        <f>IFERROR(INDEX('מלאי'!$A$3:$A$357,SMALL('מלאי'!$AD$3:$AD$357,16)),"")</f>
        <v/>
      </c>
      <c r="B38">
        <f>IFERROR(INDEX('מלאי'!$B$3:$B$357,SMALL('מלאי'!$AD$3:$AD$357,16)),"")</f>
        <v/>
      </c>
      <c r="C38">
        <f>IFERROR(INDEX('מלאי'!$C$3:$C$357,SMALL('מלאי'!$AD$3:$AD$357,16)),"")</f>
        <v/>
      </c>
      <c r="D38">
        <f>IFERROR(INDEX('מלאי'!$D$3:$D$357,SMALL('מלאי'!$AD$3:$AD$357,16)),"")</f>
        <v/>
      </c>
      <c r="E38">
        <f>IFERROR(INDEX('מלאי'!$H$3:$H$357,SMALL('מלאי'!$AD$3:$AD$357,16)),"")</f>
        <v/>
      </c>
      <c r="F38">
        <f>IFERROR(INDEX('מלאי'!$I$3:$I$357,SMALL('מלאי'!$AD$3:$AD$357,16)),"")</f>
        <v/>
      </c>
      <c r="G38">
        <f>IFERROR(INDEX('מלאי'!$Z$3:$Z$357,SMALL('מלאי'!$AD$3:$AD$357,16)),"")</f>
        <v/>
      </c>
      <c r="H38">
        <f>IFERROR(INDEX('מלאי'!$T$3:$T$357,SMALL('מלאי'!$AD$3:$AD$357,16)),"")</f>
        <v/>
      </c>
      <c r="I38">
        <f>IFERROR(INDEX('מלאי'!$V$3:$V$357,SMALL('מלאי'!$AD$3:$AD$357,16)),"")</f>
        <v/>
      </c>
      <c r="J38">
        <f>IFERROR(INDEX('מלאי'!$U$3:$U$357,SMALL('מלאי'!$AD$3:$AD$357,16)),"")</f>
        <v/>
      </c>
    </row>
    <row r="39">
      <c r="A39">
        <f>IFERROR(INDEX('מלאי'!$A$3:$A$357,SMALL('מלאי'!$AD$3:$AD$357,17)),"")</f>
        <v/>
      </c>
      <c r="B39">
        <f>IFERROR(INDEX('מלאי'!$B$3:$B$357,SMALL('מלאי'!$AD$3:$AD$357,17)),"")</f>
        <v/>
      </c>
      <c r="C39">
        <f>IFERROR(INDEX('מלאי'!$C$3:$C$357,SMALL('מלאי'!$AD$3:$AD$357,17)),"")</f>
        <v/>
      </c>
      <c r="D39">
        <f>IFERROR(INDEX('מלאי'!$D$3:$D$357,SMALL('מלאי'!$AD$3:$AD$357,17)),"")</f>
        <v/>
      </c>
      <c r="E39">
        <f>IFERROR(INDEX('מלאי'!$H$3:$H$357,SMALL('מלאי'!$AD$3:$AD$357,17)),"")</f>
        <v/>
      </c>
      <c r="F39">
        <f>IFERROR(INDEX('מלאי'!$I$3:$I$357,SMALL('מלאי'!$AD$3:$AD$357,17)),"")</f>
        <v/>
      </c>
      <c r="G39">
        <f>IFERROR(INDEX('מלאי'!$Z$3:$Z$357,SMALL('מלאי'!$AD$3:$AD$357,17)),"")</f>
        <v/>
      </c>
      <c r="H39">
        <f>IFERROR(INDEX('מלאי'!$T$3:$T$357,SMALL('מלאי'!$AD$3:$AD$357,17)),"")</f>
        <v/>
      </c>
      <c r="I39">
        <f>IFERROR(INDEX('מלאי'!$V$3:$V$357,SMALL('מלאי'!$AD$3:$AD$357,17)),"")</f>
        <v/>
      </c>
      <c r="J39">
        <f>IFERROR(INDEX('מלאי'!$U$3:$U$357,SMALL('מלאי'!$AD$3:$AD$357,17)),"")</f>
        <v/>
      </c>
    </row>
    <row r="40">
      <c r="A40">
        <f>IFERROR(INDEX('מלאי'!$A$3:$A$357,SMALL('מלאי'!$AD$3:$AD$357,18)),"")</f>
        <v/>
      </c>
      <c r="B40">
        <f>IFERROR(INDEX('מלאי'!$B$3:$B$357,SMALL('מלאי'!$AD$3:$AD$357,18)),"")</f>
        <v/>
      </c>
      <c r="C40">
        <f>IFERROR(INDEX('מלאי'!$C$3:$C$357,SMALL('מלאי'!$AD$3:$AD$357,18)),"")</f>
        <v/>
      </c>
      <c r="D40">
        <f>IFERROR(INDEX('מלאי'!$D$3:$D$357,SMALL('מלאי'!$AD$3:$AD$357,18)),"")</f>
        <v/>
      </c>
      <c r="E40">
        <f>IFERROR(INDEX('מלאי'!$H$3:$H$357,SMALL('מלאי'!$AD$3:$AD$357,18)),"")</f>
        <v/>
      </c>
      <c r="F40">
        <f>IFERROR(INDEX('מלאי'!$I$3:$I$357,SMALL('מלאי'!$AD$3:$AD$357,18)),"")</f>
        <v/>
      </c>
      <c r="G40">
        <f>IFERROR(INDEX('מלאי'!$Z$3:$Z$357,SMALL('מלאי'!$AD$3:$AD$357,18)),"")</f>
        <v/>
      </c>
      <c r="H40">
        <f>IFERROR(INDEX('מלאי'!$T$3:$T$357,SMALL('מלאי'!$AD$3:$AD$357,18)),"")</f>
        <v/>
      </c>
      <c r="I40">
        <f>IFERROR(INDEX('מלאי'!$V$3:$V$357,SMALL('מלאי'!$AD$3:$AD$357,18)),"")</f>
        <v/>
      </c>
      <c r="J40">
        <f>IFERROR(INDEX('מלאי'!$U$3:$U$357,SMALL('מלאי'!$AD$3:$AD$357,18)),"")</f>
        <v/>
      </c>
    </row>
    <row r="41">
      <c r="A41">
        <f>IFERROR(INDEX('מלאי'!$A$3:$A$357,SMALL('מלאי'!$AD$3:$AD$357,19)),"")</f>
        <v/>
      </c>
      <c r="B41">
        <f>IFERROR(INDEX('מלאי'!$B$3:$B$357,SMALL('מלאי'!$AD$3:$AD$357,19)),"")</f>
        <v/>
      </c>
      <c r="C41">
        <f>IFERROR(INDEX('מלאי'!$C$3:$C$357,SMALL('מלאי'!$AD$3:$AD$357,19)),"")</f>
        <v/>
      </c>
      <c r="D41">
        <f>IFERROR(INDEX('מלאי'!$D$3:$D$357,SMALL('מלאי'!$AD$3:$AD$357,19)),"")</f>
        <v/>
      </c>
      <c r="E41">
        <f>IFERROR(INDEX('מלאי'!$H$3:$H$357,SMALL('מלאי'!$AD$3:$AD$357,19)),"")</f>
        <v/>
      </c>
      <c r="F41">
        <f>IFERROR(INDEX('מלאי'!$I$3:$I$357,SMALL('מלאי'!$AD$3:$AD$357,19)),"")</f>
        <v/>
      </c>
      <c r="G41">
        <f>IFERROR(INDEX('מלאי'!$Z$3:$Z$357,SMALL('מלאי'!$AD$3:$AD$357,19)),"")</f>
        <v/>
      </c>
      <c r="H41">
        <f>IFERROR(INDEX('מלאי'!$T$3:$T$357,SMALL('מלאי'!$AD$3:$AD$357,19)),"")</f>
        <v/>
      </c>
      <c r="I41">
        <f>IFERROR(INDEX('מלאי'!$V$3:$V$357,SMALL('מלאי'!$AD$3:$AD$357,19)),"")</f>
        <v/>
      </c>
      <c r="J41">
        <f>IFERROR(INDEX('מלאי'!$U$3:$U$357,SMALL('מלאי'!$AD$3:$AD$357,19)),"")</f>
        <v/>
      </c>
    </row>
    <row r="42">
      <c r="A42">
        <f>IFERROR(INDEX('מלאי'!$A$3:$A$357,SMALL('מלאי'!$AD$3:$AD$357,20)),"")</f>
        <v/>
      </c>
      <c r="B42">
        <f>IFERROR(INDEX('מלאי'!$B$3:$B$357,SMALL('מלאי'!$AD$3:$AD$357,20)),"")</f>
        <v/>
      </c>
      <c r="C42">
        <f>IFERROR(INDEX('מלאי'!$C$3:$C$357,SMALL('מלאי'!$AD$3:$AD$357,20)),"")</f>
        <v/>
      </c>
      <c r="D42">
        <f>IFERROR(INDEX('מלאי'!$D$3:$D$357,SMALL('מלאי'!$AD$3:$AD$357,20)),"")</f>
        <v/>
      </c>
      <c r="E42">
        <f>IFERROR(INDEX('מלאי'!$H$3:$H$357,SMALL('מלאי'!$AD$3:$AD$357,20)),"")</f>
        <v/>
      </c>
      <c r="F42">
        <f>IFERROR(INDEX('מלאי'!$I$3:$I$357,SMALL('מלאי'!$AD$3:$AD$357,20)),"")</f>
        <v/>
      </c>
      <c r="G42">
        <f>IFERROR(INDEX('מלאי'!$Z$3:$Z$357,SMALL('מלאי'!$AD$3:$AD$357,20)),"")</f>
        <v/>
      </c>
      <c r="H42">
        <f>IFERROR(INDEX('מלאי'!$T$3:$T$357,SMALL('מלאי'!$AD$3:$AD$357,20)),"")</f>
        <v/>
      </c>
      <c r="I42">
        <f>IFERROR(INDEX('מלאי'!$V$3:$V$357,SMALL('מלאי'!$AD$3:$AD$357,20)),"")</f>
        <v/>
      </c>
      <c r="J42">
        <f>IFERROR(INDEX('מלאי'!$U$3:$U$357,SMALL('מלאי'!$AD$3:$AD$357,20)),"")</f>
        <v/>
      </c>
    </row>
    <row r="43">
      <c r="A43">
        <f>IFERROR(INDEX('מלאי'!$A$3:$A$357,SMALL('מלאי'!$AD$3:$AD$357,21)),"")</f>
        <v/>
      </c>
      <c r="B43">
        <f>IFERROR(INDEX('מלאי'!$B$3:$B$357,SMALL('מלאי'!$AD$3:$AD$357,21)),"")</f>
        <v/>
      </c>
      <c r="C43">
        <f>IFERROR(INDEX('מלאי'!$C$3:$C$357,SMALL('מלאי'!$AD$3:$AD$357,21)),"")</f>
        <v/>
      </c>
      <c r="D43">
        <f>IFERROR(INDEX('מלאי'!$D$3:$D$357,SMALL('מלאי'!$AD$3:$AD$357,21)),"")</f>
        <v/>
      </c>
      <c r="E43">
        <f>IFERROR(INDEX('מלאי'!$H$3:$H$357,SMALL('מלאי'!$AD$3:$AD$357,21)),"")</f>
        <v/>
      </c>
      <c r="F43">
        <f>IFERROR(INDEX('מלאי'!$I$3:$I$357,SMALL('מלאי'!$AD$3:$AD$357,21)),"")</f>
        <v/>
      </c>
      <c r="G43">
        <f>IFERROR(INDEX('מלאי'!$Z$3:$Z$357,SMALL('מלאי'!$AD$3:$AD$357,21)),"")</f>
        <v/>
      </c>
      <c r="H43">
        <f>IFERROR(INDEX('מלאי'!$T$3:$T$357,SMALL('מלאי'!$AD$3:$AD$357,21)),"")</f>
        <v/>
      </c>
      <c r="I43">
        <f>IFERROR(INDEX('מלאי'!$V$3:$V$357,SMALL('מלאי'!$AD$3:$AD$357,21)),"")</f>
        <v/>
      </c>
      <c r="J43">
        <f>IFERROR(INDEX('מלאי'!$U$3:$U$357,SMALL('מלאי'!$AD$3:$AD$357,21)),"")</f>
        <v/>
      </c>
    </row>
    <row r="44">
      <c r="A44">
        <f>IFERROR(INDEX('מלאי'!$A$3:$A$357,SMALL('מלאי'!$AD$3:$AD$357,22)),"")</f>
        <v/>
      </c>
      <c r="B44">
        <f>IFERROR(INDEX('מלאי'!$B$3:$B$357,SMALL('מלאי'!$AD$3:$AD$357,22)),"")</f>
        <v/>
      </c>
      <c r="C44">
        <f>IFERROR(INDEX('מלאי'!$C$3:$C$357,SMALL('מלאי'!$AD$3:$AD$357,22)),"")</f>
        <v/>
      </c>
      <c r="D44">
        <f>IFERROR(INDEX('מלאי'!$D$3:$D$357,SMALL('מלאי'!$AD$3:$AD$357,22)),"")</f>
        <v/>
      </c>
      <c r="E44">
        <f>IFERROR(INDEX('מלאי'!$H$3:$H$357,SMALL('מלאי'!$AD$3:$AD$357,22)),"")</f>
        <v/>
      </c>
      <c r="F44">
        <f>IFERROR(INDEX('מלאי'!$I$3:$I$357,SMALL('מלאי'!$AD$3:$AD$357,22)),"")</f>
        <v/>
      </c>
      <c r="G44">
        <f>IFERROR(INDEX('מלאי'!$Z$3:$Z$357,SMALL('מלאי'!$AD$3:$AD$357,22)),"")</f>
        <v/>
      </c>
      <c r="H44">
        <f>IFERROR(INDEX('מלאי'!$T$3:$T$357,SMALL('מלאי'!$AD$3:$AD$357,22)),"")</f>
        <v/>
      </c>
      <c r="I44">
        <f>IFERROR(INDEX('מלאי'!$V$3:$V$357,SMALL('מלאי'!$AD$3:$AD$357,22)),"")</f>
        <v/>
      </c>
      <c r="J44">
        <f>IFERROR(INDEX('מלאי'!$U$3:$U$357,SMALL('מלאי'!$AD$3:$AD$357,22)),"")</f>
        <v/>
      </c>
    </row>
    <row r="45">
      <c r="A45">
        <f>IFERROR(INDEX('מלאי'!$A$3:$A$357,SMALL('מלאי'!$AD$3:$AD$357,23)),"")</f>
        <v/>
      </c>
      <c r="B45">
        <f>IFERROR(INDEX('מלאי'!$B$3:$B$357,SMALL('מלאי'!$AD$3:$AD$357,23)),"")</f>
        <v/>
      </c>
      <c r="C45">
        <f>IFERROR(INDEX('מלאי'!$C$3:$C$357,SMALL('מלאי'!$AD$3:$AD$357,23)),"")</f>
        <v/>
      </c>
      <c r="D45">
        <f>IFERROR(INDEX('מלאי'!$D$3:$D$357,SMALL('מלאי'!$AD$3:$AD$357,23)),"")</f>
        <v/>
      </c>
      <c r="E45">
        <f>IFERROR(INDEX('מלאי'!$H$3:$H$357,SMALL('מלאי'!$AD$3:$AD$357,23)),"")</f>
        <v/>
      </c>
      <c r="F45">
        <f>IFERROR(INDEX('מלאי'!$I$3:$I$357,SMALL('מלאי'!$AD$3:$AD$357,23)),"")</f>
        <v/>
      </c>
      <c r="G45">
        <f>IFERROR(INDEX('מלאי'!$Z$3:$Z$357,SMALL('מלאי'!$AD$3:$AD$357,23)),"")</f>
        <v/>
      </c>
      <c r="H45">
        <f>IFERROR(INDEX('מלאי'!$T$3:$T$357,SMALL('מלאי'!$AD$3:$AD$357,23)),"")</f>
        <v/>
      </c>
      <c r="I45">
        <f>IFERROR(INDEX('מלאי'!$V$3:$V$357,SMALL('מלאי'!$AD$3:$AD$357,23)),"")</f>
        <v/>
      </c>
      <c r="J45">
        <f>IFERROR(INDEX('מלאי'!$U$3:$U$357,SMALL('מלאי'!$AD$3:$AD$357,23)),"")</f>
        <v/>
      </c>
    </row>
    <row r="46">
      <c r="A46">
        <f>IFERROR(INDEX('מלאי'!$A$3:$A$357,SMALL('מלאי'!$AD$3:$AD$357,24)),"")</f>
        <v/>
      </c>
      <c r="B46">
        <f>IFERROR(INDEX('מלאי'!$B$3:$B$357,SMALL('מלאי'!$AD$3:$AD$357,24)),"")</f>
        <v/>
      </c>
      <c r="C46">
        <f>IFERROR(INDEX('מלאי'!$C$3:$C$357,SMALL('מלאי'!$AD$3:$AD$357,24)),"")</f>
        <v/>
      </c>
      <c r="D46">
        <f>IFERROR(INDEX('מלאי'!$D$3:$D$357,SMALL('מלאי'!$AD$3:$AD$357,24)),"")</f>
        <v/>
      </c>
      <c r="E46">
        <f>IFERROR(INDEX('מלאי'!$H$3:$H$357,SMALL('מלאי'!$AD$3:$AD$357,24)),"")</f>
        <v/>
      </c>
      <c r="F46">
        <f>IFERROR(INDEX('מלאי'!$I$3:$I$357,SMALL('מלאי'!$AD$3:$AD$357,24)),"")</f>
        <v/>
      </c>
      <c r="G46">
        <f>IFERROR(INDEX('מלאי'!$Z$3:$Z$357,SMALL('מלאי'!$AD$3:$AD$357,24)),"")</f>
        <v/>
      </c>
      <c r="H46">
        <f>IFERROR(INDEX('מלאי'!$T$3:$T$357,SMALL('מלאי'!$AD$3:$AD$357,24)),"")</f>
        <v/>
      </c>
      <c r="I46">
        <f>IFERROR(INDEX('מלאי'!$V$3:$V$357,SMALL('מלאי'!$AD$3:$AD$357,24)),"")</f>
        <v/>
      </c>
      <c r="J46">
        <f>IFERROR(INDEX('מלאי'!$U$3:$U$357,SMALL('מלאי'!$AD$3:$AD$357,24)),"")</f>
        <v/>
      </c>
    </row>
    <row r="47">
      <c r="A47">
        <f>IFERROR(INDEX('מלאי'!$A$3:$A$357,SMALL('מלאי'!$AD$3:$AD$357,25)),"")</f>
        <v/>
      </c>
      <c r="B47">
        <f>IFERROR(INDEX('מלאי'!$B$3:$B$357,SMALL('מלאי'!$AD$3:$AD$357,25)),"")</f>
        <v/>
      </c>
      <c r="C47">
        <f>IFERROR(INDEX('מלאי'!$C$3:$C$357,SMALL('מלאי'!$AD$3:$AD$357,25)),"")</f>
        <v/>
      </c>
      <c r="D47">
        <f>IFERROR(INDEX('מלאי'!$D$3:$D$357,SMALL('מלאי'!$AD$3:$AD$357,25)),"")</f>
        <v/>
      </c>
      <c r="E47">
        <f>IFERROR(INDEX('מלאי'!$H$3:$H$357,SMALL('מלאי'!$AD$3:$AD$357,25)),"")</f>
        <v/>
      </c>
      <c r="F47">
        <f>IFERROR(INDEX('מלאי'!$I$3:$I$357,SMALL('מלאי'!$AD$3:$AD$357,25)),"")</f>
        <v/>
      </c>
      <c r="G47">
        <f>IFERROR(INDEX('מלאי'!$Z$3:$Z$357,SMALL('מלאי'!$AD$3:$AD$357,25)),"")</f>
        <v/>
      </c>
      <c r="H47">
        <f>IFERROR(INDEX('מלאי'!$T$3:$T$357,SMALL('מלאי'!$AD$3:$AD$357,25)),"")</f>
        <v/>
      </c>
      <c r="I47">
        <f>IFERROR(INDEX('מלאי'!$V$3:$V$357,SMALL('מלאי'!$AD$3:$AD$357,25)),"")</f>
        <v/>
      </c>
      <c r="J47">
        <f>IFERROR(INDEX('מלאי'!$U$3:$U$357,SMALL('מלאי'!$AD$3:$AD$357,25)),"")</f>
        <v/>
      </c>
    </row>
    <row r="48">
      <c r="A48">
        <f>IFERROR(INDEX('מלאי'!$A$3:$A$357,SMALL('מלאי'!$AD$3:$AD$357,26)),"")</f>
        <v/>
      </c>
      <c r="B48">
        <f>IFERROR(INDEX('מלאי'!$B$3:$B$357,SMALL('מלאי'!$AD$3:$AD$357,26)),"")</f>
        <v/>
      </c>
      <c r="C48">
        <f>IFERROR(INDEX('מלאי'!$C$3:$C$357,SMALL('מלאי'!$AD$3:$AD$357,26)),"")</f>
        <v/>
      </c>
      <c r="D48">
        <f>IFERROR(INDEX('מלאי'!$D$3:$D$357,SMALL('מלאי'!$AD$3:$AD$357,26)),"")</f>
        <v/>
      </c>
      <c r="E48">
        <f>IFERROR(INDEX('מלאי'!$H$3:$H$357,SMALL('מלאי'!$AD$3:$AD$357,26)),"")</f>
        <v/>
      </c>
      <c r="F48">
        <f>IFERROR(INDEX('מלאי'!$I$3:$I$357,SMALL('מלאי'!$AD$3:$AD$357,26)),"")</f>
        <v/>
      </c>
      <c r="G48">
        <f>IFERROR(INDEX('מלאי'!$Z$3:$Z$357,SMALL('מלאי'!$AD$3:$AD$357,26)),"")</f>
        <v/>
      </c>
      <c r="H48">
        <f>IFERROR(INDEX('מלאי'!$T$3:$T$357,SMALL('מלאי'!$AD$3:$AD$357,26)),"")</f>
        <v/>
      </c>
      <c r="I48">
        <f>IFERROR(INDEX('מלאי'!$V$3:$V$357,SMALL('מלאי'!$AD$3:$AD$357,26)),"")</f>
        <v/>
      </c>
      <c r="J48">
        <f>IFERROR(INDEX('מלאי'!$U$3:$U$357,SMALL('מלאי'!$AD$3:$AD$357,26)),"")</f>
        <v/>
      </c>
    </row>
    <row r="49">
      <c r="A49">
        <f>IFERROR(INDEX('מלאי'!$A$3:$A$357,SMALL('מלאי'!$AD$3:$AD$357,27)),"")</f>
        <v/>
      </c>
      <c r="B49">
        <f>IFERROR(INDEX('מלאי'!$B$3:$B$357,SMALL('מלאי'!$AD$3:$AD$357,27)),"")</f>
        <v/>
      </c>
      <c r="C49">
        <f>IFERROR(INDEX('מלאי'!$C$3:$C$357,SMALL('מלאי'!$AD$3:$AD$357,27)),"")</f>
        <v/>
      </c>
      <c r="D49">
        <f>IFERROR(INDEX('מלאי'!$D$3:$D$357,SMALL('מלאי'!$AD$3:$AD$357,27)),"")</f>
        <v/>
      </c>
      <c r="E49">
        <f>IFERROR(INDEX('מלאי'!$H$3:$H$357,SMALL('מלאי'!$AD$3:$AD$357,27)),"")</f>
        <v/>
      </c>
      <c r="F49">
        <f>IFERROR(INDEX('מלאי'!$I$3:$I$357,SMALL('מלאי'!$AD$3:$AD$357,27)),"")</f>
        <v/>
      </c>
      <c r="G49">
        <f>IFERROR(INDEX('מלאי'!$Z$3:$Z$357,SMALL('מלאי'!$AD$3:$AD$357,27)),"")</f>
        <v/>
      </c>
      <c r="H49">
        <f>IFERROR(INDEX('מלאי'!$T$3:$T$357,SMALL('מלאי'!$AD$3:$AD$357,27)),"")</f>
        <v/>
      </c>
      <c r="I49">
        <f>IFERROR(INDEX('מלאי'!$V$3:$V$357,SMALL('מלאי'!$AD$3:$AD$357,27)),"")</f>
        <v/>
      </c>
      <c r="J49">
        <f>IFERROR(INDEX('מלאי'!$U$3:$U$357,SMALL('מלאי'!$AD$3:$AD$357,27)),"")</f>
        <v/>
      </c>
    </row>
    <row r="50">
      <c r="A50">
        <f>IFERROR(INDEX('מלאי'!$A$3:$A$357,SMALL('מלאי'!$AD$3:$AD$357,28)),"")</f>
        <v/>
      </c>
      <c r="B50">
        <f>IFERROR(INDEX('מלאי'!$B$3:$B$357,SMALL('מלאי'!$AD$3:$AD$357,28)),"")</f>
        <v/>
      </c>
      <c r="C50">
        <f>IFERROR(INDEX('מלאי'!$C$3:$C$357,SMALL('מלאי'!$AD$3:$AD$357,28)),"")</f>
        <v/>
      </c>
      <c r="D50">
        <f>IFERROR(INDEX('מלאי'!$D$3:$D$357,SMALL('מלאי'!$AD$3:$AD$357,28)),"")</f>
        <v/>
      </c>
      <c r="E50">
        <f>IFERROR(INDEX('מלאי'!$H$3:$H$357,SMALL('מלאי'!$AD$3:$AD$357,28)),"")</f>
        <v/>
      </c>
      <c r="F50">
        <f>IFERROR(INDEX('מלאי'!$I$3:$I$357,SMALL('מלאי'!$AD$3:$AD$357,28)),"")</f>
        <v/>
      </c>
      <c r="G50">
        <f>IFERROR(INDEX('מלאי'!$Z$3:$Z$357,SMALL('מלאי'!$AD$3:$AD$357,28)),"")</f>
        <v/>
      </c>
      <c r="H50">
        <f>IFERROR(INDEX('מלאי'!$T$3:$T$357,SMALL('מלאי'!$AD$3:$AD$357,28)),"")</f>
        <v/>
      </c>
      <c r="I50">
        <f>IFERROR(INDEX('מלאי'!$V$3:$V$357,SMALL('מלאי'!$AD$3:$AD$357,28)),"")</f>
        <v/>
      </c>
      <c r="J50">
        <f>IFERROR(INDEX('מלאי'!$U$3:$U$357,SMALL('מלאי'!$AD$3:$AD$357,28)),"")</f>
        <v/>
      </c>
    </row>
    <row r="51">
      <c r="A51">
        <f>IFERROR(INDEX('מלאי'!$A$3:$A$357,SMALL('מלאי'!$AD$3:$AD$357,29)),"")</f>
        <v/>
      </c>
      <c r="B51">
        <f>IFERROR(INDEX('מלאי'!$B$3:$B$357,SMALL('מלאי'!$AD$3:$AD$357,29)),"")</f>
        <v/>
      </c>
      <c r="C51">
        <f>IFERROR(INDEX('מלאי'!$C$3:$C$357,SMALL('מלאי'!$AD$3:$AD$357,29)),"")</f>
        <v/>
      </c>
      <c r="D51">
        <f>IFERROR(INDEX('מלאי'!$D$3:$D$357,SMALL('מלאי'!$AD$3:$AD$357,29)),"")</f>
        <v/>
      </c>
      <c r="E51">
        <f>IFERROR(INDEX('מלאי'!$H$3:$H$357,SMALL('מלאי'!$AD$3:$AD$357,29)),"")</f>
        <v/>
      </c>
      <c r="F51">
        <f>IFERROR(INDEX('מלאי'!$I$3:$I$357,SMALL('מלאי'!$AD$3:$AD$357,29)),"")</f>
        <v/>
      </c>
      <c r="G51">
        <f>IFERROR(INDEX('מלאי'!$Z$3:$Z$357,SMALL('מלאי'!$AD$3:$AD$357,29)),"")</f>
        <v/>
      </c>
      <c r="H51">
        <f>IFERROR(INDEX('מלאי'!$T$3:$T$357,SMALL('מלאי'!$AD$3:$AD$357,29)),"")</f>
        <v/>
      </c>
      <c r="I51">
        <f>IFERROR(INDEX('מלאי'!$V$3:$V$357,SMALL('מלאי'!$AD$3:$AD$357,29)),"")</f>
        <v/>
      </c>
      <c r="J51">
        <f>IFERROR(INDEX('מלאי'!$U$3:$U$357,SMALL('מלאי'!$AD$3:$AD$357,29)),"")</f>
        <v/>
      </c>
    </row>
    <row r="52">
      <c r="A52">
        <f>IFERROR(INDEX('מלאי'!$A$3:$A$357,SMALL('מלאי'!$AD$3:$AD$357,30)),"")</f>
        <v/>
      </c>
      <c r="B52">
        <f>IFERROR(INDEX('מלאי'!$B$3:$B$357,SMALL('מלאי'!$AD$3:$AD$357,30)),"")</f>
        <v/>
      </c>
      <c r="C52">
        <f>IFERROR(INDEX('מלאי'!$C$3:$C$357,SMALL('מלאי'!$AD$3:$AD$357,30)),"")</f>
        <v/>
      </c>
      <c r="D52">
        <f>IFERROR(INDEX('מלאי'!$D$3:$D$357,SMALL('מלאי'!$AD$3:$AD$357,30)),"")</f>
        <v/>
      </c>
      <c r="E52">
        <f>IFERROR(INDEX('מלאי'!$H$3:$H$357,SMALL('מלאי'!$AD$3:$AD$357,30)),"")</f>
        <v/>
      </c>
      <c r="F52">
        <f>IFERROR(INDEX('מלאי'!$I$3:$I$357,SMALL('מלאי'!$AD$3:$AD$357,30)),"")</f>
        <v/>
      </c>
      <c r="G52">
        <f>IFERROR(INDEX('מלאי'!$Z$3:$Z$357,SMALL('מלאי'!$AD$3:$AD$357,30)),"")</f>
        <v/>
      </c>
      <c r="H52">
        <f>IFERROR(INDEX('מלאי'!$T$3:$T$357,SMALL('מלאי'!$AD$3:$AD$357,30)),"")</f>
        <v/>
      </c>
      <c r="I52">
        <f>IFERROR(INDEX('מלאי'!$V$3:$V$357,SMALL('מלאי'!$AD$3:$AD$357,30)),"")</f>
        <v/>
      </c>
      <c r="J52">
        <f>IFERROR(INDEX('מלאי'!$U$3:$U$357,SMALL('מלאי'!$AD$3:$AD$357,30)),"")</f>
        <v/>
      </c>
    </row>
    <row r="53">
      <c r="A53">
        <f>IFERROR(INDEX('מלאי'!$A$3:$A$357,SMALL('מלאי'!$AD$3:$AD$357,31)),"")</f>
        <v/>
      </c>
      <c r="B53">
        <f>IFERROR(INDEX('מלאי'!$B$3:$B$357,SMALL('מלאי'!$AD$3:$AD$357,31)),"")</f>
        <v/>
      </c>
      <c r="C53">
        <f>IFERROR(INDEX('מלאי'!$C$3:$C$357,SMALL('מלאי'!$AD$3:$AD$357,31)),"")</f>
        <v/>
      </c>
      <c r="D53">
        <f>IFERROR(INDEX('מלאי'!$D$3:$D$357,SMALL('מלאי'!$AD$3:$AD$357,31)),"")</f>
        <v/>
      </c>
      <c r="E53">
        <f>IFERROR(INDEX('מלאי'!$H$3:$H$357,SMALL('מלאי'!$AD$3:$AD$357,31)),"")</f>
        <v/>
      </c>
      <c r="F53">
        <f>IFERROR(INDEX('מלאי'!$I$3:$I$357,SMALL('מלאי'!$AD$3:$AD$357,31)),"")</f>
        <v/>
      </c>
      <c r="G53">
        <f>IFERROR(INDEX('מלאי'!$Z$3:$Z$357,SMALL('מלאי'!$AD$3:$AD$357,31)),"")</f>
        <v/>
      </c>
      <c r="H53">
        <f>IFERROR(INDEX('מלאי'!$T$3:$T$357,SMALL('מלאי'!$AD$3:$AD$357,31)),"")</f>
        <v/>
      </c>
      <c r="I53">
        <f>IFERROR(INDEX('מלאי'!$V$3:$V$357,SMALL('מלאי'!$AD$3:$AD$357,31)),"")</f>
        <v/>
      </c>
      <c r="J53">
        <f>IFERROR(INDEX('מלאי'!$U$3:$U$357,SMALL('מלאי'!$AD$3:$AD$357,31)),"")</f>
        <v/>
      </c>
    </row>
    <row r="54">
      <c r="A54">
        <f>IFERROR(INDEX('מלאי'!$A$3:$A$357,SMALL('מלאי'!$AD$3:$AD$357,32)),"")</f>
        <v/>
      </c>
      <c r="B54">
        <f>IFERROR(INDEX('מלאי'!$B$3:$B$357,SMALL('מלאי'!$AD$3:$AD$357,32)),"")</f>
        <v/>
      </c>
      <c r="C54">
        <f>IFERROR(INDEX('מלאי'!$C$3:$C$357,SMALL('מלאי'!$AD$3:$AD$357,32)),"")</f>
        <v/>
      </c>
      <c r="D54">
        <f>IFERROR(INDEX('מלאי'!$D$3:$D$357,SMALL('מלאי'!$AD$3:$AD$357,32)),"")</f>
        <v/>
      </c>
      <c r="E54">
        <f>IFERROR(INDEX('מלאי'!$H$3:$H$357,SMALL('מלאי'!$AD$3:$AD$357,32)),"")</f>
        <v/>
      </c>
      <c r="F54">
        <f>IFERROR(INDEX('מלאי'!$I$3:$I$357,SMALL('מלאי'!$AD$3:$AD$357,32)),"")</f>
        <v/>
      </c>
      <c r="G54">
        <f>IFERROR(INDEX('מלאי'!$Z$3:$Z$357,SMALL('מלאי'!$AD$3:$AD$357,32)),"")</f>
        <v/>
      </c>
      <c r="H54">
        <f>IFERROR(INDEX('מלאי'!$T$3:$T$357,SMALL('מלאי'!$AD$3:$AD$357,32)),"")</f>
        <v/>
      </c>
      <c r="I54">
        <f>IFERROR(INDEX('מלאי'!$V$3:$V$357,SMALL('מלאי'!$AD$3:$AD$357,32)),"")</f>
        <v/>
      </c>
      <c r="J54">
        <f>IFERROR(INDEX('מלאי'!$U$3:$U$357,SMALL('מלאי'!$AD$3:$AD$357,32)),"")</f>
        <v/>
      </c>
    </row>
    <row r="55">
      <c r="A55">
        <f>IFERROR(INDEX('מלאי'!$A$3:$A$357,SMALL('מלאי'!$AD$3:$AD$357,33)),"")</f>
        <v/>
      </c>
      <c r="B55">
        <f>IFERROR(INDEX('מלאי'!$B$3:$B$357,SMALL('מלאי'!$AD$3:$AD$357,33)),"")</f>
        <v/>
      </c>
      <c r="C55">
        <f>IFERROR(INDEX('מלאי'!$C$3:$C$357,SMALL('מלאי'!$AD$3:$AD$357,33)),"")</f>
        <v/>
      </c>
      <c r="D55">
        <f>IFERROR(INDEX('מלאי'!$D$3:$D$357,SMALL('מלאי'!$AD$3:$AD$357,33)),"")</f>
        <v/>
      </c>
      <c r="E55">
        <f>IFERROR(INDEX('מלאי'!$H$3:$H$357,SMALL('מלאי'!$AD$3:$AD$357,33)),"")</f>
        <v/>
      </c>
      <c r="F55">
        <f>IFERROR(INDEX('מלאי'!$I$3:$I$357,SMALL('מלאי'!$AD$3:$AD$357,33)),"")</f>
        <v/>
      </c>
      <c r="G55">
        <f>IFERROR(INDEX('מלאי'!$Z$3:$Z$357,SMALL('מלאי'!$AD$3:$AD$357,33)),"")</f>
        <v/>
      </c>
      <c r="H55">
        <f>IFERROR(INDEX('מלאי'!$T$3:$T$357,SMALL('מלאי'!$AD$3:$AD$357,33)),"")</f>
        <v/>
      </c>
      <c r="I55">
        <f>IFERROR(INDEX('מלאי'!$V$3:$V$357,SMALL('מלאי'!$AD$3:$AD$357,33)),"")</f>
        <v/>
      </c>
      <c r="J55">
        <f>IFERROR(INDEX('מלאי'!$U$3:$U$357,SMALL('מלאי'!$AD$3:$AD$357,33)),"")</f>
        <v/>
      </c>
    </row>
    <row r="56">
      <c r="A56">
        <f>IFERROR(INDEX('מלאי'!$A$3:$A$357,SMALL('מלאי'!$AD$3:$AD$357,34)),"")</f>
        <v/>
      </c>
      <c r="B56">
        <f>IFERROR(INDEX('מלאי'!$B$3:$B$357,SMALL('מלאי'!$AD$3:$AD$357,34)),"")</f>
        <v/>
      </c>
      <c r="C56">
        <f>IFERROR(INDEX('מלאי'!$C$3:$C$357,SMALL('מלאי'!$AD$3:$AD$357,34)),"")</f>
        <v/>
      </c>
      <c r="D56">
        <f>IFERROR(INDEX('מלאי'!$D$3:$D$357,SMALL('מלאי'!$AD$3:$AD$357,34)),"")</f>
        <v/>
      </c>
      <c r="E56">
        <f>IFERROR(INDEX('מלאי'!$H$3:$H$357,SMALL('מלאי'!$AD$3:$AD$357,34)),"")</f>
        <v/>
      </c>
      <c r="F56">
        <f>IFERROR(INDEX('מלאי'!$I$3:$I$357,SMALL('מלאי'!$AD$3:$AD$357,34)),"")</f>
        <v/>
      </c>
      <c r="G56">
        <f>IFERROR(INDEX('מלאי'!$Z$3:$Z$357,SMALL('מלאי'!$AD$3:$AD$357,34)),"")</f>
        <v/>
      </c>
      <c r="H56">
        <f>IFERROR(INDEX('מלאי'!$T$3:$T$357,SMALL('מלאי'!$AD$3:$AD$357,34)),"")</f>
        <v/>
      </c>
      <c r="I56">
        <f>IFERROR(INDEX('מלאי'!$V$3:$V$357,SMALL('מלאי'!$AD$3:$AD$357,34)),"")</f>
        <v/>
      </c>
      <c r="J56">
        <f>IFERROR(INDEX('מלאי'!$U$3:$U$357,SMALL('מלאי'!$AD$3:$AD$357,34)),"")</f>
        <v/>
      </c>
    </row>
    <row r="57">
      <c r="A57">
        <f>IFERROR(INDEX('מלאי'!$A$3:$A$357,SMALL('מלאי'!$AD$3:$AD$357,35)),"")</f>
        <v/>
      </c>
      <c r="B57">
        <f>IFERROR(INDEX('מלאי'!$B$3:$B$357,SMALL('מלאי'!$AD$3:$AD$357,35)),"")</f>
        <v/>
      </c>
      <c r="C57">
        <f>IFERROR(INDEX('מלאי'!$C$3:$C$357,SMALL('מלאי'!$AD$3:$AD$357,35)),"")</f>
        <v/>
      </c>
      <c r="D57">
        <f>IFERROR(INDEX('מלאי'!$D$3:$D$357,SMALL('מלאי'!$AD$3:$AD$357,35)),"")</f>
        <v/>
      </c>
      <c r="E57">
        <f>IFERROR(INDEX('מלאי'!$H$3:$H$357,SMALL('מלאי'!$AD$3:$AD$357,35)),"")</f>
        <v/>
      </c>
      <c r="F57">
        <f>IFERROR(INDEX('מלאי'!$I$3:$I$357,SMALL('מלאי'!$AD$3:$AD$357,35)),"")</f>
        <v/>
      </c>
      <c r="G57">
        <f>IFERROR(INDEX('מלאי'!$Z$3:$Z$357,SMALL('מלאי'!$AD$3:$AD$357,35)),"")</f>
        <v/>
      </c>
      <c r="H57">
        <f>IFERROR(INDEX('מלאי'!$T$3:$T$357,SMALL('מלאי'!$AD$3:$AD$357,35)),"")</f>
        <v/>
      </c>
      <c r="I57">
        <f>IFERROR(INDEX('מלאי'!$V$3:$V$357,SMALL('מלאי'!$AD$3:$AD$357,35)),"")</f>
        <v/>
      </c>
      <c r="J57">
        <f>IFERROR(INDEX('מלאי'!$U$3:$U$357,SMALL('מלאי'!$AD$3:$AD$357,35)),"")</f>
        <v/>
      </c>
    </row>
    <row r="58">
      <c r="A58">
        <f>IFERROR(INDEX('מלאי'!$A$3:$A$357,SMALL('מלאי'!$AD$3:$AD$357,36)),"")</f>
        <v/>
      </c>
      <c r="B58">
        <f>IFERROR(INDEX('מלאי'!$B$3:$B$357,SMALL('מלאי'!$AD$3:$AD$357,36)),"")</f>
        <v/>
      </c>
      <c r="C58">
        <f>IFERROR(INDEX('מלאי'!$C$3:$C$357,SMALL('מלאי'!$AD$3:$AD$357,36)),"")</f>
        <v/>
      </c>
      <c r="D58">
        <f>IFERROR(INDEX('מלאי'!$D$3:$D$357,SMALL('מלאי'!$AD$3:$AD$357,36)),"")</f>
        <v/>
      </c>
      <c r="E58">
        <f>IFERROR(INDEX('מלאי'!$H$3:$H$357,SMALL('מלאי'!$AD$3:$AD$357,36)),"")</f>
        <v/>
      </c>
      <c r="F58">
        <f>IFERROR(INDEX('מלאי'!$I$3:$I$357,SMALL('מלאי'!$AD$3:$AD$357,36)),"")</f>
        <v/>
      </c>
      <c r="G58">
        <f>IFERROR(INDEX('מלאי'!$Z$3:$Z$357,SMALL('מלאי'!$AD$3:$AD$357,36)),"")</f>
        <v/>
      </c>
      <c r="H58">
        <f>IFERROR(INDEX('מלאי'!$T$3:$T$357,SMALL('מלאי'!$AD$3:$AD$357,36)),"")</f>
        <v/>
      </c>
      <c r="I58">
        <f>IFERROR(INDEX('מלאי'!$V$3:$V$357,SMALL('מלאי'!$AD$3:$AD$357,36)),"")</f>
        <v/>
      </c>
      <c r="J58">
        <f>IFERROR(INDEX('מלאי'!$U$3:$U$357,SMALL('מלאי'!$AD$3:$AD$357,36)),"")</f>
        <v/>
      </c>
    </row>
    <row r="59">
      <c r="A59">
        <f>IFERROR(INDEX('מלאי'!$A$3:$A$357,SMALL('מלאי'!$AD$3:$AD$357,37)),"")</f>
        <v/>
      </c>
      <c r="B59">
        <f>IFERROR(INDEX('מלאי'!$B$3:$B$357,SMALL('מלאי'!$AD$3:$AD$357,37)),"")</f>
        <v/>
      </c>
      <c r="C59">
        <f>IFERROR(INDEX('מלאי'!$C$3:$C$357,SMALL('מלאי'!$AD$3:$AD$357,37)),"")</f>
        <v/>
      </c>
      <c r="D59">
        <f>IFERROR(INDEX('מלאי'!$D$3:$D$357,SMALL('מלאי'!$AD$3:$AD$357,37)),"")</f>
        <v/>
      </c>
      <c r="E59">
        <f>IFERROR(INDEX('מלאי'!$H$3:$H$357,SMALL('מלאי'!$AD$3:$AD$357,37)),"")</f>
        <v/>
      </c>
      <c r="F59">
        <f>IFERROR(INDEX('מלאי'!$I$3:$I$357,SMALL('מלאי'!$AD$3:$AD$357,37)),"")</f>
        <v/>
      </c>
      <c r="G59">
        <f>IFERROR(INDEX('מלאי'!$Z$3:$Z$357,SMALL('מלאי'!$AD$3:$AD$357,37)),"")</f>
        <v/>
      </c>
      <c r="H59">
        <f>IFERROR(INDEX('מלאי'!$T$3:$T$357,SMALL('מלאי'!$AD$3:$AD$357,37)),"")</f>
        <v/>
      </c>
      <c r="I59">
        <f>IFERROR(INDEX('מלאי'!$V$3:$V$357,SMALL('מלאי'!$AD$3:$AD$357,37)),"")</f>
        <v/>
      </c>
      <c r="J59">
        <f>IFERROR(INDEX('מלאי'!$U$3:$U$357,SMALL('מלאי'!$AD$3:$AD$357,37)),"")</f>
        <v/>
      </c>
    </row>
    <row r="60">
      <c r="A60">
        <f>IFERROR(INDEX('מלאי'!$A$3:$A$357,SMALL('מלאי'!$AD$3:$AD$357,38)),"")</f>
        <v/>
      </c>
      <c r="B60">
        <f>IFERROR(INDEX('מלאי'!$B$3:$B$357,SMALL('מלאי'!$AD$3:$AD$357,38)),"")</f>
        <v/>
      </c>
      <c r="C60">
        <f>IFERROR(INDEX('מלאי'!$C$3:$C$357,SMALL('מלאי'!$AD$3:$AD$357,38)),"")</f>
        <v/>
      </c>
      <c r="D60">
        <f>IFERROR(INDEX('מלאי'!$D$3:$D$357,SMALL('מלאי'!$AD$3:$AD$357,38)),"")</f>
        <v/>
      </c>
      <c r="E60">
        <f>IFERROR(INDEX('מלאי'!$H$3:$H$357,SMALL('מלאי'!$AD$3:$AD$357,38)),"")</f>
        <v/>
      </c>
      <c r="F60">
        <f>IFERROR(INDEX('מלאי'!$I$3:$I$357,SMALL('מלאי'!$AD$3:$AD$357,38)),"")</f>
        <v/>
      </c>
      <c r="G60">
        <f>IFERROR(INDEX('מלאי'!$Z$3:$Z$357,SMALL('מלאי'!$AD$3:$AD$357,38)),"")</f>
        <v/>
      </c>
      <c r="H60">
        <f>IFERROR(INDEX('מלאי'!$T$3:$T$357,SMALL('מלאי'!$AD$3:$AD$357,38)),"")</f>
        <v/>
      </c>
      <c r="I60">
        <f>IFERROR(INDEX('מלאי'!$V$3:$V$357,SMALL('מלאי'!$AD$3:$AD$357,38)),"")</f>
        <v/>
      </c>
      <c r="J60">
        <f>IFERROR(INDEX('מלאי'!$U$3:$U$357,SMALL('מלאי'!$AD$3:$AD$357,38)),"")</f>
        <v/>
      </c>
    </row>
    <row r="61">
      <c r="A61">
        <f>IFERROR(INDEX('מלאי'!$A$3:$A$357,SMALL('מלאי'!$AD$3:$AD$357,39)),"")</f>
        <v/>
      </c>
      <c r="B61">
        <f>IFERROR(INDEX('מלאי'!$B$3:$B$357,SMALL('מלאי'!$AD$3:$AD$357,39)),"")</f>
        <v/>
      </c>
      <c r="C61">
        <f>IFERROR(INDEX('מלאי'!$C$3:$C$357,SMALL('מלאי'!$AD$3:$AD$357,39)),"")</f>
        <v/>
      </c>
      <c r="D61">
        <f>IFERROR(INDEX('מלאי'!$D$3:$D$357,SMALL('מלאי'!$AD$3:$AD$357,39)),"")</f>
        <v/>
      </c>
      <c r="E61">
        <f>IFERROR(INDEX('מלאי'!$H$3:$H$357,SMALL('מלאי'!$AD$3:$AD$357,39)),"")</f>
        <v/>
      </c>
      <c r="F61">
        <f>IFERROR(INDEX('מלאי'!$I$3:$I$357,SMALL('מלאי'!$AD$3:$AD$357,39)),"")</f>
        <v/>
      </c>
      <c r="G61">
        <f>IFERROR(INDEX('מלאי'!$Z$3:$Z$357,SMALL('מלאי'!$AD$3:$AD$357,39)),"")</f>
        <v/>
      </c>
      <c r="H61">
        <f>IFERROR(INDEX('מלאי'!$T$3:$T$357,SMALL('מלאי'!$AD$3:$AD$357,39)),"")</f>
        <v/>
      </c>
      <c r="I61">
        <f>IFERROR(INDEX('מלאי'!$V$3:$V$357,SMALL('מלאי'!$AD$3:$AD$357,39)),"")</f>
        <v/>
      </c>
      <c r="J61">
        <f>IFERROR(INDEX('מלאי'!$U$3:$U$357,SMALL('מלאי'!$AD$3:$AD$357,39)),"")</f>
        <v/>
      </c>
    </row>
    <row r="62">
      <c r="A62">
        <f>IFERROR(INDEX('מלאי'!$A$3:$A$357,SMALL('מלאי'!$AD$3:$AD$357,40)),"")</f>
        <v/>
      </c>
      <c r="B62">
        <f>IFERROR(INDEX('מלאי'!$B$3:$B$357,SMALL('מלאי'!$AD$3:$AD$357,40)),"")</f>
        <v/>
      </c>
      <c r="C62">
        <f>IFERROR(INDEX('מלאי'!$C$3:$C$357,SMALL('מלאי'!$AD$3:$AD$357,40)),"")</f>
        <v/>
      </c>
      <c r="D62">
        <f>IFERROR(INDEX('מלאי'!$D$3:$D$357,SMALL('מלאי'!$AD$3:$AD$357,40)),"")</f>
        <v/>
      </c>
      <c r="E62">
        <f>IFERROR(INDEX('מלאי'!$H$3:$H$357,SMALL('מלאי'!$AD$3:$AD$357,40)),"")</f>
        <v/>
      </c>
      <c r="F62">
        <f>IFERROR(INDEX('מלאי'!$I$3:$I$357,SMALL('מלאי'!$AD$3:$AD$357,40)),"")</f>
        <v/>
      </c>
      <c r="G62">
        <f>IFERROR(INDEX('מלאי'!$Z$3:$Z$357,SMALL('מלאי'!$AD$3:$AD$357,40)),"")</f>
        <v/>
      </c>
      <c r="H62">
        <f>IFERROR(INDEX('מלאי'!$T$3:$T$357,SMALL('מלאי'!$AD$3:$AD$357,40)),"")</f>
        <v/>
      </c>
      <c r="I62">
        <f>IFERROR(INDEX('מלאי'!$V$3:$V$357,SMALL('מלאי'!$AD$3:$AD$357,40)),"")</f>
        <v/>
      </c>
      <c r="J62">
        <f>IFERROR(INDEX('מלאי'!$U$3:$U$357,SMALL('מלאי'!$AD$3:$AD$357,40)),"")</f>
        <v/>
      </c>
    </row>
    <row r="63">
      <c r="A63">
        <f>IFERROR(INDEX('מלאי'!$A$3:$A$357,SMALL('מלאי'!$AD$3:$AD$357,41)),"")</f>
        <v/>
      </c>
      <c r="B63">
        <f>IFERROR(INDEX('מלאי'!$B$3:$B$357,SMALL('מלאי'!$AD$3:$AD$357,41)),"")</f>
        <v/>
      </c>
      <c r="C63">
        <f>IFERROR(INDEX('מלאי'!$C$3:$C$357,SMALL('מלאי'!$AD$3:$AD$357,41)),"")</f>
        <v/>
      </c>
      <c r="D63">
        <f>IFERROR(INDEX('מלאי'!$D$3:$D$357,SMALL('מלאי'!$AD$3:$AD$357,41)),"")</f>
        <v/>
      </c>
      <c r="E63">
        <f>IFERROR(INDEX('מלאי'!$H$3:$H$357,SMALL('מלאי'!$AD$3:$AD$357,41)),"")</f>
        <v/>
      </c>
      <c r="F63">
        <f>IFERROR(INDEX('מלאי'!$I$3:$I$357,SMALL('מלאי'!$AD$3:$AD$357,41)),"")</f>
        <v/>
      </c>
      <c r="G63">
        <f>IFERROR(INDEX('מלאי'!$Z$3:$Z$357,SMALL('מלאי'!$AD$3:$AD$357,41)),"")</f>
        <v/>
      </c>
      <c r="H63">
        <f>IFERROR(INDEX('מלאי'!$T$3:$T$357,SMALL('מלאי'!$AD$3:$AD$357,41)),"")</f>
        <v/>
      </c>
      <c r="I63">
        <f>IFERROR(INDEX('מלאי'!$V$3:$V$357,SMALL('מלאי'!$AD$3:$AD$357,41)),"")</f>
        <v/>
      </c>
      <c r="J63">
        <f>IFERROR(INDEX('מלאי'!$U$3:$U$357,SMALL('מלאי'!$AD$3:$AD$357,41)),"")</f>
        <v/>
      </c>
    </row>
    <row r="64">
      <c r="A64">
        <f>IFERROR(INDEX('מלאי'!$A$3:$A$357,SMALL('מלאי'!$AD$3:$AD$357,42)),"")</f>
        <v/>
      </c>
      <c r="B64">
        <f>IFERROR(INDEX('מלאי'!$B$3:$B$357,SMALL('מלאי'!$AD$3:$AD$357,42)),"")</f>
        <v/>
      </c>
      <c r="C64">
        <f>IFERROR(INDEX('מלאי'!$C$3:$C$357,SMALL('מלאי'!$AD$3:$AD$357,42)),"")</f>
        <v/>
      </c>
      <c r="D64">
        <f>IFERROR(INDEX('מלאי'!$D$3:$D$357,SMALL('מלאי'!$AD$3:$AD$357,42)),"")</f>
        <v/>
      </c>
      <c r="E64">
        <f>IFERROR(INDEX('מלאי'!$H$3:$H$357,SMALL('מלאי'!$AD$3:$AD$357,42)),"")</f>
        <v/>
      </c>
      <c r="F64">
        <f>IFERROR(INDEX('מלאי'!$I$3:$I$357,SMALL('מלאי'!$AD$3:$AD$357,42)),"")</f>
        <v/>
      </c>
      <c r="G64">
        <f>IFERROR(INDEX('מלאי'!$Z$3:$Z$357,SMALL('מלאי'!$AD$3:$AD$357,42)),"")</f>
        <v/>
      </c>
      <c r="H64">
        <f>IFERROR(INDEX('מלאי'!$T$3:$T$357,SMALL('מלאי'!$AD$3:$AD$357,42)),"")</f>
        <v/>
      </c>
      <c r="I64">
        <f>IFERROR(INDEX('מלאי'!$V$3:$V$357,SMALL('מלאי'!$AD$3:$AD$357,42)),"")</f>
        <v/>
      </c>
      <c r="J64">
        <f>IFERROR(INDEX('מלאי'!$U$3:$U$357,SMALL('מלאי'!$AD$3:$AD$357,42)),"")</f>
        <v/>
      </c>
    </row>
    <row r="65">
      <c r="A65">
        <f>IFERROR(INDEX('מלאי'!$A$3:$A$357,SMALL('מלאי'!$AD$3:$AD$357,43)),"")</f>
        <v/>
      </c>
      <c r="B65">
        <f>IFERROR(INDEX('מלאי'!$B$3:$B$357,SMALL('מלאי'!$AD$3:$AD$357,43)),"")</f>
        <v/>
      </c>
      <c r="C65">
        <f>IFERROR(INDEX('מלאי'!$C$3:$C$357,SMALL('מלאי'!$AD$3:$AD$357,43)),"")</f>
        <v/>
      </c>
      <c r="D65">
        <f>IFERROR(INDEX('מלאי'!$D$3:$D$357,SMALL('מלאי'!$AD$3:$AD$357,43)),"")</f>
        <v/>
      </c>
      <c r="E65">
        <f>IFERROR(INDEX('מלאי'!$H$3:$H$357,SMALL('מלאי'!$AD$3:$AD$357,43)),"")</f>
        <v/>
      </c>
      <c r="F65">
        <f>IFERROR(INDEX('מלאי'!$I$3:$I$357,SMALL('מלאי'!$AD$3:$AD$357,43)),"")</f>
        <v/>
      </c>
      <c r="G65">
        <f>IFERROR(INDEX('מלאי'!$Z$3:$Z$357,SMALL('מלאי'!$AD$3:$AD$357,43)),"")</f>
        <v/>
      </c>
      <c r="H65">
        <f>IFERROR(INDEX('מלאי'!$T$3:$T$357,SMALL('מלאי'!$AD$3:$AD$357,43)),"")</f>
        <v/>
      </c>
      <c r="I65">
        <f>IFERROR(INDEX('מלאי'!$V$3:$V$357,SMALL('מלאי'!$AD$3:$AD$357,43)),"")</f>
        <v/>
      </c>
      <c r="J65">
        <f>IFERROR(INDEX('מלאי'!$U$3:$U$357,SMALL('מלאי'!$AD$3:$AD$357,43)),"")</f>
        <v/>
      </c>
    </row>
    <row r="66">
      <c r="A66">
        <f>IFERROR(INDEX('מלאי'!$A$3:$A$357,SMALL('מלאי'!$AD$3:$AD$357,44)),"")</f>
        <v/>
      </c>
      <c r="B66">
        <f>IFERROR(INDEX('מלאי'!$B$3:$B$357,SMALL('מלאי'!$AD$3:$AD$357,44)),"")</f>
        <v/>
      </c>
      <c r="C66">
        <f>IFERROR(INDEX('מלאי'!$C$3:$C$357,SMALL('מלאי'!$AD$3:$AD$357,44)),"")</f>
        <v/>
      </c>
      <c r="D66">
        <f>IFERROR(INDEX('מלאי'!$D$3:$D$357,SMALL('מלאי'!$AD$3:$AD$357,44)),"")</f>
        <v/>
      </c>
      <c r="E66">
        <f>IFERROR(INDEX('מלאי'!$H$3:$H$357,SMALL('מלאי'!$AD$3:$AD$357,44)),"")</f>
        <v/>
      </c>
      <c r="F66">
        <f>IFERROR(INDEX('מלאי'!$I$3:$I$357,SMALL('מלאי'!$AD$3:$AD$357,44)),"")</f>
        <v/>
      </c>
      <c r="G66">
        <f>IFERROR(INDEX('מלאי'!$Z$3:$Z$357,SMALL('מלאי'!$AD$3:$AD$357,44)),"")</f>
        <v/>
      </c>
      <c r="H66">
        <f>IFERROR(INDEX('מלאי'!$T$3:$T$357,SMALL('מלאי'!$AD$3:$AD$357,44)),"")</f>
        <v/>
      </c>
      <c r="I66">
        <f>IFERROR(INDEX('מלאי'!$V$3:$V$357,SMALL('מלאי'!$AD$3:$AD$357,44)),"")</f>
        <v/>
      </c>
      <c r="J66">
        <f>IFERROR(INDEX('מלאי'!$U$3:$U$357,SMALL('מלאי'!$AD$3:$AD$357,44)),"")</f>
        <v/>
      </c>
    </row>
    <row r="67">
      <c r="A67">
        <f>IFERROR(INDEX('מלאי'!$A$3:$A$357,SMALL('מלאי'!$AD$3:$AD$357,45)),"")</f>
        <v/>
      </c>
      <c r="B67">
        <f>IFERROR(INDEX('מלאי'!$B$3:$B$357,SMALL('מלאי'!$AD$3:$AD$357,45)),"")</f>
        <v/>
      </c>
      <c r="C67">
        <f>IFERROR(INDEX('מלאי'!$C$3:$C$357,SMALL('מלאי'!$AD$3:$AD$357,45)),"")</f>
        <v/>
      </c>
      <c r="D67">
        <f>IFERROR(INDEX('מלאי'!$D$3:$D$357,SMALL('מלאי'!$AD$3:$AD$357,45)),"")</f>
        <v/>
      </c>
      <c r="E67">
        <f>IFERROR(INDEX('מלאי'!$H$3:$H$357,SMALL('מלאי'!$AD$3:$AD$357,45)),"")</f>
        <v/>
      </c>
      <c r="F67">
        <f>IFERROR(INDEX('מלאי'!$I$3:$I$357,SMALL('מלאי'!$AD$3:$AD$357,45)),"")</f>
        <v/>
      </c>
      <c r="G67">
        <f>IFERROR(INDEX('מלאי'!$Z$3:$Z$357,SMALL('מלאי'!$AD$3:$AD$357,45)),"")</f>
        <v/>
      </c>
      <c r="H67">
        <f>IFERROR(INDEX('מלאי'!$T$3:$T$357,SMALL('מלאי'!$AD$3:$AD$357,45)),"")</f>
        <v/>
      </c>
      <c r="I67">
        <f>IFERROR(INDEX('מלאי'!$V$3:$V$357,SMALL('מלאי'!$AD$3:$AD$357,45)),"")</f>
        <v/>
      </c>
      <c r="J67">
        <f>IFERROR(INDEX('מלאי'!$U$3:$U$357,SMALL('מלאי'!$AD$3:$AD$357,45)),"")</f>
        <v/>
      </c>
    </row>
    <row r="68">
      <c r="A68">
        <f>IFERROR(INDEX('מלאי'!$A$3:$A$357,SMALL('מלאי'!$AD$3:$AD$357,46)),"")</f>
        <v/>
      </c>
      <c r="B68">
        <f>IFERROR(INDEX('מלאי'!$B$3:$B$357,SMALL('מלאי'!$AD$3:$AD$357,46)),"")</f>
        <v/>
      </c>
      <c r="C68">
        <f>IFERROR(INDEX('מלאי'!$C$3:$C$357,SMALL('מלאי'!$AD$3:$AD$357,46)),"")</f>
        <v/>
      </c>
      <c r="D68">
        <f>IFERROR(INDEX('מלאי'!$D$3:$D$357,SMALL('מלאי'!$AD$3:$AD$357,46)),"")</f>
        <v/>
      </c>
      <c r="E68">
        <f>IFERROR(INDEX('מלאי'!$H$3:$H$357,SMALL('מלאי'!$AD$3:$AD$357,46)),"")</f>
        <v/>
      </c>
      <c r="F68">
        <f>IFERROR(INDEX('מלאי'!$I$3:$I$357,SMALL('מלאי'!$AD$3:$AD$357,46)),"")</f>
        <v/>
      </c>
      <c r="G68">
        <f>IFERROR(INDEX('מלאי'!$Z$3:$Z$357,SMALL('מלאי'!$AD$3:$AD$357,46)),"")</f>
        <v/>
      </c>
      <c r="H68">
        <f>IFERROR(INDEX('מלאי'!$T$3:$T$357,SMALL('מלאי'!$AD$3:$AD$357,46)),"")</f>
        <v/>
      </c>
      <c r="I68">
        <f>IFERROR(INDEX('מלאי'!$V$3:$V$357,SMALL('מלאי'!$AD$3:$AD$357,46)),"")</f>
        <v/>
      </c>
      <c r="J68">
        <f>IFERROR(INDEX('מלאי'!$U$3:$U$357,SMALL('מלאי'!$AD$3:$AD$357,46)),"")</f>
        <v/>
      </c>
    </row>
    <row r="69">
      <c r="A69">
        <f>IFERROR(INDEX('מלאי'!$A$3:$A$357,SMALL('מלאי'!$AD$3:$AD$357,47)),"")</f>
        <v/>
      </c>
      <c r="B69">
        <f>IFERROR(INDEX('מלאי'!$B$3:$B$357,SMALL('מלאי'!$AD$3:$AD$357,47)),"")</f>
        <v/>
      </c>
      <c r="C69">
        <f>IFERROR(INDEX('מלאי'!$C$3:$C$357,SMALL('מלאי'!$AD$3:$AD$357,47)),"")</f>
        <v/>
      </c>
      <c r="D69">
        <f>IFERROR(INDEX('מלאי'!$D$3:$D$357,SMALL('מלאי'!$AD$3:$AD$357,47)),"")</f>
        <v/>
      </c>
      <c r="E69">
        <f>IFERROR(INDEX('מלאי'!$H$3:$H$357,SMALL('מלאי'!$AD$3:$AD$357,47)),"")</f>
        <v/>
      </c>
      <c r="F69">
        <f>IFERROR(INDEX('מלאי'!$I$3:$I$357,SMALL('מלאי'!$AD$3:$AD$357,47)),"")</f>
        <v/>
      </c>
      <c r="G69">
        <f>IFERROR(INDEX('מלאי'!$Z$3:$Z$357,SMALL('מלאי'!$AD$3:$AD$357,47)),"")</f>
        <v/>
      </c>
      <c r="H69">
        <f>IFERROR(INDEX('מלאי'!$T$3:$T$357,SMALL('מלאי'!$AD$3:$AD$357,47)),"")</f>
        <v/>
      </c>
      <c r="I69">
        <f>IFERROR(INDEX('מלאי'!$V$3:$V$357,SMALL('מלאי'!$AD$3:$AD$357,47)),"")</f>
        <v/>
      </c>
      <c r="J69">
        <f>IFERROR(INDEX('מלאי'!$U$3:$U$357,SMALL('מלאי'!$AD$3:$AD$357,47)),"")</f>
        <v/>
      </c>
    </row>
    <row r="70">
      <c r="A70">
        <f>IFERROR(INDEX('מלאי'!$A$3:$A$357,SMALL('מלאי'!$AD$3:$AD$357,48)),"")</f>
        <v/>
      </c>
      <c r="B70">
        <f>IFERROR(INDEX('מלאי'!$B$3:$B$357,SMALL('מלאי'!$AD$3:$AD$357,48)),"")</f>
        <v/>
      </c>
      <c r="C70">
        <f>IFERROR(INDEX('מלאי'!$C$3:$C$357,SMALL('מלאי'!$AD$3:$AD$357,48)),"")</f>
        <v/>
      </c>
      <c r="D70">
        <f>IFERROR(INDEX('מלאי'!$D$3:$D$357,SMALL('מלאי'!$AD$3:$AD$357,48)),"")</f>
        <v/>
      </c>
      <c r="E70">
        <f>IFERROR(INDEX('מלאי'!$H$3:$H$357,SMALL('מלאי'!$AD$3:$AD$357,48)),"")</f>
        <v/>
      </c>
      <c r="F70">
        <f>IFERROR(INDEX('מלאי'!$I$3:$I$357,SMALL('מלאי'!$AD$3:$AD$357,48)),"")</f>
        <v/>
      </c>
      <c r="G70">
        <f>IFERROR(INDEX('מלאי'!$Z$3:$Z$357,SMALL('מלאי'!$AD$3:$AD$357,48)),"")</f>
        <v/>
      </c>
      <c r="H70">
        <f>IFERROR(INDEX('מלאי'!$T$3:$T$357,SMALL('מלאי'!$AD$3:$AD$357,48)),"")</f>
        <v/>
      </c>
      <c r="I70">
        <f>IFERROR(INDEX('מלאי'!$V$3:$V$357,SMALL('מלאי'!$AD$3:$AD$357,48)),"")</f>
        <v/>
      </c>
      <c r="J70">
        <f>IFERROR(INDEX('מלאי'!$U$3:$U$357,SMALL('מלאי'!$AD$3:$AD$357,48)),"")</f>
        <v/>
      </c>
    </row>
    <row r="71">
      <c r="A71">
        <f>IFERROR(INDEX('מלאי'!$A$3:$A$357,SMALL('מלאי'!$AD$3:$AD$357,49)),"")</f>
        <v/>
      </c>
      <c r="B71">
        <f>IFERROR(INDEX('מלאי'!$B$3:$B$357,SMALL('מלאי'!$AD$3:$AD$357,49)),"")</f>
        <v/>
      </c>
      <c r="C71">
        <f>IFERROR(INDEX('מלאי'!$C$3:$C$357,SMALL('מלאי'!$AD$3:$AD$357,49)),"")</f>
        <v/>
      </c>
      <c r="D71">
        <f>IFERROR(INDEX('מלאי'!$D$3:$D$357,SMALL('מלאי'!$AD$3:$AD$357,49)),"")</f>
        <v/>
      </c>
      <c r="E71">
        <f>IFERROR(INDEX('מלאי'!$H$3:$H$357,SMALL('מלאי'!$AD$3:$AD$357,49)),"")</f>
        <v/>
      </c>
      <c r="F71">
        <f>IFERROR(INDEX('מלאי'!$I$3:$I$357,SMALL('מלאי'!$AD$3:$AD$357,49)),"")</f>
        <v/>
      </c>
      <c r="G71">
        <f>IFERROR(INDEX('מלאי'!$Z$3:$Z$357,SMALL('מלאי'!$AD$3:$AD$357,49)),"")</f>
        <v/>
      </c>
      <c r="H71">
        <f>IFERROR(INDEX('מלאי'!$T$3:$T$357,SMALL('מלאי'!$AD$3:$AD$357,49)),"")</f>
        <v/>
      </c>
      <c r="I71">
        <f>IFERROR(INDEX('מלאי'!$V$3:$V$357,SMALL('מלאי'!$AD$3:$AD$357,49)),"")</f>
        <v/>
      </c>
      <c r="J71">
        <f>IFERROR(INDEX('מלאי'!$U$3:$U$357,SMALL('מלאי'!$AD$3:$AD$357,49)),"")</f>
        <v/>
      </c>
    </row>
    <row r="72">
      <c r="A72">
        <f>IFERROR(INDEX('מלאי'!$A$3:$A$357,SMALL('מלאי'!$AD$3:$AD$357,50)),"")</f>
        <v/>
      </c>
      <c r="B72">
        <f>IFERROR(INDEX('מלאי'!$B$3:$B$357,SMALL('מלאי'!$AD$3:$AD$357,50)),"")</f>
        <v/>
      </c>
      <c r="C72">
        <f>IFERROR(INDEX('מלאי'!$C$3:$C$357,SMALL('מלאי'!$AD$3:$AD$357,50)),"")</f>
        <v/>
      </c>
      <c r="D72">
        <f>IFERROR(INDEX('מלאי'!$D$3:$D$357,SMALL('מלאי'!$AD$3:$AD$357,50)),"")</f>
        <v/>
      </c>
      <c r="E72">
        <f>IFERROR(INDEX('מלאי'!$H$3:$H$357,SMALL('מלאי'!$AD$3:$AD$357,50)),"")</f>
        <v/>
      </c>
      <c r="F72">
        <f>IFERROR(INDEX('מלאי'!$I$3:$I$357,SMALL('מלאי'!$AD$3:$AD$357,50)),"")</f>
        <v/>
      </c>
      <c r="G72">
        <f>IFERROR(INDEX('מלאי'!$Z$3:$Z$357,SMALL('מלאי'!$AD$3:$AD$357,50)),"")</f>
        <v/>
      </c>
      <c r="H72">
        <f>IFERROR(INDEX('מלאי'!$T$3:$T$357,SMALL('מלאי'!$AD$3:$AD$357,50)),"")</f>
        <v/>
      </c>
      <c r="I72">
        <f>IFERROR(INDEX('מלאי'!$V$3:$V$357,SMALL('מלאי'!$AD$3:$AD$357,50)),"")</f>
        <v/>
      </c>
      <c r="J72">
        <f>IFERROR(INDEX('מלאי'!$U$3:$U$357,SMALL('מלאי'!$AD$3:$AD$357,50)),"")</f>
        <v/>
      </c>
    </row>
    <row r="73">
      <c r="A73">
        <f>IFERROR(INDEX('מלאי'!$A$3:$A$357,SMALL('מלאי'!$AD$3:$AD$357,51)),"")</f>
        <v/>
      </c>
      <c r="B73">
        <f>IFERROR(INDEX('מלאי'!$B$3:$B$357,SMALL('מלאי'!$AD$3:$AD$357,51)),"")</f>
        <v/>
      </c>
      <c r="C73">
        <f>IFERROR(INDEX('מלאי'!$C$3:$C$357,SMALL('מלאי'!$AD$3:$AD$357,51)),"")</f>
        <v/>
      </c>
      <c r="D73">
        <f>IFERROR(INDEX('מלאי'!$D$3:$D$357,SMALL('מלאי'!$AD$3:$AD$357,51)),"")</f>
        <v/>
      </c>
      <c r="E73">
        <f>IFERROR(INDEX('מלאי'!$H$3:$H$357,SMALL('מלאי'!$AD$3:$AD$357,51)),"")</f>
        <v/>
      </c>
      <c r="F73">
        <f>IFERROR(INDEX('מלאי'!$I$3:$I$357,SMALL('מלאי'!$AD$3:$AD$357,51)),"")</f>
        <v/>
      </c>
      <c r="G73">
        <f>IFERROR(INDEX('מלאי'!$Z$3:$Z$357,SMALL('מלאי'!$AD$3:$AD$357,51)),"")</f>
        <v/>
      </c>
      <c r="H73">
        <f>IFERROR(INDEX('מלאי'!$T$3:$T$357,SMALL('מלאי'!$AD$3:$AD$357,51)),"")</f>
        <v/>
      </c>
      <c r="I73">
        <f>IFERROR(INDEX('מלאי'!$V$3:$V$357,SMALL('מלאי'!$AD$3:$AD$357,51)),"")</f>
        <v/>
      </c>
      <c r="J73">
        <f>IFERROR(INDEX('מלאי'!$U$3:$U$357,SMALL('מלאי'!$AD$3:$AD$357,51)),"")</f>
        <v/>
      </c>
    </row>
    <row r="74">
      <c r="A74">
        <f>IFERROR(INDEX('מלאי'!$A$3:$A$357,SMALL('מלאי'!$AD$3:$AD$357,52)),"")</f>
        <v/>
      </c>
      <c r="B74">
        <f>IFERROR(INDEX('מלאי'!$B$3:$B$357,SMALL('מלאי'!$AD$3:$AD$357,52)),"")</f>
        <v/>
      </c>
      <c r="C74">
        <f>IFERROR(INDEX('מלאי'!$C$3:$C$357,SMALL('מלאי'!$AD$3:$AD$357,52)),"")</f>
        <v/>
      </c>
      <c r="D74">
        <f>IFERROR(INDEX('מלאי'!$D$3:$D$357,SMALL('מלאי'!$AD$3:$AD$357,52)),"")</f>
        <v/>
      </c>
      <c r="E74">
        <f>IFERROR(INDEX('מלאי'!$H$3:$H$357,SMALL('מלאי'!$AD$3:$AD$357,52)),"")</f>
        <v/>
      </c>
      <c r="F74">
        <f>IFERROR(INDEX('מלאי'!$I$3:$I$357,SMALL('מלאי'!$AD$3:$AD$357,52)),"")</f>
        <v/>
      </c>
      <c r="G74">
        <f>IFERROR(INDEX('מלאי'!$Z$3:$Z$357,SMALL('מלאי'!$AD$3:$AD$357,52)),"")</f>
        <v/>
      </c>
      <c r="H74">
        <f>IFERROR(INDEX('מלאי'!$T$3:$T$357,SMALL('מלאי'!$AD$3:$AD$357,52)),"")</f>
        <v/>
      </c>
      <c r="I74">
        <f>IFERROR(INDEX('מלאי'!$V$3:$V$357,SMALL('מלאי'!$AD$3:$AD$357,52)),"")</f>
        <v/>
      </c>
      <c r="J74">
        <f>IFERROR(INDEX('מלאי'!$U$3:$U$357,SMALL('מלאי'!$AD$3:$AD$357,52)),"")</f>
        <v/>
      </c>
    </row>
    <row r="75">
      <c r="A75">
        <f>IFERROR(INDEX('מלאי'!$A$3:$A$357,SMALL('מלאי'!$AD$3:$AD$357,53)),"")</f>
        <v/>
      </c>
      <c r="B75">
        <f>IFERROR(INDEX('מלאי'!$B$3:$B$357,SMALL('מלאי'!$AD$3:$AD$357,53)),"")</f>
        <v/>
      </c>
      <c r="C75">
        <f>IFERROR(INDEX('מלאי'!$C$3:$C$357,SMALL('מלאי'!$AD$3:$AD$357,53)),"")</f>
        <v/>
      </c>
      <c r="D75">
        <f>IFERROR(INDEX('מלאי'!$D$3:$D$357,SMALL('מלאי'!$AD$3:$AD$357,53)),"")</f>
        <v/>
      </c>
      <c r="E75">
        <f>IFERROR(INDEX('מלאי'!$H$3:$H$357,SMALL('מלאי'!$AD$3:$AD$357,53)),"")</f>
        <v/>
      </c>
      <c r="F75">
        <f>IFERROR(INDEX('מלאי'!$I$3:$I$357,SMALL('מלאי'!$AD$3:$AD$357,53)),"")</f>
        <v/>
      </c>
      <c r="G75">
        <f>IFERROR(INDEX('מלאי'!$Z$3:$Z$357,SMALL('מלאי'!$AD$3:$AD$357,53)),"")</f>
        <v/>
      </c>
      <c r="H75">
        <f>IFERROR(INDEX('מלאי'!$T$3:$T$357,SMALL('מלאי'!$AD$3:$AD$357,53)),"")</f>
        <v/>
      </c>
      <c r="I75">
        <f>IFERROR(INDEX('מלאי'!$V$3:$V$357,SMALL('מלאי'!$AD$3:$AD$357,53)),"")</f>
        <v/>
      </c>
      <c r="J75">
        <f>IFERROR(INDEX('מלאי'!$U$3:$U$357,SMALL('מלאי'!$AD$3:$AD$357,53)),"")</f>
        <v/>
      </c>
    </row>
    <row r="76">
      <c r="A76">
        <f>IFERROR(INDEX('מלאי'!$A$3:$A$357,SMALL('מלאי'!$AD$3:$AD$357,54)),"")</f>
        <v/>
      </c>
      <c r="B76">
        <f>IFERROR(INDEX('מלאי'!$B$3:$B$357,SMALL('מלאי'!$AD$3:$AD$357,54)),"")</f>
        <v/>
      </c>
      <c r="C76">
        <f>IFERROR(INDEX('מלאי'!$C$3:$C$357,SMALL('מלאי'!$AD$3:$AD$357,54)),"")</f>
        <v/>
      </c>
      <c r="D76">
        <f>IFERROR(INDEX('מלאי'!$D$3:$D$357,SMALL('מלאי'!$AD$3:$AD$357,54)),"")</f>
        <v/>
      </c>
      <c r="E76">
        <f>IFERROR(INDEX('מלאי'!$H$3:$H$357,SMALL('מלאי'!$AD$3:$AD$357,54)),"")</f>
        <v/>
      </c>
      <c r="F76">
        <f>IFERROR(INDEX('מלאי'!$I$3:$I$357,SMALL('מלאי'!$AD$3:$AD$357,54)),"")</f>
        <v/>
      </c>
      <c r="G76">
        <f>IFERROR(INDEX('מלאי'!$Z$3:$Z$357,SMALL('מלאי'!$AD$3:$AD$357,54)),"")</f>
        <v/>
      </c>
      <c r="H76">
        <f>IFERROR(INDEX('מלאי'!$T$3:$T$357,SMALL('מלאי'!$AD$3:$AD$357,54)),"")</f>
        <v/>
      </c>
      <c r="I76">
        <f>IFERROR(INDEX('מלאי'!$V$3:$V$357,SMALL('מלאי'!$AD$3:$AD$357,54)),"")</f>
        <v/>
      </c>
      <c r="J76">
        <f>IFERROR(INDEX('מלאי'!$U$3:$U$357,SMALL('מלאי'!$AD$3:$AD$357,54)),"")</f>
        <v/>
      </c>
    </row>
    <row r="77">
      <c r="A77">
        <f>IFERROR(INDEX('מלאי'!$A$3:$A$357,SMALL('מלאי'!$AD$3:$AD$357,55)),"")</f>
        <v/>
      </c>
      <c r="B77">
        <f>IFERROR(INDEX('מלאי'!$B$3:$B$357,SMALL('מלאי'!$AD$3:$AD$357,55)),"")</f>
        <v/>
      </c>
      <c r="C77">
        <f>IFERROR(INDEX('מלאי'!$C$3:$C$357,SMALL('מלאי'!$AD$3:$AD$357,55)),"")</f>
        <v/>
      </c>
      <c r="D77">
        <f>IFERROR(INDEX('מלאי'!$D$3:$D$357,SMALL('מלאי'!$AD$3:$AD$357,55)),"")</f>
        <v/>
      </c>
      <c r="E77">
        <f>IFERROR(INDEX('מלאי'!$H$3:$H$357,SMALL('מלאי'!$AD$3:$AD$357,55)),"")</f>
        <v/>
      </c>
      <c r="F77">
        <f>IFERROR(INDEX('מלאי'!$I$3:$I$357,SMALL('מלאי'!$AD$3:$AD$357,55)),"")</f>
        <v/>
      </c>
      <c r="G77">
        <f>IFERROR(INDEX('מלאי'!$Z$3:$Z$357,SMALL('מלאי'!$AD$3:$AD$357,55)),"")</f>
        <v/>
      </c>
      <c r="H77">
        <f>IFERROR(INDEX('מלאי'!$T$3:$T$357,SMALL('מלאי'!$AD$3:$AD$357,55)),"")</f>
        <v/>
      </c>
      <c r="I77">
        <f>IFERROR(INDEX('מלאי'!$V$3:$V$357,SMALL('מלאי'!$AD$3:$AD$357,55)),"")</f>
        <v/>
      </c>
      <c r="J77">
        <f>IFERROR(INDEX('מלאי'!$U$3:$U$357,SMALL('מלאי'!$AD$3:$AD$357,55)),"")</f>
        <v/>
      </c>
    </row>
    <row r="78">
      <c r="A78">
        <f>IFERROR(INDEX('מלאי'!$A$3:$A$357,SMALL('מלאי'!$AD$3:$AD$357,56)),"")</f>
        <v/>
      </c>
      <c r="B78">
        <f>IFERROR(INDEX('מלאי'!$B$3:$B$357,SMALL('מלאי'!$AD$3:$AD$357,56)),"")</f>
        <v/>
      </c>
      <c r="C78">
        <f>IFERROR(INDEX('מלאי'!$C$3:$C$357,SMALL('מלאי'!$AD$3:$AD$357,56)),"")</f>
        <v/>
      </c>
      <c r="D78">
        <f>IFERROR(INDEX('מלאי'!$D$3:$D$357,SMALL('מלאי'!$AD$3:$AD$357,56)),"")</f>
        <v/>
      </c>
      <c r="E78">
        <f>IFERROR(INDEX('מלאי'!$H$3:$H$357,SMALL('מלאי'!$AD$3:$AD$357,56)),"")</f>
        <v/>
      </c>
      <c r="F78">
        <f>IFERROR(INDEX('מלאי'!$I$3:$I$357,SMALL('מלאי'!$AD$3:$AD$357,56)),"")</f>
        <v/>
      </c>
      <c r="G78">
        <f>IFERROR(INDEX('מלאי'!$Z$3:$Z$357,SMALL('מלאי'!$AD$3:$AD$357,56)),"")</f>
        <v/>
      </c>
      <c r="H78">
        <f>IFERROR(INDEX('מלאי'!$T$3:$T$357,SMALL('מלאי'!$AD$3:$AD$357,56)),"")</f>
        <v/>
      </c>
      <c r="I78">
        <f>IFERROR(INDEX('מלאי'!$V$3:$V$357,SMALL('מלאי'!$AD$3:$AD$357,56)),"")</f>
        <v/>
      </c>
      <c r="J78">
        <f>IFERROR(INDEX('מלאי'!$U$3:$U$357,SMALL('מלאי'!$AD$3:$AD$357,56)),"")</f>
        <v/>
      </c>
    </row>
    <row r="79">
      <c r="A79">
        <f>IFERROR(INDEX('מלאי'!$A$3:$A$357,SMALL('מלאי'!$AD$3:$AD$357,57)),"")</f>
        <v/>
      </c>
      <c r="B79">
        <f>IFERROR(INDEX('מלאי'!$B$3:$B$357,SMALL('מלאי'!$AD$3:$AD$357,57)),"")</f>
        <v/>
      </c>
      <c r="C79">
        <f>IFERROR(INDEX('מלאי'!$C$3:$C$357,SMALL('מלאי'!$AD$3:$AD$357,57)),"")</f>
        <v/>
      </c>
      <c r="D79">
        <f>IFERROR(INDEX('מלאי'!$D$3:$D$357,SMALL('מלאי'!$AD$3:$AD$357,57)),"")</f>
        <v/>
      </c>
      <c r="E79">
        <f>IFERROR(INDEX('מלאי'!$H$3:$H$357,SMALL('מלאי'!$AD$3:$AD$357,57)),"")</f>
        <v/>
      </c>
      <c r="F79">
        <f>IFERROR(INDEX('מלאי'!$I$3:$I$357,SMALL('מלאי'!$AD$3:$AD$357,57)),"")</f>
        <v/>
      </c>
      <c r="G79">
        <f>IFERROR(INDEX('מלאי'!$Z$3:$Z$357,SMALL('מלאי'!$AD$3:$AD$357,57)),"")</f>
        <v/>
      </c>
      <c r="H79">
        <f>IFERROR(INDEX('מלאי'!$T$3:$T$357,SMALL('מלאי'!$AD$3:$AD$357,57)),"")</f>
        <v/>
      </c>
      <c r="I79">
        <f>IFERROR(INDEX('מלאי'!$V$3:$V$357,SMALL('מלאי'!$AD$3:$AD$357,57)),"")</f>
        <v/>
      </c>
      <c r="J79">
        <f>IFERROR(INDEX('מלאי'!$U$3:$U$357,SMALL('מלאי'!$AD$3:$AD$357,57)),"")</f>
        <v/>
      </c>
    </row>
    <row r="80">
      <c r="A80">
        <f>IFERROR(INDEX('מלאי'!$A$3:$A$357,SMALL('מלאי'!$AD$3:$AD$357,58)),"")</f>
        <v/>
      </c>
      <c r="B80">
        <f>IFERROR(INDEX('מלאי'!$B$3:$B$357,SMALL('מלאי'!$AD$3:$AD$357,58)),"")</f>
        <v/>
      </c>
      <c r="C80">
        <f>IFERROR(INDEX('מלאי'!$C$3:$C$357,SMALL('מלאי'!$AD$3:$AD$357,58)),"")</f>
        <v/>
      </c>
      <c r="D80">
        <f>IFERROR(INDEX('מלאי'!$D$3:$D$357,SMALL('מלאי'!$AD$3:$AD$357,58)),"")</f>
        <v/>
      </c>
      <c r="E80">
        <f>IFERROR(INDEX('מלאי'!$H$3:$H$357,SMALL('מלאי'!$AD$3:$AD$357,58)),"")</f>
        <v/>
      </c>
      <c r="F80">
        <f>IFERROR(INDEX('מלאי'!$I$3:$I$357,SMALL('מלאי'!$AD$3:$AD$357,58)),"")</f>
        <v/>
      </c>
      <c r="G80">
        <f>IFERROR(INDEX('מלאי'!$Z$3:$Z$357,SMALL('מלאי'!$AD$3:$AD$357,58)),"")</f>
        <v/>
      </c>
      <c r="H80">
        <f>IFERROR(INDEX('מלאי'!$T$3:$T$357,SMALL('מלאי'!$AD$3:$AD$357,58)),"")</f>
        <v/>
      </c>
      <c r="I80">
        <f>IFERROR(INDEX('מלאי'!$V$3:$V$357,SMALL('מלאי'!$AD$3:$AD$357,58)),"")</f>
        <v/>
      </c>
      <c r="J80">
        <f>IFERROR(INDEX('מלאי'!$U$3:$U$357,SMALL('מלאי'!$AD$3:$AD$357,58)),"")</f>
        <v/>
      </c>
    </row>
    <row r="81">
      <c r="A81">
        <f>IFERROR(INDEX('מלאי'!$A$3:$A$357,SMALL('מלאי'!$AD$3:$AD$357,59)),"")</f>
        <v/>
      </c>
      <c r="B81">
        <f>IFERROR(INDEX('מלאי'!$B$3:$B$357,SMALL('מלאי'!$AD$3:$AD$357,59)),"")</f>
        <v/>
      </c>
      <c r="C81">
        <f>IFERROR(INDEX('מלאי'!$C$3:$C$357,SMALL('מלאי'!$AD$3:$AD$357,59)),"")</f>
        <v/>
      </c>
      <c r="D81">
        <f>IFERROR(INDEX('מלאי'!$D$3:$D$357,SMALL('מלאי'!$AD$3:$AD$357,59)),"")</f>
        <v/>
      </c>
      <c r="E81">
        <f>IFERROR(INDEX('מלאי'!$H$3:$H$357,SMALL('מלאי'!$AD$3:$AD$357,59)),"")</f>
        <v/>
      </c>
      <c r="F81">
        <f>IFERROR(INDEX('מלאי'!$I$3:$I$357,SMALL('מלאי'!$AD$3:$AD$357,59)),"")</f>
        <v/>
      </c>
      <c r="G81">
        <f>IFERROR(INDEX('מלאי'!$Z$3:$Z$357,SMALL('מלאי'!$AD$3:$AD$357,59)),"")</f>
        <v/>
      </c>
      <c r="H81">
        <f>IFERROR(INDEX('מלאי'!$T$3:$T$357,SMALL('מלאי'!$AD$3:$AD$357,59)),"")</f>
        <v/>
      </c>
      <c r="I81">
        <f>IFERROR(INDEX('מלאי'!$V$3:$V$357,SMALL('מלאי'!$AD$3:$AD$357,59)),"")</f>
        <v/>
      </c>
      <c r="J81">
        <f>IFERROR(INDEX('מלאי'!$U$3:$U$357,SMALL('מלאי'!$AD$3:$AD$357,59)),"")</f>
        <v/>
      </c>
    </row>
    <row r="82">
      <c r="A82">
        <f>IFERROR(INDEX('מלאי'!$A$3:$A$357,SMALL('מלאי'!$AD$3:$AD$357,60)),"")</f>
        <v/>
      </c>
      <c r="B82">
        <f>IFERROR(INDEX('מלאי'!$B$3:$B$357,SMALL('מלאי'!$AD$3:$AD$357,60)),"")</f>
        <v/>
      </c>
      <c r="C82">
        <f>IFERROR(INDEX('מלאי'!$C$3:$C$357,SMALL('מלאי'!$AD$3:$AD$357,60)),"")</f>
        <v/>
      </c>
      <c r="D82">
        <f>IFERROR(INDEX('מלאי'!$D$3:$D$357,SMALL('מלאי'!$AD$3:$AD$357,60)),"")</f>
        <v/>
      </c>
      <c r="E82">
        <f>IFERROR(INDEX('מלאי'!$H$3:$H$357,SMALL('מלאי'!$AD$3:$AD$357,60)),"")</f>
        <v/>
      </c>
      <c r="F82">
        <f>IFERROR(INDEX('מלאי'!$I$3:$I$357,SMALL('מלאי'!$AD$3:$AD$357,60)),"")</f>
        <v/>
      </c>
      <c r="G82">
        <f>IFERROR(INDEX('מלאי'!$Z$3:$Z$357,SMALL('מלאי'!$AD$3:$AD$357,60)),"")</f>
        <v/>
      </c>
      <c r="H82">
        <f>IFERROR(INDEX('מלאי'!$T$3:$T$357,SMALL('מלאי'!$AD$3:$AD$357,60)),"")</f>
        <v/>
      </c>
      <c r="I82">
        <f>IFERROR(INDEX('מלאי'!$V$3:$V$357,SMALL('מלאי'!$AD$3:$AD$357,60)),"")</f>
        <v/>
      </c>
      <c r="J82">
        <f>IFERROR(INDEX('מלאי'!$U$3:$U$357,SMALL('מלאי'!$AD$3:$AD$357,60)),"")</f>
        <v/>
      </c>
    </row>
    <row r="83">
      <c r="A83">
        <f>IFERROR(INDEX('מלאי'!$A$3:$A$357,SMALL('מלאי'!$AD$3:$AD$357,61)),"")</f>
        <v/>
      </c>
      <c r="B83">
        <f>IFERROR(INDEX('מלאי'!$B$3:$B$357,SMALL('מלאי'!$AD$3:$AD$357,61)),"")</f>
        <v/>
      </c>
      <c r="C83">
        <f>IFERROR(INDEX('מלאי'!$C$3:$C$357,SMALL('מלאי'!$AD$3:$AD$357,61)),"")</f>
        <v/>
      </c>
      <c r="D83">
        <f>IFERROR(INDEX('מלאי'!$D$3:$D$357,SMALL('מלאי'!$AD$3:$AD$357,61)),"")</f>
        <v/>
      </c>
      <c r="E83">
        <f>IFERROR(INDEX('מלאי'!$H$3:$H$357,SMALL('מלאי'!$AD$3:$AD$357,61)),"")</f>
        <v/>
      </c>
      <c r="F83">
        <f>IFERROR(INDEX('מלאי'!$I$3:$I$357,SMALL('מלאי'!$AD$3:$AD$357,61)),"")</f>
        <v/>
      </c>
      <c r="G83">
        <f>IFERROR(INDEX('מלאי'!$Z$3:$Z$357,SMALL('מלאי'!$AD$3:$AD$357,61)),"")</f>
        <v/>
      </c>
      <c r="H83">
        <f>IFERROR(INDEX('מלאי'!$T$3:$T$357,SMALL('מלאי'!$AD$3:$AD$357,61)),"")</f>
        <v/>
      </c>
      <c r="I83">
        <f>IFERROR(INDEX('מלאי'!$V$3:$V$357,SMALL('מלאי'!$AD$3:$AD$357,61)),"")</f>
        <v/>
      </c>
      <c r="J83">
        <f>IFERROR(INDEX('מלאי'!$U$3:$U$357,SMALL('מלאי'!$AD$3:$AD$357,61)),"")</f>
        <v/>
      </c>
    </row>
    <row r="84">
      <c r="A84">
        <f>IFERROR(INDEX('מלאי'!$A$3:$A$357,SMALL('מלאי'!$AD$3:$AD$357,62)),"")</f>
        <v/>
      </c>
      <c r="B84">
        <f>IFERROR(INDEX('מלאי'!$B$3:$B$357,SMALL('מלאי'!$AD$3:$AD$357,62)),"")</f>
        <v/>
      </c>
      <c r="C84">
        <f>IFERROR(INDEX('מלאי'!$C$3:$C$357,SMALL('מלאי'!$AD$3:$AD$357,62)),"")</f>
        <v/>
      </c>
      <c r="D84">
        <f>IFERROR(INDEX('מלאי'!$D$3:$D$357,SMALL('מלאי'!$AD$3:$AD$357,62)),"")</f>
        <v/>
      </c>
      <c r="E84">
        <f>IFERROR(INDEX('מלאי'!$H$3:$H$357,SMALL('מלאי'!$AD$3:$AD$357,62)),"")</f>
        <v/>
      </c>
      <c r="F84">
        <f>IFERROR(INDEX('מלאי'!$I$3:$I$357,SMALL('מלאי'!$AD$3:$AD$357,62)),"")</f>
        <v/>
      </c>
      <c r="G84">
        <f>IFERROR(INDEX('מלאי'!$Z$3:$Z$357,SMALL('מלאי'!$AD$3:$AD$357,62)),"")</f>
        <v/>
      </c>
      <c r="H84">
        <f>IFERROR(INDEX('מלאי'!$T$3:$T$357,SMALL('מלאי'!$AD$3:$AD$357,62)),"")</f>
        <v/>
      </c>
      <c r="I84">
        <f>IFERROR(INDEX('מלאי'!$V$3:$V$357,SMALL('מלאי'!$AD$3:$AD$357,62)),"")</f>
        <v/>
      </c>
      <c r="J84">
        <f>IFERROR(INDEX('מלאי'!$U$3:$U$357,SMALL('מלאי'!$AD$3:$AD$357,62)),"")</f>
        <v/>
      </c>
    </row>
    <row r="85">
      <c r="A85">
        <f>IFERROR(INDEX('מלאי'!$A$3:$A$357,SMALL('מלאי'!$AD$3:$AD$357,63)),"")</f>
        <v/>
      </c>
      <c r="B85">
        <f>IFERROR(INDEX('מלאי'!$B$3:$B$357,SMALL('מלאי'!$AD$3:$AD$357,63)),"")</f>
        <v/>
      </c>
      <c r="C85">
        <f>IFERROR(INDEX('מלאי'!$C$3:$C$357,SMALL('מלאי'!$AD$3:$AD$357,63)),"")</f>
        <v/>
      </c>
      <c r="D85">
        <f>IFERROR(INDEX('מלאי'!$D$3:$D$357,SMALL('מלאי'!$AD$3:$AD$357,63)),"")</f>
        <v/>
      </c>
      <c r="E85">
        <f>IFERROR(INDEX('מלאי'!$H$3:$H$357,SMALL('מלאי'!$AD$3:$AD$357,63)),"")</f>
        <v/>
      </c>
      <c r="F85">
        <f>IFERROR(INDEX('מלאי'!$I$3:$I$357,SMALL('מלאי'!$AD$3:$AD$357,63)),"")</f>
        <v/>
      </c>
      <c r="G85">
        <f>IFERROR(INDEX('מלאי'!$Z$3:$Z$357,SMALL('מלאי'!$AD$3:$AD$357,63)),"")</f>
        <v/>
      </c>
      <c r="H85">
        <f>IFERROR(INDEX('מלאי'!$T$3:$T$357,SMALL('מלאי'!$AD$3:$AD$357,63)),"")</f>
        <v/>
      </c>
      <c r="I85">
        <f>IFERROR(INDEX('מלאי'!$V$3:$V$357,SMALL('מלאי'!$AD$3:$AD$357,63)),"")</f>
        <v/>
      </c>
      <c r="J85">
        <f>IFERROR(INDEX('מלאי'!$U$3:$U$357,SMALL('מלאי'!$AD$3:$AD$357,63)),"")</f>
        <v/>
      </c>
    </row>
    <row r="86">
      <c r="A86">
        <f>IFERROR(INDEX('מלאי'!$A$3:$A$357,SMALL('מלאי'!$AD$3:$AD$357,64)),"")</f>
        <v/>
      </c>
      <c r="B86">
        <f>IFERROR(INDEX('מלאי'!$B$3:$B$357,SMALL('מלאי'!$AD$3:$AD$357,64)),"")</f>
        <v/>
      </c>
      <c r="C86">
        <f>IFERROR(INDEX('מלאי'!$C$3:$C$357,SMALL('מלאי'!$AD$3:$AD$357,64)),"")</f>
        <v/>
      </c>
      <c r="D86">
        <f>IFERROR(INDEX('מלאי'!$D$3:$D$357,SMALL('מלאי'!$AD$3:$AD$357,64)),"")</f>
        <v/>
      </c>
      <c r="E86">
        <f>IFERROR(INDEX('מלאי'!$H$3:$H$357,SMALL('מלאי'!$AD$3:$AD$357,64)),"")</f>
        <v/>
      </c>
      <c r="F86">
        <f>IFERROR(INDEX('מלאי'!$I$3:$I$357,SMALL('מלאי'!$AD$3:$AD$357,64)),"")</f>
        <v/>
      </c>
      <c r="G86">
        <f>IFERROR(INDEX('מלאי'!$Z$3:$Z$357,SMALL('מלאי'!$AD$3:$AD$357,64)),"")</f>
        <v/>
      </c>
      <c r="H86">
        <f>IFERROR(INDEX('מלאי'!$T$3:$T$357,SMALL('מלאי'!$AD$3:$AD$357,64)),"")</f>
        <v/>
      </c>
      <c r="I86">
        <f>IFERROR(INDEX('מלאי'!$V$3:$V$357,SMALL('מלאי'!$AD$3:$AD$357,64)),"")</f>
        <v/>
      </c>
      <c r="J86">
        <f>IFERROR(INDEX('מלאי'!$U$3:$U$357,SMALL('מלאי'!$AD$3:$AD$357,64)),"")</f>
        <v/>
      </c>
    </row>
    <row r="87">
      <c r="A87">
        <f>IFERROR(INDEX('מלאי'!$A$3:$A$357,SMALL('מלאי'!$AD$3:$AD$357,65)),"")</f>
        <v/>
      </c>
      <c r="B87">
        <f>IFERROR(INDEX('מלאי'!$B$3:$B$357,SMALL('מלאי'!$AD$3:$AD$357,65)),"")</f>
        <v/>
      </c>
      <c r="C87">
        <f>IFERROR(INDEX('מלאי'!$C$3:$C$357,SMALL('מלאי'!$AD$3:$AD$357,65)),"")</f>
        <v/>
      </c>
      <c r="D87">
        <f>IFERROR(INDEX('מלאי'!$D$3:$D$357,SMALL('מלאי'!$AD$3:$AD$357,65)),"")</f>
        <v/>
      </c>
      <c r="E87">
        <f>IFERROR(INDEX('מלאי'!$H$3:$H$357,SMALL('מלאי'!$AD$3:$AD$357,65)),"")</f>
        <v/>
      </c>
      <c r="F87">
        <f>IFERROR(INDEX('מלאי'!$I$3:$I$357,SMALL('מלאי'!$AD$3:$AD$357,65)),"")</f>
        <v/>
      </c>
      <c r="G87">
        <f>IFERROR(INDEX('מלאי'!$Z$3:$Z$357,SMALL('מלאי'!$AD$3:$AD$357,65)),"")</f>
        <v/>
      </c>
      <c r="H87">
        <f>IFERROR(INDEX('מלאי'!$T$3:$T$357,SMALL('מלאי'!$AD$3:$AD$357,65)),"")</f>
        <v/>
      </c>
      <c r="I87">
        <f>IFERROR(INDEX('מלאי'!$V$3:$V$357,SMALL('מלאי'!$AD$3:$AD$357,65)),"")</f>
        <v/>
      </c>
      <c r="J87">
        <f>IFERROR(INDEX('מלאי'!$U$3:$U$357,SMALL('מלאי'!$AD$3:$AD$357,65)),"")</f>
        <v/>
      </c>
    </row>
    <row r="88">
      <c r="A88">
        <f>IFERROR(INDEX('מלאי'!$A$3:$A$357,SMALL('מלאי'!$AD$3:$AD$357,66)),"")</f>
        <v/>
      </c>
      <c r="B88">
        <f>IFERROR(INDEX('מלאי'!$B$3:$B$357,SMALL('מלאי'!$AD$3:$AD$357,66)),"")</f>
        <v/>
      </c>
      <c r="C88">
        <f>IFERROR(INDEX('מלאי'!$C$3:$C$357,SMALL('מלאי'!$AD$3:$AD$357,66)),"")</f>
        <v/>
      </c>
      <c r="D88">
        <f>IFERROR(INDEX('מלאי'!$D$3:$D$357,SMALL('מלאי'!$AD$3:$AD$357,66)),"")</f>
        <v/>
      </c>
      <c r="E88">
        <f>IFERROR(INDEX('מלאי'!$H$3:$H$357,SMALL('מלאי'!$AD$3:$AD$357,66)),"")</f>
        <v/>
      </c>
      <c r="F88">
        <f>IFERROR(INDEX('מלאי'!$I$3:$I$357,SMALL('מלאי'!$AD$3:$AD$357,66)),"")</f>
        <v/>
      </c>
      <c r="G88">
        <f>IFERROR(INDEX('מלאי'!$Z$3:$Z$357,SMALL('מלאי'!$AD$3:$AD$357,66)),"")</f>
        <v/>
      </c>
      <c r="H88">
        <f>IFERROR(INDEX('מלאי'!$T$3:$T$357,SMALL('מלאי'!$AD$3:$AD$357,66)),"")</f>
        <v/>
      </c>
      <c r="I88">
        <f>IFERROR(INDEX('מלאי'!$V$3:$V$357,SMALL('מלאי'!$AD$3:$AD$357,66)),"")</f>
        <v/>
      </c>
      <c r="J88">
        <f>IFERROR(INDEX('מלאי'!$U$3:$U$357,SMALL('מלאי'!$AD$3:$AD$357,66)),"")</f>
        <v/>
      </c>
    </row>
    <row r="89">
      <c r="A89">
        <f>IFERROR(INDEX('מלאי'!$A$3:$A$357,SMALL('מלאי'!$AD$3:$AD$357,67)),"")</f>
        <v/>
      </c>
      <c r="B89">
        <f>IFERROR(INDEX('מלאי'!$B$3:$B$357,SMALL('מלאי'!$AD$3:$AD$357,67)),"")</f>
        <v/>
      </c>
      <c r="C89">
        <f>IFERROR(INDEX('מלאי'!$C$3:$C$357,SMALL('מלאי'!$AD$3:$AD$357,67)),"")</f>
        <v/>
      </c>
      <c r="D89">
        <f>IFERROR(INDEX('מלאי'!$D$3:$D$357,SMALL('מלאי'!$AD$3:$AD$357,67)),"")</f>
        <v/>
      </c>
      <c r="E89">
        <f>IFERROR(INDEX('מלאי'!$H$3:$H$357,SMALL('מלאי'!$AD$3:$AD$357,67)),"")</f>
        <v/>
      </c>
      <c r="F89">
        <f>IFERROR(INDEX('מלאי'!$I$3:$I$357,SMALL('מלאי'!$AD$3:$AD$357,67)),"")</f>
        <v/>
      </c>
      <c r="G89">
        <f>IFERROR(INDEX('מלאי'!$Z$3:$Z$357,SMALL('מלאי'!$AD$3:$AD$357,67)),"")</f>
        <v/>
      </c>
      <c r="H89">
        <f>IFERROR(INDEX('מלאי'!$T$3:$T$357,SMALL('מלאי'!$AD$3:$AD$357,67)),"")</f>
        <v/>
      </c>
      <c r="I89">
        <f>IFERROR(INDEX('מלאי'!$V$3:$V$357,SMALL('מלאי'!$AD$3:$AD$357,67)),"")</f>
        <v/>
      </c>
      <c r="J89">
        <f>IFERROR(INDEX('מלאי'!$U$3:$U$357,SMALL('מלאי'!$AD$3:$AD$357,67)),"")</f>
        <v/>
      </c>
    </row>
    <row r="90">
      <c r="A90">
        <f>IFERROR(INDEX('מלאי'!$A$3:$A$357,SMALL('מלאי'!$AD$3:$AD$357,68)),"")</f>
        <v/>
      </c>
      <c r="B90">
        <f>IFERROR(INDEX('מלאי'!$B$3:$B$357,SMALL('מלאי'!$AD$3:$AD$357,68)),"")</f>
        <v/>
      </c>
      <c r="C90">
        <f>IFERROR(INDEX('מלאי'!$C$3:$C$357,SMALL('מלאי'!$AD$3:$AD$357,68)),"")</f>
        <v/>
      </c>
      <c r="D90">
        <f>IFERROR(INDEX('מלאי'!$D$3:$D$357,SMALL('מלאי'!$AD$3:$AD$357,68)),"")</f>
        <v/>
      </c>
      <c r="E90">
        <f>IFERROR(INDEX('מלאי'!$H$3:$H$357,SMALL('מלאי'!$AD$3:$AD$357,68)),"")</f>
        <v/>
      </c>
      <c r="F90">
        <f>IFERROR(INDEX('מלאי'!$I$3:$I$357,SMALL('מלאי'!$AD$3:$AD$357,68)),"")</f>
        <v/>
      </c>
      <c r="G90">
        <f>IFERROR(INDEX('מלאי'!$Z$3:$Z$357,SMALL('מלאי'!$AD$3:$AD$357,68)),"")</f>
        <v/>
      </c>
      <c r="H90">
        <f>IFERROR(INDEX('מלאי'!$T$3:$T$357,SMALL('מלאי'!$AD$3:$AD$357,68)),"")</f>
        <v/>
      </c>
      <c r="I90">
        <f>IFERROR(INDEX('מלאי'!$V$3:$V$357,SMALL('מלאי'!$AD$3:$AD$357,68)),"")</f>
        <v/>
      </c>
      <c r="J90">
        <f>IFERROR(INDEX('מלאי'!$U$3:$U$357,SMALL('מלאי'!$AD$3:$AD$357,68)),"")</f>
        <v/>
      </c>
    </row>
    <row r="91">
      <c r="A91">
        <f>IFERROR(INDEX('מלאי'!$A$3:$A$357,SMALL('מלאי'!$AD$3:$AD$357,69)),"")</f>
        <v/>
      </c>
      <c r="B91">
        <f>IFERROR(INDEX('מלאי'!$B$3:$B$357,SMALL('מלאי'!$AD$3:$AD$357,69)),"")</f>
        <v/>
      </c>
      <c r="C91">
        <f>IFERROR(INDEX('מלאי'!$C$3:$C$357,SMALL('מלאי'!$AD$3:$AD$357,69)),"")</f>
        <v/>
      </c>
      <c r="D91">
        <f>IFERROR(INDEX('מלאי'!$D$3:$D$357,SMALL('מלאי'!$AD$3:$AD$357,69)),"")</f>
        <v/>
      </c>
      <c r="E91">
        <f>IFERROR(INDEX('מלאי'!$H$3:$H$357,SMALL('מלאי'!$AD$3:$AD$357,69)),"")</f>
        <v/>
      </c>
      <c r="F91">
        <f>IFERROR(INDEX('מלאי'!$I$3:$I$357,SMALL('מלאי'!$AD$3:$AD$357,69)),"")</f>
        <v/>
      </c>
      <c r="G91">
        <f>IFERROR(INDEX('מלאי'!$Z$3:$Z$357,SMALL('מלאי'!$AD$3:$AD$357,69)),"")</f>
        <v/>
      </c>
      <c r="H91">
        <f>IFERROR(INDEX('מלאי'!$T$3:$T$357,SMALL('מלאי'!$AD$3:$AD$357,69)),"")</f>
        <v/>
      </c>
      <c r="I91">
        <f>IFERROR(INDEX('מלאי'!$V$3:$V$357,SMALL('מלאי'!$AD$3:$AD$357,69)),"")</f>
        <v/>
      </c>
      <c r="J91">
        <f>IFERROR(INDEX('מלאי'!$U$3:$U$357,SMALL('מלאי'!$AD$3:$AD$357,69)),"")</f>
        <v/>
      </c>
    </row>
    <row r="92">
      <c r="A92">
        <f>IFERROR(INDEX('מלאי'!$A$3:$A$357,SMALL('מלאי'!$AD$3:$AD$357,70)),"")</f>
        <v/>
      </c>
      <c r="B92">
        <f>IFERROR(INDEX('מלאי'!$B$3:$B$357,SMALL('מלאי'!$AD$3:$AD$357,70)),"")</f>
        <v/>
      </c>
      <c r="C92">
        <f>IFERROR(INDEX('מלאי'!$C$3:$C$357,SMALL('מלאי'!$AD$3:$AD$357,70)),"")</f>
        <v/>
      </c>
      <c r="D92">
        <f>IFERROR(INDEX('מלאי'!$D$3:$D$357,SMALL('מלאי'!$AD$3:$AD$357,70)),"")</f>
        <v/>
      </c>
      <c r="E92">
        <f>IFERROR(INDEX('מלאי'!$H$3:$H$357,SMALL('מלאי'!$AD$3:$AD$357,70)),"")</f>
        <v/>
      </c>
      <c r="F92">
        <f>IFERROR(INDEX('מלאי'!$I$3:$I$357,SMALL('מלאי'!$AD$3:$AD$357,70)),"")</f>
        <v/>
      </c>
      <c r="G92">
        <f>IFERROR(INDEX('מלאי'!$Z$3:$Z$357,SMALL('מלאי'!$AD$3:$AD$357,70)),"")</f>
        <v/>
      </c>
      <c r="H92">
        <f>IFERROR(INDEX('מלאי'!$T$3:$T$357,SMALL('מלאי'!$AD$3:$AD$357,70)),"")</f>
        <v/>
      </c>
      <c r="I92">
        <f>IFERROR(INDEX('מלאי'!$V$3:$V$357,SMALL('מלאי'!$AD$3:$AD$357,70)),"")</f>
        <v/>
      </c>
      <c r="J92">
        <f>IFERROR(INDEX('מלאי'!$U$3:$U$357,SMALL('מלאי'!$AD$3:$AD$357,70)),"")</f>
        <v/>
      </c>
    </row>
    <row r="93">
      <c r="A93">
        <f>IFERROR(INDEX('מלאי'!$A$3:$A$357,SMALL('מלאי'!$AD$3:$AD$357,71)),"")</f>
        <v/>
      </c>
      <c r="B93">
        <f>IFERROR(INDEX('מלאי'!$B$3:$B$357,SMALL('מלאי'!$AD$3:$AD$357,71)),"")</f>
        <v/>
      </c>
      <c r="C93">
        <f>IFERROR(INDEX('מלאי'!$C$3:$C$357,SMALL('מלאי'!$AD$3:$AD$357,71)),"")</f>
        <v/>
      </c>
      <c r="D93">
        <f>IFERROR(INDEX('מלאי'!$D$3:$D$357,SMALL('מלאי'!$AD$3:$AD$357,71)),"")</f>
        <v/>
      </c>
      <c r="E93">
        <f>IFERROR(INDEX('מלאי'!$H$3:$H$357,SMALL('מלאי'!$AD$3:$AD$357,71)),"")</f>
        <v/>
      </c>
      <c r="F93">
        <f>IFERROR(INDEX('מלאי'!$I$3:$I$357,SMALL('מלאי'!$AD$3:$AD$357,71)),"")</f>
        <v/>
      </c>
      <c r="G93">
        <f>IFERROR(INDEX('מלאי'!$Z$3:$Z$357,SMALL('מלאי'!$AD$3:$AD$357,71)),"")</f>
        <v/>
      </c>
      <c r="H93">
        <f>IFERROR(INDEX('מלאי'!$T$3:$T$357,SMALL('מלאי'!$AD$3:$AD$357,71)),"")</f>
        <v/>
      </c>
      <c r="I93">
        <f>IFERROR(INDEX('מלאי'!$V$3:$V$357,SMALL('מלאי'!$AD$3:$AD$357,71)),"")</f>
        <v/>
      </c>
      <c r="J93">
        <f>IFERROR(INDEX('מלאי'!$U$3:$U$357,SMALL('מלאי'!$AD$3:$AD$357,71)),"")</f>
        <v/>
      </c>
    </row>
    <row r="94">
      <c r="A94">
        <f>IFERROR(INDEX('מלאי'!$A$3:$A$357,SMALL('מלאי'!$AD$3:$AD$357,72)),"")</f>
        <v/>
      </c>
      <c r="B94">
        <f>IFERROR(INDEX('מלאי'!$B$3:$B$357,SMALL('מלאי'!$AD$3:$AD$357,72)),"")</f>
        <v/>
      </c>
      <c r="C94">
        <f>IFERROR(INDEX('מלאי'!$C$3:$C$357,SMALL('מלאי'!$AD$3:$AD$357,72)),"")</f>
        <v/>
      </c>
      <c r="D94">
        <f>IFERROR(INDEX('מלאי'!$D$3:$D$357,SMALL('מלאי'!$AD$3:$AD$357,72)),"")</f>
        <v/>
      </c>
      <c r="E94">
        <f>IFERROR(INDEX('מלאי'!$H$3:$H$357,SMALL('מלאי'!$AD$3:$AD$357,72)),"")</f>
        <v/>
      </c>
      <c r="F94">
        <f>IFERROR(INDEX('מלאי'!$I$3:$I$357,SMALL('מלאי'!$AD$3:$AD$357,72)),"")</f>
        <v/>
      </c>
      <c r="G94">
        <f>IFERROR(INDEX('מלאי'!$Z$3:$Z$357,SMALL('מלאי'!$AD$3:$AD$357,72)),"")</f>
        <v/>
      </c>
      <c r="H94">
        <f>IFERROR(INDEX('מלאי'!$T$3:$T$357,SMALL('מלאי'!$AD$3:$AD$357,72)),"")</f>
        <v/>
      </c>
      <c r="I94">
        <f>IFERROR(INDEX('מלאי'!$V$3:$V$357,SMALL('מלאי'!$AD$3:$AD$357,72)),"")</f>
        <v/>
      </c>
      <c r="J94">
        <f>IFERROR(INDEX('מלאי'!$U$3:$U$357,SMALL('מלאי'!$AD$3:$AD$357,72)),"")</f>
        <v/>
      </c>
    </row>
    <row r="95">
      <c r="A95">
        <f>IFERROR(INDEX('מלאי'!$A$3:$A$357,SMALL('מלאי'!$AD$3:$AD$357,73)),"")</f>
        <v/>
      </c>
      <c r="B95">
        <f>IFERROR(INDEX('מלאי'!$B$3:$B$357,SMALL('מלאי'!$AD$3:$AD$357,73)),"")</f>
        <v/>
      </c>
      <c r="C95">
        <f>IFERROR(INDEX('מלאי'!$C$3:$C$357,SMALL('מלאי'!$AD$3:$AD$357,73)),"")</f>
        <v/>
      </c>
      <c r="D95">
        <f>IFERROR(INDEX('מלאי'!$D$3:$D$357,SMALL('מלאי'!$AD$3:$AD$357,73)),"")</f>
        <v/>
      </c>
      <c r="E95">
        <f>IFERROR(INDEX('מלאי'!$H$3:$H$357,SMALL('מלאי'!$AD$3:$AD$357,73)),"")</f>
        <v/>
      </c>
      <c r="F95">
        <f>IFERROR(INDEX('מלאי'!$I$3:$I$357,SMALL('מלאי'!$AD$3:$AD$357,73)),"")</f>
        <v/>
      </c>
      <c r="G95">
        <f>IFERROR(INDEX('מלאי'!$Z$3:$Z$357,SMALL('מלאי'!$AD$3:$AD$357,73)),"")</f>
        <v/>
      </c>
      <c r="H95">
        <f>IFERROR(INDEX('מלאי'!$T$3:$T$357,SMALL('מלאי'!$AD$3:$AD$357,73)),"")</f>
        <v/>
      </c>
      <c r="I95">
        <f>IFERROR(INDEX('מלאי'!$V$3:$V$357,SMALL('מלאי'!$AD$3:$AD$357,73)),"")</f>
        <v/>
      </c>
      <c r="J95">
        <f>IFERROR(INDEX('מלאי'!$U$3:$U$357,SMALL('מלאי'!$AD$3:$AD$357,73)),"")</f>
        <v/>
      </c>
    </row>
    <row r="96">
      <c r="A96">
        <f>IFERROR(INDEX('מלאי'!$A$3:$A$357,SMALL('מלאי'!$AD$3:$AD$357,74)),"")</f>
        <v/>
      </c>
      <c r="B96">
        <f>IFERROR(INDEX('מלאי'!$B$3:$B$357,SMALL('מלאי'!$AD$3:$AD$357,74)),"")</f>
        <v/>
      </c>
      <c r="C96">
        <f>IFERROR(INDEX('מלאי'!$C$3:$C$357,SMALL('מלאי'!$AD$3:$AD$357,74)),"")</f>
        <v/>
      </c>
      <c r="D96">
        <f>IFERROR(INDEX('מלאי'!$D$3:$D$357,SMALL('מלאי'!$AD$3:$AD$357,74)),"")</f>
        <v/>
      </c>
      <c r="E96">
        <f>IFERROR(INDEX('מלאי'!$H$3:$H$357,SMALL('מלאי'!$AD$3:$AD$357,74)),"")</f>
        <v/>
      </c>
      <c r="F96">
        <f>IFERROR(INDEX('מלאי'!$I$3:$I$357,SMALL('מלאי'!$AD$3:$AD$357,74)),"")</f>
        <v/>
      </c>
      <c r="G96">
        <f>IFERROR(INDEX('מלאי'!$Z$3:$Z$357,SMALL('מלאי'!$AD$3:$AD$357,74)),"")</f>
        <v/>
      </c>
      <c r="H96">
        <f>IFERROR(INDEX('מלאי'!$T$3:$T$357,SMALL('מלאי'!$AD$3:$AD$357,74)),"")</f>
        <v/>
      </c>
      <c r="I96">
        <f>IFERROR(INDEX('מלאי'!$V$3:$V$357,SMALL('מלאי'!$AD$3:$AD$357,74)),"")</f>
        <v/>
      </c>
      <c r="J96">
        <f>IFERROR(INDEX('מלאי'!$U$3:$U$357,SMALL('מלאי'!$AD$3:$AD$357,74)),"")</f>
        <v/>
      </c>
    </row>
    <row r="97">
      <c r="A97">
        <f>IFERROR(INDEX('מלאי'!$A$3:$A$357,SMALL('מלאי'!$AD$3:$AD$357,75)),"")</f>
        <v/>
      </c>
      <c r="B97">
        <f>IFERROR(INDEX('מלאי'!$B$3:$B$357,SMALL('מלאי'!$AD$3:$AD$357,75)),"")</f>
        <v/>
      </c>
      <c r="C97">
        <f>IFERROR(INDEX('מלאי'!$C$3:$C$357,SMALL('מלאי'!$AD$3:$AD$357,75)),"")</f>
        <v/>
      </c>
      <c r="D97">
        <f>IFERROR(INDEX('מלאי'!$D$3:$D$357,SMALL('מלאי'!$AD$3:$AD$357,75)),"")</f>
        <v/>
      </c>
      <c r="E97">
        <f>IFERROR(INDEX('מלאי'!$H$3:$H$357,SMALL('מלאי'!$AD$3:$AD$357,75)),"")</f>
        <v/>
      </c>
      <c r="F97">
        <f>IFERROR(INDEX('מלאי'!$I$3:$I$357,SMALL('מלאי'!$AD$3:$AD$357,75)),"")</f>
        <v/>
      </c>
      <c r="G97">
        <f>IFERROR(INDEX('מלאי'!$Z$3:$Z$357,SMALL('מלאי'!$AD$3:$AD$357,75)),"")</f>
        <v/>
      </c>
      <c r="H97">
        <f>IFERROR(INDEX('מלאי'!$T$3:$T$357,SMALL('מלאי'!$AD$3:$AD$357,75)),"")</f>
        <v/>
      </c>
      <c r="I97">
        <f>IFERROR(INDEX('מלאי'!$V$3:$V$357,SMALL('מלאי'!$AD$3:$AD$357,75)),"")</f>
        <v/>
      </c>
      <c r="J97">
        <f>IFERROR(INDEX('מלאי'!$U$3:$U$357,SMALL('מלאי'!$AD$3:$AD$357,75)),"")</f>
        <v/>
      </c>
    </row>
    <row r="98">
      <c r="A98">
        <f>IFERROR(INDEX('מלאי'!$A$3:$A$357,SMALL('מלאי'!$AD$3:$AD$357,76)),"")</f>
        <v/>
      </c>
      <c r="B98">
        <f>IFERROR(INDEX('מלאי'!$B$3:$B$357,SMALL('מלאי'!$AD$3:$AD$357,76)),"")</f>
        <v/>
      </c>
      <c r="C98">
        <f>IFERROR(INDEX('מלאי'!$C$3:$C$357,SMALL('מלאי'!$AD$3:$AD$357,76)),"")</f>
        <v/>
      </c>
      <c r="D98">
        <f>IFERROR(INDEX('מלאי'!$D$3:$D$357,SMALL('מלאי'!$AD$3:$AD$357,76)),"")</f>
        <v/>
      </c>
      <c r="E98">
        <f>IFERROR(INDEX('מלאי'!$H$3:$H$357,SMALL('מלאי'!$AD$3:$AD$357,76)),"")</f>
        <v/>
      </c>
      <c r="F98">
        <f>IFERROR(INDEX('מלאי'!$I$3:$I$357,SMALL('מלאי'!$AD$3:$AD$357,76)),"")</f>
        <v/>
      </c>
      <c r="G98">
        <f>IFERROR(INDEX('מלאי'!$Z$3:$Z$357,SMALL('מלאי'!$AD$3:$AD$357,76)),"")</f>
        <v/>
      </c>
      <c r="H98">
        <f>IFERROR(INDEX('מלאי'!$T$3:$T$357,SMALL('מלאי'!$AD$3:$AD$357,76)),"")</f>
        <v/>
      </c>
      <c r="I98">
        <f>IFERROR(INDEX('מלאי'!$V$3:$V$357,SMALL('מלאי'!$AD$3:$AD$357,76)),"")</f>
        <v/>
      </c>
      <c r="J98">
        <f>IFERROR(INDEX('מלאי'!$U$3:$U$357,SMALL('מלאי'!$AD$3:$AD$357,76)),"")</f>
        <v/>
      </c>
    </row>
    <row r="99">
      <c r="A99">
        <f>IFERROR(INDEX('מלאי'!$A$3:$A$357,SMALL('מלאי'!$AD$3:$AD$357,77)),"")</f>
        <v/>
      </c>
      <c r="B99">
        <f>IFERROR(INDEX('מלאי'!$B$3:$B$357,SMALL('מלאי'!$AD$3:$AD$357,77)),"")</f>
        <v/>
      </c>
      <c r="C99">
        <f>IFERROR(INDEX('מלאי'!$C$3:$C$357,SMALL('מלאי'!$AD$3:$AD$357,77)),"")</f>
        <v/>
      </c>
      <c r="D99">
        <f>IFERROR(INDEX('מלאי'!$D$3:$D$357,SMALL('מלאי'!$AD$3:$AD$357,77)),"")</f>
        <v/>
      </c>
      <c r="E99">
        <f>IFERROR(INDEX('מלאי'!$H$3:$H$357,SMALL('מלאי'!$AD$3:$AD$357,77)),"")</f>
        <v/>
      </c>
      <c r="F99">
        <f>IFERROR(INDEX('מלאי'!$I$3:$I$357,SMALL('מלאי'!$AD$3:$AD$357,77)),"")</f>
        <v/>
      </c>
      <c r="G99">
        <f>IFERROR(INDEX('מלאי'!$Z$3:$Z$357,SMALL('מלאי'!$AD$3:$AD$357,77)),"")</f>
        <v/>
      </c>
      <c r="H99">
        <f>IFERROR(INDEX('מלאי'!$T$3:$T$357,SMALL('מלאי'!$AD$3:$AD$357,77)),"")</f>
        <v/>
      </c>
      <c r="I99">
        <f>IFERROR(INDEX('מלאי'!$V$3:$V$357,SMALL('מלאי'!$AD$3:$AD$357,77)),"")</f>
        <v/>
      </c>
      <c r="J99">
        <f>IFERROR(INDEX('מלאי'!$U$3:$U$357,SMALL('מלאי'!$AD$3:$AD$357,77)),"")</f>
        <v/>
      </c>
    </row>
    <row r="100">
      <c r="A100">
        <f>IFERROR(INDEX('מלאי'!$A$3:$A$357,SMALL('מלאי'!$AD$3:$AD$357,78)),"")</f>
        <v/>
      </c>
      <c r="B100">
        <f>IFERROR(INDEX('מלאי'!$B$3:$B$357,SMALL('מלאי'!$AD$3:$AD$357,78)),"")</f>
        <v/>
      </c>
      <c r="C100">
        <f>IFERROR(INDEX('מלאי'!$C$3:$C$357,SMALL('מלאי'!$AD$3:$AD$357,78)),"")</f>
        <v/>
      </c>
      <c r="D100">
        <f>IFERROR(INDEX('מלאי'!$D$3:$D$357,SMALL('מלאי'!$AD$3:$AD$357,78)),"")</f>
        <v/>
      </c>
      <c r="E100">
        <f>IFERROR(INDEX('מלאי'!$H$3:$H$357,SMALL('מלאי'!$AD$3:$AD$357,78)),"")</f>
        <v/>
      </c>
      <c r="F100">
        <f>IFERROR(INDEX('מלאי'!$I$3:$I$357,SMALL('מלאי'!$AD$3:$AD$357,78)),"")</f>
        <v/>
      </c>
      <c r="G100">
        <f>IFERROR(INDEX('מלאי'!$Z$3:$Z$357,SMALL('מלאי'!$AD$3:$AD$357,78)),"")</f>
        <v/>
      </c>
      <c r="H100">
        <f>IFERROR(INDEX('מלאי'!$T$3:$T$357,SMALL('מלאי'!$AD$3:$AD$357,78)),"")</f>
        <v/>
      </c>
      <c r="I100">
        <f>IFERROR(INDEX('מלאי'!$V$3:$V$357,SMALL('מלאי'!$AD$3:$AD$357,78)),"")</f>
        <v/>
      </c>
      <c r="J100">
        <f>IFERROR(INDEX('מלאי'!$U$3:$U$357,SMALL('מלאי'!$AD$3:$AD$357,78)),"")</f>
        <v/>
      </c>
    </row>
    <row r="101">
      <c r="A101">
        <f>IFERROR(INDEX('מלאי'!$A$3:$A$357,SMALL('מלאי'!$AD$3:$AD$357,79)),"")</f>
        <v/>
      </c>
      <c r="B101">
        <f>IFERROR(INDEX('מלאי'!$B$3:$B$357,SMALL('מלאי'!$AD$3:$AD$357,79)),"")</f>
        <v/>
      </c>
      <c r="C101">
        <f>IFERROR(INDEX('מלאי'!$C$3:$C$357,SMALL('מלאי'!$AD$3:$AD$357,79)),"")</f>
        <v/>
      </c>
      <c r="D101">
        <f>IFERROR(INDEX('מלאי'!$D$3:$D$357,SMALL('מלאי'!$AD$3:$AD$357,79)),"")</f>
        <v/>
      </c>
      <c r="E101">
        <f>IFERROR(INDEX('מלאי'!$H$3:$H$357,SMALL('מלאי'!$AD$3:$AD$357,79)),"")</f>
        <v/>
      </c>
      <c r="F101">
        <f>IFERROR(INDEX('מלאי'!$I$3:$I$357,SMALL('מלאי'!$AD$3:$AD$357,79)),"")</f>
        <v/>
      </c>
      <c r="G101">
        <f>IFERROR(INDEX('מלאי'!$Z$3:$Z$357,SMALL('מלאי'!$AD$3:$AD$357,79)),"")</f>
        <v/>
      </c>
      <c r="H101">
        <f>IFERROR(INDEX('מלאי'!$T$3:$T$357,SMALL('מלאי'!$AD$3:$AD$357,79)),"")</f>
        <v/>
      </c>
      <c r="I101">
        <f>IFERROR(INDEX('מלאי'!$V$3:$V$357,SMALL('מלאי'!$AD$3:$AD$357,79)),"")</f>
        <v/>
      </c>
      <c r="J101">
        <f>IFERROR(INDEX('מלאי'!$U$3:$U$357,SMALL('מלאי'!$AD$3:$AD$357,79)),"")</f>
        <v/>
      </c>
    </row>
    <row r="102">
      <c r="A102">
        <f>IFERROR(INDEX('מלאי'!$A$3:$A$357,SMALL('מלאי'!$AD$3:$AD$357,80)),"")</f>
        <v/>
      </c>
      <c r="B102">
        <f>IFERROR(INDEX('מלאי'!$B$3:$B$357,SMALL('מלאי'!$AD$3:$AD$357,80)),"")</f>
        <v/>
      </c>
      <c r="C102">
        <f>IFERROR(INDEX('מלאי'!$C$3:$C$357,SMALL('מלאי'!$AD$3:$AD$357,80)),"")</f>
        <v/>
      </c>
      <c r="D102">
        <f>IFERROR(INDEX('מלאי'!$D$3:$D$357,SMALL('מלאי'!$AD$3:$AD$357,80)),"")</f>
        <v/>
      </c>
      <c r="E102">
        <f>IFERROR(INDEX('מלאי'!$H$3:$H$357,SMALL('מלאי'!$AD$3:$AD$357,80)),"")</f>
        <v/>
      </c>
      <c r="F102">
        <f>IFERROR(INDEX('מלאי'!$I$3:$I$357,SMALL('מלאי'!$AD$3:$AD$357,80)),"")</f>
        <v/>
      </c>
      <c r="G102">
        <f>IFERROR(INDEX('מלאי'!$Z$3:$Z$357,SMALL('מלאי'!$AD$3:$AD$357,80)),"")</f>
        <v/>
      </c>
      <c r="H102">
        <f>IFERROR(INDEX('מלאי'!$T$3:$T$357,SMALL('מלאי'!$AD$3:$AD$357,80)),"")</f>
        <v/>
      </c>
      <c r="I102">
        <f>IFERROR(INDEX('מלאי'!$V$3:$V$357,SMALL('מלאי'!$AD$3:$AD$357,80)),"")</f>
        <v/>
      </c>
      <c r="J102">
        <f>IFERROR(INDEX('מלאי'!$U$3:$U$357,SMALL('מלאי'!$AD$3:$AD$357,80)),"")</f>
        <v/>
      </c>
    </row>
    <row r="103">
      <c r="A103">
        <f>IFERROR(INDEX('מלאי'!$A$3:$A$357,SMALL('מלאי'!$AD$3:$AD$357,81)),"")</f>
        <v/>
      </c>
      <c r="B103">
        <f>IFERROR(INDEX('מלאי'!$B$3:$B$357,SMALL('מלאי'!$AD$3:$AD$357,81)),"")</f>
        <v/>
      </c>
      <c r="C103">
        <f>IFERROR(INDEX('מלאי'!$C$3:$C$357,SMALL('מלאי'!$AD$3:$AD$357,81)),"")</f>
        <v/>
      </c>
      <c r="D103">
        <f>IFERROR(INDEX('מלאי'!$D$3:$D$357,SMALL('מלאי'!$AD$3:$AD$357,81)),"")</f>
        <v/>
      </c>
      <c r="E103">
        <f>IFERROR(INDEX('מלאי'!$H$3:$H$357,SMALL('מלאי'!$AD$3:$AD$357,81)),"")</f>
        <v/>
      </c>
      <c r="F103">
        <f>IFERROR(INDEX('מלאי'!$I$3:$I$357,SMALL('מלאי'!$AD$3:$AD$357,81)),"")</f>
        <v/>
      </c>
      <c r="G103">
        <f>IFERROR(INDEX('מלאי'!$Z$3:$Z$357,SMALL('מלאי'!$AD$3:$AD$357,81)),"")</f>
        <v/>
      </c>
      <c r="H103">
        <f>IFERROR(INDEX('מלאי'!$T$3:$T$357,SMALL('מלאי'!$AD$3:$AD$357,81)),"")</f>
        <v/>
      </c>
      <c r="I103">
        <f>IFERROR(INDEX('מלאי'!$V$3:$V$357,SMALL('מלאי'!$AD$3:$AD$357,81)),"")</f>
        <v/>
      </c>
      <c r="J103">
        <f>IFERROR(INDEX('מלאי'!$U$3:$U$357,SMALL('מלאי'!$AD$3:$AD$357,81)),"")</f>
        <v/>
      </c>
    </row>
    <row r="104">
      <c r="A104">
        <f>IFERROR(INDEX('מלאי'!$A$3:$A$357,SMALL('מלאי'!$AD$3:$AD$357,82)),"")</f>
        <v/>
      </c>
      <c r="B104">
        <f>IFERROR(INDEX('מלאי'!$B$3:$B$357,SMALL('מלאי'!$AD$3:$AD$357,82)),"")</f>
        <v/>
      </c>
      <c r="C104">
        <f>IFERROR(INDEX('מלאי'!$C$3:$C$357,SMALL('מלאי'!$AD$3:$AD$357,82)),"")</f>
        <v/>
      </c>
      <c r="D104">
        <f>IFERROR(INDEX('מלאי'!$D$3:$D$357,SMALL('מלאי'!$AD$3:$AD$357,82)),"")</f>
        <v/>
      </c>
      <c r="E104">
        <f>IFERROR(INDEX('מלאי'!$H$3:$H$357,SMALL('מלאי'!$AD$3:$AD$357,82)),"")</f>
        <v/>
      </c>
      <c r="F104">
        <f>IFERROR(INDEX('מלאי'!$I$3:$I$357,SMALL('מלאי'!$AD$3:$AD$357,82)),"")</f>
        <v/>
      </c>
      <c r="G104">
        <f>IFERROR(INDEX('מלאי'!$Z$3:$Z$357,SMALL('מלאי'!$AD$3:$AD$357,82)),"")</f>
        <v/>
      </c>
      <c r="H104">
        <f>IFERROR(INDEX('מלאי'!$T$3:$T$357,SMALL('מלאי'!$AD$3:$AD$357,82)),"")</f>
        <v/>
      </c>
      <c r="I104">
        <f>IFERROR(INDEX('מלאי'!$V$3:$V$357,SMALL('מלאי'!$AD$3:$AD$357,82)),"")</f>
        <v/>
      </c>
      <c r="J104">
        <f>IFERROR(INDEX('מלאי'!$U$3:$U$357,SMALL('מלאי'!$AD$3:$AD$357,82)),"")</f>
        <v/>
      </c>
    </row>
    <row r="105">
      <c r="A105">
        <f>IFERROR(INDEX('מלאי'!$A$3:$A$357,SMALL('מלאי'!$AD$3:$AD$357,83)),"")</f>
        <v/>
      </c>
      <c r="B105">
        <f>IFERROR(INDEX('מלאי'!$B$3:$B$357,SMALL('מלאי'!$AD$3:$AD$357,83)),"")</f>
        <v/>
      </c>
      <c r="C105">
        <f>IFERROR(INDEX('מלאי'!$C$3:$C$357,SMALL('מלאי'!$AD$3:$AD$357,83)),"")</f>
        <v/>
      </c>
      <c r="D105">
        <f>IFERROR(INDEX('מלאי'!$D$3:$D$357,SMALL('מלאי'!$AD$3:$AD$357,83)),"")</f>
        <v/>
      </c>
      <c r="E105">
        <f>IFERROR(INDEX('מלאי'!$H$3:$H$357,SMALL('מלאי'!$AD$3:$AD$357,83)),"")</f>
        <v/>
      </c>
      <c r="F105">
        <f>IFERROR(INDEX('מלאי'!$I$3:$I$357,SMALL('מלאי'!$AD$3:$AD$357,83)),"")</f>
        <v/>
      </c>
      <c r="G105">
        <f>IFERROR(INDEX('מלאי'!$Z$3:$Z$357,SMALL('מלאי'!$AD$3:$AD$357,83)),"")</f>
        <v/>
      </c>
      <c r="H105">
        <f>IFERROR(INDEX('מלאי'!$T$3:$T$357,SMALL('מלאי'!$AD$3:$AD$357,83)),"")</f>
        <v/>
      </c>
      <c r="I105">
        <f>IFERROR(INDEX('מלאי'!$V$3:$V$357,SMALL('מלאי'!$AD$3:$AD$357,83)),"")</f>
        <v/>
      </c>
      <c r="J105">
        <f>IFERROR(INDEX('מלאי'!$U$3:$U$357,SMALL('מלאי'!$AD$3:$AD$357,83)),"")</f>
        <v/>
      </c>
    </row>
    <row r="106">
      <c r="A106">
        <f>IFERROR(INDEX('מלאי'!$A$3:$A$357,SMALL('מלאי'!$AD$3:$AD$357,84)),"")</f>
        <v/>
      </c>
      <c r="B106">
        <f>IFERROR(INDEX('מלאי'!$B$3:$B$357,SMALL('מלאי'!$AD$3:$AD$357,84)),"")</f>
        <v/>
      </c>
      <c r="C106">
        <f>IFERROR(INDEX('מלאי'!$C$3:$C$357,SMALL('מלאי'!$AD$3:$AD$357,84)),"")</f>
        <v/>
      </c>
      <c r="D106">
        <f>IFERROR(INDEX('מלאי'!$D$3:$D$357,SMALL('מלאי'!$AD$3:$AD$357,84)),"")</f>
        <v/>
      </c>
      <c r="E106">
        <f>IFERROR(INDEX('מלאי'!$H$3:$H$357,SMALL('מלאי'!$AD$3:$AD$357,84)),"")</f>
        <v/>
      </c>
      <c r="F106">
        <f>IFERROR(INDEX('מלאי'!$I$3:$I$357,SMALL('מלאי'!$AD$3:$AD$357,84)),"")</f>
        <v/>
      </c>
      <c r="G106">
        <f>IFERROR(INDEX('מלאי'!$Z$3:$Z$357,SMALL('מלאי'!$AD$3:$AD$357,84)),"")</f>
        <v/>
      </c>
      <c r="H106">
        <f>IFERROR(INDEX('מלאי'!$T$3:$T$357,SMALL('מלאי'!$AD$3:$AD$357,84)),"")</f>
        <v/>
      </c>
      <c r="I106">
        <f>IFERROR(INDEX('מלאי'!$V$3:$V$357,SMALL('מלאי'!$AD$3:$AD$357,84)),"")</f>
        <v/>
      </c>
      <c r="J106">
        <f>IFERROR(INDEX('מלאי'!$U$3:$U$357,SMALL('מלאי'!$AD$3:$AD$357,84)),"")</f>
        <v/>
      </c>
    </row>
    <row r="107">
      <c r="A107">
        <f>IFERROR(INDEX('מלאי'!$A$3:$A$357,SMALL('מלאי'!$AD$3:$AD$357,85)),"")</f>
        <v/>
      </c>
      <c r="B107">
        <f>IFERROR(INDEX('מלאי'!$B$3:$B$357,SMALL('מלאי'!$AD$3:$AD$357,85)),"")</f>
        <v/>
      </c>
      <c r="C107">
        <f>IFERROR(INDEX('מלאי'!$C$3:$C$357,SMALL('מלאי'!$AD$3:$AD$357,85)),"")</f>
        <v/>
      </c>
      <c r="D107">
        <f>IFERROR(INDEX('מלאי'!$D$3:$D$357,SMALL('מלאי'!$AD$3:$AD$357,85)),"")</f>
        <v/>
      </c>
      <c r="E107">
        <f>IFERROR(INDEX('מלאי'!$H$3:$H$357,SMALL('מלאי'!$AD$3:$AD$357,85)),"")</f>
        <v/>
      </c>
      <c r="F107">
        <f>IFERROR(INDEX('מלאי'!$I$3:$I$357,SMALL('מלאי'!$AD$3:$AD$357,85)),"")</f>
        <v/>
      </c>
      <c r="G107">
        <f>IFERROR(INDEX('מלאי'!$Z$3:$Z$357,SMALL('מלאי'!$AD$3:$AD$357,85)),"")</f>
        <v/>
      </c>
      <c r="H107">
        <f>IFERROR(INDEX('מלאי'!$T$3:$T$357,SMALL('מלאי'!$AD$3:$AD$357,85)),"")</f>
        <v/>
      </c>
      <c r="I107">
        <f>IFERROR(INDEX('מלאי'!$V$3:$V$357,SMALL('מלאי'!$AD$3:$AD$357,85)),"")</f>
        <v/>
      </c>
      <c r="J107">
        <f>IFERROR(INDEX('מלאי'!$U$3:$U$357,SMALL('מלאי'!$AD$3:$AD$357,85)),"")</f>
        <v/>
      </c>
    </row>
    <row r="108">
      <c r="A108">
        <f>IFERROR(INDEX('מלאי'!$A$3:$A$357,SMALL('מלאי'!$AD$3:$AD$357,86)),"")</f>
        <v/>
      </c>
      <c r="B108">
        <f>IFERROR(INDEX('מלאי'!$B$3:$B$357,SMALL('מלאי'!$AD$3:$AD$357,86)),"")</f>
        <v/>
      </c>
      <c r="C108">
        <f>IFERROR(INDEX('מלאי'!$C$3:$C$357,SMALL('מלאי'!$AD$3:$AD$357,86)),"")</f>
        <v/>
      </c>
      <c r="D108">
        <f>IFERROR(INDEX('מלאי'!$D$3:$D$357,SMALL('מלאי'!$AD$3:$AD$357,86)),"")</f>
        <v/>
      </c>
      <c r="E108">
        <f>IFERROR(INDEX('מלאי'!$H$3:$H$357,SMALL('מלאי'!$AD$3:$AD$357,86)),"")</f>
        <v/>
      </c>
      <c r="F108">
        <f>IFERROR(INDEX('מלאי'!$I$3:$I$357,SMALL('מלאי'!$AD$3:$AD$357,86)),"")</f>
        <v/>
      </c>
      <c r="G108">
        <f>IFERROR(INDEX('מלאי'!$Z$3:$Z$357,SMALL('מלאי'!$AD$3:$AD$357,86)),"")</f>
        <v/>
      </c>
      <c r="H108">
        <f>IFERROR(INDEX('מלאי'!$T$3:$T$357,SMALL('מלאי'!$AD$3:$AD$357,86)),"")</f>
        <v/>
      </c>
      <c r="I108">
        <f>IFERROR(INDEX('מלאי'!$V$3:$V$357,SMALL('מלאי'!$AD$3:$AD$357,86)),"")</f>
        <v/>
      </c>
      <c r="J108">
        <f>IFERROR(INDEX('מלאי'!$U$3:$U$357,SMALL('מלאי'!$AD$3:$AD$357,86)),"")</f>
        <v/>
      </c>
    </row>
    <row r="109">
      <c r="A109">
        <f>IFERROR(INDEX('מלאי'!$A$3:$A$357,SMALL('מלאי'!$AD$3:$AD$357,87)),"")</f>
        <v/>
      </c>
      <c r="B109">
        <f>IFERROR(INDEX('מלאי'!$B$3:$B$357,SMALL('מלאי'!$AD$3:$AD$357,87)),"")</f>
        <v/>
      </c>
      <c r="C109">
        <f>IFERROR(INDEX('מלאי'!$C$3:$C$357,SMALL('מלאי'!$AD$3:$AD$357,87)),"")</f>
        <v/>
      </c>
      <c r="D109">
        <f>IFERROR(INDEX('מלאי'!$D$3:$D$357,SMALL('מלאי'!$AD$3:$AD$357,87)),"")</f>
        <v/>
      </c>
      <c r="E109">
        <f>IFERROR(INDEX('מלאי'!$H$3:$H$357,SMALL('מלאי'!$AD$3:$AD$357,87)),"")</f>
        <v/>
      </c>
      <c r="F109">
        <f>IFERROR(INDEX('מלאי'!$I$3:$I$357,SMALL('מלאי'!$AD$3:$AD$357,87)),"")</f>
        <v/>
      </c>
      <c r="G109">
        <f>IFERROR(INDEX('מלאי'!$Z$3:$Z$357,SMALL('מלאי'!$AD$3:$AD$357,87)),"")</f>
        <v/>
      </c>
      <c r="H109">
        <f>IFERROR(INDEX('מלאי'!$T$3:$T$357,SMALL('מלאי'!$AD$3:$AD$357,87)),"")</f>
        <v/>
      </c>
      <c r="I109">
        <f>IFERROR(INDEX('מלאי'!$V$3:$V$357,SMALL('מלאי'!$AD$3:$AD$357,87)),"")</f>
        <v/>
      </c>
      <c r="J109">
        <f>IFERROR(INDEX('מלאי'!$U$3:$U$357,SMALL('מלאי'!$AD$3:$AD$357,87)),"")</f>
        <v/>
      </c>
    </row>
    <row r="110">
      <c r="A110">
        <f>IFERROR(INDEX('מלאי'!$A$3:$A$357,SMALL('מלאי'!$AD$3:$AD$357,88)),"")</f>
        <v/>
      </c>
      <c r="B110">
        <f>IFERROR(INDEX('מלאי'!$B$3:$B$357,SMALL('מלאי'!$AD$3:$AD$357,88)),"")</f>
        <v/>
      </c>
      <c r="C110">
        <f>IFERROR(INDEX('מלאי'!$C$3:$C$357,SMALL('מלאי'!$AD$3:$AD$357,88)),"")</f>
        <v/>
      </c>
      <c r="D110">
        <f>IFERROR(INDEX('מלאי'!$D$3:$D$357,SMALL('מלאי'!$AD$3:$AD$357,88)),"")</f>
        <v/>
      </c>
      <c r="E110">
        <f>IFERROR(INDEX('מלאי'!$H$3:$H$357,SMALL('מלאי'!$AD$3:$AD$357,88)),"")</f>
        <v/>
      </c>
      <c r="F110">
        <f>IFERROR(INDEX('מלאי'!$I$3:$I$357,SMALL('מלאי'!$AD$3:$AD$357,88)),"")</f>
        <v/>
      </c>
      <c r="G110">
        <f>IFERROR(INDEX('מלאי'!$Z$3:$Z$357,SMALL('מלאי'!$AD$3:$AD$357,88)),"")</f>
        <v/>
      </c>
      <c r="H110">
        <f>IFERROR(INDEX('מלאי'!$T$3:$T$357,SMALL('מלאי'!$AD$3:$AD$357,88)),"")</f>
        <v/>
      </c>
      <c r="I110">
        <f>IFERROR(INDEX('מלאי'!$V$3:$V$357,SMALL('מלאי'!$AD$3:$AD$357,88)),"")</f>
        <v/>
      </c>
      <c r="J110">
        <f>IFERROR(INDEX('מלאי'!$U$3:$U$357,SMALL('מלאי'!$AD$3:$AD$357,88)),"")</f>
        <v/>
      </c>
    </row>
    <row r="111">
      <c r="A111">
        <f>IFERROR(INDEX('מלאי'!$A$3:$A$357,SMALL('מלאי'!$AD$3:$AD$357,89)),"")</f>
        <v/>
      </c>
      <c r="B111">
        <f>IFERROR(INDEX('מלאי'!$B$3:$B$357,SMALL('מלאי'!$AD$3:$AD$357,89)),"")</f>
        <v/>
      </c>
      <c r="C111">
        <f>IFERROR(INDEX('מלאי'!$C$3:$C$357,SMALL('מלאי'!$AD$3:$AD$357,89)),"")</f>
        <v/>
      </c>
      <c r="D111">
        <f>IFERROR(INDEX('מלאי'!$D$3:$D$357,SMALL('מלאי'!$AD$3:$AD$357,89)),"")</f>
        <v/>
      </c>
      <c r="E111">
        <f>IFERROR(INDEX('מלאי'!$H$3:$H$357,SMALL('מלאי'!$AD$3:$AD$357,89)),"")</f>
        <v/>
      </c>
      <c r="F111">
        <f>IFERROR(INDEX('מלאי'!$I$3:$I$357,SMALL('מלאי'!$AD$3:$AD$357,89)),"")</f>
        <v/>
      </c>
      <c r="G111">
        <f>IFERROR(INDEX('מלאי'!$Z$3:$Z$357,SMALL('מלאי'!$AD$3:$AD$357,89)),"")</f>
        <v/>
      </c>
      <c r="H111">
        <f>IFERROR(INDEX('מלאי'!$T$3:$T$357,SMALL('מלאי'!$AD$3:$AD$357,89)),"")</f>
        <v/>
      </c>
      <c r="I111">
        <f>IFERROR(INDEX('מלאי'!$V$3:$V$357,SMALL('מלאי'!$AD$3:$AD$357,89)),"")</f>
        <v/>
      </c>
      <c r="J111">
        <f>IFERROR(INDEX('מלאי'!$U$3:$U$357,SMALL('מלאי'!$AD$3:$AD$357,89)),"")</f>
        <v/>
      </c>
    </row>
    <row r="112">
      <c r="A112">
        <f>IFERROR(INDEX('מלאי'!$A$3:$A$357,SMALL('מלאי'!$AD$3:$AD$357,90)),"")</f>
        <v/>
      </c>
      <c r="B112">
        <f>IFERROR(INDEX('מלאי'!$B$3:$B$357,SMALL('מלאי'!$AD$3:$AD$357,90)),"")</f>
        <v/>
      </c>
      <c r="C112">
        <f>IFERROR(INDEX('מלאי'!$C$3:$C$357,SMALL('מלאי'!$AD$3:$AD$357,90)),"")</f>
        <v/>
      </c>
      <c r="D112">
        <f>IFERROR(INDEX('מלאי'!$D$3:$D$357,SMALL('מלאי'!$AD$3:$AD$357,90)),"")</f>
        <v/>
      </c>
      <c r="E112">
        <f>IFERROR(INDEX('מלאי'!$H$3:$H$357,SMALL('מלאי'!$AD$3:$AD$357,90)),"")</f>
        <v/>
      </c>
      <c r="F112">
        <f>IFERROR(INDEX('מלאי'!$I$3:$I$357,SMALL('מלאי'!$AD$3:$AD$357,90)),"")</f>
        <v/>
      </c>
      <c r="G112">
        <f>IFERROR(INDEX('מלאי'!$Z$3:$Z$357,SMALL('מלאי'!$AD$3:$AD$357,90)),"")</f>
        <v/>
      </c>
      <c r="H112">
        <f>IFERROR(INDEX('מלאי'!$T$3:$T$357,SMALL('מלאי'!$AD$3:$AD$357,90)),"")</f>
        <v/>
      </c>
      <c r="I112">
        <f>IFERROR(INDEX('מלאי'!$V$3:$V$357,SMALL('מלאי'!$AD$3:$AD$357,90)),"")</f>
        <v/>
      </c>
      <c r="J112">
        <f>IFERROR(INDEX('מלאי'!$U$3:$U$357,SMALL('מלאי'!$AD$3:$AD$357,90)),"")</f>
        <v/>
      </c>
    </row>
    <row r="113">
      <c r="A113">
        <f>IFERROR(INDEX('מלאי'!$A$3:$A$357,SMALL('מלאי'!$AD$3:$AD$357,91)),"")</f>
        <v/>
      </c>
      <c r="B113">
        <f>IFERROR(INDEX('מלאי'!$B$3:$B$357,SMALL('מלאי'!$AD$3:$AD$357,91)),"")</f>
        <v/>
      </c>
      <c r="C113">
        <f>IFERROR(INDEX('מלאי'!$C$3:$C$357,SMALL('מלאי'!$AD$3:$AD$357,91)),"")</f>
        <v/>
      </c>
      <c r="D113">
        <f>IFERROR(INDEX('מלאי'!$D$3:$D$357,SMALL('מלאי'!$AD$3:$AD$357,91)),"")</f>
        <v/>
      </c>
      <c r="E113">
        <f>IFERROR(INDEX('מלאי'!$H$3:$H$357,SMALL('מלאי'!$AD$3:$AD$357,91)),"")</f>
        <v/>
      </c>
      <c r="F113">
        <f>IFERROR(INDEX('מלאי'!$I$3:$I$357,SMALL('מלאי'!$AD$3:$AD$357,91)),"")</f>
        <v/>
      </c>
      <c r="G113">
        <f>IFERROR(INDEX('מלאי'!$Z$3:$Z$357,SMALL('מלאי'!$AD$3:$AD$357,91)),"")</f>
        <v/>
      </c>
      <c r="H113">
        <f>IFERROR(INDEX('מלאי'!$T$3:$T$357,SMALL('מלאי'!$AD$3:$AD$357,91)),"")</f>
        <v/>
      </c>
      <c r="I113">
        <f>IFERROR(INDEX('מלאי'!$V$3:$V$357,SMALL('מלאי'!$AD$3:$AD$357,91)),"")</f>
        <v/>
      </c>
      <c r="J113">
        <f>IFERROR(INDEX('מלאי'!$U$3:$U$357,SMALL('מלאי'!$AD$3:$AD$357,91)),"")</f>
        <v/>
      </c>
    </row>
    <row r="114">
      <c r="A114">
        <f>IFERROR(INDEX('מלאי'!$A$3:$A$357,SMALL('מלאי'!$AD$3:$AD$357,92)),"")</f>
        <v/>
      </c>
      <c r="B114">
        <f>IFERROR(INDEX('מלאי'!$B$3:$B$357,SMALL('מלאי'!$AD$3:$AD$357,92)),"")</f>
        <v/>
      </c>
      <c r="C114">
        <f>IFERROR(INDEX('מלאי'!$C$3:$C$357,SMALL('מלאי'!$AD$3:$AD$357,92)),"")</f>
        <v/>
      </c>
      <c r="D114">
        <f>IFERROR(INDEX('מלאי'!$D$3:$D$357,SMALL('מלאי'!$AD$3:$AD$357,92)),"")</f>
        <v/>
      </c>
      <c r="E114">
        <f>IFERROR(INDEX('מלאי'!$H$3:$H$357,SMALL('מלאי'!$AD$3:$AD$357,92)),"")</f>
        <v/>
      </c>
      <c r="F114">
        <f>IFERROR(INDEX('מלאי'!$I$3:$I$357,SMALL('מלאי'!$AD$3:$AD$357,92)),"")</f>
        <v/>
      </c>
      <c r="G114">
        <f>IFERROR(INDEX('מלאי'!$Z$3:$Z$357,SMALL('מלאי'!$AD$3:$AD$357,92)),"")</f>
        <v/>
      </c>
      <c r="H114">
        <f>IFERROR(INDEX('מלאי'!$T$3:$T$357,SMALL('מלאי'!$AD$3:$AD$357,92)),"")</f>
        <v/>
      </c>
      <c r="I114">
        <f>IFERROR(INDEX('מלאי'!$V$3:$V$357,SMALL('מלאי'!$AD$3:$AD$357,92)),"")</f>
        <v/>
      </c>
      <c r="J114">
        <f>IFERROR(INDEX('מלאי'!$U$3:$U$357,SMALL('מלאי'!$AD$3:$AD$357,92)),"")</f>
        <v/>
      </c>
    </row>
    <row r="115">
      <c r="A115">
        <f>IFERROR(INDEX('מלאי'!$A$3:$A$357,SMALL('מלאי'!$AD$3:$AD$357,93)),"")</f>
        <v/>
      </c>
      <c r="B115">
        <f>IFERROR(INDEX('מלאי'!$B$3:$B$357,SMALL('מלאי'!$AD$3:$AD$357,93)),"")</f>
        <v/>
      </c>
      <c r="C115">
        <f>IFERROR(INDEX('מלאי'!$C$3:$C$357,SMALL('מלאי'!$AD$3:$AD$357,93)),"")</f>
        <v/>
      </c>
      <c r="D115">
        <f>IFERROR(INDEX('מלאי'!$D$3:$D$357,SMALL('מלאי'!$AD$3:$AD$357,93)),"")</f>
        <v/>
      </c>
      <c r="E115">
        <f>IFERROR(INDEX('מלאי'!$H$3:$H$357,SMALL('מלאי'!$AD$3:$AD$357,93)),"")</f>
        <v/>
      </c>
      <c r="F115">
        <f>IFERROR(INDEX('מלאי'!$I$3:$I$357,SMALL('מלאי'!$AD$3:$AD$357,93)),"")</f>
        <v/>
      </c>
      <c r="G115">
        <f>IFERROR(INDEX('מלאי'!$Z$3:$Z$357,SMALL('מלאי'!$AD$3:$AD$357,93)),"")</f>
        <v/>
      </c>
      <c r="H115">
        <f>IFERROR(INDEX('מלאי'!$T$3:$T$357,SMALL('מלאי'!$AD$3:$AD$357,93)),"")</f>
        <v/>
      </c>
      <c r="I115">
        <f>IFERROR(INDEX('מלאי'!$V$3:$V$357,SMALL('מלאי'!$AD$3:$AD$357,93)),"")</f>
        <v/>
      </c>
      <c r="J115">
        <f>IFERROR(INDEX('מלאי'!$U$3:$U$357,SMALL('מלאי'!$AD$3:$AD$357,93)),"")</f>
        <v/>
      </c>
    </row>
    <row r="116">
      <c r="A116">
        <f>IFERROR(INDEX('מלאי'!$A$3:$A$357,SMALL('מלאי'!$AD$3:$AD$357,94)),"")</f>
        <v/>
      </c>
      <c r="B116">
        <f>IFERROR(INDEX('מלאי'!$B$3:$B$357,SMALL('מלאי'!$AD$3:$AD$357,94)),"")</f>
        <v/>
      </c>
      <c r="C116">
        <f>IFERROR(INDEX('מלאי'!$C$3:$C$357,SMALL('מלאי'!$AD$3:$AD$357,94)),"")</f>
        <v/>
      </c>
      <c r="D116">
        <f>IFERROR(INDEX('מלאי'!$D$3:$D$357,SMALL('מלאי'!$AD$3:$AD$357,94)),"")</f>
        <v/>
      </c>
      <c r="E116">
        <f>IFERROR(INDEX('מלאי'!$H$3:$H$357,SMALL('מלאי'!$AD$3:$AD$357,94)),"")</f>
        <v/>
      </c>
      <c r="F116">
        <f>IFERROR(INDEX('מלאי'!$I$3:$I$357,SMALL('מלאי'!$AD$3:$AD$357,94)),"")</f>
        <v/>
      </c>
      <c r="G116">
        <f>IFERROR(INDEX('מלאי'!$Z$3:$Z$357,SMALL('מלאי'!$AD$3:$AD$357,94)),"")</f>
        <v/>
      </c>
      <c r="H116">
        <f>IFERROR(INDEX('מלאי'!$T$3:$T$357,SMALL('מלאי'!$AD$3:$AD$357,94)),"")</f>
        <v/>
      </c>
      <c r="I116">
        <f>IFERROR(INDEX('מלאי'!$V$3:$V$357,SMALL('מלאי'!$AD$3:$AD$357,94)),"")</f>
        <v/>
      </c>
      <c r="J116">
        <f>IFERROR(INDEX('מלאי'!$U$3:$U$357,SMALL('מלאי'!$AD$3:$AD$357,94)),"")</f>
        <v/>
      </c>
    </row>
    <row r="117">
      <c r="A117">
        <f>IFERROR(INDEX('מלאי'!$A$3:$A$357,SMALL('מלאי'!$AD$3:$AD$357,95)),"")</f>
        <v/>
      </c>
      <c r="B117">
        <f>IFERROR(INDEX('מלאי'!$B$3:$B$357,SMALL('מלאי'!$AD$3:$AD$357,95)),"")</f>
        <v/>
      </c>
      <c r="C117">
        <f>IFERROR(INDEX('מלאי'!$C$3:$C$357,SMALL('מלאי'!$AD$3:$AD$357,95)),"")</f>
        <v/>
      </c>
      <c r="D117">
        <f>IFERROR(INDEX('מלאי'!$D$3:$D$357,SMALL('מלאי'!$AD$3:$AD$357,95)),"")</f>
        <v/>
      </c>
      <c r="E117">
        <f>IFERROR(INDEX('מלאי'!$H$3:$H$357,SMALL('מלאי'!$AD$3:$AD$357,95)),"")</f>
        <v/>
      </c>
      <c r="F117">
        <f>IFERROR(INDEX('מלאי'!$I$3:$I$357,SMALL('מלאי'!$AD$3:$AD$357,95)),"")</f>
        <v/>
      </c>
      <c r="G117">
        <f>IFERROR(INDEX('מלאי'!$Z$3:$Z$357,SMALL('מלאי'!$AD$3:$AD$357,95)),"")</f>
        <v/>
      </c>
      <c r="H117">
        <f>IFERROR(INDEX('מלאי'!$T$3:$T$357,SMALL('מלאי'!$AD$3:$AD$357,95)),"")</f>
        <v/>
      </c>
      <c r="I117">
        <f>IFERROR(INDEX('מלאי'!$V$3:$V$357,SMALL('מלאי'!$AD$3:$AD$357,95)),"")</f>
        <v/>
      </c>
      <c r="J117">
        <f>IFERROR(INDEX('מלאי'!$U$3:$U$357,SMALL('מלאי'!$AD$3:$AD$357,95)),"")</f>
        <v/>
      </c>
    </row>
    <row r="118">
      <c r="A118">
        <f>IFERROR(INDEX('מלאי'!$A$3:$A$357,SMALL('מלאי'!$AD$3:$AD$357,96)),"")</f>
        <v/>
      </c>
      <c r="B118">
        <f>IFERROR(INDEX('מלאי'!$B$3:$B$357,SMALL('מלאי'!$AD$3:$AD$357,96)),"")</f>
        <v/>
      </c>
      <c r="C118">
        <f>IFERROR(INDEX('מלאי'!$C$3:$C$357,SMALL('מלאי'!$AD$3:$AD$357,96)),"")</f>
        <v/>
      </c>
      <c r="D118">
        <f>IFERROR(INDEX('מלאי'!$D$3:$D$357,SMALL('מלאי'!$AD$3:$AD$357,96)),"")</f>
        <v/>
      </c>
      <c r="E118">
        <f>IFERROR(INDEX('מלאי'!$H$3:$H$357,SMALL('מלאי'!$AD$3:$AD$357,96)),"")</f>
        <v/>
      </c>
      <c r="F118">
        <f>IFERROR(INDEX('מלאי'!$I$3:$I$357,SMALL('מלאי'!$AD$3:$AD$357,96)),"")</f>
        <v/>
      </c>
      <c r="G118">
        <f>IFERROR(INDEX('מלאי'!$Z$3:$Z$357,SMALL('מלאי'!$AD$3:$AD$357,96)),"")</f>
        <v/>
      </c>
      <c r="H118">
        <f>IFERROR(INDEX('מלאי'!$T$3:$T$357,SMALL('מלאי'!$AD$3:$AD$357,96)),"")</f>
        <v/>
      </c>
      <c r="I118">
        <f>IFERROR(INDEX('מלאי'!$V$3:$V$357,SMALL('מלאי'!$AD$3:$AD$357,96)),"")</f>
        <v/>
      </c>
      <c r="J118">
        <f>IFERROR(INDEX('מלאי'!$U$3:$U$357,SMALL('מלאי'!$AD$3:$AD$357,96)),"")</f>
        <v/>
      </c>
    </row>
    <row r="119">
      <c r="A119">
        <f>IFERROR(INDEX('מלאי'!$A$3:$A$357,SMALL('מלאי'!$AD$3:$AD$357,97)),"")</f>
        <v/>
      </c>
      <c r="B119">
        <f>IFERROR(INDEX('מלאי'!$B$3:$B$357,SMALL('מלאי'!$AD$3:$AD$357,97)),"")</f>
        <v/>
      </c>
      <c r="C119">
        <f>IFERROR(INDEX('מלאי'!$C$3:$C$357,SMALL('מלאי'!$AD$3:$AD$357,97)),"")</f>
        <v/>
      </c>
      <c r="D119">
        <f>IFERROR(INDEX('מלאי'!$D$3:$D$357,SMALL('מלאי'!$AD$3:$AD$357,97)),"")</f>
        <v/>
      </c>
      <c r="E119">
        <f>IFERROR(INDEX('מלאי'!$H$3:$H$357,SMALL('מלאי'!$AD$3:$AD$357,97)),"")</f>
        <v/>
      </c>
      <c r="F119">
        <f>IFERROR(INDEX('מלאי'!$I$3:$I$357,SMALL('מלאי'!$AD$3:$AD$357,97)),"")</f>
        <v/>
      </c>
      <c r="G119">
        <f>IFERROR(INDEX('מלאי'!$Z$3:$Z$357,SMALL('מלאי'!$AD$3:$AD$357,97)),"")</f>
        <v/>
      </c>
      <c r="H119">
        <f>IFERROR(INDEX('מלאי'!$T$3:$T$357,SMALL('מלאי'!$AD$3:$AD$357,97)),"")</f>
        <v/>
      </c>
      <c r="I119">
        <f>IFERROR(INDEX('מלאי'!$V$3:$V$357,SMALL('מלאי'!$AD$3:$AD$357,97)),"")</f>
        <v/>
      </c>
      <c r="J119">
        <f>IFERROR(INDEX('מלאי'!$U$3:$U$357,SMALL('מלאי'!$AD$3:$AD$357,97)),"")</f>
        <v/>
      </c>
    </row>
    <row r="120">
      <c r="A120">
        <f>IFERROR(INDEX('מלאי'!$A$3:$A$357,SMALL('מלאי'!$AD$3:$AD$357,98)),"")</f>
        <v/>
      </c>
      <c r="B120">
        <f>IFERROR(INDEX('מלאי'!$B$3:$B$357,SMALL('מלאי'!$AD$3:$AD$357,98)),"")</f>
        <v/>
      </c>
      <c r="C120">
        <f>IFERROR(INDEX('מלאי'!$C$3:$C$357,SMALL('מלאי'!$AD$3:$AD$357,98)),"")</f>
        <v/>
      </c>
      <c r="D120">
        <f>IFERROR(INDEX('מלאי'!$D$3:$D$357,SMALL('מלאי'!$AD$3:$AD$357,98)),"")</f>
        <v/>
      </c>
      <c r="E120">
        <f>IFERROR(INDEX('מלאי'!$H$3:$H$357,SMALL('מלאי'!$AD$3:$AD$357,98)),"")</f>
        <v/>
      </c>
      <c r="F120">
        <f>IFERROR(INDEX('מלאי'!$I$3:$I$357,SMALL('מלאי'!$AD$3:$AD$357,98)),"")</f>
        <v/>
      </c>
      <c r="G120">
        <f>IFERROR(INDEX('מלאי'!$Z$3:$Z$357,SMALL('מלאי'!$AD$3:$AD$357,98)),"")</f>
        <v/>
      </c>
      <c r="H120">
        <f>IFERROR(INDEX('מלאי'!$T$3:$T$357,SMALL('מלאי'!$AD$3:$AD$357,98)),"")</f>
        <v/>
      </c>
      <c r="I120">
        <f>IFERROR(INDEX('מלאי'!$V$3:$V$357,SMALL('מלאי'!$AD$3:$AD$357,98)),"")</f>
        <v/>
      </c>
      <c r="J120">
        <f>IFERROR(INDEX('מלאי'!$U$3:$U$357,SMALL('מלאי'!$AD$3:$AD$357,98)),"")</f>
        <v/>
      </c>
    </row>
    <row r="121">
      <c r="A121">
        <f>IFERROR(INDEX('מלאי'!$A$3:$A$357,SMALL('מלאי'!$AD$3:$AD$357,99)),"")</f>
        <v/>
      </c>
      <c r="B121">
        <f>IFERROR(INDEX('מלאי'!$B$3:$B$357,SMALL('מלאי'!$AD$3:$AD$357,99)),"")</f>
        <v/>
      </c>
      <c r="C121">
        <f>IFERROR(INDEX('מלאי'!$C$3:$C$357,SMALL('מלאי'!$AD$3:$AD$357,99)),"")</f>
        <v/>
      </c>
      <c r="D121">
        <f>IFERROR(INDEX('מלאי'!$D$3:$D$357,SMALL('מלאי'!$AD$3:$AD$357,99)),"")</f>
        <v/>
      </c>
      <c r="E121">
        <f>IFERROR(INDEX('מלאי'!$H$3:$H$357,SMALL('מלאי'!$AD$3:$AD$357,99)),"")</f>
        <v/>
      </c>
      <c r="F121">
        <f>IFERROR(INDEX('מלאי'!$I$3:$I$357,SMALL('מלאי'!$AD$3:$AD$357,99)),"")</f>
        <v/>
      </c>
      <c r="G121">
        <f>IFERROR(INDEX('מלאי'!$Z$3:$Z$357,SMALL('מלאי'!$AD$3:$AD$357,99)),"")</f>
        <v/>
      </c>
      <c r="H121">
        <f>IFERROR(INDEX('מלאי'!$T$3:$T$357,SMALL('מלאי'!$AD$3:$AD$357,99)),"")</f>
        <v/>
      </c>
      <c r="I121">
        <f>IFERROR(INDEX('מלאי'!$V$3:$V$357,SMALL('מלאי'!$AD$3:$AD$357,99)),"")</f>
        <v/>
      </c>
      <c r="J121">
        <f>IFERROR(INDEX('מלאי'!$U$3:$U$357,SMALL('מלאי'!$AD$3:$AD$357,99)),"")</f>
        <v/>
      </c>
    </row>
    <row r="122">
      <c r="A122">
        <f>IFERROR(INDEX('מלאי'!$A$3:$A$357,SMALL('מלאי'!$AD$3:$AD$357,100)),"")</f>
        <v/>
      </c>
      <c r="B122">
        <f>IFERROR(INDEX('מלאי'!$B$3:$B$357,SMALL('מלאי'!$AD$3:$AD$357,100)),"")</f>
        <v/>
      </c>
      <c r="C122">
        <f>IFERROR(INDEX('מלאי'!$C$3:$C$357,SMALL('מלאי'!$AD$3:$AD$357,100)),"")</f>
        <v/>
      </c>
      <c r="D122">
        <f>IFERROR(INDEX('מלאי'!$D$3:$D$357,SMALL('מלאי'!$AD$3:$AD$357,100)),"")</f>
        <v/>
      </c>
      <c r="E122">
        <f>IFERROR(INDEX('מלאי'!$H$3:$H$357,SMALL('מלאי'!$AD$3:$AD$357,100)),"")</f>
        <v/>
      </c>
      <c r="F122">
        <f>IFERROR(INDEX('מלאי'!$I$3:$I$357,SMALL('מלאי'!$AD$3:$AD$357,100)),"")</f>
        <v/>
      </c>
      <c r="G122">
        <f>IFERROR(INDEX('מלאי'!$Z$3:$Z$357,SMALL('מלאי'!$AD$3:$AD$357,100)),"")</f>
        <v/>
      </c>
      <c r="H122">
        <f>IFERROR(INDEX('מלאי'!$T$3:$T$357,SMALL('מלאי'!$AD$3:$AD$357,100)),"")</f>
        <v/>
      </c>
      <c r="I122">
        <f>IFERROR(INDEX('מלאי'!$V$3:$V$357,SMALL('מלאי'!$AD$3:$AD$357,100)),"")</f>
        <v/>
      </c>
      <c r="J122">
        <f>IFERROR(INDEX('מלאי'!$U$3:$U$357,SMALL('מלאי'!$AD$3:$AD$357,100)),"")</f>
        <v/>
      </c>
    </row>
    <row r="123">
      <c r="A123">
        <f>IFERROR(INDEX('מלאי'!$A$3:$A$357,SMALL('מלאי'!$AD$3:$AD$357,101)),"")</f>
        <v/>
      </c>
      <c r="B123">
        <f>IFERROR(INDEX('מלאי'!$B$3:$B$357,SMALL('מלאי'!$AD$3:$AD$357,101)),"")</f>
        <v/>
      </c>
      <c r="C123">
        <f>IFERROR(INDEX('מלאי'!$C$3:$C$357,SMALL('מלאי'!$AD$3:$AD$357,101)),"")</f>
        <v/>
      </c>
      <c r="D123">
        <f>IFERROR(INDEX('מלאי'!$D$3:$D$357,SMALL('מלאי'!$AD$3:$AD$357,101)),"")</f>
        <v/>
      </c>
      <c r="E123">
        <f>IFERROR(INDEX('מלאי'!$H$3:$H$357,SMALL('מלאי'!$AD$3:$AD$357,101)),"")</f>
        <v/>
      </c>
      <c r="F123">
        <f>IFERROR(INDEX('מלאי'!$I$3:$I$357,SMALL('מלאי'!$AD$3:$AD$357,101)),"")</f>
        <v/>
      </c>
      <c r="G123">
        <f>IFERROR(INDEX('מלאי'!$Z$3:$Z$357,SMALL('מלאי'!$AD$3:$AD$357,101)),"")</f>
        <v/>
      </c>
      <c r="H123">
        <f>IFERROR(INDEX('מלאי'!$T$3:$T$357,SMALL('מלאי'!$AD$3:$AD$357,101)),"")</f>
        <v/>
      </c>
      <c r="I123">
        <f>IFERROR(INDEX('מלאי'!$V$3:$V$357,SMALL('מלאי'!$AD$3:$AD$357,101)),"")</f>
        <v/>
      </c>
      <c r="J123">
        <f>IFERROR(INDEX('מלאי'!$U$3:$U$357,SMALL('מלאי'!$AD$3:$AD$357,101)),"")</f>
        <v/>
      </c>
    </row>
    <row r="124">
      <c r="A124">
        <f>IFERROR(INDEX('מלאי'!$A$3:$A$357,SMALL('מלאי'!$AD$3:$AD$357,102)),"")</f>
        <v/>
      </c>
      <c r="B124">
        <f>IFERROR(INDEX('מלאי'!$B$3:$B$357,SMALL('מלאי'!$AD$3:$AD$357,102)),"")</f>
        <v/>
      </c>
      <c r="C124">
        <f>IFERROR(INDEX('מלאי'!$C$3:$C$357,SMALL('מלאי'!$AD$3:$AD$357,102)),"")</f>
        <v/>
      </c>
      <c r="D124">
        <f>IFERROR(INDEX('מלאי'!$D$3:$D$357,SMALL('מלאי'!$AD$3:$AD$357,102)),"")</f>
        <v/>
      </c>
      <c r="E124">
        <f>IFERROR(INDEX('מלאי'!$H$3:$H$357,SMALL('מלאי'!$AD$3:$AD$357,102)),"")</f>
        <v/>
      </c>
      <c r="F124">
        <f>IFERROR(INDEX('מלאי'!$I$3:$I$357,SMALL('מלאי'!$AD$3:$AD$357,102)),"")</f>
        <v/>
      </c>
      <c r="G124">
        <f>IFERROR(INDEX('מלאי'!$Z$3:$Z$357,SMALL('מלאי'!$AD$3:$AD$357,102)),"")</f>
        <v/>
      </c>
      <c r="H124">
        <f>IFERROR(INDEX('מלאי'!$T$3:$T$357,SMALL('מלאי'!$AD$3:$AD$357,102)),"")</f>
        <v/>
      </c>
      <c r="I124">
        <f>IFERROR(INDEX('מלאי'!$V$3:$V$357,SMALL('מלאי'!$AD$3:$AD$357,102)),"")</f>
        <v/>
      </c>
      <c r="J124">
        <f>IFERROR(INDEX('מלאי'!$U$3:$U$357,SMALL('מלאי'!$AD$3:$AD$357,102)),"")</f>
        <v/>
      </c>
    </row>
    <row r="125">
      <c r="A125">
        <f>IFERROR(INDEX('מלאי'!$A$3:$A$357,SMALL('מלאי'!$AD$3:$AD$357,103)),"")</f>
        <v/>
      </c>
      <c r="B125">
        <f>IFERROR(INDEX('מלאי'!$B$3:$B$357,SMALL('מלאי'!$AD$3:$AD$357,103)),"")</f>
        <v/>
      </c>
      <c r="C125">
        <f>IFERROR(INDEX('מלאי'!$C$3:$C$357,SMALL('מלאי'!$AD$3:$AD$357,103)),"")</f>
        <v/>
      </c>
      <c r="D125">
        <f>IFERROR(INDEX('מלאי'!$D$3:$D$357,SMALL('מלאי'!$AD$3:$AD$357,103)),"")</f>
        <v/>
      </c>
      <c r="E125">
        <f>IFERROR(INDEX('מלאי'!$H$3:$H$357,SMALL('מלאי'!$AD$3:$AD$357,103)),"")</f>
        <v/>
      </c>
      <c r="F125">
        <f>IFERROR(INDEX('מלאי'!$I$3:$I$357,SMALL('מלאי'!$AD$3:$AD$357,103)),"")</f>
        <v/>
      </c>
      <c r="G125">
        <f>IFERROR(INDEX('מלאי'!$Z$3:$Z$357,SMALL('מלאי'!$AD$3:$AD$357,103)),"")</f>
        <v/>
      </c>
      <c r="H125">
        <f>IFERROR(INDEX('מלאי'!$T$3:$T$357,SMALL('מלאי'!$AD$3:$AD$357,103)),"")</f>
        <v/>
      </c>
      <c r="I125">
        <f>IFERROR(INDEX('מלאי'!$V$3:$V$357,SMALL('מלאי'!$AD$3:$AD$357,103)),"")</f>
        <v/>
      </c>
      <c r="J125">
        <f>IFERROR(INDEX('מלאי'!$U$3:$U$357,SMALL('מלאי'!$AD$3:$AD$357,103)),"")</f>
        <v/>
      </c>
    </row>
    <row r="126">
      <c r="A126">
        <f>IFERROR(INDEX('מלאי'!$A$3:$A$357,SMALL('מלאי'!$AD$3:$AD$357,104)),"")</f>
        <v/>
      </c>
      <c r="B126">
        <f>IFERROR(INDEX('מלאי'!$B$3:$B$357,SMALL('מלאי'!$AD$3:$AD$357,104)),"")</f>
        <v/>
      </c>
      <c r="C126">
        <f>IFERROR(INDEX('מלאי'!$C$3:$C$357,SMALL('מלאי'!$AD$3:$AD$357,104)),"")</f>
        <v/>
      </c>
      <c r="D126">
        <f>IFERROR(INDEX('מלאי'!$D$3:$D$357,SMALL('מלאי'!$AD$3:$AD$357,104)),"")</f>
        <v/>
      </c>
      <c r="E126">
        <f>IFERROR(INDEX('מלאי'!$H$3:$H$357,SMALL('מלאי'!$AD$3:$AD$357,104)),"")</f>
        <v/>
      </c>
      <c r="F126">
        <f>IFERROR(INDEX('מלאי'!$I$3:$I$357,SMALL('מלאי'!$AD$3:$AD$357,104)),"")</f>
        <v/>
      </c>
      <c r="G126">
        <f>IFERROR(INDEX('מלאי'!$Z$3:$Z$357,SMALL('מלאי'!$AD$3:$AD$357,104)),"")</f>
        <v/>
      </c>
      <c r="H126">
        <f>IFERROR(INDEX('מלאי'!$T$3:$T$357,SMALL('מלאי'!$AD$3:$AD$357,104)),"")</f>
        <v/>
      </c>
      <c r="I126">
        <f>IFERROR(INDEX('מלאי'!$V$3:$V$357,SMALL('מלאי'!$AD$3:$AD$357,104)),"")</f>
        <v/>
      </c>
      <c r="J126">
        <f>IFERROR(INDEX('מלאי'!$U$3:$U$357,SMALL('מלאי'!$AD$3:$AD$357,104)),"")</f>
        <v/>
      </c>
    </row>
    <row r="127">
      <c r="A127">
        <f>IFERROR(INDEX('מלאי'!$A$3:$A$357,SMALL('מלאי'!$AD$3:$AD$357,105)),"")</f>
        <v/>
      </c>
      <c r="B127">
        <f>IFERROR(INDEX('מלאי'!$B$3:$B$357,SMALL('מלאי'!$AD$3:$AD$357,105)),"")</f>
        <v/>
      </c>
      <c r="C127">
        <f>IFERROR(INDEX('מלאי'!$C$3:$C$357,SMALL('מלאי'!$AD$3:$AD$357,105)),"")</f>
        <v/>
      </c>
      <c r="D127">
        <f>IFERROR(INDEX('מלאי'!$D$3:$D$357,SMALL('מלאי'!$AD$3:$AD$357,105)),"")</f>
        <v/>
      </c>
      <c r="E127">
        <f>IFERROR(INDEX('מלאי'!$H$3:$H$357,SMALL('מלאי'!$AD$3:$AD$357,105)),"")</f>
        <v/>
      </c>
      <c r="F127">
        <f>IFERROR(INDEX('מלאי'!$I$3:$I$357,SMALL('מלאי'!$AD$3:$AD$357,105)),"")</f>
        <v/>
      </c>
      <c r="G127">
        <f>IFERROR(INDEX('מלאי'!$Z$3:$Z$357,SMALL('מלאי'!$AD$3:$AD$357,105)),"")</f>
        <v/>
      </c>
      <c r="H127">
        <f>IFERROR(INDEX('מלאי'!$T$3:$T$357,SMALL('מלאי'!$AD$3:$AD$357,105)),"")</f>
        <v/>
      </c>
      <c r="I127">
        <f>IFERROR(INDEX('מלאי'!$V$3:$V$357,SMALL('מלאי'!$AD$3:$AD$357,105)),"")</f>
        <v/>
      </c>
      <c r="J127">
        <f>IFERROR(INDEX('מלאי'!$U$3:$U$357,SMALL('מלאי'!$AD$3:$AD$357,105)),"")</f>
        <v/>
      </c>
    </row>
    <row r="128">
      <c r="A128">
        <f>IFERROR(INDEX('מלאי'!$A$3:$A$357,SMALL('מלאי'!$AD$3:$AD$357,106)),"")</f>
        <v/>
      </c>
      <c r="B128">
        <f>IFERROR(INDEX('מלאי'!$B$3:$B$357,SMALL('מלאי'!$AD$3:$AD$357,106)),"")</f>
        <v/>
      </c>
      <c r="C128">
        <f>IFERROR(INDEX('מלאי'!$C$3:$C$357,SMALL('מלאי'!$AD$3:$AD$357,106)),"")</f>
        <v/>
      </c>
      <c r="D128">
        <f>IFERROR(INDEX('מלאי'!$D$3:$D$357,SMALL('מלאי'!$AD$3:$AD$357,106)),"")</f>
        <v/>
      </c>
      <c r="E128">
        <f>IFERROR(INDEX('מלאי'!$H$3:$H$357,SMALL('מלאי'!$AD$3:$AD$357,106)),"")</f>
        <v/>
      </c>
      <c r="F128">
        <f>IFERROR(INDEX('מלאי'!$I$3:$I$357,SMALL('מלאי'!$AD$3:$AD$357,106)),"")</f>
        <v/>
      </c>
      <c r="G128">
        <f>IFERROR(INDEX('מלאי'!$Z$3:$Z$357,SMALL('מלאי'!$AD$3:$AD$357,106)),"")</f>
        <v/>
      </c>
      <c r="H128">
        <f>IFERROR(INDEX('מלאי'!$T$3:$T$357,SMALL('מלאי'!$AD$3:$AD$357,106)),"")</f>
        <v/>
      </c>
      <c r="I128">
        <f>IFERROR(INDEX('מלאי'!$V$3:$V$357,SMALL('מלאי'!$AD$3:$AD$357,106)),"")</f>
        <v/>
      </c>
      <c r="J128">
        <f>IFERROR(INDEX('מלאי'!$U$3:$U$357,SMALL('מלאי'!$AD$3:$AD$357,106)),"")</f>
        <v/>
      </c>
    </row>
    <row r="129">
      <c r="A129">
        <f>IFERROR(INDEX('מלאי'!$A$3:$A$357,SMALL('מלאי'!$AD$3:$AD$357,107)),"")</f>
        <v/>
      </c>
      <c r="B129">
        <f>IFERROR(INDEX('מלאי'!$B$3:$B$357,SMALL('מלאי'!$AD$3:$AD$357,107)),"")</f>
        <v/>
      </c>
      <c r="C129">
        <f>IFERROR(INDEX('מלאי'!$C$3:$C$357,SMALL('מלאי'!$AD$3:$AD$357,107)),"")</f>
        <v/>
      </c>
      <c r="D129">
        <f>IFERROR(INDEX('מלאי'!$D$3:$D$357,SMALL('מלאי'!$AD$3:$AD$357,107)),"")</f>
        <v/>
      </c>
      <c r="E129">
        <f>IFERROR(INDEX('מלאי'!$H$3:$H$357,SMALL('מלאי'!$AD$3:$AD$357,107)),"")</f>
        <v/>
      </c>
      <c r="F129">
        <f>IFERROR(INDEX('מלאי'!$I$3:$I$357,SMALL('מלאי'!$AD$3:$AD$357,107)),"")</f>
        <v/>
      </c>
      <c r="G129">
        <f>IFERROR(INDEX('מלאי'!$Z$3:$Z$357,SMALL('מלאי'!$AD$3:$AD$357,107)),"")</f>
        <v/>
      </c>
      <c r="H129">
        <f>IFERROR(INDEX('מלאי'!$T$3:$T$357,SMALL('מלאי'!$AD$3:$AD$357,107)),"")</f>
        <v/>
      </c>
      <c r="I129">
        <f>IFERROR(INDEX('מלאי'!$V$3:$V$357,SMALL('מלאי'!$AD$3:$AD$357,107)),"")</f>
        <v/>
      </c>
      <c r="J129">
        <f>IFERROR(INDEX('מלאי'!$U$3:$U$357,SMALL('מלאי'!$AD$3:$AD$357,107)),"")</f>
        <v/>
      </c>
    </row>
    <row r="130">
      <c r="A130">
        <f>IFERROR(INDEX('מלאי'!$A$3:$A$357,SMALL('מלאי'!$AD$3:$AD$357,108)),"")</f>
        <v/>
      </c>
      <c r="B130">
        <f>IFERROR(INDEX('מלאי'!$B$3:$B$357,SMALL('מלאי'!$AD$3:$AD$357,108)),"")</f>
        <v/>
      </c>
      <c r="C130">
        <f>IFERROR(INDEX('מלאי'!$C$3:$C$357,SMALL('מלאי'!$AD$3:$AD$357,108)),"")</f>
        <v/>
      </c>
      <c r="D130">
        <f>IFERROR(INDEX('מלאי'!$D$3:$D$357,SMALL('מלאי'!$AD$3:$AD$357,108)),"")</f>
        <v/>
      </c>
      <c r="E130">
        <f>IFERROR(INDEX('מלאי'!$H$3:$H$357,SMALL('מלאי'!$AD$3:$AD$357,108)),"")</f>
        <v/>
      </c>
      <c r="F130">
        <f>IFERROR(INDEX('מלאי'!$I$3:$I$357,SMALL('מלאי'!$AD$3:$AD$357,108)),"")</f>
        <v/>
      </c>
      <c r="G130">
        <f>IFERROR(INDEX('מלאי'!$Z$3:$Z$357,SMALL('מלאי'!$AD$3:$AD$357,108)),"")</f>
        <v/>
      </c>
      <c r="H130">
        <f>IFERROR(INDEX('מלאי'!$T$3:$T$357,SMALL('מלאי'!$AD$3:$AD$357,108)),"")</f>
        <v/>
      </c>
      <c r="I130">
        <f>IFERROR(INDEX('מלאי'!$V$3:$V$357,SMALL('מלאי'!$AD$3:$AD$357,108)),"")</f>
        <v/>
      </c>
      <c r="J130">
        <f>IFERROR(INDEX('מלאי'!$U$3:$U$357,SMALL('מלאי'!$AD$3:$AD$357,108)),"")</f>
        <v/>
      </c>
    </row>
    <row r="131">
      <c r="A131">
        <f>IFERROR(INDEX('מלאי'!$A$3:$A$357,SMALL('מלאי'!$AD$3:$AD$357,109)),"")</f>
        <v/>
      </c>
      <c r="B131">
        <f>IFERROR(INDEX('מלאי'!$B$3:$B$357,SMALL('מלאי'!$AD$3:$AD$357,109)),"")</f>
        <v/>
      </c>
      <c r="C131">
        <f>IFERROR(INDEX('מלאי'!$C$3:$C$357,SMALL('מלאי'!$AD$3:$AD$357,109)),"")</f>
        <v/>
      </c>
      <c r="D131">
        <f>IFERROR(INDEX('מלאי'!$D$3:$D$357,SMALL('מלאי'!$AD$3:$AD$357,109)),"")</f>
        <v/>
      </c>
      <c r="E131">
        <f>IFERROR(INDEX('מלאי'!$H$3:$H$357,SMALL('מלאי'!$AD$3:$AD$357,109)),"")</f>
        <v/>
      </c>
      <c r="F131">
        <f>IFERROR(INDEX('מלאי'!$I$3:$I$357,SMALL('מלאי'!$AD$3:$AD$357,109)),"")</f>
        <v/>
      </c>
      <c r="G131">
        <f>IFERROR(INDEX('מלאי'!$Z$3:$Z$357,SMALL('מלאי'!$AD$3:$AD$357,109)),"")</f>
        <v/>
      </c>
      <c r="H131">
        <f>IFERROR(INDEX('מלאי'!$T$3:$T$357,SMALL('מלאי'!$AD$3:$AD$357,109)),"")</f>
        <v/>
      </c>
      <c r="I131">
        <f>IFERROR(INDEX('מלאי'!$V$3:$V$357,SMALL('מלאי'!$AD$3:$AD$357,109)),"")</f>
        <v/>
      </c>
      <c r="J131">
        <f>IFERROR(INDEX('מלאי'!$U$3:$U$357,SMALL('מלאי'!$AD$3:$AD$357,109)),"")</f>
        <v/>
      </c>
    </row>
    <row r="132">
      <c r="A132">
        <f>IFERROR(INDEX('מלאי'!$A$3:$A$357,SMALL('מלאי'!$AD$3:$AD$357,110)),"")</f>
        <v/>
      </c>
      <c r="B132">
        <f>IFERROR(INDEX('מלאי'!$B$3:$B$357,SMALL('מלאי'!$AD$3:$AD$357,110)),"")</f>
        <v/>
      </c>
      <c r="C132">
        <f>IFERROR(INDEX('מלאי'!$C$3:$C$357,SMALL('מלאי'!$AD$3:$AD$357,110)),"")</f>
        <v/>
      </c>
      <c r="D132">
        <f>IFERROR(INDEX('מלאי'!$D$3:$D$357,SMALL('מלאי'!$AD$3:$AD$357,110)),"")</f>
        <v/>
      </c>
      <c r="E132">
        <f>IFERROR(INDEX('מלאי'!$H$3:$H$357,SMALL('מלאי'!$AD$3:$AD$357,110)),"")</f>
        <v/>
      </c>
      <c r="F132">
        <f>IFERROR(INDEX('מלאי'!$I$3:$I$357,SMALL('מלאי'!$AD$3:$AD$357,110)),"")</f>
        <v/>
      </c>
      <c r="G132">
        <f>IFERROR(INDEX('מלאי'!$Z$3:$Z$357,SMALL('מלאי'!$AD$3:$AD$357,110)),"")</f>
        <v/>
      </c>
      <c r="H132">
        <f>IFERROR(INDEX('מלאי'!$T$3:$T$357,SMALL('מלאי'!$AD$3:$AD$357,110)),"")</f>
        <v/>
      </c>
      <c r="I132">
        <f>IFERROR(INDEX('מלאי'!$V$3:$V$357,SMALL('מלאי'!$AD$3:$AD$357,110)),"")</f>
        <v/>
      </c>
      <c r="J132">
        <f>IFERROR(INDEX('מלאי'!$U$3:$U$357,SMALL('מלאי'!$AD$3:$AD$357,110)),"")</f>
        <v/>
      </c>
    </row>
    <row r="133">
      <c r="A133">
        <f>IFERROR(INDEX('מלאי'!$A$3:$A$357,SMALL('מלאי'!$AD$3:$AD$357,111)),"")</f>
        <v/>
      </c>
      <c r="B133">
        <f>IFERROR(INDEX('מלאי'!$B$3:$B$357,SMALL('מלאי'!$AD$3:$AD$357,111)),"")</f>
        <v/>
      </c>
      <c r="C133">
        <f>IFERROR(INDEX('מלאי'!$C$3:$C$357,SMALL('מלאי'!$AD$3:$AD$357,111)),"")</f>
        <v/>
      </c>
      <c r="D133">
        <f>IFERROR(INDEX('מלאי'!$D$3:$D$357,SMALL('מלאי'!$AD$3:$AD$357,111)),"")</f>
        <v/>
      </c>
      <c r="E133">
        <f>IFERROR(INDEX('מלאי'!$H$3:$H$357,SMALL('מלאי'!$AD$3:$AD$357,111)),"")</f>
        <v/>
      </c>
      <c r="F133">
        <f>IFERROR(INDEX('מלאי'!$I$3:$I$357,SMALL('מלאי'!$AD$3:$AD$357,111)),"")</f>
        <v/>
      </c>
      <c r="G133">
        <f>IFERROR(INDEX('מלאי'!$Z$3:$Z$357,SMALL('מלאי'!$AD$3:$AD$357,111)),"")</f>
        <v/>
      </c>
      <c r="H133">
        <f>IFERROR(INDEX('מלאי'!$T$3:$T$357,SMALL('מלאי'!$AD$3:$AD$357,111)),"")</f>
        <v/>
      </c>
      <c r="I133">
        <f>IFERROR(INDEX('מלאי'!$V$3:$V$357,SMALL('מלאי'!$AD$3:$AD$357,111)),"")</f>
        <v/>
      </c>
      <c r="J133">
        <f>IFERROR(INDEX('מלאי'!$U$3:$U$357,SMALL('מלאי'!$AD$3:$AD$357,111)),"")</f>
        <v/>
      </c>
    </row>
    <row r="134">
      <c r="A134">
        <f>IFERROR(INDEX('מלאי'!$A$3:$A$357,SMALL('מלאי'!$AD$3:$AD$357,112)),"")</f>
        <v/>
      </c>
      <c r="B134">
        <f>IFERROR(INDEX('מלאי'!$B$3:$B$357,SMALL('מלאי'!$AD$3:$AD$357,112)),"")</f>
        <v/>
      </c>
      <c r="C134">
        <f>IFERROR(INDEX('מלאי'!$C$3:$C$357,SMALL('מלאי'!$AD$3:$AD$357,112)),"")</f>
        <v/>
      </c>
      <c r="D134">
        <f>IFERROR(INDEX('מלאי'!$D$3:$D$357,SMALL('מלאי'!$AD$3:$AD$357,112)),"")</f>
        <v/>
      </c>
      <c r="E134">
        <f>IFERROR(INDEX('מלאי'!$H$3:$H$357,SMALL('מלאי'!$AD$3:$AD$357,112)),"")</f>
        <v/>
      </c>
      <c r="F134">
        <f>IFERROR(INDEX('מלאי'!$I$3:$I$357,SMALL('מלאי'!$AD$3:$AD$357,112)),"")</f>
        <v/>
      </c>
      <c r="G134">
        <f>IFERROR(INDEX('מלאי'!$Z$3:$Z$357,SMALL('מלאי'!$AD$3:$AD$357,112)),"")</f>
        <v/>
      </c>
      <c r="H134">
        <f>IFERROR(INDEX('מלאי'!$T$3:$T$357,SMALL('מלאי'!$AD$3:$AD$357,112)),"")</f>
        <v/>
      </c>
      <c r="I134">
        <f>IFERROR(INDEX('מלאי'!$V$3:$V$357,SMALL('מלאי'!$AD$3:$AD$357,112)),"")</f>
        <v/>
      </c>
      <c r="J134">
        <f>IFERROR(INDEX('מלאי'!$U$3:$U$357,SMALL('מלאי'!$AD$3:$AD$357,112)),"")</f>
        <v/>
      </c>
    </row>
    <row r="135">
      <c r="A135">
        <f>IFERROR(INDEX('מלאי'!$A$3:$A$357,SMALL('מלאי'!$AD$3:$AD$357,113)),"")</f>
        <v/>
      </c>
      <c r="B135">
        <f>IFERROR(INDEX('מלאי'!$B$3:$B$357,SMALL('מלאי'!$AD$3:$AD$357,113)),"")</f>
        <v/>
      </c>
      <c r="C135">
        <f>IFERROR(INDEX('מלאי'!$C$3:$C$357,SMALL('מלאי'!$AD$3:$AD$357,113)),"")</f>
        <v/>
      </c>
      <c r="D135">
        <f>IFERROR(INDEX('מלאי'!$D$3:$D$357,SMALL('מלאי'!$AD$3:$AD$357,113)),"")</f>
        <v/>
      </c>
      <c r="E135">
        <f>IFERROR(INDEX('מלאי'!$H$3:$H$357,SMALL('מלאי'!$AD$3:$AD$357,113)),"")</f>
        <v/>
      </c>
      <c r="F135">
        <f>IFERROR(INDEX('מלאי'!$I$3:$I$357,SMALL('מלאי'!$AD$3:$AD$357,113)),"")</f>
        <v/>
      </c>
      <c r="G135">
        <f>IFERROR(INDEX('מלאי'!$Z$3:$Z$357,SMALL('מלאי'!$AD$3:$AD$357,113)),"")</f>
        <v/>
      </c>
      <c r="H135">
        <f>IFERROR(INDEX('מלאי'!$T$3:$T$357,SMALL('מלאי'!$AD$3:$AD$357,113)),"")</f>
        <v/>
      </c>
      <c r="I135">
        <f>IFERROR(INDEX('מלאי'!$V$3:$V$357,SMALL('מלאי'!$AD$3:$AD$357,113)),"")</f>
        <v/>
      </c>
      <c r="J135">
        <f>IFERROR(INDEX('מלאי'!$U$3:$U$357,SMALL('מלאי'!$AD$3:$AD$357,113)),"")</f>
        <v/>
      </c>
    </row>
    <row r="136">
      <c r="A136">
        <f>IFERROR(INDEX('מלאי'!$A$3:$A$357,SMALL('מלאי'!$AD$3:$AD$357,114)),"")</f>
        <v/>
      </c>
      <c r="B136">
        <f>IFERROR(INDEX('מלאי'!$B$3:$B$357,SMALL('מלאי'!$AD$3:$AD$357,114)),"")</f>
        <v/>
      </c>
      <c r="C136">
        <f>IFERROR(INDEX('מלאי'!$C$3:$C$357,SMALL('מלאי'!$AD$3:$AD$357,114)),"")</f>
        <v/>
      </c>
      <c r="D136">
        <f>IFERROR(INDEX('מלאי'!$D$3:$D$357,SMALL('מלאי'!$AD$3:$AD$357,114)),"")</f>
        <v/>
      </c>
      <c r="E136">
        <f>IFERROR(INDEX('מלאי'!$H$3:$H$357,SMALL('מלאי'!$AD$3:$AD$357,114)),"")</f>
        <v/>
      </c>
      <c r="F136">
        <f>IFERROR(INDEX('מלאי'!$I$3:$I$357,SMALL('מלאי'!$AD$3:$AD$357,114)),"")</f>
        <v/>
      </c>
      <c r="G136">
        <f>IFERROR(INDEX('מלאי'!$Z$3:$Z$357,SMALL('מלאי'!$AD$3:$AD$357,114)),"")</f>
        <v/>
      </c>
      <c r="H136">
        <f>IFERROR(INDEX('מלאי'!$T$3:$T$357,SMALL('מלאי'!$AD$3:$AD$357,114)),"")</f>
        <v/>
      </c>
      <c r="I136">
        <f>IFERROR(INDEX('מלאי'!$V$3:$V$357,SMALL('מלאי'!$AD$3:$AD$357,114)),"")</f>
        <v/>
      </c>
      <c r="J136">
        <f>IFERROR(INDEX('מלאי'!$U$3:$U$357,SMALL('מלאי'!$AD$3:$AD$357,114)),"")</f>
        <v/>
      </c>
    </row>
    <row r="137">
      <c r="A137">
        <f>IFERROR(INDEX('מלאי'!$A$3:$A$357,SMALL('מלאי'!$AD$3:$AD$357,115)),"")</f>
        <v/>
      </c>
      <c r="B137">
        <f>IFERROR(INDEX('מלאי'!$B$3:$B$357,SMALL('מלאי'!$AD$3:$AD$357,115)),"")</f>
        <v/>
      </c>
      <c r="C137">
        <f>IFERROR(INDEX('מלאי'!$C$3:$C$357,SMALL('מלאי'!$AD$3:$AD$357,115)),"")</f>
        <v/>
      </c>
      <c r="D137">
        <f>IFERROR(INDEX('מלאי'!$D$3:$D$357,SMALL('מלאי'!$AD$3:$AD$357,115)),"")</f>
        <v/>
      </c>
      <c r="E137">
        <f>IFERROR(INDEX('מלאי'!$H$3:$H$357,SMALL('מלאי'!$AD$3:$AD$357,115)),"")</f>
        <v/>
      </c>
      <c r="F137">
        <f>IFERROR(INDEX('מלאי'!$I$3:$I$357,SMALL('מלאי'!$AD$3:$AD$357,115)),"")</f>
        <v/>
      </c>
      <c r="G137">
        <f>IFERROR(INDEX('מלאי'!$Z$3:$Z$357,SMALL('מלאי'!$AD$3:$AD$357,115)),"")</f>
        <v/>
      </c>
      <c r="H137">
        <f>IFERROR(INDEX('מלאי'!$T$3:$T$357,SMALL('מלאי'!$AD$3:$AD$357,115)),"")</f>
        <v/>
      </c>
      <c r="I137">
        <f>IFERROR(INDEX('מלאי'!$V$3:$V$357,SMALL('מלאי'!$AD$3:$AD$357,115)),"")</f>
        <v/>
      </c>
      <c r="J137">
        <f>IFERROR(INDEX('מלאי'!$U$3:$U$357,SMALL('מלאי'!$AD$3:$AD$357,115)),"")</f>
        <v/>
      </c>
    </row>
    <row r="138">
      <c r="A138">
        <f>IFERROR(INDEX('מלאי'!$A$3:$A$357,SMALL('מלאי'!$AD$3:$AD$357,116)),"")</f>
        <v/>
      </c>
      <c r="B138">
        <f>IFERROR(INDEX('מלאי'!$B$3:$B$357,SMALL('מלאי'!$AD$3:$AD$357,116)),"")</f>
        <v/>
      </c>
      <c r="C138">
        <f>IFERROR(INDEX('מלאי'!$C$3:$C$357,SMALL('מלאי'!$AD$3:$AD$357,116)),"")</f>
        <v/>
      </c>
      <c r="D138">
        <f>IFERROR(INDEX('מלאי'!$D$3:$D$357,SMALL('מלאי'!$AD$3:$AD$357,116)),"")</f>
        <v/>
      </c>
      <c r="E138">
        <f>IFERROR(INDEX('מלאי'!$H$3:$H$357,SMALL('מלאי'!$AD$3:$AD$357,116)),"")</f>
        <v/>
      </c>
      <c r="F138">
        <f>IFERROR(INDEX('מלאי'!$I$3:$I$357,SMALL('מלאי'!$AD$3:$AD$357,116)),"")</f>
        <v/>
      </c>
      <c r="G138">
        <f>IFERROR(INDEX('מלאי'!$Z$3:$Z$357,SMALL('מלאי'!$AD$3:$AD$357,116)),"")</f>
        <v/>
      </c>
      <c r="H138">
        <f>IFERROR(INDEX('מלאי'!$T$3:$T$357,SMALL('מלאי'!$AD$3:$AD$357,116)),"")</f>
        <v/>
      </c>
      <c r="I138">
        <f>IFERROR(INDEX('מלאי'!$V$3:$V$357,SMALL('מלאי'!$AD$3:$AD$357,116)),"")</f>
        <v/>
      </c>
      <c r="J138">
        <f>IFERROR(INDEX('מלאי'!$U$3:$U$357,SMALL('מלאי'!$AD$3:$AD$357,116)),"")</f>
        <v/>
      </c>
    </row>
    <row r="139">
      <c r="A139">
        <f>IFERROR(INDEX('מלאי'!$A$3:$A$357,SMALL('מלאי'!$AD$3:$AD$357,117)),"")</f>
        <v/>
      </c>
      <c r="B139">
        <f>IFERROR(INDEX('מלאי'!$B$3:$B$357,SMALL('מלאי'!$AD$3:$AD$357,117)),"")</f>
        <v/>
      </c>
      <c r="C139">
        <f>IFERROR(INDEX('מלאי'!$C$3:$C$357,SMALL('מלאי'!$AD$3:$AD$357,117)),"")</f>
        <v/>
      </c>
      <c r="D139">
        <f>IFERROR(INDEX('מלאי'!$D$3:$D$357,SMALL('מלאי'!$AD$3:$AD$357,117)),"")</f>
        <v/>
      </c>
      <c r="E139">
        <f>IFERROR(INDEX('מלאי'!$H$3:$H$357,SMALL('מלאי'!$AD$3:$AD$357,117)),"")</f>
        <v/>
      </c>
      <c r="F139">
        <f>IFERROR(INDEX('מלאי'!$I$3:$I$357,SMALL('מלאי'!$AD$3:$AD$357,117)),"")</f>
        <v/>
      </c>
      <c r="G139">
        <f>IFERROR(INDEX('מלאי'!$Z$3:$Z$357,SMALL('מלאי'!$AD$3:$AD$357,117)),"")</f>
        <v/>
      </c>
      <c r="H139">
        <f>IFERROR(INDEX('מלאי'!$T$3:$T$357,SMALL('מלאי'!$AD$3:$AD$357,117)),"")</f>
        <v/>
      </c>
      <c r="I139">
        <f>IFERROR(INDEX('מלאי'!$V$3:$V$357,SMALL('מלאי'!$AD$3:$AD$357,117)),"")</f>
        <v/>
      </c>
      <c r="J139">
        <f>IFERROR(INDEX('מלאי'!$U$3:$U$357,SMALL('מלאי'!$AD$3:$AD$357,117)),"")</f>
        <v/>
      </c>
    </row>
    <row r="140">
      <c r="A140">
        <f>IFERROR(INDEX('מלאי'!$A$3:$A$357,SMALL('מלאי'!$AD$3:$AD$357,118)),"")</f>
        <v/>
      </c>
      <c r="B140">
        <f>IFERROR(INDEX('מלאי'!$B$3:$B$357,SMALL('מלאי'!$AD$3:$AD$357,118)),"")</f>
        <v/>
      </c>
      <c r="C140">
        <f>IFERROR(INDEX('מלאי'!$C$3:$C$357,SMALL('מלאי'!$AD$3:$AD$357,118)),"")</f>
        <v/>
      </c>
      <c r="D140">
        <f>IFERROR(INDEX('מלאי'!$D$3:$D$357,SMALL('מלאי'!$AD$3:$AD$357,118)),"")</f>
        <v/>
      </c>
      <c r="E140">
        <f>IFERROR(INDEX('מלאי'!$H$3:$H$357,SMALL('מלאי'!$AD$3:$AD$357,118)),"")</f>
        <v/>
      </c>
      <c r="F140">
        <f>IFERROR(INDEX('מלאי'!$I$3:$I$357,SMALL('מלאי'!$AD$3:$AD$357,118)),"")</f>
        <v/>
      </c>
      <c r="G140">
        <f>IFERROR(INDEX('מלאי'!$Z$3:$Z$357,SMALL('מלאי'!$AD$3:$AD$357,118)),"")</f>
        <v/>
      </c>
      <c r="H140">
        <f>IFERROR(INDEX('מלאי'!$T$3:$T$357,SMALL('מלאי'!$AD$3:$AD$357,118)),"")</f>
        <v/>
      </c>
      <c r="I140">
        <f>IFERROR(INDEX('מלאי'!$V$3:$V$357,SMALL('מלאי'!$AD$3:$AD$357,118)),"")</f>
        <v/>
      </c>
      <c r="J140">
        <f>IFERROR(INDEX('מלאי'!$U$3:$U$357,SMALL('מלאי'!$AD$3:$AD$357,118)),"")</f>
        <v/>
      </c>
    </row>
    <row r="141">
      <c r="A141">
        <f>IFERROR(INDEX('מלאי'!$A$3:$A$357,SMALL('מלאי'!$AD$3:$AD$357,119)),"")</f>
        <v/>
      </c>
      <c r="B141">
        <f>IFERROR(INDEX('מלאי'!$B$3:$B$357,SMALL('מלאי'!$AD$3:$AD$357,119)),"")</f>
        <v/>
      </c>
      <c r="C141">
        <f>IFERROR(INDEX('מלאי'!$C$3:$C$357,SMALL('מלאי'!$AD$3:$AD$357,119)),"")</f>
        <v/>
      </c>
      <c r="D141">
        <f>IFERROR(INDEX('מלאי'!$D$3:$D$357,SMALL('מלאי'!$AD$3:$AD$357,119)),"")</f>
        <v/>
      </c>
      <c r="E141">
        <f>IFERROR(INDEX('מלאי'!$H$3:$H$357,SMALL('מלאי'!$AD$3:$AD$357,119)),"")</f>
        <v/>
      </c>
      <c r="F141">
        <f>IFERROR(INDEX('מלאי'!$I$3:$I$357,SMALL('מלאי'!$AD$3:$AD$357,119)),"")</f>
        <v/>
      </c>
      <c r="G141">
        <f>IFERROR(INDEX('מלאי'!$Z$3:$Z$357,SMALL('מלאי'!$AD$3:$AD$357,119)),"")</f>
        <v/>
      </c>
      <c r="H141">
        <f>IFERROR(INDEX('מלאי'!$T$3:$T$357,SMALL('מלאי'!$AD$3:$AD$357,119)),"")</f>
        <v/>
      </c>
      <c r="I141">
        <f>IFERROR(INDEX('מלאי'!$V$3:$V$357,SMALL('מלאי'!$AD$3:$AD$357,119)),"")</f>
        <v/>
      </c>
      <c r="J141">
        <f>IFERROR(INDEX('מלאי'!$U$3:$U$357,SMALL('מלאי'!$AD$3:$AD$357,119)),"")</f>
        <v/>
      </c>
    </row>
    <row r="142">
      <c r="A142">
        <f>IFERROR(INDEX('מלאי'!$A$3:$A$357,SMALL('מלאי'!$AD$3:$AD$357,120)),"")</f>
        <v/>
      </c>
      <c r="B142">
        <f>IFERROR(INDEX('מלאי'!$B$3:$B$357,SMALL('מלאי'!$AD$3:$AD$357,120)),"")</f>
        <v/>
      </c>
      <c r="C142">
        <f>IFERROR(INDEX('מלאי'!$C$3:$C$357,SMALL('מלאי'!$AD$3:$AD$357,120)),"")</f>
        <v/>
      </c>
      <c r="D142">
        <f>IFERROR(INDEX('מלאי'!$D$3:$D$357,SMALL('מלאי'!$AD$3:$AD$357,120)),"")</f>
        <v/>
      </c>
      <c r="E142">
        <f>IFERROR(INDEX('מלאי'!$H$3:$H$357,SMALL('מלאי'!$AD$3:$AD$357,120)),"")</f>
        <v/>
      </c>
      <c r="F142">
        <f>IFERROR(INDEX('מלאי'!$I$3:$I$357,SMALL('מלאי'!$AD$3:$AD$357,120)),"")</f>
        <v/>
      </c>
      <c r="G142">
        <f>IFERROR(INDEX('מלאי'!$Z$3:$Z$357,SMALL('מלאי'!$AD$3:$AD$357,120)),"")</f>
        <v/>
      </c>
      <c r="H142">
        <f>IFERROR(INDEX('מלאי'!$T$3:$T$357,SMALL('מלאי'!$AD$3:$AD$357,120)),"")</f>
        <v/>
      </c>
      <c r="I142">
        <f>IFERROR(INDEX('מלאי'!$V$3:$V$357,SMALL('מלאי'!$AD$3:$AD$357,120)),"")</f>
        <v/>
      </c>
      <c r="J142">
        <f>IFERROR(INDEX('מלאי'!$U$3:$U$357,SMALL('מלאי'!$AD$3:$AD$357,120)),"")</f>
        <v/>
      </c>
    </row>
    <row r="143">
      <c r="A143">
        <f>IFERROR(INDEX('מלאי'!$A$3:$A$357,SMALL('מלאי'!$AD$3:$AD$357,121)),"")</f>
        <v/>
      </c>
      <c r="B143">
        <f>IFERROR(INDEX('מלאי'!$B$3:$B$357,SMALL('מלאי'!$AD$3:$AD$357,121)),"")</f>
        <v/>
      </c>
      <c r="C143">
        <f>IFERROR(INDEX('מלאי'!$C$3:$C$357,SMALL('מלאי'!$AD$3:$AD$357,121)),"")</f>
        <v/>
      </c>
      <c r="D143">
        <f>IFERROR(INDEX('מלאי'!$D$3:$D$357,SMALL('מלאי'!$AD$3:$AD$357,121)),"")</f>
        <v/>
      </c>
      <c r="E143">
        <f>IFERROR(INDEX('מלאי'!$H$3:$H$357,SMALL('מלאי'!$AD$3:$AD$357,121)),"")</f>
        <v/>
      </c>
      <c r="F143">
        <f>IFERROR(INDEX('מלאי'!$I$3:$I$357,SMALL('מלאי'!$AD$3:$AD$357,121)),"")</f>
        <v/>
      </c>
      <c r="G143">
        <f>IFERROR(INDEX('מלאי'!$Z$3:$Z$357,SMALL('מלאי'!$AD$3:$AD$357,121)),"")</f>
        <v/>
      </c>
      <c r="H143">
        <f>IFERROR(INDEX('מלאי'!$T$3:$T$357,SMALL('מלאי'!$AD$3:$AD$357,121)),"")</f>
        <v/>
      </c>
      <c r="I143">
        <f>IFERROR(INDEX('מלאי'!$V$3:$V$357,SMALL('מלאי'!$AD$3:$AD$357,121)),"")</f>
        <v/>
      </c>
      <c r="J143">
        <f>IFERROR(INDEX('מלאי'!$U$3:$U$357,SMALL('מלאי'!$AD$3:$AD$357,121)),"")</f>
        <v/>
      </c>
    </row>
    <row r="144">
      <c r="A144">
        <f>IFERROR(INDEX('מלאי'!$A$3:$A$357,SMALL('מלאי'!$AD$3:$AD$357,122)),"")</f>
        <v/>
      </c>
      <c r="B144">
        <f>IFERROR(INDEX('מלאי'!$B$3:$B$357,SMALL('מלאי'!$AD$3:$AD$357,122)),"")</f>
        <v/>
      </c>
      <c r="C144">
        <f>IFERROR(INDEX('מלאי'!$C$3:$C$357,SMALL('מלאי'!$AD$3:$AD$357,122)),"")</f>
        <v/>
      </c>
      <c r="D144">
        <f>IFERROR(INDEX('מלאי'!$D$3:$D$357,SMALL('מלאי'!$AD$3:$AD$357,122)),"")</f>
        <v/>
      </c>
      <c r="E144">
        <f>IFERROR(INDEX('מלאי'!$H$3:$H$357,SMALL('מלאי'!$AD$3:$AD$357,122)),"")</f>
        <v/>
      </c>
      <c r="F144">
        <f>IFERROR(INDEX('מלאי'!$I$3:$I$357,SMALL('מלאי'!$AD$3:$AD$357,122)),"")</f>
        <v/>
      </c>
      <c r="G144">
        <f>IFERROR(INDEX('מלאי'!$Z$3:$Z$357,SMALL('מלאי'!$AD$3:$AD$357,122)),"")</f>
        <v/>
      </c>
      <c r="H144">
        <f>IFERROR(INDEX('מלאי'!$T$3:$T$357,SMALL('מלאי'!$AD$3:$AD$357,122)),"")</f>
        <v/>
      </c>
      <c r="I144">
        <f>IFERROR(INDEX('מלאי'!$V$3:$V$357,SMALL('מלאי'!$AD$3:$AD$357,122)),"")</f>
        <v/>
      </c>
      <c r="J144">
        <f>IFERROR(INDEX('מלאי'!$U$3:$U$357,SMALL('מלאי'!$AD$3:$AD$357,122)),"")</f>
        <v/>
      </c>
    </row>
    <row r="145">
      <c r="A145">
        <f>IFERROR(INDEX('מלאי'!$A$3:$A$357,SMALL('מלאי'!$AD$3:$AD$357,123)),"")</f>
        <v/>
      </c>
      <c r="B145">
        <f>IFERROR(INDEX('מלאי'!$B$3:$B$357,SMALL('מלאי'!$AD$3:$AD$357,123)),"")</f>
        <v/>
      </c>
      <c r="C145">
        <f>IFERROR(INDEX('מלאי'!$C$3:$C$357,SMALL('מלאי'!$AD$3:$AD$357,123)),"")</f>
        <v/>
      </c>
      <c r="D145">
        <f>IFERROR(INDEX('מלאי'!$D$3:$D$357,SMALL('מלאי'!$AD$3:$AD$357,123)),"")</f>
        <v/>
      </c>
      <c r="E145">
        <f>IFERROR(INDEX('מלאי'!$H$3:$H$357,SMALL('מלאי'!$AD$3:$AD$357,123)),"")</f>
        <v/>
      </c>
      <c r="F145">
        <f>IFERROR(INDEX('מלאי'!$I$3:$I$357,SMALL('מלאי'!$AD$3:$AD$357,123)),"")</f>
        <v/>
      </c>
      <c r="G145">
        <f>IFERROR(INDEX('מלאי'!$Z$3:$Z$357,SMALL('מלאי'!$AD$3:$AD$357,123)),"")</f>
        <v/>
      </c>
      <c r="H145">
        <f>IFERROR(INDEX('מלאי'!$T$3:$T$357,SMALL('מלאי'!$AD$3:$AD$357,123)),"")</f>
        <v/>
      </c>
      <c r="I145">
        <f>IFERROR(INDEX('מלאי'!$V$3:$V$357,SMALL('מלאי'!$AD$3:$AD$357,123)),"")</f>
        <v/>
      </c>
      <c r="J145">
        <f>IFERROR(INDEX('מלאי'!$U$3:$U$357,SMALL('מלאי'!$AD$3:$AD$357,123)),"")</f>
        <v/>
      </c>
    </row>
    <row r="146">
      <c r="A146">
        <f>IFERROR(INDEX('מלאי'!$A$3:$A$357,SMALL('מלאי'!$AD$3:$AD$357,124)),"")</f>
        <v/>
      </c>
      <c r="B146">
        <f>IFERROR(INDEX('מלאי'!$B$3:$B$357,SMALL('מלאי'!$AD$3:$AD$357,124)),"")</f>
        <v/>
      </c>
      <c r="C146">
        <f>IFERROR(INDEX('מלאי'!$C$3:$C$357,SMALL('מלאי'!$AD$3:$AD$357,124)),"")</f>
        <v/>
      </c>
      <c r="D146">
        <f>IFERROR(INDEX('מלאי'!$D$3:$D$357,SMALL('מלאי'!$AD$3:$AD$357,124)),"")</f>
        <v/>
      </c>
      <c r="E146">
        <f>IFERROR(INDEX('מלאי'!$H$3:$H$357,SMALL('מלאי'!$AD$3:$AD$357,124)),"")</f>
        <v/>
      </c>
      <c r="F146">
        <f>IFERROR(INDEX('מלאי'!$I$3:$I$357,SMALL('מלאי'!$AD$3:$AD$357,124)),"")</f>
        <v/>
      </c>
      <c r="G146">
        <f>IFERROR(INDEX('מלאי'!$Z$3:$Z$357,SMALL('מלאי'!$AD$3:$AD$357,124)),"")</f>
        <v/>
      </c>
      <c r="H146">
        <f>IFERROR(INDEX('מלאי'!$T$3:$T$357,SMALL('מלאי'!$AD$3:$AD$357,124)),"")</f>
        <v/>
      </c>
      <c r="I146">
        <f>IFERROR(INDEX('מלאי'!$V$3:$V$357,SMALL('מלאי'!$AD$3:$AD$357,124)),"")</f>
        <v/>
      </c>
      <c r="J146">
        <f>IFERROR(INDEX('מלאי'!$U$3:$U$357,SMALL('מלאי'!$AD$3:$AD$357,124)),"")</f>
        <v/>
      </c>
    </row>
    <row r="147">
      <c r="A147">
        <f>IFERROR(INDEX('מלאי'!$A$3:$A$357,SMALL('מלאי'!$AD$3:$AD$357,125)),"")</f>
        <v/>
      </c>
      <c r="B147">
        <f>IFERROR(INDEX('מלאי'!$B$3:$B$357,SMALL('מלאי'!$AD$3:$AD$357,125)),"")</f>
        <v/>
      </c>
      <c r="C147">
        <f>IFERROR(INDEX('מלאי'!$C$3:$C$357,SMALL('מלאי'!$AD$3:$AD$357,125)),"")</f>
        <v/>
      </c>
      <c r="D147">
        <f>IFERROR(INDEX('מלאי'!$D$3:$D$357,SMALL('מלאי'!$AD$3:$AD$357,125)),"")</f>
        <v/>
      </c>
      <c r="E147">
        <f>IFERROR(INDEX('מלאי'!$H$3:$H$357,SMALL('מלאי'!$AD$3:$AD$357,125)),"")</f>
        <v/>
      </c>
      <c r="F147">
        <f>IFERROR(INDEX('מלאי'!$I$3:$I$357,SMALL('מלאי'!$AD$3:$AD$357,125)),"")</f>
        <v/>
      </c>
      <c r="G147">
        <f>IFERROR(INDEX('מלאי'!$Z$3:$Z$357,SMALL('מלאי'!$AD$3:$AD$357,125)),"")</f>
        <v/>
      </c>
      <c r="H147">
        <f>IFERROR(INDEX('מלאי'!$T$3:$T$357,SMALL('מלאי'!$AD$3:$AD$357,125)),"")</f>
        <v/>
      </c>
      <c r="I147">
        <f>IFERROR(INDEX('מלאי'!$V$3:$V$357,SMALL('מלאי'!$AD$3:$AD$357,125)),"")</f>
        <v/>
      </c>
      <c r="J147">
        <f>IFERROR(INDEX('מלאי'!$U$3:$U$357,SMALL('מלאי'!$AD$3:$AD$357,125)),"")</f>
        <v/>
      </c>
    </row>
    <row r="148">
      <c r="A148">
        <f>IFERROR(INDEX('מלאי'!$A$3:$A$357,SMALL('מלאי'!$AD$3:$AD$357,126)),"")</f>
        <v/>
      </c>
      <c r="B148">
        <f>IFERROR(INDEX('מלאי'!$B$3:$B$357,SMALL('מלאי'!$AD$3:$AD$357,126)),"")</f>
        <v/>
      </c>
      <c r="C148">
        <f>IFERROR(INDEX('מלאי'!$C$3:$C$357,SMALL('מלאי'!$AD$3:$AD$357,126)),"")</f>
        <v/>
      </c>
      <c r="D148">
        <f>IFERROR(INDEX('מלאי'!$D$3:$D$357,SMALL('מלאי'!$AD$3:$AD$357,126)),"")</f>
        <v/>
      </c>
      <c r="E148">
        <f>IFERROR(INDEX('מלאי'!$H$3:$H$357,SMALL('מלאי'!$AD$3:$AD$357,126)),"")</f>
        <v/>
      </c>
      <c r="F148">
        <f>IFERROR(INDEX('מלאי'!$I$3:$I$357,SMALL('מלאי'!$AD$3:$AD$357,126)),"")</f>
        <v/>
      </c>
      <c r="G148">
        <f>IFERROR(INDEX('מלאי'!$Z$3:$Z$357,SMALL('מלאי'!$AD$3:$AD$357,126)),"")</f>
        <v/>
      </c>
      <c r="H148">
        <f>IFERROR(INDEX('מלאי'!$T$3:$T$357,SMALL('מלאי'!$AD$3:$AD$357,126)),"")</f>
        <v/>
      </c>
      <c r="I148">
        <f>IFERROR(INDEX('מלאי'!$V$3:$V$357,SMALL('מלאי'!$AD$3:$AD$357,126)),"")</f>
        <v/>
      </c>
      <c r="J148">
        <f>IFERROR(INDEX('מלאי'!$U$3:$U$357,SMALL('מלאי'!$AD$3:$AD$357,126)),"")</f>
        <v/>
      </c>
    </row>
    <row r="149">
      <c r="A149">
        <f>IFERROR(INDEX('מלאי'!$A$3:$A$357,SMALL('מלאי'!$AD$3:$AD$357,127)),"")</f>
        <v/>
      </c>
      <c r="B149">
        <f>IFERROR(INDEX('מלאי'!$B$3:$B$357,SMALL('מלאי'!$AD$3:$AD$357,127)),"")</f>
        <v/>
      </c>
      <c r="C149">
        <f>IFERROR(INDEX('מלאי'!$C$3:$C$357,SMALL('מלאי'!$AD$3:$AD$357,127)),"")</f>
        <v/>
      </c>
      <c r="D149">
        <f>IFERROR(INDEX('מלאי'!$D$3:$D$357,SMALL('מלאי'!$AD$3:$AD$357,127)),"")</f>
        <v/>
      </c>
      <c r="E149">
        <f>IFERROR(INDEX('מלאי'!$H$3:$H$357,SMALL('מלאי'!$AD$3:$AD$357,127)),"")</f>
        <v/>
      </c>
      <c r="F149">
        <f>IFERROR(INDEX('מלאי'!$I$3:$I$357,SMALL('מלאי'!$AD$3:$AD$357,127)),"")</f>
        <v/>
      </c>
      <c r="G149">
        <f>IFERROR(INDEX('מלאי'!$Z$3:$Z$357,SMALL('מלאי'!$AD$3:$AD$357,127)),"")</f>
        <v/>
      </c>
      <c r="H149">
        <f>IFERROR(INDEX('מלאי'!$T$3:$T$357,SMALL('מלאי'!$AD$3:$AD$357,127)),"")</f>
        <v/>
      </c>
      <c r="I149">
        <f>IFERROR(INDEX('מלאי'!$V$3:$V$357,SMALL('מלאי'!$AD$3:$AD$357,127)),"")</f>
        <v/>
      </c>
      <c r="J149">
        <f>IFERROR(INDEX('מלאי'!$U$3:$U$357,SMALL('מלאי'!$AD$3:$AD$357,127)),"")</f>
        <v/>
      </c>
    </row>
    <row r="150">
      <c r="A150">
        <f>IFERROR(INDEX('מלאי'!$A$3:$A$357,SMALL('מלאי'!$AD$3:$AD$357,128)),"")</f>
        <v/>
      </c>
      <c r="B150">
        <f>IFERROR(INDEX('מלאי'!$B$3:$B$357,SMALL('מלאי'!$AD$3:$AD$357,128)),"")</f>
        <v/>
      </c>
      <c r="C150">
        <f>IFERROR(INDEX('מלאי'!$C$3:$C$357,SMALL('מלאי'!$AD$3:$AD$357,128)),"")</f>
        <v/>
      </c>
      <c r="D150">
        <f>IFERROR(INDEX('מלאי'!$D$3:$D$357,SMALL('מלאי'!$AD$3:$AD$357,128)),"")</f>
        <v/>
      </c>
      <c r="E150">
        <f>IFERROR(INDEX('מלאי'!$H$3:$H$357,SMALL('מלאי'!$AD$3:$AD$357,128)),"")</f>
        <v/>
      </c>
      <c r="F150">
        <f>IFERROR(INDEX('מלאי'!$I$3:$I$357,SMALL('מלאי'!$AD$3:$AD$357,128)),"")</f>
        <v/>
      </c>
      <c r="G150">
        <f>IFERROR(INDEX('מלאי'!$Z$3:$Z$357,SMALL('מלאי'!$AD$3:$AD$357,128)),"")</f>
        <v/>
      </c>
      <c r="H150">
        <f>IFERROR(INDEX('מלאי'!$T$3:$T$357,SMALL('מלאי'!$AD$3:$AD$357,128)),"")</f>
        <v/>
      </c>
      <c r="I150">
        <f>IFERROR(INDEX('מלאי'!$V$3:$V$357,SMALL('מלאי'!$AD$3:$AD$357,128)),"")</f>
        <v/>
      </c>
      <c r="J150">
        <f>IFERROR(INDEX('מלאי'!$U$3:$U$357,SMALL('מלאי'!$AD$3:$AD$357,128)),"")</f>
        <v/>
      </c>
    </row>
  </sheetData>
  <mergeCells count="1">
    <mergeCell ref="A1:J1"/>
  </mergeCells>
  <dataValidations count="8">
    <dataValidation sqref="C3" showDropDown="0" showInputMessage="0" showErrorMessage="0" allowBlank="1" type="list">
      <formula1>'הגדרות'!$F$2:$F$8</formula1>
    </dataValidation>
    <dataValidation sqref="C4" showDropDown="0" showInputMessage="0" showErrorMessage="0" allowBlank="1" type="list">
      <formula1>'הגדרות'!$G$2:$G$10</formula1>
    </dataValidation>
    <dataValidation sqref="C5" showDropDown="0" showInputMessage="0" showErrorMessage="0" allowBlank="1" type="list">
      <formula1>'הגדרות'!$N$2:$N$6</formula1>
    </dataValidation>
    <dataValidation sqref="C6" showDropDown="0" showInputMessage="0" showErrorMessage="0" allowBlank="1" type="list">
      <formula1>'הגדרות'!$M$2:$M$19</formula1>
    </dataValidation>
    <dataValidation sqref="C7" showDropDown="0" showInputMessage="0" showErrorMessage="0" allowBlank="1" type="list">
      <formula1>'הגדרות'!$O$2:$O$4</formula1>
    </dataValidation>
    <dataValidation sqref="C8" showDropDown="0" showInputMessage="0" showErrorMessage="0" allowBlank="1" type="list">
      <formula1>'הגדרות'!$O$2:$O$4</formula1>
    </dataValidation>
    <dataValidation sqref="C9" showDropDown="0" showInputMessage="0" showErrorMessage="0" allowBlank="1" type="list">
      <formula1>'הגדרות'!$O$2:$O$4</formula1>
    </dataValidation>
    <dataValidation sqref="C10" showDropDown="0" showInputMessage="0" showErrorMessage="0" allowBlank="1" type="list">
      <formula1>'הגדרות'!$L$2:$L$18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0"/>
  <sheetViews>
    <sheetView rightToLeft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5" customWidth="1" min="1" max="1"/>
    <col width="24" customWidth="1" min="2" max="2"/>
    <col width="20" customWidth="1" min="3" max="3"/>
    <col width="14" customWidth="1" min="4" max="4"/>
    <col width="9" customWidth="1" min="5" max="5"/>
    <col width="9" customWidth="1" min="6" max="6"/>
    <col width="9" customWidth="1" min="7" max="7"/>
    <col width="14" customWidth="1" min="8" max="8"/>
    <col width="9" customWidth="1" min="9" max="9"/>
    <col width="9" customWidth="1" min="10" max="10"/>
    <col width="9" customWidth="1" min="11" max="11"/>
    <col width="9" customWidth="1" min="12" max="12"/>
    <col width="12" customWidth="1" min="13" max="13"/>
    <col width="12" customWidth="1" min="14" max="14"/>
    <col width="14" customWidth="1" min="15" max="15"/>
  </cols>
  <sheetData>
    <row r="1" ht="28" customHeight="1">
      <c r="A1" s="9" t="inlineStr">
        <is>
          <t>לוח טכנו-מבצעי</t>
        </is>
      </c>
    </row>
    <row r="2">
      <c r="B2" s="10" t="inlineStr">
        <is>
          <t>סינונ</t>
        </is>
      </c>
    </row>
    <row r="3">
      <c r="B3" s="15" t="inlineStr">
        <is>
          <t>סביבה</t>
        </is>
      </c>
      <c r="C3" s="16" t="inlineStr">
        <is>
          <t>הכל</t>
        </is>
      </c>
    </row>
    <row r="4">
      <c r="B4" s="15" t="inlineStr">
        <is>
          <t>קו מוצר</t>
        </is>
      </c>
      <c r="C4" s="16" t="inlineStr">
        <is>
          <t>הכל</t>
        </is>
      </c>
    </row>
    <row r="5">
      <c r="B5" s="15" t="inlineStr">
        <is>
          <t>נובל (Nobel)</t>
        </is>
      </c>
      <c r="C5" s="16" t="inlineStr">
        <is>
          <t>הכל</t>
        </is>
      </c>
    </row>
    <row r="6">
      <c r="B6" s="15" t="inlineStr">
        <is>
          <t>MWIR מינימום</t>
        </is>
      </c>
      <c r="C6" s="16" t="inlineStr"/>
    </row>
    <row r="7">
      <c r="B7" s="15" t="inlineStr">
        <is>
          <t>MWIR מקסימום</t>
        </is>
      </c>
      <c r="C7" s="16" t="inlineStr"/>
    </row>
    <row r="9">
      <c r="B9" s="17" t="inlineStr">
        <is>
          <t>סה"כ רשומות מסוננות</t>
        </is>
      </c>
      <c r="C9" s="18">
        <f>SUMPRODUCT(('ערכים טכנולוגיים'!$P$5:$P$357&lt;&gt;"")*1)</f>
        <v/>
      </c>
    </row>
    <row r="12" ht="28" customHeight="1">
      <c r="A12" s="1" t="inlineStr">
        <is>
          <t>מזהה</t>
        </is>
      </c>
      <c r="B12" s="1" t="inlineStr">
        <is>
          <t>שם מוצר</t>
        </is>
      </c>
      <c r="C12" s="1" t="inlineStr">
        <is>
          <t>קו מוצר</t>
        </is>
      </c>
      <c r="D12" s="1" t="inlineStr">
        <is>
          <t>הדפס א'</t>
        </is>
      </c>
      <c r="E12" s="1" t="inlineStr">
        <is>
          <t>MWIR א'</t>
        </is>
      </c>
      <c r="F12" s="1" t="inlineStr">
        <is>
          <t>LWIR א'</t>
        </is>
      </c>
      <c r="G12" s="1" t="inlineStr">
        <is>
          <t>NIR א'</t>
        </is>
      </c>
      <c r="H12" s="1" t="inlineStr">
        <is>
          <t>הדפס ב'</t>
        </is>
      </c>
      <c r="I12" s="1" t="inlineStr">
        <is>
          <t>MWIR ב'</t>
        </is>
      </c>
      <c r="J12" s="1" t="inlineStr">
        <is>
          <t>LWIR ב'</t>
        </is>
      </c>
      <c r="K12" s="1" t="inlineStr">
        <is>
          <t>NIR ב'</t>
        </is>
      </c>
      <c r="L12" s="1" t="inlineStr">
        <is>
          <t>נובל</t>
        </is>
      </c>
      <c r="M12" s="1" t="inlineStr">
        <is>
          <t>ממוצע MWIR</t>
        </is>
      </c>
      <c r="N12" s="1" t="inlineStr">
        <is>
          <t>ממוצע LWIR</t>
        </is>
      </c>
      <c r="O12" s="1" t="inlineStr">
        <is>
          <t>ממוצע משולב</t>
        </is>
      </c>
    </row>
    <row r="13">
      <c r="A13">
        <f>IFERROR(INDEX('ערכים טכנולוגיים'!$A$5:$A$357,SMALL('ערכים טכנולוגיים'!$P$5:$P$357,1)),"")</f>
        <v/>
      </c>
      <c r="B13">
        <f>IFERROR(INDEX('ערכים טכנולוגיים'!$B$5:$B$357,SMALL('ערכים טכנולוגיים'!$P$5:$P$357,1)),"")</f>
        <v/>
      </c>
      <c r="C13">
        <f>IFERROR(INDEX('ערכים טכנולוגיים'!$C$5:$C$357,SMALL('ערכים טכנולוגיים'!$P$5:$P$357,1)),"")</f>
        <v/>
      </c>
      <c r="D13">
        <f>IFERROR(INDEX('ערכים טכנולוגיים'!$D$5:$D$357,SMALL('ערכים טכנולוגיים'!$P$5:$P$357,1)),"")</f>
        <v/>
      </c>
      <c r="E13">
        <f>IFERROR(INDEX('ערכים טכנולוגיים'!$E$5:$E$357,SMALL('ערכים טכנולוגיים'!$P$5:$P$357,1)),"")</f>
        <v/>
      </c>
      <c r="F13">
        <f>IFERROR(INDEX('ערכים טכנולוגיים'!$F$5:$F$357,SMALL('ערכים טכנולוגיים'!$P$5:$P$357,1)),"")</f>
        <v/>
      </c>
      <c r="G13">
        <f>IFERROR(INDEX('ערכים טכנולוגיים'!$G$5:$G$357,SMALL('ערכים טכנולוגיים'!$P$5:$P$357,1)),"")</f>
        <v/>
      </c>
      <c r="H13">
        <f>IFERROR(INDEX('ערכים טכנולוגיים'!$H$5:$H$357,SMALL('ערכים טכנולוגיים'!$P$5:$P$357,1)),"")</f>
        <v/>
      </c>
      <c r="I13">
        <f>IFERROR(INDEX('ערכים טכנולוגיים'!$I$5:$I$357,SMALL('ערכים טכנולוגיים'!$P$5:$P$357,1)),"")</f>
        <v/>
      </c>
      <c r="J13">
        <f>IFERROR(INDEX('ערכים טכנולוגיים'!$J$5:$J$357,SMALL('ערכים טכנולוגיים'!$P$5:$P$357,1)),"")</f>
        <v/>
      </c>
      <c r="K13">
        <f>IFERROR(INDEX('ערכים טכנולוגיים'!$K$5:$K$357,SMALL('ערכים טכנולוגיים'!$P$5:$P$357,1)),"")</f>
        <v/>
      </c>
      <c r="L13">
        <f>IFERROR(INDEX('ערכים טכנולוגיים'!$L$5:$L$357,SMALL('ערכים טכנולוגיים'!$P$5:$P$357,1)),"")</f>
        <v/>
      </c>
      <c r="M13">
        <f>IFERROR(INDEX('ערכים טכנולוגיים'!$M$5:$M$357,SMALL('ערכים טכנולוגיים'!$P$5:$P$357,1)),"")</f>
        <v/>
      </c>
      <c r="N13">
        <f>IFERROR(INDEX('ערכים טכנולוגיים'!$N$5:$N$357,SMALL('ערכים טכנולוגיים'!$P$5:$P$357,1)),"")</f>
        <v/>
      </c>
      <c r="O13">
        <f>IFERROR(INDEX('ערכים טכנולוגיים'!$O$5:$O$357,SMALL('ערכים טכנולוגיים'!$P$5:$P$357,1)),"")</f>
        <v/>
      </c>
    </row>
    <row r="14">
      <c r="A14">
        <f>IFERROR(INDEX('ערכים טכנולוגיים'!$A$5:$A$357,SMALL('ערכים טכנולוגיים'!$P$5:$P$357,2)),"")</f>
        <v/>
      </c>
      <c r="B14">
        <f>IFERROR(INDEX('ערכים טכנולוגיים'!$B$5:$B$357,SMALL('ערכים טכנולוגיים'!$P$5:$P$357,2)),"")</f>
        <v/>
      </c>
      <c r="C14">
        <f>IFERROR(INDEX('ערכים טכנולוגיים'!$C$5:$C$357,SMALL('ערכים טכנולוגיים'!$P$5:$P$357,2)),"")</f>
        <v/>
      </c>
      <c r="D14">
        <f>IFERROR(INDEX('ערכים טכנולוגיים'!$D$5:$D$357,SMALL('ערכים טכנולוגיים'!$P$5:$P$357,2)),"")</f>
        <v/>
      </c>
      <c r="E14">
        <f>IFERROR(INDEX('ערכים טכנולוגיים'!$E$5:$E$357,SMALL('ערכים טכנולוגיים'!$P$5:$P$357,2)),"")</f>
        <v/>
      </c>
      <c r="F14">
        <f>IFERROR(INDEX('ערכים טכנולוגיים'!$F$5:$F$357,SMALL('ערכים טכנולוגיים'!$P$5:$P$357,2)),"")</f>
        <v/>
      </c>
      <c r="G14">
        <f>IFERROR(INDEX('ערכים טכנולוגיים'!$G$5:$G$357,SMALL('ערכים טכנולוגיים'!$P$5:$P$357,2)),"")</f>
        <v/>
      </c>
      <c r="H14">
        <f>IFERROR(INDEX('ערכים טכנולוגיים'!$H$5:$H$357,SMALL('ערכים טכנולוגיים'!$P$5:$P$357,2)),"")</f>
        <v/>
      </c>
      <c r="I14">
        <f>IFERROR(INDEX('ערכים טכנולוגיים'!$I$5:$I$357,SMALL('ערכים טכנולוגיים'!$P$5:$P$357,2)),"")</f>
        <v/>
      </c>
      <c r="J14">
        <f>IFERROR(INDEX('ערכים טכנולוגיים'!$J$5:$J$357,SMALL('ערכים טכנולוגיים'!$P$5:$P$357,2)),"")</f>
        <v/>
      </c>
      <c r="K14">
        <f>IFERROR(INDEX('ערכים טכנולוגיים'!$K$5:$K$357,SMALL('ערכים טכנולוגיים'!$P$5:$P$357,2)),"")</f>
        <v/>
      </c>
      <c r="L14">
        <f>IFERROR(INDEX('ערכים טכנולוגיים'!$L$5:$L$357,SMALL('ערכים טכנולוגיים'!$P$5:$P$357,2)),"")</f>
        <v/>
      </c>
      <c r="M14">
        <f>IFERROR(INDEX('ערכים טכנולוגיים'!$M$5:$M$357,SMALL('ערכים טכנולוגיים'!$P$5:$P$357,2)),"")</f>
        <v/>
      </c>
      <c r="N14">
        <f>IFERROR(INDEX('ערכים טכנולוגיים'!$N$5:$N$357,SMALL('ערכים טכנולוגיים'!$P$5:$P$357,2)),"")</f>
        <v/>
      </c>
      <c r="O14">
        <f>IFERROR(INDEX('ערכים טכנולוגיים'!$O$5:$O$357,SMALL('ערכים טכנולוגיים'!$P$5:$P$357,2)),"")</f>
        <v/>
      </c>
    </row>
    <row r="15">
      <c r="A15">
        <f>IFERROR(INDEX('ערכים טכנולוגיים'!$A$5:$A$357,SMALL('ערכים טכנולוגיים'!$P$5:$P$357,3)),"")</f>
        <v/>
      </c>
      <c r="B15">
        <f>IFERROR(INDEX('ערכים טכנולוגיים'!$B$5:$B$357,SMALL('ערכים טכנולוגיים'!$P$5:$P$357,3)),"")</f>
        <v/>
      </c>
      <c r="C15">
        <f>IFERROR(INDEX('ערכים טכנולוגיים'!$C$5:$C$357,SMALL('ערכים טכנולוגיים'!$P$5:$P$357,3)),"")</f>
        <v/>
      </c>
      <c r="D15">
        <f>IFERROR(INDEX('ערכים טכנולוגיים'!$D$5:$D$357,SMALL('ערכים טכנולוגיים'!$P$5:$P$357,3)),"")</f>
        <v/>
      </c>
      <c r="E15">
        <f>IFERROR(INDEX('ערכים טכנולוגיים'!$E$5:$E$357,SMALL('ערכים טכנולוגיים'!$P$5:$P$357,3)),"")</f>
        <v/>
      </c>
      <c r="F15">
        <f>IFERROR(INDEX('ערכים טכנולוגיים'!$F$5:$F$357,SMALL('ערכים טכנולוגיים'!$P$5:$P$357,3)),"")</f>
        <v/>
      </c>
      <c r="G15">
        <f>IFERROR(INDEX('ערכים טכנולוגיים'!$G$5:$G$357,SMALL('ערכים טכנולוגיים'!$P$5:$P$357,3)),"")</f>
        <v/>
      </c>
      <c r="H15">
        <f>IFERROR(INDEX('ערכים טכנולוגיים'!$H$5:$H$357,SMALL('ערכים טכנולוגיים'!$P$5:$P$357,3)),"")</f>
        <v/>
      </c>
      <c r="I15">
        <f>IFERROR(INDEX('ערכים טכנולוגיים'!$I$5:$I$357,SMALL('ערכים טכנולוגיים'!$P$5:$P$357,3)),"")</f>
        <v/>
      </c>
      <c r="J15">
        <f>IFERROR(INDEX('ערכים טכנולוגיים'!$J$5:$J$357,SMALL('ערכים טכנולוגיים'!$P$5:$P$357,3)),"")</f>
        <v/>
      </c>
      <c r="K15">
        <f>IFERROR(INDEX('ערכים טכנולוגיים'!$K$5:$K$357,SMALL('ערכים טכנולוגיים'!$P$5:$P$357,3)),"")</f>
        <v/>
      </c>
      <c r="L15">
        <f>IFERROR(INDEX('ערכים טכנולוגיים'!$L$5:$L$357,SMALL('ערכים טכנולוגיים'!$P$5:$P$357,3)),"")</f>
        <v/>
      </c>
      <c r="M15">
        <f>IFERROR(INDEX('ערכים טכנולוגיים'!$M$5:$M$357,SMALL('ערכים טכנולוגיים'!$P$5:$P$357,3)),"")</f>
        <v/>
      </c>
      <c r="N15">
        <f>IFERROR(INDEX('ערכים טכנולוגיים'!$N$5:$N$357,SMALL('ערכים טכנולוגיים'!$P$5:$P$357,3)),"")</f>
        <v/>
      </c>
      <c r="O15">
        <f>IFERROR(INDEX('ערכים טכנולוגיים'!$O$5:$O$357,SMALL('ערכים טכנולוגיים'!$P$5:$P$357,3)),"")</f>
        <v/>
      </c>
    </row>
    <row r="16">
      <c r="A16">
        <f>IFERROR(INDEX('ערכים טכנולוגיים'!$A$5:$A$357,SMALL('ערכים טכנולוגיים'!$P$5:$P$357,4)),"")</f>
        <v/>
      </c>
      <c r="B16">
        <f>IFERROR(INDEX('ערכים טכנולוגיים'!$B$5:$B$357,SMALL('ערכים טכנולוגיים'!$P$5:$P$357,4)),"")</f>
        <v/>
      </c>
      <c r="C16">
        <f>IFERROR(INDEX('ערכים טכנולוגיים'!$C$5:$C$357,SMALL('ערכים טכנולוגיים'!$P$5:$P$357,4)),"")</f>
        <v/>
      </c>
      <c r="D16">
        <f>IFERROR(INDEX('ערכים טכנולוגיים'!$D$5:$D$357,SMALL('ערכים טכנולוגיים'!$P$5:$P$357,4)),"")</f>
        <v/>
      </c>
      <c r="E16">
        <f>IFERROR(INDEX('ערכים טכנולוגיים'!$E$5:$E$357,SMALL('ערכים טכנולוגיים'!$P$5:$P$357,4)),"")</f>
        <v/>
      </c>
      <c r="F16">
        <f>IFERROR(INDEX('ערכים טכנולוגיים'!$F$5:$F$357,SMALL('ערכים טכנולוגיים'!$P$5:$P$357,4)),"")</f>
        <v/>
      </c>
      <c r="G16">
        <f>IFERROR(INDEX('ערכים טכנולוגיים'!$G$5:$G$357,SMALL('ערכים טכנולוגיים'!$P$5:$P$357,4)),"")</f>
        <v/>
      </c>
      <c r="H16">
        <f>IFERROR(INDEX('ערכים טכנולוגיים'!$H$5:$H$357,SMALL('ערכים טכנולוגיים'!$P$5:$P$357,4)),"")</f>
        <v/>
      </c>
      <c r="I16">
        <f>IFERROR(INDEX('ערכים טכנולוגיים'!$I$5:$I$357,SMALL('ערכים טכנולוגיים'!$P$5:$P$357,4)),"")</f>
        <v/>
      </c>
      <c r="J16">
        <f>IFERROR(INDEX('ערכים טכנולוגיים'!$J$5:$J$357,SMALL('ערכים טכנולוגיים'!$P$5:$P$357,4)),"")</f>
        <v/>
      </c>
      <c r="K16">
        <f>IFERROR(INDEX('ערכים טכנולוגיים'!$K$5:$K$357,SMALL('ערכים טכנולוגיים'!$P$5:$P$357,4)),"")</f>
        <v/>
      </c>
      <c r="L16">
        <f>IFERROR(INDEX('ערכים טכנולוגיים'!$L$5:$L$357,SMALL('ערכים טכנולוגיים'!$P$5:$P$357,4)),"")</f>
        <v/>
      </c>
      <c r="M16">
        <f>IFERROR(INDEX('ערכים טכנולוגיים'!$M$5:$M$357,SMALL('ערכים טכנולוגיים'!$P$5:$P$357,4)),"")</f>
        <v/>
      </c>
      <c r="N16">
        <f>IFERROR(INDEX('ערכים טכנולוגיים'!$N$5:$N$357,SMALL('ערכים טכנולוגיים'!$P$5:$P$357,4)),"")</f>
        <v/>
      </c>
      <c r="O16">
        <f>IFERROR(INDEX('ערכים טכנולוגיים'!$O$5:$O$357,SMALL('ערכים טכנולוגיים'!$P$5:$P$357,4)),"")</f>
        <v/>
      </c>
    </row>
    <row r="17">
      <c r="A17">
        <f>IFERROR(INDEX('ערכים טכנולוגיים'!$A$5:$A$357,SMALL('ערכים טכנולוגיים'!$P$5:$P$357,5)),"")</f>
        <v/>
      </c>
      <c r="B17">
        <f>IFERROR(INDEX('ערכים טכנולוגיים'!$B$5:$B$357,SMALL('ערכים טכנולוגיים'!$P$5:$P$357,5)),"")</f>
        <v/>
      </c>
      <c r="C17">
        <f>IFERROR(INDEX('ערכים טכנולוגיים'!$C$5:$C$357,SMALL('ערכים טכנולוגיים'!$P$5:$P$357,5)),"")</f>
        <v/>
      </c>
      <c r="D17">
        <f>IFERROR(INDEX('ערכים טכנולוגיים'!$D$5:$D$357,SMALL('ערכים טכנולוגיים'!$P$5:$P$357,5)),"")</f>
        <v/>
      </c>
      <c r="E17">
        <f>IFERROR(INDEX('ערכים טכנולוגיים'!$E$5:$E$357,SMALL('ערכים טכנולוגיים'!$P$5:$P$357,5)),"")</f>
        <v/>
      </c>
      <c r="F17">
        <f>IFERROR(INDEX('ערכים טכנולוגיים'!$F$5:$F$357,SMALL('ערכים טכנולוגיים'!$P$5:$P$357,5)),"")</f>
        <v/>
      </c>
      <c r="G17">
        <f>IFERROR(INDEX('ערכים טכנולוגיים'!$G$5:$G$357,SMALL('ערכים טכנולוגיים'!$P$5:$P$357,5)),"")</f>
        <v/>
      </c>
      <c r="H17">
        <f>IFERROR(INDEX('ערכים טכנולוגיים'!$H$5:$H$357,SMALL('ערכים טכנולוגיים'!$P$5:$P$357,5)),"")</f>
        <v/>
      </c>
      <c r="I17">
        <f>IFERROR(INDEX('ערכים טכנולוגיים'!$I$5:$I$357,SMALL('ערכים טכנולוגיים'!$P$5:$P$357,5)),"")</f>
        <v/>
      </c>
      <c r="J17">
        <f>IFERROR(INDEX('ערכים טכנולוגיים'!$J$5:$J$357,SMALL('ערכים טכנולוגיים'!$P$5:$P$357,5)),"")</f>
        <v/>
      </c>
      <c r="K17">
        <f>IFERROR(INDEX('ערכים טכנולוגיים'!$K$5:$K$357,SMALL('ערכים טכנולוגיים'!$P$5:$P$357,5)),"")</f>
        <v/>
      </c>
      <c r="L17">
        <f>IFERROR(INDEX('ערכים טכנולוגיים'!$L$5:$L$357,SMALL('ערכים טכנולוגיים'!$P$5:$P$357,5)),"")</f>
        <v/>
      </c>
      <c r="M17">
        <f>IFERROR(INDEX('ערכים טכנולוגיים'!$M$5:$M$357,SMALL('ערכים טכנולוגיים'!$P$5:$P$357,5)),"")</f>
        <v/>
      </c>
      <c r="N17">
        <f>IFERROR(INDEX('ערכים טכנולוגיים'!$N$5:$N$357,SMALL('ערכים טכנולוגיים'!$P$5:$P$357,5)),"")</f>
        <v/>
      </c>
      <c r="O17">
        <f>IFERROR(INDEX('ערכים טכנולוגיים'!$O$5:$O$357,SMALL('ערכים טכנולוגיים'!$P$5:$P$357,5)),"")</f>
        <v/>
      </c>
    </row>
    <row r="18">
      <c r="A18">
        <f>IFERROR(INDEX('ערכים טכנולוגיים'!$A$5:$A$357,SMALL('ערכים טכנולוגיים'!$P$5:$P$357,6)),"")</f>
        <v/>
      </c>
      <c r="B18">
        <f>IFERROR(INDEX('ערכים טכנולוגיים'!$B$5:$B$357,SMALL('ערכים טכנולוגיים'!$P$5:$P$357,6)),"")</f>
        <v/>
      </c>
      <c r="C18">
        <f>IFERROR(INDEX('ערכים טכנולוגיים'!$C$5:$C$357,SMALL('ערכים טכנולוגיים'!$P$5:$P$357,6)),"")</f>
        <v/>
      </c>
      <c r="D18">
        <f>IFERROR(INDEX('ערכים טכנולוגיים'!$D$5:$D$357,SMALL('ערכים טכנולוגיים'!$P$5:$P$357,6)),"")</f>
        <v/>
      </c>
      <c r="E18">
        <f>IFERROR(INDEX('ערכים טכנולוגיים'!$E$5:$E$357,SMALL('ערכים טכנולוגיים'!$P$5:$P$357,6)),"")</f>
        <v/>
      </c>
      <c r="F18">
        <f>IFERROR(INDEX('ערכים טכנולוגיים'!$F$5:$F$357,SMALL('ערכים טכנולוגיים'!$P$5:$P$357,6)),"")</f>
        <v/>
      </c>
      <c r="G18">
        <f>IFERROR(INDEX('ערכים טכנולוגיים'!$G$5:$G$357,SMALL('ערכים טכנולוגיים'!$P$5:$P$357,6)),"")</f>
        <v/>
      </c>
      <c r="H18">
        <f>IFERROR(INDEX('ערכים טכנולוגיים'!$H$5:$H$357,SMALL('ערכים טכנולוגיים'!$P$5:$P$357,6)),"")</f>
        <v/>
      </c>
      <c r="I18">
        <f>IFERROR(INDEX('ערכים טכנולוגיים'!$I$5:$I$357,SMALL('ערכים טכנולוגיים'!$P$5:$P$357,6)),"")</f>
        <v/>
      </c>
      <c r="J18">
        <f>IFERROR(INDEX('ערכים טכנולוגיים'!$J$5:$J$357,SMALL('ערכים טכנולוגיים'!$P$5:$P$357,6)),"")</f>
        <v/>
      </c>
      <c r="K18">
        <f>IFERROR(INDEX('ערכים טכנולוגיים'!$K$5:$K$357,SMALL('ערכים טכנולוגיים'!$P$5:$P$357,6)),"")</f>
        <v/>
      </c>
      <c r="L18">
        <f>IFERROR(INDEX('ערכים טכנולוגיים'!$L$5:$L$357,SMALL('ערכים טכנולוגיים'!$P$5:$P$357,6)),"")</f>
        <v/>
      </c>
      <c r="M18">
        <f>IFERROR(INDEX('ערכים טכנולוגיים'!$M$5:$M$357,SMALL('ערכים טכנולוגיים'!$P$5:$P$357,6)),"")</f>
        <v/>
      </c>
      <c r="N18">
        <f>IFERROR(INDEX('ערכים טכנולוגיים'!$N$5:$N$357,SMALL('ערכים טכנולוגיים'!$P$5:$P$357,6)),"")</f>
        <v/>
      </c>
      <c r="O18">
        <f>IFERROR(INDEX('ערכים טכנולוגיים'!$O$5:$O$357,SMALL('ערכים טכנולוגיים'!$P$5:$P$357,6)),"")</f>
        <v/>
      </c>
    </row>
    <row r="19">
      <c r="A19">
        <f>IFERROR(INDEX('ערכים טכנולוגיים'!$A$5:$A$357,SMALL('ערכים טכנולוגיים'!$P$5:$P$357,7)),"")</f>
        <v/>
      </c>
      <c r="B19">
        <f>IFERROR(INDEX('ערכים טכנולוגיים'!$B$5:$B$357,SMALL('ערכים טכנולוגיים'!$P$5:$P$357,7)),"")</f>
        <v/>
      </c>
      <c r="C19">
        <f>IFERROR(INDEX('ערכים טכנולוגיים'!$C$5:$C$357,SMALL('ערכים טכנולוגיים'!$P$5:$P$357,7)),"")</f>
        <v/>
      </c>
      <c r="D19">
        <f>IFERROR(INDEX('ערכים טכנולוגיים'!$D$5:$D$357,SMALL('ערכים טכנולוגיים'!$P$5:$P$357,7)),"")</f>
        <v/>
      </c>
      <c r="E19">
        <f>IFERROR(INDEX('ערכים טכנולוגיים'!$E$5:$E$357,SMALL('ערכים טכנולוגיים'!$P$5:$P$357,7)),"")</f>
        <v/>
      </c>
      <c r="F19">
        <f>IFERROR(INDEX('ערכים טכנולוגיים'!$F$5:$F$357,SMALL('ערכים טכנולוגיים'!$P$5:$P$357,7)),"")</f>
        <v/>
      </c>
      <c r="G19">
        <f>IFERROR(INDEX('ערכים טכנולוגיים'!$G$5:$G$357,SMALL('ערכים טכנולוגיים'!$P$5:$P$357,7)),"")</f>
        <v/>
      </c>
      <c r="H19">
        <f>IFERROR(INDEX('ערכים טכנולוגיים'!$H$5:$H$357,SMALL('ערכים טכנולוגיים'!$P$5:$P$357,7)),"")</f>
        <v/>
      </c>
      <c r="I19">
        <f>IFERROR(INDEX('ערכים טכנולוגיים'!$I$5:$I$357,SMALL('ערכים טכנולוגיים'!$P$5:$P$357,7)),"")</f>
        <v/>
      </c>
      <c r="J19">
        <f>IFERROR(INDEX('ערכים טכנולוגיים'!$J$5:$J$357,SMALL('ערכים טכנולוגיים'!$P$5:$P$357,7)),"")</f>
        <v/>
      </c>
      <c r="K19">
        <f>IFERROR(INDEX('ערכים טכנולוגיים'!$K$5:$K$357,SMALL('ערכים טכנולוגיים'!$P$5:$P$357,7)),"")</f>
        <v/>
      </c>
      <c r="L19">
        <f>IFERROR(INDEX('ערכים טכנולוגיים'!$L$5:$L$357,SMALL('ערכים טכנולוגיים'!$P$5:$P$357,7)),"")</f>
        <v/>
      </c>
      <c r="M19">
        <f>IFERROR(INDEX('ערכים טכנולוגיים'!$M$5:$M$357,SMALL('ערכים טכנולוגיים'!$P$5:$P$357,7)),"")</f>
        <v/>
      </c>
      <c r="N19">
        <f>IFERROR(INDEX('ערכים טכנולוגיים'!$N$5:$N$357,SMALL('ערכים טכנולוגיים'!$P$5:$P$357,7)),"")</f>
        <v/>
      </c>
      <c r="O19">
        <f>IFERROR(INDEX('ערכים טכנולוגיים'!$O$5:$O$357,SMALL('ערכים טכנולוגיים'!$P$5:$P$357,7)),"")</f>
        <v/>
      </c>
    </row>
    <row r="20">
      <c r="A20">
        <f>IFERROR(INDEX('ערכים טכנולוגיים'!$A$5:$A$357,SMALL('ערכים טכנולוגיים'!$P$5:$P$357,8)),"")</f>
        <v/>
      </c>
      <c r="B20">
        <f>IFERROR(INDEX('ערכים טכנולוגיים'!$B$5:$B$357,SMALL('ערכים טכנולוגיים'!$P$5:$P$357,8)),"")</f>
        <v/>
      </c>
      <c r="C20">
        <f>IFERROR(INDEX('ערכים טכנולוגיים'!$C$5:$C$357,SMALL('ערכים טכנולוגיים'!$P$5:$P$357,8)),"")</f>
        <v/>
      </c>
      <c r="D20">
        <f>IFERROR(INDEX('ערכים טכנולוגיים'!$D$5:$D$357,SMALL('ערכים טכנולוגיים'!$P$5:$P$357,8)),"")</f>
        <v/>
      </c>
      <c r="E20">
        <f>IFERROR(INDEX('ערכים טכנולוגיים'!$E$5:$E$357,SMALL('ערכים טכנולוגיים'!$P$5:$P$357,8)),"")</f>
        <v/>
      </c>
      <c r="F20">
        <f>IFERROR(INDEX('ערכים טכנולוגיים'!$F$5:$F$357,SMALL('ערכים טכנולוגיים'!$P$5:$P$357,8)),"")</f>
        <v/>
      </c>
      <c r="G20">
        <f>IFERROR(INDEX('ערכים טכנולוגיים'!$G$5:$G$357,SMALL('ערכים טכנולוגיים'!$P$5:$P$357,8)),"")</f>
        <v/>
      </c>
      <c r="H20">
        <f>IFERROR(INDEX('ערכים טכנולוגיים'!$H$5:$H$357,SMALL('ערכים טכנולוגיים'!$P$5:$P$357,8)),"")</f>
        <v/>
      </c>
      <c r="I20">
        <f>IFERROR(INDEX('ערכים טכנולוגיים'!$I$5:$I$357,SMALL('ערכים טכנולוגיים'!$P$5:$P$357,8)),"")</f>
        <v/>
      </c>
      <c r="J20">
        <f>IFERROR(INDEX('ערכים טכנולוגיים'!$J$5:$J$357,SMALL('ערכים טכנולוגיים'!$P$5:$P$357,8)),"")</f>
        <v/>
      </c>
      <c r="K20">
        <f>IFERROR(INDEX('ערכים טכנולוגיים'!$K$5:$K$357,SMALL('ערכים טכנולוגיים'!$P$5:$P$357,8)),"")</f>
        <v/>
      </c>
      <c r="L20">
        <f>IFERROR(INDEX('ערכים טכנולוגיים'!$L$5:$L$357,SMALL('ערכים טכנולוגיים'!$P$5:$P$357,8)),"")</f>
        <v/>
      </c>
      <c r="M20">
        <f>IFERROR(INDEX('ערכים טכנולוגיים'!$M$5:$M$357,SMALL('ערכים טכנולוגיים'!$P$5:$P$357,8)),"")</f>
        <v/>
      </c>
      <c r="N20">
        <f>IFERROR(INDEX('ערכים טכנולוגיים'!$N$5:$N$357,SMALL('ערכים טכנולוגיים'!$P$5:$P$357,8)),"")</f>
        <v/>
      </c>
      <c r="O20">
        <f>IFERROR(INDEX('ערכים טכנולוגיים'!$O$5:$O$357,SMALL('ערכים טכנולוגיים'!$P$5:$P$357,8)),"")</f>
        <v/>
      </c>
    </row>
    <row r="21">
      <c r="A21">
        <f>IFERROR(INDEX('ערכים טכנולוגיים'!$A$5:$A$357,SMALL('ערכים טכנולוגיים'!$P$5:$P$357,9)),"")</f>
        <v/>
      </c>
      <c r="B21">
        <f>IFERROR(INDEX('ערכים טכנולוגיים'!$B$5:$B$357,SMALL('ערכים טכנולוגיים'!$P$5:$P$357,9)),"")</f>
        <v/>
      </c>
      <c r="C21">
        <f>IFERROR(INDEX('ערכים טכנולוגיים'!$C$5:$C$357,SMALL('ערכים טכנולוגיים'!$P$5:$P$357,9)),"")</f>
        <v/>
      </c>
      <c r="D21">
        <f>IFERROR(INDEX('ערכים טכנולוגיים'!$D$5:$D$357,SMALL('ערכים טכנולוגיים'!$P$5:$P$357,9)),"")</f>
        <v/>
      </c>
      <c r="E21">
        <f>IFERROR(INDEX('ערכים טכנולוגיים'!$E$5:$E$357,SMALL('ערכים טכנולוגיים'!$P$5:$P$357,9)),"")</f>
        <v/>
      </c>
      <c r="F21">
        <f>IFERROR(INDEX('ערכים טכנולוגיים'!$F$5:$F$357,SMALL('ערכים טכנולוגיים'!$P$5:$P$357,9)),"")</f>
        <v/>
      </c>
      <c r="G21">
        <f>IFERROR(INDEX('ערכים טכנולוגיים'!$G$5:$G$357,SMALL('ערכים טכנולוגיים'!$P$5:$P$357,9)),"")</f>
        <v/>
      </c>
      <c r="H21">
        <f>IFERROR(INDEX('ערכים טכנולוגיים'!$H$5:$H$357,SMALL('ערכים טכנולוגיים'!$P$5:$P$357,9)),"")</f>
        <v/>
      </c>
      <c r="I21">
        <f>IFERROR(INDEX('ערכים טכנולוגיים'!$I$5:$I$357,SMALL('ערכים טכנולוגיים'!$P$5:$P$357,9)),"")</f>
        <v/>
      </c>
      <c r="J21">
        <f>IFERROR(INDEX('ערכים טכנולוגיים'!$J$5:$J$357,SMALL('ערכים טכנולוגיים'!$P$5:$P$357,9)),"")</f>
        <v/>
      </c>
      <c r="K21">
        <f>IFERROR(INDEX('ערכים טכנולוגיים'!$K$5:$K$357,SMALL('ערכים טכנולוגיים'!$P$5:$P$357,9)),"")</f>
        <v/>
      </c>
      <c r="L21">
        <f>IFERROR(INDEX('ערכים טכנולוגיים'!$L$5:$L$357,SMALL('ערכים טכנולוגיים'!$P$5:$P$357,9)),"")</f>
        <v/>
      </c>
      <c r="M21">
        <f>IFERROR(INDEX('ערכים טכנולוגיים'!$M$5:$M$357,SMALL('ערכים טכנולוגיים'!$P$5:$P$357,9)),"")</f>
        <v/>
      </c>
      <c r="N21">
        <f>IFERROR(INDEX('ערכים טכנולוגיים'!$N$5:$N$357,SMALL('ערכים טכנולוגיים'!$P$5:$P$357,9)),"")</f>
        <v/>
      </c>
      <c r="O21">
        <f>IFERROR(INDEX('ערכים טכנולוגיים'!$O$5:$O$357,SMALL('ערכים טכנולוגיים'!$P$5:$P$357,9)),"")</f>
        <v/>
      </c>
    </row>
    <row r="22">
      <c r="A22">
        <f>IFERROR(INDEX('ערכים טכנולוגיים'!$A$5:$A$357,SMALL('ערכים טכנולוגיים'!$P$5:$P$357,10)),"")</f>
        <v/>
      </c>
      <c r="B22">
        <f>IFERROR(INDEX('ערכים טכנולוגיים'!$B$5:$B$357,SMALL('ערכים טכנולוגיים'!$P$5:$P$357,10)),"")</f>
        <v/>
      </c>
      <c r="C22">
        <f>IFERROR(INDEX('ערכים טכנולוגיים'!$C$5:$C$357,SMALL('ערכים טכנולוגיים'!$P$5:$P$357,10)),"")</f>
        <v/>
      </c>
      <c r="D22">
        <f>IFERROR(INDEX('ערכים טכנולוגיים'!$D$5:$D$357,SMALL('ערכים טכנולוגיים'!$P$5:$P$357,10)),"")</f>
        <v/>
      </c>
      <c r="E22">
        <f>IFERROR(INDEX('ערכים טכנולוגיים'!$E$5:$E$357,SMALL('ערכים טכנולוגיים'!$P$5:$P$357,10)),"")</f>
        <v/>
      </c>
      <c r="F22">
        <f>IFERROR(INDEX('ערכים טכנולוגיים'!$F$5:$F$357,SMALL('ערכים טכנולוגיים'!$P$5:$P$357,10)),"")</f>
        <v/>
      </c>
      <c r="G22">
        <f>IFERROR(INDEX('ערכים טכנולוגיים'!$G$5:$G$357,SMALL('ערכים טכנולוגיים'!$P$5:$P$357,10)),"")</f>
        <v/>
      </c>
      <c r="H22">
        <f>IFERROR(INDEX('ערכים טכנולוגיים'!$H$5:$H$357,SMALL('ערכים טכנולוגיים'!$P$5:$P$357,10)),"")</f>
        <v/>
      </c>
      <c r="I22">
        <f>IFERROR(INDEX('ערכים טכנולוגיים'!$I$5:$I$357,SMALL('ערכים טכנולוגיים'!$P$5:$P$357,10)),"")</f>
        <v/>
      </c>
      <c r="J22">
        <f>IFERROR(INDEX('ערכים טכנולוגיים'!$J$5:$J$357,SMALL('ערכים טכנולוגיים'!$P$5:$P$357,10)),"")</f>
        <v/>
      </c>
      <c r="K22">
        <f>IFERROR(INDEX('ערכים טכנולוגיים'!$K$5:$K$357,SMALL('ערכים טכנולוגיים'!$P$5:$P$357,10)),"")</f>
        <v/>
      </c>
      <c r="L22">
        <f>IFERROR(INDEX('ערכים טכנולוגיים'!$L$5:$L$357,SMALL('ערכים טכנולוגיים'!$P$5:$P$357,10)),"")</f>
        <v/>
      </c>
      <c r="M22">
        <f>IFERROR(INDEX('ערכים טכנולוגיים'!$M$5:$M$357,SMALL('ערכים טכנולוגיים'!$P$5:$P$357,10)),"")</f>
        <v/>
      </c>
      <c r="N22">
        <f>IFERROR(INDEX('ערכים טכנולוגיים'!$N$5:$N$357,SMALL('ערכים טכנולוגיים'!$P$5:$P$357,10)),"")</f>
        <v/>
      </c>
      <c r="O22">
        <f>IFERROR(INDEX('ערכים טכנולוגיים'!$O$5:$O$357,SMALL('ערכים טכנולוגיים'!$P$5:$P$357,10)),"")</f>
        <v/>
      </c>
    </row>
    <row r="23">
      <c r="A23">
        <f>IFERROR(INDEX('ערכים טכנולוגיים'!$A$5:$A$357,SMALL('ערכים טכנולוגיים'!$P$5:$P$357,11)),"")</f>
        <v/>
      </c>
      <c r="B23">
        <f>IFERROR(INDEX('ערכים טכנולוגיים'!$B$5:$B$357,SMALL('ערכים טכנולוגיים'!$P$5:$P$357,11)),"")</f>
        <v/>
      </c>
      <c r="C23">
        <f>IFERROR(INDEX('ערכים טכנולוגיים'!$C$5:$C$357,SMALL('ערכים טכנולוגיים'!$P$5:$P$357,11)),"")</f>
        <v/>
      </c>
      <c r="D23">
        <f>IFERROR(INDEX('ערכים טכנולוגיים'!$D$5:$D$357,SMALL('ערכים טכנולוגיים'!$P$5:$P$357,11)),"")</f>
        <v/>
      </c>
      <c r="E23">
        <f>IFERROR(INDEX('ערכים טכנולוגיים'!$E$5:$E$357,SMALL('ערכים טכנולוגיים'!$P$5:$P$357,11)),"")</f>
        <v/>
      </c>
      <c r="F23">
        <f>IFERROR(INDEX('ערכים טכנולוגיים'!$F$5:$F$357,SMALL('ערכים טכנולוגיים'!$P$5:$P$357,11)),"")</f>
        <v/>
      </c>
      <c r="G23">
        <f>IFERROR(INDEX('ערכים טכנולוגיים'!$G$5:$G$357,SMALL('ערכים טכנולוגיים'!$P$5:$P$357,11)),"")</f>
        <v/>
      </c>
      <c r="H23">
        <f>IFERROR(INDEX('ערכים טכנולוגיים'!$H$5:$H$357,SMALL('ערכים טכנולוגיים'!$P$5:$P$357,11)),"")</f>
        <v/>
      </c>
      <c r="I23">
        <f>IFERROR(INDEX('ערכים טכנולוגיים'!$I$5:$I$357,SMALL('ערכים טכנולוגיים'!$P$5:$P$357,11)),"")</f>
        <v/>
      </c>
      <c r="J23">
        <f>IFERROR(INDEX('ערכים טכנולוגיים'!$J$5:$J$357,SMALL('ערכים טכנולוגיים'!$P$5:$P$357,11)),"")</f>
        <v/>
      </c>
      <c r="K23">
        <f>IFERROR(INDEX('ערכים טכנולוגיים'!$K$5:$K$357,SMALL('ערכים טכנולוגיים'!$P$5:$P$357,11)),"")</f>
        <v/>
      </c>
      <c r="L23">
        <f>IFERROR(INDEX('ערכים טכנולוגיים'!$L$5:$L$357,SMALL('ערכים טכנולוגיים'!$P$5:$P$357,11)),"")</f>
        <v/>
      </c>
      <c r="M23">
        <f>IFERROR(INDEX('ערכים טכנולוגיים'!$M$5:$M$357,SMALL('ערכים טכנולוגיים'!$P$5:$P$357,11)),"")</f>
        <v/>
      </c>
      <c r="N23">
        <f>IFERROR(INDEX('ערכים טכנולוגיים'!$N$5:$N$357,SMALL('ערכים טכנולוגיים'!$P$5:$P$357,11)),"")</f>
        <v/>
      </c>
      <c r="O23">
        <f>IFERROR(INDEX('ערכים טכנולוגיים'!$O$5:$O$357,SMALL('ערכים טכנולוגיים'!$P$5:$P$357,11)),"")</f>
        <v/>
      </c>
    </row>
    <row r="24">
      <c r="A24">
        <f>IFERROR(INDEX('ערכים טכנולוגיים'!$A$5:$A$357,SMALL('ערכים טכנולוגיים'!$P$5:$P$357,12)),"")</f>
        <v/>
      </c>
      <c r="B24">
        <f>IFERROR(INDEX('ערכים טכנולוגיים'!$B$5:$B$357,SMALL('ערכים טכנולוגיים'!$P$5:$P$357,12)),"")</f>
        <v/>
      </c>
      <c r="C24">
        <f>IFERROR(INDEX('ערכים טכנולוגיים'!$C$5:$C$357,SMALL('ערכים טכנולוגיים'!$P$5:$P$357,12)),"")</f>
        <v/>
      </c>
      <c r="D24">
        <f>IFERROR(INDEX('ערכים טכנולוגיים'!$D$5:$D$357,SMALL('ערכים טכנולוגיים'!$P$5:$P$357,12)),"")</f>
        <v/>
      </c>
      <c r="E24">
        <f>IFERROR(INDEX('ערכים טכנולוגיים'!$E$5:$E$357,SMALL('ערכים טכנולוגיים'!$P$5:$P$357,12)),"")</f>
        <v/>
      </c>
      <c r="F24">
        <f>IFERROR(INDEX('ערכים טכנולוגיים'!$F$5:$F$357,SMALL('ערכים טכנולוגיים'!$P$5:$P$357,12)),"")</f>
        <v/>
      </c>
      <c r="G24">
        <f>IFERROR(INDEX('ערכים טכנולוגיים'!$G$5:$G$357,SMALL('ערכים טכנולוגיים'!$P$5:$P$357,12)),"")</f>
        <v/>
      </c>
      <c r="H24">
        <f>IFERROR(INDEX('ערכים טכנולוגיים'!$H$5:$H$357,SMALL('ערכים טכנולוגיים'!$P$5:$P$357,12)),"")</f>
        <v/>
      </c>
      <c r="I24">
        <f>IFERROR(INDEX('ערכים טכנולוגיים'!$I$5:$I$357,SMALL('ערכים טכנולוגיים'!$P$5:$P$357,12)),"")</f>
        <v/>
      </c>
      <c r="J24">
        <f>IFERROR(INDEX('ערכים טכנולוגיים'!$J$5:$J$357,SMALL('ערכים טכנולוגיים'!$P$5:$P$357,12)),"")</f>
        <v/>
      </c>
      <c r="K24">
        <f>IFERROR(INDEX('ערכים טכנולוגיים'!$K$5:$K$357,SMALL('ערכים טכנולוגיים'!$P$5:$P$357,12)),"")</f>
        <v/>
      </c>
      <c r="L24">
        <f>IFERROR(INDEX('ערכים טכנולוגיים'!$L$5:$L$357,SMALL('ערכים טכנולוגיים'!$P$5:$P$357,12)),"")</f>
        <v/>
      </c>
      <c r="M24">
        <f>IFERROR(INDEX('ערכים טכנולוגיים'!$M$5:$M$357,SMALL('ערכים טכנולוגיים'!$P$5:$P$357,12)),"")</f>
        <v/>
      </c>
      <c r="N24">
        <f>IFERROR(INDEX('ערכים טכנולוגיים'!$N$5:$N$357,SMALL('ערכים טכנולוגיים'!$P$5:$P$357,12)),"")</f>
        <v/>
      </c>
      <c r="O24">
        <f>IFERROR(INDEX('ערכים טכנולוגיים'!$O$5:$O$357,SMALL('ערכים טכנולוגיים'!$P$5:$P$357,12)),"")</f>
        <v/>
      </c>
    </row>
    <row r="25">
      <c r="A25">
        <f>IFERROR(INDEX('ערכים טכנולוגיים'!$A$5:$A$357,SMALL('ערכים טכנולוגיים'!$P$5:$P$357,13)),"")</f>
        <v/>
      </c>
      <c r="B25">
        <f>IFERROR(INDEX('ערכים טכנולוגיים'!$B$5:$B$357,SMALL('ערכים טכנולוגיים'!$P$5:$P$357,13)),"")</f>
        <v/>
      </c>
      <c r="C25">
        <f>IFERROR(INDEX('ערכים טכנולוגיים'!$C$5:$C$357,SMALL('ערכים טכנולוגיים'!$P$5:$P$357,13)),"")</f>
        <v/>
      </c>
      <c r="D25">
        <f>IFERROR(INDEX('ערכים טכנולוגיים'!$D$5:$D$357,SMALL('ערכים טכנולוגיים'!$P$5:$P$357,13)),"")</f>
        <v/>
      </c>
      <c r="E25">
        <f>IFERROR(INDEX('ערכים טכנולוגיים'!$E$5:$E$357,SMALL('ערכים טכנולוגיים'!$P$5:$P$357,13)),"")</f>
        <v/>
      </c>
      <c r="F25">
        <f>IFERROR(INDEX('ערכים טכנולוגיים'!$F$5:$F$357,SMALL('ערכים טכנולוגיים'!$P$5:$P$357,13)),"")</f>
        <v/>
      </c>
      <c r="G25">
        <f>IFERROR(INDEX('ערכים טכנולוגיים'!$G$5:$G$357,SMALL('ערכים טכנולוגיים'!$P$5:$P$357,13)),"")</f>
        <v/>
      </c>
      <c r="H25">
        <f>IFERROR(INDEX('ערכים טכנולוגיים'!$H$5:$H$357,SMALL('ערכים טכנולוגיים'!$P$5:$P$357,13)),"")</f>
        <v/>
      </c>
      <c r="I25">
        <f>IFERROR(INDEX('ערכים טכנולוגיים'!$I$5:$I$357,SMALL('ערכים טכנולוגיים'!$P$5:$P$357,13)),"")</f>
        <v/>
      </c>
      <c r="J25">
        <f>IFERROR(INDEX('ערכים טכנולוגיים'!$J$5:$J$357,SMALL('ערכים טכנולוגיים'!$P$5:$P$357,13)),"")</f>
        <v/>
      </c>
      <c r="K25">
        <f>IFERROR(INDEX('ערכים טכנולוגיים'!$K$5:$K$357,SMALL('ערכים טכנולוגיים'!$P$5:$P$357,13)),"")</f>
        <v/>
      </c>
      <c r="L25">
        <f>IFERROR(INDEX('ערכים טכנולוגיים'!$L$5:$L$357,SMALL('ערכים טכנולוגיים'!$P$5:$P$357,13)),"")</f>
        <v/>
      </c>
      <c r="M25">
        <f>IFERROR(INDEX('ערכים טכנולוגיים'!$M$5:$M$357,SMALL('ערכים טכנולוגיים'!$P$5:$P$357,13)),"")</f>
        <v/>
      </c>
      <c r="N25">
        <f>IFERROR(INDEX('ערכים טכנולוגיים'!$N$5:$N$357,SMALL('ערכים טכנולוגיים'!$P$5:$P$357,13)),"")</f>
        <v/>
      </c>
      <c r="O25">
        <f>IFERROR(INDEX('ערכים טכנולוגיים'!$O$5:$O$357,SMALL('ערכים טכנולוגיים'!$P$5:$P$357,13)),"")</f>
        <v/>
      </c>
    </row>
    <row r="26">
      <c r="A26">
        <f>IFERROR(INDEX('ערכים טכנולוגיים'!$A$5:$A$357,SMALL('ערכים טכנולוגיים'!$P$5:$P$357,14)),"")</f>
        <v/>
      </c>
      <c r="B26">
        <f>IFERROR(INDEX('ערכים טכנולוגיים'!$B$5:$B$357,SMALL('ערכים טכנולוגיים'!$P$5:$P$357,14)),"")</f>
        <v/>
      </c>
      <c r="C26">
        <f>IFERROR(INDEX('ערכים טכנולוגיים'!$C$5:$C$357,SMALL('ערכים טכנולוגיים'!$P$5:$P$357,14)),"")</f>
        <v/>
      </c>
      <c r="D26">
        <f>IFERROR(INDEX('ערכים טכנולוגיים'!$D$5:$D$357,SMALL('ערכים טכנולוגיים'!$P$5:$P$357,14)),"")</f>
        <v/>
      </c>
      <c r="E26">
        <f>IFERROR(INDEX('ערכים טכנולוגיים'!$E$5:$E$357,SMALL('ערכים טכנולוגיים'!$P$5:$P$357,14)),"")</f>
        <v/>
      </c>
      <c r="F26">
        <f>IFERROR(INDEX('ערכים טכנולוגיים'!$F$5:$F$357,SMALL('ערכים טכנולוגיים'!$P$5:$P$357,14)),"")</f>
        <v/>
      </c>
      <c r="G26">
        <f>IFERROR(INDEX('ערכים טכנולוגיים'!$G$5:$G$357,SMALL('ערכים טכנולוגיים'!$P$5:$P$357,14)),"")</f>
        <v/>
      </c>
      <c r="H26">
        <f>IFERROR(INDEX('ערכים טכנולוגיים'!$H$5:$H$357,SMALL('ערכים טכנולוגיים'!$P$5:$P$357,14)),"")</f>
        <v/>
      </c>
      <c r="I26">
        <f>IFERROR(INDEX('ערכים טכנולוגיים'!$I$5:$I$357,SMALL('ערכים טכנולוגיים'!$P$5:$P$357,14)),"")</f>
        <v/>
      </c>
      <c r="J26">
        <f>IFERROR(INDEX('ערכים טכנולוגיים'!$J$5:$J$357,SMALL('ערכים טכנולוגיים'!$P$5:$P$357,14)),"")</f>
        <v/>
      </c>
      <c r="K26">
        <f>IFERROR(INDEX('ערכים טכנולוגיים'!$K$5:$K$357,SMALL('ערכים טכנולוגיים'!$P$5:$P$357,14)),"")</f>
        <v/>
      </c>
      <c r="L26">
        <f>IFERROR(INDEX('ערכים טכנולוגיים'!$L$5:$L$357,SMALL('ערכים טכנולוגיים'!$P$5:$P$357,14)),"")</f>
        <v/>
      </c>
      <c r="M26">
        <f>IFERROR(INDEX('ערכים טכנולוגיים'!$M$5:$M$357,SMALL('ערכים טכנולוגיים'!$P$5:$P$357,14)),"")</f>
        <v/>
      </c>
      <c r="N26">
        <f>IFERROR(INDEX('ערכים טכנולוגיים'!$N$5:$N$357,SMALL('ערכים טכנולוגיים'!$P$5:$P$357,14)),"")</f>
        <v/>
      </c>
      <c r="O26">
        <f>IFERROR(INDEX('ערכים טכנולוגיים'!$O$5:$O$357,SMALL('ערכים טכנולוגיים'!$P$5:$P$357,14)),"")</f>
        <v/>
      </c>
    </row>
    <row r="27">
      <c r="A27">
        <f>IFERROR(INDEX('ערכים טכנולוגיים'!$A$5:$A$357,SMALL('ערכים טכנולוגיים'!$P$5:$P$357,15)),"")</f>
        <v/>
      </c>
      <c r="B27">
        <f>IFERROR(INDEX('ערכים טכנולוגיים'!$B$5:$B$357,SMALL('ערכים טכנולוגיים'!$P$5:$P$357,15)),"")</f>
        <v/>
      </c>
      <c r="C27">
        <f>IFERROR(INDEX('ערכים טכנולוגיים'!$C$5:$C$357,SMALL('ערכים טכנולוגיים'!$P$5:$P$357,15)),"")</f>
        <v/>
      </c>
      <c r="D27">
        <f>IFERROR(INDEX('ערכים טכנולוגיים'!$D$5:$D$357,SMALL('ערכים טכנולוגיים'!$P$5:$P$357,15)),"")</f>
        <v/>
      </c>
      <c r="E27">
        <f>IFERROR(INDEX('ערכים טכנולוגיים'!$E$5:$E$357,SMALL('ערכים טכנולוגיים'!$P$5:$P$357,15)),"")</f>
        <v/>
      </c>
      <c r="F27">
        <f>IFERROR(INDEX('ערכים טכנולוגיים'!$F$5:$F$357,SMALL('ערכים טכנולוגיים'!$P$5:$P$357,15)),"")</f>
        <v/>
      </c>
      <c r="G27">
        <f>IFERROR(INDEX('ערכים טכנולוגיים'!$G$5:$G$357,SMALL('ערכים טכנולוגיים'!$P$5:$P$357,15)),"")</f>
        <v/>
      </c>
      <c r="H27">
        <f>IFERROR(INDEX('ערכים טכנולוגיים'!$H$5:$H$357,SMALL('ערכים טכנולוגיים'!$P$5:$P$357,15)),"")</f>
        <v/>
      </c>
      <c r="I27">
        <f>IFERROR(INDEX('ערכים טכנולוגיים'!$I$5:$I$357,SMALL('ערכים טכנולוגיים'!$P$5:$P$357,15)),"")</f>
        <v/>
      </c>
      <c r="J27">
        <f>IFERROR(INDEX('ערכים טכנולוגיים'!$J$5:$J$357,SMALL('ערכים טכנולוגיים'!$P$5:$P$357,15)),"")</f>
        <v/>
      </c>
      <c r="K27">
        <f>IFERROR(INDEX('ערכים טכנולוגיים'!$K$5:$K$357,SMALL('ערכים טכנולוגיים'!$P$5:$P$357,15)),"")</f>
        <v/>
      </c>
      <c r="L27">
        <f>IFERROR(INDEX('ערכים טכנולוגיים'!$L$5:$L$357,SMALL('ערכים טכנולוגיים'!$P$5:$P$357,15)),"")</f>
        <v/>
      </c>
      <c r="M27">
        <f>IFERROR(INDEX('ערכים טכנולוגיים'!$M$5:$M$357,SMALL('ערכים טכנולוגיים'!$P$5:$P$357,15)),"")</f>
        <v/>
      </c>
      <c r="N27">
        <f>IFERROR(INDEX('ערכים טכנולוגיים'!$N$5:$N$357,SMALL('ערכים טכנולוגיים'!$P$5:$P$357,15)),"")</f>
        <v/>
      </c>
      <c r="O27">
        <f>IFERROR(INDEX('ערכים טכנולוגיים'!$O$5:$O$357,SMALL('ערכים טכנולוגיים'!$P$5:$P$357,15)),"")</f>
        <v/>
      </c>
    </row>
    <row r="28">
      <c r="A28">
        <f>IFERROR(INDEX('ערכים טכנולוגיים'!$A$5:$A$357,SMALL('ערכים טכנולוגיים'!$P$5:$P$357,16)),"")</f>
        <v/>
      </c>
      <c r="B28">
        <f>IFERROR(INDEX('ערכים טכנולוגיים'!$B$5:$B$357,SMALL('ערכים טכנולוגיים'!$P$5:$P$357,16)),"")</f>
        <v/>
      </c>
      <c r="C28">
        <f>IFERROR(INDEX('ערכים טכנולוגיים'!$C$5:$C$357,SMALL('ערכים טכנולוגיים'!$P$5:$P$357,16)),"")</f>
        <v/>
      </c>
      <c r="D28">
        <f>IFERROR(INDEX('ערכים טכנולוגיים'!$D$5:$D$357,SMALL('ערכים טכנולוגיים'!$P$5:$P$357,16)),"")</f>
        <v/>
      </c>
      <c r="E28">
        <f>IFERROR(INDEX('ערכים טכנולוגיים'!$E$5:$E$357,SMALL('ערכים טכנולוגיים'!$P$5:$P$357,16)),"")</f>
        <v/>
      </c>
      <c r="F28">
        <f>IFERROR(INDEX('ערכים טכנולוגיים'!$F$5:$F$357,SMALL('ערכים טכנולוגיים'!$P$5:$P$357,16)),"")</f>
        <v/>
      </c>
      <c r="G28">
        <f>IFERROR(INDEX('ערכים טכנולוגיים'!$G$5:$G$357,SMALL('ערכים טכנולוגיים'!$P$5:$P$357,16)),"")</f>
        <v/>
      </c>
      <c r="H28">
        <f>IFERROR(INDEX('ערכים טכנולוגיים'!$H$5:$H$357,SMALL('ערכים טכנולוגיים'!$P$5:$P$357,16)),"")</f>
        <v/>
      </c>
      <c r="I28">
        <f>IFERROR(INDEX('ערכים טכנולוגיים'!$I$5:$I$357,SMALL('ערכים טכנולוגיים'!$P$5:$P$357,16)),"")</f>
        <v/>
      </c>
      <c r="J28">
        <f>IFERROR(INDEX('ערכים טכנולוגיים'!$J$5:$J$357,SMALL('ערכים טכנולוגיים'!$P$5:$P$357,16)),"")</f>
        <v/>
      </c>
      <c r="K28">
        <f>IFERROR(INDEX('ערכים טכנולוגיים'!$K$5:$K$357,SMALL('ערכים טכנולוגיים'!$P$5:$P$357,16)),"")</f>
        <v/>
      </c>
      <c r="L28">
        <f>IFERROR(INDEX('ערכים טכנולוגיים'!$L$5:$L$357,SMALL('ערכים טכנולוגיים'!$P$5:$P$357,16)),"")</f>
        <v/>
      </c>
      <c r="M28">
        <f>IFERROR(INDEX('ערכים טכנולוגיים'!$M$5:$M$357,SMALL('ערכים טכנולוגיים'!$P$5:$P$357,16)),"")</f>
        <v/>
      </c>
      <c r="N28">
        <f>IFERROR(INDEX('ערכים טכנולוגיים'!$N$5:$N$357,SMALL('ערכים טכנולוגיים'!$P$5:$P$357,16)),"")</f>
        <v/>
      </c>
      <c r="O28">
        <f>IFERROR(INDEX('ערכים טכנולוגיים'!$O$5:$O$357,SMALL('ערכים טכנולוגיים'!$P$5:$P$357,16)),"")</f>
        <v/>
      </c>
    </row>
    <row r="29">
      <c r="A29">
        <f>IFERROR(INDEX('ערכים טכנולוגיים'!$A$5:$A$357,SMALL('ערכים טכנולוגיים'!$P$5:$P$357,17)),"")</f>
        <v/>
      </c>
      <c r="B29">
        <f>IFERROR(INDEX('ערכים טכנולוגיים'!$B$5:$B$357,SMALL('ערכים טכנולוגיים'!$P$5:$P$357,17)),"")</f>
        <v/>
      </c>
      <c r="C29">
        <f>IFERROR(INDEX('ערכים טכנולוגיים'!$C$5:$C$357,SMALL('ערכים טכנולוגיים'!$P$5:$P$357,17)),"")</f>
        <v/>
      </c>
      <c r="D29">
        <f>IFERROR(INDEX('ערכים טכנולוגיים'!$D$5:$D$357,SMALL('ערכים טכנולוגיים'!$P$5:$P$357,17)),"")</f>
        <v/>
      </c>
      <c r="E29">
        <f>IFERROR(INDEX('ערכים טכנולוגיים'!$E$5:$E$357,SMALL('ערכים טכנולוגיים'!$P$5:$P$357,17)),"")</f>
        <v/>
      </c>
      <c r="F29">
        <f>IFERROR(INDEX('ערכים טכנולוגיים'!$F$5:$F$357,SMALL('ערכים טכנולוגיים'!$P$5:$P$357,17)),"")</f>
        <v/>
      </c>
      <c r="G29">
        <f>IFERROR(INDEX('ערכים טכנולוגיים'!$G$5:$G$357,SMALL('ערכים טכנולוגיים'!$P$5:$P$357,17)),"")</f>
        <v/>
      </c>
      <c r="H29">
        <f>IFERROR(INDEX('ערכים טכנולוגיים'!$H$5:$H$357,SMALL('ערכים טכנולוגיים'!$P$5:$P$357,17)),"")</f>
        <v/>
      </c>
      <c r="I29">
        <f>IFERROR(INDEX('ערכים טכנולוגיים'!$I$5:$I$357,SMALL('ערכים טכנולוגיים'!$P$5:$P$357,17)),"")</f>
        <v/>
      </c>
      <c r="J29">
        <f>IFERROR(INDEX('ערכים טכנולוגיים'!$J$5:$J$357,SMALL('ערכים טכנולוגיים'!$P$5:$P$357,17)),"")</f>
        <v/>
      </c>
      <c r="K29">
        <f>IFERROR(INDEX('ערכים טכנולוגיים'!$K$5:$K$357,SMALL('ערכים טכנולוגיים'!$P$5:$P$357,17)),"")</f>
        <v/>
      </c>
      <c r="L29">
        <f>IFERROR(INDEX('ערכים טכנולוגיים'!$L$5:$L$357,SMALL('ערכים טכנולוגיים'!$P$5:$P$357,17)),"")</f>
        <v/>
      </c>
      <c r="M29">
        <f>IFERROR(INDEX('ערכים טכנולוגיים'!$M$5:$M$357,SMALL('ערכים טכנולוגיים'!$P$5:$P$357,17)),"")</f>
        <v/>
      </c>
      <c r="N29">
        <f>IFERROR(INDEX('ערכים טכנולוגיים'!$N$5:$N$357,SMALL('ערכים טכנולוגיים'!$P$5:$P$357,17)),"")</f>
        <v/>
      </c>
      <c r="O29">
        <f>IFERROR(INDEX('ערכים טכנולוגיים'!$O$5:$O$357,SMALL('ערכים טכנולוגיים'!$P$5:$P$357,17)),"")</f>
        <v/>
      </c>
    </row>
    <row r="30">
      <c r="A30">
        <f>IFERROR(INDEX('ערכים טכנולוגיים'!$A$5:$A$357,SMALL('ערכים טכנולוגיים'!$P$5:$P$357,18)),"")</f>
        <v/>
      </c>
      <c r="B30">
        <f>IFERROR(INDEX('ערכים טכנולוגיים'!$B$5:$B$357,SMALL('ערכים טכנולוגיים'!$P$5:$P$357,18)),"")</f>
        <v/>
      </c>
      <c r="C30">
        <f>IFERROR(INDEX('ערכים טכנולוגיים'!$C$5:$C$357,SMALL('ערכים טכנולוגיים'!$P$5:$P$357,18)),"")</f>
        <v/>
      </c>
      <c r="D30">
        <f>IFERROR(INDEX('ערכים טכנולוגיים'!$D$5:$D$357,SMALL('ערכים טכנולוגיים'!$P$5:$P$357,18)),"")</f>
        <v/>
      </c>
      <c r="E30">
        <f>IFERROR(INDEX('ערכים טכנולוגיים'!$E$5:$E$357,SMALL('ערכים טכנולוגיים'!$P$5:$P$357,18)),"")</f>
        <v/>
      </c>
      <c r="F30">
        <f>IFERROR(INDEX('ערכים טכנולוגיים'!$F$5:$F$357,SMALL('ערכים טכנולוגיים'!$P$5:$P$357,18)),"")</f>
        <v/>
      </c>
      <c r="G30">
        <f>IFERROR(INDEX('ערכים טכנולוגיים'!$G$5:$G$357,SMALL('ערכים טכנולוגיים'!$P$5:$P$357,18)),"")</f>
        <v/>
      </c>
      <c r="H30">
        <f>IFERROR(INDEX('ערכים טכנולוגיים'!$H$5:$H$357,SMALL('ערכים טכנולוגיים'!$P$5:$P$357,18)),"")</f>
        <v/>
      </c>
      <c r="I30">
        <f>IFERROR(INDEX('ערכים טכנולוגיים'!$I$5:$I$357,SMALL('ערכים טכנולוגיים'!$P$5:$P$357,18)),"")</f>
        <v/>
      </c>
      <c r="J30">
        <f>IFERROR(INDEX('ערכים טכנולוגיים'!$J$5:$J$357,SMALL('ערכים טכנולוגיים'!$P$5:$P$357,18)),"")</f>
        <v/>
      </c>
      <c r="K30">
        <f>IFERROR(INDEX('ערכים טכנולוגיים'!$K$5:$K$357,SMALL('ערכים טכנולוגיים'!$P$5:$P$357,18)),"")</f>
        <v/>
      </c>
      <c r="L30">
        <f>IFERROR(INDEX('ערכים טכנולוגיים'!$L$5:$L$357,SMALL('ערכים טכנולוגיים'!$P$5:$P$357,18)),"")</f>
        <v/>
      </c>
      <c r="M30">
        <f>IFERROR(INDEX('ערכים טכנולוגיים'!$M$5:$M$357,SMALL('ערכים טכנולוגיים'!$P$5:$P$357,18)),"")</f>
        <v/>
      </c>
      <c r="N30">
        <f>IFERROR(INDEX('ערכים טכנולוגיים'!$N$5:$N$357,SMALL('ערכים טכנולוגיים'!$P$5:$P$357,18)),"")</f>
        <v/>
      </c>
      <c r="O30">
        <f>IFERROR(INDEX('ערכים טכנולוגיים'!$O$5:$O$357,SMALL('ערכים טכנולוגיים'!$P$5:$P$357,18)),"")</f>
        <v/>
      </c>
    </row>
    <row r="31">
      <c r="A31">
        <f>IFERROR(INDEX('ערכים טכנולוגיים'!$A$5:$A$357,SMALL('ערכים טכנולוגיים'!$P$5:$P$357,19)),"")</f>
        <v/>
      </c>
      <c r="B31">
        <f>IFERROR(INDEX('ערכים טכנולוגיים'!$B$5:$B$357,SMALL('ערכים טכנולוגיים'!$P$5:$P$357,19)),"")</f>
        <v/>
      </c>
      <c r="C31">
        <f>IFERROR(INDEX('ערכים טכנולוגיים'!$C$5:$C$357,SMALL('ערכים טכנולוגיים'!$P$5:$P$357,19)),"")</f>
        <v/>
      </c>
      <c r="D31">
        <f>IFERROR(INDEX('ערכים טכנולוגיים'!$D$5:$D$357,SMALL('ערכים טכנולוגיים'!$P$5:$P$357,19)),"")</f>
        <v/>
      </c>
      <c r="E31">
        <f>IFERROR(INDEX('ערכים טכנולוגיים'!$E$5:$E$357,SMALL('ערכים טכנולוגיים'!$P$5:$P$357,19)),"")</f>
        <v/>
      </c>
      <c r="F31">
        <f>IFERROR(INDEX('ערכים טכנולוגיים'!$F$5:$F$357,SMALL('ערכים טכנולוגיים'!$P$5:$P$357,19)),"")</f>
        <v/>
      </c>
      <c r="G31">
        <f>IFERROR(INDEX('ערכים טכנולוגיים'!$G$5:$G$357,SMALL('ערכים טכנולוגיים'!$P$5:$P$357,19)),"")</f>
        <v/>
      </c>
      <c r="H31">
        <f>IFERROR(INDEX('ערכים טכנולוגיים'!$H$5:$H$357,SMALL('ערכים טכנולוגיים'!$P$5:$P$357,19)),"")</f>
        <v/>
      </c>
      <c r="I31">
        <f>IFERROR(INDEX('ערכים טכנולוגיים'!$I$5:$I$357,SMALL('ערכים טכנולוגיים'!$P$5:$P$357,19)),"")</f>
        <v/>
      </c>
      <c r="J31">
        <f>IFERROR(INDEX('ערכים טכנולוגיים'!$J$5:$J$357,SMALL('ערכים טכנולוגיים'!$P$5:$P$357,19)),"")</f>
        <v/>
      </c>
      <c r="K31">
        <f>IFERROR(INDEX('ערכים טכנולוגיים'!$K$5:$K$357,SMALL('ערכים טכנולוגיים'!$P$5:$P$357,19)),"")</f>
        <v/>
      </c>
      <c r="L31">
        <f>IFERROR(INDEX('ערכים טכנולוגיים'!$L$5:$L$357,SMALL('ערכים טכנולוגיים'!$P$5:$P$357,19)),"")</f>
        <v/>
      </c>
      <c r="M31">
        <f>IFERROR(INDEX('ערכים טכנולוגיים'!$M$5:$M$357,SMALL('ערכים טכנולוגיים'!$P$5:$P$357,19)),"")</f>
        <v/>
      </c>
      <c r="N31">
        <f>IFERROR(INDEX('ערכים טכנולוגיים'!$N$5:$N$357,SMALL('ערכים טכנולוגיים'!$P$5:$P$357,19)),"")</f>
        <v/>
      </c>
      <c r="O31">
        <f>IFERROR(INDEX('ערכים טכנולוגיים'!$O$5:$O$357,SMALL('ערכים טכנולוגיים'!$P$5:$P$357,19)),"")</f>
        <v/>
      </c>
    </row>
    <row r="32">
      <c r="A32">
        <f>IFERROR(INDEX('ערכים טכנולוגיים'!$A$5:$A$357,SMALL('ערכים טכנולוגיים'!$P$5:$P$357,20)),"")</f>
        <v/>
      </c>
      <c r="B32">
        <f>IFERROR(INDEX('ערכים טכנולוגיים'!$B$5:$B$357,SMALL('ערכים טכנולוגיים'!$P$5:$P$357,20)),"")</f>
        <v/>
      </c>
      <c r="C32">
        <f>IFERROR(INDEX('ערכים טכנולוגיים'!$C$5:$C$357,SMALL('ערכים טכנולוגיים'!$P$5:$P$357,20)),"")</f>
        <v/>
      </c>
      <c r="D32">
        <f>IFERROR(INDEX('ערכים טכנולוגיים'!$D$5:$D$357,SMALL('ערכים טכנולוגיים'!$P$5:$P$357,20)),"")</f>
        <v/>
      </c>
      <c r="E32">
        <f>IFERROR(INDEX('ערכים טכנולוגיים'!$E$5:$E$357,SMALL('ערכים טכנולוגיים'!$P$5:$P$357,20)),"")</f>
        <v/>
      </c>
      <c r="F32">
        <f>IFERROR(INDEX('ערכים טכנולוגיים'!$F$5:$F$357,SMALL('ערכים טכנולוגיים'!$P$5:$P$357,20)),"")</f>
        <v/>
      </c>
      <c r="G32">
        <f>IFERROR(INDEX('ערכים טכנולוגיים'!$G$5:$G$357,SMALL('ערכים טכנולוגיים'!$P$5:$P$357,20)),"")</f>
        <v/>
      </c>
      <c r="H32">
        <f>IFERROR(INDEX('ערכים טכנולוגיים'!$H$5:$H$357,SMALL('ערכים טכנולוגיים'!$P$5:$P$357,20)),"")</f>
        <v/>
      </c>
      <c r="I32">
        <f>IFERROR(INDEX('ערכים טכנולוגיים'!$I$5:$I$357,SMALL('ערכים טכנולוגיים'!$P$5:$P$357,20)),"")</f>
        <v/>
      </c>
      <c r="J32">
        <f>IFERROR(INDEX('ערכים טכנולוגיים'!$J$5:$J$357,SMALL('ערכים טכנולוגיים'!$P$5:$P$357,20)),"")</f>
        <v/>
      </c>
      <c r="K32">
        <f>IFERROR(INDEX('ערכים טכנולוגיים'!$K$5:$K$357,SMALL('ערכים טכנולוגיים'!$P$5:$P$357,20)),"")</f>
        <v/>
      </c>
      <c r="L32">
        <f>IFERROR(INDEX('ערכים טכנולוגיים'!$L$5:$L$357,SMALL('ערכים טכנולוגיים'!$P$5:$P$357,20)),"")</f>
        <v/>
      </c>
      <c r="M32">
        <f>IFERROR(INDEX('ערכים טכנולוגיים'!$M$5:$M$357,SMALL('ערכים טכנולוגיים'!$P$5:$P$357,20)),"")</f>
        <v/>
      </c>
      <c r="N32">
        <f>IFERROR(INDEX('ערכים טכנולוגיים'!$N$5:$N$357,SMALL('ערכים טכנולוגיים'!$P$5:$P$357,20)),"")</f>
        <v/>
      </c>
      <c r="O32">
        <f>IFERROR(INDEX('ערכים טכנולוגיים'!$O$5:$O$357,SMALL('ערכים טכנולוגיים'!$P$5:$P$357,20)),"")</f>
        <v/>
      </c>
    </row>
    <row r="33">
      <c r="A33">
        <f>IFERROR(INDEX('ערכים טכנולוגיים'!$A$5:$A$357,SMALL('ערכים טכנולוגיים'!$P$5:$P$357,21)),"")</f>
        <v/>
      </c>
      <c r="B33">
        <f>IFERROR(INDEX('ערכים טכנולוגיים'!$B$5:$B$357,SMALL('ערכים טכנולוגיים'!$P$5:$P$357,21)),"")</f>
        <v/>
      </c>
      <c r="C33">
        <f>IFERROR(INDEX('ערכים טכנולוגיים'!$C$5:$C$357,SMALL('ערכים טכנולוגיים'!$P$5:$P$357,21)),"")</f>
        <v/>
      </c>
      <c r="D33">
        <f>IFERROR(INDEX('ערכים טכנולוגיים'!$D$5:$D$357,SMALL('ערכים טכנולוגיים'!$P$5:$P$357,21)),"")</f>
        <v/>
      </c>
      <c r="E33">
        <f>IFERROR(INDEX('ערכים טכנולוגיים'!$E$5:$E$357,SMALL('ערכים טכנולוגיים'!$P$5:$P$357,21)),"")</f>
        <v/>
      </c>
      <c r="F33">
        <f>IFERROR(INDEX('ערכים טכנולוגיים'!$F$5:$F$357,SMALL('ערכים טכנולוגיים'!$P$5:$P$357,21)),"")</f>
        <v/>
      </c>
      <c r="G33">
        <f>IFERROR(INDEX('ערכים טכנולוגיים'!$G$5:$G$357,SMALL('ערכים טכנולוגיים'!$P$5:$P$357,21)),"")</f>
        <v/>
      </c>
      <c r="H33">
        <f>IFERROR(INDEX('ערכים טכנולוגיים'!$H$5:$H$357,SMALL('ערכים טכנולוגיים'!$P$5:$P$357,21)),"")</f>
        <v/>
      </c>
      <c r="I33">
        <f>IFERROR(INDEX('ערכים טכנולוגיים'!$I$5:$I$357,SMALL('ערכים טכנולוגיים'!$P$5:$P$357,21)),"")</f>
        <v/>
      </c>
      <c r="J33">
        <f>IFERROR(INDEX('ערכים טכנולוגיים'!$J$5:$J$357,SMALL('ערכים טכנולוגיים'!$P$5:$P$357,21)),"")</f>
        <v/>
      </c>
      <c r="K33">
        <f>IFERROR(INDEX('ערכים טכנולוגיים'!$K$5:$K$357,SMALL('ערכים טכנולוגיים'!$P$5:$P$357,21)),"")</f>
        <v/>
      </c>
      <c r="L33">
        <f>IFERROR(INDEX('ערכים טכנולוגיים'!$L$5:$L$357,SMALL('ערכים טכנולוגיים'!$P$5:$P$357,21)),"")</f>
        <v/>
      </c>
      <c r="M33">
        <f>IFERROR(INDEX('ערכים טכנולוגיים'!$M$5:$M$357,SMALL('ערכים טכנולוגיים'!$P$5:$P$357,21)),"")</f>
        <v/>
      </c>
      <c r="N33">
        <f>IFERROR(INDEX('ערכים טכנולוגיים'!$N$5:$N$357,SMALL('ערכים טכנולוגיים'!$P$5:$P$357,21)),"")</f>
        <v/>
      </c>
      <c r="O33">
        <f>IFERROR(INDEX('ערכים טכנולוגיים'!$O$5:$O$357,SMALL('ערכים טכנולוגיים'!$P$5:$P$357,21)),"")</f>
        <v/>
      </c>
    </row>
    <row r="34">
      <c r="A34">
        <f>IFERROR(INDEX('ערכים טכנולוגיים'!$A$5:$A$357,SMALL('ערכים טכנולוגיים'!$P$5:$P$357,22)),"")</f>
        <v/>
      </c>
      <c r="B34">
        <f>IFERROR(INDEX('ערכים טכנולוגיים'!$B$5:$B$357,SMALL('ערכים טכנולוגיים'!$P$5:$P$357,22)),"")</f>
        <v/>
      </c>
      <c r="C34">
        <f>IFERROR(INDEX('ערכים טכנולוגיים'!$C$5:$C$357,SMALL('ערכים טכנולוגיים'!$P$5:$P$357,22)),"")</f>
        <v/>
      </c>
      <c r="D34">
        <f>IFERROR(INDEX('ערכים טכנולוגיים'!$D$5:$D$357,SMALL('ערכים טכנולוגיים'!$P$5:$P$357,22)),"")</f>
        <v/>
      </c>
      <c r="E34">
        <f>IFERROR(INDEX('ערכים טכנולוגיים'!$E$5:$E$357,SMALL('ערכים טכנולוגיים'!$P$5:$P$357,22)),"")</f>
        <v/>
      </c>
      <c r="F34">
        <f>IFERROR(INDEX('ערכים טכנולוגיים'!$F$5:$F$357,SMALL('ערכים טכנולוגיים'!$P$5:$P$357,22)),"")</f>
        <v/>
      </c>
      <c r="G34">
        <f>IFERROR(INDEX('ערכים טכנולוגיים'!$G$5:$G$357,SMALL('ערכים טכנולוגיים'!$P$5:$P$357,22)),"")</f>
        <v/>
      </c>
      <c r="H34">
        <f>IFERROR(INDEX('ערכים טכנולוגיים'!$H$5:$H$357,SMALL('ערכים טכנולוגיים'!$P$5:$P$357,22)),"")</f>
        <v/>
      </c>
      <c r="I34">
        <f>IFERROR(INDEX('ערכים טכנולוגיים'!$I$5:$I$357,SMALL('ערכים טכנולוגיים'!$P$5:$P$357,22)),"")</f>
        <v/>
      </c>
      <c r="J34">
        <f>IFERROR(INDEX('ערכים טכנולוגיים'!$J$5:$J$357,SMALL('ערכים טכנולוגיים'!$P$5:$P$357,22)),"")</f>
        <v/>
      </c>
      <c r="K34">
        <f>IFERROR(INDEX('ערכים טכנולוגיים'!$K$5:$K$357,SMALL('ערכים טכנולוגיים'!$P$5:$P$357,22)),"")</f>
        <v/>
      </c>
      <c r="L34">
        <f>IFERROR(INDEX('ערכים טכנולוגיים'!$L$5:$L$357,SMALL('ערכים טכנולוגיים'!$P$5:$P$357,22)),"")</f>
        <v/>
      </c>
      <c r="M34">
        <f>IFERROR(INDEX('ערכים טכנולוגיים'!$M$5:$M$357,SMALL('ערכים טכנולוגיים'!$P$5:$P$357,22)),"")</f>
        <v/>
      </c>
      <c r="N34">
        <f>IFERROR(INDEX('ערכים טכנולוגיים'!$N$5:$N$357,SMALL('ערכים טכנולוגיים'!$P$5:$P$357,22)),"")</f>
        <v/>
      </c>
      <c r="O34">
        <f>IFERROR(INDEX('ערכים טכנולוגיים'!$O$5:$O$357,SMALL('ערכים טכנולוגיים'!$P$5:$P$357,22)),"")</f>
        <v/>
      </c>
    </row>
    <row r="35">
      <c r="A35">
        <f>IFERROR(INDEX('ערכים טכנולוגיים'!$A$5:$A$357,SMALL('ערכים טכנולוגיים'!$P$5:$P$357,23)),"")</f>
        <v/>
      </c>
      <c r="B35">
        <f>IFERROR(INDEX('ערכים טכנולוגיים'!$B$5:$B$357,SMALL('ערכים טכנולוגיים'!$P$5:$P$357,23)),"")</f>
        <v/>
      </c>
      <c r="C35">
        <f>IFERROR(INDEX('ערכים טכנולוגיים'!$C$5:$C$357,SMALL('ערכים טכנולוגיים'!$P$5:$P$357,23)),"")</f>
        <v/>
      </c>
      <c r="D35">
        <f>IFERROR(INDEX('ערכים טכנולוגיים'!$D$5:$D$357,SMALL('ערכים טכנולוגיים'!$P$5:$P$357,23)),"")</f>
        <v/>
      </c>
      <c r="E35">
        <f>IFERROR(INDEX('ערכים טכנולוגיים'!$E$5:$E$357,SMALL('ערכים טכנולוגיים'!$P$5:$P$357,23)),"")</f>
        <v/>
      </c>
      <c r="F35">
        <f>IFERROR(INDEX('ערכים טכנולוגיים'!$F$5:$F$357,SMALL('ערכים טכנולוגיים'!$P$5:$P$357,23)),"")</f>
        <v/>
      </c>
      <c r="G35">
        <f>IFERROR(INDEX('ערכים טכנולוגיים'!$G$5:$G$357,SMALL('ערכים טכנולוגיים'!$P$5:$P$357,23)),"")</f>
        <v/>
      </c>
      <c r="H35">
        <f>IFERROR(INDEX('ערכים טכנולוגיים'!$H$5:$H$357,SMALL('ערכים טכנולוגיים'!$P$5:$P$357,23)),"")</f>
        <v/>
      </c>
      <c r="I35">
        <f>IFERROR(INDEX('ערכים טכנולוגיים'!$I$5:$I$357,SMALL('ערכים טכנולוגיים'!$P$5:$P$357,23)),"")</f>
        <v/>
      </c>
      <c r="J35">
        <f>IFERROR(INDEX('ערכים טכנולוגיים'!$J$5:$J$357,SMALL('ערכים טכנולוגיים'!$P$5:$P$357,23)),"")</f>
        <v/>
      </c>
      <c r="K35">
        <f>IFERROR(INDEX('ערכים טכנולוגיים'!$K$5:$K$357,SMALL('ערכים טכנולוגיים'!$P$5:$P$357,23)),"")</f>
        <v/>
      </c>
      <c r="L35">
        <f>IFERROR(INDEX('ערכים טכנולוגיים'!$L$5:$L$357,SMALL('ערכים טכנולוגיים'!$P$5:$P$357,23)),"")</f>
        <v/>
      </c>
      <c r="M35">
        <f>IFERROR(INDEX('ערכים טכנולוגיים'!$M$5:$M$357,SMALL('ערכים טכנולוגיים'!$P$5:$P$357,23)),"")</f>
        <v/>
      </c>
      <c r="N35">
        <f>IFERROR(INDEX('ערכים טכנולוגיים'!$N$5:$N$357,SMALL('ערכים טכנולוגיים'!$P$5:$P$357,23)),"")</f>
        <v/>
      </c>
      <c r="O35">
        <f>IFERROR(INDEX('ערכים טכנולוגיים'!$O$5:$O$357,SMALL('ערכים טכנולוגיים'!$P$5:$P$357,23)),"")</f>
        <v/>
      </c>
    </row>
    <row r="36">
      <c r="A36">
        <f>IFERROR(INDEX('ערכים טכנולוגיים'!$A$5:$A$357,SMALL('ערכים טכנולוגיים'!$P$5:$P$357,24)),"")</f>
        <v/>
      </c>
      <c r="B36">
        <f>IFERROR(INDEX('ערכים טכנולוגיים'!$B$5:$B$357,SMALL('ערכים טכנולוגיים'!$P$5:$P$357,24)),"")</f>
        <v/>
      </c>
      <c r="C36">
        <f>IFERROR(INDEX('ערכים טכנולוגיים'!$C$5:$C$357,SMALL('ערכים טכנולוגיים'!$P$5:$P$357,24)),"")</f>
        <v/>
      </c>
      <c r="D36">
        <f>IFERROR(INDEX('ערכים טכנולוגיים'!$D$5:$D$357,SMALL('ערכים טכנולוגיים'!$P$5:$P$357,24)),"")</f>
        <v/>
      </c>
      <c r="E36">
        <f>IFERROR(INDEX('ערכים טכנולוגיים'!$E$5:$E$357,SMALL('ערכים טכנולוגיים'!$P$5:$P$357,24)),"")</f>
        <v/>
      </c>
      <c r="F36">
        <f>IFERROR(INDEX('ערכים טכנולוגיים'!$F$5:$F$357,SMALL('ערכים טכנולוגיים'!$P$5:$P$357,24)),"")</f>
        <v/>
      </c>
      <c r="G36">
        <f>IFERROR(INDEX('ערכים טכנולוגיים'!$G$5:$G$357,SMALL('ערכים טכנולוגיים'!$P$5:$P$357,24)),"")</f>
        <v/>
      </c>
      <c r="H36">
        <f>IFERROR(INDEX('ערכים טכנולוגיים'!$H$5:$H$357,SMALL('ערכים טכנולוגיים'!$P$5:$P$357,24)),"")</f>
        <v/>
      </c>
      <c r="I36">
        <f>IFERROR(INDEX('ערכים טכנולוגיים'!$I$5:$I$357,SMALL('ערכים טכנולוגיים'!$P$5:$P$357,24)),"")</f>
        <v/>
      </c>
      <c r="J36">
        <f>IFERROR(INDEX('ערכים טכנולוגיים'!$J$5:$J$357,SMALL('ערכים טכנולוגיים'!$P$5:$P$357,24)),"")</f>
        <v/>
      </c>
      <c r="K36">
        <f>IFERROR(INDEX('ערכים טכנולוגיים'!$K$5:$K$357,SMALL('ערכים טכנולוגיים'!$P$5:$P$357,24)),"")</f>
        <v/>
      </c>
      <c r="L36">
        <f>IFERROR(INDEX('ערכים טכנולוגיים'!$L$5:$L$357,SMALL('ערכים טכנולוגיים'!$P$5:$P$357,24)),"")</f>
        <v/>
      </c>
      <c r="M36">
        <f>IFERROR(INDEX('ערכים טכנולוגיים'!$M$5:$M$357,SMALL('ערכים טכנולוגיים'!$P$5:$P$357,24)),"")</f>
        <v/>
      </c>
      <c r="N36">
        <f>IFERROR(INDEX('ערכים טכנולוגיים'!$N$5:$N$357,SMALL('ערכים טכנולוגיים'!$P$5:$P$357,24)),"")</f>
        <v/>
      </c>
      <c r="O36">
        <f>IFERROR(INDEX('ערכים טכנולוגיים'!$O$5:$O$357,SMALL('ערכים טכנולוגיים'!$P$5:$P$357,24)),"")</f>
        <v/>
      </c>
    </row>
    <row r="37">
      <c r="A37">
        <f>IFERROR(INDEX('ערכים טכנולוגיים'!$A$5:$A$357,SMALL('ערכים טכנולוגיים'!$P$5:$P$357,25)),"")</f>
        <v/>
      </c>
      <c r="B37">
        <f>IFERROR(INDEX('ערכים טכנולוגיים'!$B$5:$B$357,SMALL('ערכים טכנולוגיים'!$P$5:$P$357,25)),"")</f>
        <v/>
      </c>
      <c r="C37">
        <f>IFERROR(INDEX('ערכים טכנולוגיים'!$C$5:$C$357,SMALL('ערכים טכנולוגיים'!$P$5:$P$357,25)),"")</f>
        <v/>
      </c>
      <c r="D37">
        <f>IFERROR(INDEX('ערכים טכנולוגיים'!$D$5:$D$357,SMALL('ערכים טכנולוגיים'!$P$5:$P$357,25)),"")</f>
        <v/>
      </c>
      <c r="E37">
        <f>IFERROR(INDEX('ערכים טכנולוגיים'!$E$5:$E$357,SMALL('ערכים טכנולוגיים'!$P$5:$P$357,25)),"")</f>
        <v/>
      </c>
      <c r="F37">
        <f>IFERROR(INDEX('ערכים טכנולוגיים'!$F$5:$F$357,SMALL('ערכים טכנולוגיים'!$P$5:$P$357,25)),"")</f>
        <v/>
      </c>
      <c r="G37">
        <f>IFERROR(INDEX('ערכים טכנולוגיים'!$G$5:$G$357,SMALL('ערכים טכנולוגיים'!$P$5:$P$357,25)),"")</f>
        <v/>
      </c>
      <c r="H37">
        <f>IFERROR(INDEX('ערכים טכנולוגיים'!$H$5:$H$357,SMALL('ערכים טכנולוגיים'!$P$5:$P$357,25)),"")</f>
        <v/>
      </c>
      <c r="I37">
        <f>IFERROR(INDEX('ערכים טכנולוגיים'!$I$5:$I$357,SMALL('ערכים טכנולוגיים'!$P$5:$P$357,25)),"")</f>
        <v/>
      </c>
      <c r="J37">
        <f>IFERROR(INDEX('ערכים טכנולוגיים'!$J$5:$J$357,SMALL('ערכים טכנולוגיים'!$P$5:$P$357,25)),"")</f>
        <v/>
      </c>
      <c r="K37">
        <f>IFERROR(INDEX('ערכים טכנולוגיים'!$K$5:$K$357,SMALL('ערכים טכנולוגיים'!$P$5:$P$357,25)),"")</f>
        <v/>
      </c>
      <c r="L37">
        <f>IFERROR(INDEX('ערכים טכנולוגיים'!$L$5:$L$357,SMALL('ערכים טכנולוגיים'!$P$5:$P$357,25)),"")</f>
        <v/>
      </c>
      <c r="M37">
        <f>IFERROR(INDEX('ערכים טכנולוגיים'!$M$5:$M$357,SMALL('ערכים טכנולוגיים'!$P$5:$P$357,25)),"")</f>
        <v/>
      </c>
      <c r="N37">
        <f>IFERROR(INDEX('ערכים טכנולוגיים'!$N$5:$N$357,SMALL('ערכים טכנולוגיים'!$P$5:$P$357,25)),"")</f>
        <v/>
      </c>
      <c r="O37">
        <f>IFERROR(INDEX('ערכים טכנולוגיים'!$O$5:$O$357,SMALL('ערכים טכנולוגיים'!$P$5:$P$357,25)),"")</f>
        <v/>
      </c>
    </row>
    <row r="38">
      <c r="A38">
        <f>IFERROR(INDEX('ערכים טכנולוגיים'!$A$5:$A$357,SMALL('ערכים טכנולוגיים'!$P$5:$P$357,26)),"")</f>
        <v/>
      </c>
      <c r="B38">
        <f>IFERROR(INDEX('ערכים טכנולוגיים'!$B$5:$B$357,SMALL('ערכים טכנולוגיים'!$P$5:$P$357,26)),"")</f>
        <v/>
      </c>
      <c r="C38">
        <f>IFERROR(INDEX('ערכים טכנולוגיים'!$C$5:$C$357,SMALL('ערכים טכנולוגיים'!$P$5:$P$357,26)),"")</f>
        <v/>
      </c>
      <c r="D38">
        <f>IFERROR(INDEX('ערכים טכנולוגיים'!$D$5:$D$357,SMALL('ערכים טכנולוגיים'!$P$5:$P$357,26)),"")</f>
        <v/>
      </c>
      <c r="E38">
        <f>IFERROR(INDEX('ערכים טכנולוגיים'!$E$5:$E$357,SMALL('ערכים טכנולוגיים'!$P$5:$P$357,26)),"")</f>
        <v/>
      </c>
      <c r="F38">
        <f>IFERROR(INDEX('ערכים טכנולוגיים'!$F$5:$F$357,SMALL('ערכים טכנולוגיים'!$P$5:$P$357,26)),"")</f>
        <v/>
      </c>
      <c r="G38">
        <f>IFERROR(INDEX('ערכים טכנולוגיים'!$G$5:$G$357,SMALL('ערכים טכנולוגיים'!$P$5:$P$357,26)),"")</f>
        <v/>
      </c>
      <c r="H38">
        <f>IFERROR(INDEX('ערכים טכנולוגיים'!$H$5:$H$357,SMALL('ערכים טכנולוגיים'!$P$5:$P$357,26)),"")</f>
        <v/>
      </c>
      <c r="I38">
        <f>IFERROR(INDEX('ערכים טכנולוגיים'!$I$5:$I$357,SMALL('ערכים טכנולוגיים'!$P$5:$P$357,26)),"")</f>
        <v/>
      </c>
      <c r="J38">
        <f>IFERROR(INDEX('ערכים טכנולוגיים'!$J$5:$J$357,SMALL('ערכים טכנולוגיים'!$P$5:$P$357,26)),"")</f>
        <v/>
      </c>
      <c r="K38">
        <f>IFERROR(INDEX('ערכים טכנולוגיים'!$K$5:$K$357,SMALL('ערכים טכנולוגיים'!$P$5:$P$357,26)),"")</f>
        <v/>
      </c>
      <c r="L38">
        <f>IFERROR(INDEX('ערכים טכנולוגיים'!$L$5:$L$357,SMALL('ערכים טכנולוגיים'!$P$5:$P$357,26)),"")</f>
        <v/>
      </c>
      <c r="M38">
        <f>IFERROR(INDEX('ערכים טכנולוגיים'!$M$5:$M$357,SMALL('ערכים טכנולוגיים'!$P$5:$P$357,26)),"")</f>
        <v/>
      </c>
      <c r="N38">
        <f>IFERROR(INDEX('ערכים טכנולוגיים'!$N$5:$N$357,SMALL('ערכים טכנולוגיים'!$P$5:$P$357,26)),"")</f>
        <v/>
      </c>
      <c r="O38">
        <f>IFERROR(INDEX('ערכים טכנולוגיים'!$O$5:$O$357,SMALL('ערכים טכנולוגיים'!$P$5:$P$357,26)),"")</f>
        <v/>
      </c>
    </row>
    <row r="39">
      <c r="A39">
        <f>IFERROR(INDEX('ערכים טכנולוגיים'!$A$5:$A$357,SMALL('ערכים טכנולוגיים'!$P$5:$P$357,27)),"")</f>
        <v/>
      </c>
      <c r="B39">
        <f>IFERROR(INDEX('ערכים טכנולוגיים'!$B$5:$B$357,SMALL('ערכים טכנולוגיים'!$P$5:$P$357,27)),"")</f>
        <v/>
      </c>
      <c r="C39">
        <f>IFERROR(INDEX('ערכים טכנולוגיים'!$C$5:$C$357,SMALL('ערכים טכנולוגיים'!$P$5:$P$357,27)),"")</f>
        <v/>
      </c>
      <c r="D39">
        <f>IFERROR(INDEX('ערכים טכנולוגיים'!$D$5:$D$357,SMALL('ערכים טכנולוגיים'!$P$5:$P$357,27)),"")</f>
        <v/>
      </c>
      <c r="E39">
        <f>IFERROR(INDEX('ערכים טכנולוגיים'!$E$5:$E$357,SMALL('ערכים טכנולוגיים'!$P$5:$P$357,27)),"")</f>
        <v/>
      </c>
      <c r="F39">
        <f>IFERROR(INDEX('ערכים טכנולוגיים'!$F$5:$F$357,SMALL('ערכים טכנולוגיים'!$P$5:$P$357,27)),"")</f>
        <v/>
      </c>
      <c r="G39">
        <f>IFERROR(INDEX('ערכים טכנולוגיים'!$G$5:$G$357,SMALL('ערכים טכנולוגיים'!$P$5:$P$357,27)),"")</f>
        <v/>
      </c>
      <c r="H39">
        <f>IFERROR(INDEX('ערכים טכנולוגיים'!$H$5:$H$357,SMALL('ערכים טכנולוגיים'!$P$5:$P$357,27)),"")</f>
        <v/>
      </c>
      <c r="I39">
        <f>IFERROR(INDEX('ערכים טכנולוגיים'!$I$5:$I$357,SMALL('ערכים טכנולוגיים'!$P$5:$P$357,27)),"")</f>
        <v/>
      </c>
      <c r="J39">
        <f>IFERROR(INDEX('ערכים טכנולוגיים'!$J$5:$J$357,SMALL('ערכים טכנולוגיים'!$P$5:$P$357,27)),"")</f>
        <v/>
      </c>
      <c r="K39">
        <f>IFERROR(INDEX('ערכים טכנולוגיים'!$K$5:$K$357,SMALL('ערכים טכנולוגיים'!$P$5:$P$357,27)),"")</f>
        <v/>
      </c>
      <c r="L39">
        <f>IFERROR(INDEX('ערכים טכנולוגיים'!$L$5:$L$357,SMALL('ערכים טכנולוגיים'!$P$5:$P$357,27)),"")</f>
        <v/>
      </c>
      <c r="M39">
        <f>IFERROR(INDEX('ערכים טכנולוגיים'!$M$5:$M$357,SMALL('ערכים טכנולוגיים'!$P$5:$P$357,27)),"")</f>
        <v/>
      </c>
      <c r="N39">
        <f>IFERROR(INDEX('ערכים טכנולוגיים'!$N$5:$N$357,SMALL('ערכים טכנולוגיים'!$P$5:$P$357,27)),"")</f>
        <v/>
      </c>
      <c r="O39">
        <f>IFERROR(INDEX('ערכים טכנולוגיים'!$O$5:$O$357,SMALL('ערכים טכנולוגיים'!$P$5:$P$357,27)),"")</f>
        <v/>
      </c>
    </row>
    <row r="40">
      <c r="A40">
        <f>IFERROR(INDEX('ערכים טכנולוגיים'!$A$5:$A$357,SMALL('ערכים טכנולוגיים'!$P$5:$P$357,28)),"")</f>
        <v/>
      </c>
      <c r="B40">
        <f>IFERROR(INDEX('ערכים טכנולוגיים'!$B$5:$B$357,SMALL('ערכים טכנולוגיים'!$P$5:$P$357,28)),"")</f>
        <v/>
      </c>
      <c r="C40">
        <f>IFERROR(INDEX('ערכים טכנולוגיים'!$C$5:$C$357,SMALL('ערכים טכנולוגיים'!$P$5:$P$357,28)),"")</f>
        <v/>
      </c>
      <c r="D40">
        <f>IFERROR(INDEX('ערכים טכנולוגיים'!$D$5:$D$357,SMALL('ערכים טכנולוגיים'!$P$5:$P$357,28)),"")</f>
        <v/>
      </c>
      <c r="E40">
        <f>IFERROR(INDEX('ערכים טכנולוגיים'!$E$5:$E$357,SMALL('ערכים טכנולוגיים'!$P$5:$P$357,28)),"")</f>
        <v/>
      </c>
      <c r="F40">
        <f>IFERROR(INDEX('ערכים טכנולוגיים'!$F$5:$F$357,SMALL('ערכים טכנולוגיים'!$P$5:$P$357,28)),"")</f>
        <v/>
      </c>
      <c r="G40">
        <f>IFERROR(INDEX('ערכים טכנולוגיים'!$G$5:$G$357,SMALL('ערכים טכנולוגיים'!$P$5:$P$357,28)),"")</f>
        <v/>
      </c>
      <c r="H40">
        <f>IFERROR(INDEX('ערכים טכנולוגיים'!$H$5:$H$357,SMALL('ערכים טכנולוגיים'!$P$5:$P$357,28)),"")</f>
        <v/>
      </c>
      <c r="I40">
        <f>IFERROR(INDEX('ערכים טכנולוגיים'!$I$5:$I$357,SMALL('ערכים טכנולוגיים'!$P$5:$P$357,28)),"")</f>
        <v/>
      </c>
      <c r="J40">
        <f>IFERROR(INDEX('ערכים טכנולוגיים'!$J$5:$J$357,SMALL('ערכים טכנולוגיים'!$P$5:$P$357,28)),"")</f>
        <v/>
      </c>
      <c r="K40">
        <f>IFERROR(INDEX('ערכים טכנולוגיים'!$K$5:$K$357,SMALL('ערכים טכנולוגיים'!$P$5:$P$357,28)),"")</f>
        <v/>
      </c>
      <c r="L40">
        <f>IFERROR(INDEX('ערכים טכנולוגיים'!$L$5:$L$357,SMALL('ערכים טכנולוגיים'!$P$5:$P$357,28)),"")</f>
        <v/>
      </c>
      <c r="M40">
        <f>IFERROR(INDEX('ערכים טכנולוגיים'!$M$5:$M$357,SMALL('ערכים טכנולוגיים'!$P$5:$P$357,28)),"")</f>
        <v/>
      </c>
      <c r="N40">
        <f>IFERROR(INDEX('ערכים טכנולוגיים'!$N$5:$N$357,SMALL('ערכים טכנולוגיים'!$P$5:$P$357,28)),"")</f>
        <v/>
      </c>
      <c r="O40">
        <f>IFERROR(INDEX('ערכים טכנולוגיים'!$O$5:$O$357,SMALL('ערכים טכנולוגיים'!$P$5:$P$357,28)),"")</f>
        <v/>
      </c>
    </row>
    <row r="41">
      <c r="A41">
        <f>IFERROR(INDEX('ערכים טכנולוגיים'!$A$5:$A$357,SMALL('ערכים טכנולוגיים'!$P$5:$P$357,29)),"")</f>
        <v/>
      </c>
      <c r="B41">
        <f>IFERROR(INDEX('ערכים טכנולוגיים'!$B$5:$B$357,SMALL('ערכים טכנולוגיים'!$P$5:$P$357,29)),"")</f>
        <v/>
      </c>
      <c r="C41">
        <f>IFERROR(INDEX('ערכים טכנולוגיים'!$C$5:$C$357,SMALL('ערכים טכנולוגיים'!$P$5:$P$357,29)),"")</f>
        <v/>
      </c>
      <c r="D41">
        <f>IFERROR(INDEX('ערכים טכנולוגיים'!$D$5:$D$357,SMALL('ערכים טכנולוגיים'!$P$5:$P$357,29)),"")</f>
        <v/>
      </c>
      <c r="E41">
        <f>IFERROR(INDEX('ערכים טכנולוגיים'!$E$5:$E$357,SMALL('ערכים טכנולוגיים'!$P$5:$P$357,29)),"")</f>
        <v/>
      </c>
      <c r="F41">
        <f>IFERROR(INDEX('ערכים טכנולוגיים'!$F$5:$F$357,SMALL('ערכים טכנולוגיים'!$P$5:$P$357,29)),"")</f>
        <v/>
      </c>
      <c r="G41">
        <f>IFERROR(INDEX('ערכים טכנולוגיים'!$G$5:$G$357,SMALL('ערכים טכנולוגיים'!$P$5:$P$357,29)),"")</f>
        <v/>
      </c>
      <c r="H41">
        <f>IFERROR(INDEX('ערכים טכנולוגיים'!$H$5:$H$357,SMALL('ערכים טכנולוגיים'!$P$5:$P$357,29)),"")</f>
        <v/>
      </c>
      <c r="I41">
        <f>IFERROR(INDEX('ערכים טכנולוגיים'!$I$5:$I$357,SMALL('ערכים טכנולוגיים'!$P$5:$P$357,29)),"")</f>
        <v/>
      </c>
      <c r="J41">
        <f>IFERROR(INDEX('ערכים טכנולוגיים'!$J$5:$J$357,SMALL('ערכים טכנולוגיים'!$P$5:$P$357,29)),"")</f>
        <v/>
      </c>
      <c r="K41">
        <f>IFERROR(INDEX('ערכים טכנולוגיים'!$K$5:$K$357,SMALL('ערכים טכנולוגיים'!$P$5:$P$357,29)),"")</f>
        <v/>
      </c>
      <c r="L41">
        <f>IFERROR(INDEX('ערכים טכנולוגיים'!$L$5:$L$357,SMALL('ערכים טכנולוגיים'!$P$5:$P$357,29)),"")</f>
        <v/>
      </c>
      <c r="M41">
        <f>IFERROR(INDEX('ערכים טכנולוגיים'!$M$5:$M$357,SMALL('ערכים טכנולוגיים'!$P$5:$P$357,29)),"")</f>
        <v/>
      </c>
      <c r="N41">
        <f>IFERROR(INDEX('ערכים טכנולוגיים'!$N$5:$N$357,SMALL('ערכים טכנולוגיים'!$P$5:$P$357,29)),"")</f>
        <v/>
      </c>
      <c r="O41">
        <f>IFERROR(INDEX('ערכים טכנולוגיים'!$O$5:$O$357,SMALL('ערכים טכנולוגיים'!$P$5:$P$357,29)),"")</f>
        <v/>
      </c>
    </row>
    <row r="42">
      <c r="A42">
        <f>IFERROR(INDEX('ערכים טכנולוגיים'!$A$5:$A$357,SMALL('ערכים טכנולוגיים'!$P$5:$P$357,30)),"")</f>
        <v/>
      </c>
      <c r="B42">
        <f>IFERROR(INDEX('ערכים טכנולוגיים'!$B$5:$B$357,SMALL('ערכים טכנולוגיים'!$P$5:$P$357,30)),"")</f>
        <v/>
      </c>
      <c r="C42">
        <f>IFERROR(INDEX('ערכים טכנולוגיים'!$C$5:$C$357,SMALL('ערכים טכנולוגיים'!$P$5:$P$357,30)),"")</f>
        <v/>
      </c>
      <c r="D42">
        <f>IFERROR(INDEX('ערכים טכנולוגיים'!$D$5:$D$357,SMALL('ערכים טכנולוגיים'!$P$5:$P$357,30)),"")</f>
        <v/>
      </c>
      <c r="E42">
        <f>IFERROR(INDEX('ערכים טכנולוגיים'!$E$5:$E$357,SMALL('ערכים טכנולוגיים'!$P$5:$P$357,30)),"")</f>
        <v/>
      </c>
      <c r="F42">
        <f>IFERROR(INDEX('ערכים טכנולוגיים'!$F$5:$F$357,SMALL('ערכים טכנולוגיים'!$P$5:$P$357,30)),"")</f>
        <v/>
      </c>
      <c r="G42">
        <f>IFERROR(INDEX('ערכים טכנולוגיים'!$G$5:$G$357,SMALL('ערכים טכנולוגיים'!$P$5:$P$357,30)),"")</f>
        <v/>
      </c>
      <c r="H42">
        <f>IFERROR(INDEX('ערכים טכנולוגיים'!$H$5:$H$357,SMALL('ערכים טכנולוגיים'!$P$5:$P$357,30)),"")</f>
        <v/>
      </c>
      <c r="I42">
        <f>IFERROR(INDEX('ערכים טכנולוגיים'!$I$5:$I$357,SMALL('ערכים טכנולוגיים'!$P$5:$P$357,30)),"")</f>
        <v/>
      </c>
      <c r="J42">
        <f>IFERROR(INDEX('ערכים טכנולוגיים'!$J$5:$J$357,SMALL('ערכים טכנולוגיים'!$P$5:$P$357,30)),"")</f>
        <v/>
      </c>
      <c r="K42">
        <f>IFERROR(INDEX('ערכים טכנולוגיים'!$K$5:$K$357,SMALL('ערכים טכנולוגיים'!$P$5:$P$357,30)),"")</f>
        <v/>
      </c>
      <c r="L42">
        <f>IFERROR(INDEX('ערכים טכנולוגיים'!$L$5:$L$357,SMALL('ערכים טכנולוגיים'!$P$5:$P$357,30)),"")</f>
        <v/>
      </c>
      <c r="M42">
        <f>IFERROR(INDEX('ערכים טכנולוגיים'!$M$5:$M$357,SMALL('ערכים טכנולוגיים'!$P$5:$P$357,30)),"")</f>
        <v/>
      </c>
      <c r="N42">
        <f>IFERROR(INDEX('ערכים טכנולוגיים'!$N$5:$N$357,SMALL('ערכים טכנולוגיים'!$P$5:$P$357,30)),"")</f>
        <v/>
      </c>
      <c r="O42">
        <f>IFERROR(INDEX('ערכים טכנולוגיים'!$O$5:$O$357,SMALL('ערכים טכנולוגיים'!$P$5:$P$357,30)),"")</f>
        <v/>
      </c>
    </row>
    <row r="43">
      <c r="A43">
        <f>IFERROR(INDEX('ערכים טכנולוגיים'!$A$5:$A$357,SMALL('ערכים טכנולוגיים'!$P$5:$P$357,31)),"")</f>
        <v/>
      </c>
      <c r="B43">
        <f>IFERROR(INDEX('ערכים טכנולוגיים'!$B$5:$B$357,SMALL('ערכים טכנולוגיים'!$P$5:$P$357,31)),"")</f>
        <v/>
      </c>
      <c r="C43">
        <f>IFERROR(INDEX('ערכים טכנולוגיים'!$C$5:$C$357,SMALL('ערכים טכנולוגיים'!$P$5:$P$357,31)),"")</f>
        <v/>
      </c>
      <c r="D43">
        <f>IFERROR(INDEX('ערכים טכנולוגיים'!$D$5:$D$357,SMALL('ערכים טכנולוגיים'!$P$5:$P$357,31)),"")</f>
        <v/>
      </c>
      <c r="E43">
        <f>IFERROR(INDEX('ערכים טכנולוגיים'!$E$5:$E$357,SMALL('ערכים טכנולוגיים'!$P$5:$P$357,31)),"")</f>
        <v/>
      </c>
      <c r="F43">
        <f>IFERROR(INDEX('ערכים טכנולוגיים'!$F$5:$F$357,SMALL('ערכים טכנולוגיים'!$P$5:$P$357,31)),"")</f>
        <v/>
      </c>
      <c r="G43">
        <f>IFERROR(INDEX('ערכים טכנולוגיים'!$G$5:$G$357,SMALL('ערכים טכנולוגיים'!$P$5:$P$357,31)),"")</f>
        <v/>
      </c>
      <c r="H43">
        <f>IFERROR(INDEX('ערכים טכנולוגיים'!$H$5:$H$357,SMALL('ערכים טכנולוגיים'!$P$5:$P$357,31)),"")</f>
        <v/>
      </c>
      <c r="I43">
        <f>IFERROR(INDEX('ערכים טכנולוגיים'!$I$5:$I$357,SMALL('ערכים טכנולוגיים'!$P$5:$P$357,31)),"")</f>
        <v/>
      </c>
      <c r="J43">
        <f>IFERROR(INDEX('ערכים טכנולוגיים'!$J$5:$J$357,SMALL('ערכים טכנולוגיים'!$P$5:$P$357,31)),"")</f>
        <v/>
      </c>
      <c r="K43">
        <f>IFERROR(INDEX('ערכים טכנולוגיים'!$K$5:$K$357,SMALL('ערכים טכנולוגיים'!$P$5:$P$357,31)),"")</f>
        <v/>
      </c>
      <c r="L43">
        <f>IFERROR(INDEX('ערכים טכנולוגיים'!$L$5:$L$357,SMALL('ערכים טכנולוגיים'!$P$5:$P$357,31)),"")</f>
        <v/>
      </c>
      <c r="M43">
        <f>IFERROR(INDEX('ערכים טכנולוגיים'!$M$5:$M$357,SMALL('ערכים טכנולוגיים'!$P$5:$P$357,31)),"")</f>
        <v/>
      </c>
      <c r="N43">
        <f>IFERROR(INDEX('ערכים טכנולוגיים'!$N$5:$N$357,SMALL('ערכים טכנולוגיים'!$P$5:$P$357,31)),"")</f>
        <v/>
      </c>
      <c r="O43">
        <f>IFERROR(INDEX('ערכים טכנולוגיים'!$O$5:$O$357,SMALL('ערכים טכנולוגיים'!$P$5:$P$357,31)),"")</f>
        <v/>
      </c>
    </row>
    <row r="44">
      <c r="A44">
        <f>IFERROR(INDEX('ערכים טכנולוגיים'!$A$5:$A$357,SMALL('ערכים טכנולוגיים'!$P$5:$P$357,32)),"")</f>
        <v/>
      </c>
      <c r="B44">
        <f>IFERROR(INDEX('ערכים טכנולוגיים'!$B$5:$B$357,SMALL('ערכים טכנולוגיים'!$P$5:$P$357,32)),"")</f>
        <v/>
      </c>
      <c r="C44">
        <f>IFERROR(INDEX('ערכים טכנולוגיים'!$C$5:$C$357,SMALL('ערכים טכנולוגיים'!$P$5:$P$357,32)),"")</f>
        <v/>
      </c>
      <c r="D44">
        <f>IFERROR(INDEX('ערכים טכנולוגיים'!$D$5:$D$357,SMALL('ערכים טכנולוגיים'!$P$5:$P$357,32)),"")</f>
        <v/>
      </c>
      <c r="E44">
        <f>IFERROR(INDEX('ערכים טכנולוגיים'!$E$5:$E$357,SMALL('ערכים טכנולוגיים'!$P$5:$P$357,32)),"")</f>
        <v/>
      </c>
      <c r="F44">
        <f>IFERROR(INDEX('ערכים טכנולוגיים'!$F$5:$F$357,SMALL('ערכים טכנולוגיים'!$P$5:$P$357,32)),"")</f>
        <v/>
      </c>
      <c r="G44">
        <f>IFERROR(INDEX('ערכים טכנולוגיים'!$G$5:$G$357,SMALL('ערכים טכנולוגיים'!$P$5:$P$357,32)),"")</f>
        <v/>
      </c>
      <c r="H44">
        <f>IFERROR(INDEX('ערכים טכנולוגיים'!$H$5:$H$357,SMALL('ערכים טכנולוגיים'!$P$5:$P$357,32)),"")</f>
        <v/>
      </c>
      <c r="I44">
        <f>IFERROR(INDEX('ערכים טכנולוגיים'!$I$5:$I$357,SMALL('ערכים טכנולוגיים'!$P$5:$P$357,32)),"")</f>
        <v/>
      </c>
      <c r="J44">
        <f>IFERROR(INDEX('ערכים טכנולוגיים'!$J$5:$J$357,SMALL('ערכים טכנולוגיים'!$P$5:$P$357,32)),"")</f>
        <v/>
      </c>
      <c r="K44">
        <f>IFERROR(INDEX('ערכים טכנולוגיים'!$K$5:$K$357,SMALL('ערכים טכנולוגיים'!$P$5:$P$357,32)),"")</f>
        <v/>
      </c>
      <c r="L44">
        <f>IFERROR(INDEX('ערכים טכנולוגיים'!$L$5:$L$357,SMALL('ערכים טכנולוגיים'!$P$5:$P$357,32)),"")</f>
        <v/>
      </c>
      <c r="M44">
        <f>IFERROR(INDEX('ערכים טכנולוגיים'!$M$5:$M$357,SMALL('ערכים טכנולוגיים'!$P$5:$P$357,32)),"")</f>
        <v/>
      </c>
      <c r="N44">
        <f>IFERROR(INDEX('ערכים טכנולוגיים'!$N$5:$N$357,SMALL('ערכים טכנולוגיים'!$P$5:$P$357,32)),"")</f>
        <v/>
      </c>
      <c r="O44">
        <f>IFERROR(INDEX('ערכים טכנולוגיים'!$O$5:$O$357,SMALL('ערכים טכנולוגיים'!$P$5:$P$357,32)),"")</f>
        <v/>
      </c>
    </row>
    <row r="45">
      <c r="A45">
        <f>IFERROR(INDEX('ערכים טכנולוגיים'!$A$5:$A$357,SMALL('ערכים טכנולוגיים'!$P$5:$P$357,33)),"")</f>
        <v/>
      </c>
      <c r="B45">
        <f>IFERROR(INDEX('ערכים טכנולוגיים'!$B$5:$B$357,SMALL('ערכים טכנולוגיים'!$P$5:$P$357,33)),"")</f>
        <v/>
      </c>
      <c r="C45">
        <f>IFERROR(INDEX('ערכים טכנולוגיים'!$C$5:$C$357,SMALL('ערכים טכנולוגיים'!$P$5:$P$357,33)),"")</f>
        <v/>
      </c>
      <c r="D45">
        <f>IFERROR(INDEX('ערכים טכנולוגיים'!$D$5:$D$357,SMALL('ערכים טכנולוגיים'!$P$5:$P$357,33)),"")</f>
        <v/>
      </c>
      <c r="E45">
        <f>IFERROR(INDEX('ערכים טכנולוגיים'!$E$5:$E$357,SMALL('ערכים טכנולוגיים'!$P$5:$P$357,33)),"")</f>
        <v/>
      </c>
      <c r="F45">
        <f>IFERROR(INDEX('ערכים טכנולוגיים'!$F$5:$F$357,SMALL('ערכים טכנולוגיים'!$P$5:$P$357,33)),"")</f>
        <v/>
      </c>
      <c r="G45">
        <f>IFERROR(INDEX('ערכים טכנולוגיים'!$G$5:$G$357,SMALL('ערכים טכנולוגיים'!$P$5:$P$357,33)),"")</f>
        <v/>
      </c>
      <c r="H45">
        <f>IFERROR(INDEX('ערכים טכנולוגיים'!$H$5:$H$357,SMALL('ערכים טכנולוגיים'!$P$5:$P$357,33)),"")</f>
        <v/>
      </c>
      <c r="I45">
        <f>IFERROR(INDEX('ערכים טכנולוגיים'!$I$5:$I$357,SMALL('ערכים טכנולוגיים'!$P$5:$P$357,33)),"")</f>
        <v/>
      </c>
      <c r="J45">
        <f>IFERROR(INDEX('ערכים טכנולוגיים'!$J$5:$J$357,SMALL('ערכים טכנולוגיים'!$P$5:$P$357,33)),"")</f>
        <v/>
      </c>
      <c r="K45">
        <f>IFERROR(INDEX('ערכים טכנולוגיים'!$K$5:$K$357,SMALL('ערכים טכנולוגיים'!$P$5:$P$357,33)),"")</f>
        <v/>
      </c>
      <c r="L45">
        <f>IFERROR(INDEX('ערכים טכנולוגיים'!$L$5:$L$357,SMALL('ערכים טכנולוגיים'!$P$5:$P$357,33)),"")</f>
        <v/>
      </c>
      <c r="M45">
        <f>IFERROR(INDEX('ערכים טכנולוגיים'!$M$5:$M$357,SMALL('ערכים טכנולוגיים'!$P$5:$P$357,33)),"")</f>
        <v/>
      </c>
      <c r="N45">
        <f>IFERROR(INDEX('ערכים טכנולוגיים'!$N$5:$N$357,SMALL('ערכים טכנולוגיים'!$P$5:$P$357,33)),"")</f>
        <v/>
      </c>
      <c r="O45">
        <f>IFERROR(INDEX('ערכים טכנולוגיים'!$O$5:$O$357,SMALL('ערכים טכנולוגיים'!$P$5:$P$357,33)),"")</f>
        <v/>
      </c>
    </row>
    <row r="46">
      <c r="A46">
        <f>IFERROR(INDEX('ערכים טכנולוגיים'!$A$5:$A$357,SMALL('ערכים טכנולוגיים'!$P$5:$P$357,34)),"")</f>
        <v/>
      </c>
      <c r="B46">
        <f>IFERROR(INDEX('ערכים טכנולוגיים'!$B$5:$B$357,SMALL('ערכים טכנולוגיים'!$P$5:$P$357,34)),"")</f>
        <v/>
      </c>
      <c r="C46">
        <f>IFERROR(INDEX('ערכים טכנולוגיים'!$C$5:$C$357,SMALL('ערכים טכנולוגיים'!$P$5:$P$357,34)),"")</f>
        <v/>
      </c>
      <c r="D46">
        <f>IFERROR(INDEX('ערכים טכנולוגיים'!$D$5:$D$357,SMALL('ערכים טכנולוגיים'!$P$5:$P$357,34)),"")</f>
        <v/>
      </c>
      <c r="E46">
        <f>IFERROR(INDEX('ערכים טכנולוגיים'!$E$5:$E$357,SMALL('ערכים טכנולוגיים'!$P$5:$P$357,34)),"")</f>
        <v/>
      </c>
      <c r="F46">
        <f>IFERROR(INDEX('ערכים טכנולוגיים'!$F$5:$F$357,SMALL('ערכים טכנולוגיים'!$P$5:$P$357,34)),"")</f>
        <v/>
      </c>
      <c r="G46">
        <f>IFERROR(INDEX('ערכים טכנולוגיים'!$G$5:$G$357,SMALL('ערכים טכנולוגיים'!$P$5:$P$357,34)),"")</f>
        <v/>
      </c>
      <c r="H46">
        <f>IFERROR(INDEX('ערכים טכנולוגיים'!$H$5:$H$357,SMALL('ערכים טכנולוגיים'!$P$5:$P$357,34)),"")</f>
        <v/>
      </c>
      <c r="I46">
        <f>IFERROR(INDEX('ערכים טכנולוגיים'!$I$5:$I$357,SMALL('ערכים טכנולוגיים'!$P$5:$P$357,34)),"")</f>
        <v/>
      </c>
      <c r="J46">
        <f>IFERROR(INDEX('ערכים טכנולוגיים'!$J$5:$J$357,SMALL('ערכים טכנולוגיים'!$P$5:$P$357,34)),"")</f>
        <v/>
      </c>
      <c r="K46">
        <f>IFERROR(INDEX('ערכים טכנולוגיים'!$K$5:$K$357,SMALL('ערכים טכנולוגיים'!$P$5:$P$357,34)),"")</f>
        <v/>
      </c>
      <c r="L46">
        <f>IFERROR(INDEX('ערכים טכנולוגיים'!$L$5:$L$357,SMALL('ערכים טכנולוגיים'!$P$5:$P$357,34)),"")</f>
        <v/>
      </c>
      <c r="M46">
        <f>IFERROR(INDEX('ערכים טכנולוגיים'!$M$5:$M$357,SMALL('ערכים טכנולוגיים'!$P$5:$P$357,34)),"")</f>
        <v/>
      </c>
      <c r="N46">
        <f>IFERROR(INDEX('ערכים טכנולוגיים'!$N$5:$N$357,SMALL('ערכים טכנולוגיים'!$P$5:$P$357,34)),"")</f>
        <v/>
      </c>
      <c r="O46">
        <f>IFERROR(INDEX('ערכים טכנולוגיים'!$O$5:$O$357,SMALL('ערכים טכנולוגיים'!$P$5:$P$357,34)),"")</f>
        <v/>
      </c>
    </row>
    <row r="47">
      <c r="A47">
        <f>IFERROR(INDEX('ערכים טכנולוגיים'!$A$5:$A$357,SMALL('ערכים טכנולוגיים'!$P$5:$P$357,35)),"")</f>
        <v/>
      </c>
      <c r="B47">
        <f>IFERROR(INDEX('ערכים טכנולוגיים'!$B$5:$B$357,SMALL('ערכים טכנולוגיים'!$P$5:$P$357,35)),"")</f>
        <v/>
      </c>
      <c r="C47">
        <f>IFERROR(INDEX('ערכים טכנולוגיים'!$C$5:$C$357,SMALL('ערכים טכנולוגיים'!$P$5:$P$357,35)),"")</f>
        <v/>
      </c>
      <c r="D47">
        <f>IFERROR(INDEX('ערכים טכנולוגיים'!$D$5:$D$357,SMALL('ערכים טכנולוגיים'!$P$5:$P$357,35)),"")</f>
        <v/>
      </c>
      <c r="E47">
        <f>IFERROR(INDEX('ערכים טכנולוגיים'!$E$5:$E$357,SMALL('ערכים טכנולוגיים'!$P$5:$P$357,35)),"")</f>
        <v/>
      </c>
      <c r="F47">
        <f>IFERROR(INDEX('ערכים טכנולוגיים'!$F$5:$F$357,SMALL('ערכים טכנולוגיים'!$P$5:$P$357,35)),"")</f>
        <v/>
      </c>
      <c r="G47">
        <f>IFERROR(INDEX('ערכים טכנולוגיים'!$G$5:$G$357,SMALL('ערכים טכנולוגיים'!$P$5:$P$357,35)),"")</f>
        <v/>
      </c>
      <c r="H47">
        <f>IFERROR(INDEX('ערכים טכנולוגיים'!$H$5:$H$357,SMALL('ערכים טכנולוגיים'!$P$5:$P$357,35)),"")</f>
        <v/>
      </c>
      <c r="I47">
        <f>IFERROR(INDEX('ערכים טכנולוגיים'!$I$5:$I$357,SMALL('ערכים טכנולוגיים'!$P$5:$P$357,35)),"")</f>
        <v/>
      </c>
      <c r="J47">
        <f>IFERROR(INDEX('ערכים טכנולוגיים'!$J$5:$J$357,SMALL('ערכים טכנולוגיים'!$P$5:$P$357,35)),"")</f>
        <v/>
      </c>
      <c r="K47">
        <f>IFERROR(INDEX('ערכים טכנולוגיים'!$K$5:$K$357,SMALL('ערכים טכנולוגיים'!$P$5:$P$357,35)),"")</f>
        <v/>
      </c>
      <c r="L47">
        <f>IFERROR(INDEX('ערכים טכנולוגיים'!$L$5:$L$357,SMALL('ערכים טכנולוגיים'!$P$5:$P$357,35)),"")</f>
        <v/>
      </c>
      <c r="M47">
        <f>IFERROR(INDEX('ערכים טכנולוגיים'!$M$5:$M$357,SMALL('ערכים טכנולוגיים'!$P$5:$P$357,35)),"")</f>
        <v/>
      </c>
      <c r="N47">
        <f>IFERROR(INDEX('ערכים טכנולוגיים'!$N$5:$N$357,SMALL('ערכים טכנולוגיים'!$P$5:$P$357,35)),"")</f>
        <v/>
      </c>
      <c r="O47">
        <f>IFERROR(INDEX('ערכים טכנולוגיים'!$O$5:$O$357,SMALL('ערכים טכנולוגיים'!$P$5:$P$357,35)),"")</f>
        <v/>
      </c>
    </row>
    <row r="48">
      <c r="A48">
        <f>IFERROR(INDEX('ערכים טכנולוגיים'!$A$5:$A$357,SMALL('ערכים טכנולוגיים'!$P$5:$P$357,36)),"")</f>
        <v/>
      </c>
      <c r="B48">
        <f>IFERROR(INDEX('ערכים טכנולוגיים'!$B$5:$B$357,SMALL('ערכים טכנולוגיים'!$P$5:$P$357,36)),"")</f>
        <v/>
      </c>
      <c r="C48">
        <f>IFERROR(INDEX('ערכים טכנולוגיים'!$C$5:$C$357,SMALL('ערכים טכנולוגיים'!$P$5:$P$357,36)),"")</f>
        <v/>
      </c>
      <c r="D48">
        <f>IFERROR(INDEX('ערכים טכנולוגיים'!$D$5:$D$357,SMALL('ערכים טכנולוגיים'!$P$5:$P$357,36)),"")</f>
        <v/>
      </c>
      <c r="E48">
        <f>IFERROR(INDEX('ערכים טכנולוגיים'!$E$5:$E$357,SMALL('ערכים טכנולוגיים'!$P$5:$P$357,36)),"")</f>
        <v/>
      </c>
      <c r="F48">
        <f>IFERROR(INDEX('ערכים טכנולוגיים'!$F$5:$F$357,SMALL('ערכים טכנולוגיים'!$P$5:$P$357,36)),"")</f>
        <v/>
      </c>
      <c r="G48">
        <f>IFERROR(INDEX('ערכים טכנולוגיים'!$G$5:$G$357,SMALL('ערכים טכנולוגיים'!$P$5:$P$357,36)),"")</f>
        <v/>
      </c>
      <c r="H48">
        <f>IFERROR(INDEX('ערכים טכנולוגיים'!$H$5:$H$357,SMALL('ערכים טכנולוגיים'!$P$5:$P$357,36)),"")</f>
        <v/>
      </c>
      <c r="I48">
        <f>IFERROR(INDEX('ערכים טכנולוגיים'!$I$5:$I$357,SMALL('ערכים טכנולוגיים'!$P$5:$P$357,36)),"")</f>
        <v/>
      </c>
      <c r="J48">
        <f>IFERROR(INDEX('ערכים טכנולוגיים'!$J$5:$J$357,SMALL('ערכים טכנולוגיים'!$P$5:$P$357,36)),"")</f>
        <v/>
      </c>
      <c r="K48">
        <f>IFERROR(INDEX('ערכים טכנולוגיים'!$K$5:$K$357,SMALL('ערכים טכנולוגיים'!$P$5:$P$357,36)),"")</f>
        <v/>
      </c>
      <c r="L48">
        <f>IFERROR(INDEX('ערכים טכנולוגיים'!$L$5:$L$357,SMALL('ערכים טכנולוגיים'!$P$5:$P$357,36)),"")</f>
        <v/>
      </c>
      <c r="M48">
        <f>IFERROR(INDEX('ערכים טכנולוגיים'!$M$5:$M$357,SMALL('ערכים טכנולוגיים'!$P$5:$P$357,36)),"")</f>
        <v/>
      </c>
      <c r="N48">
        <f>IFERROR(INDEX('ערכים טכנולוגיים'!$N$5:$N$357,SMALL('ערכים טכנולוגיים'!$P$5:$P$357,36)),"")</f>
        <v/>
      </c>
      <c r="O48">
        <f>IFERROR(INDEX('ערכים טכנולוגיים'!$O$5:$O$357,SMALL('ערכים טכנולוגיים'!$P$5:$P$357,36)),"")</f>
        <v/>
      </c>
    </row>
    <row r="49">
      <c r="A49">
        <f>IFERROR(INDEX('ערכים טכנולוגיים'!$A$5:$A$357,SMALL('ערכים טכנולוגיים'!$P$5:$P$357,37)),"")</f>
        <v/>
      </c>
      <c r="B49">
        <f>IFERROR(INDEX('ערכים טכנולוגיים'!$B$5:$B$357,SMALL('ערכים טכנולוגיים'!$P$5:$P$357,37)),"")</f>
        <v/>
      </c>
      <c r="C49">
        <f>IFERROR(INDEX('ערכים טכנולוגיים'!$C$5:$C$357,SMALL('ערכים טכנולוגיים'!$P$5:$P$357,37)),"")</f>
        <v/>
      </c>
      <c r="D49">
        <f>IFERROR(INDEX('ערכים טכנולוגיים'!$D$5:$D$357,SMALL('ערכים טכנולוגיים'!$P$5:$P$357,37)),"")</f>
        <v/>
      </c>
      <c r="E49">
        <f>IFERROR(INDEX('ערכים טכנולוגיים'!$E$5:$E$357,SMALL('ערכים טכנולוגיים'!$P$5:$P$357,37)),"")</f>
        <v/>
      </c>
      <c r="F49">
        <f>IFERROR(INDEX('ערכים טכנולוגיים'!$F$5:$F$357,SMALL('ערכים טכנולוגיים'!$P$5:$P$357,37)),"")</f>
        <v/>
      </c>
      <c r="G49">
        <f>IFERROR(INDEX('ערכים טכנולוגיים'!$G$5:$G$357,SMALL('ערכים טכנולוגיים'!$P$5:$P$357,37)),"")</f>
        <v/>
      </c>
      <c r="H49">
        <f>IFERROR(INDEX('ערכים טכנולוגיים'!$H$5:$H$357,SMALL('ערכים טכנולוגיים'!$P$5:$P$357,37)),"")</f>
        <v/>
      </c>
      <c r="I49">
        <f>IFERROR(INDEX('ערכים טכנולוגיים'!$I$5:$I$357,SMALL('ערכים טכנולוגיים'!$P$5:$P$357,37)),"")</f>
        <v/>
      </c>
      <c r="J49">
        <f>IFERROR(INDEX('ערכים טכנולוגיים'!$J$5:$J$357,SMALL('ערכים טכנולוגיים'!$P$5:$P$357,37)),"")</f>
        <v/>
      </c>
      <c r="K49">
        <f>IFERROR(INDEX('ערכים טכנולוגיים'!$K$5:$K$357,SMALL('ערכים טכנולוגיים'!$P$5:$P$357,37)),"")</f>
        <v/>
      </c>
      <c r="L49">
        <f>IFERROR(INDEX('ערכים טכנולוגיים'!$L$5:$L$357,SMALL('ערכים טכנולוגיים'!$P$5:$P$357,37)),"")</f>
        <v/>
      </c>
      <c r="M49">
        <f>IFERROR(INDEX('ערכים טכנולוגיים'!$M$5:$M$357,SMALL('ערכים טכנולוגיים'!$P$5:$P$357,37)),"")</f>
        <v/>
      </c>
      <c r="N49">
        <f>IFERROR(INDEX('ערכים טכנולוגיים'!$N$5:$N$357,SMALL('ערכים טכנולוגיים'!$P$5:$P$357,37)),"")</f>
        <v/>
      </c>
      <c r="O49">
        <f>IFERROR(INDEX('ערכים טכנולוגיים'!$O$5:$O$357,SMALL('ערכים טכנולוגיים'!$P$5:$P$357,37)),"")</f>
        <v/>
      </c>
    </row>
    <row r="50">
      <c r="A50">
        <f>IFERROR(INDEX('ערכים טכנולוגיים'!$A$5:$A$357,SMALL('ערכים טכנולוגיים'!$P$5:$P$357,38)),"")</f>
        <v/>
      </c>
      <c r="B50">
        <f>IFERROR(INDEX('ערכים טכנולוגיים'!$B$5:$B$357,SMALL('ערכים טכנולוגיים'!$P$5:$P$357,38)),"")</f>
        <v/>
      </c>
      <c r="C50">
        <f>IFERROR(INDEX('ערכים טכנולוגיים'!$C$5:$C$357,SMALL('ערכים טכנולוגיים'!$P$5:$P$357,38)),"")</f>
        <v/>
      </c>
      <c r="D50">
        <f>IFERROR(INDEX('ערכים טכנולוגיים'!$D$5:$D$357,SMALL('ערכים טכנולוגיים'!$P$5:$P$357,38)),"")</f>
        <v/>
      </c>
      <c r="E50">
        <f>IFERROR(INDEX('ערכים טכנולוגיים'!$E$5:$E$357,SMALL('ערכים טכנולוגיים'!$P$5:$P$357,38)),"")</f>
        <v/>
      </c>
      <c r="F50">
        <f>IFERROR(INDEX('ערכים טכנולוגיים'!$F$5:$F$357,SMALL('ערכים טכנולוגיים'!$P$5:$P$357,38)),"")</f>
        <v/>
      </c>
      <c r="G50">
        <f>IFERROR(INDEX('ערכים טכנולוגיים'!$G$5:$G$357,SMALL('ערכים טכנולוגיים'!$P$5:$P$357,38)),"")</f>
        <v/>
      </c>
      <c r="H50">
        <f>IFERROR(INDEX('ערכים טכנולוגיים'!$H$5:$H$357,SMALL('ערכים טכנולוגיים'!$P$5:$P$357,38)),"")</f>
        <v/>
      </c>
      <c r="I50">
        <f>IFERROR(INDEX('ערכים טכנולוגיים'!$I$5:$I$357,SMALL('ערכים טכנולוגיים'!$P$5:$P$357,38)),"")</f>
        <v/>
      </c>
      <c r="J50">
        <f>IFERROR(INDEX('ערכים טכנולוגיים'!$J$5:$J$357,SMALL('ערכים טכנולוגיים'!$P$5:$P$357,38)),"")</f>
        <v/>
      </c>
      <c r="K50">
        <f>IFERROR(INDEX('ערכים טכנולוגיים'!$K$5:$K$357,SMALL('ערכים טכנולוגיים'!$P$5:$P$357,38)),"")</f>
        <v/>
      </c>
      <c r="L50">
        <f>IFERROR(INDEX('ערכים טכנולוגיים'!$L$5:$L$357,SMALL('ערכים טכנולוגיים'!$P$5:$P$357,38)),"")</f>
        <v/>
      </c>
      <c r="M50">
        <f>IFERROR(INDEX('ערכים טכנולוגיים'!$M$5:$M$357,SMALL('ערכים טכנולוגיים'!$P$5:$P$357,38)),"")</f>
        <v/>
      </c>
      <c r="N50">
        <f>IFERROR(INDEX('ערכים טכנולוגיים'!$N$5:$N$357,SMALL('ערכים טכנולוגיים'!$P$5:$P$357,38)),"")</f>
        <v/>
      </c>
      <c r="O50">
        <f>IFERROR(INDEX('ערכים טכנולוגיים'!$O$5:$O$357,SMALL('ערכים טכנולוגיים'!$P$5:$P$357,38)),"")</f>
        <v/>
      </c>
    </row>
    <row r="51">
      <c r="A51">
        <f>IFERROR(INDEX('ערכים טכנולוגיים'!$A$5:$A$357,SMALL('ערכים טכנולוגיים'!$P$5:$P$357,39)),"")</f>
        <v/>
      </c>
      <c r="B51">
        <f>IFERROR(INDEX('ערכים טכנולוגיים'!$B$5:$B$357,SMALL('ערכים טכנולוגיים'!$P$5:$P$357,39)),"")</f>
        <v/>
      </c>
      <c r="C51">
        <f>IFERROR(INDEX('ערכים טכנולוגיים'!$C$5:$C$357,SMALL('ערכים טכנולוגיים'!$P$5:$P$357,39)),"")</f>
        <v/>
      </c>
      <c r="D51">
        <f>IFERROR(INDEX('ערכים טכנולוגיים'!$D$5:$D$357,SMALL('ערכים טכנולוגיים'!$P$5:$P$357,39)),"")</f>
        <v/>
      </c>
      <c r="E51">
        <f>IFERROR(INDEX('ערכים טכנולוגיים'!$E$5:$E$357,SMALL('ערכים טכנולוגיים'!$P$5:$P$357,39)),"")</f>
        <v/>
      </c>
      <c r="F51">
        <f>IFERROR(INDEX('ערכים טכנולוגיים'!$F$5:$F$357,SMALL('ערכים טכנולוגיים'!$P$5:$P$357,39)),"")</f>
        <v/>
      </c>
      <c r="G51">
        <f>IFERROR(INDEX('ערכים טכנולוגיים'!$G$5:$G$357,SMALL('ערכים טכנולוגיים'!$P$5:$P$357,39)),"")</f>
        <v/>
      </c>
      <c r="H51">
        <f>IFERROR(INDEX('ערכים טכנולוגיים'!$H$5:$H$357,SMALL('ערכים טכנולוגיים'!$P$5:$P$357,39)),"")</f>
        <v/>
      </c>
      <c r="I51">
        <f>IFERROR(INDEX('ערכים טכנולוגיים'!$I$5:$I$357,SMALL('ערכים טכנולוגיים'!$P$5:$P$357,39)),"")</f>
        <v/>
      </c>
      <c r="J51">
        <f>IFERROR(INDEX('ערכים טכנולוגיים'!$J$5:$J$357,SMALL('ערכים טכנולוגיים'!$P$5:$P$357,39)),"")</f>
        <v/>
      </c>
      <c r="K51">
        <f>IFERROR(INDEX('ערכים טכנולוגיים'!$K$5:$K$357,SMALL('ערכים טכנולוגיים'!$P$5:$P$357,39)),"")</f>
        <v/>
      </c>
      <c r="L51">
        <f>IFERROR(INDEX('ערכים טכנולוגיים'!$L$5:$L$357,SMALL('ערכים טכנולוגיים'!$P$5:$P$357,39)),"")</f>
        <v/>
      </c>
      <c r="M51">
        <f>IFERROR(INDEX('ערכים טכנולוגיים'!$M$5:$M$357,SMALL('ערכים טכנולוגיים'!$P$5:$P$357,39)),"")</f>
        <v/>
      </c>
      <c r="N51">
        <f>IFERROR(INDEX('ערכים טכנולוגיים'!$N$5:$N$357,SMALL('ערכים טכנולוגיים'!$P$5:$P$357,39)),"")</f>
        <v/>
      </c>
      <c r="O51">
        <f>IFERROR(INDEX('ערכים טכנולוגיים'!$O$5:$O$357,SMALL('ערכים טכנולוגיים'!$P$5:$P$357,39)),"")</f>
        <v/>
      </c>
    </row>
    <row r="52">
      <c r="A52">
        <f>IFERROR(INDEX('ערכים טכנולוגיים'!$A$5:$A$357,SMALL('ערכים טכנולוגיים'!$P$5:$P$357,40)),"")</f>
        <v/>
      </c>
      <c r="B52">
        <f>IFERROR(INDEX('ערכים טכנולוגיים'!$B$5:$B$357,SMALL('ערכים טכנולוגיים'!$P$5:$P$357,40)),"")</f>
        <v/>
      </c>
      <c r="C52">
        <f>IFERROR(INDEX('ערכים טכנולוגיים'!$C$5:$C$357,SMALL('ערכים טכנולוגיים'!$P$5:$P$357,40)),"")</f>
        <v/>
      </c>
      <c r="D52">
        <f>IFERROR(INDEX('ערכים טכנולוגיים'!$D$5:$D$357,SMALL('ערכים טכנולוגיים'!$P$5:$P$357,40)),"")</f>
        <v/>
      </c>
      <c r="E52">
        <f>IFERROR(INDEX('ערכים טכנולוגיים'!$E$5:$E$357,SMALL('ערכים טכנולוגיים'!$P$5:$P$357,40)),"")</f>
        <v/>
      </c>
      <c r="F52">
        <f>IFERROR(INDEX('ערכים טכנולוגיים'!$F$5:$F$357,SMALL('ערכים טכנולוגיים'!$P$5:$P$357,40)),"")</f>
        <v/>
      </c>
      <c r="G52">
        <f>IFERROR(INDEX('ערכים טכנולוגיים'!$G$5:$G$357,SMALL('ערכים טכנולוגיים'!$P$5:$P$357,40)),"")</f>
        <v/>
      </c>
      <c r="H52">
        <f>IFERROR(INDEX('ערכים טכנולוגיים'!$H$5:$H$357,SMALL('ערכים טכנולוגיים'!$P$5:$P$357,40)),"")</f>
        <v/>
      </c>
      <c r="I52">
        <f>IFERROR(INDEX('ערכים טכנולוגיים'!$I$5:$I$357,SMALL('ערכים טכנולוגיים'!$P$5:$P$357,40)),"")</f>
        <v/>
      </c>
      <c r="J52">
        <f>IFERROR(INDEX('ערכים טכנולוגיים'!$J$5:$J$357,SMALL('ערכים טכנולוגיים'!$P$5:$P$357,40)),"")</f>
        <v/>
      </c>
      <c r="K52">
        <f>IFERROR(INDEX('ערכים טכנולוגיים'!$K$5:$K$357,SMALL('ערכים טכנולוגיים'!$P$5:$P$357,40)),"")</f>
        <v/>
      </c>
      <c r="L52">
        <f>IFERROR(INDEX('ערכים טכנולוגיים'!$L$5:$L$357,SMALL('ערכים טכנולוגיים'!$P$5:$P$357,40)),"")</f>
        <v/>
      </c>
      <c r="M52">
        <f>IFERROR(INDEX('ערכים טכנולוגיים'!$M$5:$M$357,SMALL('ערכים טכנולוגיים'!$P$5:$P$357,40)),"")</f>
        <v/>
      </c>
      <c r="N52">
        <f>IFERROR(INDEX('ערכים טכנולוגיים'!$N$5:$N$357,SMALL('ערכים טכנולוגיים'!$P$5:$P$357,40)),"")</f>
        <v/>
      </c>
      <c r="O52">
        <f>IFERROR(INDEX('ערכים טכנולוגיים'!$O$5:$O$357,SMALL('ערכים טכנולוגיים'!$P$5:$P$357,40)),"")</f>
        <v/>
      </c>
    </row>
    <row r="53">
      <c r="A53">
        <f>IFERROR(INDEX('ערכים טכנולוגיים'!$A$5:$A$357,SMALL('ערכים טכנולוגיים'!$P$5:$P$357,41)),"")</f>
        <v/>
      </c>
      <c r="B53">
        <f>IFERROR(INDEX('ערכים טכנולוגיים'!$B$5:$B$357,SMALL('ערכים טכנולוגיים'!$P$5:$P$357,41)),"")</f>
        <v/>
      </c>
      <c r="C53">
        <f>IFERROR(INDEX('ערכים טכנולוגיים'!$C$5:$C$357,SMALL('ערכים טכנולוגיים'!$P$5:$P$357,41)),"")</f>
        <v/>
      </c>
      <c r="D53">
        <f>IFERROR(INDEX('ערכים טכנולוגיים'!$D$5:$D$357,SMALL('ערכים טכנולוגיים'!$P$5:$P$357,41)),"")</f>
        <v/>
      </c>
      <c r="E53">
        <f>IFERROR(INDEX('ערכים טכנולוגיים'!$E$5:$E$357,SMALL('ערכים טכנולוגיים'!$P$5:$P$357,41)),"")</f>
        <v/>
      </c>
      <c r="F53">
        <f>IFERROR(INDEX('ערכים טכנולוגיים'!$F$5:$F$357,SMALL('ערכים טכנולוגיים'!$P$5:$P$357,41)),"")</f>
        <v/>
      </c>
      <c r="G53">
        <f>IFERROR(INDEX('ערכים טכנולוגיים'!$G$5:$G$357,SMALL('ערכים טכנולוגיים'!$P$5:$P$357,41)),"")</f>
        <v/>
      </c>
      <c r="H53">
        <f>IFERROR(INDEX('ערכים טכנולוגיים'!$H$5:$H$357,SMALL('ערכים טכנולוגיים'!$P$5:$P$357,41)),"")</f>
        <v/>
      </c>
      <c r="I53">
        <f>IFERROR(INDEX('ערכים טכנולוגיים'!$I$5:$I$357,SMALL('ערכים טכנולוגיים'!$P$5:$P$357,41)),"")</f>
        <v/>
      </c>
      <c r="J53">
        <f>IFERROR(INDEX('ערכים טכנולוגיים'!$J$5:$J$357,SMALL('ערכים טכנולוגיים'!$P$5:$P$357,41)),"")</f>
        <v/>
      </c>
      <c r="K53">
        <f>IFERROR(INDEX('ערכים טכנולוגיים'!$K$5:$K$357,SMALL('ערכים טכנולוגיים'!$P$5:$P$357,41)),"")</f>
        <v/>
      </c>
      <c r="L53">
        <f>IFERROR(INDEX('ערכים טכנולוגיים'!$L$5:$L$357,SMALL('ערכים טכנולוגיים'!$P$5:$P$357,41)),"")</f>
        <v/>
      </c>
      <c r="M53">
        <f>IFERROR(INDEX('ערכים טכנולוגיים'!$M$5:$M$357,SMALL('ערכים טכנולוגיים'!$P$5:$P$357,41)),"")</f>
        <v/>
      </c>
      <c r="N53">
        <f>IFERROR(INDEX('ערכים טכנולוגיים'!$N$5:$N$357,SMALL('ערכים טכנולוגיים'!$P$5:$P$357,41)),"")</f>
        <v/>
      </c>
      <c r="O53">
        <f>IFERROR(INDEX('ערכים טכנולוגיים'!$O$5:$O$357,SMALL('ערכים טכנולוגיים'!$P$5:$P$357,41)),"")</f>
        <v/>
      </c>
    </row>
    <row r="54">
      <c r="A54">
        <f>IFERROR(INDEX('ערכים טכנולוגיים'!$A$5:$A$357,SMALL('ערכים טכנולוגיים'!$P$5:$P$357,42)),"")</f>
        <v/>
      </c>
      <c r="B54">
        <f>IFERROR(INDEX('ערכים טכנולוגיים'!$B$5:$B$357,SMALL('ערכים טכנולוגיים'!$P$5:$P$357,42)),"")</f>
        <v/>
      </c>
      <c r="C54">
        <f>IFERROR(INDEX('ערכים טכנולוגיים'!$C$5:$C$357,SMALL('ערכים טכנולוגיים'!$P$5:$P$357,42)),"")</f>
        <v/>
      </c>
      <c r="D54">
        <f>IFERROR(INDEX('ערכים טכנולוגיים'!$D$5:$D$357,SMALL('ערכים טכנולוגיים'!$P$5:$P$357,42)),"")</f>
        <v/>
      </c>
      <c r="E54">
        <f>IFERROR(INDEX('ערכים טכנולוגיים'!$E$5:$E$357,SMALL('ערכים טכנולוגיים'!$P$5:$P$357,42)),"")</f>
        <v/>
      </c>
      <c r="F54">
        <f>IFERROR(INDEX('ערכים טכנולוגיים'!$F$5:$F$357,SMALL('ערכים טכנולוגיים'!$P$5:$P$357,42)),"")</f>
        <v/>
      </c>
      <c r="G54">
        <f>IFERROR(INDEX('ערכים טכנולוגיים'!$G$5:$G$357,SMALL('ערכים טכנולוגיים'!$P$5:$P$357,42)),"")</f>
        <v/>
      </c>
      <c r="H54">
        <f>IFERROR(INDEX('ערכים טכנולוגיים'!$H$5:$H$357,SMALL('ערכים טכנולוגיים'!$P$5:$P$357,42)),"")</f>
        <v/>
      </c>
      <c r="I54">
        <f>IFERROR(INDEX('ערכים טכנולוגיים'!$I$5:$I$357,SMALL('ערכים טכנולוגיים'!$P$5:$P$357,42)),"")</f>
        <v/>
      </c>
      <c r="J54">
        <f>IFERROR(INDEX('ערכים טכנולוגיים'!$J$5:$J$357,SMALL('ערכים טכנולוגיים'!$P$5:$P$357,42)),"")</f>
        <v/>
      </c>
      <c r="K54">
        <f>IFERROR(INDEX('ערכים טכנולוגיים'!$K$5:$K$357,SMALL('ערכים טכנולוגיים'!$P$5:$P$357,42)),"")</f>
        <v/>
      </c>
      <c r="L54">
        <f>IFERROR(INDEX('ערכים טכנולוגיים'!$L$5:$L$357,SMALL('ערכים טכנולוגיים'!$P$5:$P$357,42)),"")</f>
        <v/>
      </c>
      <c r="M54">
        <f>IFERROR(INDEX('ערכים טכנולוגיים'!$M$5:$M$357,SMALL('ערכים טכנולוגיים'!$P$5:$P$357,42)),"")</f>
        <v/>
      </c>
      <c r="N54">
        <f>IFERROR(INDEX('ערכים טכנולוגיים'!$N$5:$N$357,SMALL('ערכים טכנולוגיים'!$P$5:$P$357,42)),"")</f>
        <v/>
      </c>
      <c r="O54">
        <f>IFERROR(INDEX('ערכים טכנולוגיים'!$O$5:$O$357,SMALL('ערכים טכנולוגיים'!$P$5:$P$357,42)),"")</f>
        <v/>
      </c>
    </row>
    <row r="55">
      <c r="A55">
        <f>IFERROR(INDEX('ערכים טכנולוגיים'!$A$5:$A$357,SMALL('ערכים טכנולוגיים'!$P$5:$P$357,43)),"")</f>
        <v/>
      </c>
      <c r="B55">
        <f>IFERROR(INDEX('ערכים טכנולוגיים'!$B$5:$B$357,SMALL('ערכים טכנולוגיים'!$P$5:$P$357,43)),"")</f>
        <v/>
      </c>
      <c r="C55">
        <f>IFERROR(INDEX('ערכים טכנולוגיים'!$C$5:$C$357,SMALL('ערכים טכנולוגיים'!$P$5:$P$357,43)),"")</f>
        <v/>
      </c>
      <c r="D55">
        <f>IFERROR(INDEX('ערכים טכנולוגיים'!$D$5:$D$357,SMALL('ערכים טכנולוגיים'!$P$5:$P$357,43)),"")</f>
        <v/>
      </c>
      <c r="E55">
        <f>IFERROR(INDEX('ערכים טכנולוגיים'!$E$5:$E$357,SMALL('ערכים טכנולוגיים'!$P$5:$P$357,43)),"")</f>
        <v/>
      </c>
      <c r="F55">
        <f>IFERROR(INDEX('ערכים טכנולוגיים'!$F$5:$F$357,SMALL('ערכים טכנולוגיים'!$P$5:$P$357,43)),"")</f>
        <v/>
      </c>
      <c r="G55">
        <f>IFERROR(INDEX('ערכים טכנולוגיים'!$G$5:$G$357,SMALL('ערכים טכנולוגיים'!$P$5:$P$357,43)),"")</f>
        <v/>
      </c>
      <c r="H55">
        <f>IFERROR(INDEX('ערכים טכנולוגיים'!$H$5:$H$357,SMALL('ערכים טכנולוגיים'!$P$5:$P$357,43)),"")</f>
        <v/>
      </c>
      <c r="I55">
        <f>IFERROR(INDEX('ערכים טכנולוגיים'!$I$5:$I$357,SMALL('ערכים טכנולוגיים'!$P$5:$P$357,43)),"")</f>
        <v/>
      </c>
      <c r="J55">
        <f>IFERROR(INDEX('ערכים טכנולוגיים'!$J$5:$J$357,SMALL('ערכים טכנולוגיים'!$P$5:$P$357,43)),"")</f>
        <v/>
      </c>
      <c r="K55">
        <f>IFERROR(INDEX('ערכים טכנולוגיים'!$K$5:$K$357,SMALL('ערכים טכנולוגיים'!$P$5:$P$357,43)),"")</f>
        <v/>
      </c>
      <c r="L55">
        <f>IFERROR(INDEX('ערכים טכנולוגיים'!$L$5:$L$357,SMALL('ערכים טכנולוגיים'!$P$5:$P$357,43)),"")</f>
        <v/>
      </c>
      <c r="M55">
        <f>IFERROR(INDEX('ערכים טכנולוגיים'!$M$5:$M$357,SMALL('ערכים טכנולוגיים'!$P$5:$P$357,43)),"")</f>
        <v/>
      </c>
      <c r="N55">
        <f>IFERROR(INDEX('ערכים טכנולוגיים'!$N$5:$N$357,SMALL('ערכים טכנולוגיים'!$P$5:$P$357,43)),"")</f>
        <v/>
      </c>
      <c r="O55">
        <f>IFERROR(INDEX('ערכים טכנולוגיים'!$O$5:$O$357,SMALL('ערכים טכנולוגיים'!$P$5:$P$357,43)),"")</f>
        <v/>
      </c>
    </row>
    <row r="56">
      <c r="A56">
        <f>IFERROR(INDEX('ערכים טכנולוגיים'!$A$5:$A$357,SMALL('ערכים טכנולוגיים'!$P$5:$P$357,44)),"")</f>
        <v/>
      </c>
      <c r="B56">
        <f>IFERROR(INDEX('ערכים טכנולוגיים'!$B$5:$B$357,SMALL('ערכים טכנולוגיים'!$P$5:$P$357,44)),"")</f>
        <v/>
      </c>
      <c r="C56">
        <f>IFERROR(INDEX('ערכים טכנולוגיים'!$C$5:$C$357,SMALL('ערכים טכנולוגיים'!$P$5:$P$357,44)),"")</f>
        <v/>
      </c>
      <c r="D56">
        <f>IFERROR(INDEX('ערכים טכנולוגיים'!$D$5:$D$357,SMALL('ערכים טכנולוגיים'!$P$5:$P$357,44)),"")</f>
        <v/>
      </c>
      <c r="E56">
        <f>IFERROR(INDEX('ערכים טכנולוגיים'!$E$5:$E$357,SMALL('ערכים טכנולוגיים'!$P$5:$P$357,44)),"")</f>
        <v/>
      </c>
      <c r="F56">
        <f>IFERROR(INDEX('ערכים טכנולוגיים'!$F$5:$F$357,SMALL('ערכים טכנולוגיים'!$P$5:$P$357,44)),"")</f>
        <v/>
      </c>
      <c r="G56">
        <f>IFERROR(INDEX('ערכים טכנולוגיים'!$G$5:$G$357,SMALL('ערכים טכנולוגיים'!$P$5:$P$357,44)),"")</f>
        <v/>
      </c>
      <c r="H56">
        <f>IFERROR(INDEX('ערכים טכנולוגיים'!$H$5:$H$357,SMALL('ערכים טכנולוגיים'!$P$5:$P$357,44)),"")</f>
        <v/>
      </c>
      <c r="I56">
        <f>IFERROR(INDEX('ערכים טכנולוגיים'!$I$5:$I$357,SMALL('ערכים טכנולוגיים'!$P$5:$P$357,44)),"")</f>
        <v/>
      </c>
      <c r="J56">
        <f>IFERROR(INDEX('ערכים טכנולוגיים'!$J$5:$J$357,SMALL('ערכים טכנולוגיים'!$P$5:$P$357,44)),"")</f>
        <v/>
      </c>
      <c r="K56">
        <f>IFERROR(INDEX('ערכים טכנולוגיים'!$K$5:$K$357,SMALL('ערכים טכנולוגיים'!$P$5:$P$357,44)),"")</f>
        <v/>
      </c>
      <c r="L56">
        <f>IFERROR(INDEX('ערכים טכנולוגיים'!$L$5:$L$357,SMALL('ערכים טכנולוגיים'!$P$5:$P$357,44)),"")</f>
        <v/>
      </c>
      <c r="M56">
        <f>IFERROR(INDEX('ערכים טכנולוגיים'!$M$5:$M$357,SMALL('ערכים טכנולוגיים'!$P$5:$P$357,44)),"")</f>
        <v/>
      </c>
      <c r="N56">
        <f>IFERROR(INDEX('ערכים טכנולוגיים'!$N$5:$N$357,SMALL('ערכים טכנולוגיים'!$P$5:$P$357,44)),"")</f>
        <v/>
      </c>
      <c r="O56">
        <f>IFERROR(INDEX('ערכים טכנולוגיים'!$O$5:$O$357,SMALL('ערכים טכנולוגיים'!$P$5:$P$357,44)),"")</f>
        <v/>
      </c>
    </row>
    <row r="57">
      <c r="A57">
        <f>IFERROR(INDEX('ערכים טכנולוגיים'!$A$5:$A$357,SMALL('ערכים טכנולוגיים'!$P$5:$P$357,45)),"")</f>
        <v/>
      </c>
      <c r="B57">
        <f>IFERROR(INDEX('ערכים טכנולוגיים'!$B$5:$B$357,SMALL('ערכים טכנולוגיים'!$P$5:$P$357,45)),"")</f>
        <v/>
      </c>
      <c r="C57">
        <f>IFERROR(INDEX('ערכים טכנולוגיים'!$C$5:$C$357,SMALL('ערכים טכנולוגיים'!$P$5:$P$357,45)),"")</f>
        <v/>
      </c>
      <c r="D57">
        <f>IFERROR(INDEX('ערכים טכנולוגיים'!$D$5:$D$357,SMALL('ערכים טכנולוגיים'!$P$5:$P$357,45)),"")</f>
        <v/>
      </c>
      <c r="E57">
        <f>IFERROR(INDEX('ערכים טכנולוגיים'!$E$5:$E$357,SMALL('ערכים טכנולוגיים'!$P$5:$P$357,45)),"")</f>
        <v/>
      </c>
      <c r="F57">
        <f>IFERROR(INDEX('ערכים טכנולוגיים'!$F$5:$F$357,SMALL('ערכים טכנולוגיים'!$P$5:$P$357,45)),"")</f>
        <v/>
      </c>
      <c r="G57">
        <f>IFERROR(INDEX('ערכים טכנולוגיים'!$G$5:$G$357,SMALL('ערכים טכנולוגיים'!$P$5:$P$357,45)),"")</f>
        <v/>
      </c>
      <c r="H57">
        <f>IFERROR(INDEX('ערכים טכנולוגיים'!$H$5:$H$357,SMALL('ערכים טכנולוגיים'!$P$5:$P$357,45)),"")</f>
        <v/>
      </c>
      <c r="I57">
        <f>IFERROR(INDEX('ערכים טכנולוגיים'!$I$5:$I$357,SMALL('ערכים טכנולוגיים'!$P$5:$P$357,45)),"")</f>
        <v/>
      </c>
      <c r="J57">
        <f>IFERROR(INDEX('ערכים טכנולוגיים'!$J$5:$J$357,SMALL('ערכים טכנולוגיים'!$P$5:$P$357,45)),"")</f>
        <v/>
      </c>
      <c r="K57">
        <f>IFERROR(INDEX('ערכים טכנולוגיים'!$K$5:$K$357,SMALL('ערכים טכנולוגיים'!$P$5:$P$357,45)),"")</f>
        <v/>
      </c>
      <c r="L57">
        <f>IFERROR(INDEX('ערכים טכנולוגיים'!$L$5:$L$357,SMALL('ערכים טכנולוגיים'!$P$5:$P$357,45)),"")</f>
        <v/>
      </c>
      <c r="M57">
        <f>IFERROR(INDEX('ערכים טכנולוגיים'!$M$5:$M$357,SMALL('ערכים טכנולוגיים'!$P$5:$P$357,45)),"")</f>
        <v/>
      </c>
      <c r="N57">
        <f>IFERROR(INDEX('ערכים טכנולוגיים'!$N$5:$N$357,SMALL('ערכים טכנולוגיים'!$P$5:$P$357,45)),"")</f>
        <v/>
      </c>
      <c r="O57">
        <f>IFERROR(INDEX('ערכים טכנולוגיים'!$O$5:$O$357,SMALL('ערכים טכנולוגיים'!$P$5:$P$357,45)),"")</f>
        <v/>
      </c>
    </row>
    <row r="58">
      <c r="A58">
        <f>IFERROR(INDEX('ערכים טכנולוגיים'!$A$5:$A$357,SMALL('ערכים טכנולוגיים'!$P$5:$P$357,46)),"")</f>
        <v/>
      </c>
      <c r="B58">
        <f>IFERROR(INDEX('ערכים טכנולוגיים'!$B$5:$B$357,SMALL('ערכים טכנולוגיים'!$P$5:$P$357,46)),"")</f>
        <v/>
      </c>
      <c r="C58">
        <f>IFERROR(INDEX('ערכים טכנולוגיים'!$C$5:$C$357,SMALL('ערכים טכנולוגיים'!$P$5:$P$357,46)),"")</f>
        <v/>
      </c>
      <c r="D58">
        <f>IFERROR(INDEX('ערכים טכנולוגיים'!$D$5:$D$357,SMALL('ערכים טכנולוגיים'!$P$5:$P$357,46)),"")</f>
        <v/>
      </c>
      <c r="E58">
        <f>IFERROR(INDEX('ערכים טכנולוגיים'!$E$5:$E$357,SMALL('ערכים טכנולוגיים'!$P$5:$P$357,46)),"")</f>
        <v/>
      </c>
      <c r="F58">
        <f>IFERROR(INDEX('ערכים טכנולוגיים'!$F$5:$F$357,SMALL('ערכים טכנולוגיים'!$P$5:$P$357,46)),"")</f>
        <v/>
      </c>
      <c r="G58">
        <f>IFERROR(INDEX('ערכים טכנולוגיים'!$G$5:$G$357,SMALL('ערכים טכנולוגיים'!$P$5:$P$357,46)),"")</f>
        <v/>
      </c>
      <c r="H58">
        <f>IFERROR(INDEX('ערכים טכנולוגיים'!$H$5:$H$357,SMALL('ערכים טכנולוגיים'!$P$5:$P$357,46)),"")</f>
        <v/>
      </c>
      <c r="I58">
        <f>IFERROR(INDEX('ערכים טכנולוגיים'!$I$5:$I$357,SMALL('ערכים טכנולוגיים'!$P$5:$P$357,46)),"")</f>
        <v/>
      </c>
      <c r="J58">
        <f>IFERROR(INDEX('ערכים טכנולוגיים'!$J$5:$J$357,SMALL('ערכים טכנולוגיים'!$P$5:$P$357,46)),"")</f>
        <v/>
      </c>
      <c r="K58">
        <f>IFERROR(INDEX('ערכים טכנולוגיים'!$K$5:$K$357,SMALL('ערכים טכנולוגיים'!$P$5:$P$357,46)),"")</f>
        <v/>
      </c>
      <c r="L58">
        <f>IFERROR(INDEX('ערכים טכנולוגיים'!$L$5:$L$357,SMALL('ערכים טכנולוגיים'!$P$5:$P$357,46)),"")</f>
        <v/>
      </c>
      <c r="M58">
        <f>IFERROR(INDEX('ערכים טכנולוגיים'!$M$5:$M$357,SMALL('ערכים טכנולוגיים'!$P$5:$P$357,46)),"")</f>
        <v/>
      </c>
      <c r="N58">
        <f>IFERROR(INDEX('ערכים טכנולוגיים'!$N$5:$N$357,SMALL('ערכים טכנולוגיים'!$P$5:$P$357,46)),"")</f>
        <v/>
      </c>
      <c r="O58">
        <f>IFERROR(INDEX('ערכים טכנולוגיים'!$O$5:$O$357,SMALL('ערכים טכנולוגיים'!$P$5:$P$357,46)),"")</f>
        <v/>
      </c>
    </row>
    <row r="59">
      <c r="A59">
        <f>IFERROR(INDEX('ערכים טכנולוגיים'!$A$5:$A$357,SMALL('ערכים טכנולוגיים'!$P$5:$P$357,47)),"")</f>
        <v/>
      </c>
      <c r="B59">
        <f>IFERROR(INDEX('ערכים טכנולוגיים'!$B$5:$B$357,SMALL('ערכים טכנולוגיים'!$P$5:$P$357,47)),"")</f>
        <v/>
      </c>
      <c r="C59">
        <f>IFERROR(INDEX('ערכים טכנולוגיים'!$C$5:$C$357,SMALL('ערכים טכנולוגיים'!$P$5:$P$357,47)),"")</f>
        <v/>
      </c>
      <c r="D59">
        <f>IFERROR(INDEX('ערכים טכנולוגיים'!$D$5:$D$357,SMALL('ערכים טכנולוגיים'!$P$5:$P$357,47)),"")</f>
        <v/>
      </c>
      <c r="E59">
        <f>IFERROR(INDEX('ערכים טכנולוגיים'!$E$5:$E$357,SMALL('ערכים טכנולוגיים'!$P$5:$P$357,47)),"")</f>
        <v/>
      </c>
      <c r="F59">
        <f>IFERROR(INDEX('ערכים טכנולוגיים'!$F$5:$F$357,SMALL('ערכים טכנולוגיים'!$P$5:$P$357,47)),"")</f>
        <v/>
      </c>
      <c r="G59">
        <f>IFERROR(INDEX('ערכים טכנולוגיים'!$G$5:$G$357,SMALL('ערכים טכנולוגיים'!$P$5:$P$357,47)),"")</f>
        <v/>
      </c>
      <c r="H59">
        <f>IFERROR(INDEX('ערכים טכנולוגיים'!$H$5:$H$357,SMALL('ערכים טכנולוגיים'!$P$5:$P$357,47)),"")</f>
        <v/>
      </c>
      <c r="I59">
        <f>IFERROR(INDEX('ערכים טכנולוגיים'!$I$5:$I$357,SMALL('ערכים טכנולוגיים'!$P$5:$P$357,47)),"")</f>
        <v/>
      </c>
      <c r="J59">
        <f>IFERROR(INDEX('ערכים טכנולוגיים'!$J$5:$J$357,SMALL('ערכים טכנולוגיים'!$P$5:$P$357,47)),"")</f>
        <v/>
      </c>
      <c r="K59">
        <f>IFERROR(INDEX('ערכים טכנולוגיים'!$K$5:$K$357,SMALL('ערכים טכנולוגיים'!$P$5:$P$357,47)),"")</f>
        <v/>
      </c>
      <c r="L59">
        <f>IFERROR(INDEX('ערכים טכנולוגיים'!$L$5:$L$357,SMALL('ערכים טכנולוגיים'!$P$5:$P$357,47)),"")</f>
        <v/>
      </c>
      <c r="M59">
        <f>IFERROR(INDEX('ערכים טכנולוגיים'!$M$5:$M$357,SMALL('ערכים טכנולוגיים'!$P$5:$P$357,47)),"")</f>
        <v/>
      </c>
      <c r="N59">
        <f>IFERROR(INDEX('ערכים טכנולוגיים'!$N$5:$N$357,SMALL('ערכים טכנולוגיים'!$P$5:$P$357,47)),"")</f>
        <v/>
      </c>
      <c r="O59">
        <f>IFERROR(INDEX('ערכים טכנולוגיים'!$O$5:$O$357,SMALL('ערכים טכנולוגיים'!$P$5:$P$357,47)),"")</f>
        <v/>
      </c>
    </row>
    <row r="60">
      <c r="A60">
        <f>IFERROR(INDEX('ערכים טכנולוגיים'!$A$5:$A$357,SMALL('ערכים טכנולוגיים'!$P$5:$P$357,48)),"")</f>
        <v/>
      </c>
      <c r="B60">
        <f>IFERROR(INDEX('ערכים טכנולוגיים'!$B$5:$B$357,SMALL('ערכים טכנולוגיים'!$P$5:$P$357,48)),"")</f>
        <v/>
      </c>
      <c r="C60">
        <f>IFERROR(INDEX('ערכים טכנולוגיים'!$C$5:$C$357,SMALL('ערכים טכנולוגיים'!$P$5:$P$357,48)),"")</f>
        <v/>
      </c>
      <c r="D60">
        <f>IFERROR(INDEX('ערכים טכנולוגיים'!$D$5:$D$357,SMALL('ערכים טכנולוגיים'!$P$5:$P$357,48)),"")</f>
        <v/>
      </c>
      <c r="E60">
        <f>IFERROR(INDEX('ערכים טכנולוגיים'!$E$5:$E$357,SMALL('ערכים טכנולוגיים'!$P$5:$P$357,48)),"")</f>
        <v/>
      </c>
      <c r="F60">
        <f>IFERROR(INDEX('ערכים טכנולוגיים'!$F$5:$F$357,SMALL('ערכים טכנולוגיים'!$P$5:$P$357,48)),"")</f>
        <v/>
      </c>
      <c r="G60">
        <f>IFERROR(INDEX('ערכים טכנולוגיים'!$G$5:$G$357,SMALL('ערכים טכנולוגיים'!$P$5:$P$357,48)),"")</f>
        <v/>
      </c>
      <c r="H60">
        <f>IFERROR(INDEX('ערכים טכנולוגיים'!$H$5:$H$357,SMALL('ערכים טכנולוגיים'!$P$5:$P$357,48)),"")</f>
        <v/>
      </c>
      <c r="I60">
        <f>IFERROR(INDEX('ערכים טכנולוגיים'!$I$5:$I$357,SMALL('ערכים טכנולוגיים'!$P$5:$P$357,48)),"")</f>
        <v/>
      </c>
      <c r="J60">
        <f>IFERROR(INDEX('ערכים טכנולוגיים'!$J$5:$J$357,SMALL('ערכים טכנולוגיים'!$P$5:$P$357,48)),"")</f>
        <v/>
      </c>
      <c r="K60">
        <f>IFERROR(INDEX('ערכים טכנולוגיים'!$K$5:$K$357,SMALL('ערכים טכנולוגיים'!$P$5:$P$357,48)),"")</f>
        <v/>
      </c>
      <c r="L60">
        <f>IFERROR(INDEX('ערכים טכנולוגיים'!$L$5:$L$357,SMALL('ערכים טכנולוגיים'!$P$5:$P$357,48)),"")</f>
        <v/>
      </c>
      <c r="M60">
        <f>IFERROR(INDEX('ערכים טכנולוגיים'!$M$5:$M$357,SMALL('ערכים טכנולוגיים'!$P$5:$P$357,48)),"")</f>
        <v/>
      </c>
      <c r="N60">
        <f>IFERROR(INDEX('ערכים טכנולוגיים'!$N$5:$N$357,SMALL('ערכים טכנולוגיים'!$P$5:$P$357,48)),"")</f>
        <v/>
      </c>
      <c r="O60">
        <f>IFERROR(INDEX('ערכים טכנולוגיים'!$O$5:$O$357,SMALL('ערכים טכנולוגיים'!$P$5:$P$357,48)),"")</f>
        <v/>
      </c>
    </row>
    <row r="61">
      <c r="A61">
        <f>IFERROR(INDEX('ערכים טכנולוגיים'!$A$5:$A$357,SMALL('ערכים טכנולוגיים'!$P$5:$P$357,49)),"")</f>
        <v/>
      </c>
      <c r="B61">
        <f>IFERROR(INDEX('ערכים טכנולוגיים'!$B$5:$B$357,SMALL('ערכים טכנולוגיים'!$P$5:$P$357,49)),"")</f>
        <v/>
      </c>
      <c r="C61">
        <f>IFERROR(INDEX('ערכים טכנולוגיים'!$C$5:$C$357,SMALL('ערכים טכנולוגיים'!$P$5:$P$357,49)),"")</f>
        <v/>
      </c>
      <c r="D61">
        <f>IFERROR(INDEX('ערכים טכנולוגיים'!$D$5:$D$357,SMALL('ערכים טכנולוגיים'!$P$5:$P$357,49)),"")</f>
        <v/>
      </c>
      <c r="E61">
        <f>IFERROR(INDEX('ערכים טכנולוגיים'!$E$5:$E$357,SMALL('ערכים טכנולוגיים'!$P$5:$P$357,49)),"")</f>
        <v/>
      </c>
      <c r="F61">
        <f>IFERROR(INDEX('ערכים טכנולוגיים'!$F$5:$F$357,SMALL('ערכים טכנולוגיים'!$P$5:$P$357,49)),"")</f>
        <v/>
      </c>
      <c r="G61">
        <f>IFERROR(INDEX('ערכים טכנולוגיים'!$G$5:$G$357,SMALL('ערכים טכנולוגיים'!$P$5:$P$357,49)),"")</f>
        <v/>
      </c>
      <c r="H61">
        <f>IFERROR(INDEX('ערכים טכנולוגיים'!$H$5:$H$357,SMALL('ערכים טכנולוגיים'!$P$5:$P$357,49)),"")</f>
        <v/>
      </c>
      <c r="I61">
        <f>IFERROR(INDEX('ערכים טכנולוגיים'!$I$5:$I$357,SMALL('ערכים טכנולוגיים'!$P$5:$P$357,49)),"")</f>
        <v/>
      </c>
      <c r="J61">
        <f>IFERROR(INDEX('ערכים טכנולוגיים'!$J$5:$J$357,SMALL('ערכים טכנולוגיים'!$P$5:$P$357,49)),"")</f>
        <v/>
      </c>
      <c r="K61">
        <f>IFERROR(INDEX('ערכים טכנולוגיים'!$K$5:$K$357,SMALL('ערכים טכנולוגיים'!$P$5:$P$357,49)),"")</f>
        <v/>
      </c>
      <c r="L61">
        <f>IFERROR(INDEX('ערכים טכנולוגיים'!$L$5:$L$357,SMALL('ערכים טכנולוגיים'!$P$5:$P$357,49)),"")</f>
        <v/>
      </c>
      <c r="M61">
        <f>IFERROR(INDEX('ערכים טכנולוגיים'!$M$5:$M$357,SMALL('ערכים טכנולוגיים'!$P$5:$P$357,49)),"")</f>
        <v/>
      </c>
      <c r="N61">
        <f>IFERROR(INDEX('ערכים טכנולוגיים'!$N$5:$N$357,SMALL('ערכים טכנולוגיים'!$P$5:$P$357,49)),"")</f>
        <v/>
      </c>
      <c r="O61">
        <f>IFERROR(INDEX('ערכים טכנולוגיים'!$O$5:$O$357,SMALL('ערכים טכנולוגיים'!$P$5:$P$357,49)),"")</f>
        <v/>
      </c>
    </row>
    <row r="62">
      <c r="A62">
        <f>IFERROR(INDEX('ערכים טכנולוגיים'!$A$5:$A$357,SMALL('ערכים טכנולוגיים'!$P$5:$P$357,50)),"")</f>
        <v/>
      </c>
      <c r="B62">
        <f>IFERROR(INDEX('ערכים טכנולוגיים'!$B$5:$B$357,SMALL('ערכים טכנולוגיים'!$P$5:$P$357,50)),"")</f>
        <v/>
      </c>
      <c r="C62">
        <f>IFERROR(INDEX('ערכים טכנולוגיים'!$C$5:$C$357,SMALL('ערכים טכנולוגיים'!$P$5:$P$357,50)),"")</f>
        <v/>
      </c>
      <c r="D62">
        <f>IFERROR(INDEX('ערכים טכנולוגיים'!$D$5:$D$357,SMALL('ערכים טכנולוגיים'!$P$5:$P$357,50)),"")</f>
        <v/>
      </c>
      <c r="E62">
        <f>IFERROR(INDEX('ערכים טכנולוגיים'!$E$5:$E$357,SMALL('ערכים טכנולוגיים'!$P$5:$P$357,50)),"")</f>
        <v/>
      </c>
      <c r="F62">
        <f>IFERROR(INDEX('ערכים טכנולוגיים'!$F$5:$F$357,SMALL('ערכים טכנולוגיים'!$P$5:$P$357,50)),"")</f>
        <v/>
      </c>
      <c r="G62">
        <f>IFERROR(INDEX('ערכים טכנולוגיים'!$G$5:$G$357,SMALL('ערכים טכנולוגיים'!$P$5:$P$357,50)),"")</f>
        <v/>
      </c>
      <c r="H62">
        <f>IFERROR(INDEX('ערכים טכנולוגיים'!$H$5:$H$357,SMALL('ערכים טכנולוגיים'!$P$5:$P$357,50)),"")</f>
        <v/>
      </c>
      <c r="I62">
        <f>IFERROR(INDEX('ערכים טכנולוגיים'!$I$5:$I$357,SMALL('ערכים טכנולוגיים'!$P$5:$P$357,50)),"")</f>
        <v/>
      </c>
      <c r="J62">
        <f>IFERROR(INDEX('ערכים טכנולוגיים'!$J$5:$J$357,SMALL('ערכים טכנולוגיים'!$P$5:$P$357,50)),"")</f>
        <v/>
      </c>
      <c r="K62">
        <f>IFERROR(INDEX('ערכים טכנולוגיים'!$K$5:$K$357,SMALL('ערכים טכנולוגיים'!$P$5:$P$357,50)),"")</f>
        <v/>
      </c>
      <c r="L62">
        <f>IFERROR(INDEX('ערכים טכנולוגיים'!$L$5:$L$357,SMALL('ערכים טכנולוגיים'!$P$5:$P$357,50)),"")</f>
        <v/>
      </c>
      <c r="M62">
        <f>IFERROR(INDEX('ערכים טכנולוגיים'!$M$5:$M$357,SMALL('ערכים טכנולוגיים'!$P$5:$P$357,50)),"")</f>
        <v/>
      </c>
      <c r="N62">
        <f>IFERROR(INDEX('ערכים טכנולוגיים'!$N$5:$N$357,SMALL('ערכים טכנולוגיים'!$P$5:$P$357,50)),"")</f>
        <v/>
      </c>
      <c r="O62">
        <f>IFERROR(INDEX('ערכים טכנולוגיים'!$O$5:$O$357,SMALL('ערכים טכנולוגיים'!$P$5:$P$357,50)),"")</f>
        <v/>
      </c>
    </row>
    <row r="63">
      <c r="A63">
        <f>IFERROR(INDEX('ערכים טכנולוגיים'!$A$5:$A$357,SMALL('ערכים טכנולוגיים'!$P$5:$P$357,51)),"")</f>
        <v/>
      </c>
      <c r="B63">
        <f>IFERROR(INDEX('ערכים טכנולוגיים'!$B$5:$B$357,SMALL('ערכים טכנולוגיים'!$P$5:$P$357,51)),"")</f>
        <v/>
      </c>
      <c r="C63">
        <f>IFERROR(INDEX('ערכים טכנולוגיים'!$C$5:$C$357,SMALL('ערכים טכנולוגיים'!$P$5:$P$357,51)),"")</f>
        <v/>
      </c>
      <c r="D63">
        <f>IFERROR(INDEX('ערכים טכנולוגיים'!$D$5:$D$357,SMALL('ערכים טכנולוגיים'!$P$5:$P$357,51)),"")</f>
        <v/>
      </c>
      <c r="E63">
        <f>IFERROR(INDEX('ערכים טכנולוגיים'!$E$5:$E$357,SMALL('ערכים טכנולוגיים'!$P$5:$P$357,51)),"")</f>
        <v/>
      </c>
      <c r="F63">
        <f>IFERROR(INDEX('ערכים טכנולוגיים'!$F$5:$F$357,SMALL('ערכים טכנולוגיים'!$P$5:$P$357,51)),"")</f>
        <v/>
      </c>
      <c r="G63">
        <f>IFERROR(INDEX('ערכים טכנולוגיים'!$G$5:$G$357,SMALL('ערכים טכנולוגיים'!$P$5:$P$357,51)),"")</f>
        <v/>
      </c>
      <c r="H63">
        <f>IFERROR(INDEX('ערכים טכנולוגיים'!$H$5:$H$357,SMALL('ערכים טכנולוגיים'!$P$5:$P$357,51)),"")</f>
        <v/>
      </c>
      <c r="I63">
        <f>IFERROR(INDEX('ערכים טכנולוגיים'!$I$5:$I$357,SMALL('ערכים טכנולוגיים'!$P$5:$P$357,51)),"")</f>
        <v/>
      </c>
      <c r="J63">
        <f>IFERROR(INDEX('ערכים טכנולוגיים'!$J$5:$J$357,SMALL('ערכים טכנולוגיים'!$P$5:$P$357,51)),"")</f>
        <v/>
      </c>
      <c r="K63">
        <f>IFERROR(INDEX('ערכים טכנולוגיים'!$K$5:$K$357,SMALL('ערכים טכנולוגיים'!$P$5:$P$357,51)),"")</f>
        <v/>
      </c>
      <c r="L63">
        <f>IFERROR(INDEX('ערכים טכנולוגיים'!$L$5:$L$357,SMALL('ערכים טכנולוגיים'!$P$5:$P$357,51)),"")</f>
        <v/>
      </c>
      <c r="M63">
        <f>IFERROR(INDEX('ערכים טכנולוגיים'!$M$5:$M$357,SMALL('ערכים טכנולוגיים'!$P$5:$P$357,51)),"")</f>
        <v/>
      </c>
      <c r="N63">
        <f>IFERROR(INDEX('ערכים טכנולוגיים'!$N$5:$N$357,SMALL('ערכים טכנולוגיים'!$P$5:$P$357,51)),"")</f>
        <v/>
      </c>
      <c r="O63">
        <f>IFERROR(INDEX('ערכים טכנולוגיים'!$O$5:$O$357,SMALL('ערכים טכנולוגיים'!$P$5:$P$357,51)),"")</f>
        <v/>
      </c>
    </row>
    <row r="64">
      <c r="A64">
        <f>IFERROR(INDEX('ערכים טכנולוגיים'!$A$5:$A$357,SMALL('ערכים טכנולוגיים'!$P$5:$P$357,52)),"")</f>
        <v/>
      </c>
      <c r="B64">
        <f>IFERROR(INDEX('ערכים טכנולוגיים'!$B$5:$B$357,SMALL('ערכים טכנולוגיים'!$P$5:$P$357,52)),"")</f>
        <v/>
      </c>
      <c r="C64">
        <f>IFERROR(INDEX('ערכים טכנולוגיים'!$C$5:$C$357,SMALL('ערכים טכנולוגיים'!$P$5:$P$357,52)),"")</f>
        <v/>
      </c>
      <c r="D64">
        <f>IFERROR(INDEX('ערכים טכנולוגיים'!$D$5:$D$357,SMALL('ערכים טכנולוגיים'!$P$5:$P$357,52)),"")</f>
        <v/>
      </c>
      <c r="E64">
        <f>IFERROR(INDEX('ערכים טכנולוגיים'!$E$5:$E$357,SMALL('ערכים טכנולוגיים'!$P$5:$P$357,52)),"")</f>
        <v/>
      </c>
      <c r="F64">
        <f>IFERROR(INDEX('ערכים טכנולוגיים'!$F$5:$F$357,SMALL('ערכים טכנולוגיים'!$P$5:$P$357,52)),"")</f>
        <v/>
      </c>
      <c r="G64">
        <f>IFERROR(INDEX('ערכים טכנולוגיים'!$G$5:$G$357,SMALL('ערכים טכנולוגיים'!$P$5:$P$357,52)),"")</f>
        <v/>
      </c>
      <c r="H64">
        <f>IFERROR(INDEX('ערכים טכנולוגיים'!$H$5:$H$357,SMALL('ערכים טכנולוגיים'!$P$5:$P$357,52)),"")</f>
        <v/>
      </c>
      <c r="I64">
        <f>IFERROR(INDEX('ערכים טכנולוגיים'!$I$5:$I$357,SMALL('ערכים טכנולוגיים'!$P$5:$P$357,52)),"")</f>
        <v/>
      </c>
      <c r="J64">
        <f>IFERROR(INDEX('ערכים טכנולוגיים'!$J$5:$J$357,SMALL('ערכים טכנולוגיים'!$P$5:$P$357,52)),"")</f>
        <v/>
      </c>
      <c r="K64">
        <f>IFERROR(INDEX('ערכים טכנולוגיים'!$K$5:$K$357,SMALL('ערכים טכנולוגיים'!$P$5:$P$357,52)),"")</f>
        <v/>
      </c>
      <c r="L64">
        <f>IFERROR(INDEX('ערכים טכנולוגיים'!$L$5:$L$357,SMALL('ערכים טכנולוגיים'!$P$5:$P$357,52)),"")</f>
        <v/>
      </c>
      <c r="M64">
        <f>IFERROR(INDEX('ערכים טכנולוגיים'!$M$5:$M$357,SMALL('ערכים טכנולוגיים'!$P$5:$P$357,52)),"")</f>
        <v/>
      </c>
      <c r="N64">
        <f>IFERROR(INDEX('ערכים טכנולוגיים'!$N$5:$N$357,SMALL('ערכים טכנולוגיים'!$P$5:$P$357,52)),"")</f>
        <v/>
      </c>
      <c r="O64">
        <f>IFERROR(INDEX('ערכים טכנולוגיים'!$O$5:$O$357,SMALL('ערכים טכנולוגיים'!$P$5:$P$357,52)),"")</f>
        <v/>
      </c>
    </row>
    <row r="65">
      <c r="A65">
        <f>IFERROR(INDEX('ערכים טכנולוגיים'!$A$5:$A$357,SMALL('ערכים טכנולוגיים'!$P$5:$P$357,53)),"")</f>
        <v/>
      </c>
      <c r="B65">
        <f>IFERROR(INDEX('ערכים טכנולוגיים'!$B$5:$B$357,SMALL('ערכים טכנולוגיים'!$P$5:$P$357,53)),"")</f>
        <v/>
      </c>
      <c r="C65">
        <f>IFERROR(INDEX('ערכים טכנולוגיים'!$C$5:$C$357,SMALL('ערכים טכנולוגיים'!$P$5:$P$357,53)),"")</f>
        <v/>
      </c>
      <c r="D65">
        <f>IFERROR(INDEX('ערכים טכנולוגיים'!$D$5:$D$357,SMALL('ערכים טכנולוגיים'!$P$5:$P$357,53)),"")</f>
        <v/>
      </c>
      <c r="E65">
        <f>IFERROR(INDEX('ערכים טכנולוגיים'!$E$5:$E$357,SMALL('ערכים טכנולוגיים'!$P$5:$P$357,53)),"")</f>
        <v/>
      </c>
      <c r="F65">
        <f>IFERROR(INDEX('ערכים טכנולוגיים'!$F$5:$F$357,SMALL('ערכים טכנולוגיים'!$P$5:$P$357,53)),"")</f>
        <v/>
      </c>
      <c r="G65">
        <f>IFERROR(INDEX('ערכים טכנולוגיים'!$G$5:$G$357,SMALL('ערכים טכנולוגיים'!$P$5:$P$357,53)),"")</f>
        <v/>
      </c>
      <c r="H65">
        <f>IFERROR(INDEX('ערכים טכנולוגיים'!$H$5:$H$357,SMALL('ערכים טכנולוגיים'!$P$5:$P$357,53)),"")</f>
        <v/>
      </c>
      <c r="I65">
        <f>IFERROR(INDEX('ערכים טכנולוגיים'!$I$5:$I$357,SMALL('ערכים טכנולוגיים'!$P$5:$P$357,53)),"")</f>
        <v/>
      </c>
      <c r="J65">
        <f>IFERROR(INDEX('ערכים טכנולוגיים'!$J$5:$J$357,SMALL('ערכים טכנולוגיים'!$P$5:$P$357,53)),"")</f>
        <v/>
      </c>
      <c r="K65">
        <f>IFERROR(INDEX('ערכים טכנולוגיים'!$K$5:$K$357,SMALL('ערכים טכנולוגיים'!$P$5:$P$357,53)),"")</f>
        <v/>
      </c>
      <c r="L65">
        <f>IFERROR(INDEX('ערכים טכנולוגיים'!$L$5:$L$357,SMALL('ערכים טכנולוגיים'!$P$5:$P$357,53)),"")</f>
        <v/>
      </c>
      <c r="M65">
        <f>IFERROR(INDEX('ערכים טכנולוגיים'!$M$5:$M$357,SMALL('ערכים טכנולוגיים'!$P$5:$P$357,53)),"")</f>
        <v/>
      </c>
      <c r="N65">
        <f>IFERROR(INDEX('ערכים טכנולוגיים'!$N$5:$N$357,SMALL('ערכים טכנולוגיים'!$P$5:$P$357,53)),"")</f>
        <v/>
      </c>
      <c r="O65">
        <f>IFERROR(INDEX('ערכים טכנולוגיים'!$O$5:$O$357,SMALL('ערכים טכנולוגיים'!$P$5:$P$357,53)),"")</f>
        <v/>
      </c>
    </row>
    <row r="66">
      <c r="A66">
        <f>IFERROR(INDEX('ערכים טכנולוגיים'!$A$5:$A$357,SMALL('ערכים טכנולוגיים'!$P$5:$P$357,54)),"")</f>
        <v/>
      </c>
      <c r="B66">
        <f>IFERROR(INDEX('ערכים טכנולוגיים'!$B$5:$B$357,SMALL('ערכים טכנולוגיים'!$P$5:$P$357,54)),"")</f>
        <v/>
      </c>
      <c r="C66">
        <f>IFERROR(INDEX('ערכים טכנולוגיים'!$C$5:$C$357,SMALL('ערכים טכנולוגיים'!$P$5:$P$357,54)),"")</f>
        <v/>
      </c>
      <c r="D66">
        <f>IFERROR(INDEX('ערכים טכנולוגיים'!$D$5:$D$357,SMALL('ערכים טכנולוגיים'!$P$5:$P$357,54)),"")</f>
        <v/>
      </c>
      <c r="E66">
        <f>IFERROR(INDEX('ערכים טכנולוגיים'!$E$5:$E$357,SMALL('ערכים טכנולוגיים'!$P$5:$P$357,54)),"")</f>
        <v/>
      </c>
      <c r="F66">
        <f>IFERROR(INDEX('ערכים טכנולוגיים'!$F$5:$F$357,SMALL('ערכים טכנולוגיים'!$P$5:$P$357,54)),"")</f>
        <v/>
      </c>
      <c r="G66">
        <f>IFERROR(INDEX('ערכים טכנולוגיים'!$G$5:$G$357,SMALL('ערכים טכנולוגיים'!$P$5:$P$357,54)),"")</f>
        <v/>
      </c>
      <c r="H66">
        <f>IFERROR(INDEX('ערכים טכנולוגיים'!$H$5:$H$357,SMALL('ערכים טכנולוגיים'!$P$5:$P$357,54)),"")</f>
        <v/>
      </c>
      <c r="I66">
        <f>IFERROR(INDEX('ערכים טכנולוגיים'!$I$5:$I$357,SMALL('ערכים טכנולוגיים'!$P$5:$P$357,54)),"")</f>
        <v/>
      </c>
      <c r="J66">
        <f>IFERROR(INDEX('ערכים טכנולוגיים'!$J$5:$J$357,SMALL('ערכים טכנולוגיים'!$P$5:$P$357,54)),"")</f>
        <v/>
      </c>
      <c r="K66">
        <f>IFERROR(INDEX('ערכים טכנולוגיים'!$K$5:$K$357,SMALL('ערכים טכנולוגיים'!$P$5:$P$357,54)),"")</f>
        <v/>
      </c>
      <c r="L66">
        <f>IFERROR(INDEX('ערכים טכנולוגיים'!$L$5:$L$357,SMALL('ערכים טכנולוגיים'!$P$5:$P$357,54)),"")</f>
        <v/>
      </c>
      <c r="M66">
        <f>IFERROR(INDEX('ערכים טכנולוגיים'!$M$5:$M$357,SMALL('ערכים טכנולוגיים'!$P$5:$P$357,54)),"")</f>
        <v/>
      </c>
      <c r="N66">
        <f>IFERROR(INDEX('ערכים טכנולוגיים'!$N$5:$N$357,SMALL('ערכים טכנולוגיים'!$P$5:$P$357,54)),"")</f>
        <v/>
      </c>
      <c r="O66">
        <f>IFERROR(INDEX('ערכים טכנולוגיים'!$O$5:$O$357,SMALL('ערכים טכנולוגיים'!$P$5:$P$357,54)),"")</f>
        <v/>
      </c>
    </row>
    <row r="67">
      <c r="A67">
        <f>IFERROR(INDEX('ערכים טכנולוגיים'!$A$5:$A$357,SMALL('ערכים טכנולוגיים'!$P$5:$P$357,55)),"")</f>
        <v/>
      </c>
      <c r="B67">
        <f>IFERROR(INDEX('ערכים טכנולוגיים'!$B$5:$B$357,SMALL('ערכים טכנולוגיים'!$P$5:$P$357,55)),"")</f>
        <v/>
      </c>
      <c r="C67">
        <f>IFERROR(INDEX('ערכים טכנולוגיים'!$C$5:$C$357,SMALL('ערכים טכנולוגיים'!$P$5:$P$357,55)),"")</f>
        <v/>
      </c>
      <c r="D67">
        <f>IFERROR(INDEX('ערכים טכנולוגיים'!$D$5:$D$357,SMALL('ערכים טכנולוגיים'!$P$5:$P$357,55)),"")</f>
        <v/>
      </c>
      <c r="E67">
        <f>IFERROR(INDEX('ערכים טכנולוגיים'!$E$5:$E$357,SMALL('ערכים טכנולוגיים'!$P$5:$P$357,55)),"")</f>
        <v/>
      </c>
      <c r="F67">
        <f>IFERROR(INDEX('ערכים טכנולוגיים'!$F$5:$F$357,SMALL('ערכים טכנולוגיים'!$P$5:$P$357,55)),"")</f>
        <v/>
      </c>
      <c r="G67">
        <f>IFERROR(INDEX('ערכים טכנולוגיים'!$G$5:$G$357,SMALL('ערכים טכנולוגיים'!$P$5:$P$357,55)),"")</f>
        <v/>
      </c>
      <c r="H67">
        <f>IFERROR(INDEX('ערכים טכנולוגיים'!$H$5:$H$357,SMALL('ערכים טכנולוגיים'!$P$5:$P$357,55)),"")</f>
        <v/>
      </c>
      <c r="I67">
        <f>IFERROR(INDEX('ערכים טכנולוגיים'!$I$5:$I$357,SMALL('ערכים טכנולוגיים'!$P$5:$P$357,55)),"")</f>
        <v/>
      </c>
      <c r="J67">
        <f>IFERROR(INDEX('ערכים טכנולוגיים'!$J$5:$J$357,SMALL('ערכים טכנולוגיים'!$P$5:$P$357,55)),"")</f>
        <v/>
      </c>
      <c r="K67">
        <f>IFERROR(INDEX('ערכים טכנולוגיים'!$K$5:$K$357,SMALL('ערכים טכנולוגיים'!$P$5:$P$357,55)),"")</f>
        <v/>
      </c>
      <c r="L67">
        <f>IFERROR(INDEX('ערכים טכנולוגיים'!$L$5:$L$357,SMALL('ערכים טכנולוגיים'!$P$5:$P$357,55)),"")</f>
        <v/>
      </c>
      <c r="M67">
        <f>IFERROR(INDEX('ערכים טכנולוגיים'!$M$5:$M$357,SMALL('ערכים טכנולוגיים'!$P$5:$P$357,55)),"")</f>
        <v/>
      </c>
      <c r="N67">
        <f>IFERROR(INDEX('ערכים טכנולוגיים'!$N$5:$N$357,SMALL('ערכים טכנולוגיים'!$P$5:$P$357,55)),"")</f>
        <v/>
      </c>
      <c r="O67">
        <f>IFERROR(INDEX('ערכים טכנולוגיים'!$O$5:$O$357,SMALL('ערכים טכנולוגיים'!$P$5:$P$357,55)),"")</f>
        <v/>
      </c>
    </row>
    <row r="68">
      <c r="A68">
        <f>IFERROR(INDEX('ערכים טכנולוגיים'!$A$5:$A$357,SMALL('ערכים טכנולוגיים'!$P$5:$P$357,56)),"")</f>
        <v/>
      </c>
      <c r="B68">
        <f>IFERROR(INDEX('ערכים טכנולוגיים'!$B$5:$B$357,SMALL('ערכים טכנולוגיים'!$P$5:$P$357,56)),"")</f>
        <v/>
      </c>
      <c r="C68">
        <f>IFERROR(INDEX('ערכים טכנולוגיים'!$C$5:$C$357,SMALL('ערכים טכנולוגיים'!$P$5:$P$357,56)),"")</f>
        <v/>
      </c>
      <c r="D68">
        <f>IFERROR(INDEX('ערכים טכנולוגיים'!$D$5:$D$357,SMALL('ערכים טכנולוגיים'!$P$5:$P$357,56)),"")</f>
        <v/>
      </c>
      <c r="E68">
        <f>IFERROR(INDEX('ערכים טכנולוגיים'!$E$5:$E$357,SMALL('ערכים טכנולוגיים'!$P$5:$P$357,56)),"")</f>
        <v/>
      </c>
      <c r="F68">
        <f>IFERROR(INDEX('ערכים טכנולוגיים'!$F$5:$F$357,SMALL('ערכים טכנולוגיים'!$P$5:$P$357,56)),"")</f>
        <v/>
      </c>
      <c r="G68">
        <f>IFERROR(INDEX('ערכים טכנולוגיים'!$G$5:$G$357,SMALL('ערכים טכנולוגיים'!$P$5:$P$357,56)),"")</f>
        <v/>
      </c>
      <c r="H68">
        <f>IFERROR(INDEX('ערכים טכנולוגיים'!$H$5:$H$357,SMALL('ערכים טכנולוגיים'!$P$5:$P$357,56)),"")</f>
        <v/>
      </c>
      <c r="I68">
        <f>IFERROR(INDEX('ערכים טכנולוגיים'!$I$5:$I$357,SMALL('ערכים טכנולוגיים'!$P$5:$P$357,56)),"")</f>
        <v/>
      </c>
      <c r="J68">
        <f>IFERROR(INDEX('ערכים טכנולוגיים'!$J$5:$J$357,SMALL('ערכים טכנולוגיים'!$P$5:$P$357,56)),"")</f>
        <v/>
      </c>
      <c r="K68">
        <f>IFERROR(INDEX('ערכים טכנולוגיים'!$K$5:$K$357,SMALL('ערכים טכנולוגיים'!$P$5:$P$357,56)),"")</f>
        <v/>
      </c>
      <c r="L68">
        <f>IFERROR(INDEX('ערכים טכנולוגיים'!$L$5:$L$357,SMALL('ערכים טכנולוגיים'!$P$5:$P$357,56)),"")</f>
        <v/>
      </c>
      <c r="M68">
        <f>IFERROR(INDEX('ערכים טכנולוגיים'!$M$5:$M$357,SMALL('ערכים טכנולוגיים'!$P$5:$P$357,56)),"")</f>
        <v/>
      </c>
      <c r="N68">
        <f>IFERROR(INDEX('ערכים טכנולוגיים'!$N$5:$N$357,SMALL('ערכים טכנולוגיים'!$P$5:$P$357,56)),"")</f>
        <v/>
      </c>
      <c r="O68">
        <f>IFERROR(INDEX('ערכים טכנולוגיים'!$O$5:$O$357,SMALL('ערכים טכנולוגיים'!$P$5:$P$357,56)),"")</f>
        <v/>
      </c>
    </row>
    <row r="69">
      <c r="A69">
        <f>IFERROR(INDEX('ערכים טכנולוגיים'!$A$5:$A$357,SMALL('ערכים טכנולוגיים'!$P$5:$P$357,57)),"")</f>
        <v/>
      </c>
      <c r="B69">
        <f>IFERROR(INDEX('ערכים טכנולוגיים'!$B$5:$B$357,SMALL('ערכים טכנולוגיים'!$P$5:$P$357,57)),"")</f>
        <v/>
      </c>
      <c r="C69">
        <f>IFERROR(INDEX('ערכים טכנולוגיים'!$C$5:$C$357,SMALL('ערכים טכנולוגיים'!$P$5:$P$357,57)),"")</f>
        <v/>
      </c>
      <c r="D69">
        <f>IFERROR(INDEX('ערכים טכנולוגיים'!$D$5:$D$357,SMALL('ערכים טכנולוגיים'!$P$5:$P$357,57)),"")</f>
        <v/>
      </c>
      <c r="E69">
        <f>IFERROR(INDEX('ערכים טכנולוגיים'!$E$5:$E$357,SMALL('ערכים טכנולוגיים'!$P$5:$P$357,57)),"")</f>
        <v/>
      </c>
      <c r="F69">
        <f>IFERROR(INDEX('ערכים טכנולוגיים'!$F$5:$F$357,SMALL('ערכים טכנולוגיים'!$P$5:$P$357,57)),"")</f>
        <v/>
      </c>
      <c r="G69">
        <f>IFERROR(INDEX('ערכים טכנולוגיים'!$G$5:$G$357,SMALL('ערכים טכנולוגיים'!$P$5:$P$357,57)),"")</f>
        <v/>
      </c>
      <c r="H69">
        <f>IFERROR(INDEX('ערכים טכנולוגיים'!$H$5:$H$357,SMALL('ערכים טכנולוגיים'!$P$5:$P$357,57)),"")</f>
        <v/>
      </c>
      <c r="I69">
        <f>IFERROR(INDEX('ערכים טכנולוגיים'!$I$5:$I$357,SMALL('ערכים טכנולוגיים'!$P$5:$P$357,57)),"")</f>
        <v/>
      </c>
      <c r="J69">
        <f>IFERROR(INDEX('ערכים טכנולוגיים'!$J$5:$J$357,SMALL('ערכים טכנולוגיים'!$P$5:$P$357,57)),"")</f>
        <v/>
      </c>
      <c r="K69">
        <f>IFERROR(INDEX('ערכים טכנולוגיים'!$K$5:$K$357,SMALL('ערכים טכנולוגיים'!$P$5:$P$357,57)),"")</f>
        <v/>
      </c>
      <c r="L69">
        <f>IFERROR(INDEX('ערכים טכנולוגיים'!$L$5:$L$357,SMALL('ערכים טכנולוגיים'!$P$5:$P$357,57)),"")</f>
        <v/>
      </c>
      <c r="M69">
        <f>IFERROR(INDEX('ערכים טכנולוגיים'!$M$5:$M$357,SMALL('ערכים טכנולוגיים'!$P$5:$P$357,57)),"")</f>
        <v/>
      </c>
      <c r="N69">
        <f>IFERROR(INDEX('ערכים טכנולוגיים'!$N$5:$N$357,SMALL('ערכים טכנולוגיים'!$P$5:$P$357,57)),"")</f>
        <v/>
      </c>
      <c r="O69">
        <f>IFERROR(INDEX('ערכים טכנולוגיים'!$O$5:$O$357,SMALL('ערכים טכנולוגיים'!$P$5:$P$357,57)),"")</f>
        <v/>
      </c>
    </row>
    <row r="70">
      <c r="A70">
        <f>IFERROR(INDEX('ערכים טכנולוגיים'!$A$5:$A$357,SMALL('ערכים טכנולוגיים'!$P$5:$P$357,58)),"")</f>
        <v/>
      </c>
      <c r="B70">
        <f>IFERROR(INDEX('ערכים טכנולוגיים'!$B$5:$B$357,SMALL('ערכים טכנולוגיים'!$P$5:$P$357,58)),"")</f>
        <v/>
      </c>
      <c r="C70">
        <f>IFERROR(INDEX('ערכים טכנולוגיים'!$C$5:$C$357,SMALL('ערכים טכנולוגיים'!$P$5:$P$357,58)),"")</f>
        <v/>
      </c>
      <c r="D70">
        <f>IFERROR(INDEX('ערכים טכנולוגיים'!$D$5:$D$357,SMALL('ערכים טכנולוגיים'!$P$5:$P$357,58)),"")</f>
        <v/>
      </c>
      <c r="E70">
        <f>IFERROR(INDEX('ערכים טכנולוגיים'!$E$5:$E$357,SMALL('ערכים טכנולוגיים'!$P$5:$P$357,58)),"")</f>
        <v/>
      </c>
      <c r="F70">
        <f>IFERROR(INDEX('ערכים טכנולוגיים'!$F$5:$F$357,SMALL('ערכים טכנולוגיים'!$P$5:$P$357,58)),"")</f>
        <v/>
      </c>
      <c r="G70">
        <f>IFERROR(INDEX('ערכים טכנולוגיים'!$G$5:$G$357,SMALL('ערכים טכנולוגיים'!$P$5:$P$357,58)),"")</f>
        <v/>
      </c>
      <c r="H70">
        <f>IFERROR(INDEX('ערכים טכנולוגיים'!$H$5:$H$357,SMALL('ערכים טכנולוגיים'!$P$5:$P$357,58)),"")</f>
        <v/>
      </c>
      <c r="I70">
        <f>IFERROR(INDEX('ערכים טכנולוגיים'!$I$5:$I$357,SMALL('ערכים טכנולוגיים'!$P$5:$P$357,58)),"")</f>
        <v/>
      </c>
      <c r="J70">
        <f>IFERROR(INDEX('ערכים טכנולוגיים'!$J$5:$J$357,SMALL('ערכים טכנולוגיים'!$P$5:$P$357,58)),"")</f>
        <v/>
      </c>
      <c r="K70">
        <f>IFERROR(INDEX('ערכים טכנולוגיים'!$K$5:$K$357,SMALL('ערכים טכנולוגיים'!$P$5:$P$357,58)),"")</f>
        <v/>
      </c>
      <c r="L70">
        <f>IFERROR(INDEX('ערכים טכנולוגיים'!$L$5:$L$357,SMALL('ערכים טכנולוגיים'!$P$5:$P$357,58)),"")</f>
        <v/>
      </c>
      <c r="M70">
        <f>IFERROR(INDEX('ערכים טכנולוגיים'!$M$5:$M$357,SMALL('ערכים טכנולוגיים'!$P$5:$P$357,58)),"")</f>
        <v/>
      </c>
      <c r="N70">
        <f>IFERROR(INDEX('ערכים טכנולוגיים'!$N$5:$N$357,SMALL('ערכים טכנולוגיים'!$P$5:$P$357,58)),"")</f>
        <v/>
      </c>
      <c r="O70">
        <f>IFERROR(INDEX('ערכים טכנולוגיים'!$O$5:$O$357,SMALL('ערכים טכנולוגיים'!$P$5:$P$357,58)),"")</f>
        <v/>
      </c>
    </row>
    <row r="71">
      <c r="A71">
        <f>IFERROR(INDEX('ערכים טכנולוגיים'!$A$5:$A$357,SMALL('ערכים טכנולוגיים'!$P$5:$P$357,59)),"")</f>
        <v/>
      </c>
      <c r="B71">
        <f>IFERROR(INDEX('ערכים טכנולוגיים'!$B$5:$B$357,SMALL('ערכים טכנולוגיים'!$P$5:$P$357,59)),"")</f>
        <v/>
      </c>
      <c r="C71">
        <f>IFERROR(INDEX('ערכים טכנולוגיים'!$C$5:$C$357,SMALL('ערכים טכנולוגיים'!$P$5:$P$357,59)),"")</f>
        <v/>
      </c>
      <c r="D71">
        <f>IFERROR(INDEX('ערכים טכנולוגיים'!$D$5:$D$357,SMALL('ערכים טכנולוגיים'!$P$5:$P$357,59)),"")</f>
        <v/>
      </c>
      <c r="E71">
        <f>IFERROR(INDEX('ערכים טכנולוגיים'!$E$5:$E$357,SMALL('ערכים טכנולוגיים'!$P$5:$P$357,59)),"")</f>
        <v/>
      </c>
      <c r="F71">
        <f>IFERROR(INDEX('ערכים טכנולוגיים'!$F$5:$F$357,SMALL('ערכים טכנולוגיים'!$P$5:$P$357,59)),"")</f>
        <v/>
      </c>
      <c r="G71">
        <f>IFERROR(INDEX('ערכים טכנולוגיים'!$G$5:$G$357,SMALL('ערכים טכנולוגיים'!$P$5:$P$357,59)),"")</f>
        <v/>
      </c>
      <c r="H71">
        <f>IFERROR(INDEX('ערכים טכנולוגיים'!$H$5:$H$357,SMALL('ערכים טכנולוגיים'!$P$5:$P$357,59)),"")</f>
        <v/>
      </c>
      <c r="I71">
        <f>IFERROR(INDEX('ערכים טכנולוגיים'!$I$5:$I$357,SMALL('ערכים טכנולוגיים'!$P$5:$P$357,59)),"")</f>
        <v/>
      </c>
      <c r="J71">
        <f>IFERROR(INDEX('ערכים טכנולוגיים'!$J$5:$J$357,SMALL('ערכים טכנולוגיים'!$P$5:$P$357,59)),"")</f>
        <v/>
      </c>
      <c r="K71">
        <f>IFERROR(INDEX('ערכים טכנולוגיים'!$K$5:$K$357,SMALL('ערכים טכנולוגיים'!$P$5:$P$357,59)),"")</f>
        <v/>
      </c>
      <c r="L71">
        <f>IFERROR(INDEX('ערכים טכנולוגיים'!$L$5:$L$357,SMALL('ערכים טכנולוגיים'!$P$5:$P$357,59)),"")</f>
        <v/>
      </c>
      <c r="M71">
        <f>IFERROR(INDEX('ערכים טכנולוגיים'!$M$5:$M$357,SMALL('ערכים טכנולוגיים'!$P$5:$P$357,59)),"")</f>
        <v/>
      </c>
      <c r="N71">
        <f>IFERROR(INDEX('ערכים טכנולוגיים'!$N$5:$N$357,SMALL('ערכים טכנולוגיים'!$P$5:$P$357,59)),"")</f>
        <v/>
      </c>
      <c r="O71">
        <f>IFERROR(INDEX('ערכים טכנולוגיים'!$O$5:$O$357,SMALL('ערכים טכנולוגיים'!$P$5:$P$357,59)),"")</f>
        <v/>
      </c>
    </row>
    <row r="72">
      <c r="A72">
        <f>IFERROR(INDEX('ערכים טכנולוגיים'!$A$5:$A$357,SMALL('ערכים טכנולוגיים'!$P$5:$P$357,60)),"")</f>
        <v/>
      </c>
      <c r="B72">
        <f>IFERROR(INDEX('ערכים טכנולוגיים'!$B$5:$B$357,SMALL('ערכים טכנולוגיים'!$P$5:$P$357,60)),"")</f>
        <v/>
      </c>
      <c r="C72">
        <f>IFERROR(INDEX('ערכים טכנולוגיים'!$C$5:$C$357,SMALL('ערכים טכנולוגיים'!$P$5:$P$357,60)),"")</f>
        <v/>
      </c>
      <c r="D72">
        <f>IFERROR(INDEX('ערכים טכנולוגיים'!$D$5:$D$357,SMALL('ערכים טכנולוגיים'!$P$5:$P$357,60)),"")</f>
        <v/>
      </c>
      <c r="E72">
        <f>IFERROR(INDEX('ערכים טכנולוגיים'!$E$5:$E$357,SMALL('ערכים טכנולוגיים'!$P$5:$P$357,60)),"")</f>
        <v/>
      </c>
      <c r="F72">
        <f>IFERROR(INDEX('ערכים טכנולוגיים'!$F$5:$F$357,SMALL('ערכים טכנולוגיים'!$P$5:$P$357,60)),"")</f>
        <v/>
      </c>
      <c r="G72">
        <f>IFERROR(INDEX('ערכים טכנולוגיים'!$G$5:$G$357,SMALL('ערכים טכנולוגיים'!$P$5:$P$357,60)),"")</f>
        <v/>
      </c>
      <c r="H72">
        <f>IFERROR(INDEX('ערכים טכנולוגיים'!$H$5:$H$357,SMALL('ערכים טכנולוגיים'!$P$5:$P$357,60)),"")</f>
        <v/>
      </c>
      <c r="I72">
        <f>IFERROR(INDEX('ערכים טכנולוגיים'!$I$5:$I$357,SMALL('ערכים טכנולוגיים'!$P$5:$P$357,60)),"")</f>
        <v/>
      </c>
      <c r="J72">
        <f>IFERROR(INDEX('ערכים טכנולוגיים'!$J$5:$J$357,SMALL('ערכים טכנולוגיים'!$P$5:$P$357,60)),"")</f>
        <v/>
      </c>
      <c r="K72">
        <f>IFERROR(INDEX('ערכים טכנולוגיים'!$K$5:$K$357,SMALL('ערכים טכנולוגיים'!$P$5:$P$357,60)),"")</f>
        <v/>
      </c>
      <c r="L72">
        <f>IFERROR(INDEX('ערכים טכנולוגיים'!$L$5:$L$357,SMALL('ערכים טכנולוגיים'!$P$5:$P$357,60)),"")</f>
        <v/>
      </c>
      <c r="M72">
        <f>IFERROR(INDEX('ערכים טכנולוגיים'!$M$5:$M$357,SMALL('ערכים טכנולוגיים'!$P$5:$P$357,60)),"")</f>
        <v/>
      </c>
      <c r="N72">
        <f>IFERROR(INDEX('ערכים טכנולוגיים'!$N$5:$N$357,SMALL('ערכים טכנולוגיים'!$P$5:$P$357,60)),"")</f>
        <v/>
      </c>
      <c r="O72">
        <f>IFERROR(INDEX('ערכים טכנולוגיים'!$O$5:$O$357,SMALL('ערכים טכנולוגיים'!$P$5:$P$357,60)),"")</f>
        <v/>
      </c>
    </row>
    <row r="73">
      <c r="A73">
        <f>IFERROR(INDEX('ערכים טכנולוגיים'!$A$5:$A$357,SMALL('ערכים טכנולוגיים'!$P$5:$P$357,61)),"")</f>
        <v/>
      </c>
      <c r="B73">
        <f>IFERROR(INDEX('ערכים טכנולוגיים'!$B$5:$B$357,SMALL('ערכים טכנולוגיים'!$P$5:$P$357,61)),"")</f>
        <v/>
      </c>
      <c r="C73">
        <f>IFERROR(INDEX('ערכים טכנולוגיים'!$C$5:$C$357,SMALL('ערכים טכנולוגיים'!$P$5:$P$357,61)),"")</f>
        <v/>
      </c>
      <c r="D73">
        <f>IFERROR(INDEX('ערכים טכנולוגיים'!$D$5:$D$357,SMALL('ערכים טכנולוגיים'!$P$5:$P$357,61)),"")</f>
        <v/>
      </c>
      <c r="E73">
        <f>IFERROR(INDEX('ערכים טכנולוגיים'!$E$5:$E$357,SMALL('ערכים טכנולוגיים'!$P$5:$P$357,61)),"")</f>
        <v/>
      </c>
      <c r="F73">
        <f>IFERROR(INDEX('ערכים טכנולוגיים'!$F$5:$F$357,SMALL('ערכים טכנולוגיים'!$P$5:$P$357,61)),"")</f>
        <v/>
      </c>
      <c r="G73">
        <f>IFERROR(INDEX('ערכים טכנולוגיים'!$G$5:$G$357,SMALL('ערכים טכנולוגיים'!$P$5:$P$357,61)),"")</f>
        <v/>
      </c>
      <c r="H73">
        <f>IFERROR(INDEX('ערכים טכנולוגיים'!$H$5:$H$357,SMALL('ערכים טכנולוגיים'!$P$5:$P$357,61)),"")</f>
        <v/>
      </c>
      <c r="I73">
        <f>IFERROR(INDEX('ערכים טכנולוגיים'!$I$5:$I$357,SMALL('ערכים טכנולוגיים'!$P$5:$P$357,61)),"")</f>
        <v/>
      </c>
      <c r="J73">
        <f>IFERROR(INDEX('ערכים טכנולוגיים'!$J$5:$J$357,SMALL('ערכים טכנולוגיים'!$P$5:$P$357,61)),"")</f>
        <v/>
      </c>
      <c r="K73">
        <f>IFERROR(INDEX('ערכים טכנולוגיים'!$K$5:$K$357,SMALL('ערכים טכנולוגיים'!$P$5:$P$357,61)),"")</f>
        <v/>
      </c>
      <c r="L73">
        <f>IFERROR(INDEX('ערכים טכנולוגיים'!$L$5:$L$357,SMALL('ערכים טכנולוגיים'!$P$5:$P$357,61)),"")</f>
        <v/>
      </c>
      <c r="M73">
        <f>IFERROR(INDEX('ערכים טכנולוגיים'!$M$5:$M$357,SMALL('ערכים טכנולוגיים'!$P$5:$P$357,61)),"")</f>
        <v/>
      </c>
      <c r="N73">
        <f>IFERROR(INDEX('ערכים טכנולוגיים'!$N$5:$N$357,SMALL('ערכים טכנולוגיים'!$P$5:$P$357,61)),"")</f>
        <v/>
      </c>
      <c r="O73">
        <f>IFERROR(INDEX('ערכים טכנולוגיים'!$O$5:$O$357,SMALL('ערכים טכנולוגיים'!$P$5:$P$357,61)),"")</f>
        <v/>
      </c>
    </row>
    <row r="74">
      <c r="A74">
        <f>IFERROR(INDEX('ערכים טכנולוגיים'!$A$5:$A$357,SMALL('ערכים טכנולוגיים'!$P$5:$P$357,62)),"")</f>
        <v/>
      </c>
      <c r="B74">
        <f>IFERROR(INDEX('ערכים טכנולוגיים'!$B$5:$B$357,SMALL('ערכים טכנולוגיים'!$P$5:$P$357,62)),"")</f>
        <v/>
      </c>
      <c r="C74">
        <f>IFERROR(INDEX('ערכים טכנולוגיים'!$C$5:$C$357,SMALL('ערכים טכנולוגיים'!$P$5:$P$357,62)),"")</f>
        <v/>
      </c>
      <c r="D74">
        <f>IFERROR(INDEX('ערכים טכנולוגיים'!$D$5:$D$357,SMALL('ערכים טכנולוגיים'!$P$5:$P$357,62)),"")</f>
        <v/>
      </c>
      <c r="E74">
        <f>IFERROR(INDEX('ערכים טכנולוגיים'!$E$5:$E$357,SMALL('ערכים טכנולוגיים'!$P$5:$P$357,62)),"")</f>
        <v/>
      </c>
      <c r="F74">
        <f>IFERROR(INDEX('ערכים טכנולוגיים'!$F$5:$F$357,SMALL('ערכים טכנולוגיים'!$P$5:$P$357,62)),"")</f>
        <v/>
      </c>
      <c r="G74">
        <f>IFERROR(INDEX('ערכים טכנולוגיים'!$G$5:$G$357,SMALL('ערכים טכנולוגיים'!$P$5:$P$357,62)),"")</f>
        <v/>
      </c>
      <c r="H74">
        <f>IFERROR(INDEX('ערכים טכנולוגיים'!$H$5:$H$357,SMALL('ערכים טכנולוגיים'!$P$5:$P$357,62)),"")</f>
        <v/>
      </c>
      <c r="I74">
        <f>IFERROR(INDEX('ערכים טכנולוגיים'!$I$5:$I$357,SMALL('ערכים טכנולוגיים'!$P$5:$P$357,62)),"")</f>
        <v/>
      </c>
      <c r="J74">
        <f>IFERROR(INDEX('ערכים טכנולוגיים'!$J$5:$J$357,SMALL('ערכים טכנולוגיים'!$P$5:$P$357,62)),"")</f>
        <v/>
      </c>
      <c r="K74">
        <f>IFERROR(INDEX('ערכים טכנולוגיים'!$K$5:$K$357,SMALL('ערכים טכנולוגיים'!$P$5:$P$357,62)),"")</f>
        <v/>
      </c>
      <c r="L74">
        <f>IFERROR(INDEX('ערכים טכנולוגיים'!$L$5:$L$357,SMALL('ערכים טכנולוגיים'!$P$5:$P$357,62)),"")</f>
        <v/>
      </c>
      <c r="M74">
        <f>IFERROR(INDEX('ערכים טכנולוגיים'!$M$5:$M$357,SMALL('ערכים טכנולוגיים'!$P$5:$P$357,62)),"")</f>
        <v/>
      </c>
      <c r="N74">
        <f>IFERROR(INDEX('ערכים טכנולוגיים'!$N$5:$N$357,SMALL('ערכים טכנולוגיים'!$P$5:$P$357,62)),"")</f>
        <v/>
      </c>
      <c r="O74">
        <f>IFERROR(INDEX('ערכים טכנולוגיים'!$O$5:$O$357,SMALL('ערכים טכנולוגיים'!$P$5:$P$357,62)),"")</f>
        <v/>
      </c>
    </row>
    <row r="75">
      <c r="A75">
        <f>IFERROR(INDEX('ערכים טכנולוגיים'!$A$5:$A$357,SMALL('ערכים טכנולוגיים'!$P$5:$P$357,63)),"")</f>
        <v/>
      </c>
      <c r="B75">
        <f>IFERROR(INDEX('ערכים טכנולוגיים'!$B$5:$B$357,SMALL('ערכים טכנולוגיים'!$P$5:$P$357,63)),"")</f>
        <v/>
      </c>
      <c r="C75">
        <f>IFERROR(INDEX('ערכים טכנולוגיים'!$C$5:$C$357,SMALL('ערכים טכנולוגיים'!$P$5:$P$357,63)),"")</f>
        <v/>
      </c>
      <c r="D75">
        <f>IFERROR(INDEX('ערכים טכנולוגיים'!$D$5:$D$357,SMALL('ערכים טכנולוגיים'!$P$5:$P$357,63)),"")</f>
        <v/>
      </c>
      <c r="E75">
        <f>IFERROR(INDEX('ערכים טכנולוגיים'!$E$5:$E$357,SMALL('ערכים טכנולוגיים'!$P$5:$P$357,63)),"")</f>
        <v/>
      </c>
      <c r="F75">
        <f>IFERROR(INDEX('ערכים טכנולוגיים'!$F$5:$F$357,SMALL('ערכים טכנולוגיים'!$P$5:$P$357,63)),"")</f>
        <v/>
      </c>
      <c r="G75">
        <f>IFERROR(INDEX('ערכים טכנולוגיים'!$G$5:$G$357,SMALL('ערכים טכנולוגיים'!$P$5:$P$357,63)),"")</f>
        <v/>
      </c>
      <c r="H75">
        <f>IFERROR(INDEX('ערכים טכנולוגיים'!$H$5:$H$357,SMALL('ערכים טכנולוגיים'!$P$5:$P$357,63)),"")</f>
        <v/>
      </c>
      <c r="I75">
        <f>IFERROR(INDEX('ערכים טכנולוגיים'!$I$5:$I$357,SMALL('ערכים טכנולוגיים'!$P$5:$P$357,63)),"")</f>
        <v/>
      </c>
      <c r="J75">
        <f>IFERROR(INDEX('ערכים טכנולוגיים'!$J$5:$J$357,SMALL('ערכים טכנולוגיים'!$P$5:$P$357,63)),"")</f>
        <v/>
      </c>
      <c r="K75">
        <f>IFERROR(INDEX('ערכים טכנולוגיים'!$K$5:$K$357,SMALL('ערכים טכנולוגיים'!$P$5:$P$357,63)),"")</f>
        <v/>
      </c>
      <c r="L75">
        <f>IFERROR(INDEX('ערכים טכנולוגיים'!$L$5:$L$357,SMALL('ערכים טכנולוגיים'!$P$5:$P$357,63)),"")</f>
        <v/>
      </c>
      <c r="M75">
        <f>IFERROR(INDEX('ערכים טכנולוגיים'!$M$5:$M$357,SMALL('ערכים טכנולוגיים'!$P$5:$P$357,63)),"")</f>
        <v/>
      </c>
      <c r="N75">
        <f>IFERROR(INDEX('ערכים טכנולוגיים'!$N$5:$N$357,SMALL('ערכים טכנולוגיים'!$P$5:$P$357,63)),"")</f>
        <v/>
      </c>
      <c r="O75">
        <f>IFERROR(INDEX('ערכים טכנולוגיים'!$O$5:$O$357,SMALL('ערכים טכנולוגיים'!$P$5:$P$357,63)),"")</f>
        <v/>
      </c>
    </row>
    <row r="76">
      <c r="A76">
        <f>IFERROR(INDEX('ערכים טכנולוגיים'!$A$5:$A$357,SMALL('ערכים טכנולוגיים'!$P$5:$P$357,64)),"")</f>
        <v/>
      </c>
      <c r="B76">
        <f>IFERROR(INDEX('ערכים טכנולוגיים'!$B$5:$B$357,SMALL('ערכים טכנולוגיים'!$P$5:$P$357,64)),"")</f>
        <v/>
      </c>
      <c r="C76">
        <f>IFERROR(INDEX('ערכים טכנולוגיים'!$C$5:$C$357,SMALL('ערכים טכנולוגיים'!$P$5:$P$357,64)),"")</f>
        <v/>
      </c>
      <c r="D76">
        <f>IFERROR(INDEX('ערכים טכנולוגיים'!$D$5:$D$357,SMALL('ערכים טכנולוגיים'!$P$5:$P$357,64)),"")</f>
        <v/>
      </c>
      <c r="E76">
        <f>IFERROR(INDEX('ערכים טכנולוגיים'!$E$5:$E$357,SMALL('ערכים טכנולוגיים'!$P$5:$P$357,64)),"")</f>
        <v/>
      </c>
      <c r="F76">
        <f>IFERROR(INDEX('ערכים טכנולוגיים'!$F$5:$F$357,SMALL('ערכים טכנולוגיים'!$P$5:$P$357,64)),"")</f>
        <v/>
      </c>
      <c r="G76">
        <f>IFERROR(INDEX('ערכים טכנולוגיים'!$G$5:$G$357,SMALL('ערכים טכנולוגיים'!$P$5:$P$357,64)),"")</f>
        <v/>
      </c>
      <c r="H76">
        <f>IFERROR(INDEX('ערכים טכנולוגיים'!$H$5:$H$357,SMALL('ערכים טכנולוגיים'!$P$5:$P$357,64)),"")</f>
        <v/>
      </c>
      <c r="I76">
        <f>IFERROR(INDEX('ערכים טכנולוגיים'!$I$5:$I$357,SMALL('ערכים טכנולוגיים'!$P$5:$P$357,64)),"")</f>
        <v/>
      </c>
      <c r="J76">
        <f>IFERROR(INDEX('ערכים טכנולוגיים'!$J$5:$J$357,SMALL('ערכים טכנולוגיים'!$P$5:$P$357,64)),"")</f>
        <v/>
      </c>
      <c r="K76">
        <f>IFERROR(INDEX('ערכים טכנולוגיים'!$K$5:$K$357,SMALL('ערכים טכנולוגיים'!$P$5:$P$357,64)),"")</f>
        <v/>
      </c>
      <c r="L76">
        <f>IFERROR(INDEX('ערכים טכנולוגיים'!$L$5:$L$357,SMALL('ערכים טכנולוגיים'!$P$5:$P$357,64)),"")</f>
        <v/>
      </c>
      <c r="M76">
        <f>IFERROR(INDEX('ערכים טכנולוגיים'!$M$5:$M$357,SMALL('ערכים טכנולוגיים'!$P$5:$P$357,64)),"")</f>
        <v/>
      </c>
      <c r="N76">
        <f>IFERROR(INDEX('ערכים טכנולוגיים'!$N$5:$N$357,SMALL('ערכים טכנולוגיים'!$P$5:$P$357,64)),"")</f>
        <v/>
      </c>
      <c r="O76">
        <f>IFERROR(INDEX('ערכים טכנולוגיים'!$O$5:$O$357,SMALL('ערכים טכנולוגיים'!$P$5:$P$357,64)),"")</f>
        <v/>
      </c>
    </row>
    <row r="77">
      <c r="A77">
        <f>IFERROR(INDEX('ערכים טכנולוגיים'!$A$5:$A$357,SMALL('ערכים טכנולוגיים'!$P$5:$P$357,65)),"")</f>
        <v/>
      </c>
      <c r="B77">
        <f>IFERROR(INDEX('ערכים טכנולוגיים'!$B$5:$B$357,SMALL('ערכים טכנולוגיים'!$P$5:$P$357,65)),"")</f>
        <v/>
      </c>
      <c r="C77">
        <f>IFERROR(INDEX('ערכים טכנולוגיים'!$C$5:$C$357,SMALL('ערכים טכנולוגיים'!$P$5:$P$357,65)),"")</f>
        <v/>
      </c>
      <c r="D77">
        <f>IFERROR(INDEX('ערכים טכנולוגיים'!$D$5:$D$357,SMALL('ערכים טכנולוגיים'!$P$5:$P$357,65)),"")</f>
        <v/>
      </c>
      <c r="E77">
        <f>IFERROR(INDEX('ערכים טכנולוגיים'!$E$5:$E$357,SMALL('ערכים טכנולוגיים'!$P$5:$P$357,65)),"")</f>
        <v/>
      </c>
      <c r="F77">
        <f>IFERROR(INDEX('ערכים טכנולוגיים'!$F$5:$F$357,SMALL('ערכים טכנולוגיים'!$P$5:$P$357,65)),"")</f>
        <v/>
      </c>
      <c r="G77">
        <f>IFERROR(INDEX('ערכים טכנולוגיים'!$G$5:$G$357,SMALL('ערכים טכנולוגיים'!$P$5:$P$357,65)),"")</f>
        <v/>
      </c>
      <c r="H77">
        <f>IFERROR(INDEX('ערכים טכנולוגיים'!$H$5:$H$357,SMALL('ערכים טכנולוגיים'!$P$5:$P$357,65)),"")</f>
        <v/>
      </c>
      <c r="I77">
        <f>IFERROR(INDEX('ערכים טכנולוגיים'!$I$5:$I$357,SMALL('ערכים טכנולוגיים'!$P$5:$P$357,65)),"")</f>
        <v/>
      </c>
      <c r="J77">
        <f>IFERROR(INDEX('ערכים טכנולוגיים'!$J$5:$J$357,SMALL('ערכים טכנולוגיים'!$P$5:$P$357,65)),"")</f>
        <v/>
      </c>
      <c r="K77">
        <f>IFERROR(INDEX('ערכים טכנולוגיים'!$K$5:$K$357,SMALL('ערכים טכנולוגיים'!$P$5:$P$357,65)),"")</f>
        <v/>
      </c>
      <c r="L77">
        <f>IFERROR(INDEX('ערכים טכנולוגיים'!$L$5:$L$357,SMALL('ערכים טכנולוגיים'!$P$5:$P$357,65)),"")</f>
        <v/>
      </c>
      <c r="M77">
        <f>IFERROR(INDEX('ערכים טכנולוגיים'!$M$5:$M$357,SMALL('ערכים טכנולוגיים'!$P$5:$P$357,65)),"")</f>
        <v/>
      </c>
      <c r="N77">
        <f>IFERROR(INDEX('ערכים טכנולוגיים'!$N$5:$N$357,SMALL('ערכים טכנולוגיים'!$P$5:$P$357,65)),"")</f>
        <v/>
      </c>
      <c r="O77">
        <f>IFERROR(INDEX('ערכים טכנולוגיים'!$O$5:$O$357,SMALL('ערכים טכנולוגיים'!$P$5:$P$357,65)),"")</f>
        <v/>
      </c>
    </row>
    <row r="78">
      <c r="A78">
        <f>IFERROR(INDEX('ערכים טכנולוגיים'!$A$5:$A$357,SMALL('ערכים טכנולוגיים'!$P$5:$P$357,66)),"")</f>
        <v/>
      </c>
      <c r="B78">
        <f>IFERROR(INDEX('ערכים טכנולוגיים'!$B$5:$B$357,SMALL('ערכים טכנולוגיים'!$P$5:$P$357,66)),"")</f>
        <v/>
      </c>
      <c r="C78">
        <f>IFERROR(INDEX('ערכים טכנולוגיים'!$C$5:$C$357,SMALL('ערכים טכנולוגיים'!$P$5:$P$357,66)),"")</f>
        <v/>
      </c>
      <c r="D78">
        <f>IFERROR(INDEX('ערכים טכנולוגיים'!$D$5:$D$357,SMALL('ערכים טכנולוגיים'!$P$5:$P$357,66)),"")</f>
        <v/>
      </c>
      <c r="E78">
        <f>IFERROR(INDEX('ערכים טכנולוגיים'!$E$5:$E$357,SMALL('ערכים טכנולוגיים'!$P$5:$P$357,66)),"")</f>
        <v/>
      </c>
      <c r="F78">
        <f>IFERROR(INDEX('ערכים טכנולוגיים'!$F$5:$F$357,SMALL('ערכים טכנולוגיים'!$P$5:$P$357,66)),"")</f>
        <v/>
      </c>
      <c r="G78">
        <f>IFERROR(INDEX('ערכים טכנולוגיים'!$G$5:$G$357,SMALL('ערכים טכנולוגיים'!$P$5:$P$357,66)),"")</f>
        <v/>
      </c>
      <c r="H78">
        <f>IFERROR(INDEX('ערכים טכנולוגיים'!$H$5:$H$357,SMALL('ערכים טכנולוגיים'!$P$5:$P$357,66)),"")</f>
        <v/>
      </c>
      <c r="I78">
        <f>IFERROR(INDEX('ערכים טכנולוגיים'!$I$5:$I$357,SMALL('ערכים טכנולוגיים'!$P$5:$P$357,66)),"")</f>
        <v/>
      </c>
      <c r="J78">
        <f>IFERROR(INDEX('ערכים טכנולוגיים'!$J$5:$J$357,SMALL('ערכים טכנולוגיים'!$P$5:$P$357,66)),"")</f>
        <v/>
      </c>
      <c r="K78">
        <f>IFERROR(INDEX('ערכים טכנולוגיים'!$K$5:$K$357,SMALL('ערכים טכנולוגיים'!$P$5:$P$357,66)),"")</f>
        <v/>
      </c>
      <c r="L78">
        <f>IFERROR(INDEX('ערכים טכנולוגיים'!$L$5:$L$357,SMALL('ערכים טכנולוגיים'!$P$5:$P$357,66)),"")</f>
        <v/>
      </c>
      <c r="M78">
        <f>IFERROR(INDEX('ערכים טכנולוגיים'!$M$5:$M$357,SMALL('ערכים טכנולוגיים'!$P$5:$P$357,66)),"")</f>
        <v/>
      </c>
      <c r="N78">
        <f>IFERROR(INDEX('ערכים טכנולוגיים'!$N$5:$N$357,SMALL('ערכים טכנולוגיים'!$P$5:$P$357,66)),"")</f>
        <v/>
      </c>
      <c r="O78">
        <f>IFERROR(INDEX('ערכים טכנולוגיים'!$O$5:$O$357,SMALL('ערכים טכנולוגיים'!$P$5:$P$357,66)),"")</f>
        <v/>
      </c>
    </row>
    <row r="79">
      <c r="A79">
        <f>IFERROR(INDEX('ערכים טכנולוגיים'!$A$5:$A$357,SMALL('ערכים טכנולוגיים'!$P$5:$P$357,67)),"")</f>
        <v/>
      </c>
      <c r="B79">
        <f>IFERROR(INDEX('ערכים טכנולוגיים'!$B$5:$B$357,SMALL('ערכים טכנולוגיים'!$P$5:$P$357,67)),"")</f>
        <v/>
      </c>
      <c r="C79">
        <f>IFERROR(INDEX('ערכים טכנולוגיים'!$C$5:$C$357,SMALL('ערכים טכנולוגיים'!$P$5:$P$357,67)),"")</f>
        <v/>
      </c>
      <c r="D79">
        <f>IFERROR(INDEX('ערכים טכנולוגיים'!$D$5:$D$357,SMALL('ערכים טכנולוגיים'!$P$5:$P$357,67)),"")</f>
        <v/>
      </c>
      <c r="E79">
        <f>IFERROR(INDEX('ערכים טכנולוגיים'!$E$5:$E$357,SMALL('ערכים טכנולוגיים'!$P$5:$P$357,67)),"")</f>
        <v/>
      </c>
      <c r="F79">
        <f>IFERROR(INDEX('ערכים טכנולוגיים'!$F$5:$F$357,SMALL('ערכים טכנולוגיים'!$P$5:$P$357,67)),"")</f>
        <v/>
      </c>
      <c r="G79">
        <f>IFERROR(INDEX('ערכים טכנולוגיים'!$G$5:$G$357,SMALL('ערכים טכנולוגיים'!$P$5:$P$357,67)),"")</f>
        <v/>
      </c>
      <c r="H79">
        <f>IFERROR(INDEX('ערכים טכנולוגיים'!$H$5:$H$357,SMALL('ערכים טכנולוגיים'!$P$5:$P$357,67)),"")</f>
        <v/>
      </c>
      <c r="I79">
        <f>IFERROR(INDEX('ערכים טכנולוגיים'!$I$5:$I$357,SMALL('ערכים טכנולוגיים'!$P$5:$P$357,67)),"")</f>
        <v/>
      </c>
      <c r="J79">
        <f>IFERROR(INDEX('ערכים טכנולוגיים'!$J$5:$J$357,SMALL('ערכים טכנולוגיים'!$P$5:$P$357,67)),"")</f>
        <v/>
      </c>
      <c r="K79">
        <f>IFERROR(INDEX('ערכים טכנולוגיים'!$K$5:$K$357,SMALL('ערכים טכנולוגיים'!$P$5:$P$357,67)),"")</f>
        <v/>
      </c>
      <c r="L79">
        <f>IFERROR(INDEX('ערכים טכנולוגיים'!$L$5:$L$357,SMALL('ערכים טכנולוגיים'!$P$5:$P$357,67)),"")</f>
        <v/>
      </c>
      <c r="M79">
        <f>IFERROR(INDEX('ערכים טכנולוגיים'!$M$5:$M$357,SMALL('ערכים טכנולוגיים'!$P$5:$P$357,67)),"")</f>
        <v/>
      </c>
      <c r="N79">
        <f>IFERROR(INDEX('ערכים טכנולוגיים'!$N$5:$N$357,SMALL('ערכים טכנולוגיים'!$P$5:$P$357,67)),"")</f>
        <v/>
      </c>
      <c r="O79">
        <f>IFERROR(INDEX('ערכים טכנולוגיים'!$O$5:$O$357,SMALL('ערכים טכנולוגיים'!$P$5:$P$357,67)),"")</f>
        <v/>
      </c>
    </row>
    <row r="80">
      <c r="A80">
        <f>IFERROR(INDEX('ערכים טכנולוגיים'!$A$5:$A$357,SMALL('ערכים טכנולוגיים'!$P$5:$P$357,68)),"")</f>
        <v/>
      </c>
      <c r="B80">
        <f>IFERROR(INDEX('ערכים טכנולוגיים'!$B$5:$B$357,SMALL('ערכים טכנולוגיים'!$P$5:$P$357,68)),"")</f>
        <v/>
      </c>
      <c r="C80">
        <f>IFERROR(INDEX('ערכים טכנולוגיים'!$C$5:$C$357,SMALL('ערכים טכנולוגיים'!$P$5:$P$357,68)),"")</f>
        <v/>
      </c>
      <c r="D80">
        <f>IFERROR(INDEX('ערכים טכנולוגיים'!$D$5:$D$357,SMALL('ערכים טכנולוגיים'!$P$5:$P$357,68)),"")</f>
        <v/>
      </c>
      <c r="E80">
        <f>IFERROR(INDEX('ערכים טכנולוגיים'!$E$5:$E$357,SMALL('ערכים טכנולוגיים'!$P$5:$P$357,68)),"")</f>
        <v/>
      </c>
      <c r="F80">
        <f>IFERROR(INDEX('ערכים טכנולוגיים'!$F$5:$F$357,SMALL('ערכים טכנולוגיים'!$P$5:$P$357,68)),"")</f>
        <v/>
      </c>
      <c r="G80">
        <f>IFERROR(INDEX('ערכים טכנולוגיים'!$G$5:$G$357,SMALL('ערכים טכנולוגיים'!$P$5:$P$357,68)),"")</f>
        <v/>
      </c>
      <c r="H80">
        <f>IFERROR(INDEX('ערכים טכנולוגיים'!$H$5:$H$357,SMALL('ערכים טכנולוגיים'!$P$5:$P$357,68)),"")</f>
        <v/>
      </c>
      <c r="I80">
        <f>IFERROR(INDEX('ערכים טכנולוגיים'!$I$5:$I$357,SMALL('ערכים טכנולוגיים'!$P$5:$P$357,68)),"")</f>
        <v/>
      </c>
      <c r="J80">
        <f>IFERROR(INDEX('ערכים טכנולוגיים'!$J$5:$J$357,SMALL('ערכים טכנולוגיים'!$P$5:$P$357,68)),"")</f>
        <v/>
      </c>
      <c r="K80">
        <f>IFERROR(INDEX('ערכים טכנולוגיים'!$K$5:$K$357,SMALL('ערכים טכנולוגיים'!$P$5:$P$357,68)),"")</f>
        <v/>
      </c>
      <c r="L80">
        <f>IFERROR(INDEX('ערכים טכנולוגיים'!$L$5:$L$357,SMALL('ערכים טכנולוגיים'!$P$5:$P$357,68)),"")</f>
        <v/>
      </c>
      <c r="M80">
        <f>IFERROR(INDEX('ערכים טכנולוגיים'!$M$5:$M$357,SMALL('ערכים טכנולוגיים'!$P$5:$P$357,68)),"")</f>
        <v/>
      </c>
      <c r="N80">
        <f>IFERROR(INDEX('ערכים טכנולוגיים'!$N$5:$N$357,SMALL('ערכים טכנולוגיים'!$P$5:$P$357,68)),"")</f>
        <v/>
      </c>
      <c r="O80">
        <f>IFERROR(INDEX('ערכים טכנולוגיים'!$O$5:$O$357,SMALL('ערכים טכנולוגיים'!$P$5:$P$357,68)),"")</f>
        <v/>
      </c>
    </row>
    <row r="81">
      <c r="A81">
        <f>IFERROR(INDEX('ערכים טכנולוגיים'!$A$5:$A$357,SMALL('ערכים טכנולוגיים'!$P$5:$P$357,69)),"")</f>
        <v/>
      </c>
      <c r="B81">
        <f>IFERROR(INDEX('ערכים טכנולוגיים'!$B$5:$B$357,SMALL('ערכים טכנולוגיים'!$P$5:$P$357,69)),"")</f>
        <v/>
      </c>
      <c r="C81">
        <f>IFERROR(INDEX('ערכים טכנולוגיים'!$C$5:$C$357,SMALL('ערכים טכנולוגיים'!$P$5:$P$357,69)),"")</f>
        <v/>
      </c>
      <c r="D81">
        <f>IFERROR(INDEX('ערכים טכנולוגיים'!$D$5:$D$357,SMALL('ערכים טכנולוגיים'!$P$5:$P$357,69)),"")</f>
        <v/>
      </c>
      <c r="E81">
        <f>IFERROR(INDEX('ערכים טכנולוגיים'!$E$5:$E$357,SMALL('ערכים טכנולוגיים'!$P$5:$P$357,69)),"")</f>
        <v/>
      </c>
      <c r="F81">
        <f>IFERROR(INDEX('ערכים טכנולוגיים'!$F$5:$F$357,SMALL('ערכים טכנולוגיים'!$P$5:$P$357,69)),"")</f>
        <v/>
      </c>
      <c r="G81">
        <f>IFERROR(INDEX('ערכים טכנולוגיים'!$G$5:$G$357,SMALL('ערכים טכנולוגיים'!$P$5:$P$357,69)),"")</f>
        <v/>
      </c>
      <c r="H81">
        <f>IFERROR(INDEX('ערכים טכנולוגיים'!$H$5:$H$357,SMALL('ערכים טכנולוגיים'!$P$5:$P$357,69)),"")</f>
        <v/>
      </c>
      <c r="I81">
        <f>IFERROR(INDEX('ערכים טכנולוגיים'!$I$5:$I$357,SMALL('ערכים טכנולוגיים'!$P$5:$P$357,69)),"")</f>
        <v/>
      </c>
      <c r="J81">
        <f>IFERROR(INDEX('ערכים טכנולוגיים'!$J$5:$J$357,SMALL('ערכים טכנולוגיים'!$P$5:$P$357,69)),"")</f>
        <v/>
      </c>
      <c r="K81">
        <f>IFERROR(INDEX('ערכים טכנולוגיים'!$K$5:$K$357,SMALL('ערכים טכנולוגיים'!$P$5:$P$357,69)),"")</f>
        <v/>
      </c>
      <c r="L81">
        <f>IFERROR(INDEX('ערכים טכנולוגיים'!$L$5:$L$357,SMALL('ערכים טכנולוגיים'!$P$5:$P$357,69)),"")</f>
        <v/>
      </c>
      <c r="M81">
        <f>IFERROR(INDEX('ערכים טכנולוגיים'!$M$5:$M$357,SMALL('ערכים טכנולוגיים'!$P$5:$P$357,69)),"")</f>
        <v/>
      </c>
      <c r="N81">
        <f>IFERROR(INDEX('ערכים טכנולוגיים'!$N$5:$N$357,SMALL('ערכים טכנולוגיים'!$P$5:$P$357,69)),"")</f>
        <v/>
      </c>
      <c r="O81">
        <f>IFERROR(INDEX('ערכים טכנולוגיים'!$O$5:$O$357,SMALL('ערכים טכנולוגיים'!$P$5:$P$357,69)),"")</f>
        <v/>
      </c>
    </row>
    <row r="82">
      <c r="A82">
        <f>IFERROR(INDEX('ערכים טכנולוגיים'!$A$5:$A$357,SMALL('ערכים טכנולוגיים'!$P$5:$P$357,70)),"")</f>
        <v/>
      </c>
      <c r="B82">
        <f>IFERROR(INDEX('ערכים טכנולוגיים'!$B$5:$B$357,SMALL('ערכים טכנולוגיים'!$P$5:$P$357,70)),"")</f>
        <v/>
      </c>
      <c r="C82">
        <f>IFERROR(INDEX('ערכים טכנולוגיים'!$C$5:$C$357,SMALL('ערכים טכנולוגיים'!$P$5:$P$357,70)),"")</f>
        <v/>
      </c>
      <c r="D82">
        <f>IFERROR(INDEX('ערכים טכנולוגיים'!$D$5:$D$357,SMALL('ערכים טכנולוגיים'!$P$5:$P$357,70)),"")</f>
        <v/>
      </c>
      <c r="E82">
        <f>IFERROR(INDEX('ערכים טכנולוגיים'!$E$5:$E$357,SMALL('ערכים טכנולוגיים'!$P$5:$P$357,70)),"")</f>
        <v/>
      </c>
      <c r="F82">
        <f>IFERROR(INDEX('ערכים טכנולוגיים'!$F$5:$F$357,SMALL('ערכים טכנולוגיים'!$P$5:$P$357,70)),"")</f>
        <v/>
      </c>
      <c r="G82">
        <f>IFERROR(INDEX('ערכים טכנולוגיים'!$G$5:$G$357,SMALL('ערכים טכנולוגיים'!$P$5:$P$357,70)),"")</f>
        <v/>
      </c>
      <c r="H82">
        <f>IFERROR(INDEX('ערכים טכנולוגיים'!$H$5:$H$357,SMALL('ערכים טכנולוגיים'!$P$5:$P$357,70)),"")</f>
        <v/>
      </c>
      <c r="I82">
        <f>IFERROR(INDEX('ערכים טכנולוגיים'!$I$5:$I$357,SMALL('ערכים טכנולוגיים'!$P$5:$P$357,70)),"")</f>
        <v/>
      </c>
      <c r="J82">
        <f>IFERROR(INDEX('ערכים טכנולוגיים'!$J$5:$J$357,SMALL('ערכים טכנולוגיים'!$P$5:$P$357,70)),"")</f>
        <v/>
      </c>
      <c r="K82">
        <f>IFERROR(INDEX('ערכים טכנולוגיים'!$K$5:$K$357,SMALL('ערכים טכנולוגיים'!$P$5:$P$357,70)),"")</f>
        <v/>
      </c>
      <c r="L82">
        <f>IFERROR(INDEX('ערכים טכנולוגיים'!$L$5:$L$357,SMALL('ערכים טכנולוגיים'!$P$5:$P$357,70)),"")</f>
        <v/>
      </c>
      <c r="M82">
        <f>IFERROR(INDEX('ערכים טכנולוגיים'!$M$5:$M$357,SMALL('ערכים טכנולוגיים'!$P$5:$P$357,70)),"")</f>
        <v/>
      </c>
      <c r="N82">
        <f>IFERROR(INDEX('ערכים טכנולוגיים'!$N$5:$N$357,SMALL('ערכים טכנולוגיים'!$P$5:$P$357,70)),"")</f>
        <v/>
      </c>
      <c r="O82">
        <f>IFERROR(INDEX('ערכים טכנולוגיים'!$O$5:$O$357,SMALL('ערכים טכנולוגיים'!$P$5:$P$357,70)),"")</f>
        <v/>
      </c>
    </row>
    <row r="83">
      <c r="A83">
        <f>IFERROR(INDEX('ערכים טכנולוגיים'!$A$5:$A$357,SMALL('ערכים טכנולוגיים'!$P$5:$P$357,71)),"")</f>
        <v/>
      </c>
      <c r="B83">
        <f>IFERROR(INDEX('ערכים טכנולוגיים'!$B$5:$B$357,SMALL('ערכים טכנולוגיים'!$P$5:$P$357,71)),"")</f>
        <v/>
      </c>
      <c r="C83">
        <f>IFERROR(INDEX('ערכים טכנולוגיים'!$C$5:$C$357,SMALL('ערכים טכנולוגיים'!$P$5:$P$357,71)),"")</f>
        <v/>
      </c>
      <c r="D83">
        <f>IFERROR(INDEX('ערכים טכנולוגיים'!$D$5:$D$357,SMALL('ערכים טכנולוגיים'!$P$5:$P$357,71)),"")</f>
        <v/>
      </c>
      <c r="E83">
        <f>IFERROR(INDEX('ערכים טכנולוגיים'!$E$5:$E$357,SMALL('ערכים טכנולוגיים'!$P$5:$P$357,71)),"")</f>
        <v/>
      </c>
      <c r="F83">
        <f>IFERROR(INDEX('ערכים טכנולוגיים'!$F$5:$F$357,SMALL('ערכים טכנולוגיים'!$P$5:$P$357,71)),"")</f>
        <v/>
      </c>
      <c r="G83">
        <f>IFERROR(INDEX('ערכים טכנולוגיים'!$G$5:$G$357,SMALL('ערכים טכנולוגיים'!$P$5:$P$357,71)),"")</f>
        <v/>
      </c>
      <c r="H83">
        <f>IFERROR(INDEX('ערכים טכנולוגיים'!$H$5:$H$357,SMALL('ערכים טכנולוגיים'!$P$5:$P$357,71)),"")</f>
        <v/>
      </c>
      <c r="I83">
        <f>IFERROR(INDEX('ערכים טכנולוגיים'!$I$5:$I$357,SMALL('ערכים טכנולוגיים'!$P$5:$P$357,71)),"")</f>
        <v/>
      </c>
      <c r="J83">
        <f>IFERROR(INDEX('ערכים טכנולוגיים'!$J$5:$J$357,SMALL('ערכים טכנולוגיים'!$P$5:$P$357,71)),"")</f>
        <v/>
      </c>
      <c r="K83">
        <f>IFERROR(INDEX('ערכים טכנולוגיים'!$K$5:$K$357,SMALL('ערכים טכנולוגיים'!$P$5:$P$357,71)),"")</f>
        <v/>
      </c>
      <c r="L83">
        <f>IFERROR(INDEX('ערכים טכנולוגיים'!$L$5:$L$357,SMALL('ערכים טכנולוגיים'!$P$5:$P$357,71)),"")</f>
        <v/>
      </c>
      <c r="M83">
        <f>IFERROR(INDEX('ערכים טכנולוגיים'!$M$5:$M$357,SMALL('ערכים טכנולוגיים'!$P$5:$P$357,71)),"")</f>
        <v/>
      </c>
      <c r="N83">
        <f>IFERROR(INDEX('ערכים טכנולוגיים'!$N$5:$N$357,SMALL('ערכים טכנולוגיים'!$P$5:$P$357,71)),"")</f>
        <v/>
      </c>
      <c r="O83">
        <f>IFERROR(INDEX('ערכים טכנולוגיים'!$O$5:$O$357,SMALL('ערכים טכנולוגיים'!$P$5:$P$357,71)),"")</f>
        <v/>
      </c>
    </row>
    <row r="84">
      <c r="A84">
        <f>IFERROR(INDEX('ערכים טכנולוגיים'!$A$5:$A$357,SMALL('ערכים טכנולוגיים'!$P$5:$P$357,72)),"")</f>
        <v/>
      </c>
      <c r="B84">
        <f>IFERROR(INDEX('ערכים טכנולוגיים'!$B$5:$B$357,SMALL('ערכים טכנולוגיים'!$P$5:$P$357,72)),"")</f>
        <v/>
      </c>
      <c r="C84">
        <f>IFERROR(INDEX('ערכים טכנולוגיים'!$C$5:$C$357,SMALL('ערכים טכנולוגיים'!$P$5:$P$357,72)),"")</f>
        <v/>
      </c>
      <c r="D84">
        <f>IFERROR(INDEX('ערכים טכנולוגיים'!$D$5:$D$357,SMALL('ערכים טכנולוגיים'!$P$5:$P$357,72)),"")</f>
        <v/>
      </c>
      <c r="E84">
        <f>IFERROR(INDEX('ערכים טכנולוגיים'!$E$5:$E$357,SMALL('ערכים טכנולוגיים'!$P$5:$P$357,72)),"")</f>
        <v/>
      </c>
      <c r="F84">
        <f>IFERROR(INDEX('ערכים טכנולוגיים'!$F$5:$F$357,SMALL('ערכים טכנולוגיים'!$P$5:$P$357,72)),"")</f>
        <v/>
      </c>
      <c r="G84">
        <f>IFERROR(INDEX('ערכים טכנולוגיים'!$G$5:$G$357,SMALL('ערכים טכנולוגיים'!$P$5:$P$357,72)),"")</f>
        <v/>
      </c>
      <c r="H84">
        <f>IFERROR(INDEX('ערכים טכנולוגיים'!$H$5:$H$357,SMALL('ערכים טכנולוגיים'!$P$5:$P$357,72)),"")</f>
        <v/>
      </c>
      <c r="I84">
        <f>IFERROR(INDEX('ערכים טכנולוגיים'!$I$5:$I$357,SMALL('ערכים טכנולוגיים'!$P$5:$P$357,72)),"")</f>
        <v/>
      </c>
      <c r="J84">
        <f>IFERROR(INDEX('ערכים טכנולוגיים'!$J$5:$J$357,SMALL('ערכים טכנולוגיים'!$P$5:$P$357,72)),"")</f>
        <v/>
      </c>
      <c r="K84">
        <f>IFERROR(INDEX('ערכים טכנולוגיים'!$K$5:$K$357,SMALL('ערכים טכנולוגיים'!$P$5:$P$357,72)),"")</f>
        <v/>
      </c>
      <c r="L84">
        <f>IFERROR(INDEX('ערכים טכנולוגיים'!$L$5:$L$357,SMALL('ערכים טכנולוגיים'!$P$5:$P$357,72)),"")</f>
        <v/>
      </c>
      <c r="M84">
        <f>IFERROR(INDEX('ערכים טכנולוגיים'!$M$5:$M$357,SMALL('ערכים טכנולוגיים'!$P$5:$P$357,72)),"")</f>
        <v/>
      </c>
      <c r="N84">
        <f>IFERROR(INDEX('ערכים טכנולוגיים'!$N$5:$N$357,SMALL('ערכים טכנולוגיים'!$P$5:$P$357,72)),"")</f>
        <v/>
      </c>
      <c r="O84">
        <f>IFERROR(INDEX('ערכים טכנולוגיים'!$O$5:$O$357,SMALL('ערכים טכנולוגיים'!$P$5:$P$357,72)),"")</f>
        <v/>
      </c>
    </row>
    <row r="85">
      <c r="A85">
        <f>IFERROR(INDEX('ערכים טכנולוגיים'!$A$5:$A$357,SMALL('ערכים טכנולוגיים'!$P$5:$P$357,73)),"")</f>
        <v/>
      </c>
      <c r="B85">
        <f>IFERROR(INDEX('ערכים טכנולוגיים'!$B$5:$B$357,SMALL('ערכים טכנולוגיים'!$P$5:$P$357,73)),"")</f>
        <v/>
      </c>
      <c r="C85">
        <f>IFERROR(INDEX('ערכים טכנולוגיים'!$C$5:$C$357,SMALL('ערכים טכנולוגיים'!$P$5:$P$357,73)),"")</f>
        <v/>
      </c>
      <c r="D85">
        <f>IFERROR(INDEX('ערכים טכנולוגיים'!$D$5:$D$357,SMALL('ערכים טכנולוגיים'!$P$5:$P$357,73)),"")</f>
        <v/>
      </c>
      <c r="E85">
        <f>IFERROR(INDEX('ערכים טכנולוגיים'!$E$5:$E$357,SMALL('ערכים טכנולוגיים'!$P$5:$P$357,73)),"")</f>
        <v/>
      </c>
      <c r="F85">
        <f>IFERROR(INDEX('ערכים טכנולוגיים'!$F$5:$F$357,SMALL('ערכים טכנולוגיים'!$P$5:$P$357,73)),"")</f>
        <v/>
      </c>
      <c r="G85">
        <f>IFERROR(INDEX('ערכים טכנולוגיים'!$G$5:$G$357,SMALL('ערכים טכנולוגיים'!$P$5:$P$357,73)),"")</f>
        <v/>
      </c>
      <c r="H85">
        <f>IFERROR(INDEX('ערכים טכנולוגיים'!$H$5:$H$357,SMALL('ערכים טכנולוגיים'!$P$5:$P$357,73)),"")</f>
        <v/>
      </c>
      <c r="I85">
        <f>IFERROR(INDEX('ערכים טכנולוגיים'!$I$5:$I$357,SMALL('ערכים טכנולוגיים'!$P$5:$P$357,73)),"")</f>
        <v/>
      </c>
      <c r="J85">
        <f>IFERROR(INDEX('ערכים טכנולוגיים'!$J$5:$J$357,SMALL('ערכים טכנולוגיים'!$P$5:$P$357,73)),"")</f>
        <v/>
      </c>
      <c r="K85">
        <f>IFERROR(INDEX('ערכים טכנולוגיים'!$K$5:$K$357,SMALL('ערכים טכנולוגיים'!$P$5:$P$357,73)),"")</f>
        <v/>
      </c>
      <c r="L85">
        <f>IFERROR(INDEX('ערכים טכנולוגיים'!$L$5:$L$357,SMALL('ערכים טכנולוגיים'!$P$5:$P$357,73)),"")</f>
        <v/>
      </c>
      <c r="M85">
        <f>IFERROR(INDEX('ערכים טכנולוגיים'!$M$5:$M$357,SMALL('ערכים טכנולוגיים'!$P$5:$P$357,73)),"")</f>
        <v/>
      </c>
      <c r="N85">
        <f>IFERROR(INDEX('ערכים טכנולוגיים'!$N$5:$N$357,SMALL('ערכים טכנולוגיים'!$P$5:$P$357,73)),"")</f>
        <v/>
      </c>
      <c r="O85">
        <f>IFERROR(INDEX('ערכים טכנולוגיים'!$O$5:$O$357,SMALL('ערכים טכנולוגיים'!$P$5:$P$357,73)),"")</f>
        <v/>
      </c>
    </row>
    <row r="86">
      <c r="A86">
        <f>IFERROR(INDEX('ערכים טכנולוגיים'!$A$5:$A$357,SMALL('ערכים טכנולוגיים'!$P$5:$P$357,74)),"")</f>
        <v/>
      </c>
      <c r="B86">
        <f>IFERROR(INDEX('ערכים טכנולוגיים'!$B$5:$B$357,SMALL('ערכים טכנולוגיים'!$P$5:$P$357,74)),"")</f>
        <v/>
      </c>
      <c r="C86">
        <f>IFERROR(INDEX('ערכים טכנולוגיים'!$C$5:$C$357,SMALL('ערכים טכנולוגיים'!$P$5:$P$357,74)),"")</f>
        <v/>
      </c>
      <c r="D86">
        <f>IFERROR(INDEX('ערכים טכנולוגיים'!$D$5:$D$357,SMALL('ערכים טכנולוגיים'!$P$5:$P$357,74)),"")</f>
        <v/>
      </c>
      <c r="E86">
        <f>IFERROR(INDEX('ערכים טכנולוגיים'!$E$5:$E$357,SMALL('ערכים טכנולוגיים'!$P$5:$P$357,74)),"")</f>
        <v/>
      </c>
      <c r="F86">
        <f>IFERROR(INDEX('ערכים טכנולוגיים'!$F$5:$F$357,SMALL('ערכים טכנולוגיים'!$P$5:$P$357,74)),"")</f>
        <v/>
      </c>
      <c r="G86">
        <f>IFERROR(INDEX('ערכים טכנולוגיים'!$G$5:$G$357,SMALL('ערכים טכנולוגיים'!$P$5:$P$357,74)),"")</f>
        <v/>
      </c>
      <c r="H86">
        <f>IFERROR(INDEX('ערכים טכנולוגיים'!$H$5:$H$357,SMALL('ערכים טכנולוגיים'!$P$5:$P$357,74)),"")</f>
        <v/>
      </c>
      <c r="I86">
        <f>IFERROR(INDEX('ערכים טכנולוגיים'!$I$5:$I$357,SMALL('ערכים טכנולוגיים'!$P$5:$P$357,74)),"")</f>
        <v/>
      </c>
      <c r="J86">
        <f>IFERROR(INDEX('ערכים טכנולוגיים'!$J$5:$J$357,SMALL('ערכים טכנולוגיים'!$P$5:$P$357,74)),"")</f>
        <v/>
      </c>
      <c r="K86">
        <f>IFERROR(INDEX('ערכים טכנולוגיים'!$K$5:$K$357,SMALL('ערכים טכנולוגיים'!$P$5:$P$357,74)),"")</f>
        <v/>
      </c>
      <c r="L86">
        <f>IFERROR(INDEX('ערכים טכנולוגיים'!$L$5:$L$357,SMALL('ערכים טכנולוגיים'!$P$5:$P$357,74)),"")</f>
        <v/>
      </c>
      <c r="M86">
        <f>IFERROR(INDEX('ערכים טכנולוגיים'!$M$5:$M$357,SMALL('ערכים טכנולוגיים'!$P$5:$P$357,74)),"")</f>
        <v/>
      </c>
      <c r="N86">
        <f>IFERROR(INDEX('ערכים טכנולוגיים'!$N$5:$N$357,SMALL('ערכים טכנולוגיים'!$P$5:$P$357,74)),"")</f>
        <v/>
      </c>
      <c r="O86">
        <f>IFERROR(INDEX('ערכים טכנולוגיים'!$O$5:$O$357,SMALL('ערכים טכנולוגיים'!$P$5:$P$357,74)),"")</f>
        <v/>
      </c>
    </row>
    <row r="87">
      <c r="A87">
        <f>IFERROR(INDEX('ערכים טכנולוגיים'!$A$5:$A$357,SMALL('ערכים טכנולוגיים'!$P$5:$P$357,75)),"")</f>
        <v/>
      </c>
      <c r="B87">
        <f>IFERROR(INDEX('ערכים טכנולוגיים'!$B$5:$B$357,SMALL('ערכים טכנולוגיים'!$P$5:$P$357,75)),"")</f>
        <v/>
      </c>
      <c r="C87">
        <f>IFERROR(INDEX('ערכים טכנולוגיים'!$C$5:$C$357,SMALL('ערכים טכנולוגיים'!$P$5:$P$357,75)),"")</f>
        <v/>
      </c>
      <c r="D87">
        <f>IFERROR(INDEX('ערכים טכנולוגיים'!$D$5:$D$357,SMALL('ערכים טכנולוגיים'!$P$5:$P$357,75)),"")</f>
        <v/>
      </c>
      <c r="E87">
        <f>IFERROR(INDEX('ערכים טכנולוגיים'!$E$5:$E$357,SMALL('ערכים טכנולוגיים'!$P$5:$P$357,75)),"")</f>
        <v/>
      </c>
      <c r="F87">
        <f>IFERROR(INDEX('ערכים טכנולוגיים'!$F$5:$F$357,SMALL('ערכים טכנולוגיים'!$P$5:$P$357,75)),"")</f>
        <v/>
      </c>
      <c r="G87">
        <f>IFERROR(INDEX('ערכים טכנולוגיים'!$G$5:$G$357,SMALL('ערכים טכנולוגיים'!$P$5:$P$357,75)),"")</f>
        <v/>
      </c>
      <c r="H87">
        <f>IFERROR(INDEX('ערכים טכנולוגיים'!$H$5:$H$357,SMALL('ערכים טכנולוגיים'!$P$5:$P$357,75)),"")</f>
        <v/>
      </c>
      <c r="I87">
        <f>IFERROR(INDEX('ערכים טכנולוגיים'!$I$5:$I$357,SMALL('ערכים טכנולוגיים'!$P$5:$P$357,75)),"")</f>
        <v/>
      </c>
      <c r="J87">
        <f>IFERROR(INDEX('ערכים טכנולוגיים'!$J$5:$J$357,SMALL('ערכים טכנולוגיים'!$P$5:$P$357,75)),"")</f>
        <v/>
      </c>
      <c r="K87">
        <f>IFERROR(INDEX('ערכים טכנולוגיים'!$K$5:$K$357,SMALL('ערכים טכנולוגיים'!$P$5:$P$357,75)),"")</f>
        <v/>
      </c>
      <c r="L87">
        <f>IFERROR(INDEX('ערכים טכנולוגיים'!$L$5:$L$357,SMALL('ערכים טכנולוגיים'!$P$5:$P$357,75)),"")</f>
        <v/>
      </c>
      <c r="M87">
        <f>IFERROR(INDEX('ערכים טכנולוגיים'!$M$5:$M$357,SMALL('ערכים טכנולוגיים'!$P$5:$P$357,75)),"")</f>
        <v/>
      </c>
      <c r="N87">
        <f>IFERROR(INDEX('ערכים טכנולוגיים'!$N$5:$N$357,SMALL('ערכים טכנולוגיים'!$P$5:$P$357,75)),"")</f>
        <v/>
      </c>
      <c r="O87">
        <f>IFERROR(INDEX('ערכים טכנולוגיים'!$O$5:$O$357,SMALL('ערכים טכנולוגיים'!$P$5:$P$357,75)),"")</f>
        <v/>
      </c>
    </row>
    <row r="88">
      <c r="A88">
        <f>IFERROR(INDEX('ערכים טכנולוגיים'!$A$5:$A$357,SMALL('ערכים טכנולוגיים'!$P$5:$P$357,76)),"")</f>
        <v/>
      </c>
      <c r="B88">
        <f>IFERROR(INDEX('ערכים טכנולוגיים'!$B$5:$B$357,SMALL('ערכים טכנולוגיים'!$P$5:$P$357,76)),"")</f>
        <v/>
      </c>
      <c r="C88">
        <f>IFERROR(INDEX('ערכים טכנולוגיים'!$C$5:$C$357,SMALL('ערכים טכנולוגיים'!$P$5:$P$357,76)),"")</f>
        <v/>
      </c>
      <c r="D88">
        <f>IFERROR(INDEX('ערכים טכנולוגיים'!$D$5:$D$357,SMALL('ערכים טכנולוגיים'!$P$5:$P$357,76)),"")</f>
        <v/>
      </c>
      <c r="E88">
        <f>IFERROR(INDEX('ערכים טכנולוגיים'!$E$5:$E$357,SMALL('ערכים טכנולוגיים'!$P$5:$P$357,76)),"")</f>
        <v/>
      </c>
      <c r="F88">
        <f>IFERROR(INDEX('ערכים טכנולוגיים'!$F$5:$F$357,SMALL('ערכים טכנולוגיים'!$P$5:$P$357,76)),"")</f>
        <v/>
      </c>
      <c r="G88">
        <f>IFERROR(INDEX('ערכים טכנולוגיים'!$G$5:$G$357,SMALL('ערכים טכנולוגיים'!$P$5:$P$357,76)),"")</f>
        <v/>
      </c>
      <c r="H88">
        <f>IFERROR(INDEX('ערכים טכנולוגיים'!$H$5:$H$357,SMALL('ערכים טכנולוגיים'!$P$5:$P$357,76)),"")</f>
        <v/>
      </c>
      <c r="I88">
        <f>IFERROR(INDEX('ערכים טכנולוגיים'!$I$5:$I$357,SMALL('ערכים טכנולוגיים'!$P$5:$P$357,76)),"")</f>
        <v/>
      </c>
      <c r="J88">
        <f>IFERROR(INDEX('ערכים טכנולוגיים'!$J$5:$J$357,SMALL('ערכים טכנולוגיים'!$P$5:$P$357,76)),"")</f>
        <v/>
      </c>
      <c r="K88">
        <f>IFERROR(INDEX('ערכים טכנולוגיים'!$K$5:$K$357,SMALL('ערכים טכנולוגיים'!$P$5:$P$357,76)),"")</f>
        <v/>
      </c>
      <c r="L88">
        <f>IFERROR(INDEX('ערכים טכנולוגיים'!$L$5:$L$357,SMALL('ערכים טכנולוגיים'!$P$5:$P$357,76)),"")</f>
        <v/>
      </c>
      <c r="M88">
        <f>IFERROR(INDEX('ערכים טכנולוגיים'!$M$5:$M$357,SMALL('ערכים טכנולוגיים'!$P$5:$P$357,76)),"")</f>
        <v/>
      </c>
      <c r="N88">
        <f>IFERROR(INDEX('ערכים טכנולוגיים'!$N$5:$N$357,SMALL('ערכים טכנולוגיים'!$P$5:$P$357,76)),"")</f>
        <v/>
      </c>
      <c r="O88">
        <f>IFERROR(INDEX('ערכים טכנולוגיים'!$O$5:$O$357,SMALL('ערכים טכנולוגיים'!$P$5:$P$357,76)),"")</f>
        <v/>
      </c>
    </row>
    <row r="89">
      <c r="A89">
        <f>IFERROR(INDEX('ערכים טכנולוגיים'!$A$5:$A$357,SMALL('ערכים טכנולוגיים'!$P$5:$P$357,77)),"")</f>
        <v/>
      </c>
      <c r="B89">
        <f>IFERROR(INDEX('ערכים טכנולוגיים'!$B$5:$B$357,SMALL('ערכים טכנולוגיים'!$P$5:$P$357,77)),"")</f>
        <v/>
      </c>
      <c r="C89">
        <f>IFERROR(INDEX('ערכים טכנולוגיים'!$C$5:$C$357,SMALL('ערכים טכנולוגיים'!$P$5:$P$357,77)),"")</f>
        <v/>
      </c>
      <c r="D89">
        <f>IFERROR(INDEX('ערכים טכנולוגיים'!$D$5:$D$357,SMALL('ערכים טכנולוגיים'!$P$5:$P$357,77)),"")</f>
        <v/>
      </c>
      <c r="E89">
        <f>IFERROR(INDEX('ערכים טכנולוגיים'!$E$5:$E$357,SMALL('ערכים טכנולוגיים'!$P$5:$P$357,77)),"")</f>
        <v/>
      </c>
      <c r="F89">
        <f>IFERROR(INDEX('ערכים טכנולוגיים'!$F$5:$F$357,SMALL('ערכים טכנולוגיים'!$P$5:$P$357,77)),"")</f>
        <v/>
      </c>
      <c r="G89">
        <f>IFERROR(INDEX('ערכים טכנולוגיים'!$G$5:$G$357,SMALL('ערכים טכנולוגיים'!$P$5:$P$357,77)),"")</f>
        <v/>
      </c>
      <c r="H89">
        <f>IFERROR(INDEX('ערכים טכנולוגיים'!$H$5:$H$357,SMALL('ערכים טכנולוגיים'!$P$5:$P$357,77)),"")</f>
        <v/>
      </c>
      <c r="I89">
        <f>IFERROR(INDEX('ערכים טכנולוגיים'!$I$5:$I$357,SMALL('ערכים טכנולוגיים'!$P$5:$P$357,77)),"")</f>
        <v/>
      </c>
      <c r="J89">
        <f>IFERROR(INDEX('ערכים טכנולוגיים'!$J$5:$J$357,SMALL('ערכים טכנולוגיים'!$P$5:$P$357,77)),"")</f>
        <v/>
      </c>
      <c r="K89">
        <f>IFERROR(INDEX('ערכים טכנולוגיים'!$K$5:$K$357,SMALL('ערכים טכנולוגיים'!$P$5:$P$357,77)),"")</f>
        <v/>
      </c>
      <c r="L89">
        <f>IFERROR(INDEX('ערכים טכנולוגיים'!$L$5:$L$357,SMALL('ערכים טכנולוגיים'!$P$5:$P$357,77)),"")</f>
        <v/>
      </c>
      <c r="M89">
        <f>IFERROR(INDEX('ערכים טכנולוגיים'!$M$5:$M$357,SMALL('ערכים טכנולוגיים'!$P$5:$P$357,77)),"")</f>
        <v/>
      </c>
      <c r="N89">
        <f>IFERROR(INDEX('ערכים טכנולוגיים'!$N$5:$N$357,SMALL('ערכים טכנולוגיים'!$P$5:$P$357,77)),"")</f>
        <v/>
      </c>
      <c r="O89">
        <f>IFERROR(INDEX('ערכים טכנולוגיים'!$O$5:$O$357,SMALL('ערכים טכנולוגיים'!$P$5:$P$357,77)),"")</f>
        <v/>
      </c>
    </row>
    <row r="90">
      <c r="A90">
        <f>IFERROR(INDEX('ערכים טכנולוגיים'!$A$5:$A$357,SMALL('ערכים טכנולוגיים'!$P$5:$P$357,78)),"")</f>
        <v/>
      </c>
      <c r="B90">
        <f>IFERROR(INDEX('ערכים טכנולוגיים'!$B$5:$B$357,SMALL('ערכים טכנולוגיים'!$P$5:$P$357,78)),"")</f>
        <v/>
      </c>
      <c r="C90">
        <f>IFERROR(INDEX('ערכים טכנולוגיים'!$C$5:$C$357,SMALL('ערכים טכנולוגיים'!$P$5:$P$357,78)),"")</f>
        <v/>
      </c>
      <c r="D90">
        <f>IFERROR(INDEX('ערכים טכנולוגיים'!$D$5:$D$357,SMALL('ערכים טכנולוגיים'!$P$5:$P$357,78)),"")</f>
        <v/>
      </c>
      <c r="E90">
        <f>IFERROR(INDEX('ערכים טכנולוגיים'!$E$5:$E$357,SMALL('ערכים טכנולוגיים'!$P$5:$P$357,78)),"")</f>
        <v/>
      </c>
      <c r="F90">
        <f>IFERROR(INDEX('ערכים טכנולוגיים'!$F$5:$F$357,SMALL('ערכים טכנולוגיים'!$P$5:$P$357,78)),"")</f>
        <v/>
      </c>
      <c r="G90">
        <f>IFERROR(INDEX('ערכים טכנולוגיים'!$G$5:$G$357,SMALL('ערכים טכנולוגיים'!$P$5:$P$357,78)),"")</f>
        <v/>
      </c>
      <c r="H90">
        <f>IFERROR(INDEX('ערכים טכנולוגיים'!$H$5:$H$357,SMALL('ערכים טכנולוגיים'!$P$5:$P$357,78)),"")</f>
        <v/>
      </c>
      <c r="I90">
        <f>IFERROR(INDEX('ערכים טכנולוגיים'!$I$5:$I$357,SMALL('ערכים טכנולוגיים'!$P$5:$P$357,78)),"")</f>
        <v/>
      </c>
      <c r="J90">
        <f>IFERROR(INDEX('ערכים טכנולוגיים'!$J$5:$J$357,SMALL('ערכים טכנולוגיים'!$P$5:$P$357,78)),"")</f>
        <v/>
      </c>
      <c r="K90">
        <f>IFERROR(INDEX('ערכים טכנולוגיים'!$K$5:$K$357,SMALL('ערכים טכנולוגיים'!$P$5:$P$357,78)),"")</f>
        <v/>
      </c>
      <c r="L90">
        <f>IFERROR(INDEX('ערכים טכנולוגיים'!$L$5:$L$357,SMALL('ערכים טכנולוגיים'!$P$5:$P$357,78)),"")</f>
        <v/>
      </c>
      <c r="M90">
        <f>IFERROR(INDEX('ערכים טכנולוגיים'!$M$5:$M$357,SMALL('ערכים טכנולוגיים'!$P$5:$P$357,78)),"")</f>
        <v/>
      </c>
      <c r="N90">
        <f>IFERROR(INDEX('ערכים טכנולוגיים'!$N$5:$N$357,SMALL('ערכים טכנולוגיים'!$P$5:$P$357,78)),"")</f>
        <v/>
      </c>
      <c r="O90">
        <f>IFERROR(INDEX('ערכים טכנולוגיים'!$O$5:$O$357,SMALL('ערכים טכנולוגיים'!$P$5:$P$357,78)),"")</f>
        <v/>
      </c>
    </row>
    <row r="91">
      <c r="A91">
        <f>IFERROR(INDEX('ערכים טכנולוגיים'!$A$5:$A$357,SMALL('ערכים טכנולוגיים'!$P$5:$P$357,79)),"")</f>
        <v/>
      </c>
      <c r="B91">
        <f>IFERROR(INDEX('ערכים טכנולוגיים'!$B$5:$B$357,SMALL('ערכים טכנולוגיים'!$P$5:$P$357,79)),"")</f>
        <v/>
      </c>
      <c r="C91">
        <f>IFERROR(INDEX('ערכים טכנולוגיים'!$C$5:$C$357,SMALL('ערכים טכנולוגיים'!$P$5:$P$357,79)),"")</f>
        <v/>
      </c>
      <c r="D91">
        <f>IFERROR(INDEX('ערכים טכנולוגיים'!$D$5:$D$357,SMALL('ערכים טכנולוגיים'!$P$5:$P$357,79)),"")</f>
        <v/>
      </c>
      <c r="E91">
        <f>IFERROR(INDEX('ערכים טכנולוגיים'!$E$5:$E$357,SMALL('ערכים טכנולוגיים'!$P$5:$P$357,79)),"")</f>
        <v/>
      </c>
      <c r="F91">
        <f>IFERROR(INDEX('ערכים טכנולוגיים'!$F$5:$F$357,SMALL('ערכים טכנולוגיים'!$P$5:$P$357,79)),"")</f>
        <v/>
      </c>
      <c r="G91">
        <f>IFERROR(INDEX('ערכים טכנולוגיים'!$G$5:$G$357,SMALL('ערכים טכנולוגיים'!$P$5:$P$357,79)),"")</f>
        <v/>
      </c>
      <c r="H91">
        <f>IFERROR(INDEX('ערכים טכנולוגיים'!$H$5:$H$357,SMALL('ערכים טכנולוגיים'!$P$5:$P$357,79)),"")</f>
        <v/>
      </c>
      <c r="I91">
        <f>IFERROR(INDEX('ערכים טכנולוגיים'!$I$5:$I$357,SMALL('ערכים טכנולוגיים'!$P$5:$P$357,79)),"")</f>
        <v/>
      </c>
      <c r="J91">
        <f>IFERROR(INDEX('ערכים טכנולוגיים'!$J$5:$J$357,SMALL('ערכים טכנולוגיים'!$P$5:$P$357,79)),"")</f>
        <v/>
      </c>
      <c r="K91">
        <f>IFERROR(INDEX('ערכים טכנולוגיים'!$K$5:$K$357,SMALL('ערכים טכנולוגיים'!$P$5:$P$357,79)),"")</f>
        <v/>
      </c>
      <c r="L91">
        <f>IFERROR(INDEX('ערכים טכנולוגיים'!$L$5:$L$357,SMALL('ערכים טכנולוגיים'!$P$5:$P$357,79)),"")</f>
        <v/>
      </c>
      <c r="M91">
        <f>IFERROR(INDEX('ערכים טכנולוגיים'!$M$5:$M$357,SMALL('ערכים טכנולוגיים'!$P$5:$P$357,79)),"")</f>
        <v/>
      </c>
      <c r="N91">
        <f>IFERROR(INDEX('ערכים טכנולוגיים'!$N$5:$N$357,SMALL('ערכים טכנולוגיים'!$P$5:$P$357,79)),"")</f>
        <v/>
      </c>
      <c r="O91">
        <f>IFERROR(INDEX('ערכים טכנולוגיים'!$O$5:$O$357,SMALL('ערכים טכנולוגיים'!$P$5:$P$357,79)),"")</f>
        <v/>
      </c>
    </row>
    <row r="92">
      <c r="A92">
        <f>IFERROR(INDEX('ערכים טכנולוגיים'!$A$5:$A$357,SMALL('ערכים טכנולוגיים'!$P$5:$P$357,80)),"")</f>
        <v/>
      </c>
      <c r="B92">
        <f>IFERROR(INDEX('ערכים טכנולוגיים'!$B$5:$B$357,SMALL('ערכים טכנולוגיים'!$P$5:$P$357,80)),"")</f>
        <v/>
      </c>
      <c r="C92">
        <f>IFERROR(INDEX('ערכים טכנולוגיים'!$C$5:$C$357,SMALL('ערכים טכנולוגיים'!$P$5:$P$357,80)),"")</f>
        <v/>
      </c>
      <c r="D92">
        <f>IFERROR(INDEX('ערכים טכנולוגיים'!$D$5:$D$357,SMALL('ערכים טכנולוגיים'!$P$5:$P$357,80)),"")</f>
        <v/>
      </c>
      <c r="E92">
        <f>IFERROR(INDEX('ערכים טכנולוגיים'!$E$5:$E$357,SMALL('ערכים טכנולוגיים'!$P$5:$P$357,80)),"")</f>
        <v/>
      </c>
      <c r="F92">
        <f>IFERROR(INDEX('ערכים טכנולוגיים'!$F$5:$F$357,SMALL('ערכים טכנולוגיים'!$P$5:$P$357,80)),"")</f>
        <v/>
      </c>
      <c r="G92">
        <f>IFERROR(INDEX('ערכים טכנולוגיים'!$G$5:$G$357,SMALL('ערכים טכנולוגיים'!$P$5:$P$357,80)),"")</f>
        <v/>
      </c>
      <c r="H92">
        <f>IFERROR(INDEX('ערכים טכנולוגיים'!$H$5:$H$357,SMALL('ערכים טכנולוגיים'!$P$5:$P$357,80)),"")</f>
        <v/>
      </c>
      <c r="I92">
        <f>IFERROR(INDEX('ערכים טכנולוגיים'!$I$5:$I$357,SMALL('ערכים טכנולוגיים'!$P$5:$P$357,80)),"")</f>
        <v/>
      </c>
      <c r="J92">
        <f>IFERROR(INDEX('ערכים טכנולוגיים'!$J$5:$J$357,SMALL('ערכים טכנולוגיים'!$P$5:$P$357,80)),"")</f>
        <v/>
      </c>
      <c r="K92">
        <f>IFERROR(INDEX('ערכים טכנולוגיים'!$K$5:$K$357,SMALL('ערכים טכנולוגיים'!$P$5:$P$357,80)),"")</f>
        <v/>
      </c>
      <c r="L92">
        <f>IFERROR(INDEX('ערכים טכנולוגיים'!$L$5:$L$357,SMALL('ערכים טכנולוגיים'!$P$5:$P$357,80)),"")</f>
        <v/>
      </c>
      <c r="M92">
        <f>IFERROR(INDEX('ערכים טכנולוגיים'!$M$5:$M$357,SMALL('ערכים טכנולוגיים'!$P$5:$P$357,80)),"")</f>
        <v/>
      </c>
      <c r="N92">
        <f>IFERROR(INDEX('ערכים טכנולוגיים'!$N$5:$N$357,SMALL('ערכים טכנולוגיים'!$P$5:$P$357,80)),"")</f>
        <v/>
      </c>
      <c r="O92">
        <f>IFERROR(INDEX('ערכים טכנולוגיים'!$O$5:$O$357,SMALL('ערכים טכנולוגיים'!$P$5:$P$357,80)),"")</f>
        <v/>
      </c>
    </row>
    <row r="93">
      <c r="A93">
        <f>IFERROR(INDEX('ערכים טכנולוגיים'!$A$5:$A$357,SMALL('ערכים טכנולוגיים'!$P$5:$P$357,81)),"")</f>
        <v/>
      </c>
      <c r="B93">
        <f>IFERROR(INDEX('ערכים טכנולוגיים'!$B$5:$B$357,SMALL('ערכים טכנולוגיים'!$P$5:$P$357,81)),"")</f>
        <v/>
      </c>
      <c r="C93">
        <f>IFERROR(INDEX('ערכים טכנולוגיים'!$C$5:$C$357,SMALL('ערכים טכנולוגיים'!$P$5:$P$357,81)),"")</f>
        <v/>
      </c>
      <c r="D93">
        <f>IFERROR(INDEX('ערכים טכנולוגיים'!$D$5:$D$357,SMALL('ערכים טכנולוגיים'!$P$5:$P$357,81)),"")</f>
        <v/>
      </c>
      <c r="E93">
        <f>IFERROR(INDEX('ערכים טכנולוגיים'!$E$5:$E$357,SMALL('ערכים טכנולוגיים'!$P$5:$P$357,81)),"")</f>
        <v/>
      </c>
      <c r="F93">
        <f>IFERROR(INDEX('ערכים טכנולוגיים'!$F$5:$F$357,SMALL('ערכים טכנולוגיים'!$P$5:$P$357,81)),"")</f>
        <v/>
      </c>
      <c r="G93">
        <f>IFERROR(INDEX('ערכים טכנולוגיים'!$G$5:$G$357,SMALL('ערכים טכנולוגיים'!$P$5:$P$357,81)),"")</f>
        <v/>
      </c>
      <c r="H93">
        <f>IFERROR(INDEX('ערכים טכנולוגיים'!$H$5:$H$357,SMALL('ערכים טכנולוגיים'!$P$5:$P$357,81)),"")</f>
        <v/>
      </c>
      <c r="I93">
        <f>IFERROR(INDEX('ערכים טכנולוגיים'!$I$5:$I$357,SMALL('ערכים טכנולוגיים'!$P$5:$P$357,81)),"")</f>
        <v/>
      </c>
      <c r="J93">
        <f>IFERROR(INDEX('ערכים טכנולוגיים'!$J$5:$J$357,SMALL('ערכים טכנולוגיים'!$P$5:$P$357,81)),"")</f>
        <v/>
      </c>
      <c r="K93">
        <f>IFERROR(INDEX('ערכים טכנולוגיים'!$K$5:$K$357,SMALL('ערכים טכנולוגיים'!$P$5:$P$357,81)),"")</f>
        <v/>
      </c>
      <c r="L93">
        <f>IFERROR(INDEX('ערכים טכנולוגיים'!$L$5:$L$357,SMALL('ערכים טכנולוגיים'!$P$5:$P$357,81)),"")</f>
        <v/>
      </c>
      <c r="M93">
        <f>IFERROR(INDEX('ערכים טכנולוגיים'!$M$5:$M$357,SMALL('ערכים טכנולוגיים'!$P$5:$P$357,81)),"")</f>
        <v/>
      </c>
      <c r="N93">
        <f>IFERROR(INDEX('ערכים טכנולוגיים'!$N$5:$N$357,SMALL('ערכים טכנולוגיים'!$P$5:$P$357,81)),"")</f>
        <v/>
      </c>
      <c r="O93">
        <f>IFERROR(INDEX('ערכים טכנולוגיים'!$O$5:$O$357,SMALL('ערכים טכנולוגיים'!$P$5:$P$357,81)),"")</f>
        <v/>
      </c>
    </row>
    <row r="94">
      <c r="A94">
        <f>IFERROR(INDEX('ערכים טכנולוגיים'!$A$5:$A$357,SMALL('ערכים טכנולוגיים'!$P$5:$P$357,82)),"")</f>
        <v/>
      </c>
      <c r="B94">
        <f>IFERROR(INDEX('ערכים טכנולוגיים'!$B$5:$B$357,SMALL('ערכים טכנולוגיים'!$P$5:$P$357,82)),"")</f>
        <v/>
      </c>
      <c r="C94">
        <f>IFERROR(INDEX('ערכים טכנולוגיים'!$C$5:$C$357,SMALL('ערכים טכנולוגיים'!$P$5:$P$357,82)),"")</f>
        <v/>
      </c>
      <c r="D94">
        <f>IFERROR(INDEX('ערכים טכנולוגיים'!$D$5:$D$357,SMALL('ערכים טכנולוגיים'!$P$5:$P$357,82)),"")</f>
        <v/>
      </c>
      <c r="E94">
        <f>IFERROR(INDEX('ערכים טכנולוגיים'!$E$5:$E$357,SMALL('ערכים טכנולוגיים'!$P$5:$P$357,82)),"")</f>
        <v/>
      </c>
      <c r="F94">
        <f>IFERROR(INDEX('ערכים טכנולוגיים'!$F$5:$F$357,SMALL('ערכים טכנולוגיים'!$P$5:$P$357,82)),"")</f>
        <v/>
      </c>
      <c r="G94">
        <f>IFERROR(INDEX('ערכים טכנולוגיים'!$G$5:$G$357,SMALL('ערכים טכנולוגיים'!$P$5:$P$357,82)),"")</f>
        <v/>
      </c>
      <c r="H94">
        <f>IFERROR(INDEX('ערכים טכנולוגיים'!$H$5:$H$357,SMALL('ערכים טכנולוגיים'!$P$5:$P$357,82)),"")</f>
        <v/>
      </c>
      <c r="I94">
        <f>IFERROR(INDEX('ערכים טכנולוגיים'!$I$5:$I$357,SMALL('ערכים טכנולוגיים'!$P$5:$P$357,82)),"")</f>
        <v/>
      </c>
      <c r="J94">
        <f>IFERROR(INDEX('ערכים טכנולוגיים'!$J$5:$J$357,SMALL('ערכים טכנולוגיים'!$P$5:$P$357,82)),"")</f>
        <v/>
      </c>
      <c r="K94">
        <f>IFERROR(INDEX('ערכים טכנולוגיים'!$K$5:$K$357,SMALL('ערכים טכנולוגיים'!$P$5:$P$357,82)),"")</f>
        <v/>
      </c>
      <c r="L94">
        <f>IFERROR(INDEX('ערכים טכנולוגיים'!$L$5:$L$357,SMALL('ערכים טכנולוגיים'!$P$5:$P$357,82)),"")</f>
        <v/>
      </c>
      <c r="M94">
        <f>IFERROR(INDEX('ערכים טכנולוגיים'!$M$5:$M$357,SMALL('ערכים טכנולוגיים'!$P$5:$P$357,82)),"")</f>
        <v/>
      </c>
      <c r="N94">
        <f>IFERROR(INDEX('ערכים טכנולוגיים'!$N$5:$N$357,SMALL('ערכים טכנולוגיים'!$P$5:$P$357,82)),"")</f>
        <v/>
      </c>
      <c r="O94">
        <f>IFERROR(INDEX('ערכים טכנולוגיים'!$O$5:$O$357,SMALL('ערכים טכנולוגיים'!$P$5:$P$357,82)),"")</f>
        <v/>
      </c>
    </row>
    <row r="95">
      <c r="A95">
        <f>IFERROR(INDEX('ערכים טכנולוגיים'!$A$5:$A$357,SMALL('ערכים טכנולוגיים'!$P$5:$P$357,83)),"")</f>
        <v/>
      </c>
      <c r="B95">
        <f>IFERROR(INDEX('ערכים טכנולוגיים'!$B$5:$B$357,SMALL('ערכים טכנולוגיים'!$P$5:$P$357,83)),"")</f>
        <v/>
      </c>
      <c r="C95">
        <f>IFERROR(INDEX('ערכים טכנולוגיים'!$C$5:$C$357,SMALL('ערכים טכנולוגיים'!$P$5:$P$357,83)),"")</f>
        <v/>
      </c>
      <c r="D95">
        <f>IFERROR(INDEX('ערכים טכנולוגיים'!$D$5:$D$357,SMALL('ערכים טכנולוגיים'!$P$5:$P$357,83)),"")</f>
        <v/>
      </c>
      <c r="E95">
        <f>IFERROR(INDEX('ערכים טכנולוגיים'!$E$5:$E$357,SMALL('ערכים טכנולוגיים'!$P$5:$P$357,83)),"")</f>
        <v/>
      </c>
      <c r="F95">
        <f>IFERROR(INDEX('ערכים טכנולוגיים'!$F$5:$F$357,SMALL('ערכים טכנולוגיים'!$P$5:$P$357,83)),"")</f>
        <v/>
      </c>
      <c r="G95">
        <f>IFERROR(INDEX('ערכים טכנולוגיים'!$G$5:$G$357,SMALL('ערכים טכנולוגיים'!$P$5:$P$357,83)),"")</f>
        <v/>
      </c>
      <c r="H95">
        <f>IFERROR(INDEX('ערכים טכנולוגיים'!$H$5:$H$357,SMALL('ערכים טכנולוגיים'!$P$5:$P$357,83)),"")</f>
        <v/>
      </c>
      <c r="I95">
        <f>IFERROR(INDEX('ערכים טכנולוגיים'!$I$5:$I$357,SMALL('ערכים טכנולוגיים'!$P$5:$P$357,83)),"")</f>
        <v/>
      </c>
      <c r="J95">
        <f>IFERROR(INDEX('ערכים טכנולוגיים'!$J$5:$J$357,SMALL('ערכים טכנולוגיים'!$P$5:$P$357,83)),"")</f>
        <v/>
      </c>
      <c r="K95">
        <f>IFERROR(INDEX('ערכים טכנולוגיים'!$K$5:$K$357,SMALL('ערכים טכנולוגיים'!$P$5:$P$357,83)),"")</f>
        <v/>
      </c>
      <c r="L95">
        <f>IFERROR(INDEX('ערכים טכנולוגיים'!$L$5:$L$357,SMALL('ערכים טכנולוגיים'!$P$5:$P$357,83)),"")</f>
        <v/>
      </c>
      <c r="M95">
        <f>IFERROR(INDEX('ערכים טכנולוגיים'!$M$5:$M$357,SMALL('ערכים טכנולוגיים'!$P$5:$P$357,83)),"")</f>
        <v/>
      </c>
      <c r="N95">
        <f>IFERROR(INDEX('ערכים טכנולוגיים'!$N$5:$N$357,SMALL('ערכים טכנולוגיים'!$P$5:$P$357,83)),"")</f>
        <v/>
      </c>
      <c r="O95">
        <f>IFERROR(INDEX('ערכים טכנולוגיים'!$O$5:$O$357,SMALL('ערכים טכנולוגיים'!$P$5:$P$357,83)),"")</f>
        <v/>
      </c>
    </row>
    <row r="96">
      <c r="A96">
        <f>IFERROR(INDEX('ערכים טכנולוגיים'!$A$5:$A$357,SMALL('ערכים טכנולוגיים'!$P$5:$P$357,84)),"")</f>
        <v/>
      </c>
      <c r="B96">
        <f>IFERROR(INDEX('ערכים טכנולוגיים'!$B$5:$B$357,SMALL('ערכים טכנולוגיים'!$P$5:$P$357,84)),"")</f>
        <v/>
      </c>
      <c r="C96">
        <f>IFERROR(INDEX('ערכים טכנולוגיים'!$C$5:$C$357,SMALL('ערכים טכנולוגיים'!$P$5:$P$357,84)),"")</f>
        <v/>
      </c>
      <c r="D96">
        <f>IFERROR(INDEX('ערכים טכנולוגיים'!$D$5:$D$357,SMALL('ערכים טכנולוגיים'!$P$5:$P$357,84)),"")</f>
        <v/>
      </c>
      <c r="E96">
        <f>IFERROR(INDEX('ערכים טכנולוגיים'!$E$5:$E$357,SMALL('ערכים טכנולוגיים'!$P$5:$P$357,84)),"")</f>
        <v/>
      </c>
      <c r="F96">
        <f>IFERROR(INDEX('ערכים טכנולוגיים'!$F$5:$F$357,SMALL('ערכים טכנולוגיים'!$P$5:$P$357,84)),"")</f>
        <v/>
      </c>
      <c r="G96">
        <f>IFERROR(INDEX('ערכים טכנולוגיים'!$G$5:$G$357,SMALL('ערכים טכנולוגיים'!$P$5:$P$357,84)),"")</f>
        <v/>
      </c>
      <c r="H96">
        <f>IFERROR(INDEX('ערכים טכנולוגיים'!$H$5:$H$357,SMALL('ערכים טכנולוגיים'!$P$5:$P$357,84)),"")</f>
        <v/>
      </c>
      <c r="I96">
        <f>IFERROR(INDEX('ערכים טכנולוגיים'!$I$5:$I$357,SMALL('ערכים טכנולוגיים'!$P$5:$P$357,84)),"")</f>
        <v/>
      </c>
      <c r="J96">
        <f>IFERROR(INDEX('ערכים טכנולוגיים'!$J$5:$J$357,SMALL('ערכים טכנולוגיים'!$P$5:$P$357,84)),"")</f>
        <v/>
      </c>
      <c r="K96">
        <f>IFERROR(INDEX('ערכים טכנולוגיים'!$K$5:$K$357,SMALL('ערכים טכנולוגיים'!$P$5:$P$357,84)),"")</f>
        <v/>
      </c>
      <c r="L96">
        <f>IFERROR(INDEX('ערכים טכנולוגיים'!$L$5:$L$357,SMALL('ערכים טכנולוגיים'!$P$5:$P$357,84)),"")</f>
        <v/>
      </c>
      <c r="M96">
        <f>IFERROR(INDEX('ערכים טכנולוגיים'!$M$5:$M$357,SMALL('ערכים טכנולוגיים'!$P$5:$P$357,84)),"")</f>
        <v/>
      </c>
      <c r="N96">
        <f>IFERROR(INDEX('ערכים טכנולוגיים'!$N$5:$N$357,SMALL('ערכים טכנולוגיים'!$P$5:$P$357,84)),"")</f>
        <v/>
      </c>
      <c r="O96">
        <f>IFERROR(INDEX('ערכים טכנולוגיים'!$O$5:$O$357,SMALL('ערכים טכנולוגיים'!$P$5:$P$357,84)),"")</f>
        <v/>
      </c>
    </row>
    <row r="97">
      <c r="A97">
        <f>IFERROR(INDEX('ערכים טכנולוגיים'!$A$5:$A$357,SMALL('ערכים טכנולוגיים'!$P$5:$P$357,85)),"")</f>
        <v/>
      </c>
      <c r="B97">
        <f>IFERROR(INDEX('ערכים טכנולוגיים'!$B$5:$B$357,SMALL('ערכים טכנולוגיים'!$P$5:$P$357,85)),"")</f>
        <v/>
      </c>
      <c r="C97">
        <f>IFERROR(INDEX('ערכים טכנולוגיים'!$C$5:$C$357,SMALL('ערכים טכנולוגיים'!$P$5:$P$357,85)),"")</f>
        <v/>
      </c>
      <c r="D97">
        <f>IFERROR(INDEX('ערכים טכנולוגיים'!$D$5:$D$357,SMALL('ערכים טכנולוגיים'!$P$5:$P$357,85)),"")</f>
        <v/>
      </c>
      <c r="E97">
        <f>IFERROR(INDEX('ערכים טכנולוגיים'!$E$5:$E$357,SMALL('ערכים טכנולוגיים'!$P$5:$P$357,85)),"")</f>
        <v/>
      </c>
      <c r="F97">
        <f>IFERROR(INDEX('ערכים טכנולוגיים'!$F$5:$F$357,SMALL('ערכים טכנולוגיים'!$P$5:$P$357,85)),"")</f>
        <v/>
      </c>
      <c r="G97">
        <f>IFERROR(INDEX('ערכים טכנולוגיים'!$G$5:$G$357,SMALL('ערכים טכנולוגיים'!$P$5:$P$357,85)),"")</f>
        <v/>
      </c>
      <c r="H97">
        <f>IFERROR(INDEX('ערכים טכנולוגיים'!$H$5:$H$357,SMALL('ערכים טכנולוגיים'!$P$5:$P$357,85)),"")</f>
        <v/>
      </c>
      <c r="I97">
        <f>IFERROR(INDEX('ערכים טכנולוגיים'!$I$5:$I$357,SMALL('ערכים טכנולוגיים'!$P$5:$P$357,85)),"")</f>
        <v/>
      </c>
      <c r="J97">
        <f>IFERROR(INDEX('ערכים טכנולוגיים'!$J$5:$J$357,SMALL('ערכים טכנולוגיים'!$P$5:$P$357,85)),"")</f>
        <v/>
      </c>
      <c r="K97">
        <f>IFERROR(INDEX('ערכים טכנולוגיים'!$K$5:$K$357,SMALL('ערכים טכנולוגיים'!$P$5:$P$357,85)),"")</f>
        <v/>
      </c>
      <c r="L97">
        <f>IFERROR(INDEX('ערכים טכנולוגיים'!$L$5:$L$357,SMALL('ערכים טכנולוגיים'!$P$5:$P$357,85)),"")</f>
        <v/>
      </c>
      <c r="M97">
        <f>IFERROR(INDEX('ערכים טכנולוגיים'!$M$5:$M$357,SMALL('ערכים טכנולוגיים'!$P$5:$P$357,85)),"")</f>
        <v/>
      </c>
      <c r="N97">
        <f>IFERROR(INDEX('ערכים טכנולוגיים'!$N$5:$N$357,SMALL('ערכים טכנולוגיים'!$P$5:$P$357,85)),"")</f>
        <v/>
      </c>
      <c r="O97">
        <f>IFERROR(INDEX('ערכים טכנולוגיים'!$O$5:$O$357,SMALL('ערכים טכנולוגיים'!$P$5:$P$357,85)),"")</f>
        <v/>
      </c>
    </row>
    <row r="98">
      <c r="A98">
        <f>IFERROR(INDEX('ערכים טכנולוגיים'!$A$5:$A$357,SMALL('ערכים טכנולוגיים'!$P$5:$P$357,86)),"")</f>
        <v/>
      </c>
      <c r="B98">
        <f>IFERROR(INDEX('ערכים טכנולוגיים'!$B$5:$B$357,SMALL('ערכים טכנולוגיים'!$P$5:$P$357,86)),"")</f>
        <v/>
      </c>
      <c r="C98">
        <f>IFERROR(INDEX('ערכים טכנולוגיים'!$C$5:$C$357,SMALL('ערכים טכנולוגיים'!$P$5:$P$357,86)),"")</f>
        <v/>
      </c>
      <c r="D98">
        <f>IFERROR(INDEX('ערכים טכנולוגיים'!$D$5:$D$357,SMALL('ערכים טכנולוגיים'!$P$5:$P$357,86)),"")</f>
        <v/>
      </c>
      <c r="E98">
        <f>IFERROR(INDEX('ערכים טכנולוגיים'!$E$5:$E$357,SMALL('ערכים טכנולוגיים'!$P$5:$P$357,86)),"")</f>
        <v/>
      </c>
      <c r="F98">
        <f>IFERROR(INDEX('ערכים טכנולוגיים'!$F$5:$F$357,SMALL('ערכים טכנולוגיים'!$P$5:$P$357,86)),"")</f>
        <v/>
      </c>
      <c r="G98">
        <f>IFERROR(INDEX('ערכים טכנולוגיים'!$G$5:$G$357,SMALL('ערכים טכנולוגיים'!$P$5:$P$357,86)),"")</f>
        <v/>
      </c>
      <c r="H98">
        <f>IFERROR(INDEX('ערכים טכנולוגיים'!$H$5:$H$357,SMALL('ערכים טכנולוגיים'!$P$5:$P$357,86)),"")</f>
        <v/>
      </c>
      <c r="I98">
        <f>IFERROR(INDEX('ערכים טכנולוגיים'!$I$5:$I$357,SMALL('ערכים טכנולוגיים'!$P$5:$P$357,86)),"")</f>
        <v/>
      </c>
      <c r="J98">
        <f>IFERROR(INDEX('ערכים טכנולוגיים'!$J$5:$J$357,SMALL('ערכים טכנולוגיים'!$P$5:$P$357,86)),"")</f>
        <v/>
      </c>
      <c r="K98">
        <f>IFERROR(INDEX('ערכים טכנולוגיים'!$K$5:$K$357,SMALL('ערכים טכנולוגיים'!$P$5:$P$357,86)),"")</f>
        <v/>
      </c>
      <c r="L98">
        <f>IFERROR(INDEX('ערכים טכנולוגיים'!$L$5:$L$357,SMALL('ערכים טכנולוגיים'!$P$5:$P$357,86)),"")</f>
        <v/>
      </c>
      <c r="M98">
        <f>IFERROR(INDEX('ערכים טכנולוגיים'!$M$5:$M$357,SMALL('ערכים טכנולוגיים'!$P$5:$P$357,86)),"")</f>
        <v/>
      </c>
      <c r="N98">
        <f>IFERROR(INDEX('ערכים טכנולוגיים'!$N$5:$N$357,SMALL('ערכים טכנולוגיים'!$P$5:$P$357,86)),"")</f>
        <v/>
      </c>
      <c r="O98">
        <f>IFERROR(INDEX('ערכים טכנולוגיים'!$O$5:$O$357,SMALL('ערכים טכנולוגיים'!$P$5:$P$357,86)),"")</f>
        <v/>
      </c>
    </row>
    <row r="99">
      <c r="A99">
        <f>IFERROR(INDEX('ערכים טכנולוגיים'!$A$5:$A$357,SMALL('ערכים טכנולוגיים'!$P$5:$P$357,87)),"")</f>
        <v/>
      </c>
      <c r="B99">
        <f>IFERROR(INDEX('ערכים טכנולוגיים'!$B$5:$B$357,SMALL('ערכים טכנולוגיים'!$P$5:$P$357,87)),"")</f>
        <v/>
      </c>
      <c r="C99">
        <f>IFERROR(INDEX('ערכים טכנולוגיים'!$C$5:$C$357,SMALL('ערכים טכנולוגיים'!$P$5:$P$357,87)),"")</f>
        <v/>
      </c>
      <c r="D99">
        <f>IFERROR(INDEX('ערכים טכנולוגיים'!$D$5:$D$357,SMALL('ערכים טכנולוגיים'!$P$5:$P$357,87)),"")</f>
        <v/>
      </c>
      <c r="E99">
        <f>IFERROR(INDEX('ערכים טכנולוגיים'!$E$5:$E$357,SMALL('ערכים טכנולוגיים'!$P$5:$P$357,87)),"")</f>
        <v/>
      </c>
      <c r="F99">
        <f>IFERROR(INDEX('ערכים טכנולוגיים'!$F$5:$F$357,SMALL('ערכים טכנולוגיים'!$P$5:$P$357,87)),"")</f>
        <v/>
      </c>
      <c r="G99">
        <f>IFERROR(INDEX('ערכים טכנולוגיים'!$G$5:$G$357,SMALL('ערכים טכנולוגיים'!$P$5:$P$357,87)),"")</f>
        <v/>
      </c>
      <c r="H99">
        <f>IFERROR(INDEX('ערכים טכנולוגיים'!$H$5:$H$357,SMALL('ערכים טכנולוגיים'!$P$5:$P$357,87)),"")</f>
        <v/>
      </c>
      <c r="I99">
        <f>IFERROR(INDEX('ערכים טכנולוגיים'!$I$5:$I$357,SMALL('ערכים טכנולוגיים'!$P$5:$P$357,87)),"")</f>
        <v/>
      </c>
      <c r="J99">
        <f>IFERROR(INDEX('ערכים טכנולוגיים'!$J$5:$J$357,SMALL('ערכים טכנולוגיים'!$P$5:$P$357,87)),"")</f>
        <v/>
      </c>
      <c r="K99">
        <f>IFERROR(INDEX('ערכים טכנולוגיים'!$K$5:$K$357,SMALL('ערכים טכנולוגיים'!$P$5:$P$357,87)),"")</f>
        <v/>
      </c>
      <c r="L99">
        <f>IFERROR(INDEX('ערכים טכנולוגיים'!$L$5:$L$357,SMALL('ערכים טכנולוגיים'!$P$5:$P$357,87)),"")</f>
        <v/>
      </c>
      <c r="M99">
        <f>IFERROR(INDEX('ערכים טכנולוגיים'!$M$5:$M$357,SMALL('ערכים טכנולוגיים'!$P$5:$P$357,87)),"")</f>
        <v/>
      </c>
      <c r="N99">
        <f>IFERROR(INDEX('ערכים טכנולוגיים'!$N$5:$N$357,SMALL('ערכים טכנולוגיים'!$P$5:$P$357,87)),"")</f>
        <v/>
      </c>
      <c r="O99">
        <f>IFERROR(INDEX('ערכים טכנולוגיים'!$O$5:$O$357,SMALL('ערכים טכנולוגיים'!$P$5:$P$357,87)),"")</f>
        <v/>
      </c>
    </row>
    <row r="100">
      <c r="A100">
        <f>IFERROR(INDEX('ערכים טכנולוגיים'!$A$5:$A$357,SMALL('ערכים טכנולוגיים'!$P$5:$P$357,88)),"")</f>
        <v/>
      </c>
      <c r="B100">
        <f>IFERROR(INDEX('ערכים טכנולוגיים'!$B$5:$B$357,SMALL('ערכים טכנולוגיים'!$P$5:$P$357,88)),"")</f>
        <v/>
      </c>
      <c r="C100">
        <f>IFERROR(INDEX('ערכים טכנולוגיים'!$C$5:$C$357,SMALL('ערכים טכנולוגיים'!$P$5:$P$357,88)),"")</f>
        <v/>
      </c>
      <c r="D100">
        <f>IFERROR(INDEX('ערכים טכנולוגיים'!$D$5:$D$357,SMALL('ערכים טכנולוגיים'!$P$5:$P$357,88)),"")</f>
        <v/>
      </c>
      <c r="E100">
        <f>IFERROR(INDEX('ערכים טכנולוגיים'!$E$5:$E$357,SMALL('ערכים טכנולוגיים'!$P$5:$P$357,88)),"")</f>
        <v/>
      </c>
      <c r="F100">
        <f>IFERROR(INDEX('ערכים טכנולוגיים'!$F$5:$F$357,SMALL('ערכים טכנולוגיים'!$P$5:$P$357,88)),"")</f>
        <v/>
      </c>
      <c r="G100">
        <f>IFERROR(INDEX('ערכים טכנולוגיים'!$G$5:$G$357,SMALL('ערכים טכנולוגיים'!$P$5:$P$357,88)),"")</f>
        <v/>
      </c>
      <c r="H100">
        <f>IFERROR(INDEX('ערכים טכנולוגיים'!$H$5:$H$357,SMALL('ערכים טכנולוגיים'!$P$5:$P$357,88)),"")</f>
        <v/>
      </c>
      <c r="I100">
        <f>IFERROR(INDEX('ערכים טכנולוגיים'!$I$5:$I$357,SMALL('ערכים טכנולוגיים'!$P$5:$P$357,88)),"")</f>
        <v/>
      </c>
      <c r="J100">
        <f>IFERROR(INDEX('ערכים טכנולוגיים'!$J$5:$J$357,SMALL('ערכים טכנולוגיים'!$P$5:$P$357,88)),"")</f>
        <v/>
      </c>
      <c r="K100">
        <f>IFERROR(INDEX('ערכים טכנולוגיים'!$K$5:$K$357,SMALL('ערכים טכנולוגיים'!$P$5:$P$357,88)),"")</f>
        <v/>
      </c>
      <c r="L100">
        <f>IFERROR(INDEX('ערכים טכנולוגיים'!$L$5:$L$357,SMALL('ערכים טכנולוגיים'!$P$5:$P$357,88)),"")</f>
        <v/>
      </c>
      <c r="M100">
        <f>IFERROR(INDEX('ערכים טכנולוגיים'!$M$5:$M$357,SMALL('ערכים טכנולוגיים'!$P$5:$P$357,88)),"")</f>
        <v/>
      </c>
      <c r="N100">
        <f>IFERROR(INDEX('ערכים טכנולוגיים'!$N$5:$N$357,SMALL('ערכים טכנולוגיים'!$P$5:$P$357,88)),"")</f>
        <v/>
      </c>
      <c r="O100">
        <f>IFERROR(INDEX('ערכים טכנולוגיים'!$O$5:$O$357,SMALL('ערכים טכנולוגיים'!$P$5:$P$357,88)),"")</f>
        <v/>
      </c>
    </row>
    <row r="101">
      <c r="A101">
        <f>IFERROR(INDEX('ערכים טכנולוגיים'!$A$5:$A$357,SMALL('ערכים טכנולוגיים'!$P$5:$P$357,89)),"")</f>
        <v/>
      </c>
      <c r="B101">
        <f>IFERROR(INDEX('ערכים טכנולוגיים'!$B$5:$B$357,SMALL('ערכים טכנולוגיים'!$P$5:$P$357,89)),"")</f>
        <v/>
      </c>
      <c r="C101">
        <f>IFERROR(INDEX('ערכים טכנולוגיים'!$C$5:$C$357,SMALL('ערכים טכנולוגיים'!$P$5:$P$357,89)),"")</f>
        <v/>
      </c>
      <c r="D101">
        <f>IFERROR(INDEX('ערכים טכנולוגיים'!$D$5:$D$357,SMALL('ערכים טכנולוגיים'!$P$5:$P$357,89)),"")</f>
        <v/>
      </c>
      <c r="E101">
        <f>IFERROR(INDEX('ערכים טכנולוגיים'!$E$5:$E$357,SMALL('ערכים טכנולוגיים'!$P$5:$P$357,89)),"")</f>
        <v/>
      </c>
      <c r="F101">
        <f>IFERROR(INDEX('ערכים טכנולוגיים'!$F$5:$F$357,SMALL('ערכים טכנולוגיים'!$P$5:$P$357,89)),"")</f>
        <v/>
      </c>
      <c r="G101">
        <f>IFERROR(INDEX('ערכים טכנולוגיים'!$G$5:$G$357,SMALL('ערכים טכנולוגיים'!$P$5:$P$357,89)),"")</f>
        <v/>
      </c>
      <c r="H101">
        <f>IFERROR(INDEX('ערכים טכנולוגיים'!$H$5:$H$357,SMALL('ערכים טכנולוגיים'!$P$5:$P$357,89)),"")</f>
        <v/>
      </c>
      <c r="I101">
        <f>IFERROR(INDEX('ערכים טכנולוגיים'!$I$5:$I$357,SMALL('ערכים טכנולוגיים'!$P$5:$P$357,89)),"")</f>
        <v/>
      </c>
      <c r="J101">
        <f>IFERROR(INDEX('ערכים טכנולוגיים'!$J$5:$J$357,SMALL('ערכים טכנולוגיים'!$P$5:$P$357,89)),"")</f>
        <v/>
      </c>
      <c r="K101">
        <f>IFERROR(INDEX('ערכים טכנולוגיים'!$K$5:$K$357,SMALL('ערכים טכנולוגיים'!$P$5:$P$357,89)),"")</f>
        <v/>
      </c>
      <c r="L101">
        <f>IFERROR(INDEX('ערכים טכנולוגיים'!$L$5:$L$357,SMALL('ערכים טכנולוגיים'!$P$5:$P$357,89)),"")</f>
        <v/>
      </c>
      <c r="M101">
        <f>IFERROR(INDEX('ערכים טכנולוגיים'!$M$5:$M$357,SMALL('ערכים טכנולוגיים'!$P$5:$P$357,89)),"")</f>
        <v/>
      </c>
      <c r="N101">
        <f>IFERROR(INDEX('ערכים טכנולוגיים'!$N$5:$N$357,SMALL('ערכים טכנולוגיים'!$P$5:$P$357,89)),"")</f>
        <v/>
      </c>
      <c r="O101">
        <f>IFERROR(INDEX('ערכים טכנולוגיים'!$O$5:$O$357,SMALL('ערכים טכנולוגיים'!$P$5:$P$357,89)),"")</f>
        <v/>
      </c>
    </row>
    <row r="102">
      <c r="A102">
        <f>IFERROR(INDEX('ערכים טכנולוגיים'!$A$5:$A$357,SMALL('ערכים טכנולוגיים'!$P$5:$P$357,90)),"")</f>
        <v/>
      </c>
      <c r="B102">
        <f>IFERROR(INDEX('ערכים טכנולוגיים'!$B$5:$B$357,SMALL('ערכים טכנולוגיים'!$P$5:$P$357,90)),"")</f>
        <v/>
      </c>
      <c r="C102">
        <f>IFERROR(INDEX('ערכים טכנולוגיים'!$C$5:$C$357,SMALL('ערכים טכנולוגיים'!$P$5:$P$357,90)),"")</f>
        <v/>
      </c>
      <c r="D102">
        <f>IFERROR(INDEX('ערכים טכנולוגיים'!$D$5:$D$357,SMALL('ערכים טכנולוגיים'!$P$5:$P$357,90)),"")</f>
        <v/>
      </c>
      <c r="E102">
        <f>IFERROR(INDEX('ערכים טכנולוגיים'!$E$5:$E$357,SMALL('ערכים טכנולוגיים'!$P$5:$P$357,90)),"")</f>
        <v/>
      </c>
      <c r="F102">
        <f>IFERROR(INDEX('ערכים טכנולוגיים'!$F$5:$F$357,SMALL('ערכים טכנולוגיים'!$P$5:$P$357,90)),"")</f>
        <v/>
      </c>
      <c r="G102">
        <f>IFERROR(INDEX('ערכים טכנולוגיים'!$G$5:$G$357,SMALL('ערכים טכנולוגיים'!$P$5:$P$357,90)),"")</f>
        <v/>
      </c>
      <c r="H102">
        <f>IFERROR(INDEX('ערכים טכנולוגיים'!$H$5:$H$357,SMALL('ערכים טכנולוגיים'!$P$5:$P$357,90)),"")</f>
        <v/>
      </c>
      <c r="I102">
        <f>IFERROR(INDEX('ערכים טכנולוגיים'!$I$5:$I$357,SMALL('ערכים טכנולוגיים'!$P$5:$P$357,90)),"")</f>
        <v/>
      </c>
      <c r="J102">
        <f>IFERROR(INDEX('ערכים טכנולוגיים'!$J$5:$J$357,SMALL('ערכים טכנולוגיים'!$P$5:$P$357,90)),"")</f>
        <v/>
      </c>
      <c r="K102">
        <f>IFERROR(INDEX('ערכים טכנולוגיים'!$K$5:$K$357,SMALL('ערכים טכנולוגיים'!$P$5:$P$357,90)),"")</f>
        <v/>
      </c>
      <c r="L102">
        <f>IFERROR(INDEX('ערכים טכנולוגיים'!$L$5:$L$357,SMALL('ערכים טכנולוגיים'!$P$5:$P$357,90)),"")</f>
        <v/>
      </c>
      <c r="M102">
        <f>IFERROR(INDEX('ערכים טכנולוגיים'!$M$5:$M$357,SMALL('ערכים טכנולוגיים'!$P$5:$P$357,90)),"")</f>
        <v/>
      </c>
      <c r="N102">
        <f>IFERROR(INDEX('ערכים טכנולוגיים'!$N$5:$N$357,SMALL('ערכים טכנולוגיים'!$P$5:$P$357,90)),"")</f>
        <v/>
      </c>
      <c r="O102">
        <f>IFERROR(INDEX('ערכים טכנולוגיים'!$O$5:$O$357,SMALL('ערכים טכנולוגיים'!$P$5:$P$357,90)),"")</f>
        <v/>
      </c>
    </row>
    <row r="103">
      <c r="A103">
        <f>IFERROR(INDEX('ערכים טכנולוגיים'!$A$5:$A$357,SMALL('ערכים טכנולוגיים'!$P$5:$P$357,91)),"")</f>
        <v/>
      </c>
      <c r="B103">
        <f>IFERROR(INDEX('ערכים טכנולוגיים'!$B$5:$B$357,SMALL('ערכים טכנולוגיים'!$P$5:$P$357,91)),"")</f>
        <v/>
      </c>
      <c r="C103">
        <f>IFERROR(INDEX('ערכים טכנולוגיים'!$C$5:$C$357,SMALL('ערכים טכנולוגיים'!$P$5:$P$357,91)),"")</f>
        <v/>
      </c>
      <c r="D103">
        <f>IFERROR(INDEX('ערכים טכנולוגיים'!$D$5:$D$357,SMALL('ערכים טכנולוגיים'!$P$5:$P$357,91)),"")</f>
        <v/>
      </c>
      <c r="E103">
        <f>IFERROR(INDEX('ערכים טכנולוגיים'!$E$5:$E$357,SMALL('ערכים טכנולוגיים'!$P$5:$P$357,91)),"")</f>
        <v/>
      </c>
      <c r="F103">
        <f>IFERROR(INDEX('ערכים טכנולוגיים'!$F$5:$F$357,SMALL('ערכים טכנולוגיים'!$P$5:$P$357,91)),"")</f>
        <v/>
      </c>
      <c r="G103">
        <f>IFERROR(INDEX('ערכים טכנולוגיים'!$G$5:$G$357,SMALL('ערכים טכנולוגיים'!$P$5:$P$357,91)),"")</f>
        <v/>
      </c>
      <c r="H103">
        <f>IFERROR(INDEX('ערכים טכנולוגיים'!$H$5:$H$357,SMALL('ערכים טכנולוגיים'!$P$5:$P$357,91)),"")</f>
        <v/>
      </c>
      <c r="I103">
        <f>IFERROR(INDEX('ערכים טכנולוגיים'!$I$5:$I$357,SMALL('ערכים טכנולוגיים'!$P$5:$P$357,91)),"")</f>
        <v/>
      </c>
      <c r="J103">
        <f>IFERROR(INDEX('ערכים טכנולוגיים'!$J$5:$J$357,SMALL('ערכים טכנולוגיים'!$P$5:$P$357,91)),"")</f>
        <v/>
      </c>
      <c r="K103">
        <f>IFERROR(INDEX('ערכים טכנולוגיים'!$K$5:$K$357,SMALL('ערכים טכנולוגיים'!$P$5:$P$357,91)),"")</f>
        <v/>
      </c>
      <c r="L103">
        <f>IFERROR(INDEX('ערכים טכנולוגיים'!$L$5:$L$357,SMALL('ערכים טכנולוגיים'!$P$5:$P$357,91)),"")</f>
        <v/>
      </c>
      <c r="M103">
        <f>IFERROR(INDEX('ערכים טכנולוגיים'!$M$5:$M$357,SMALL('ערכים טכנולוגיים'!$P$5:$P$357,91)),"")</f>
        <v/>
      </c>
      <c r="N103">
        <f>IFERROR(INDEX('ערכים טכנולוגיים'!$N$5:$N$357,SMALL('ערכים טכנולוגיים'!$P$5:$P$357,91)),"")</f>
        <v/>
      </c>
      <c r="O103">
        <f>IFERROR(INDEX('ערכים טכנולוגיים'!$O$5:$O$357,SMALL('ערכים טכנולוגיים'!$P$5:$P$357,91)),"")</f>
        <v/>
      </c>
    </row>
    <row r="104">
      <c r="A104">
        <f>IFERROR(INDEX('ערכים טכנולוגיים'!$A$5:$A$357,SMALL('ערכים טכנולוגיים'!$P$5:$P$357,92)),"")</f>
        <v/>
      </c>
      <c r="B104">
        <f>IFERROR(INDEX('ערכים טכנולוגיים'!$B$5:$B$357,SMALL('ערכים טכנולוגיים'!$P$5:$P$357,92)),"")</f>
        <v/>
      </c>
      <c r="C104">
        <f>IFERROR(INDEX('ערכים טכנולוגיים'!$C$5:$C$357,SMALL('ערכים טכנולוגיים'!$P$5:$P$357,92)),"")</f>
        <v/>
      </c>
      <c r="D104">
        <f>IFERROR(INDEX('ערכים טכנולוגיים'!$D$5:$D$357,SMALL('ערכים טכנולוגיים'!$P$5:$P$357,92)),"")</f>
        <v/>
      </c>
      <c r="E104">
        <f>IFERROR(INDEX('ערכים טכנולוגיים'!$E$5:$E$357,SMALL('ערכים טכנולוגיים'!$P$5:$P$357,92)),"")</f>
        <v/>
      </c>
      <c r="F104">
        <f>IFERROR(INDEX('ערכים טכנולוגיים'!$F$5:$F$357,SMALL('ערכים טכנולוגיים'!$P$5:$P$357,92)),"")</f>
        <v/>
      </c>
      <c r="G104">
        <f>IFERROR(INDEX('ערכים טכנולוגיים'!$G$5:$G$357,SMALL('ערכים טכנולוגיים'!$P$5:$P$357,92)),"")</f>
        <v/>
      </c>
      <c r="H104">
        <f>IFERROR(INDEX('ערכים טכנולוגיים'!$H$5:$H$357,SMALL('ערכים טכנולוגיים'!$P$5:$P$357,92)),"")</f>
        <v/>
      </c>
      <c r="I104">
        <f>IFERROR(INDEX('ערכים טכנולוגיים'!$I$5:$I$357,SMALL('ערכים טכנולוגיים'!$P$5:$P$357,92)),"")</f>
        <v/>
      </c>
      <c r="J104">
        <f>IFERROR(INDEX('ערכים טכנולוגיים'!$J$5:$J$357,SMALL('ערכים טכנולוגיים'!$P$5:$P$357,92)),"")</f>
        <v/>
      </c>
      <c r="K104">
        <f>IFERROR(INDEX('ערכים טכנולוגיים'!$K$5:$K$357,SMALL('ערכים טכנולוגיים'!$P$5:$P$357,92)),"")</f>
        <v/>
      </c>
      <c r="L104">
        <f>IFERROR(INDEX('ערכים טכנולוגיים'!$L$5:$L$357,SMALL('ערכים טכנולוגיים'!$P$5:$P$357,92)),"")</f>
        <v/>
      </c>
      <c r="M104">
        <f>IFERROR(INDEX('ערכים טכנולוגיים'!$M$5:$M$357,SMALL('ערכים טכנולוגיים'!$P$5:$P$357,92)),"")</f>
        <v/>
      </c>
      <c r="N104">
        <f>IFERROR(INDEX('ערכים טכנולוגיים'!$N$5:$N$357,SMALL('ערכים טכנולוגיים'!$P$5:$P$357,92)),"")</f>
        <v/>
      </c>
      <c r="O104">
        <f>IFERROR(INDEX('ערכים טכנולוגיים'!$O$5:$O$357,SMALL('ערכים טכנולוגיים'!$P$5:$P$357,92)),"")</f>
        <v/>
      </c>
    </row>
    <row r="105">
      <c r="A105">
        <f>IFERROR(INDEX('ערכים טכנולוגיים'!$A$5:$A$357,SMALL('ערכים טכנולוגיים'!$P$5:$P$357,93)),"")</f>
        <v/>
      </c>
      <c r="B105">
        <f>IFERROR(INDEX('ערכים טכנולוגיים'!$B$5:$B$357,SMALL('ערכים טכנולוגיים'!$P$5:$P$357,93)),"")</f>
        <v/>
      </c>
      <c r="C105">
        <f>IFERROR(INDEX('ערכים טכנולוגיים'!$C$5:$C$357,SMALL('ערכים טכנולוגיים'!$P$5:$P$357,93)),"")</f>
        <v/>
      </c>
      <c r="D105">
        <f>IFERROR(INDEX('ערכים טכנולוגיים'!$D$5:$D$357,SMALL('ערכים טכנולוגיים'!$P$5:$P$357,93)),"")</f>
        <v/>
      </c>
      <c r="E105">
        <f>IFERROR(INDEX('ערכים טכנולוגיים'!$E$5:$E$357,SMALL('ערכים טכנולוגיים'!$P$5:$P$357,93)),"")</f>
        <v/>
      </c>
      <c r="F105">
        <f>IFERROR(INDEX('ערכים טכנולוגיים'!$F$5:$F$357,SMALL('ערכים טכנולוגיים'!$P$5:$P$357,93)),"")</f>
        <v/>
      </c>
      <c r="G105">
        <f>IFERROR(INDEX('ערכים טכנולוגיים'!$G$5:$G$357,SMALL('ערכים טכנולוגיים'!$P$5:$P$357,93)),"")</f>
        <v/>
      </c>
      <c r="H105">
        <f>IFERROR(INDEX('ערכים טכנולוגיים'!$H$5:$H$357,SMALL('ערכים טכנולוגיים'!$P$5:$P$357,93)),"")</f>
        <v/>
      </c>
      <c r="I105">
        <f>IFERROR(INDEX('ערכים טכנולוגיים'!$I$5:$I$357,SMALL('ערכים טכנולוגיים'!$P$5:$P$357,93)),"")</f>
        <v/>
      </c>
      <c r="J105">
        <f>IFERROR(INDEX('ערכים טכנולוגיים'!$J$5:$J$357,SMALL('ערכים טכנולוגיים'!$P$5:$P$357,93)),"")</f>
        <v/>
      </c>
      <c r="K105">
        <f>IFERROR(INDEX('ערכים טכנולוגיים'!$K$5:$K$357,SMALL('ערכים טכנולוגיים'!$P$5:$P$357,93)),"")</f>
        <v/>
      </c>
      <c r="L105">
        <f>IFERROR(INDEX('ערכים טכנולוגיים'!$L$5:$L$357,SMALL('ערכים טכנולוגיים'!$P$5:$P$357,93)),"")</f>
        <v/>
      </c>
      <c r="M105">
        <f>IFERROR(INDEX('ערכים טכנולוגיים'!$M$5:$M$357,SMALL('ערכים טכנולוגיים'!$P$5:$P$357,93)),"")</f>
        <v/>
      </c>
      <c r="N105">
        <f>IFERROR(INDEX('ערכים טכנולוגיים'!$N$5:$N$357,SMALL('ערכים טכנולוגיים'!$P$5:$P$357,93)),"")</f>
        <v/>
      </c>
      <c r="O105">
        <f>IFERROR(INDEX('ערכים טכנולוגיים'!$O$5:$O$357,SMALL('ערכים טכנולוגיים'!$P$5:$P$357,93)),"")</f>
        <v/>
      </c>
    </row>
    <row r="106">
      <c r="A106">
        <f>IFERROR(INDEX('ערכים טכנולוגיים'!$A$5:$A$357,SMALL('ערכים טכנולוגיים'!$P$5:$P$357,94)),"")</f>
        <v/>
      </c>
      <c r="B106">
        <f>IFERROR(INDEX('ערכים טכנולוגיים'!$B$5:$B$357,SMALL('ערכים טכנולוגיים'!$P$5:$P$357,94)),"")</f>
        <v/>
      </c>
      <c r="C106">
        <f>IFERROR(INDEX('ערכים טכנולוגיים'!$C$5:$C$357,SMALL('ערכים טכנולוגיים'!$P$5:$P$357,94)),"")</f>
        <v/>
      </c>
      <c r="D106">
        <f>IFERROR(INDEX('ערכים טכנולוגיים'!$D$5:$D$357,SMALL('ערכים טכנולוגיים'!$P$5:$P$357,94)),"")</f>
        <v/>
      </c>
      <c r="E106">
        <f>IFERROR(INDEX('ערכים טכנולוגיים'!$E$5:$E$357,SMALL('ערכים טכנולוגיים'!$P$5:$P$357,94)),"")</f>
        <v/>
      </c>
      <c r="F106">
        <f>IFERROR(INDEX('ערכים טכנולוגיים'!$F$5:$F$357,SMALL('ערכים טכנולוגיים'!$P$5:$P$357,94)),"")</f>
        <v/>
      </c>
      <c r="G106">
        <f>IFERROR(INDEX('ערכים טכנולוגיים'!$G$5:$G$357,SMALL('ערכים טכנולוגיים'!$P$5:$P$357,94)),"")</f>
        <v/>
      </c>
      <c r="H106">
        <f>IFERROR(INDEX('ערכים טכנולוגיים'!$H$5:$H$357,SMALL('ערכים טכנולוגיים'!$P$5:$P$357,94)),"")</f>
        <v/>
      </c>
      <c r="I106">
        <f>IFERROR(INDEX('ערכים טכנולוגיים'!$I$5:$I$357,SMALL('ערכים טכנולוגיים'!$P$5:$P$357,94)),"")</f>
        <v/>
      </c>
      <c r="J106">
        <f>IFERROR(INDEX('ערכים טכנולוגיים'!$J$5:$J$357,SMALL('ערכים טכנולוגיים'!$P$5:$P$357,94)),"")</f>
        <v/>
      </c>
      <c r="K106">
        <f>IFERROR(INDEX('ערכים טכנולוגיים'!$K$5:$K$357,SMALL('ערכים טכנולוגיים'!$P$5:$P$357,94)),"")</f>
        <v/>
      </c>
      <c r="L106">
        <f>IFERROR(INDEX('ערכים טכנולוגיים'!$L$5:$L$357,SMALL('ערכים טכנולוגיים'!$P$5:$P$357,94)),"")</f>
        <v/>
      </c>
      <c r="M106">
        <f>IFERROR(INDEX('ערכים טכנולוגיים'!$M$5:$M$357,SMALL('ערכים טכנולוגיים'!$P$5:$P$357,94)),"")</f>
        <v/>
      </c>
      <c r="N106">
        <f>IFERROR(INDEX('ערכים טכנולוגיים'!$N$5:$N$357,SMALL('ערכים טכנולוגיים'!$P$5:$P$357,94)),"")</f>
        <v/>
      </c>
      <c r="O106">
        <f>IFERROR(INDEX('ערכים טכנולוגיים'!$O$5:$O$357,SMALL('ערכים טכנולוגיים'!$P$5:$P$357,94)),"")</f>
        <v/>
      </c>
    </row>
    <row r="107">
      <c r="A107">
        <f>IFERROR(INDEX('ערכים טכנולוגיים'!$A$5:$A$357,SMALL('ערכים טכנולוגיים'!$P$5:$P$357,95)),"")</f>
        <v/>
      </c>
      <c r="B107">
        <f>IFERROR(INDEX('ערכים טכנולוגיים'!$B$5:$B$357,SMALL('ערכים טכנולוגיים'!$P$5:$P$357,95)),"")</f>
        <v/>
      </c>
      <c r="C107">
        <f>IFERROR(INDEX('ערכים טכנולוגיים'!$C$5:$C$357,SMALL('ערכים טכנולוגיים'!$P$5:$P$357,95)),"")</f>
        <v/>
      </c>
      <c r="D107">
        <f>IFERROR(INDEX('ערכים טכנולוגיים'!$D$5:$D$357,SMALL('ערכים טכנולוגיים'!$P$5:$P$357,95)),"")</f>
        <v/>
      </c>
      <c r="E107">
        <f>IFERROR(INDEX('ערכים טכנולוגיים'!$E$5:$E$357,SMALL('ערכים טכנולוגיים'!$P$5:$P$357,95)),"")</f>
        <v/>
      </c>
      <c r="F107">
        <f>IFERROR(INDEX('ערכים טכנולוגיים'!$F$5:$F$357,SMALL('ערכים טכנולוגיים'!$P$5:$P$357,95)),"")</f>
        <v/>
      </c>
      <c r="G107">
        <f>IFERROR(INDEX('ערכים טכנולוגיים'!$G$5:$G$357,SMALL('ערכים טכנולוגיים'!$P$5:$P$357,95)),"")</f>
        <v/>
      </c>
      <c r="H107">
        <f>IFERROR(INDEX('ערכים טכנולוגיים'!$H$5:$H$357,SMALL('ערכים טכנולוגיים'!$P$5:$P$357,95)),"")</f>
        <v/>
      </c>
      <c r="I107">
        <f>IFERROR(INDEX('ערכים טכנולוגיים'!$I$5:$I$357,SMALL('ערכים טכנולוגיים'!$P$5:$P$357,95)),"")</f>
        <v/>
      </c>
      <c r="J107">
        <f>IFERROR(INDEX('ערכים טכנולוגיים'!$J$5:$J$357,SMALL('ערכים טכנולוגיים'!$P$5:$P$357,95)),"")</f>
        <v/>
      </c>
      <c r="K107">
        <f>IFERROR(INDEX('ערכים טכנולוגיים'!$K$5:$K$357,SMALL('ערכים טכנולוגיים'!$P$5:$P$357,95)),"")</f>
        <v/>
      </c>
      <c r="L107">
        <f>IFERROR(INDEX('ערכים טכנולוגיים'!$L$5:$L$357,SMALL('ערכים טכנולוגיים'!$P$5:$P$357,95)),"")</f>
        <v/>
      </c>
      <c r="M107">
        <f>IFERROR(INDEX('ערכים טכנולוגיים'!$M$5:$M$357,SMALL('ערכים טכנולוגיים'!$P$5:$P$357,95)),"")</f>
        <v/>
      </c>
      <c r="N107">
        <f>IFERROR(INDEX('ערכים טכנולוגיים'!$N$5:$N$357,SMALL('ערכים טכנולוגיים'!$P$5:$P$357,95)),"")</f>
        <v/>
      </c>
      <c r="O107">
        <f>IFERROR(INDEX('ערכים טכנולוגיים'!$O$5:$O$357,SMALL('ערכים טכנולוגיים'!$P$5:$P$357,95)),"")</f>
        <v/>
      </c>
    </row>
    <row r="108">
      <c r="A108">
        <f>IFERROR(INDEX('ערכים טכנולוגיים'!$A$5:$A$357,SMALL('ערכים טכנולוגיים'!$P$5:$P$357,96)),"")</f>
        <v/>
      </c>
      <c r="B108">
        <f>IFERROR(INDEX('ערכים טכנולוגיים'!$B$5:$B$357,SMALL('ערכים טכנולוגיים'!$P$5:$P$357,96)),"")</f>
        <v/>
      </c>
      <c r="C108">
        <f>IFERROR(INDEX('ערכים טכנולוגיים'!$C$5:$C$357,SMALL('ערכים טכנולוגיים'!$P$5:$P$357,96)),"")</f>
        <v/>
      </c>
      <c r="D108">
        <f>IFERROR(INDEX('ערכים טכנולוגיים'!$D$5:$D$357,SMALL('ערכים טכנולוגיים'!$P$5:$P$357,96)),"")</f>
        <v/>
      </c>
      <c r="E108">
        <f>IFERROR(INDEX('ערכים טכנולוגיים'!$E$5:$E$357,SMALL('ערכים טכנולוגיים'!$P$5:$P$357,96)),"")</f>
        <v/>
      </c>
      <c r="F108">
        <f>IFERROR(INDEX('ערכים טכנולוגיים'!$F$5:$F$357,SMALL('ערכים טכנולוגיים'!$P$5:$P$357,96)),"")</f>
        <v/>
      </c>
      <c r="G108">
        <f>IFERROR(INDEX('ערכים טכנולוגיים'!$G$5:$G$357,SMALL('ערכים טכנולוגיים'!$P$5:$P$357,96)),"")</f>
        <v/>
      </c>
      <c r="H108">
        <f>IFERROR(INDEX('ערכים טכנולוגיים'!$H$5:$H$357,SMALL('ערכים טכנולוגיים'!$P$5:$P$357,96)),"")</f>
        <v/>
      </c>
      <c r="I108">
        <f>IFERROR(INDEX('ערכים טכנולוגיים'!$I$5:$I$357,SMALL('ערכים טכנולוגיים'!$P$5:$P$357,96)),"")</f>
        <v/>
      </c>
      <c r="J108">
        <f>IFERROR(INDEX('ערכים טכנולוגיים'!$J$5:$J$357,SMALL('ערכים טכנולוגיים'!$P$5:$P$357,96)),"")</f>
        <v/>
      </c>
      <c r="K108">
        <f>IFERROR(INDEX('ערכים טכנולוגיים'!$K$5:$K$357,SMALL('ערכים טכנולוגיים'!$P$5:$P$357,96)),"")</f>
        <v/>
      </c>
      <c r="L108">
        <f>IFERROR(INDEX('ערכים טכנולוגיים'!$L$5:$L$357,SMALL('ערכים טכנולוגיים'!$P$5:$P$357,96)),"")</f>
        <v/>
      </c>
      <c r="M108">
        <f>IFERROR(INDEX('ערכים טכנולוגיים'!$M$5:$M$357,SMALL('ערכים טכנולוגיים'!$P$5:$P$357,96)),"")</f>
        <v/>
      </c>
      <c r="N108">
        <f>IFERROR(INDEX('ערכים טכנולוגיים'!$N$5:$N$357,SMALL('ערכים טכנולוגיים'!$P$5:$P$357,96)),"")</f>
        <v/>
      </c>
      <c r="O108">
        <f>IFERROR(INDEX('ערכים טכנולוגיים'!$O$5:$O$357,SMALL('ערכים טכנולוגיים'!$P$5:$P$357,96)),"")</f>
        <v/>
      </c>
    </row>
    <row r="109">
      <c r="A109">
        <f>IFERROR(INDEX('ערכים טכנולוגיים'!$A$5:$A$357,SMALL('ערכים טכנולוגיים'!$P$5:$P$357,97)),"")</f>
        <v/>
      </c>
      <c r="B109">
        <f>IFERROR(INDEX('ערכים טכנולוגיים'!$B$5:$B$357,SMALL('ערכים טכנולוגיים'!$P$5:$P$357,97)),"")</f>
        <v/>
      </c>
      <c r="C109">
        <f>IFERROR(INDEX('ערכים טכנולוגיים'!$C$5:$C$357,SMALL('ערכים טכנולוגיים'!$P$5:$P$357,97)),"")</f>
        <v/>
      </c>
      <c r="D109">
        <f>IFERROR(INDEX('ערכים טכנולוגיים'!$D$5:$D$357,SMALL('ערכים טכנולוגיים'!$P$5:$P$357,97)),"")</f>
        <v/>
      </c>
      <c r="E109">
        <f>IFERROR(INDEX('ערכים טכנולוגיים'!$E$5:$E$357,SMALL('ערכים טכנולוגיים'!$P$5:$P$357,97)),"")</f>
        <v/>
      </c>
      <c r="F109">
        <f>IFERROR(INDEX('ערכים טכנולוגיים'!$F$5:$F$357,SMALL('ערכים טכנולוגיים'!$P$5:$P$357,97)),"")</f>
        <v/>
      </c>
      <c r="G109">
        <f>IFERROR(INDEX('ערכים טכנולוגיים'!$G$5:$G$357,SMALL('ערכים טכנולוגיים'!$P$5:$P$357,97)),"")</f>
        <v/>
      </c>
      <c r="H109">
        <f>IFERROR(INDEX('ערכים טכנולוגיים'!$H$5:$H$357,SMALL('ערכים טכנולוגיים'!$P$5:$P$357,97)),"")</f>
        <v/>
      </c>
      <c r="I109">
        <f>IFERROR(INDEX('ערכים טכנולוגיים'!$I$5:$I$357,SMALL('ערכים טכנולוגיים'!$P$5:$P$357,97)),"")</f>
        <v/>
      </c>
      <c r="J109">
        <f>IFERROR(INDEX('ערכים טכנולוגיים'!$J$5:$J$357,SMALL('ערכים טכנולוגיים'!$P$5:$P$357,97)),"")</f>
        <v/>
      </c>
      <c r="K109">
        <f>IFERROR(INDEX('ערכים טכנולוגיים'!$K$5:$K$357,SMALL('ערכים טכנולוגיים'!$P$5:$P$357,97)),"")</f>
        <v/>
      </c>
      <c r="L109">
        <f>IFERROR(INDEX('ערכים טכנולוגיים'!$L$5:$L$357,SMALL('ערכים טכנולוגיים'!$P$5:$P$357,97)),"")</f>
        <v/>
      </c>
      <c r="M109">
        <f>IFERROR(INDEX('ערכים טכנולוגיים'!$M$5:$M$357,SMALL('ערכים טכנולוגיים'!$P$5:$P$357,97)),"")</f>
        <v/>
      </c>
      <c r="N109">
        <f>IFERROR(INDEX('ערכים טכנולוגיים'!$N$5:$N$357,SMALL('ערכים טכנולוגיים'!$P$5:$P$357,97)),"")</f>
        <v/>
      </c>
      <c r="O109">
        <f>IFERROR(INDEX('ערכים טכנולוגיים'!$O$5:$O$357,SMALL('ערכים טכנולוגיים'!$P$5:$P$357,97)),"")</f>
        <v/>
      </c>
    </row>
    <row r="110">
      <c r="A110">
        <f>IFERROR(INDEX('ערכים טכנולוגיים'!$A$5:$A$357,SMALL('ערכים טכנולוגיים'!$P$5:$P$357,98)),"")</f>
        <v/>
      </c>
      <c r="B110">
        <f>IFERROR(INDEX('ערכים טכנולוגיים'!$B$5:$B$357,SMALL('ערכים טכנולוגיים'!$P$5:$P$357,98)),"")</f>
        <v/>
      </c>
      <c r="C110">
        <f>IFERROR(INDEX('ערכים טכנולוגיים'!$C$5:$C$357,SMALL('ערכים טכנולוגיים'!$P$5:$P$357,98)),"")</f>
        <v/>
      </c>
      <c r="D110">
        <f>IFERROR(INDEX('ערכים טכנולוגיים'!$D$5:$D$357,SMALL('ערכים טכנולוגיים'!$P$5:$P$357,98)),"")</f>
        <v/>
      </c>
      <c r="E110">
        <f>IFERROR(INDEX('ערכים טכנולוגיים'!$E$5:$E$357,SMALL('ערכים טכנולוגיים'!$P$5:$P$357,98)),"")</f>
        <v/>
      </c>
      <c r="F110">
        <f>IFERROR(INDEX('ערכים טכנולוגיים'!$F$5:$F$357,SMALL('ערכים טכנולוגיים'!$P$5:$P$357,98)),"")</f>
        <v/>
      </c>
      <c r="G110">
        <f>IFERROR(INDEX('ערכים טכנולוגיים'!$G$5:$G$357,SMALL('ערכים טכנולוגיים'!$P$5:$P$357,98)),"")</f>
        <v/>
      </c>
      <c r="H110">
        <f>IFERROR(INDEX('ערכים טכנולוגיים'!$H$5:$H$357,SMALL('ערכים טכנולוגיים'!$P$5:$P$357,98)),"")</f>
        <v/>
      </c>
      <c r="I110">
        <f>IFERROR(INDEX('ערכים טכנולוגיים'!$I$5:$I$357,SMALL('ערכים טכנולוגיים'!$P$5:$P$357,98)),"")</f>
        <v/>
      </c>
      <c r="J110">
        <f>IFERROR(INDEX('ערכים טכנולוגיים'!$J$5:$J$357,SMALL('ערכים טכנולוגיים'!$P$5:$P$357,98)),"")</f>
        <v/>
      </c>
      <c r="K110">
        <f>IFERROR(INDEX('ערכים טכנולוגיים'!$K$5:$K$357,SMALL('ערכים טכנולוגיים'!$P$5:$P$357,98)),"")</f>
        <v/>
      </c>
      <c r="L110">
        <f>IFERROR(INDEX('ערכים טכנולוגיים'!$L$5:$L$357,SMALL('ערכים טכנולוגיים'!$P$5:$P$357,98)),"")</f>
        <v/>
      </c>
      <c r="M110">
        <f>IFERROR(INDEX('ערכים טכנולוגיים'!$M$5:$M$357,SMALL('ערכים טכנולוגיים'!$P$5:$P$357,98)),"")</f>
        <v/>
      </c>
      <c r="N110">
        <f>IFERROR(INDEX('ערכים טכנולוגיים'!$N$5:$N$357,SMALL('ערכים טכנולוגיים'!$P$5:$P$357,98)),"")</f>
        <v/>
      </c>
      <c r="O110">
        <f>IFERROR(INDEX('ערכים טכנולוגיים'!$O$5:$O$357,SMALL('ערכים טכנולוגיים'!$P$5:$P$357,98)),"")</f>
        <v/>
      </c>
    </row>
    <row r="111">
      <c r="A111">
        <f>IFERROR(INDEX('ערכים טכנולוגיים'!$A$5:$A$357,SMALL('ערכים טכנולוגיים'!$P$5:$P$357,99)),"")</f>
        <v/>
      </c>
      <c r="B111">
        <f>IFERROR(INDEX('ערכים טכנולוגיים'!$B$5:$B$357,SMALL('ערכים טכנולוגיים'!$P$5:$P$357,99)),"")</f>
        <v/>
      </c>
      <c r="C111">
        <f>IFERROR(INDEX('ערכים טכנולוגיים'!$C$5:$C$357,SMALL('ערכים טכנולוגיים'!$P$5:$P$357,99)),"")</f>
        <v/>
      </c>
      <c r="D111">
        <f>IFERROR(INDEX('ערכים טכנולוגיים'!$D$5:$D$357,SMALL('ערכים טכנולוגיים'!$P$5:$P$357,99)),"")</f>
        <v/>
      </c>
      <c r="E111">
        <f>IFERROR(INDEX('ערכים טכנולוגיים'!$E$5:$E$357,SMALL('ערכים טכנולוגיים'!$P$5:$P$357,99)),"")</f>
        <v/>
      </c>
      <c r="F111">
        <f>IFERROR(INDEX('ערכים טכנולוגיים'!$F$5:$F$357,SMALL('ערכים טכנולוגיים'!$P$5:$P$357,99)),"")</f>
        <v/>
      </c>
      <c r="G111">
        <f>IFERROR(INDEX('ערכים טכנולוגיים'!$G$5:$G$357,SMALL('ערכים טכנולוגיים'!$P$5:$P$357,99)),"")</f>
        <v/>
      </c>
      <c r="H111">
        <f>IFERROR(INDEX('ערכים טכנולוגיים'!$H$5:$H$357,SMALL('ערכים טכנולוגיים'!$P$5:$P$357,99)),"")</f>
        <v/>
      </c>
      <c r="I111">
        <f>IFERROR(INDEX('ערכים טכנולוגיים'!$I$5:$I$357,SMALL('ערכים טכנולוגיים'!$P$5:$P$357,99)),"")</f>
        <v/>
      </c>
      <c r="J111">
        <f>IFERROR(INDEX('ערכים טכנולוגיים'!$J$5:$J$357,SMALL('ערכים טכנולוגיים'!$P$5:$P$357,99)),"")</f>
        <v/>
      </c>
      <c r="K111">
        <f>IFERROR(INDEX('ערכים טכנולוגיים'!$K$5:$K$357,SMALL('ערכים טכנולוגיים'!$P$5:$P$357,99)),"")</f>
        <v/>
      </c>
      <c r="L111">
        <f>IFERROR(INDEX('ערכים טכנולוגיים'!$L$5:$L$357,SMALL('ערכים טכנולוגיים'!$P$5:$P$357,99)),"")</f>
        <v/>
      </c>
      <c r="M111">
        <f>IFERROR(INDEX('ערכים טכנולוגיים'!$M$5:$M$357,SMALL('ערכים טכנולוגיים'!$P$5:$P$357,99)),"")</f>
        <v/>
      </c>
      <c r="N111">
        <f>IFERROR(INDEX('ערכים טכנולוגיים'!$N$5:$N$357,SMALL('ערכים טכנולוגיים'!$P$5:$P$357,99)),"")</f>
        <v/>
      </c>
      <c r="O111">
        <f>IFERROR(INDEX('ערכים טכנולוגיים'!$O$5:$O$357,SMALL('ערכים טכנולוגיים'!$P$5:$P$357,99)),"")</f>
        <v/>
      </c>
    </row>
    <row r="112">
      <c r="A112">
        <f>IFERROR(INDEX('ערכים טכנולוגיים'!$A$5:$A$357,SMALL('ערכים טכנולוגיים'!$P$5:$P$357,100)),"")</f>
        <v/>
      </c>
      <c r="B112">
        <f>IFERROR(INDEX('ערכים טכנולוגיים'!$B$5:$B$357,SMALL('ערכים טכנולוגיים'!$P$5:$P$357,100)),"")</f>
        <v/>
      </c>
      <c r="C112">
        <f>IFERROR(INDEX('ערכים טכנולוגיים'!$C$5:$C$357,SMALL('ערכים טכנולוגיים'!$P$5:$P$357,100)),"")</f>
        <v/>
      </c>
      <c r="D112">
        <f>IFERROR(INDEX('ערכים טכנולוגיים'!$D$5:$D$357,SMALL('ערכים טכנולוגיים'!$P$5:$P$357,100)),"")</f>
        <v/>
      </c>
      <c r="E112">
        <f>IFERROR(INDEX('ערכים טכנולוגיים'!$E$5:$E$357,SMALL('ערכים טכנולוגיים'!$P$5:$P$357,100)),"")</f>
        <v/>
      </c>
      <c r="F112">
        <f>IFERROR(INDEX('ערכים טכנולוגיים'!$F$5:$F$357,SMALL('ערכים טכנולוגיים'!$P$5:$P$357,100)),"")</f>
        <v/>
      </c>
      <c r="G112">
        <f>IFERROR(INDEX('ערכים טכנולוגיים'!$G$5:$G$357,SMALL('ערכים טכנולוגיים'!$P$5:$P$357,100)),"")</f>
        <v/>
      </c>
      <c r="H112">
        <f>IFERROR(INDEX('ערכים טכנולוגיים'!$H$5:$H$357,SMALL('ערכים טכנולוגיים'!$P$5:$P$357,100)),"")</f>
        <v/>
      </c>
      <c r="I112">
        <f>IFERROR(INDEX('ערכים טכנולוגיים'!$I$5:$I$357,SMALL('ערכים טכנולוגיים'!$P$5:$P$357,100)),"")</f>
        <v/>
      </c>
      <c r="J112">
        <f>IFERROR(INDEX('ערכים טכנולוגיים'!$J$5:$J$357,SMALL('ערכים טכנולוגיים'!$P$5:$P$357,100)),"")</f>
        <v/>
      </c>
      <c r="K112">
        <f>IFERROR(INDEX('ערכים טכנולוגיים'!$K$5:$K$357,SMALL('ערכים טכנולוגיים'!$P$5:$P$357,100)),"")</f>
        <v/>
      </c>
      <c r="L112">
        <f>IFERROR(INDEX('ערכים טכנולוגיים'!$L$5:$L$357,SMALL('ערכים טכנולוגיים'!$P$5:$P$357,100)),"")</f>
        <v/>
      </c>
      <c r="M112">
        <f>IFERROR(INDEX('ערכים טכנולוגיים'!$M$5:$M$357,SMALL('ערכים טכנולוגיים'!$P$5:$P$357,100)),"")</f>
        <v/>
      </c>
      <c r="N112">
        <f>IFERROR(INDEX('ערכים טכנולוגיים'!$N$5:$N$357,SMALL('ערכים טכנולוגיים'!$P$5:$P$357,100)),"")</f>
        <v/>
      </c>
      <c r="O112">
        <f>IFERROR(INDEX('ערכים טכנולוגיים'!$O$5:$O$357,SMALL('ערכים טכנולוגיים'!$P$5:$P$357,100)),"")</f>
        <v/>
      </c>
    </row>
    <row r="113">
      <c r="A113">
        <f>IFERROR(INDEX('ערכים טכנולוגיים'!$A$5:$A$357,SMALL('ערכים טכנולוגיים'!$P$5:$P$357,101)),"")</f>
        <v/>
      </c>
      <c r="B113">
        <f>IFERROR(INDEX('ערכים טכנולוגיים'!$B$5:$B$357,SMALL('ערכים טכנולוגיים'!$P$5:$P$357,101)),"")</f>
        <v/>
      </c>
      <c r="C113">
        <f>IFERROR(INDEX('ערכים טכנולוגיים'!$C$5:$C$357,SMALL('ערכים טכנולוגיים'!$P$5:$P$357,101)),"")</f>
        <v/>
      </c>
      <c r="D113">
        <f>IFERROR(INDEX('ערכים טכנולוגיים'!$D$5:$D$357,SMALL('ערכים טכנולוגיים'!$P$5:$P$357,101)),"")</f>
        <v/>
      </c>
      <c r="E113">
        <f>IFERROR(INDEX('ערכים טכנולוגיים'!$E$5:$E$357,SMALL('ערכים טכנולוגיים'!$P$5:$P$357,101)),"")</f>
        <v/>
      </c>
      <c r="F113">
        <f>IFERROR(INDEX('ערכים טכנולוגיים'!$F$5:$F$357,SMALL('ערכים טכנולוגיים'!$P$5:$P$357,101)),"")</f>
        <v/>
      </c>
      <c r="G113">
        <f>IFERROR(INDEX('ערכים טכנולוגיים'!$G$5:$G$357,SMALL('ערכים טכנולוגיים'!$P$5:$P$357,101)),"")</f>
        <v/>
      </c>
      <c r="H113">
        <f>IFERROR(INDEX('ערכים טכנולוגיים'!$H$5:$H$357,SMALL('ערכים טכנולוגיים'!$P$5:$P$357,101)),"")</f>
        <v/>
      </c>
      <c r="I113">
        <f>IFERROR(INDEX('ערכים טכנולוגיים'!$I$5:$I$357,SMALL('ערכים טכנולוגיים'!$P$5:$P$357,101)),"")</f>
        <v/>
      </c>
      <c r="J113">
        <f>IFERROR(INDEX('ערכים טכנולוגיים'!$J$5:$J$357,SMALL('ערכים טכנולוגיים'!$P$5:$P$357,101)),"")</f>
        <v/>
      </c>
      <c r="K113">
        <f>IFERROR(INDEX('ערכים טכנולוגיים'!$K$5:$K$357,SMALL('ערכים טכנולוגיים'!$P$5:$P$357,101)),"")</f>
        <v/>
      </c>
      <c r="L113">
        <f>IFERROR(INDEX('ערכים טכנולוגיים'!$L$5:$L$357,SMALL('ערכים טכנולוגיים'!$P$5:$P$357,101)),"")</f>
        <v/>
      </c>
      <c r="M113">
        <f>IFERROR(INDEX('ערכים טכנולוגיים'!$M$5:$M$357,SMALL('ערכים טכנולוגיים'!$P$5:$P$357,101)),"")</f>
        <v/>
      </c>
      <c r="N113">
        <f>IFERROR(INDEX('ערכים טכנולוגיים'!$N$5:$N$357,SMALL('ערכים טכנולוגיים'!$P$5:$P$357,101)),"")</f>
        <v/>
      </c>
      <c r="O113">
        <f>IFERROR(INDEX('ערכים טכנולוגיים'!$O$5:$O$357,SMALL('ערכים טכנולוגיים'!$P$5:$P$357,101)),"")</f>
        <v/>
      </c>
    </row>
    <row r="114">
      <c r="A114">
        <f>IFERROR(INDEX('ערכים טכנולוגיים'!$A$5:$A$357,SMALL('ערכים טכנולוגיים'!$P$5:$P$357,102)),"")</f>
        <v/>
      </c>
      <c r="B114">
        <f>IFERROR(INDEX('ערכים טכנולוגיים'!$B$5:$B$357,SMALL('ערכים טכנולוגיים'!$P$5:$P$357,102)),"")</f>
        <v/>
      </c>
      <c r="C114">
        <f>IFERROR(INDEX('ערכים טכנולוגיים'!$C$5:$C$357,SMALL('ערכים טכנולוגיים'!$P$5:$P$357,102)),"")</f>
        <v/>
      </c>
      <c r="D114">
        <f>IFERROR(INDEX('ערכים טכנולוגיים'!$D$5:$D$357,SMALL('ערכים טכנולוגיים'!$P$5:$P$357,102)),"")</f>
        <v/>
      </c>
      <c r="E114">
        <f>IFERROR(INDEX('ערכים טכנולוגיים'!$E$5:$E$357,SMALL('ערכים טכנולוגיים'!$P$5:$P$357,102)),"")</f>
        <v/>
      </c>
      <c r="F114">
        <f>IFERROR(INDEX('ערכים טכנולוגיים'!$F$5:$F$357,SMALL('ערכים טכנולוגיים'!$P$5:$P$357,102)),"")</f>
        <v/>
      </c>
      <c r="G114">
        <f>IFERROR(INDEX('ערכים טכנולוגיים'!$G$5:$G$357,SMALL('ערכים טכנולוגיים'!$P$5:$P$357,102)),"")</f>
        <v/>
      </c>
      <c r="H114">
        <f>IFERROR(INDEX('ערכים טכנולוגיים'!$H$5:$H$357,SMALL('ערכים טכנולוגיים'!$P$5:$P$357,102)),"")</f>
        <v/>
      </c>
      <c r="I114">
        <f>IFERROR(INDEX('ערכים טכנולוגיים'!$I$5:$I$357,SMALL('ערכים טכנולוגיים'!$P$5:$P$357,102)),"")</f>
        <v/>
      </c>
      <c r="J114">
        <f>IFERROR(INDEX('ערכים טכנולוגיים'!$J$5:$J$357,SMALL('ערכים טכנולוגיים'!$P$5:$P$357,102)),"")</f>
        <v/>
      </c>
      <c r="K114">
        <f>IFERROR(INDEX('ערכים טכנולוגיים'!$K$5:$K$357,SMALL('ערכים טכנולוגיים'!$P$5:$P$357,102)),"")</f>
        <v/>
      </c>
      <c r="L114">
        <f>IFERROR(INDEX('ערכים טכנולוגיים'!$L$5:$L$357,SMALL('ערכים טכנולוגיים'!$P$5:$P$357,102)),"")</f>
        <v/>
      </c>
      <c r="M114">
        <f>IFERROR(INDEX('ערכים טכנולוגיים'!$M$5:$M$357,SMALL('ערכים טכנולוגיים'!$P$5:$P$357,102)),"")</f>
        <v/>
      </c>
      <c r="N114">
        <f>IFERROR(INDEX('ערכים טכנולוגיים'!$N$5:$N$357,SMALL('ערכים טכנולוגיים'!$P$5:$P$357,102)),"")</f>
        <v/>
      </c>
      <c r="O114">
        <f>IFERROR(INDEX('ערכים טכנולוגיים'!$O$5:$O$357,SMALL('ערכים טכנולוגיים'!$P$5:$P$357,102)),"")</f>
        <v/>
      </c>
    </row>
    <row r="115">
      <c r="A115">
        <f>IFERROR(INDEX('ערכים טכנולוגיים'!$A$5:$A$357,SMALL('ערכים טכנולוגיים'!$P$5:$P$357,103)),"")</f>
        <v/>
      </c>
      <c r="B115">
        <f>IFERROR(INDEX('ערכים טכנולוגיים'!$B$5:$B$357,SMALL('ערכים טכנולוגיים'!$P$5:$P$357,103)),"")</f>
        <v/>
      </c>
      <c r="C115">
        <f>IFERROR(INDEX('ערכים טכנולוגיים'!$C$5:$C$357,SMALL('ערכים טכנולוגיים'!$P$5:$P$357,103)),"")</f>
        <v/>
      </c>
      <c r="D115">
        <f>IFERROR(INDEX('ערכים טכנולוגיים'!$D$5:$D$357,SMALL('ערכים טכנולוגיים'!$P$5:$P$357,103)),"")</f>
        <v/>
      </c>
      <c r="E115">
        <f>IFERROR(INDEX('ערכים טכנולוגיים'!$E$5:$E$357,SMALL('ערכים טכנולוגיים'!$P$5:$P$357,103)),"")</f>
        <v/>
      </c>
      <c r="F115">
        <f>IFERROR(INDEX('ערכים טכנולוגיים'!$F$5:$F$357,SMALL('ערכים טכנולוגיים'!$P$5:$P$357,103)),"")</f>
        <v/>
      </c>
      <c r="G115">
        <f>IFERROR(INDEX('ערכים טכנולוגיים'!$G$5:$G$357,SMALL('ערכים טכנולוגיים'!$P$5:$P$357,103)),"")</f>
        <v/>
      </c>
      <c r="H115">
        <f>IFERROR(INDEX('ערכים טכנולוגיים'!$H$5:$H$357,SMALL('ערכים טכנולוגיים'!$P$5:$P$357,103)),"")</f>
        <v/>
      </c>
      <c r="I115">
        <f>IFERROR(INDEX('ערכים טכנולוגיים'!$I$5:$I$357,SMALL('ערכים טכנולוגיים'!$P$5:$P$357,103)),"")</f>
        <v/>
      </c>
      <c r="J115">
        <f>IFERROR(INDEX('ערכים טכנולוגיים'!$J$5:$J$357,SMALL('ערכים טכנולוגיים'!$P$5:$P$357,103)),"")</f>
        <v/>
      </c>
      <c r="K115">
        <f>IFERROR(INDEX('ערכים טכנולוגיים'!$K$5:$K$357,SMALL('ערכים טכנולוגיים'!$P$5:$P$357,103)),"")</f>
        <v/>
      </c>
      <c r="L115">
        <f>IFERROR(INDEX('ערכים טכנולוגיים'!$L$5:$L$357,SMALL('ערכים טכנולוגיים'!$P$5:$P$357,103)),"")</f>
        <v/>
      </c>
      <c r="M115">
        <f>IFERROR(INDEX('ערכים טכנולוגיים'!$M$5:$M$357,SMALL('ערכים טכנולוגיים'!$P$5:$P$357,103)),"")</f>
        <v/>
      </c>
      <c r="N115">
        <f>IFERROR(INDEX('ערכים טכנולוגיים'!$N$5:$N$357,SMALL('ערכים טכנולוגיים'!$P$5:$P$357,103)),"")</f>
        <v/>
      </c>
      <c r="O115">
        <f>IFERROR(INDEX('ערכים טכנולוגיים'!$O$5:$O$357,SMALL('ערכים טכנולוגיים'!$P$5:$P$357,103)),"")</f>
        <v/>
      </c>
    </row>
    <row r="116">
      <c r="A116">
        <f>IFERROR(INDEX('ערכים טכנולוגיים'!$A$5:$A$357,SMALL('ערכים טכנולוגיים'!$P$5:$P$357,104)),"")</f>
        <v/>
      </c>
      <c r="B116">
        <f>IFERROR(INDEX('ערכים טכנולוגיים'!$B$5:$B$357,SMALL('ערכים טכנולוגיים'!$P$5:$P$357,104)),"")</f>
        <v/>
      </c>
      <c r="C116">
        <f>IFERROR(INDEX('ערכים טכנולוגיים'!$C$5:$C$357,SMALL('ערכים טכנולוגיים'!$P$5:$P$357,104)),"")</f>
        <v/>
      </c>
      <c r="D116">
        <f>IFERROR(INDEX('ערכים טכנולוגיים'!$D$5:$D$357,SMALL('ערכים טכנולוגיים'!$P$5:$P$357,104)),"")</f>
        <v/>
      </c>
      <c r="E116">
        <f>IFERROR(INDEX('ערכים טכנולוגיים'!$E$5:$E$357,SMALL('ערכים טכנולוגיים'!$P$5:$P$357,104)),"")</f>
        <v/>
      </c>
      <c r="F116">
        <f>IFERROR(INDEX('ערכים טכנולוגיים'!$F$5:$F$357,SMALL('ערכים טכנולוגיים'!$P$5:$P$357,104)),"")</f>
        <v/>
      </c>
      <c r="G116">
        <f>IFERROR(INDEX('ערכים טכנולוגיים'!$G$5:$G$357,SMALL('ערכים טכנולוגיים'!$P$5:$P$357,104)),"")</f>
        <v/>
      </c>
      <c r="H116">
        <f>IFERROR(INDEX('ערכים טכנולוגיים'!$H$5:$H$357,SMALL('ערכים טכנולוגיים'!$P$5:$P$357,104)),"")</f>
        <v/>
      </c>
      <c r="I116">
        <f>IFERROR(INDEX('ערכים טכנולוגיים'!$I$5:$I$357,SMALL('ערכים טכנולוגיים'!$P$5:$P$357,104)),"")</f>
        <v/>
      </c>
      <c r="J116">
        <f>IFERROR(INDEX('ערכים טכנולוגיים'!$J$5:$J$357,SMALL('ערכים טכנולוגיים'!$P$5:$P$357,104)),"")</f>
        <v/>
      </c>
      <c r="K116">
        <f>IFERROR(INDEX('ערכים טכנולוגיים'!$K$5:$K$357,SMALL('ערכים טכנולוגיים'!$P$5:$P$357,104)),"")</f>
        <v/>
      </c>
      <c r="L116">
        <f>IFERROR(INDEX('ערכים טכנולוגיים'!$L$5:$L$357,SMALL('ערכים טכנולוגיים'!$P$5:$P$357,104)),"")</f>
        <v/>
      </c>
      <c r="M116">
        <f>IFERROR(INDEX('ערכים טכנולוגיים'!$M$5:$M$357,SMALL('ערכים טכנולוגיים'!$P$5:$P$357,104)),"")</f>
        <v/>
      </c>
      <c r="N116">
        <f>IFERROR(INDEX('ערכים טכנולוגיים'!$N$5:$N$357,SMALL('ערכים טכנולוגיים'!$P$5:$P$357,104)),"")</f>
        <v/>
      </c>
      <c r="O116">
        <f>IFERROR(INDEX('ערכים טכנולוגיים'!$O$5:$O$357,SMALL('ערכים טכנולוגיים'!$P$5:$P$357,104)),"")</f>
        <v/>
      </c>
    </row>
    <row r="117">
      <c r="A117">
        <f>IFERROR(INDEX('ערכים טכנולוגיים'!$A$5:$A$357,SMALL('ערכים טכנולוגיים'!$P$5:$P$357,105)),"")</f>
        <v/>
      </c>
      <c r="B117">
        <f>IFERROR(INDEX('ערכים טכנולוגיים'!$B$5:$B$357,SMALL('ערכים טכנולוגיים'!$P$5:$P$357,105)),"")</f>
        <v/>
      </c>
      <c r="C117">
        <f>IFERROR(INDEX('ערכים טכנולוגיים'!$C$5:$C$357,SMALL('ערכים טכנולוגיים'!$P$5:$P$357,105)),"")</f>
        <v/>
      </c>
      <c r="D117">
        <f>IFERROR(INDEX('ערכים טכנולוגיים'!$D$5:$D$357,SMALL('ערכים טכנולוגיים'!$P$5:$P$357,105)),"")</f>
        <v/>
      </c>
      <c r="E117">
        <f>IFERROR(INDEX('ערכים טכנולוגיים'!$E$5:$E$357,SMALL('ערכים טכנולוגיים'!$P$5:$P$357,105)),"")</f>
        <v/>
      </c>
      <c r="F117">
        <f>IFERROR(INDEX('ערכים טכנולוגיים'!$F$5:$F$357,SMALL('ערכים טכנולוגיים'!$P$5:$P$357,105)),"")</f>
        <v/>
      </c>
      <c r="G117">
        <f>IFERROR(INDEX('ערכים טכנולוגיים'!$G$5:$G$357,SMALL('ערכים טכנולוגיים'!$P$5:$P$357,105)),"")</f>
        <v/>
      </c>
      <c r="H117">
        <f>IFERROR(INDEX('ערכים טכנולוגיים'!$H$5:$H$357,SMALL('ערכים טכנולוגיים'!$P$5:$P$357,105)),"")</f>
        <v/>
      </c>
      <c r="I117">
        <f>IFERROR(INDEX('ערכים טכנולוגיים'!$I$5:$I$357,SMALL('ערכים טכנולוגיים'!$P$5:$P$357,105)),"")</f>
        <v/>
      </c>
      <c r="J117">
        <f>IFERROR(INDEX('ערכים טכנולוגיים'!$J$5:$J$357,SMALL('ערכים טכנולוגיים'!$P$5:$P$357,105)),"")</f>
        <v/>
      </c>
      <c r="K117">
        <f>IFERROR(INDEX('ערכים טכנולוגיים'!$K$5:$K$357,SMALL('ערכים טכנולוגיים'!$P$5:$P$357,105)),"")</f>
        <v/>
      </c>
      <c r="L117">
        <f>IFERROR(INDEX('ערכים טכנולוגיים'!$L$5:$L$357,SMALL('ערכים טכנולוגיים'!$P$5:$P$357,105)),"")</f>
        <v/>
      </c>
      <c r="M117">
        <f>IFERROR(INDEX('ערכים טכנולוגיים'!$M$5:$M$357,SMALL('ערכים טכנולוגיים'!$P$5:$P$357,105)),"")</f>
        <v/>
      </c>
      <c r="N117">
        <f>IFERROR(INDEX('ערכים טכנולוגיים'!$N$5:$N$357,SMALL('ערכים טכנולוגיים'!$P$5:$P$357,105)),"")</f>
        <v/>
      </c>
      <c r="O117">
        <f>IFERROR(INDEX('ערכים טכנולוגיים'!$O$5:$O$357,SMALL('ערכים טכנולוגיים'!$P$5:$P$357,105)),"")</f>
        <v/>
      </c>
    </row>
    <row r="118">
      <c r="A118">
        <f>IFERROR(INDEX('ערכים טכנולוגיים'!$A$5:$A$357,SMALL('ערכים טכנולוגיים'!$P$5:$P$357,106)),"")</f>
        <v/>
      </c>
      <c r="B118">
        <f>IFERROR(INDEX('ערכים טכנולוגיים'!$B$5:$B$357,SMALL('ערכים טכנולוגיים'!$P$5:$P$357,106)),"")</f>
        <v/>
      </c>
      <c r="C118">
        <f>IFERROR(INDEX('ערכים טכנולוגיים'!$C$5:$C$357,SMALL('ערכים טכנולוגיים'!$P$5:$P$357,106)),"")</f>
        <v/>
      </c>
      <c r="D118">
        <f>IFERROR(INDEX('ערכים טכנולוגיים'!$D$5:$D$357,SMALL('ערכים טכנולוגיים'!$P$5:$P$357,106)),"")</f>
        <v/>
      </c>
      <c r="E118">
        <f>IFERROR(INDEX('ערכים טכנולוגיים'!$E$5:$E$357,SMALL('ערכים טכנולוגיים'!$P$5:$P$357,106)),"")</f>
        <v/>
      </c>
      <c r="F118">
        <f>IFERROR(INDEX('ערכים טכנולוגיים'!$F$5:$F$357,SMALL('ערכים טכנולוגיים'!$P$5:$P$357,106)),"")</f>
        <v/>
      </c>
      <c r="G118">
        <f>IFERROR(INDEX('ערכים טכנולוגיים'!$G$5:$G$357,SMALL('ערכים טכנולוגיים'!$P$5:$P$357,106)),"")</f>
        <v/>
      </c>
      <c r="H118">
        <f>IFERROR(INDEX('ערכים טכנולוגיים'!$H$5:$H$357,SMALL('ערכים טכנולוגיים'!$P$5:$P$357,106)),"")</f>
        <v/>
      </c>
      <c r="I118">
        <f>IFERROR(INDEX('ערכים טכנולוגיים'!$I$5:$I$357,SMALL('ערכים טכנולוגיים'!$P$5:$P$357,106)),"")</f>
        <v/>
      </c>
      <c r="J118">
        <f>IFERROR(INDEX('ערכים טכנולוגיים'!$J$5:$J$357,SMALL('ערכים טכנולוגיים'!$P$5:$P$357,106)),"")</f>
        <v/>
      </c>
      <c r="K118">
        <f>IFERROR(INDEX('ערכים טכנולוגיים'!$K$5:$K$357,SMALL('ערכים טכנולוגיים'!$P$5:$P$357,106)),"")</f>
        <v/>
      </c>
      <c r="L118">
        <f>IFERROR(INDEX('ערכים טכנולוגיים'!$L$5:$L$357,SMALL('ערכים טכנולוגיים'!$P$5:$P$357,106)),"")</f>
        <v/>
      </c>
      <c r="M118">
        <f>IFERROR(INDEX('ערכים טכנולוגיים'!$M$5:$M$357,SMALL('ערכים טכנולוגיים'!$P$5:$P$357,106)),"")</f>
        <v/>
      </c>
      <c r="N118">
        <f>IFERROR(INDEX('ערכים טכנולוגיים'!$N$5:$N$357,SMALL('ערכים טכנולוגיים'!$P$5:$P$357,106)),"")</f>
        <v/>
      </c>
      <c r="O118">
        <f>IFERROR(INDEX('ערכים טכנולוגיים'!$O$5:$O$357,SMALL('ערכים טכנולוגיים'!$P$5:$P$357,106)),"")</f>
        <v/>
      </c>
    </row>
    <row r="119">
      <c r="A119">
        <f>IFERROR(INDEX('ערכים טכנולוגיים'!$A$5:$A$357,SMALL('ערכים טכנולוגיים'!$P$5:$P$357,107)),"")</f>
        <v/>
      </c>
      <c r="B119">
        <f>IFERROR(INDEX('ערכים טכנולוגיים'!$B$5:$B$357,SMALL('ערכים טכנולוגיים'!$P$5:$P$357,107)),"")</f>
        <v/>
      </c>
      <c r="C119">
        <f>IFERROR(INDEX('ערכים טכנולוגיים'!$C$5:$C$357,SMALL('ערכים טכנולוגיים'!$P$5:$P$357,107)),"")</f>
        <v/>
      </c>
      <c r="D119">
        <f>IFERROR(INDEX('ערכים טכנולוגיים'!$D$5:$D$357,SMALL('ערכים טכנולוגיים'!$P$5:$P$357,107)),"")</f>
        <v/>
      </c>
      <c r="E119">
        <f>IFERROR(INDEX('ערכים טכנולוגיים'!$E$5:$E$357,SMALL('ערכים טכנולוגיים'!$P$5:$P$357,107)),"")</f>
        <v/>
      </c>
      <c r="F119">
        <f>IFERROR(INDEX('ערכים טכנולוגיים'!$F$5:$F$357,SMALL('ערכים טכנולוגיים'!$P$5:$P$357,107)),"")</f>
        <v/>
      </c>
      <c r="G119">
        <f>IFERROR(INDEX('ערכים טכנולוגיים'!$G$5:$G$357,SMALL('ערכים טכנולוגיים'!$P$5:$P$357,107)),"")</f>
        <v/>
      </c>
      <c r="H119">
        <f>IFERROR(INDEX('ערכים טכנולוגיים'!$H$5:$H$357,SMALL('ערכים טכנולוגיים'!$P$5:$P$357,107)),"")</f>
        <v/>
      </c>
      <c r="I119">
        <f>IFERROR(INDEX('ערכים טכנולוגיים'!$I$5:$I$357,SMALL('ערכים טכנולוגיים'!$P$5:$P$357,107)),"")</f>
        <v/>
      </c>
      <c r="J119">
        <f>IFERROR(INDEX('ערכים טכנולוגיים'!$J$5:$J$357,SMALL('ערכים טכנולוגיים'!$P$5:$P$357,107)),"")</f>
        <v/>
      </c>
      <c r="K119">
        <f>IFERROR(INDEX('ערכים טכנולוגיים'!$K$5:$K$357,SMALL('ערכים טכנולוגיים'!$P$5:$P$357,107)),"")</f>
        <v/>
      </c>
      <c r="L119">
        <f>IFERROR(INDEX('ערכים טכנולוגיים'!$L$5:$L$357,SMALL('ערכים טכנולוגיים'!$P$5:$P$357,107)),"")</f>
        <v/>
      </c>
      <c r="M119">
        <f>IFERROR(INDEX('ערכים טכנולוגיים'!$M$5:$M$357,SMALL('ערכים טכנולוגיים'!$P$5:$P$357,107)),"")</f>
        <v/>
      </c>
      <c r="N119">
        <f>IFERROR(INDEX('ערכים טכנולוגיים'!$N$5:$N$357,SMALL('ערכים טכנולוגיים'!$P$5:$P$357,107)),"")</f>
        <v/>
      </c>
      <c r="O119">
        <f>IFERROR(INDEX('ערכים טכנולוגיים'!$O$5:$O$357,SMALL('ערכים טכנולוגיים'!$P$5:$P$357,107)),"")</f>
        <v/>
      </c>
    </row>
    <row r="120">
      <c r="A120">
        <f>IFERROR(INDEX('ערכים טכנולוגיים'!$A$5:$A$357,SMALL('ערכים טכנולוגיים'!$P$5:$P$357,108)),"")</f>
        <v/>
      </c>
      <c r="B120">
        <f>IFERROR(INDEX('ערכים טכנולוגיים'!$B$5:$B$357,SMALL('ערכים טכנולוגיים'!$P$5:$P$357,108)),"")</f>
        <v/>
      </c>
      <c r="C120">
        <f>IFERROR(INDEX('ערכים טכנולוגיים'!$C$5:$C$357,SMALL('ערכים טכנולוגיים'!$P$5:$P$357,108)),"")</f>
        <v/>
      </c>
      <c r="D120">
        <f>IFERROR(INDEX('ערכים טכנולוגיים'!$D$5:$D$357,SMALL('ערכים טכנולוגיים'!$P$5:$P$357,108)),"")</f>
        <v/>
      </c>
      <c r="E120">
        <f>IFERROR(INDEX('ערכים טכנולוגיים'!$E$5:$E$357,SMALL('ערכים טכנולוגיים'!$P$5:$P$357,108)),"")</f>
        <v/>
      </c>
      <c r="F120">
        <f>IFERROR(INDEX('ערכים טכנולוגיים'!$F$5:$F$357,SMALL('ערכים טכנולוגיים'!$P$5:$P$357,108)),"")</f>
        <v/>
      </c>
      <c r="G120">
        <f>IFERROR(INDEX('ערכים טכנולוגיים'!$G$5:$G$357,SMALL('ערכים טכנולוגיים'!$P$5:$P$357,108)),"")</f>
        <v/>
      </c>
      <c r="H120">
        <f>IFERROR(INDEX('ערכים טכנולוגיים'!$H$5:$H$357,SMALL('ערכים טכנולוגיים'!$P$5:$P$357,108)),"")</f>
        <v/>
      </c>
      <c r="I120">
        <f>IFERROR(INDEX('ערכים טכנולוגיים'!$I$5:$I$357,SMALL('ערכים טכנולוגיים'!$P$5:$P$357,108)),"")</f>
        <v/>
      </c>
      <c r="J120">
        <f>IFERROR(INDEX('ערכים טכנולוגיים'!$J$5:$J$357,SMALL('ערכים טכנולוגיים'!$P$5:$P$357,108)),"")</f>
        <v/>
      </c>
      <c r="K120">
        <f>IFERROR(INDEX('ערכים טכנולוגיים'!$K$5:$K$357,SMALL('ערכים טכנולוגיים'!$P$5:$P$357,108)),"")</f>
        <v/>
      </c>
      <c r="L120">
        <f>IFERROR(INDEX('ערכים טכנולוגיים'!$L$5:$L$357,SMALL('ערכים טכנולוגיים'!$P$5:$P$357,108)),"")</f>
        <v/>
      </c>
      <c r="M120">
        <f>IFERROR(INDEX('ערכים טכנולוגיים'!$M$5:$M$357,SMALL('ערכים טכנולוגיים'!$P$5:$P$357,108)),"")</f>
        <v/>
      </c>
      <c r="N120">
        <f>IFERROR(INDEX('ערכים טכנולוגיים'!$N$5:$N$357,SMALL('ערכים טכנולוגיים'!$P$5:$P$357,108)),"")</f>
        <v/>
      </c>
      <c r="O120">
        <f>IFERROR(INDEX('ערכים טכנולוגיים'!$O$5:$O$357,SMALL('ערכים טכנולוגיים'!$P$5:$P$357,108)),"")</f>
        <v/>
      </c>
    </row>
    <row r="121">
      <c r="A121">
        <f>IFERROR(INDEX('ערכים טכנולוגיים'!$A$5:$A$357,SMALL('ערכים טכנולוגיים'!$P$5:$P$357,109)),"")</f>
        <v/>
      </c>
      <c r="B121">
        <f>IFERROR(INDEX('ערכים טכנולוגיים'!$B$5:$B$357,SMALL('ערכים טכנולוגיים'!$P$5:$P$357,109)),"")</f>
        <v/>
      </c>
      <c r="C121">
        <f>IFERROR(INDEX('ערכים טכנולוגיים'!$C$5:$C$357,SMALL('ערכים טכנולוגיים'!$P$5:$P$357,109)),"")</f>
        <v/>
      </c>
      <c r="D121">
        <f>IFERROR(INDEX('ערכים טכנולוגיים'!$D$5:$D$357,SMALL('ערכים טכנולוגיים'!$P$5:$P$357,109)),"")</f>
        <v/>
      </c>
      <c r="E121">
        <f>IFERROR(INDEX('ערכים טכנולוגיים'!$E$5:$E$357,SMALL('ערכים טכנולוגיים'!$P$5:$P$357,109)),"")</f>
        <v/>
      </c>
      <c r="F121">
        <f>IFERROR(INDEX('ערכים טכנולוגיים'!$F$5:$F$357,SMALL('ערכים טכנולוגיים'!$P$5:$P$357,109)),"")</f>
        <v/>
      </c>
      <c r="G121">
        <f>IFERROR(INDEX('ערכים טכנולוגיים'!$G$5:$G$357,SMALL('ערכים טכנולוגיים'!$P$5:$P$357,109)),"")</f>
        <v/>
      </c>
      <c r="H121">
        <f>IFERROR(INDEX('ערכים טכנולוגיים'!$H$5:$H$357,SMALL('ערכים טכנולוגיים'!$P$5:$P$357,109)),"")</f>
        <v/>
      </c>
      <c r="I121">
        <f>IFERROR(INDEX('ערכים טכנולוגיים'!$I$5:$I$357,SMALL('ערכים טכנולוגיים'!$P$5:$P$357,109)),"")</f>
        <v/>
      </c>
      <c r="J121">
        <f>IFERROR(INDEX('ערכים טכנולוגיים'!$J$5:$J$357,SMALL('ערכים טכנולוגיים'!$P$5:$P$357,109)),"")</f>
        <v/>
      </c>
      <c r="K121">
        <f>IFERROR(INDEX('ערכים טכנולוגיים'!$K$5:$K$357,SMALL('ערכים טכנולוגיים'!$P$5:$P$357,109)),"")</f>
        <v/>
      </c>
      <c r="L121">
        <f>IFERROR(INDEX('ערכים טכנולוגיים'!$L$5:$L$357,SMALL('ערכים טכנולוגיים'!$P$5:$P$357,109)),"")</f>
        <v/>
      </c>
      <c r="M121">
        <f>IFERROR(INDEX('ערכים טכנולוגיים'!$M$5:$M$357,SMALL('ערכים טכנולוגיים'!$P$5:$P$357,109)),"")</f>
        <v/>
      </c>
      <c r="N121">
        <f>IFERROR(INDEX('ערכים טכנולוגיים'!$N$5:$N$357,SMALL('ערכים טכנולוגיים'!$P$5:$P$357,109)),"")</f>
        <v/>
      </c>
      <c r="O121">
        <f>IFERROR(INDEX('ערכים טכנולוגיים'!$O$5:$O$357,SMALL('ערכים טכנולוגיים'!$P$5:$P$357,109)),"")</f>
        <v/>
      </c>
    </row>
    <row r="122">
      <c r="A122">
        <f>IFERROR(INDEX('ערכים טכנולוגיים'!$A$5:$A$357,SMALL('ערכים טכנולוגיים'!$P$5:$P$357,110)),"")</f>
        <v/>
      </c>
      <c r="B122">
        <f>IFERROR(INDEX('ערכים טכנולוגיים'!$B$5:$B$357,SMALL('ערכים טכנולוגיים'!$P$5:$P$357,110)),"")</f>
        <v/>
      </c>
      <c r="C122">
        <f>IFERROR(INDEX('ערכים טכנולוגיים'!$C$5:$C$357,SMALL('ערכים טכנולוגיים'!$P$5:$P$357,110)),"")</f>
        <v/>
      </c>
      <c r="D122">
        <f>IFERROR(INDEX('ערכים טכנולוגיים'!$D$5:$D$357,SMALL('ערכים טכנולוגיים'!$P$5:$P$357,110)),"")</f>
        <v/>
      </c>
      <c r="E122">
        <f>IFERROR(INDEX('ערכים טכנולוגיים'!$E$5:$E$357,SMALL('ערכים טכנולוגיים'!$P$5:$P$357,110)),"")</f>
        <v/>
      </c>
      <c r="F122">
        <f>IFERROR(INDEX('ערכים טכנולוגיים'!$F$5:$F$357,SMALL('ערכים טכנולוגיים'!$P$5:$P$357,110)),"")</f>
        <v/>
      </c>
      <c r="G122">
        <f>IFERROR(INDEX('ערכים טכנולוגיים'!$G$5:$G$357,SMALL('ערכים טכנולוגיים'!$P$5:$P$357,110)),"")</f>
        <v/>
      </c>
      <c r="H122">
        <f>IFERROR(INDEX('ערכים טכנולוגיים'!$H$5:$H$357,SMALL('ערכים טכנולוגיים'!$P$5:$P$357,110)),"")</f>
        <v/>
      </c>
      <c r="I122">
        <f>IFERROR(INDEX('ערכים טכנולוגיים'!$I$5:$I$357,SMALL('ערכים טכנולוגיים'!$P$5:$P$357,110)),"")</f>
        <v/>
      </c>
      <c r="J122">
        <f>IFERROR(INDEX('ערכים טכנולוגיים'!$J$5:$J$357,SMALL('ערכים טכנולוגיים'!$P$5:$P$357,110)),"")</f>
        <v/>
      </c>
      <c r="K122">
        <f>IFERROR(INDEX('ערכים טכנולוגיים'!$K$5:$K$357,SMALL('ערכים טכנולוגיים'!$P$5:$P$357,110)),"")</f>
        <v/>
      </c>
      <c r="L122">
        <f>IFERROR(INDEX('ערכים טכנולוגיים'!$L$5:$L$357,SMALL('ערכים טכנולוגיים'!$P$5:$P$357,110)),"")</f>
        <v/>
      </c>
      <c r="M122">
        <f>IFERROR(INDEX('ערכים טכנולוגיים'!$M$5:$M$357,SMALL('ערכים טכנולוגיים'!$P$5:$P$357,110)),"")</f>
        <v/>
      </c>
      <c r="N122">
        <f>IFERROR(INDEX('ערכים טכנולוגיים'!$N$5:$N$357,SMALL('ערכים טכנולוגיים'!$P$5:$P$357,110)),"")</f>
        <v/>
      </c>
      <c r="O122">
        <f>IFERROR(INDEX('ערכים טכנולוגיים'!$O$5:$O$357,SMALL('ערכים טכנולוגיים'!$P$5:$P$357,110)),"")</f>
        <v/>
      </c>
    </row>
    <row r="123">
      <c r="A123">
        <f>IFERROR(INDEX('ערכים טכנולוגיים'!$A$5:$A$357,SMALL('ערכים טכנולוגיים'!$P$5:$P$357,111)),"")</f>
        <v/>
      </c>
      <c r="B123">
        <f>IFERROR(INDEX('ערכים טכנולוגיים'!$B$5:$B$357,SMALL('ערכים טכנולוגיים'!$P$5:$P$357,111)),"")</f>
        <v/>
      </c>
      <c r="C123">
        <f>IFERROR(INDEX('ערכים טכנולוגיים'!$C$5:$C$357,SMALL('ערכים טכנולוגיים'!$P$5:$P$357,111)),"")</f>
        <v/>
      </c>
      <c r="D123">
        <f>IFERROR(INDEX('ערכים טכנולוגיים'!$D$5:$D$357,SMALL('ערכים טכנולוגיים'!$P$5:$P$357,111)),"")</f>
        <v/>
      </c>
      <c r="E123">
        <f>IFERROR(INDEX('ערכים טכנולוגיים'!$E$5:$E$357,SMALL('ערכים טכנולוגיים'!$P$5:$P$357,111)),"")</f>
        <v/>
      </c>
      <c r="F123">
        <f>IFERROR(INDEX('ערכים טכנולוגיים'!$F$5:$F$357,SMALL('ערכים טכנולוגיים'!$P$5:$P$357,111)),"")</f>
        <v/>
      </c>
      <c r="G123">
        <f>IFERROR(INDEX('ערכים טכנולוגיים'!$G$5:$G$357,SMALL('ערכים טכנולוגיים'!$P$5:$P$357,111)),"")</f>
        <v/>
      </c>
      <c r="H123">
        <f>IFERROR(INDEX('ערכים טכנולוגיים'!$H$5:$H$357,SMALL('ערכים טכנולוגיים'!$P$5:$P$357,111)),"")</f>
        <v/>
      </c>
      <c r="I123">
        <f>IFERROR(INDEX('ערכים טכנולוגיים'!$I$5:$I$357,SMALL('ערכים טכנולוגיים'!$P$5:$P$357,111)),"")</f>
        <v/>
      </c>
      <c r="J123">
        <f>IFERROR(INDEX('ערכים טכנולוגיים'!$J$5:$J$357,SMALL('ערכים טכנולוגיים'!$P$5:$P$357,111)),"")</f>
        <v/>
      </c>
      <c r="K123">
        <f>IFERROR(INDEX('ערכים טכנולוגיים'!$K$5:$K$357,SMALL('ערכים טכנולוגיים'!$P$5:$P$357,111)),"")</f>
        <v/>
      </c>
      <c r="L123">
        <f>IFERROR(INDEX('ערכים טכנולוגיים'!$L$5:$L$357,SMALL('ערכים טכנולוגיים'!$P$5:$P$357,111)),"")</f>
        <v/>
      </c>
      <c r="M123">
        <f>IFERROR(INDEX('ערכים טכנולוגיים'!$M$5:$M$357,SMALL('ערכים טכנולוגיים'!$P$5:$P$357,111)),"")</f>
        <v/>
      </c>
      <c r="N123">
        <f>IFERROR(INDEX('ערכים טכנולוגיים'!$N$5:$N$357,SMALL('ערכים טכנולוגיים'!$P$5:$P$357,111)),"")</f>
        <v/>
      </c>
      <c r="O123">
        <f>IFERROR(INDEX('ערכים טכנולוגיים'!$O$5:$O$357,SMALL('ערכים טכנולוגיים'!$P$5:$P$357,111)),"")</f>
        <v/>
      </c>
    </row>
    <row r="124">
      <c r="A124">
        <f>IFERROR(INDEX('ערכים טכנולוגיים'!$A$5:$A$357,SMALL('ערכים טכנולוגיים'!$P$5:$P$357,112)),"")</f>
        <v/>
      </c>
      <c r="B124">
        <f>IFERROR(INDEX('ערכים טכנולוגיים'!$B$5:$B$357,SMALL('ערכים טכנולוגיים'!$P$5:$P$357,112)),"")</f>
        <v/>
      </c>
      <c r="C124">
        <f>IFERROR(INDEX('ערכים טכנולוגיים'!$C$5:$C$357,SMALL('ערכים טכנולוגיים'!$P$5:$P$357,112)),"")</f>
        <v/>
      </c>
      <c r="D124">
        <f>IFERROR(INDEX('ערכים טכנולוגיים'!$D$5:$D$357,SMALL('ערכים טכנולוגיים'!$P$5:$P$357,112)),"")</f>
        <v/>
      </c>
      <c r="E124">
        <f>IFERROR(INDEX('ערכים טכנולוגיים'!$E$5:$E$357,SMALL('ערכים טכנולוגיים'!$P$5:$P$357,112)),"")</f>
        <v/>
      </c>
      <c r="F124">
        <f>IFERROR(INDEX('ערכים טכנולוגיים'!$F$5:$F$357,SMALL('ערכים טכנולוגיים'!$P$5:$P$357,112)),"")</f>
        <v/>
      </c>
      <c r="G124">
        <f>IFERROR(INDEX('ערכים טכנולוגיים'!$G$5:$G$357,SMALL('ערכים טכנולוגיים'!$P$5:$P$357,112)),"")</f>
        <v/>
      </c>
      <c r="H124">
        <f>IFERROR(INDEX('ערכים טכנולוגיים'!$H$5:$H$357,SMALL('ערכים טכנולוגיים'!$P$5:$P$357,112)),"")</f>
        <v/>
      </c>
      <c r="I124">
        <f>IFERROR(INDEX('ערכים טכנולוגיים'!$I$5:$I$357,SMALL('ערכים טכנולוגיים'!$P$5:$P$357,112)),"")</f>
        <v/>
      </c>
      <c r="J124">
        <f>IFERROR(INDEX('ערכים טכנולוגיים'!$J$5:$J$357,SMALL('ערכים טכנולוגיים'!$P$5:$P$357,112)),"")</f>
        <v/>
      </c>
      <c r="K124">
        <f>IFERROR(INDEX('ערכים טכנולוגיים'!$K$5:$K$357,SMALL('ערכים טכנולוגיים'!$P$5:$P$357,112)),"")</f>
        <v/>
      </c>
      <c r="L124">
        <f>IFERROR(INDEX('ערכים טכנולוגיים'!$L$5:$L$357,SMALL('ערכים טכנולוגיים'!$P$5:$P$357,112)),"")</f>
        <v/>
      </c>
      <c r="M124">
        <f>IFERROR(INDEX('ערכים טכנולוגיים'!$M$5:$M$357,SMALL('ערכים טכנולוגיים'!$P$5:$P$357,112)),"")</f>
        <v/>
      </c>
      <c r="N124">
        <f>IFERROR(INDEX('ערכים טכנולוגיים'!$N$5:$N$357,SMALL('ערכים טכנולוגיים'!$P$5:$P$357,112)),"")</f>
        <v/>
      </c>
      <c r="O124">
        <f>IFERROR(INDEX('ערכים טכנולוגיים'!$O$5:$O$357,SMALL('ערכים טכנולוגיים'!$P$5:$P$357,112)),"")</f>
        <v/>
      </c>
    </row>
    <row r="125">
      <c r="A125">
        <f>IFERROR(INDEX('ערכים טכנולוגיים'!$A$5:$A$357,SMALL('ערכים טכנולוגיים'!$P$5:$P$357,113)),"")</f>
        <v/>
      </c>
      <c r="B125">
        <f>IFERROR(INDEX('ערכים טכנולוגיים'!$B$5:$B$357,SMALL('ערכים טכנולוגיים'!$P$5:$P$357,113)),"")</f>
        <v/>
      </c>
      <c r="C125">
        <f>IFERROR(INDEX('ערכים טכנולוגיים'!$C$5:$C$357,SMALL('ערכים טכנולוגיים'!$P$5:$P$357,113)),"")</f>
        <v/>
      </c>
      <c r="D125">
        <f>IFERROR(INDEX('ערכים טכנולוגיים'!$D$5:$D$357,SMALL('ערכים טכנולוגיים'!$P$5:$P$357,113)),"")</f>
        <v/>
      </c>
      <c r="E125">
        <f>IFERROR(INDEX('ערכים טכנולוגיים'!$E$5:$E$357,SMALL('ערכים טכנולוגיים'!$P$5:$P$357,113)),"")</f>
        <v/>
      </c>
      <c r="F125">
        <f>IFERROR(INDEX('ערכים טכנולוגיים'!$F$5:$F$357,SMALL('ערכים טכנולוגיים'!$P$5:$P$357,113)),"")</f>
        <v/>
      </c>
      <c r="G125">
        <f>IFERROR(INDEX('ערכים טכנולוגיים'!$G$5:$G$357,SMALL('ערכים טכנולוגיים'!$P$5:$P$357,113)),"")</f>
        <v/>
      </c>
      <c r="H125">
        <f>IFERROR(INDEX('ערכים טכנולוגיים'!$H$5:$H$357,SMALL('ערכים טכנולוגיים'!$P$5:$P$357,113)),"")</f>
        <v/>
      </c>
      <c r="I125">
        <f>IFERROR(INDEX('ערכים טכנולוגיים'!$I$5:$I$357,SMALL('ערכים טכנולוגיים'!$P$5:$P$357,113)),"")</f>
        <v/>
      </c>
      <c r="J125">
        <f>IFERROR(INDEX('ערכים טכנולוגיים'!$J$5:$J$357,SMALL('ערכים טכנולוגיים'!$P$5:$P$357,113)),"")</f>
        <v/>
      </c>
      <c r="K125">
        <f>IFERROR(INDEX('ערכים טכנולוגיים'!$K$5:$K$357,SMALL('ערכים טכנולוגיים'!$P$5:$P$357,113)),"")</f>
        <v/>
      </c>
      <c r="L125">
        <f>IFERROR(INDEX('ערכים טכנולוגיים'!$L$5:$L$357,SMALL('ערכים טכנולוגיים'!$P$5:$P$357,113)),"")</f>
        <v/>
      </c>
      <c r="M125">
        <f>IFERROR(INDEX('ערכים טכנולוגיים'!$M$5:$M$357,SMALL('ערכים טכנולוגיים'!$P$5:$P$357,113)),"")</f>
        <v/>
      </c>
      <c r="N125">
        <f>IFERROR(INDEX('ערכים טכנולוגיים'!$N$5:$N$357,SMALL('ערכים טכנולוגיים'!$P$5:$P$357,113)),"")</f>
        <v/>
      </c>
      <c r="O125">
        <f>IFERROR(INDEX('ערכים טכנולוגיים'!$O$5:$O$357,SMALL('ערכים טכנולוגיים'!$P$5:$P$357,113)),"")</f>
        <v/>
      </c>
    </row>
    <row r="126">
      <c r="A126">
        <f>IFERROR(INDEX('ערכים טכנולוגיים'!$A$5:$A$357,SMALL('ערכים טכנולוגיים'!$P$5:$P$357,114)),"")</f>
        <v/>
      </c>
      <c r="B126">
        <f>IFERROR(INDEX('ערכים טכנולוגיים'!$B$5:$B$357,SMALL('ערכים טכנולוגיים'!$P$5:$P$357,114)),"")</f>
        <v/>
      </c>
      <c r="C126">
        <f>IFERROR(INDEX('ערכים טכנולוגיים'!$C$5:$C$357,SMALL('ערכים טכנולוגיים'!$P$5:$P$357,114)),"")</f>
        <v/>
      </c>
      <c r="D126">
        <f>IFERROR(INDEX('ערכים טכנולוגיים'!$D$5:$D$357,SMALL('ערכים טכנולוגיים'!$P$5:$P$357,114)),"")</f>
        <v/>
      </c>
      <c r="E126">
        <f>IFERROR(INDEX('ערכים טכנולוגיים'!$E$5:$E$357,SMALL('ערכים טכנולוגיים'!$P$5:$P$357,114)),"")</f>
        <v/>
      </c>
      <c r="F126">
        <f>IFERROR(INDEX('ערכים טכנולוגיים'!$F$5:$F$357,SMALL('ערכים טכנולוגיים'!$P$5:$P$357,114)),"")</f>
        <v/>
      </c>
      <c r="G126">
        <f>IFERROR(INDEX('ערכים טכנולוגיים'!$G$5:$G$357,SMALL('ערכים טכנולוגיים'!$P$5:$P$357,114)),"")</f>
        <v/>
      </c>
      <c r="H126">
        <f>IFERROR(INDEX('ערכים טכנולוגיים'!$H$5:$H$357,SMALL('ערכים טכנולוגיים'!$P$5:$P$357,114)),"")</f>
        <v/>
      </c>
      <c r="I126">
        <f>IFERROR(INDEX('ערכים טכנולוגיים'!$I$5:$I$357,SMALL('ערכים טכנולוגיים'!$P$5:$P$357,114)),"")</f>
        <v/>
      </c>
      <c r="J126">
        <f>IFERROR(INDEX('ערכים טכנולוגיים'!$J$5:$J$357,SMALL('ערכים טכנולוגיים'!$P$5:$P$357,114)),"")</f>
        <v/>
      </c>
      <c r="K126">
        <f>IFERROR(INDEX('ערכים טכנולוגיים'!$K$5:$K$357,SMALL('ערכים טכנולוגיים'!$P$5:$P$357,114)),"")</f>
        <v/>
      </c>
      <c r="L126">
        <f>IFERROR(INDEX('ערכים טכנולוגיים'!$L$5:$L$357,SMALL('ערכים טכנולוגיים'!$P$5:$P$357,114)),"")</f>
        <v/>
      </c>
      <c r="M126">
        <f>IFERROR(INDEX('ערכים טכנולוגיים'!$M$5:$M$357,SMALL('ערכים טכנולוגיים'!$P$5:$P$357,114)),"")</f>
        <v/>
      </c>
      <c r="N126">
        <f>IFERROR(INDEX('ערכים טכנולוגיים'!$N$5:$N$357,SMALL('ערכים טכנולוגיים'!$P$5:$P$357,114)),"")</f>
        <v/>
      </c>
      <c r="O126">
        <f>IFERROR(INDEX('ערכים טכנולוגיים'!$O$5:$O$357,SMALL('ערכים טכנולוגיים'!$P$5:$P$357,114)),"")</f>
        <v/>
      </c>
    </row>
    <row r="127">
      <c r="A127">
        <f>IFERROR(INDEX('ערכים טכנולוגיים'!$A$5:$A$357,SMALL('ערכים טכנולוגיים'!$P$5:$P$357,115)),"")</f>
        <v/>
      </c>
      <c r="B127">
        <f>IFERROR(INDEX('ערכים טכנולוגיים'!$B$5:$B$357,SMALL('ערכים טכנולוגיים'!$P$5:$P$357,115)),"")</f>
        <v/>
      </c>
      <c r="C127">
        <f>IFERROR(INDEX('ערכים טכנולוגיים'!$C$5:$C$357,SMALL('ערכים טכנולוגיים'!$P$5:$P$357,115)),"")</f>
        <v/>
      </c>
      <c r="D127">
        <f>IFERROR(INDEX('ערכים טכנולוגיים'!$D$5:$D$357,SMALL('ערכים טכנולוגיים'!$P$5:$P$357,115)),"")</f>
        <v/>
      </c>
      <c r="E127">
        <f>IFERROR(INDEX('ערכים טכנולוגיים'!$E$5:$E$357,SMALL('ערכים טכנולוגיים'!$P$5:$P$357,115)),"")</f>
        <v/>
      </c>
      <c r="F127">
        <f>IFERROR(INDEX('ערכים טכנולוגיים'!$F$5:$F$357,SMALL('ערכים טכנולוגיים'!$P$5:$P$357,115)),"")</f>
        <v/>
      </c>
      <c r="G127">
        <f>IFERROR(INDEX('ערכים טכנולוגיים'!$G$5:$G$357,SMALL('ערכים טכנולוגיים'!$P$5:$P$357,115)),"")</f>
        <v/>
      </c>
      <c r="H127">
        <f>IFERROR(INDEX('ערכים טכנולוגיים'!$H$5:$H$357,SMALL('ערכים טכנולוגיים'!$P$5:$P$357,115)),"")</f>
        <v/>
      </c>
      <c r="I127">
        <f>IFERROR(INDEX('ערכים טכנולוגיים'!$I$5:$I$357,SMALL('ערכים טכנולוגיים'!$P$5:$P$357,115)),"")</f>
        <v/>
      </c>
      <c r="J127">
        <f>IFERROR(INDEX('ערכים טכנולוגיים'!$J$5:$J$357,SMALL('ערכים טכנולוגיים'!$P$5:$P$357,115)),"")</f>
        <v/>
      </c>
      <c r="K127">
        <f>IFERROR(INDEX('ערכים טכנולוגיים'!$K$5:$K$357,SMALL('ערכים טכנולוגיים'!$P$5:$P$357,115)),"")</f>
        <v/>
      </c>
      <c r="L127">
        <f>IFERROR(INDEX('ערכים טכנולוגיים'!$L$5:$L$357,SMALL('ערכים טכנולוגיים'!$P$5:$P$357,115)),"")</f>
        <v/>
      </c>
      <c r="M127">
        <f>IFERROR(INDEX('ערכים טכנולוגיים'!$M$5:$M$357,SMALL('ערכים טכנולוגיים'!$P$5:$P$357,115)),"")</f>
        <v/>
      </c>
      <c r="N127">
        <f>IFERROR(INDEX('ערכים טכנולוגיים'!$N$5:$N$357,SMALL('ערכים טכנולוגיים'!$P$5:$P$357,115)),"")</f>
        <v/>
      </c>
      <c r="O127">
        <f>IFERROR(INDEX('ערכים טכנולוגיים'!$O$5:$O$357,SMALL('ערכים טכנולוגיים'!$P$5:$P$357,115)),"")</f>
        <v/>
      </c>
    </row>
    <row r="128">
      <c r="A128">
        <f>IFERROR(INDEX('ערכים טכנולוגיים'!$A$5:$A$357,SMALL('ערכים טכנולוגיים'!$P$5:$P$357,116)),"")</f>
        <v/>
      </c>
      <c r="B128">
        <f>IFERROR(INDEX('ערכים טכנולוגיים'!$B$5:$B$357,SMALL('ערכים טכנולוגיים'!$P$5:$P$357,116)),"")</f>
        <v/>
      </c>
      <c r="C128">
        <f>IFERROR(INDEX('ערכים טכנולוגיים'!$C$5:$C$357,SMALL('ערכים טכנולוגיים'!$P$5:$P$357,116)),"")</f>
        <v/>
      </c>
      <c r="D128">
        <f>IFERROR(INDEX('ערכים טכנולוגיים'!$D$5:$D$357,SMALL('ערכים טכנולוגיים'!$P$5:$P$357,116)),"")</f>
        <v/>
      </c>
      <c r="E128">
        <f>IFERROR(INDEX('ערכים טכנולוגיים'!$E$5:$E$357,SMALL('ערכים טכנולוגיים'!$P$5:$P$357,116)),"")</f>
        <v/>
      </c>
      <c r="F128">
        <f>IFERROR(INDEX('ערכים טכנולוגיים'!$F$5:$F$357,SMALL('ערכים טכנולוגיים'!$P$5:$P$357,116)),"")</f>
        <v/>
      </c>
      <c r="G128">
        <f>IFERROR(INDEX('ערכים טכנולוגיים'!$G$5:$G$357,SMALL('ערכים טכנולוגיים'!$P$5:$P$357,116)),"")</f>
        <v/>
      </c>
      <c r="H128">
        <f>IFERROR(INDEX('ערכים טכנולוגיים'!$H$5:$H$357,SMALL('ערכים טכנולוגיים'!$P$5:$P$357,116)),"")</f>
        <v/>
      </c>
      <c r="I128">
        <f>IFERROR(INDEX('ערכים טכנולוגיים'!$I$5:$I$357,SMALL('ערכים טכנולוגיים'!$P$5:$P$357,116)),"")</f>
        <v/>
      </c>
      <c r="J128">
        <f>IFERROR(INDEX('ערכים טכנולוגיים'!$J$5:$J$357,SMALL('ערכים טכנולוגיים'!$P$5:$P$357,116)),"")</f>
        <v/>
      </c>
      <c r="K128">
        <f>IFERROR(INDEX('ערכים טכנולוגיים'!$K$5:$K$357,SMALL('ערכים טכנולוגיים'!$P$5:$P$357,116)),"")</f>
        <v/>
      </c>
      <c r="L128">
        <f>IFERROR(INDEX('ערכים טכנולוגיים'!$L$5:$L$357,SMALL('ערכים טכנולוגיים'!$P$5:$P$357,116)),"")</f>
        <v/>
      </c>
      <c r="M128">
        <f>IFERROR(INDEX('ערכים טכנולוגיים'!$M$5:$M$357,SMALL('ערכים טכנולוגיים'!$P$5:$P$357,116)),"")</f>
        <v/>
      </c>
      <c r="N128">
        <f>IFERROR(INDEX('ערכים טכנולוגיים'!$N$5:$N$357,SMALL('ערכים טכנולוגיים'!$P$5:$P$357,116)),"")</f>
        <v/>
      </c>
      <c r="O128">
        <f>IFERROR(INDEX('ערכים טכנולוגיים'!$O$5:$O$357,SMALL('ערכים טכנולוגיים'!$P$5:$P$357,116)),"")</f>
        <v/>
      </c>
    </row>
    <row r="129">
      <c r="A129">
        <f>IFERROR(INDEX('ערכים טכנולוגיים'!$A$5:$A$357,SMALL('ערכים טכנולוגיים'!$P$5:$P$357,117)),"")</f>
        <v/>
      </c>
      <c r="B129">
        <f>IFERROR(INDEX('ערכים טכנולוגיים'!$B$5:$B$357,SMALL('ערכים טכנולוגיים'!$P$5:$P$357,117)),"")</f>
        <v/>
      </c>
      <c r="C129">
        <f>IFERROR(INDEX('ערכים טכנולוגיים'!$C$5:$C$357,SMALL('ערכים טכנולוגיים'!$P$5:$P$357,117)),"")</f>
        <v/>
      </c>
      <c r="D129">
        <f>IFERROR(INDEX('ערכים טכנולוגיים'!$D$5:$D$357,SMALL('ערכים טכנולוגיים'!$P$5:$P$357,117)),"")</f>
        <v/>
      </c>
      <c r="E129">
        <f>IFERROR(INDEX('ערכים טכנולוגיים'!$E$5:$E$357,SMALL('ערכים טכנולוגיים'!$P$5:$P$357,117)),"")</f>
        <v/>
      </c>
      <c r="F129">
        <f>IFERROR(INDEX('ערכים טכנולוגיים'!$F$5:$F$357,SMALL('ערכים טכנולוגיים'!$P$5:$P$357,117)),"")</f>
        <v/>
      </c>
      <c r="G129">
        <f>IFERROR(INDEX('ערכים טכנולוגיים'!$G$5:$G$357,SMALL('ערכים טכנולוגיים'!$P$5:$P$357,117)),"")</f>
        <v/>
      </c>
      <c r="H129">
        <f>IFERROR(INDEX('ערכים טכנולוגיים'!$H$5:$H$357,SMALL('ערכים טכנולוגיים'!$P$5:$P$357,117)),"")</f>
        <v/>
      </c>
      <c r="I129">
        <f>IFERROR(INDEX('ערכים טכנולוגיים'!$I$5:$I$357,SMALL('ערכים טכנולוגיים'!$P$5:$P$357,117)),"")</f>
        <v/>
      </c>
      <c r="J129">
        <f>IFERROR(INDEX('ערכים טכנולוגיים'!$J$5:$J$357,SMALL('ערכים טכנולוגיים'!$P$5:$P$357,117)),"")</f>
        <v/>
      </c>
      <c r="K129">
        <f>IFERROR(INDEX('ערכים טכנולוגיים'!$K$5:$K$357,SMALL('ערכים טכנולוגיים'!$P$5:$P$357,117)),"")</f>
        <v/>
      </c>
      <c r="L129">
        <f>IFERROR(INDEX('ערכים טכנולוגיים'!$L$5:$L$357,SMALL('ערכים טכנולוגיים'!$P$5:$P$357,117)),"")</f>
        <v/>
      </c>
      <c r="M129">
        <f>IFERROR(INDEX('ערכים טכנולוגיים'!$M$5:$M$357,SMALL('ערכים טכנולוגיים'!$P$5:$P$357,117)),"")</f>
        <v/>
      </c>
      <c r="N129">
        <f>IFERROR(INDEX('ערכים טכנולוגיים'!$N$5:$N$357,SMALL('ערכים טכנולוגיים'!$P$5:$P$357,117)),"")</f>
        <v/>
      </c>
      <c r="O129">
        <f>IFERROR(INDEX('ערכים טכנולוגיים'!$O$5:$O$357,SMALL('ערכים טכנולוגיים'!$P$5:$P$357,117)),"")</f>
        <v/>
      </c>
    </row>
    <row r="130">
      <c r="A130">
        <f>IFERROR(INDEX('ערכים טכנולוגיים'!$A$5:$A$357,SMALL('ערכים טכנולוגיים'!$P$5:$P$357,118)),"")</f>
        <v/>
      </c>
      <c r="B130">
        <f>IFERROR(INDEX('ערכים טכנולוגיים'!$B$5:$B$357,SMALL('ערכים טכנולוגיים'!$P$5:$P$357,118)),"")</f>
        <v/>
      </c>
      <c r="C130">
        <f>IFERROR(INDEX('ערכים טכנולוגיים'!$C$5:$C$357,SMALL('ערכים טכנולוגיים'!$P$5:$P$357,118)),"")</f>
        <v/>
      </c>
      <c r="D130">
        <f>IFERROR(INDEX('ערכים טכנולוגיים'!$D$5:$D$357,SMALL('ערכים טכנולוגיים'!$P$5:$P$357,118)),"")</f>
        <v/>
      </c>
      <c r="E130">
        <f>IFERROR(INDEX('ערכים טכנולוגיים'!$E$5:$E$357,SMALL('ערכים טכנולוגיים'!$P$5:$P$357,118)),"")</f>
        <v/>
      </c>
      <c r="F130">
        <f>IFERROR(INDEX('ערכים טכנולוגיים'!$F$5:$F$357,SMALL('ערכים טכנולוגיים'!$P$5:$P$357,118)),"")</f>
        <v/>
      </c>
      <c r="G130">
        <f>IFERROR(INDEX('ערכים טכנולוגיים'!$G$5:$G$357,SMALL('ערכים טכנולוגיים'!$P$5:$P$357,118)),"")</f>
        <v/>
      </c>
      <c r="H130">
        <f>IFERROR(INDEX('ערכים טכנולוגיים'!$H$5:$H$357,SMALL('ערכים טכנולוגיים'!$P$5:$P$357,118)),"")</f>
        <v/>
      </c>
      <c r="I130">
        <f>IFERROR(INDEX('ערכים טכנולוגיים'!$I$5:$I$357,SMALL('ערכים טכנולוגיים'!$P$5:$P$357,118)),"")</f>
        <v/>
      </c>
      <c r="J130">
        <f>IFERROR(INDEX('ערכים טכנולוגיים'!$J$5:$J$357,SMALL('ערכים טכנולוגיים'!$P$5:$P$357,118)),"")</f>
        <v/>
      </c>
      <c r="K130">
        <f>IFERROR(INDEX('ערכים טכנולוגיים'!$K$5:$K$357,SMALL('ערכים טכנולוגיים'!$P$5:$P$357,118)),"")</f>
        <v/>
      </c>
      <c r="L130">
        <f>IFERROR(INDEX('ערכים טכנולוגיים'!$L$5:$L$357,SMALL('ערכים טכנולוגיים'!$P$5:$P$357,118)),"")</f>
        <v/>
      </c>
      <c r="M130">
        <f>IFERROR(INDEX('ערכים טכנולוגיים'!$M$5:$M$357,SMALL('ערכים טכנולוגיים'!$P$5:$P$357,118)),"")</f>
        <v/>
      </c>
      <c r="N130">
        <f>IFERROR(INDEX('ערכים טכנולוגיים'!$N$5:$N$357,SMALL('ערכים טכנולוגיים'!$P$5:$P$357,118)),"")</f>
        <v/>
      </c>
      <c r="O130">
        <f>IFERROR(INDEX('ערכים טכנולוגיים'!$O$5:$O$357,SMALL('ערכים טכנולוגיים'!$P$5:$P$357,118)),"")</f>
        <v/>
      </c>
    </row>
    <row r="131">
      <c r="A131">
        <f>IFERROR(INDEX('ערכים טכנולוגיים'!$A$5:$A$357,SMALL('ערכים טכנולוגיים'!$P$5:$P$357,119)),"")</f>
        <v/>
      </c>
      <c r="B131">
        <f>IFERROR(INDEX('ערכים טכנולוגיים'!$B$5:$B$357,SMALL('ערכים טכנולוגיים'!$P$5:$P$357,119)),"")</f>
        <v/>
      </c>
      <c r="C131">
        <f>IFERROR(INDEX('ערכים טכנולוגיים'!$C$5:$C$357,SMALL('ערכים טכנולוגיים'!$P$5:$P$357,119)),"")</f>
        <v/>
      </c>
      <c r="D131">
        <f>IFERROR(INDEX('ערכים טכנולוגיים'!$D$5:$D$357,SMALL('ערכים טכנולוגיים'!$P$5:$P$357,119)),"")</f>
        <v/>
      </c>
      <c r="E131">
        <f>IFERROR(INDEX('ערכים טכנולוגיים'!$E$5:$E$357,SMALL('ערכים טכנולוגיים'!$P$5:$P$357,119)),"")</f>
        <v/>
      </c>
      <c r="F131">
        <f>IFERROR(INDEX('ערכים טכנולוגיים'!$F$5:$F$357,SMALL('ערכים טכנולוגיים'!$P$5:$P$357,119)),"")</f>
        <v/>
      </c>
      <c r="G131">
        <f>IFERROR(INDEX('ערכים טכנולוגיים'!$G$5:$G$357,SMALL('ערכים טכנולוגיים'!$P$5:$P$357,119)),"")</f>
        <v/>
      </c>
      <c r="H131">
        <f>IFERROR(INDEX('ערכים טכנולוגיים'!$H$5:$H$357,SMALL('ערכים טכנולוגיים'!$P$5:$P$357,119)),"")</f>
        <v/>
      </c>
      <c r="I131">
        <f>IFERROR(INDEX('ערכים טכנולוגיים'!$I$5:$I$357,SMALL('ערכים טכנולוגיים'!$P$5:$P$357,119)),"")</f>
        <v/>
      </c>
      <c r="J131">
        <f>IFERROR(INDEX('ערכים טכנולוגיים'!$J$5:$J$357,SMALL('ערכים טכנולוגיים'!$P$5:$P$357,119)),"")</f>
        <v/>
      </c>
      <c r="K131">
        <f>IFERROR(INDEX('ערכים טכנולוגיים'!$K$5:$K$357,SMALL('ערכים טכנולוגיים'!$P$5:$P$357,119)),"")</f>
        <v/>
      </c>
      <c r="L131">
        <f>IFERROR(INDEX('ערכים טכנולוגיים'!$L$5:$L$357,SMALL('ערכים טכנולוגיים'!$P$5:$P$357,119)),"")</f>
        <v/>
      </c>
      <c r="M131">
        <f>IFERROR(INDEX('ערכים טכנולוגיים'!$M$5:$M$357,SMALL('ערכים טכנולוגיים'!$P$5:$P$357,119)),"")</f>
        <v/>
      </c>
      <c r="N131">
        <f>IFERROR(INDEX('ערכים טכנולוגיים'!$N$5:$N$357,SMALL('ערכים טכנולוגיים'!$P$5:$P$357,119)),"")</f>
        <v/>
      </c>
      <c r="O131">
        <f>IFERROR(INDEX('ערכים טכנולוגיים'!$O$5:$O$357,SMALL('ערכים טכנולוגיים'!$P$5:$P$357,119)),"")</f>
        <v/>
      </c>
    </row>
    <row r="132">
      <c r="A132">
        <f>IFERROR(INDEX('ערכים טכנולוגיים'!$A$5:$A$357,SMALL('ערכים טכנולוגיים'!$P$5:$P$357,120)),"")</f>
        <v/>
      </c>
      <c r="B132">
        <f>IFERROR(INDEX('ערכים טכנולוגיים'!$B$5:$B$357,SMALL('ערכים טכנולוגיים'!$P$5:$P$357,120)),"")</f>
        <v/>
      </c>
      <c r="C132">
        <f>IFERROR(INDEX('ערכים טכנולוגיים'!$C$5:$C$357,SMALL('ערכים טכנולוגיים'!$P$5:$P$357,120)),"")</f>
        <v/>
      </c>
      <c r="D132">
        <f>IFERROR(INDEX('ערכים טכנולוגיים'!$D$5:$D$357,SMALL('ערכים טכנולוגיים'!$P$5:$P$357,120)),"")</f>
        <v/>
      </c>
      <c r="E132">
        <f>IFERROR(INDEX('ערכים טכנולוגיים'!$E$5:$E$357,SMALL('ערכים טכנולוגיים'!$P$5:$P$357,120)),"")</f>
        <v/>
      </c>
      <c r="F132">
        <f>IFERROR(INDEX('ערכים טכנולוגיים'!$F$5:$F$357,SMALL('ערכים טכנולוגיים'!$P$5:$P$357,120)),"")</f>
        <v/>
      </c>
      <c r="G132">
        <f>IFERROR(INDEX('ערכים טכנולוגיים'!$G$5:$G$357,SMALL('ערכים טכנולוגיים'!$P$5:$P$357,120)),"")</f>
        <v/>
      </c>
      <c r="H132">
        <f>IFERROR(INDEX('ערכים טכנולוגיים'!$H$5:$H$357,SMALL('ערכים טכנולוגיים'!$P$5:$P$357,120)),"")</f>
        <v/>
      </c>
      <c r="I132">
        <f>IFERROR(INDEX('ערכים טכנולוגיים'!$I$5:$I$357,SMALL('ערכים טכנולוגיים'!$P$5:$P$357,120)),"")</f>
        <v/>
      </c>
      <c r="J132">
        <f>IFERROR(INDEX('ערכים טכנולוגיים'!$J$5:$J$357,SMALL('ערכים טכנולוגיים'!$P$5:$P$357,120)),"")</f>
        <v/>
      </c>
      <c r="K132">
        <f>IFERROR(INDEX('ערכים טכנולוגיים'!$K$5:$K$357,SMALL('ערכים טכנולוגיים'!$P$5:$P$357,120)),"")</f>
        <v/>
      </c>
      <c r="L132">
        <f>IFERROR(INDEX('ערכים טכנולוגיים'!$L$5:$L$357,SMALL('ערכים טכנולוגיים'!$P$5:$P$357,120)),"")</f>
        <v/>
      </c>
      <c r="M132">
        <f>IFERROR(INDEX('ערכים טכנולוגיים'!$M$5:$M$357,SMALL('ערכים טכנולוגיים'!$P$5:$P$357,120)),"")</f>
        <v/>
      </c>
      <c r="N132">
        <f>IFERROR(INDEX('ערכים טכנולוגיים'!$N$5:$N$357,SMALL('ערכים טכנולוגיים'!$P$5:$P$357,120)),"")</f>
        <v/>
      </c>
      <c r="O132">
        <f>IFERROR(INDEX('ערכים טכנולוגיים'!$O$5:$O$357,SMALL('ערכים טכנולוגיים'!$P$5:$P$357,120)),"")</f>
        <v/>
      </c>
    </row>
    <row r="133">
      <c r="A133">
        <f>IFERROR(INDEX('ערכים טכנולוגיים'!$A$5:$A$357,SMALL('ערכים טכנולוגיים'!$P$5:$P$357,121)),"")</f>
        <v/>
      </c>
      <c r="B133">
        <f>IFERROR(INDEX('ערכים טכנולוגיים'!$B$5:$B$357,SMALL('ערכים טכנולוגיים'!$P$5:$P$357,121)),"")</f>
        <v/>
      </c>
      <c r="C133">
        <f>IFERROR(INDEX('ערכים טכנולוגיים'!$C$5:$C$357,SMALL('ערכים טכנולוגיים'!$P$5:$P$357,121)),"")</f>
        <v/>
      </c>
      <c r="D133">
        <f>IFERROR(INDEX('ערכים טכנולוגיים'!$D$5:$D$357,SMALL('ערכים טכנולוגיים'!$P$5:$P$357,121)),"")</f>
        <v/>
      </c>
      <c r="E133">
        <f>IFERROR(INDEX('ערכים טכנולוגיים'!$E$5:$E$357,SMALL('ערכים טכנולוגיים'!$P$5:$P$357,121)),"")</f>
        <v/>
      </c>
      <c r="F133">
        <f>IFERROR(INDEX('ערכים טכנולוגיים'!$F$5:$F$357,SMALL('ערכים טכנולוגיים'!$P$5:$P$357,121)),"")</f>
        <v/>
      </c>
      <c r="G133">
        <f>IFERROR(INDEX('ערכים טכנולוגיים'!$G$5:$G$357,SMALL('ערכים טכנולוגיים'!$P$5:$P$357,121)),"")</f>
        <v/>
      </c>
      <c r="H133">
        <f>IFERROR(INDEX('ערכים טכנולוגיים'!$H$5:$H$357,SMALL('ערכים טכנולוגיים'!$P$5:$P$357,121)),"")</f>
        <v/>
      </c>
      <c r="I133">
        <f>IFERROR(INDEX('ערכים טכנולוגיים'!$I$5:$I$357,SMALL('ערכים טכנולוגיים'!$P$5:$P$357,121)),"")</f>
        <v/>
      </c>
      <c r="J133">
        <f>IFERROR(INDEX('ערכים טכנולוגיים'!$J$5:$J$357,SMALL('ערכים טכנולוגיים'!$P$5:$P$357,121)),"")</f>
        <v/>
      </c>
      <c r="K133">
        <f>IFERROR(INDEX('ערכים טכנולוגיים'!$K$5:$K$357,SMALL('ערכים טכנולוגיים'!$P$5:$P$357,121)),"")</f>
        <v/>
      </c>
      <c r="L133">
        <f>IFERROR(INDEX('ערכים טכנולוגיים'!$L$5:$L$357,SMALL('ערכים טכנולוגיים'!$P$5:$P$357,121)),"")</f>
        <v/>
      </c>
      <c r="M133">
        <f>IFERROR(INDEX('ערכים טכנולוגיים'!$M$5:$M$357,SMALL('ערכים טכנולוגיים'!$P$5:$P$357,121)),"")</f>
        <v/>
      </c>
      <c r="N133">
        <f>IFERROR(INDEX('ערכים טכנולוגיים'!$N$5:$N$357,SMALL('ערכים טכנולוגיים'!$P$5:$P$357,121)),"")</f>
        <v/>
      </c>
      <c r="O133">
        <f>IFERROR(INDEX('ערכים טכנולוגיים'!$O$5:$O$357,SMALL('ערכים טכנולוגיים'!$P$5:$P$357,121)),"")</f>
        <v/>
      </c>
    </row>
    <row r="134">
      <c r="A134">
        <f>IFERROR(INDEX('ערכים טכנולוגיים'!$A$5:$A$357,SMALL('ערכים טכנולוגיים'!$P$5:$P$357,122)),"")</f>
        <v/>
      </c>
      <c r="B134">
        <f>IFERROR(INDEX('ערכים טכנולוגיים'!$B$5:$B$357,SMALL('ערכים טכנולוגיים'!$P$5:$P$357,122)),"")</f>
        <v/>
      </c>
      <c r="C134">
        <f>IFERROR(INDEX('ערכים טכנולוגיים'!$C$5:$C$357,SMALL('ערכים טכנולוגיים'!$P$5:$P$357,122)),"")</f>
        <v/>
      </c>
      <c r="D134">
        <f>IFERROR(INDEX('ערכים טכנולוגיים'!$D$5:$D$357,SMALL('ערכים טכנולוגיים'!$P$5:$P$357,122)),"")</f>
        <v/>
      </c>
      <c r="E134">
        <f>IFERROR(INDEX('ערכים טכנולוגיים'!$E$5:$E$357,SMALL('ערכים טכנולוגיים'!$P$5:$P$357,122)),"")</f>
        <v/>
      </c>
      <c r="F134">
        <f>IFERROR(INDEX('ערכים טכנולוגיים'!$F$5:$F$357,SMALL('ערכים טכנולוגיים'!$P$5:$P$357,122)),"")</f>
        <v/>
      </c>
      <c r="G134">
        <f>IFERROR(INDEX('ערכים טכנולוגיים'!$G$5:$G$357,SMALL('ערכים טכנולוגיים'!$P$5:$P$357,122)),"")</f>
        <v/>
      </c>
      <c r="H134">
        <f>IFERROR(INDEX('ערכים טכנולוגיים'!$H$5:$H$357,SMALL('ערכים טכנולוגיים'!$P$5:$P$357,122)),"")</f>
        <v/>
      </c>
      <c r="I134">
        <f>IFERROR(INDEX('ערכים טכנולוגיים'!$I$5:$I$357,SMALL('ערכים טכנולוגיים'!$P$5:$P$357,122)),"")</f>
        <v/>
      </c>
      <c r="J134">
        <f>IFERROR(INDEX('ערכים טכנולוגיים'!$J$5:$J$357,SMALL('ערכים טכנולוגיים'!$P$5:$P$357,122)),"")</f>
        <v/>
      </c>
      <c r="K134">
        <f>IFERROR(INDEX('ערכים טכנולוגיים'!$K$5:$K$357,SMALL('ערכים טכנולוגיים'!$P$5:$P$357,122)),"")</f>
        <v/>
      </c>
      <c r="L134">
        <f>IFERROR(INDEX('ערכים טכנולוגיים'!$L$5:$L$357,SMALL('ערכים טכנולוגיים'!$P$5:$P$357,122)),"")</f>
        <v/>
      </c>
      <c r="M134">
        <f>IFERROR(INDEX('ערכים טכנולוגיים'!$M$5:$M$357,SMALL('ערכים טכנולוגיים'!$P$5:$P$357,122)),"")</f>
        <v/>
      </c>
      <c r="N134">
        <f>IFERROR(INDEX('ערכים טכנולוגיים'!$N$5:$N$357,SMALL('ערכים טכנולוגיים'!$P$5:$P$357,122)),"")</f>
        <v/>
      </c>
      <c r="O134">
        <f>IFERROR(INDEX('ערכים טכנולוגיים'!$O$5:$O$357,SMALL('ערכים טכנולוגיים'!$P$5:$P$357,122)),"")</f>
        <v/>
      </c>
    </row>
    <row r="135">
      <c r="A135">
        <f>IFERROR(INDEX('ערכים טכנולוגיים'!$A$5:$A$357,SMALL('ערכים טכנולוגיים'!$P$5:$P$357,123)),"")</f>
        <v/>
      </c>
      <c r="B135">
        <f>IFERROR(INDEX('ערכים טכנולוגיים'!$B$5:$B$357,SMALL('ערכים טכנולוגיים'!$P$5:$P$357,123)),"")</f>
        <v/>
      </c>
      <c r="C135">
        <f>IFERROR(INDEX('ערכים טכנולוגיים'!$C$5:$C$357,SMALL('ערכים טכנולוגיים'!$P$5:$P$357,123)),"")</f>
        <v/>
      </c>
      <c r="D135">
        <f>IFERROR(INDEX('ערכים טכנולוגיים'!$D$5:$D$357,SMALL('ערכים טכנולוגיים'!$P$5:$P$357,123)),"")</f>
        <v/>
      </c>
      <c r="E135">
        <f>IFERROR(INDEX('ערכים טכנולוגיים'!$E$5:$E$357,SMALL('ערכים טכנולוגיים'!$P$5:$P$357,123)),"")</f>
        <v/>
      </c>
      <c r="F135">
        <f>IFERROR(INDEX('ערכים טכנולוגיים'!$F$5:$F$357,SMALL('ערכים טכנולוגיים'!$P$5:$P$357,123)),"")</f>
        <v/>
      </c>
      <c r="G135">
        <f>IFERROR(INDEX('ערכים טכנולוגיים'!$G$5:$G$357,SMALL('ערכים טכנולוגיים'!$P$5:$P$357,123)),"")</f>
        <v/>
      </c>
      <c r="H135">
        <f>IFERROR(INDEX('ערכים טכנולוגיים'!$H$5:$H$357,SMALL('ערכים טכנולוגיים'!$P$5:$P$357,123)),"")</f>
        <v/>
      </c>
      <c r="I135">
        <f>IFERROR(INDEX('ערכים טכנולוגיים'!$I$5:$I$357,SMALL('ערכים טכנולוגיים'!$P$5:$P$357,123)),"")</f>
        <v/>
      </c>
      <c r="J135">
        <f>IFERROR(INDEX('ערכים טכנולוגיים'!$J$5:$J$357,SMALL('ערכים טכנולוגיים'!$P$5:$P$357,123)),"")</f>
        <v/>
      </c>
      <c r="K135">
        <f>IFERROR(INDEX('ערכים טכנולוגיים'!$K$5:$K$357,SMALL('ערכים טכנולוגיים'!$P$5:$P$357,123)),"")</f>
        <v/>
      </c>
      <c r="L135">
        <f>IFERROR(INDEX('ערכים טכנולוגיים'!$L$5:$L$357,SMALL('ערכים טכנולוגיים'!$P$5:$P$357,123)),"")</f>
        <v/>
      </c>
      <c r="M135">
        <f>IFERROR(INDEX('ערכים טכנולוגיים'!$M$5:$M$357,SMALL('ערכים טכנולוגיים'!$P$5:$P$357,123)),"")</f>
        <v/>
      </c>
      <c r="N135">
        <f>IFERROR(INDEX('ערכים טכנולוגיים'!$N$5:$N$357,SMALL('ערכים טכנולוגיים'!$P$5:$P$357,123)),"")</f>
        <v/>
      </c>
      <c r="O135">
        <f>IFERROR(INDEX('ערכים טכנולוגיים'!$O$5:$O$357,SMALL('ערכים טכנולוגיים'!$P$5:$P$357,123)),"")</f>
        <v/>
      </c>
    </row>
    <row r="136">
      <c r="A136">
        <f>IFERROR(INDEX('ערכים טכנולוגיים'!$A$5:$A$357,SMALL('ערכים טכנולוגיים'!$P$5:$P$357,124)),"")</f>
        <v/>
      </c>
      <c r="B136">
        <f>IFERROR(INDEX('ערכים טכנולוגיים'!$B$5:$B$357,SMALL('ערכים טכנולוגיים'!$P$5:$P$357,124)),"")</f>
        <v/>
      </c>
      <c r="C136">
        <f>IFERROR(INDEX('ערכים טכנולוגיים'!$C$5:$C$357,SMALL('ערכים טכנולוגיים'!$P$5:$P$357,124)),"")</f>
        <v/>
      </c>
      <c r="D136">
        <f>IFERROR(INDEX('ערכים טכנולוגיים'!$D$5:$D$357,SMALL('ערכים טכנולוגיים'!$P$5:$P$357,124)),"")</f>
        <v/>
      </c>
      <c r="E136">
        <f>IFERROR(INDEX('ערכים טכנולוגיים'!$E$5:$E$357,SMALL('ערכים טכנולוגיים'!$P$5:$P$357,124)),"")</f>
        <v/>
      </c>
      <c r="F136">
        <f>IFERROR(INDEX('ערכים טכנולוגיים'!$F$5:$F$357,SMALL('ערכים טכנולוגיים'!$P$5:$P$357,124)),"")</f>
        <v/>
      </c>
      <c r="G136">
        <f>IFERROR(INDEX('ערכים טכנולוגיים'!$G$5:$G$357,SMALL('ערכים טכנולוגיים'!$P$5:$P$357,124)),"")</f>
        <v/>
      </c>
      <c r="H136">
        <f>IFERROR(INDEX('ערכים טכנולוגיים'!$H$5:$H$357,SMALL('ערכים טכנולוגיים'!$P$5:$P$357,124)),"")</f>
        <v/>
      </c>
      <c r="I136">
        <f>IFERROR(INDEX('ערכים טכנולוגיים'!$I$5:$I$357,SMALL('ערכים טכנולוגיים'!$P$5:$P$357,124)),"")</f>
        <v/>
      </c>
      <c r="J136">
        <f>IFERROR(INDEX('ערכים טכנולוגיים'!$J$5:$J$357,SMALL('ערכים טכנולוגיים'!$P$5:$P$357,124)),"")</f>
        <v/>
      </c>
      <c r="K136">
        <f>IFERROR(INDEX('ערכים טכנולוגיים'!$K$5:$K$357,SMALL('ערכים טכנולוגיים'!$P$5:$P$357,124)),"")</f>
        <v/>
      </c>
      <c r="L136">
        <f>IFERROR(INDEX('ערכים טכנולוגיים'!$L$5:$L$357,SMALL('ערכים טכנולוגיים'!$P$5:$P$357,124)),"")</f>
        <v/>
      </c>
      <c r="M136">
        <f>IFERROR(INDEX('ערכים טכנולוגיים'!$M$5:$M$357,SMALL('ערכים טכנולוגיים'!$P$5:$P$357,124)),"")</f>
        <v/>
      </c>
      <c r="N136">
        <f>IFERROR(INDEX('ערכים טכנולוגיים'!$N$5:$N$357,SMALL('ערכים טכנולוגיים'!$P$5:$P$357,124)),"")</f>
        <v/>
      </c>
      <c r="O136">
        <f>IFERROR(INDEX('ערכים טכנולוגיים'!$O$5:$O$357,SMALL('ערכים טכנולוגיים'!$P$5:$P$357,124)),"")</f>
        <v/>
      </c>
    </row>
    <row r="137">
      <c r="A137">
        <f>IFERROR(INDEX('ערכים טכנולוגיים'!$A$5:$A$357,SMALL('ערכים טכנולוגיים'!$P$5:$P$357,125)),"")</f>
        <v/>
      </c>
      <c r="B137">
        <f>IFERROR(INDEX('ערכים טכנולוגיים'!$B$5:$B$357,SMALL('ערכים טכנולוגיים'!$P$5:$P$357,125)),"")</f>
        <v/>
      </c>
      <c r="C137">
        <f>IFERROR(INDEX('ערכים טכנולוגיים'!$C$5:$C$357,SMALL('ערכים טכנולוגיים'!$P$5:$P$357,125)),"")</f>
        <v/>
      </c>
      <c r="D137">
        <f>IFERROR(INDEX('ערכים טכנולוגיים'!$D$5:$D$357,SMALL('ערכים טכנולוגיים'!$P$5:$P$357,125)),"")</f>
        <v/>
      </c>
      <c r="E137">
        <f>IFERROR(INDEX('ערכים טכנולוגיים'!$E$5:$E$357,SMALL('ערכים טכנולוגיים'!$P$5:$P$357,125)),"")</f>
        <v/>
      </c>
      <c r="F137">
        <f>IFERROR(INDEX('ערכים טכנולוגיים'!$F$5:$F$357,SMALL('ערכים טכנולוגיים'!$P$5:$P$357,125)),"")</f>
        <v/>
      </c>
      <c r="G137">
        <f>IFERROR(INDEX('ערכים טכנולוגיים'!$G$5:$G$357,SMALL('ערכים טכנולוגיים'!$P$5:$P$357,125)),"")</f>
        <v/>
      </c>
      <c r="H137">
        <f>IFERROR(INDEX('ערכים טכנולוגיים'!$H$5:$H$357,SMALL('ערכים טכנולוגיים'!$P$5:$P$357,125)),"")</f>
        <v/>
      </c>
      <c r="I137">
        <f>IFERROR(INDEX('ערכים טכנולוגיים'!$I$5:$I$357,SMALL('ערכים טכנולוגיים'!$P$5:$P$357,125)),"")</f>
        <v/>
      </c>
      <c r="J137">
        <f>IFERROR(INDEX('ערכים טכנולוגיים'!$J$5:$J$357,SMALL('ערכים טכנולוגיים'!$P$5:$P$357,125)),"")</f>
        <v/>
      </c>
      <c r="K137">
        <f>IFERROR(INDEX('ערכים טכנולוגיים'!$K$5:$K$357,SMALL('ערכים טכנולוגיים'!$P$5:$P$357,125)),"")</f>
        <v/>
      </c>
      <c r="L137">
        <f>IFERROR(INDEX('ערכים טכנולוגיים'!$L$5:$L$357,SMALL('ערכים טכנולוגיים'!$P$5:$P$357,125)),"")</f>
        <v/>
      </c>
      <c r="M137">
        <f>IFERROR(INDEX('ערכים טכנולוגיים'!$M$5:$M$357,SMALL('ערכים טכנולוגיים'!$P$5:$P$357,125)),"")</f>
        <v/>
      </c>
      <c r="N137">
        <f>IFERROR(INDEX('ערכים טכנולוגיים'!$N$5:$N$357,SMALL('ערכים טכנולוגיים'!$P$5:$P$357,125)),"")</f>
        <v/>
      </c>
      <c r="O137">
        <f>IFERROR(INDEX('ערכים טכנולוגיים'!$O$5:$O$357,SMALL('ערכים טכנולוגיים'!$P$5:$P$357,125)),"")</f>
        <v/>
      </c>
    </row>
    <row r="138">
      <c r="A138">
        <f>IFERROR(INDEX('ערכים טכנולוגיים'!$A$5:$A$357,SMALL('ערכים טכנולוגיים'!$P$5:$P$357,126)),"")</f>
        <v/>
      </c>
      <c r="B138">
        <f>IFERROR(INDEX('ערכים טכנולוגיים'!$B$5:$B$357,SMALL('ערכים טכנולוגיים'!$P$5:$P$357,126)),"")</f>
        <v/>
      </c>
      <c r="C138">
        <f>IFERROR(INDEX('ערכים טכנולוגיים'!$C$5:$C$357,SMALL('ערכים טכנולוגיים'!$P$5:$P$357,126)),"")</f>
        <v/>
      </c>
      <c r="D138">
        <f>IFERROR(INDEX('ערכים טכנולוגיים'!$D$5:$D$357,SMALL('ערכים טכנולוגיים'!$P$5:$P$357,126)),"")</f>
        <v/>
      </c>
      <c r="E138">
        <f>IFERROR(INDEX('ערכים טכנולוגיים'!$E$5:$E$357,SMALL('ערכים טכנולוגיים'!$P$5:$P$357,126)),"")</f>
        <v/>
      </c>
      <c r="F138">
        <f>IFERROR(INDEX('ערכים טכנולוגיים'!$F$5:$F$357,SMALL('ערכים טכנולוגיים'!$P$5:$P$357,126)),"")</f>
        <v/>
      </c>
      <c r="G138">
        <f>IFERROR(INDEX('ערכים טכנולוגיים'!$G$5:$G$357,SMALL('ערכים טכנולוגיים'!$P$5:$P$357,126)),"")</f>
        <v/>
      </c>
      <c r="H138">
        <f>IFERROR(INDEX('ערכים טכנולוגיים'!$H$5:$H$357,SMALL('ערכים טכנולוגיים'!$P$5:$P$357,126)),"")</f>
        <v/>
      </c>
      <c r="I138">
        <f>IFERROR(INDEX('ערכים טכנולוגיים'!$I$5:$I$357,SMALL('ערכים טכנולוגיים'!$P$5:$P$357,126)),"")</f>
        <v/>
      </c>
      <c r="J138">
        <f>IFERROR(INDEX('ערכים טכנולוגיים'!$J$5:$J$357,SMALL('ערכים טכנולוגיים'!$P$5:$P$357,126)),"")</f>
        <v/>
      </c>
      <c r="K138">
        <f>IFERROR(INDEX('ערכים טכנולוגיים'!$K$5:$K$357,SMALL('ערכים טכנולוגיים'!$P$5:$P$357,126)),"")</f>
        <v/>
      </c>
      <c r="L138">
        <f>IFERROR(INDEX('ערכים טכנולוגיים'!$L$5:$L$357,SMALL('ערכים טכנולוגיים'!$P$5:$P$357,126)),"")</f>
        <v/>
      </c>
      <c r="M138">
        <f>IFERROR(INDEX('ערכים טכנולוגיים'!$M$5:$M$357,SMALL('ערכים טכנולוגיים'!$P$5:$P$357,126)),"")</f>
        <v/>
      </c>
      <c r="N138">
        <f>IFERROR(INDEX('ערכים טכנולוגיים'!$N$5:$N$357,SMALL('ערכים טכנולוגיים'!$P$5:$P$357,126)),"")</f>
        <v/>
      </c>
      <c r="O138">
        <f>IFERROR(INDEX('ערכים טכנולוגיים'!$O$5:$O$357,SMALL('ערכים טכנולוגיים'!$P$5:$P$357,126)),"")</f>
        <v/>
      </c>
    </row>
    <row r="139">
      <c r="A139">
        <f>IFERROR(INDEX('ערכים טכנולוגיים'!$A$5:$A$357,SMALL('ערכים טכנולוגיים'!$P$5:$P$357,127)),"")</f>
        <v/>
      </c>
      <c r="B139">
        <f>IFERROR(INDEX('ערכים טכנולוגיים'!$B$5:$B$357,SMALL('ערכים טכנולוגיים'!$P$5:$P$357,127)),"")</f>
        <v/>
      </c>
      <c r="C139">
        <f>IFERROR(INDEX('ערכים טכנולוגיים'!$C$5:$C$357,SMALL('ערכים טכנולוגיים'!$P$5:$P$357,127)),"")</f>
        <v/>
      </c>
      <c r="D139">
        <f>IFERROR(INDEX('ערכים טכנולוגיים'!$D$5:$D$357,SMALL('ערכים טכנולוגיים'!$P$5:$P$357,127)),"")</f>
        <v/>
      </c>
      <c r="E139">
        <f>IFERROR(INDEX('ערכים טכנולוגיים'!$E$5:$E$357,SMALL('ערכים טכנולוגיים'!$P$5:$P$357,127)),"")</f>
        <v/>
      </c>
      <c r="F139">
        <f>IFERROR(INDEX('ערכים טכנולוגיים'!$F$5:$F$357,SMALL('ערכים טכנולוגיים'!$P$5:$P$357,127)),"")</f>
        <v/>
      </c>
      <c r="G139">
        <f>IFERROR(INDEX('ערכים טכנולוגיים'!$G$5:$G$357,SMALL('ערכים טכנולוגיים'!$P$5:$P$357,127)),"")</f>
        <v/>
      </c>
      <c r="H139">
        <f>IFERROR(INDEX('ערכים טכנולוגיים'!$H$5:$H$357,SMALL('ערכים טכנולוגיים'!$P$5:$P$357,127)),"")</f>
        <v/>
      </c>
      <c r="I139">
        <f>IFERROR(INDEX('ערכים טכנולוגיים'!$I$5:$I$357,SMALL('ערכים טכנולוגיים'!$P$5:$P$357,127)),"")</f>
        <v/>
      </c>
      <c r="J139">
        <f>IFERROR(INDEX('ערכים טכנולוגיים'!$J$5:$J$357,SMALL('ערכים טכנולוגיים'!$P$5:$P$357,127)),"")</f>
        <v/>
      </c>
      <c r="K139">
        <f>IFERROR(INDEX('ערכים טכנולוגיים'!$K$5:$K$357,SMALL('ערכים טכנולוגיים'!$P$5:$P$357,127)),"")</f>
        <v/>
      </c>
      <c r="L139">
        <f>IFERROR(INDEX('ערכים טכנולוגיים'!$L$5:$L$357,SMALL('ערכים טכנולוגיים'!$P$5:$P$357,127)),"")</f>
        <v/>
      </c>
      <c r="M139">
        <f>IFERROR(INDEX('ערכים טכנולוגיים'!$M$5:$M$357,SMALL('ערכים טכנולוגיים'!$P$5:$P$357,127)),"")</f>
        <v/>
      </c>
      <c r="N139">
        <f>IFERROR(INDEX('ערכים טכנולוגיים'!$N$5:$N$357,SMALL('ערכים טכנולוגיים'!$P$5:$P$357,127)),"")</f>
        <v/>
      </c>
      <c r="O139">
        <f>IFERROR(INDEX('ערכים טכנולוגיים'!$O$5:$O$357,SMALL('ערכים טכנולוגיים'!$P$5:$P$357,127)),"")</f>
        <v/>
      </c>
    </row>
    <row r="140">
      <c r="A140">
        <f>IFERROR(INDEX('ערכים טכנולוגיים'!$A$5:$A$357,SMALL('ערכים טכנולוגיים'!$P$5:$P$357,128)),"")</f>
        <v/>
      </c>
      <c r="B140">
        <f>IFERROR(INDEX('ערכים טכנולוגיים'!$B$5:$B$357,SMALL('ערכים טכנולוגיים'!$P$5:$P$357,128)),"")</f>
        <v/>
      </c>
      <c r="C140">
        <f>IFERROR(INDEX('ערכים טכנולוגיים'!$C$5:$C$357,SMALL('ערכים טכנולוגיים'!$P$5:$P$357,128)),"")</f>
        <v/>
      </c>
      <c r="D140">
        <f>IFERROR(INDEX('ערכים טכנולוגיים'!$D$5:$D$357,SMALL('ערכים טכנולוגיים'!$P$5:$P$357,128)),"")</f>
        <v/>
      </c>
      <c r="E140">
        <f>IFERROR(INDEX('ערכים טכנולוגיים'!$E$5:$E$357,SMALL('ערכים טכנולוגיים'!$P$5:$P$357,128)),"")</f>
        <v/>
      </c>
      <c r="F140">
        <f>IFERROR(INDEX('ערכים טכנולוגיים'!$F$5:$F$357,SMALL('ערכים טכנולוגיים'!$P$5:$P$357,128)),"")</f>
        <v/>
      </c>
      <c r="G140">
        <f>IFERROR(INDEX('ערכים טכנולוגיים'!$G$5:$G$357,SMALL('ערכים טכנולוגיים'!$P$5:$P$357,128)),"")</f>
        <v/>
      </c>
      <c r="H140">
        <f>IFERROR(INDEX('ערכים טכנולוגיים'!$H$5:$H$357,SMALL('ערכים טכנולוגיים'!$P$5:$P$357,128)),"")</f>
        <v/>
      </c>
      <c r="I140">
        <f>IFERROR(INDEX('ערכים טכנולוגיים'!$I$5:$I$357,SMALL('ערכים טכנולוגיים'!$P$5:$P$357,128)),"")</f>
        <v/>
      </c>
      <c r="J140">
        <f>IFERROR(INDEX('ערכים טכנולוגיים'!$J$5:$J$357,SMALL('ערכים טכנולוגיים'!$P$5:$P$357,128)),"")</f>
        <v/>
      </c>
      <c r="K140">
        <f>IFERROR(INDEX('ערכים טכנולוגיים'!$K$5:$K$357,SMALL('ערכים טכנולוגיים'!$P$5:$P$357,128)),"")</f>
        <v/>
      </c>
      <c r="L140">
        <f>IFERROR(INDEX('ערכים טכנולוגיים'!$L$5:$L$357,SMALL('ערכים טכנולוגיים'!$P$5:$P$357,128)),"")</f>
        <v/>
      </c>
      <c r="M140">
        <f>IFERROR(INDEX('ערכים טכנולוגיים'!$M$5:$M$357,SMALL('ערכים טכנולוגיים'!$P$5:$P$357,128)),"")</f>
        <v/>
      </c>
      <c r="N140">
        <f>IFERROR(INDEX('ערכים טכנולוגיים'!$N$5:$N$357,SMALL('ערכים טכנולוגיים'!$P$5:$P$357,128)),"")</f>
        <v/>
      </c>
      <c r="O140">
        <f>IFERROR(INDEX('ערכים טכנולוגיים'!$O$5:$O$357,SMALL('ערכים טכנולוגיים'!$P$5:$P$357,128)),"")</f>
        <v/>
      </c>
    </row>
    <row r="141">
      <c r="A141">
        <f>IFERROR(INDEX('ערכים טכנולוגיים'!$A$5:$A$357,SMALL('ערכים טכנולוגיים'!$P$5:$P$357,129)),"")</f>
        <v/>
      </c>
      <c r="B141">
        <f>IFERROR(INDEX('ערכים טכנולוגיים'!$B$5:$B$357,SMALL('ערכים טכנולוגיים'!$P$5:$P$357,129)),"")</f>
        <v/>
      </c>
      <c r="C141">
        <f>IFERROR(INDEX('ערכים טכנולוגיים'!$C$5:$C$357,SMALL('ערכים טכנולוגיים'!$P$5:$P$357,129)),"")</f>
        <v/>
      </c>
      <c r="D141">
        <f>IFERROR(INDEX('ערכים טכנולוגיים'!$D$5:$D$357,SMALL('ערכים טכנולוגיים'!$P$5:$P$357,129)),"")</f>
        <v/>
      </c>
      <c r="E141">
        <f>IFERROR(INDEX('ערכים טכנולוגיים'!$E$5:$E$357,SMALL('ערכים טכנולוגיים'!$P$5:$P$357,129)),"")</f>
        <v/>
      </c>
      <c r="F141">
        <f>IFERROR(INDEX('ערכים טכנולוגיים'!$F$5:$F$357,SMALL('ערכים טכנולוגיים'!$P$5:$P$357,129)),"")</f>
        <v/>
      </c>
      <c r="G141">
        <f>IFERROR(INDEX('ערכים טכנולוגיים'!$G$5:$G$357,SMALL('ערכים טכנולוגיים'!$P$5:$P$357,129)),"")</f>
        <v/>
      </c>
      <c r="H141">
        <f>IFERROR(INDEX('ערכים טכנולוגיים'!$H$5:$H$357,SMALL('ערכים טכנולוגיים'!$P$5:$P$357,129)),"")</f>
        <v/>
      </c>
      <c r="I141">
        <f>IFERROR(INDEX('ערכים טכנולוגיים'!$I$5:$I$357,SMALL('ערכים טכנולוגיים'!$P$5:$P$357,129)),"")</f>
        <v/>
      </c>
      <c r="J141">
        <f>IFERROR(INDEX('ערכים טכנולוגיים'!$J$5:$J$357,SMALL('ערכים טכנולוגיים'!$P$5:$P$357,129)),"")</f>
        <v/>
      </c>
      <c r="K141">
        <f>IFERROR(INDEX('ערכים טכנולוגיים'!$K$5:$K$357,SMALL('ערכים טכנולוגיים'!$P$5:$P$357,129)),"")</f>
        <v/>
      </c>
      <c r="L141">
        <f>IFERROR(INDEX('ערכים טכנולוגיים'!$L$5:$L$357,SMALL('ערכים טכנולוגיים'!$P$5:$P$357,129)),"")</f>
        <v/>
      </c>
      <c r="M141">
        <f>IFERROR(INDEX('ערכים טכנולוגיים'!$M$5:$M$357,SMALL('ערכים טכנולוגיים'!$P$5:$P$357,129)),"")</f>
        <v/>
      </c>
      <c r="N141">
        <f>IFERROR(INDEX('ערכים טכנולוגיים'!$N$5:$N$357,SMALL('ערכים טכנולוגיים'!$P$5:$P$357,129)),"")</f>
        <v/>
      </c>
      <c r="O141">
        <f>IFERROR(INDEX('ערכים טכנולוגיים'!$O$5:$O$357,SMALL('ערכים טכנולוגיים'!$P$5:$P$357,129)),"")</f>
        <v/>
      </c>
    </row>
    <row r="142">
      <c r="A142">
        <f>IFERROR(INDEX('ערכים טכנולוגיים'!$A$5:$A$357,SMALL('ערכים טכנולוגיים'!$P$5:$P$357,130)),"")</f>
        <v/>
      </c>
      <c r="B142">
        <f>IFERROR(INDEX('ערכים טכנולוגיים'!$B$5:$B$357,SMALL('ערכים טכנולוגיים'!$P$5:$P$357,130)),"")</f>
        <v/>
      </c>
      <c r="C142">
        <f>IFERROR(INDEX('ערכים טכנולוגיים'!$C$5:$C$357,SMALL('ערכים טכנולוגיים'!$P$5:$P$357,130)),"")</f>
        <v/>
      </c>
      <c r="D142">
        <f>IFERROR(INDEX('ערכים טכנולוגיים'!$D$5:$D$357,SMALL('ערכים טכנולוגיים'!$P$5:$P$357,130)),"")</f>
        <v/>
      </c>
      <c r="E142">
        <f>IFERROR(INDEX('ערכים טכנולוגיים'!$E$5:$E$357,SMALL('ערכים טכנולוגיים'!$P$5:$P$357,130)),"")</f>
        <v/>
      </c>
      <c r="F142">
        <f>IFERROR(INDEX('ערכים טכנולוגיים'!$F$5:$F$357,SMALL('ערכים טכנולוגיים'!$P$5:$P$357,130)),"")</f>
        <v/>
      </c>
      <c r="G142">
        <f>IFERROR(INDEX('ערכים טכנולוגיים'!$G$5:$G$357,SMALL('ערכים טכנולוגיים'!$P$5:$P$357,130)),"")</f>
        <v/>
      </c>
      <c r="H142">
        <f>IFERROR(INDEX('ערכים טכנולוגיים'!$H$5:$H$357,SMALL('ערכים טכנולוגיים'!$P$5:$P$357,130)),"")</f>
        <v/>
      </c>
      <c r="I142">
        <f>IFERROR(INDEX('ערכים טכנולוגיים'!$I$5:$I$357,SMALL('ערכים טכנולוגיים'!$P$5:$P$357,130)),"")</f>
        <v/>
      </c>
      <c r="J142">
        <f>IFERROR(INDEX('ערכים טכנולוגיים'!$J$5:$J$357,SMALL('ערכים טכנולוגיים'!$P$5:$P$357,130)),"")</f>
        <v/>
      </c>
      <c r="K142">
        <f>IFERROR(INDEX('ערכים טכנולוגיים'!$K$5:$K$357,SMALL('ערכים טכנולוגיים'!$P$5:$P$357,130)),"")</f>
        <v/>
      </c>
      <c r="L142">
        <f>IFERROR(INDEX('ערכים טכנולוגיים'!$L$5:$L$357,SMALL('ערכים טכנולוגיים'!$P$5:$P$357,130)),"")</f>
        <v/>
      </c>
      <c r="M142">
        <f>IFERROR(INDEX('ערכים טכנולוגיים'!$M$5:$M$357,SMALL('ערכים טכנולוגיים'!$P$5:$P$357,130)),"")</f>
        <v/>
      </c>
      <c r="N142">
        <f>IFERROR(INDEX('ערכים טכנולוגיים'!$N$5:$N$357,SMALL('ערכים טכנולוגיים'!$P$5:$P$357,130)),"")</f>
        <v/>
      </c>
      <c r="O142">
        <f>IFERROR(INDEX('ערכים טכנולוגיים'!$O$5:$O$357,SMALL('ערכים טכנולוגיים'!$P$5:$P$357,130)),"")</f>
        <v/>
      </c>
    </row>
    <row r="143">
      <c r="A143">
        <f>IFERROR(INDEX('ערכים טכנולוגיים'!$A$5:$A$357,SMALL('ערכים טכנולוגיים'!$P$5:$P$357,131)),"")</f>
        <v/>
      </c>
      <c r="B143">
        <f>IFERROR(INDEX('ערכים טכנולוגיים'!$B$5:$B$357,SMALL('ערכים טכנולוגיים'!$P$5:$P$357,131)),"")</f>
        <v/>
      </c>
      <c r="C143">
        <f>IFERROR(INDEX('ערכים טכנולוגיים'!$C$5:$C$357,SMALL('ערכים טכנולוגיים'!$P$5:$P$357,131)),"")</f>
        <v/>
      </c>
      <c r="D143">
        <f>IFERROR(INDEX('ערכים טכנולוגיים'!$D$5:$D$357,SMALL('ערכים טכנולוגיים'!$P$5:$P$357,131)),"")</f>
        <v/>
      </c>
      <c r="E143">
        <f>IFERROR(INDEX('ערכים טכנולוגיים'!$E$5:$E$357,SMALL('ערכים טכנולוגיים'!$P$5:$P$357,131)),"")</f>
        <v/>
      </c>
      <c r="F143">
        <f>IFERROR(INDEX('ערכים טכנולוגיים'!$F$5:$F$357,SMALL('ערכים טכנולוגיים'!$P$5:$P$357,131)),"")</f>
        <v/>
      </c>
      <c r="G143">
        <f>IFERROR(INDEX('ערכים טכנולוגיים'!$G$5:$G$357,SMALL('ערכים טכנולוגיים'!$P$5:$P$357,131)),"")</f>
        <v/>
      </c>
      <c r="H143">
        <f>IFERROR(INDEX('ערכים טכנולוגיים'!$H$5:$H$357,SMALL('ערכים טכנולוגיים'!$P$5:$P$357,131)),"")</f>
        <v/>
      </c>
      <c r="I143">
        <f>IFERROR(INDEX('ערכים טכנולוגיים'!$I$5:$I$357,SMALL('ערכים טכנולוגיים'!$P$5:$P$357,131)),"")</f>
        <v/>
      </c>
      <c r="J143">
        <f>IFERROR(INDEX('ערכים טכנולוגיים'!$J$5:$J$357,SMALL('ערכים טכנולוגיים'!$P$5:$P$357,131)),"")</f>
        <v/>
      </c>
      <c r="K143">
        <f>IFERROR(INDEX('ערכים טכנולוגיים'!$K$5:$K$357,SMALL('ערכים טכנולוגיים'!$P$5:$P$357,131)),"")</f>
        <v/>
      </c>
      <c r="L143">
        <f>IFERROR(INDEX('ערכים טכנולוגיים'!$L$5:$L$357,SMALL('ערכים טכנולוגיים'!$P$5:$P$357,131)),"")</f>
        <v/>
      </c>
      <c r="M143">
        <f>IFERROR(INDEX('ערכים טכנולוגיים'!$M$5:$M$357,SMALL('ערכים טכנולוגיים'!$P$5:$P$357,131)),"")</f>
        <v/>
      </c>
      <c r="N143">
        <f>IFERROR(INDEX('ערכים טכנולוגיים'!$N$5:$N$357,SMALL('ערכים טכנולוגיים'!$P$5:$P$357,131)),"")</f>
        <v/>
      </c>
      <c r="O143">
        <f>IFERROR(INDEX('ערכים טכנולוגיים'!$O$5:$O$357,SMALL('ערכים טכנולוגיים'!$P$5:$P$357,131)),"")</f>
        <v/>
      </c>
    </row>
    <row r="144">
      <c r="A144">
        <f>IFERROR(INDEX('ערכים טכנולוגיים'!$A$5:$A$357,SMALL('ערכים טכנולוגיים'!$P$5:$P$357,132)),"")</f>
        <v/>
      </c>
      <c r="B144">
        <f>IFERROR(INDEX('ערכים טכנולוגיים'!$B$5:$B$357,SMALL('ערכים טכנולוגיים'!$P$5:$P$357,132)),"")</f>
        <v/>
      </c>
      <c r="C144">
        <f>IFERROR(INDEX('ערכים טכנולוגיים'!$C$5:$C$357,SMALL('ערכים טכנולוגיים'!$P$5:$P$357,132)),"")</f>
        <v/>
      </c>
      <c r="D144">
        <f>IFERROR(INDEX('ערכים טכנולוגיים'!$D$5:$D$357,SMALL('ערכים טכנולוגיים'!$P$5:$P$357,132)),"")</f>
        <v/>
      </c>
      <c r="E144">
        <f>IFERROR(INDEX('ערכים טכנולוגיים'!$E$5:$E$357,SMALL('ערכים טכנולוגיים'!$P$5:$P$357,132)),"")</f>
        <v/>
      </c>
      <c r="F144">
        <f>IFERROR(INDEX('ערכים טכנולוגיים'!$F$5:$F$357,SMALL('ערכים טכנולוגיים'!$P$5:$P$357,132)),"")</f>
        <v/>
      </c>
      <c r="G144">
        <f>IFERROR(INDEX('ערכים טכנולוגיים'!$G$5:$G$357,SMALL('ערכים טכנולוגיים'!$P$5:$P$357,132)),"")</f>
        <v/>
      </c>
      <c r="H144">
        <f>IFERROR(INDEX('ערכים טכנולוגיים'!$H$5:$H$357,SMALL('ערכים טכנולוגיים'!$P$5:$P$357,132)),"")</f>
        <v/>
      </c>
      <c r="I144">
        <f>IFERROR(INDEX('ערכים טכנולוגיים'!$I$5:$I$357,SMALL('ערכים טכנולוגיים'!$P$5:$P$357,132)),"")</f>
        <v/>
      </c>
      <c r="J144">
        <f>IFERROR(INDEX('ערכים טכנולוגיים'!$J$5:$J$357,SMALL('ערכים טכנולוגיים'!$P$5:$P$357,132)),"")</f>
        <v/>
      </c>
      <c r="K144">
        <f>IFERROR(INDEX('ערכים טכנולוגיים'!$K$5:$K$357,SMALL('ערכים טכנולוגיים'!$P$5:$P$357,132)),"")</f>
        <v/>
      </c>
      <c r="L144">
        <f>IFERROR(INDEX('ערכים טכנולוגיים'!$L$5:$L$357,SMALL('ערכים טכנולוגיים'!$P$5:$P$357,132)),"")</f>
        <v/>
      </c>
      <c r="M144">
        <f>IFERROR(INDEX('ערכים טכנולוגיים'!$M$5:$M$357,SMALL('ערכים טכנולוגיים'!$P$5:$P$357,132)),"")</f>
        <v/>
      </c>
      <c r="N144">
        <f>IFERROR(INDEX('ערכים טכנולוגיים'!$N$5:$N$357,SMALL('ערכים טכנולוגיים'!$P$5:$P$357,132)),"")</f>
        <v/>
      </c>
      <c r="O144">
        <f>IFERROR(INDEX('ערכים טכנולוגיים'!$O$5:$O$357,SMALL('ערכים טכנולוגיים'!$P$5:$P$357,132)),"")</f>
        <v/>
      </c>
    </row>
    <row r="145">
      <c r="A145">
        <f>IFERROR(INDEX('ערכים טכנולוגיים'!$A$5:$A$357,SMALL('ערכים טכנולוגיים'!$P$5:$P$357,133)),"")</f>
        <v/>
      </c>
      <c r="B145">
        <f>IFERROR(INDEX('ערכים טכנולוגיים'!$B$5:$B$357,SMALL('ערכים טכנולוגיים'!$P$5:$P$357,133)),"")</f>
        <v/>
      </c>
      <c r="C145">
        <f>IFERROR(INDEX('ערכים טכנולוגיים'!$C$5:$C$357,SMALL('ערכים טכנולוגיים'!$P$5:$P$357,133)),"")</f>
        <v/>
      </c>
      <c r="D145">
        <f>IFERROR(INDEX('ערכים טכנולוגיים'!$D$5:$D$357,SMALL('ערכים טכנולוגיים'!$P$5:$P$357,133)),"")</f>
        <v/>
      </c>
      <c r="E145">
        <f>IFERROR(INDEX('ערכים טכנולוגיים'!$E$5:$E$357,SMALL('ערכים טכנולוגיים'!$P$5:$P$357,133)),"")</f>
        <v/>
      </c>
      <c r="F145">
        <f>IFERROR(INDEX('ערכים טכנולוגיים'!$F$5:$F$357,SMALL('ערכים טכנולוגיים'!$P$5:$P$357,133)),"")</f>
        <v/>
      </c>
      <c r="G145">
        <f>IFERROR(INDEX('ערכים טכנולוגיים'!$G$5:$G$357,SMALL('ערכים טכנולוגיים'!$P$5:$P$357,133)),"")</f>
        <v/>
      </c>
      <c r="H145">
        <f>IFERROR(INDEX('ערכים טכנולוגיים'!$H$5:$H$357,SMALL('ערכים טכנולוגיים'!$P$5:$P$357,133)),"")</f>
        <v/>
      </c>
      <c r="I145">
        <f>IFERROR(INDEX('ערכים טכנולוגיים'!$I$5:$I$357,SMALL('ערכים טכנולוגיים'!$P$5:$P$357,133)),"")</f>
        <v/>
      </c>
      <c r="J145">
        <f>IFERROR(INDEX('ערכים טכנולוגיים'!$J$5:$J$357,SMALL('ערכים טכנולוגיים'!$P$5:$P$357,133)),"")</f>
        <v/>
      </c>
      <c r="K145">
        <f>IFERROR(INDEX('ערכים טכנולוגיים'!$K$5:$K$357,SMALL('ערכים טכנולוגיים'!$P$5:$P$357,133)),"")</f>
        <v/>
      </c>
      <c r="L145">
        <f>IFERROR(INDEX('ערכים טכנולוגיים'!$L$5:$L$357,SMALL('ערכים טכנולוגיים'!$P$5:$P$357,133)),"")</f>
        <v/>
      </c>
      <c r="M145">
        <f>IFERROR(INDEX('ערכים טכנולוגיים'!$M$5:$M$357,SMALL('ערכים טכנולוגיים'!$P$5:$P$357,133)),"")</f>
        <v/>
      </c>
      <c r="N145">
        <f>IFERROR(INDEX('ערכים טכנולוגיים'!$N$5:$N$357,SMALL('ערכים טכנולוגיים'!$P$5:$P$357,133)),"")</f>
        <v/>
      </c>
      <c r="O145">
        <f>IFERROR(INDEX('ערכים טכנולוגיים'!$O$5:$O$357,SMALL('ערכים טכנולוגיים'!$P$5:$P$357,133)),"")</f>
        <v/>
      </c>
    </row>
    <row r="146">
      <c r="A146">
        <f>IFERROR(INDEX('ערכים טכנולוגיים'!$A$5:$A$357,SMALL('ערכים טכנולוגיים'!$P$5:$P$357,134)),"")</f>
        <v/>
      </c>
      <c r="B146">
        <f>IFERROR(INDEX('ערכים טכנולוגיים'!$B$5:$B$357,SMALL('ערכים טכנולוגיים'!$P$5:$P$357,134)),"")</f>
        <v/>
      </c>
      <c r="C146">
        <f>IFERROR(INDEX('ערכים טכנולוגיים'!$C$5:$C$357,SMALL('ערכים טכנולוגיים'!$P$5:$P$357,134)),"")</f>
        <v/>
      </c>
      <c r="D146">
        <f>IFERROR(INDEX('ערכים טכנולוגיים'!$D$5:$D$357,SMALL('ערכים טכנולוגיים'!$P$5:$P$357,134)),"")</f>
        <v/>
      </c>
      <c r="E146">
        <f>IFERROR(INDEX('ערכים טכנולוגיים'!$E$5:$E$357,SMALL('ערכים טכנולוגיים'!$P$5:$P$357,134)),"")</f>
        <v/>
      </c>
      <c r="F146">
        <f>IFERROR(INDEX('ערכים טכנולוגיים'!$F$5:$F$357,SMALL('ערכים טכנולוגיים'!$P$5:$P$357,134)),"")</f>
        <v/>
      </c>
      <c r="G146">
        <f>IFERROR(INDEX('ערכים טכנולוגיים'!$G$5:$G$357,SMALL('ערכים טכנולוגיים'!$P$5:$P$357,134)),"")</f>
        <v/>
      </c>
      <c r="H146">
        <f>IFERROR(INDEX('ערכים טכנולוגיים'!$H$5:$H$357,SMALL('ערכים טכנולוגיים'!$P$5:$P$357,134)),"")</f>
        <v/>
      </c>
      <c r="I146">
        <f>IFERROR(INDEX('ערכים טכנולוגיים'!$I$5:$I$357,SMALL('ערכים טכנולוגיים'!$P$5:$P$357,134)),"")</f>
        <v/>
      </c>
      <c r="J146">
        <f>IFERROR(INDEX('ערכים טכנולוגיים'!$J$5:$J$357,SMALL('ערכים טכנולוגיים'!$P$5:$P$357,134)),"")</f>
        <v/>
      </c>
      <c r="K146">
        <f>IFERROR(INDEX('ערכים טכנולוגיים'!$K$5:$K$357,SMALL('ערכים טכנולוגיים'!$P$5:$P$357,134)),"")</f>
        <v/>
      </c>
      <c r="L146">
        <f>IFERROR(INDEX('ערכים טכנולוגיים'!$L$5:$L$357,SMALL('ערכים טכנולוגיים'!$P$5:$P$357,134)),"")</f>
        <v/>
      </c>
      <c r="M146">
        <f>IFERROR(INDEX('ערכים טכנולוגיים'!$M$5:$M$357,SMALL('ערכים טכנולוגיים'!$P$5:$P$357,134)),"")</f>
        <v/>
      </c>
      <c r="N146">
        <f>IFERROR(INDEX('ערכים טכנולוגיים'!$N$5:$N$357,SMALL('ערכים טכנולוגיים'!$P$5:$P$357,134)),"")</f>
        <v/>
      </c>
      <c r="O146">
        <f>IFERROR(INDEX('ערכים טכנולוגיים'!$O$5:$O$357,SMALL('ערכים טכנולוגיים'!$P$5:$P$357,134)),"")</f>
        <v/>
      </c>
    </row>
    <row r="147">
      <c r="A147">
        <f>IFERROR(INDEX('ערכים טכנולוגיים'!$A$5:$A$357,SMALL('ערכים טכנולוגיים'!$P$5:$P$357,135)),"")</f>
        <v/>
      </c>
      <c r="B147">
        <f>IFERROR(INDEX('ערכים טכנולוגיים'!$B$5:$B$357,SMALL('ערכים טכנולוגיים'!$P$5:$P$357,135)),"")</f>
        <v/>
      </c>
      <c r="C147">
        <f>IFERROR(INDEX('ערכים טכנולוגיים'!$C$5:$C$357,SMALL('ערכים טכנולוגיים'!$P$5:$P$357,135)),"")</f>
        <v/>
      </c>
      <c r="D147">
        <f>IFERROR(INDEX('ערכים טכנולוגיים'!$D$5:$D$357,SMALL('ערכים טכנולוגיים'!$P$5:$P$357,135)),"")</f>
        <v/>
      </c>
      <c r="E147">
        <f>IFERROR(INDEX('ערכים טכנולוגיים'!$E$5:$E$357,SMALL('ערכים טכנולוגיים'!$P$5:$P$357,135)),"")</f>
        <v/>
      </c>
      <c r="F147">
        <f>IFERROR(INDEX('ערכים טכנולוגיים'!$F$5:$F$357,SMALL('ערכים טכנולוגיים'!$P$5:$P$357,135)),"")</f>
        <v/>
      </c>
      <c r="G147">
        <f>IFERROR(INDEX('ערכים טכנולוגיים'!$G$5:$G$357,SMALL('ערכים טכנולוגיים'!$P$5:$P$357,135)),"")</f>
        <v/>
      </c>
      <c r="H147">
        <f>IFERROR(INDEX('ערכים טכנולוגיים'!$H$5:$H$357,SMALL('ערכים טכנולוגיים'!$P$5:$P$357,135)),"")</f>
        <v/>
      </c>
      <c r="I147">
        <f>IFERROR(INDEX('ערכים טכנולוגיים'!$I$5:$I$357,SMALL('ערכים טכנולוגיים'!$P$5:$P$357,135)),"")</f>
        <v/>
      </c>
      <c r="J147">
        <f>IFERROR(INDEX('ערכים טכנולוגיים'!$J$5:$J$357,SMALL('ערכים טכנולוגיים'!$P$5:$P$357,135)),"")</f>
        <v/>
      </c>
      <c r="K147">
        <f>IFERROR(INDEX('ערכים טכנולוגיים'!$K$5:$K$357,SMALL('ערכים טכנולוגיים'!$P$5:$P$357,135)),"")</f>
        <v/>
      </c>
      <c r="L147">
        <f>IFERROR(INDEX('ערכים טכנולוגיים'!$L$5:$L$357,SMALL('ערכים טכנולוגיים'!$P$5:$P$357,135)),"")</f>
        <v/>
      </c>
      <c r="M147">
        <f>IFERROR(INDEX('ערכים טכנולוגיים'!$M$5:$M$357,SMALL('ערכים טכנולוגיים'!$P$5:$P$357,135)),"")</f>
        <v/>
      </c>
      <c r="N147">
        <f>IFERROR(INDEX('ערכים טכנולוגיים'!$N$5:$N$357,SMALL('ערכים טכנולוגיים'!$P$5:$P$357,135)),"")</f>
        <v/>
      </c>
      <c r="O147">
        <f>IFERROR(INDEX('ערכים טכנולוגיים'!$O$5:$O$357,SMALL('ערכים טכנולוגיים'!$P$5:$P$357,135)),"")</f>
        <v/>
      </c>
    </row>
    <row r="148">
      <c r="A148">
        <f>IFERROR(INDEX('ערכים טכנולוגיים'!$A$5:$A$357,SMALL('ערכים טכנולוגיים'!$P$5:$P$357,136)),"")</f>
        <v/>
      </c>
      <c r="B148">
        <f>IFERROR(INDEX('ערכים טכנולוגיים'!$B$5:$B$357,SMALL('ערכים טכנולוגיים'!$P$5:$P$357,136)),"")</f>
        <v/>
      </c>
      <c r="C148">
        <f>IFERROR(INDEX('ערכים טכנולוגיים'!$C$5:$C$357,SMALL('ערכים טכנולוגיים'!$P$5:$P$357,136)),"")</f>
        <v/>
      </c>
      <c r="D148">
        <f>IFERROR(INDEX('ערכים טכנולוגיים'!$D$5:$D$357,SMALL('ערכים טכנולוגיים'!$P$5:$P$357,136)),"")</f>
        <v/>
      </c>
      <c r="E148">
        <f>IFERROR(INDEX('ערכים טכנולוגיים'!$E$5:$E$357,SMALL('ערכים טכנולוגיים'!$P$5:$P$357,136)),"")</f>
        <v/>
      </c>
      <c r="F148">
        <f>IFERROR(INDEX('ערכים טכנולוגיים'!$F$5:$F$357,SMALL('ערכים טכנולוגיים'!$P$5:$P$357,136)),"")</f>
        <v/>
      </c>
      <c r="G148">
        <f>IFERROR(INDEX('ערכים טכנולוגיים'!$G$5:$G$357,SMALL('ערכים טכנולוגיים'!$P$5:$P$357,136)),"")</f>
        <v/>
      </c>
      <c r="H148">
        <f>IFERROR(INDEX('ערכים טכנולוגיים'!$H$5:$H$357,SMALL('ערכים טכנולוגיים'!$P$5:$P$357,136)),"")</f>
        <v/>
      </c>
      <c r="I148">
        <f>IFERROR(INDEX('ערכים טכנולוגיים'!$I$5:$I$357,SMALL('ערכים טכנולוגיים'!$P$5:$P$357,136)),"")</f>
        <v/>
      </c>
      <c r="J148">
        <f>IFERROR(INDEX('ערכים טכנולוגיים'!$J$5:$J$357,SMALL('ערכים טכנולוגיים'!$P$5:$P$357,136)),"")</f>
        <v/>
      </c>
      <c r="K148">
        <f>IFERROR(INDEX('ערכים טכנולוגיים'!$K$5:$K$357,SMALL('ערכים טכנולוגיים'!$P$5:$P$357,136)),"")</f>
        <v/>
      </c>
      <c r="L148">
        <f>IFERROR(INDEX('ערכים טכנולוגיים'!$L$5:$L$357,SMALL('ערכים טכנולוגיים'!$P$5:$P$357,136)),"")</f>
        <v/>
      </c>
      <c r="M148">
        <f>IFERROR(INDEX('ערכים טכנולוגיים'!$M$5:$M$357,SMALL('ערכים טכנולוגיים'!$P$5:$P$357,136)),"")</f>
        <v/>
      </c>
      <c r="N148">
        <f>IFERROR(INDEX('ערכים טכנולוגיים'!$N$5:$N$357,SMALL('ערכים טכנולוגיים'!$P$5:$P$357,136)),"")</f>
        <v/>
      </c>
      <c r="O148">
        <f>IFERROR(INDEX('ערכים טכנולוגיים'!$O$5:$O$357,SMALL('ערכים טכנולוגיים'!$P$5:$P$357,136)),"")</f>
        <v/>
      </c>
    </row>
    <row r="149">
      <c r="A149">
        <f>IFERROR(INDEX('ערכים טכנולוגיים'!$A$5:$A$357,SMALL('ערכים טכנולוגיים'!$P$5:$P$357,137)),"")</f>
        <v/>
      </c>
      <c r="B149">
        <f>IFERROR(INDEX('ערכים טכנולוגיים'!$B$5:$B$357,SMALL('ערכים טכנולוגיים'!$P$5:$P$357,137)),"")</f>
        <v/>
      </c>
      <c r="C149">
        <f>IFERROR(INDEX('ערכים טכנולוגיים'!$C$5:$C$357,SMALL('ערכים טכנולוגיים'!$P$5:$P$357,137)),"")</f>
        <v/>
      </c>
      <c r="D149">
        <f>IFERROR(INDEX('ערכים טכנולוגיים'!$D$5:$D$357,SMALL('ערכים טכנולוגיים'!$P$5:$P$357,137)),"")</f>
        <v/>
      </c>
      <c r="E149">
        <f>IFERROR(INDEX('ערכים טכנולוגיים'!$E$5:$E$357,SMALL('ערכים טכנולוגיים'!$P$5:$P$357,137)),"")</f>
        <v/>
      </c>
      <c r="F149">
        <f>IFERROR(INDEX('ערכים טכנולוגיים'!$F$5:$F$357,SMALL('ערכים טכנולוגיים'!$P$5:$P$357,137)),"")</f>
        <v/>
      </c>
      <c r="G149">
        <f>IFERROR(INDEX('ערכים טכנולוגיים'!$G$5:$G$357,SMALL('ערכים טכנולוגיים'!$P$5:$P$357,137)),"")</f>
        <v/>
      </c>
      <c r="H149">
        <f>IFERROR(INDEX('ערכים טכנולוגיים'!$H$5:$H$357,SMALL('ערכים טכנולוגיים'!$P$5:$P$357,137)),"")</f>
        <v/>
      </c>
      <c r="I149">
        <f>IFERROR(INDEX('ערכים טכנולוגיים'!$I$5:$I$357,SMALL('ערכים טכנולוגיים'!$P$5:$P$357,137)),"")</f>
        <v/>
      </c>
      <c r="J149">
        <f>IFERROR(INDEX('ערכים טכנולוגיים'!$J$5:$J$357,SMALL('ערכים טכנולוגיים'!$P$5:$P$357,137)),"")</f>
        <v/>
      </c>
      <c r="K149">
        <f>IFERROR(INDEX('ערכים טכנולוגיים'!$K$5:$K$357,SMALL('ערכים טכנולוגיים'!$P$5:$P$357,137)),"")</f>
        <v/>
      </c>
      <c r="L149">
        <f>IFERROR(INDEX('ערכים טכנולוגיים'!$L$5:$L$357,SMALL('ערכים טכנולוגיים'!$P$5:$P$357,137)),"")</f>
        <v/>
      </c>
      <c r="M149">
        <f>IFERROR(INDEX('ערכים טכנולוגיים'!$M$5:$M$357,SMALL('ערכים טכנולוגיים'!$P$5:$P$357,137)),"")</f>
        <v/>
      </c>
      <c r="N149">
        <f>IFERROR(INDEX('ערכים טכנולוגיים'!$N$5:$N$357,SMALL('ערכים טכנולוגיים'!$P$5:$P$357,137)),"")</f>
        <v/>
      </c>
      <c r="O149">
        <f>IFERROR(INDEX('ערכים טכנולוגיים'!$O$5:$O$357,SMALL('ערכים טכנולוגיים'!$P$5:$P$357,137)),"")</f>
        <v/>
      </c>
    </row>
    <row r="150">
      <c r="A150">
        <f>IFERROR(INDEX('ערכים טכנולוגיים'!$A$5:$A$357,SMALL('ערכים טכנולוגיים'!$P$5:$P$357,138)),"")</f>
        <v/>
      </c>
      <c r="B150">
        <f>IFERROR(INDEX('ערכים טכנולוגיים'!$B$5:$B$357,SMALL('ערכים טכנולוגיים'!$P$5:$P$357,138)),"")</f>
        <v/>
      </c>
      <c r="C150">
        <f>IFERROR(INDEX('ערכים טכנולוגיים'!$C$5:$C$357,SMALL('ערכים טכנולוגיים'!$P$5:$P$357,138)),"")</f>
        <v/>
      </c>
      <c r="D150">
        <f>IFERROR(INDEX('ערכים טכנולוגיים'!$D$5:$D$357,SMALL('ערכים טכנולוגיים'!$P$5:$P$357,138)),"")</f>
        <v/>
      </c>
      <c r="E150">
        <f>IFERROR(INDEX('ערכים טכנולוגיים'!$E$5:$E$357,SMALL('ערכים טכנולוגיים'!$P$5:$P$357,138)),"")</f>
        <v/>
      </c>
      <c r="F150">
        <f>IFERROR(INDEX('ערכים טכנולוגיים'!$F$5:$F$357,SMALL('ערכים טכנולוגיים'!$P$5:$P$357,138)),"")</f>
        <v/>
      </c>
      <c r="G150">
        <f>IFERROR(INDEX('ערכים טכנולוגיים'!$G$5:$G$357,SMALL('ערכים טכנולוגיים'!$P$5:$P$357,138)),"")</f>
        <v/>
      </c>
      <c r="H150">
        <f>IFERROR(INDEX('ערכים טכנולוגיים'!$H$5:$H$357,SMALL('ערכים טכנולוגיים'!$P$5:$P$357,138)),"")</f>
        <v/>
      </c>
      <c r="I150">
        <f>IFERROR(INDEX('ערכים טכנולוגיים'!$I$5:$I$357,SMALL('ערכים טכנולוגיים'!$P$5:$P$357,138)),"")</f>
        <v/>
      </c>
      <c r="J150">
        <f>IFERROR(INDEX('ערכים טכנולוגיים'!$J$5:$J$357,SMALL('ערכים טכנולוגיים'!$P$5:$P$357,138)),"")</f>
        <v/>
      </c>
      <c r="K150">
        <f>IFERROR(INDEX('ערכים טכנולוגיים'!$K$5:$K$357,SMALL('ערכים טכנולוגיים'!$P$5:$P$357,138)),"")</f>
        <v/>
      </c>
      <c r="L150">
        <f>IFERROR(INDEX('ערכים טכנולוגיים'!$L$5:$L$357,SMALL('ערכים טכנולוגיים'!$P$5:$P$357,138)),"")</f>
        <v/>
      </c>
      <c r="M150">
        <f>IFERROR(INDEX('ערכים טכנולוגיים'!$M$5:$M$357,SMALL('ערכים טכנולוגיים'!$P$5:$P$357,138)),"")</f>
        <v/>
      </c>
      <c r="N150">
        <f>IFERROR(INDEX('ערכים טכנולוגיים'!$N$5:$N$357,SMALL('ערכים טכנולוגיים'!$P$5:$P$357,138)),"")</f>
        <v/>
      </c>
      <c r="O150">
        <f>IFERROR(INDEX('ערכים טכנולוגיים'!$O$5:$O$357,SMALL('ערכים טכנולוגיים'!$P$5:$P$357,138)),"")</f>
        <v/>
      </c>
    </row>
    <row r="151">
      <c r="A151">
        <f>IFERROR(INDEX('ערכים טכנולוגיים'!$A$5:$A$357,SMALL('ערכים טכנולוגיים'!$P$5:$P$357,139)),"")</f>
        <v/>
      </c>
      <c r="B151">
        <f>IFERROR(INDEX('ערכים טכנולוגיים'!$B$5:$B$357,SMALL('ערכים טכנולוגיים'!$P$5:$P$357,139)),"")</f>
        <v/>
      </c>
      <c r="C151">
        <f>IFERROR(INDEX('ערכים טכנולוגיים'!$C$5:$C$357,SMALL('ערכים טכנולוגיים'!$P$5:$P$357,139)),"")</f>
        <v/>
      </c>
      <c r="D151">
        <f>IFERROR(INDEX('ערכים טכנולוגיים'!$D$5:$D$357,SMALL('ערכים טכנולוגיים'!$P$5:$P$357,139)),"")</f>
        <v/>
      </c>
      <c r="E151">
        <f>IFERROR(INDEX('ערכים טכנולוגיים'!$E$5:$E$357,SMALL('ערכים טכנולוגיים'!$P$5:$P$357,139)),"")</f>
        <v/>
      </c>
      <c r="F151">
        <f>IFERROR(INDEX('ערכים טכנולוגיים'!$F$5:$F$357,SMALL('ערכים טכנולוגיים'!$P$5:$P$357,139)),"")</f>
        <v/>
      </c>
      <c r="G151">
        <f>IFERROR(INDEX('ערכים טכנולוגיים'!$G$5:$G$357,SMALL('ערכים טכנולוגיים'!$P$5:$P$357,139)),"")</f>
        <v/>
      </c>
      <c r="H151">
        <f>IFERROR(INDEX('ערכים טכנולוגיים'!$H$5:$H$357,SMALL('ערכים טכנולוגיים'!$P$5:$P$357,139)),"")</f>
        <v/>
      </c>
      <c r="I151">
        <f>IFERROR(INDEX('ערכים טכנולוגיים'!$I$5:$I$357,SMALL('ערכים טכנולוגיים'!$P$5:$P$357,139)),"")</f>
        <v/>
      </c>
      <c r="J151">
        <f>IFERROR(INDEX('ערכים טכנולוגיים'!$J$5:$J$357,SMALL('ערכים טכנולוגיים'!$P$5:$P$357,139)),"")</f>
        <v/>
      </c>
      <c r="K151">
        <f>IFERROR(INDEX('ערכים טכנולוגיים'!$K$5:$K$357,SMALL('ערכים טכנולוגיים'!$P$5:$P$357,139)),"")</f>
        <v/>
      </c>
      <c r="L151">
        <f>IFERROR(INDEX('ערכים טכנולוגיים'!$L$5:$L$357,SMALL('ערכים טכנולוגיים'!$P$5:$P$357,139)),"")</f>
        <v/>
      </c>
      <c r="M151">
        <f>IFERROR(INDEX('ערכים טכנולוגיים'!$M$5:$M$357,SMALL('ערכים טכנולוגיים'!$P$5:$P$357,139)),"")</f>
        <v/>
      </c>
      <c r="N151">
        <f>IFERROR(INDEX('ערכים טכנולוגיים'!$N$5:$N$357,SMALL('ערכים טכנולוגיים'!$P$5:$P$357,139)),"")</f>
        <v/>
      </c>
      <c r="O151">
        <f>IFERROR(INDEX('ערכים טכנולוגיים'!$O$5:$O$357,SMALL('ערכים טכנולוגיים'!$P$5:$P$357,139)),"")</f>
        <v/>
      </c>
    </row>
    <row r="152">
      <c r="A152">
        <f>IFERROR(INDEX('ערכים טכנולוגיים'!$A$5:$A$357,SMALL('ערכים טכנולוגיים'!$P$5:$P$357,140)),"")</f>
        <v/>
      </c>
      <c r="B152">
        <f>IFERROR(INDEX('ערכים טכנולוגיים'!$B$5:$B$357,SMALL('ערכים טכנולוגיים'!$P$5:$P$357,140)),"")</f>
        <v/>
      </c>
      <c r="C152">
        <f>IFERROR(INDEX('ערכים טכנולוגיים'!$C$5:$C$357,SMALL('ערכים טכנולוגיים'!$P$5:$P$357,140)),"")</f>
        <v/>
      </c>
      <c r="D152">
        <f>IFERROR(INDEX('ערכים טכנולוגיים'!$D$5:$D$357,SMALL('ערכים טכנולוגיים'!$P$5:$P$357,140)),"")</f>
        <v/>
      </c>
      <c r="E152">
        <f>IFERROR(INDEX('ערכים טכנולוגיים'!$E$5:$E$357,SMALL('ערכים טכנולוגיים'!$P$5:$P$357,140)),"")</f>
        <v/>
      </c>
      <c r="F152">
        <f>IFERROR(INDEX('ערכים טכנולוגיים'!$F$5:$F$357,SMALL('ערכים טכנולוגיים'!$P$5:$P$357,140)),"")</f>
        <v/>
      </c>
      <c r="G152">
        <f>IFERROR(INDEX('ערכים טכנולוגיים'!$G$5:$G$357,SMALL('ערכים טכנולוגיים'!$P$5:$P$357,140)),"")</f>
        <v/>
      </c>
      <c r="H152">
        <f>IFERROR(INDEX('ערכים טכנולוגיים'!$H$5:$H$357,SMALL('ערכים טכנולוגיים'!$P$5:$P$357,140)),"")</f>
        <v/>
      </c>
      <c r="I152">
        <f>IFERROR(INDEX('ערכים טכנולוגיים'!$I$5:$I$357,SMALL('ערכים טכנולוגיים'!$P$5:$P$357,140)),"")</f>
        <v/>
      </c>
      <c r="J152">
        <f>IFERROR(INDEX('ערכים טכנולוגיים'!$J$5:$J$357,SMALL('ערכים טכנולוגיים'!$P$5:$P$357,140)),"")</f>
        <v/>
      </c>
      <c r="K152">
        <f>IFERROR(INDEX('ערכים טכנולוגיים'!$K$5:$K$357,SMALL('ערכים טכנולוגיים'!$P$5:$P$357,140)),"")</f>
        <v/>
      </c>
      <c r="L152">
        <f>IFERROR(INDEX('ערכים טכנולוגיים'!$L$5:$L$357,SMALL('ערכים טכנולוגיים'!$P$5:$P$357,140)),"")</f>
        <v/>
      </c>
      <c r="M152">
        <f>IFERROR(INDEX('ערכים טכנולוגיים'!$M$5:$M$357,SMALL('ערכים טכנולוגיים'!$P$5:$P$357,140)),"")</f>
        <v/>
      </c>
      <c r="N152">
        <f>IFERROR(INDEX('ערכים טכנולוגיים'!$N$5:$N$357,SMALL('ערכים טכנולוגיים'!$P$5:$P$357,140)),"")</f>
        <v/>
      </c>
      <c r="O152">
        <f>IFERROR(INDEX('ערכים טכנולוגיים'!$O$5:$O$357,SMALL('ערכים טכנולוגיים'!$P$5:$P$357,140)),"")</f>
        <v/>
      </c>
    </row>
    <row r="153">
      <c r="A153">
        <f>IFERROR(INDEX('ערכים טכנולוגיים'!$A$5:$A$357,SMALL('ערכים טכנולוגיים'!$P$5:$P$357,141)),"")</f>
        <v/>
      </c>
      <c r="B153">
        <f>IFERROR(INDEX('ערכים טכנולוגיים'!$B$5:$B$357,SMALL('ערכים טכנולוגיים'!$P$5:$P$357,141)),"")</f>
        <v/>
      </c>
      <c r="C153">
        <f>IFERROR(INDEX('ערכים טכנולוגיים'!$C$5:$C$357,SMALL('ערכים טכנולוגיים'!$P$5:$P$357,141)),"")</f>
        <v/>
      </c>
      <c r="D153">
        <f>IFERROR(INDEX('ערכים טכנולוגיים'!$D$5:$D$357,SMALL('ערכים טכנולוגיים'!$P$5:$P$357,141)),"")</f>
        <v/>
      </c>
      <c r="E153">
        <f>IFERROR(INDEX('ערכים טכנולוגיים'!$E$5:$E$357,SMALL('ערכים טכנולוגיים'!$P$5:$P$357,141)),"")</f>
        <v/>
      </c>
      <c r="F153">
        <f>IFERROR(INDEX('ערכים טכנולוגיים'!$F$5:$F$357,SMALL('ערכים טכנולוגיים'!$P$5:$P$357,141)),"")</f>
        <v/>
      </c>
      <c r="G153">
        <f>IFERROR(INDEX('ערכים טכנולוגיים'!$G$5:$G$357,SMALL('ערכים טכנולוגיים'!$P$5:$P$357,141)),"")</f>
        <v/>
      </c>
      <c r="H153">
        <f>IFERROR(INDEX('ערכים טכנולוגיים'!$H$5:$H$357,SMALL('ערכים טכנולוגיים'!$P$5:$P$357,141)),"")</f>
        <v/>
      </c>
      <c r="I153">
        <f>IFERROR(INDEX('ערכים טכנולוגיים'!$I$5:$I$357,SMALL('ערכים טכנולוגיים'!$P$5:$P$357,141)),"")</f>
        <v/>
      </c>
      <c r="J153">
        <f>IFERROR(INDEX('ערכים טכנולוגיים'!$J$5:$J$357,SMALL('ערכים טכנולוגיים'!$P$5:$P$357,141)),"")</f>
        <v/>
      </c>
      <c r="K153">
        <f>IFERROR(INDEX('ערכים טכנולוגיים'!$K$5:$K$357,SMALL('ערכים טכנולוגיים'!$P$5:$P$357,141)),"")</f>
        <v/>
      </c>
      <c r="L153">
        <f>IFERROR(INDEX('ערכים טכנולוגיים'!$L$5:$L$357,SMALL('ערכים טכנולוגיים'!$P$5:$P$357,141)),"")</f>
        <v/>
      </c>
      <c r="M153">
        <f>IFERROR(INDEX('ערכים טכנולוגיים'!$M$5:$M$357,SMALL('ערכים טכנולוגיים'!$P$5:$P$357,141)),"")</f>
        <v/>
      </c>
      <c r="N153">
        <f>IFERROR(INDEX('ערכים טכנולוגיים'!$N$5:$N$357,SMALL('ערכים טכנולוגיים'!$P$5:$P$357,141)),"")</f>
        <v/>
      </c>
      <c r="O153">
        <f>IFERROR(INDEX('ערכים טכנולוגיים'!$O$5:$O$357,SMALL('ערכים טכנולוגיים'!$P$5:$P$357,141)),"")</f>
        <v/>
      </c>
    </row>
    <row r="154">
      <c r="A154">
        <f>IFERROR(INDEX('ערכים טכנולוגיים'!$A$5:$A$357,SMALL('ערכים טכנולוגיים'!$P$5:$P$357,142)),"")</f>
        <v/>
      </c>
      <c r="B154">
        <f>IFERROR(INDEX('ערכים טכנולוגיים'!$B$5:$B$357,SMALL('ערכים טכנולוגיים'!$P$5:$P$357,142)),"")</f>
        <v/>
      </c>
      <c r="C154">
        <f>IFERROR(INDEX('ערכים טכנולוגיים'!$C$5:$C$357,SMALL('ערכים טכנולוגיים'!$P$5:$P$357,142)),"")</f>
        <v/>
      </c>
      <c r="D154">
        <f>IFERROR(INDEX('ערכים טכנולוגיים'!$D$5:$D$357,SMALL('ערכים טכנולוגיים'!$P$5:$P$357,142)),"")</f>
        <v/>
      </c>
      <c r="E154">
        <f>IFERROR(INDEX('ערכים טכנולוגיים'!$E$5:$E$357,SMALL('ערכים טכנולוגיים'!$P$5:$P$357,142)),"")</f>
        <v/>
      </c>
      <c r="F154">
        <f>IFERROR(INDEX('ערכים טכנולוגיים'!$F$5:$F$357,SMALL('ערכים טכנולוגיים'!$P$5:$P$357,142)),"")</f>
        <v/>
      </c>
      <c r="G154">
        <f>IFERROR(INDEX('ערכים טכנולוגיים'!$G$5:$G$357,SMALL('ערכים טכנולוגיים'!$P$5:$P$357,142)),"")</f>
        <v/>
      </c>
      <c r="H154">
        <f>IFERROR(INDEX('ערכים טכנולוגיים'!$H$5:$H$357,SMALL('ערכים טכנולוגיים'!$P$5:$P$357,142)),"")</f>
        <v/>
      </c>
      <c r="I154">
        <f>IFERROR(INDEX('ערכים טכנולוגיים'!$I$5:$I$357,SMALL('ערכים טכנולוגיים'!$P$5:$P$357,142)),"")</f>
        <v/>
      </c>
      <c r="J154">
        <f>IFERROR(INDEX('ערכים טכנולוגיים'!$J$5:$J$357,SMALL('ערכים טכנולוגיים'!$P$5:$P$357,142)),"")</f>
        <v/>
      </c>
      <c r="K154">
        <f>IFERROR(INDEX('ערכים טכנולוגיים'!$K$5:$K$357,SMALL('ערכים טכנולוגיים'!$P$5:$P$357,142)),"")</f>
        <v/>
      </c>
      <c r="L154">
        <f>IFERROR(INDEX('ערכים טכנולוגיים'!$L$5:$L$357,SMALL('ערכים טכנולוגיים'!$P$5:$P$357,142)),"")</f>
        <v/>
      </c>
      <c r="M154">
        <f>IFERROR(INDEX('ערכים טכנולוגיים'!$M$5:$M$357,SMALL('ערכים טכנולוגיים'!$P$5:$P$357,142)),"")</f>
        <v/>
      </c>
      <c r="N154">
        <f>IFERROR(INDEX('ערכים טכנולוגיים'!$N$5:$N$357,SMALL('ערכים טכנולוגיים'!$P$5:$P$357,142)),"")</f>
        <v/>
      </c>
      <c r="O154">
        <f>IFERROR(INDEX('ערכים טכנולוגיים'!$O$5:$O$357,SMALL('ערכים טכנולוגיים'!$P$5:$P$357,142)),"")</f>
        <v/>
      </c>
    </row>
    <row r="155">
      <c r="A155">
        <f>IFERROR(INDEX('ערכים טכנולוגיים'!$A$5:$A$357,SMALL('ערכים טכנולוגיים'!$P$5:$P$357,143)),"")</f>
        <v/>
      </c>
      <c r="B155">
        <f>IFERROR(INDEX('ערכים טכנולוגיים'!$B$5:$B$357,SMALL('ערכים טכנולוגיים'!$P$5:$P$357,143)),"")</f>
        <v/>
      </c>
      <c r="C155">
        <f>IFERROR(INDEX('ערכים טכנולוגיים'!$C$5:$C$357,SMALL('ערכים טכנולוגיים'!$P$5:$P$357,143)),"")</f>
        <v/>
      </c>
      <c r="D155">
        <f>IFERROR(INDEX('ערכים טכנולוגיים'!$D$5:$D$357,SMALL('ערכים טכנולוגיים'!$P$5:$P$357,143)),"")</f>
        <v/>
      </c>
      <c r="E155">
        <f>IFERROR(INDEX('ערכים טכנולוגיים'!$E$5:$E$357,SMALL('ערכים טכנולוגיים'!$P$5:$P$357,143)),"")</f>
        <v/>
      </c>
      <c r="F155">
        <f>IFERROR(INDEX('ערכים טכנולוגיים'!$F$5:$F$357,SMALL('ערכים טכנולוגיים'!$P$5:$P$357,143)),"")</f>
        <v/>
      </c>
      <c r="G155">
        <f>IFERROR(INDEX('ערכים טכנולוגיים'!$G$5:$G$357,SMALL('ערכים טכנולוגיים'!$P$5:$P$357,143)),"")</f>
        <v/>
      </c>
      <c r="H155">
        <f>IFERROR(INDEX('ערכים טכנולוגיים'!$H$5:$H$357,SMALL('ערכים טכנולוגיים'!$P$5:$P$357,143)),"")</f>
        <v/>
      </c>
      <c r="I155">
        <f>IFERROR(INDEX('ערכים טכנולוגיים'!$I$5:$I$357,SMALL('ערכים טכנולוגיים'!$P$5:$P$357,143)),"")</f>
        <v/>
      </c>
      <c r="J155">
        <f>IFERROR(INDEX('ערכים טכנולוגיים'!$J$5:$J$357,SMALL('ערכים טכנולוגיים'!$P$5:$P$357,143)),"")</f>
        <v/>
      </c>
      <c r="K155">
        <f>IFERROR(INDEX('ערכים טכנולוגיים'!$K$5:$K$357,SMALL('ערכים טכנולוגיים'!$P$5:$P$357,143)),"")</f>
        <v/>
      </c>
      <c r="L155">
        <f>IFERROR(INDEX('ערכים טכנולוגיים'!$L$5:$L$357,SMALL('ערכים טכנולוגיים'!$P$5:$P$357,143)),"")</f>
        <v/>
      </c>
      <c r="M155">
        <f>IFERROR(INDEX('ערכים טכנולוגיים'!$M$5:$M$357,SMALL('ערכים טכנולוגיים'!$P$5:$P$357,143)),"")</f>
        <v/>
      </c>
      <c r="N155">
        <f>IFERROR(INDEX('ערכים טכנולוגיים'!$N$5:$N$357,SMALL('ערכים טכנולוגיים'!$P$5:$P$357,143)),"")</f>
        <v/>
      </c>
      <c r="O155">
        <f>IFERROR(INDEX('ערכים טכנולוגיים'!$O$5:$O$357,SMALL('ערכים טכנולוגיים'!$P$5:$P$357,143)),"")</f>
        <v/>
      </c>
    </row>
    <row r="156">
      <c r="A156">
        <f>IFERROR(INDEX('ערכים טכנולוגיים'!$A$5:$A$357,SMALL('ערכים טכנולוגיים'!$P$5:$P$357,144)),"")</f>
        <v/>
      </c>
      <c r="B156">
        <f>IFERROR(INDEX('ערכים טכנולוגיים'!$B$5:$B$357,SMALL('ערכים טכנולוגיים'!$P$5:$P$357,144)),"")</f>
        <v/>
      </c>
      <c r="C156">
        <f>IFERROR(INDEX('ערכים טכנולוגיים'!$C$5:$C$357,SMALL('ערכים טכנולוגיים'!$P$5:$P$357,144)),"")</f>
        <v/>
      </c>
      <c r="D156">
        <f>IFERROR(INDEX('ערכים טכנולוגיים'!$D$5:$D$357,SMALL('ערכים טכנולוגיים'!$P$5:$P$357,144)),"")</f>
        <v/>
      </c>
      <c r="E156">
        <f>IFERROR(INDEX('ערכים טכנולוגיים'!$E$5:$E$357,SMALL('ערכים טכנולוגיים'!$P$5:$P$357,144)),"")</f>
        <v/>
      </c>
      <c r="F156">
        <f>IFERROR(INDEX('ערכים טכנולוגיים'!$F$5:$F$357,SMALL('ערכים טכנולוגיים'!$P$5:$P$357,144)),"")</f>
        <v/>
      </c>
      <c r="G156">
        <f>IFERROR(INDEX('ערכים טכנולוגיים'!$G$5:$G$357,SMALL('ערכים טכנולוגיים'!$P$5:$P$357,144)),"")</f>
        <v/>
      </c>
      <c r="H156">
        <f>IFERROR(INDEX('ערכים טכנולוגיים'!$H$5:$H$357,SMALL('ערכים טכנולוגיים'!$P$5:$P$357,144)),"")</f>
        <v/>
      </c>
      <c r="I156">
        <f>IFERROR(INDEX('ערכים טכנולוגיים'!$I$5:$I$357,SMALL('ערכים טכנולוגיים'!$P$5:$P$357,144)),"")</f>
        <v/>
      </c>
      <c r="J156">
        <f>IFERROR(INDEX('ערכים טכנולוגיים'!$J$5:$J$357,SMALL('ערכים טכנולוגיים'!$P$5:$P$357,144)),"")</f>
        <v/>
      </c>
      <c r="K156">
        <f>IFERROR(INDEX('ערכים טכנולוגיים'!$K$5:$K$357,SMALL('ערכים טכנולוגיים'!$P$5:$P$357,144)),"")</f>
        <v/>
      </c>
      <c r="L156">
        <f>IFERROR(INDEX('ערכים טכנולוגיים'!$L$5:$L$357,SMALL('ערכים טכנולוגיים'!$P$5:$P$357,144)),"")</f>
        <v/>
      </c>
      <c r="M156">
        <f>IFERROR(INDEX('ערכים טכנולוגיים'!$M$5:$M$357,SMALL('ערכים טכנולוגיים'!$P$5:$P$357,144)),"")</f>
        <v/>
      </c>
      <c r="N156">
        <f>IFERROR(INDEX('ערכים טכנולוגיים'!$N$5:$N$357,SMALL('ערכים טכנולוגיים'!$P$5:$P$357,144)),"")</f>
        <v/>
      </c>
      <c r="O156">
        <f>IFERROR(INDEX('ערכים טכנולוגיים'!$O$5:$O$357,SMALL('ערכים טכנולוגיים'!$P$5:$P$357,144)),"")</f>
        <v/>
      </c>
    </row>
    <row r="157">
      <c r="A157">
        <f>IFERROR(INDEX('ערכים טכנולוגיים'!$A$5:$A$357,SMALL('ערכים טכנולוגיים'!$P$5:$P$357,145)),"")</f>
        <v/>
      </c>
      <c r="B157">
        <f>IFERROR(INDEX('ערכים טכנולוגיים'!$B$5:$B$357,SMALL('ערכים טכנולוגיים'!$P$5:$P$357,145)),"")</f>
        <v/>
      </c>
      <c r="C157">
        <f>IFERROR(INDEX('ערכים טכנולוגיים'!$C$5:$C$357,SMALL('ערכים טכנולוגיים'!$P$5:$P$357,145)),"")</f>
        <v/>
      </c>
      <c r="D157">
        <f>IFERROR(INDEX('ערכים טכנולוגיים'!$D$5:$D$357,SMALL('ערכים טכנולוגיים'!$P$5:$P$357,145)),"")</f>
        <v/>
      </c>
      <c r="E157">
        <f>IFERROR(INDEX('ערכים טכנולוגיים'!$E$5:$E$357,SMALL('ערכים טכנולוגיים'!$P$5:$P$357,145)),"")</f>
        <v/>
      </c>
      <c r="F157">
        <f>IFERROR(INDEX('ערכים טכנולוגיים'!$F$5:$F$357,SMALL('ערכים טכנולוגיים'!$P$5:$P$357,145)),"")</f>
        <v/>
      </c>
      <c r="G157">
        <f>IFERROR(INDEX('ערכים טכנולוגיים'!$G$5:$G$357,SMALL('ערכים טכנולוגיים'!$P$5:$P$357,145)),"")</f>
        <v/>
      </c>
      <c r="H157">
        <f>IFERROR(INDEX('ערכים טכנולוגיים'!$H$5:$H$357,SMALL('ערכים טכנולוגיים'!$P$5:$P$357,145)),"")</f>
        <v/>
      </c>
      <c r="I157">
        <f>IFERROR(INDEX('ערכים טכנולוגיים'!$I$5:$I$357,SMALL('ערכים טכנולוגיים'!$P$5:$P$357,145)),"")</f>
        <v/>
      </c>
      <c r="J157">
        <f>IFERROR(INDEX('ערכים טכנולוגיים'!$J$5:$J$357,SMALL('ערכים טכנולוגיים'!$P$5:$P$357,145)),"")</f>
        <v/>
      </c>
      <c r="K157">
        <f>IFERROR(INDEX('ערכים טכנולוגיים'!$K$5:$K$357,SMALL('ערכים טכנולוגיים'!$P$5:$P$357,145)),"")</f>
        <v/>
      </c>
      <c r="L157">
        <f>IFERROR(INDEX('ערכים טכנולוגיים'!$L$5:$L$357,SMALL('ערכים טכנולוגיים'!$P$5:$P$357,145)),"")</f>
        <v/>
      </c>
      <c r="M157">
        <f>IFERROR(INDEX('ערכים טכנולוגיים'!$M$5:$M$357,SMALL('ערכים טכנולוגיים'!$P$5:$P$357,145)),"")</f>
        <v/>
      </c>
      <c r="N157">
        <f>IFERROR(INDEX('ערכים טכנולוגיים'!$N$5:$N$357,SMALL('ערכים טכנולוגיים'!$P$5:$P$357,145)),"")</f>
        <v/>
      </c>
      <c r="O157">
        <f>IFERROR(INDEX('ערכים טכנולוגיים'!$O$5:$O$357,SMALL('ערכים טכנולוגיים'!$P$5:$P$357,145)),"")</f>
        <v/>
      </c>
    </row>
    <row r="158">
      <c r="A158">
        <f>IFERROR(INDEX('ערכים טכנולוגיים'!$A$5:$A$357,SMALL('ערכים טכנולוגיים'!$P$5:$P$357,146)),"")</f>
        <v/>
      </c>
      <c r="B158">
        <f>IFERROR(INDEX('ערכים טכנולוגיים'!$B$5:$B$357,SMALL('ערכים טכנולוגיים'!$P$5:$P$357,146)),"")</f>
        <v/>
      </c>
      <c r="C158">
        <f>IFERROR(INDEX('ערכים טכנולוגיים'!$C$5:$C$357,SMALL('ערכים טכנולוגיים'!$P$5:$P$357,146)),"")</f>
        <v/>
      </c>
      <c r="D158">
        <f>IFERROR(INDEX('ערכים טכנולוגיים'!$D$5:$D$357,SMALL('ערכים טכנולוגיים'!$P$5:$P$357,146)),"")</f>
        <v/>
      </c>
      <c r="E158">
        <f>IFERROR(INDEX('ערכים טכנולוגיים'!$E$5:$E$357,SMALL('ערכים טכנולוגיים'!$P$5:$P$357,146)),"")</f>
        <v/>
      </c>
      <c r="F158">
        <f>IFERROR(INDEX('ערכים טכנולוגיים'!$F$5:$F$357,SMALL('ערכים טכנולוגיים'!$P$5:$P$357,146)),"")</f>
        <v/>
      </c>
      <c r="G158">
        <f>IFERROR(INDEX('ערכים טכנולוגיים'!$G$5:$G$357,SMALL('ערכים טכנולוגיים'!$P$5:$P$357,146)),"")</f>
        <v/>
      </c>
      <c r="H158">
        <f>IFERROR(INDEX('ערכים טכנולוגיים'!$H$5:$H$357,SMALL('ערכים טכנולוגיים'!$P$5:$P$357,146)),"")</f>
        <v/>
      </c>
      <c r="I158">
        <f>IFERROR(INDEX('ערכים טכנולוגיים'!$I$5:$I$357,SMALL('ערכים טכנולוגיים'!$P$5:$P$357,146)),"")</f>
        <v/>
      </c>
      <c r="J158">
        <f>IFERROR(INDEX('ערכים טכנולוגיים'!$J$5:$J$357,SMALL('ערכים טכנולוגיים'!$P$5:$P$357,146)),"")</f>
        <v/>
      </c>
      <c r="K158">
        <f>IFERROR(INDEX('ערכים טכנולוגיים'!$K$5:$K$357,SMALL('ערכים טכנולוגיים'!$P$5:$P$357,146)),"")</f>
        <v/>
      </c>
      <c r="L158">
        <f>IFERROR(INDEX('ערכים טכנולוגיים'!$L$5:$L$357,SMALL('ערכים טכנולוגיים'!$P$5:$P$357,146)),"")</f>
        <v/>
      </c>
      <c r="M158">
        <f>IFERROR(INDEX('ערכים טכנולוגיים'!$M$5:$M$357,SMALL('ערכים טכנולוגיים'!$P$5:$P$357,146)),"")</f>
        <v/>
      </c>
      <c r="N158">
        <f>IFERROR(INDEX('ערכים טכנולוגיים'!$N$5:$N$357,SMALL('ערכים טכנולוגיים'!$P$5:$P$357,146)),"")</f>
        <v/>
      </c>
      <c r="O158">
        <f>IFERROR(INDEX('ערכים טכנולוגיים'!$O$5:$O$357,SMALL('ערכים טכנולוגיים'!$P$5:$P$357,146)),"")</f>
        <v/>
      </c>
    </row>
    <row r="159">
      <c r="A159">
        <f>IFERROR(INDEX('ערכים טכנולוגיים'!$A$5:$A$357,SMALL('ערכים טכנולוגיים'!$P$5:$P$357,147)),"")</f>
        <v/>
      </c>
      <c r="B159">
        <f>IFERROR(INDEX('ערכים טכנולוגיים'!$B$5:$B$357,SMALL('ערכים טכנולוגיים'!$P$5:$P$357,147)),"")</f>
        <v/>
      </c>
      <c r="C159">
        <f>IFERROR(INDEX('ערכים טכנולוגיים'!$C$5:$C$357,SMALL('ערכים טכנולוגיים'!$P$5:$P$357,147)),"")</f>
        <v/>
      </c>
      <c r="D159">
        <f>IFERROR(INDEX('ערכים טכנולוגיים'!$D$5:$D$357,SMALL('ערכים טכנולוגיים'!$P$5:$P$357,147)),"")</f>
        <v/>
      </c>
      <c r="E159">
        <f>IFERROR(INDEX('ערכים טכנולוגיים'!$E$5:$E$357,SMALL('ערכים טכנולוגיים'!$P$5:$P$357,147)),"")</f>
        <v/>
      </c>
      <c r="F159">
        <f>IFERROR(INDEX('ערכים טכנולוגיים'!$F$5:$F$357,SMALL('ערכים טכנולוגיים'!$P$5:$P$357,147)),"")</f>
        <v/>
      </c>
      <c r="G159">
        <f>IFERROR(INDEX('ערכים טכנולוגיים'!$G$5:$G$357,SMALL('ערכים טכנולוגיים'!$P$5:$P$357,147)),"")</f>
        <v/>
      </c>
      <c r="H159">
        <f>IFERROR(INDEX('ערכים טכנולוגיים'!$H$5:$H$357,SMALL('ערכים טכנולוגיים'!$P$5:$P$357,147)),"")</f>
        <v/>
      </c>
      <c r="I159">
        <f>IFERROR(INDEX('ערכים טכנולוגיים'!$I$5:$I$357,SMALL('ערכים טכנולוגיים'!$P$5:$P$357,147)),"")</f>
        <v/>
      </c>
      <c r="J159">
        <f>IFERROR(INDEX('ערכים טכנולוגיים'!$J$5:$J$357,SMALL('ערכים טכנולוגיים'!$P$5:$P$357,147)),"")</f>
        <v/>
      </c>
      <c r="K159">
        <f>IFERROR(INDEX('ערכים טכנולוגיים'!$K$5:$K$357,SMALL('ערכים טכנולוגיים'!$P$5:$P$357,147)),"")</f>
        <v/>
      </c>
      <c r="L159">
        <f>IFERROR(INDEX('ערכים טכנולוגיים'!$L$5:$L$357,SMALL('ערכים טכנולוגיים'!$P$5:$P$357,147)),"")</f>
        <v/>
      </c>
      <c r="M159">
        <f>IFERROR(INDEX('ערכים טכנולוגיים'!$M$5:$M$357,SMALL('ערכים טכנולוגיים'!$P$5:$P$357,147)),"")</f>
        <v/>
      </c>
      <c r="N159">
        <f>IFERROR(INDEX('ערכים טכנולוגיים'!$N$5:$N$357,SMALL('ערכים טכנולוגיים'!$P$5:$P$357,147)),"")</f>
        <v/>
      </c>
      <c r="O159">
        <f>IFERROR(INDEX('ערכים טכנולוגיים'!$O$5:$O$357,SMALL('ערכים טכנולוגיים'!$P$5:$P$357,147)),"")</f>
        <v/>
      </c>
    </row>
    <row r="160">
      <c r="A160">
        <f>IFERROR(INDEX('ערכים טכנולוגיים'!$A$5:$A$357,SMALL('ערכים טכנולוגיים'!$P$5:$P$357,148)),"")</f>
        <v/>
      </c>
      <c r="B160">
        <f>IFERROR(INDEX('ערכים טכנולוגיים'!$B$5:$B$357,SMALL('ערכים טכנולוגיים'!$P$5:$P$357,148)),"")</f>
        <v/>
      </c>
      <c r="C160">
        <f>IFERROR(INDEX('ערכים טכנולוגיים'!$C$5:$C$357,SMALL('ערכים טכנולוגיים'!$P$5:$P$357,148)),"")</f>
        <v/>
      </c>
      <c r="D160">
        <f>IFERROR(INDEX('ערכים טכנולוגיים'!$D$5:$D$357,SMALL('ערכים טכנולוגיים'!$P$5:$P$357,148)),"")</f>
        <v/>
      </c>
      <c r="E160">
        <f>IFERROR(INDEX('ערכים טכנולוגיים'!$E$5:$E$357,SMALL('ערכים טכנולוגיים'!$P$5:$P$357,148)),"")</f>
        <v/>
      </c>
      <c r="F160">
        <f>IFERROR(INDEX('ערכים טכנולוגיים'!$F$5:$F$357,SMALL('ערכים טכנולוגיים'!$P$5:$P$357,148)),"")</f>
        <v/>
      </c>
      <c r="G160">
        <f>IFERROR(INDEX('ערכים טכנולוגיים'!$G$5:$G$357,SMALL('ערכים טכנולוגיים'!$P$5:$P$357,148)),"")</f>
        <v/>
      </c>
      <c r="H160">
        <f>IFERROR(INDEX('ערכים טכנולוגיים'!$H$5:$H$357,SMALL('ערכים טכנולוגיים'!$P$5:$P$357,148)),"")</f>
        <v/>
      </c>
      <c r="I160">
        <f>IFERROR(INDEX('ערכים טכנולוגיים'!$I$5:$I$357,SMALL('ערכים טכנולוגיים'!$P$5:$P$357,148)),"")</f>
        <v/>
      </c>
      <c r="J160">
        <f>IFERROR(INDEX('ערכים טכנולוגיים'!$J$5:$J$357,SMALL('ערכים טכנולוגיים'!$P$5:$P$357,148)),"")</f>
        <v/>
      </c>
      <c r="K160">
        <f>IFERROR(INDEX('ערכים טכנולוגיים'!$K$5:$K$357,SMALL('ערכים טכנולוגיים'!$P$5:$P$357,148)),"")</f>
        <v/>
      </c>
      <c r="L160">
        <f>IFERROR(INDEX('ערכים טכנולוגיים'!$L$5:$L$357,SMALL('ערכים טכנולוגיים'!$P$5:$P$357,148)),"")</f>
        <v/>
      </c>
      <c r="M160">
        <f>IFERROR(INDEX('ערכים טכנולוגיים'!$M$5:$M$357,SMALL('ערכים טכנולוגיים'!$P$5:$P$357,148)),"")</f>
        <v/>
      </c>
      <c r="N160">
        <f>IFERROR(INDEX('ערכים טכנולוגיים'!$N$5:$N$357,SMALL('ערכים טכנולוגיים'!$P$5:$P$357,148)),"")</f>
        <v/>
      </c>
      <c r="O160">
        <f>IFERROR(INDEX('ערכים טכנולוגיים'!$O$5:$O$357,SMALL('ערכים טכנולוגיים'!$P$5:$P$357,148)),"")</f>
        <v/>
      </c>
    </row>
    <row r="161">
      <c r="A161">
        <f>IFERROR(INDEX('ערכים טכנולוגיים'!$A$5:$A$357,SMALL('ערכים טכנולוגיים'!$P$5:$P$357,149)),"")</f>
        <v/>
      </c>
      <c r="B161">
        <f>IFERROR(INDEX('ערכים טכנולוגיים'!$B$5:$B$357,SMALL('ערכים טכנולוגיים'!$P$5:$P$357,149)),"")</f>
        <v/>
      </c>
      <c r="C161">
        <f>IFERROR(INDEX('ערכים טכנולוגיים'!$C$5:$C$357,SMALL('ערכים טכנולוגיים'!$P$5:$P$357,149)),"")</f>
        <v/>
      </c>
      <c r="D161">
        <f>IFERROR(INDEX('ערכים טכנולוגיים'!$D$5:$D$357,SMALL('ערכים טכנולוגיים'!$P$5:$P$357,149)),"")</f>
        <v/>
      </c>
      <c r="E161">
        <f>IFERROR(INDEX('ערכים טכנולוגיים'!$E$5:$E$357,SMALL('ערכים טכנולוגיים'!$P$5:$P$357,149)),"")</f>
        <v/>
      </c>
      <c r="F161">
        <f>IFERROR(INDEX('ערכים טכנולוגיים'!$F$5:$F$357,SMALL('ערכים טכנולוגיים'!$P$5:$P$357,149)),"")</f>
        <v/>
      </c>
      <c r="G161">
        <f>IFERROR(INDEX('ערכים טכנולוגיים'!$G$5:$G$357,SMALL('ערכים טכנולוגיים'!$P$5:$P$357,149)),"")</f>
        <v/>
      </c>
      <c r="H161">
        <f>IFERROR(INDEX('ערכים טכנולוגיים'!$H$5:$H$357,SMALL('ערכים טכנולוגיים'!$P$5:$P$357,149)),"")</f>
        <v/>
      </c>
      <c r="I161">
        <f>IFERROR(INDEX('ערכים טכנולוגיים'!$I$5:$I$357,SMALL('ערכים טכנולוגיים'!$P$5:$P$357,149)),"")</f>
        <v/>
      </c>
      <c r="J161">
        <f>IFERROR(INDEX('ערכים טכנולוגיים'!$J$5:$J$357,SMALL('ערכים טכנולוגיים'!$P$5:$P$357,149)),"")</f>
        <v/>
      </c>
      <c r="K161">
        <f>IFERROR(INDEX('ערכים טכנולוגיים'!$K$5:$K$357,SMALL('ערכים טכנולוגיים'!$P$5:$P$357,149)),"")</f>
        <v/>
      </c>
      <c r="L161">
        <f>IFERROR(INDEX('ערכים טכנולוגיים'!$L$5:$L$357,SMALL('ערכים טכנולוגיים'!$P$5:$P$357,149)),"")</f>
        <v/>
      </c>
      <c r="M161">
        <f>IFERROR(INDEX('ערכים טכנולוגיים'!$M$5:$M$357,SMALL('ערכים טכנולוגיים'!$P$5:$P$357,149)),"")</f>
        <v/>
      </c>
      <c r="N161">
        <f>IFERROR(INDEX('ערכים טכנולוגיים'!$N$5:$N$357,SMALL('ערכים טכנולוגיים'!$P$5:$P$357,149)),"")</f>
        <v/>
      </c>
      <c r="O161">
        <f>IFERROR(INDEX('ערכים טכנולוגיים'!$O$5:$O$357,SMALL('ערכים טכנולוגיים'!$P$5:$P$357,149)),"")</f>
        <v/>
      </c>
    </row>
    <row r="162">
      <c r="A162">
        <f>IFERROR(INDEX('ערכים טכנולוגיים'!$A$5:$A$357,SMALL('ערכים טכנולוגיים'!$P$5:$P$357,150)),"")</f>
        <v/>
      </c>
      <c r="B162">
        <f>IFERROR(INDEX('ערכים טכנולוגיים'!$B$5:$B$357,SMALL('ערכים טכנולוגיים'!$P$5:$P$357,150)),"")</f>
        <v/>
      </c>
      <c r="C162">
        <f>IFERROR(INDEX('ערכים טכנולוגיים'!$C$5:$C$357,SMALL('ערכים טכנולוגיים'!$P$5:$P$357,150)),"")</f>
        <v/>
      </c>
      <c r="D162">
        <f>IFERROR(INDEX('ערכים טכנולוגיים'!$D$5:$D$357,SMALL('ערכים טכנולוגיים'!$P$5:$P$357,150)),"")</f>
        <v/>
      </c>
      <c r="E162">
        <f>IFERROR(INDEX('ערכים טכנולוגיים'!$E$5:$E$357,SMALL('ערכים טכנולוגיים'!$P$5:$P$357,150)),"")</f>
        <v/>
      </c>
      <c r="F162">
        <f>IFERROR(INDEX('ערכים טכנולוגיים'!$F$5:$F$357,SMALL('ערכים טכנולוגיים'!$P$5:$P$357,150)),"")</f>
        <v/>
      </c>
      <c r="G162">
        <f>IFERROR(INDEX('ערכים טכנולוגיים'!$G$5:$G$357,SMALL('ערכים טכנולוגיים'!$P$5:$P$357,150)),"")</f>
        <v/>
      </c>
      <c r="H162">
        <f>IFERROR(INDEX('ערכים טכנולוגיים'!$H$5:$H$357,SMALL('ערכים טכנולוגיים'!$P$5:$P$357,150)),"")</f>
        <v/>
      </c>
      <c r="I162">
        <f>IFERROR(INDEX('ערכים טכנולוגיים'!$I$5:$I$357,SMALL('ערכים טכנולוגיים'!$P$5:$P$357,150)),"")</f>
        <v/>
      </c>
      <c r="J162">
        <f>IFERROR(INDEX('ערכים טכנולוגיים'!$J$5:$J$357,SMALL('ערכים טכנולוגיים'!$P$5:$P$357,150)),"")</f>
        <v/>
      </c>
      <c r="K162">
        <f>IFERROR(INDEX('ערכים טכנולוגיים'!$K$5:$K$357,SMALL('ערכים טכנולוגיים'!$P$5:$P$357,150)),"")</f>
        <v/>
      </c>
      <c r="L162">
        <f>IFERROR(INDEX('ערכים טכנולוגיים'!$L$5:$L$357,SMALL('ערכים טכנולוגיים'!$P$5:$P$357,150)),"")</f>
        <v/>
      </c>
      <c r="M162">
        <f>IFERROR(INDEX('ערכים טכנולוגיים'!$M$5:$M$357,SMALL('ערכים טכנולוגיים'!$P$5:$P$357,150)),"")</f>
        <v/>
      </c>
      <c r="N162">
        <f>IFERROR(INDEX('ערכים טכנולוגיים'!$N$5:$N$357,SMALL('ערכים טכנולוגיים'!$P$5:$P$357,150)),"")</f>
        <v/>
      </c>
      <c r="O162">
        <f>IFERROR(INDEX('ערכים טכנולוגיים'!$O$5:$O$357,SMALL('ערכים טכנולוגיים'!$P$5:$P$357,150)),"")</f>
        <v/>
      </c>
    </row>
    <row r="163">
      <c r="A163">
        <f>IFERROR(INDEX('ערכים טכנולוגיים'!$A$5:$A$357,SMALL('ערכים טכנולוגיים'!$P$5:$P$357,151)),"")</f>
        <v/>
      </c>
      <c r="B163">
        <f>IFERROR(INDEX('ערכים טכנולוגיים'!$B$5:$B$357,SMALL('ערכים טכנולוגיים'!$P$5:$P$357,151)),"")</f>
        <v/>
      </c>
      <c r="C163">
        <f>IFERROR(INDEX('ערכים טכנולוגיים'!$C$5:$C$357,SMALL('ערכים טכנולוגיים'!$P$5:$P$357,151)),"")</f>
        <v/>
      </c>
      <c r="D163">
        <f>IFERROR(INDEX('ערכים טכנולוגיים'!$D$5:$D$357,SMALL('ערכים טכנולוגיים'!$P$5:$P$357,151)),"")</f>
        <v/>
      </c>
      <c r="E163">
        <f>IFERROR(INDEX('ערכים טכנולוגיים'!$E$5:$E$357,SMALL('ערכים טכנולוגיים'!$P$5:$P$357,151)),"")</f>
        <v/>
      </c>
      <c r="F163">
        <f>IFERROR(INDEX('ערכים טכנולוגיים'!$F$5:$F$357,SMALL('ערכים טכנולוגיים'!$P$5:$P$357,151)),"")</f>
        <v/>
      </c>
      <c r="G163">
        <f>IFERROR(INDEX('ערכים טכנולוגיים'!$G$5:$G$357,SMALL('ערכים טכנולוגיים'!$P$5:$P$357,151)),"")</f>
        <v/>
      </c>
      <c r="H163">
        <f>IFERROR(INDEX('ערכים טכנולוגיים'!$H$5:$H$357,SMALL('ערכים טכנולוגיים'!$P$5:$P$357,151)),"")</f>
        <v/>
      </c>
      <c r="I163">
        <f>IFERROR(INDEX('ערכים טכנולוגיים'!$I$5:$I$357,SMALL('ערכים טכנולוגיים'!$P$5:$P$357,151)),"")</f>
        <v/>
      </c>
      <c r="J163">
        <f>IFERROR(INDEX('ערכים טכנולוגיים'!$J$5:$J$357,SMALL('ערכים טכנולוגיים'!$P$5:$P$357,151)),"")</f>
        <v/>
      </c>
      <c r="K163">
        <f>IFERROR(INDEX('ערכים טכנולוגיים'!$K$5:$K$357,SMALL('ערכים טכנולוגיים'!$P$5:$P$357,151)),"")</f>
        <v/>
      </c>
      <c r="L163">
        <f>IFERROR(INDEX('ערכים טכנולוגיים'!$L$5:$L$357,SMALL('ערכים טכנולוגיים'!$P$5:$P$357,151)),"")</f>
        <v/>
      </c>
      <c r="M163">
        <f>IFERROR(INDEX('ערכים טכנולוגיים'!$M$5:$M$357,SMALL('ערכים טכנולוגיים'!$P$5:$P$357,151)),"")</f>
        <v/>
      </c>
      <c r="N163">
        <f>IFERROR(INDEX('ערכים טכנולוגיים'!$N$5:$N$357,SMALL('ערכים טכנולוגיים'!$P$5:$P$357,151)),"")</f>
        <v/>
      </c>
      <c r="O163">
        <f>IFERROR(INDEX('ערכים טכנולוגיים'!$O$5:$O$357,SMALL('ערכים טכנולוגיים'!$P$5:$P$357,151)),"")</f>
        <v/>
      </c>
    </row>
    <row r="164">
      <c r="A164">
        <f>IFERROR(INDEX('ערכים טכנולוגיים'!$A$5:$A$357,SMALL('ערכים טכנולוגיים'!$P$5:$P$357,152)),"")</f>
        <v/>
      </c>
      <c r="B164">
        <f>IFERROR(INDEX('ערכים טכנולוגיים'!$B$5:$B$357,SMALL('ערכים טכנולוגיים'!$P$5:$P$357,152)),"")</f>
        <v/>
      </c>
      <c r="C164">
        <f>IFERROR(INDEX('ערכים טכנולוגיים'!$C$5:$C$357,SMALL('ערכים טכנולוגיים'!$P$5:$P$357,152)),"")</f>
        <v/>
      </c>
      <c r="D164">
        <f>IFERROR(INDEX('ערכים טכנולוגיים'!$D$5:$D$357,SMALL('ערכים טכנולוגיים'!$P$5:$P$357,152)),"")</f>
        <v/>
      </c>
      <c r="E164">
        <f>IFERROR(INDEX('ערכים טכנולוגיים'!$E$5:$E$357,SMALL('ערכים טכנולוגיים'!$P$5:$P$357,152)),"")</f>
        <v/>
      </c>
      <c r="F164">
        <f>IFERROR(INDEX('ערכים טכנולוגיים'!$F$5:$F$357,SMALL('ערכים טכנולוגיים'!$P$5:$P$357,152)),"")</f>
        <v/>
      </c>
      <c r="G164">
        <f>IFERROR(INDEX('ערכים טכנולוגיים'!$G$5:$G$357,SMALL('ערכים טכנולוגיים'!$P$5:$P$357,152)),"")</f>
        <v/>
      </c>
      <c r="H164">
        <f>IFERROR(INDEX('ערכים טכנולוגיים'!$H$5:$H$357,SMALL('ערכים טכנולוגיים'!$P$5:$P$357,152)),"")</f>
        <v/>
      </c>
      <c r="I164">
        <f>IFERROR(INDEX('ערכים טכנולוגיים'!$I$5:$I$357,SMALL('ערכים טכנולוגיים'!$P$5:$P$357,152)),"")</f>
        <v/>
      </c>
      <c r="J164">
        <f>IFERROR(INDEX('ערכים טכנולוגיים'!$J$5:$J$357,SMALL('ערכים טכנולוגיים'!$P$5:$P$357,152)),"")</f>
        <v/>
      </c>
      <c r="K164">
        <f>IFERROR(INDEX('ערכים טכנולוגיים'!$K$5:$K$357,SMALL('ערכים טכנולוגיים'!$P$5:$P$357,152)),"")</f>
        <v/>
      </c>
      <c r="L164">
        <f>IFERROR(INDEX('ערכים טכנולוגיים'!$L$5:$L$357,SMALL('ערכים טכנולוגיים'!$P$5:$P$357,152)),"")</f>
        <v/>
      </c>
      <c r="M164">
        <f>IFERROR(INDEX('ערכים טכנולוגיים'!$M$5:$M$357,SMALL('ערכים טכנולוגיים'!$P$5:$P$357,152)),"")</f>
        <v/>
      </c>
      <c r="N164">
        <f>IFERROR(INDEX('ערכים טכנולוגיים'!$N$5:$N$357,SMALL('ערכים טכנולוגיים'!$P$5:$P$357,152)),"")</f>
        <v/>
      </c>
      <c r="O164">
        <f>IFERROR(INDEX('ערכים טכנולוגיים'!$O$5:$O$357,SMALL('ערכים טכנולוגיים'!$P$5:$P$357,152)),"")</f>
        <v/>
      </c>
    </row>
    <row r="165">
      <c r="A165">
        <f>IFERROR(INDEX('ערכים טכנולוגיים'!$A$5:$A$357,SMALL('ערכים טכנולוגיים'!$P$5:$P$357,153)),"")</f>
        <v/>
      </c>
      <c r="B165">
        <f>IFERROR(INDEX('ערכים טכנולוגיים'!$B$5:$B$357,SMALL('ערכים טכנולוגיים'!$P$5:$P$357,153)),"")</f>
        <v/>
      </c>
      <c r="C165">
        <f>IFERROR(INDEX('ערכים טכנולוגיים'!$C$5:$C$357,SMALL('ערכים טכנולוגיים'!$P$5:$P$357,153)),"")</f>
        <v/>
      </c>
      <c r="D165">
        <f>IFERROR(INDEX('ערכים טכנולוגיים'!$D$5:$D$357,SMALL('ערכים טכנולוגיים'!$P$5:$P$357,153)),"")</f>
        <v/>
      </c>
      <c r="E165">
        <f>IFERROR(INDEX('ערכים טכנולוגיים'!$E$5:$E$357,SMALL('ערכים טכנולוגיים'!$P$5:$P$357,153)),"")</f>
        <v/>
      </c>
      <c r="F165">
        <f>IFERROR(INDEX('ערכים טכנולוגיים'!$F$5:$F$357,SMALL('ערכים טכנולוגיים'!$P$5:$P$357,153)),"")</f>
        <v/>
      </c>
      <c r="G165">
        <f>IFERROR(INDEX('ערכים טכנולוגיים'!$G$5:$G$357,SMALL('ערכים טכנולוגיים'!$P$5:$P$357,153)),"")</f>
        <v/>
      </c>
      <c r="H165">
        <f>IFERROR(INDEX('ערכים טכנולוגיים'!$H$5:$H$357,SMALL('ערכים טכנולוגיים'!$P$5:$P$357,153)),"")</f>
        <v/>
      </c>
      <c r="I165">
        <f>IFERROR(INDEX('ערכים טכנולוגיים'!$I$5:$I$357,SMALL('ערכים טכנולוגיים'!$P$5:$P$357,153)),"")</f>
        <v/>
      </c>
      <c r="J165">
        <f>IFERROR(INDEX('ערכים טכנולוגיים'!$J$5:$J$357,SMALL('ערכים טכנולוגיים'!$P$5:$P$357,153)),"")</f>
        <v/>
      </c>
      <c r="K165">
        <f>IFERROR(INDEX('ערכים טכנולוגיים'!$K$5:$K$357,SMALL('ערכים טכנולוגיים'!$P$5:$P$357,153)),"")</f>
        <v/>
      </c>
      <c r="L165">
        <f>IFERROR(INDEX('ערכים טכנולוגיים'!$L$5:$L$357,SMALL('ערכים טכנולוגיים'!$P$5:$P$357,153)),"")</f>
        <v/>
      </c>
      <c r="M165">
        <f>IFERROR(INDEX('ערכים טכנולוגיים'!$M$5:$M$357,SMALL('ערכים טכנולוגיים'!$P$5:$P$357,153)),"")</f>
        <v/>
      </c>
      <c r="N165">
        <f>IFERROR(INDEX('ערכים טכנולוגיים'!$N$5:$N$357,SMALL('ערכים טכנולוגיים'!$P$5:$P$357,153)),"")</f>
        <v/>
      </c>
      <c r="O165">
        <f>IFERROR(INDEX('ערכים טכנולוגיים'!$O$5:$O$357,SMALL('ערכים טכנולוגיים'!$P$5:$P$357,153)),"")</f>
        <v/>
      </c>
    </row>
    <row r="166">
      <c r="A166">
        <f>IFERROR(INDEX('ערכים טכנולוגיים'!$A$5:$A$357,SMALL('ערכים טכנולוגיים'!$P$5:$P$357,154)),"")</f>
        <v/>
      </c>
      <c r="B166">
        <f>IFERROR(INDEX('ערכים טכנולוגיים'!$B$5:$B$357,SMALL('ערכים טכנולוגיים'!$P$5:$P$357,154)),"")</f>
        <v/>
      </c>
      <c r="C166">
        <f>IFERROR(INDEX('ערכים טכנולוגיים'!$C$5:$C$357,SMALL('ערכים טכנולוגיים'!$P$5:$P$357,154)),"")</f>
        <v/>
      </c>
      <c r="D166">
        <f>IFERROR(INDEX('ערכים טכנולוגיים'!$D$5:$D$357,SMALL('ערכים טכנולוגיים'!$P$5:$P$357,154)),"")</f>
        <v/>
      </c>
      <c r="E166">
        <f>IFERROR(INDEX('ערכים טכנולוגיים'!$E$5:$E$357,SMALL('ערכים טכנולוגיים'!$P$5:$P$357,154)),"")</f>
        <v/>
      </c>
      <c r="F166">
        <f>IFERROR(INDEX('ערכים טכנולוגיים'!$F$5:$F$357,SMALL('ערכים טכנולוגיים'!$P$5:$P$357,154)),"")</f>
        <v/>
      </c>
      <c r="G166">
        <f>IFERROR(INDEX('ערכים טכנולוגיים'!$G$5:$G$357,SMALL('ערכים טכנולוגיים'!$P$5:$P$357,154)),"")</f>
        <v/>
      </c>
      <c r="H166">
        <f>IFERROR(INDEX('ערכים טכנולוגיים'!$H$5:$H$357,SMALL('ערכים טכנולוגיים'!$P$5:$P$357,154)),"")</f>
        <v/>
      </c>
      <c r="I166">
        <f>IFERROR(INDEX('ערכים טכנולוגיים'!$I$5:$I$357,SMALL('ערכים טכנולוגיים'!$P$5:$P$357,154)),"")</f>
        <v/>
      </c>
      <c r="J166">
        <f>IFERROR(INDEX('ערכים טכנולוגיים'!$J$5:$J$357,SMALL('ערכים טכנולוגיים'!$P$5:$P$357,154)),"")</f>
        <v/>
      </c>
      <c r="K166">
        <f>IFERROR(INDEX('ערכים טכנולוגיים'!$K$5:$K$357,SMALL('ערכים טכנולוגיים'!$P$5:$P$357,154)),"")</f>
        <v/>
      </c>
      <c r="L166">
        <f>IFERROR(INDEX('ערכים טכנולוגיים'!$L$5:$L$357,SMALL('ערכים טכנולוגיים'!$P$5:$P$357,154)),"")</f>
        <v/>
      </c>
      <c r="M166">
        <f>IFERROR(INDEX('ערכים טכנולוגיים'!$M$5:$M$357,SMALL('ערכים טכנולוגיים'!$P$5:$P$357,154)),"")</f>
        <v/>
      </c>
      <c r="N166">
        <f>IFERROR(INDEX('ערכים טכנולוגיים'!$N$5:$N$357,SMALL('ערכים טכנולוגיים'!$P$5:$P$357,154)),"")</f>
        <v/>
      </c>
      <c r="O166">
        <f>IFERROR(INDEX('ערכים טכנולוגיים'!$O$5:$O$357,SMALL('ערכים טכנולוגיים'!$P$5:$P$357,154)),"")</f>
        <v/>
      </c>
    </row>
    <row r="167">
      <c r="A167">
        <f>IFERROR(INDEX('ערכים טכנולוגיים'!$A$5:$A$357,SMALL('ערכים טכנולוגיים'!$P$5:$P$357,155)),"")</f>
        <v/>
      </c>
      <c r="B167">
        <f>IFERROR(INDEX('ערכים טכנולוגיים'!$B$5:$B$357,SMALL('ערכים טכנולוגיים'!$P$5:$P$357,155)),"")</f>
        <v/>
      </c>
      <c r="C167">
        <f>IFERROR(INDEX('ערכים טכנולוגיים'!$C$5:$C$357,SMALL('ערכים טכנולוגיים'!$P$5:$P$357,155)),"")</f>
        <v/>
      </c>
      <c r="D167">
        <f>IFERROR(INDEX('ערכים טכנולוגיים'!$D$5:$D$357,SMALL('ערכים טכנולוגיים'!$P$5:$P$357,155)),"")</f>
        <v/>
      </c>
      <c r="E167">
        <f>IFERROR(INDEX('ערכים טכנולוגיים'!$E$5:$E$357,SMALL('ערכים טכנולוגיים'!$P$5:$P$357,155)),"")</f>
        <v/>
      </c>
      <c r="F167">
        <f>IFERROR(INDEX('ערכים טכנולוגיים'!$F$5:$F$357,SMALL('ערכים טכנולוגיים'!$P$5:$P$357,155)),"")</f>
        <v/>
      </c>
      <c r="G167">
        <f>IFERROR(INDEX('ערכים טכנולוגיים'!$G$5:$G$357,SMALL('ערכים טכנולוגיים'!$P$5:$P$357,155)),"")</f>
        <v/>
      </c>
      <c r="H167">
        <f>IFERROR(INDEX('ערכים טכנולוגיים'!$H$5:$H$357,SMALL('ערכים טכנולוגיים'!$P$5:$P$357,155)),"")</f>
        <v/>
      </c>
      <c r="I167">
        <f>IFERROR(INDEX('ערכים טכנולוגיים'!$I$5:$I$357,SMALL('ערכים טכנולוגיים'!$P$5:$P$357,155)),"")</f>
        <v/>
      </c>
      <c r="J167">
        <f>IFERROR(INDEX('ערכים טכנולוגיים'!$J$5:$J$357,SMALL('ערכים טכנולוגיים'!$P$5:$P$357,155)),"")</f>
        <v/>
      </c>
      <c r="K167">
        <f>IFERROR(INDEX('ערכים טכנולוגיים'!$K$5:$K$357,SMALL('ערכים טכנולוגיים'!$P$5:$P$357,155)),"")</f>
        <v/>
      </c>
      <c r="L167">
        <f>IFERROR(INDEX('ערכים טכנולוגיים'!$L$5:$L$357,SMALL('ערכים טכנולוגיים'!$P$5:$P$357,155)),"")</f>
        <v/>
      </c>
      <c r="M167">
        <f>IFERROR(INDEX('ערכים טכנולוגיים'!$M$5:$M$357,SMALL('ערכים טכנולוגיים'!$P$5:$P$357,155)),"")</f>
        <v/>
      </c>
      <c r="N167">
        <f>IFERROR(INDEX('ערכים טכנולוגיים'!$N$5:$N$357,SMALL('ערכים טכנולוגיים'!$P$5:$P$357,155)),"")</f>
        <v/>
      </c>
      <c r="O167">
        <f>IFERROR(INDEX('ערכים טכנולוגיים'!$O$5:$O$357,SMALL('ערכים טכנולוגיים'!$P$5:$P$357,155)),"")</f>
        <v/>
      </c>
    </row>
    <row r="168">
      <c r="A168">
        <f>IFERROR(INDEX('ערכים טכנולוגיים'!$A$5:$A$357,SMALL('ערכים טכנולוגיים'!$P$5:$P$357,156)),"")</f>
        <v/>
      </c>
      <c r="B168">
        <f>IFERROR(INDEX('ערכים טכנולוגיים'!$B$5:$B$357,SMALL('ערכים טכנולוגיים'!$P$5:$P$357,156)),"")</f>
        <v/>
      </c>
      <c r="C168">
        <f>IFERROR(INDEX('ערכים טכנולוגיים'!$C$5:$C$357,SMALL('ערכים טכנולוגיים'!$P$5:$P$357,156)),"")</f>
        <v/>
      </c>
      <c r="D168">
        <f>IFERROR(INDEX('ערכים טכנולוגיים'!$D$5:$D$357,SMALL('ערכים טכנולוגיים'!$P$5:$P$357,156)),"")</f>
        <v/>
      </c>
      <c r="E168">
        <f>IFERROR(INDEX('ערכים טכנולוגיים'!$E$5:$E$357,SMALL('ערכים טכנולוגיים'!$P$5:$P$357,156)),"")</f>
        <v/>
      </c>
      <c r="F168">
        <f>IFERROR(INDEX('ערכים טכנולוגיים'!$F$5:$F$357,SMALL('ערכים טכנולוגיים'!$P$5:$P$357,156)),"")</f>
        <v/>
      </c>
      <c r="G168">
        <f>IFERROR(INDEX('ערכים טכנולוגיים'!$G$5:$G$357,SMALL('ערכים טכנולוגיים'!$P$5:$P$357,156)),"")</f>
        <v/>
      </c>
      <c r="H168">
        <f>IFERROR(INDEX('ערכים טכנולוגיים'!$H$5:$H$357,SMALL('ערכים טכנולוגיים'!$P$5:$P$357,156)),"")</f>
        <v/>
      </c>
      <c r="I168">
        <f>IFERROR(INDEX('ערכים טכנולוגיים'!$I$5:$I$357,SMALL('ערכים טכנולוגיים'!$P$5:$P$357,156)),"")</f>
        <v/>
      </c>
      <c r="J168">
        <f>IFERROR(INDEX('ערכים טכנולוגיים'!$J$5:$J$357,SMALL('ערכים טכנולוגיים'!$P$5:$P$357,156)),"")</f>
        <v/>
      </c>
      <c r="K168">
        <f>IFERROR(INDEX('ערכים טכנולוגיים'!$K$5:$K$357,SMALL('ערכים טכנולוגיים'!$P$5:$P$357,156)),"")</f>
        <v/>
      </c>
      <c r="L168">
        <f>IFERROR(INDEX('ערכים טכנולוגיים'!$L$5:$L$357,SMALL('ערכים טכנולוגיים'!$P$5:$P$357,156)),"")</f>
        <v/>
      </c>
      <c r="M168">
        <f>IFERROR(INDEX('ערכים טכנולוגיים'!$M$5:$M$357,SMALL('ערכים טכנולוגיים'!$P$5:$P$357,156)),"")</f>
        <v/>
      </c>
      <c r="N168">
        <f>IFERROR(INDEX('ערכים טכנולוגיים'!$N$5:$N$357,SMALL('ערכים טכנולוגיים'!$P$5:$P$357,156)),"")</f>
        <v/>
      </c>
      <c r="O168">
        <f>IFERROR(INDEX('ערכים טכנולוגיים'!$O$5:$O$357,SMALL('ערכים טכנולוגיים'!$P$5:$P$357,156)),"")</f>
        <v/>
      </c>
    </row>
    <row r="169">
      <c r="A169">
        <f>IFERROR(INDEX('ערכים טכנולוגיים'!$A$5:$A$357,SMALL('ערכים טכנולוגיים'!$P$5:$P$357,157)),"")</f>
        <v/>
      </c>
      <c r="B169">
        <f>IFERROR(INDEX('ערכים טכנולוגיים'!$B$5:$B$357,SMALL('ערכים טכנולוגיים'!$P$5:$P$357,157)),"")</f>
        <v/>
      </c>
      <c r="C169">
        <f>IFERROR(INDEX('ערכים טכנולוגיים'!$C$5:$C$357,SMALL('ערכים טכנולוגיים'!$P$5:$P$357,157)),"")</f>
        <v/>
      </c>
      <c r="D169">
        <f>IFERROR(INDEX('ערכים טכנולוגיים'!$D$5:$D$357,SMALL('ערכים טכנולוגיים'!$P$5:$P$357,157)),"")</f>
        <v/>
      </c>
      <c r="E169">
        <f>IFERROR(INDEX('ערכים טכנולוגיים'!$E$5:$E$357,SMALL('ערכים טכנולוגיים'!$P$5:$P$357,157)),"")</f>
        <v/>
      </c>
      <c r="F169">
        <f>IFERROR(INDEX('ערכים טכנולוגיים'!$F$5:$F$357,SMALL('ערכים טכנולוגיים'!$P$5:$P$357,157)),"")</f>
        <v/>
      </c>
      <c r="G169">
        <f>IFERROR(INDEX('ערכים טכנולוגיים'!$G$5:$G$357,SMALL('ערכים טכנולוגיים'!$P$5:$P$357,157)),"")</f>
        <v/>
      </c>
      <c r="H169">
        <f>IFERROR(INDEX('ערכים טכנולוגיים'!$H$5:$H$357,SMALL('ערכים טכנולוגיים'!$P$5:$P$357,157)),"")</f>
        <v/>
      </c>
      <c r="I169">
        <f>IFERROR(INDEX('ערכים טכנולוגיים'!$I$5:$I$357,SMALL('ערכים טכנולוגיים'!$P$5:$P$357,157)),"")</f>
        <v/>
      </c>
      <c r="J169">
        <f>IFERROR(INDEX('ערכים טכנולוגיים'!$J$5:$J$357,SMALL('ערכים טכנולוגיים'!$P$5:$P$357,157)),"")</f>
        <v/>
      </c>
      <c r="K169">
        <f>IFERROR(INDEX('ערכים טכנולוגיים'!$K$5:$K$357,SMALL('ערכים טכנולוגיים'!$P$5:$P$357,157)),"")</f>
        <v/>
      </c>
      <c r="L169">
        <f>IFERROR(INDEX('ערכים טכנולוגיים'!$L$5:$L$357,SMALL('ערכים טכנולוגיים'!$P$5:$P$357,157)),"")</f>
        <v/>
      </c>
      <c r="M169">
        <f>IFERROR(INDEX('ערכים טכנולוגיים'!$M$5:$M$357,SMALL('ערכים טכנולוגיים'!$P$5:$P$357,157)),"")</f>
        <v/>
      </c>
      <c r="N169">
        <f>IFERROR(INDEX('ערכים טכנולוגיים'!$N$5:$N$357,SMALL('ערכים טכנולוגיים'!$P$5:$P$357,157)),"")</f>
        <v/>
      </c>
      <c r="O169">
        <f>IFERROR(INDEX('ערכים טכנולוגיים'!$O$5:$O$357,SMALL('ערכים טכנולוגיים'!$P$5:$P$357,157)),"")</f>
        <v/>
      </c>
    </row>
    <row r="170">
      <c r="A170">
        <f>IFERROR(INDEX('ערכים טכנולוגיים'!$A$5:$A$357,SMALL('ערכים טכנולוגיים'!$P$5:$P$357,158)),"")</f>
        <v/>
      </c>
      <c r="B170">
        <f>IFERROR(INDEX('ערכים טכנולוגיים'!$B$5:$B$357,SMALL('ערכים טכנולוגיים'!$P$5:$P$357,158)),"")</f>
        <v/>
      </c>
      <c r="C170">
        <f>IFERROR(INDEX('ערכים טכנולוגיים'!$C$5:$C$357,SMALL('ערכים טכנולוגיים'!$P$5:$P$357,158)),"")</f>
        <v/>
      </c>
      <c r="D170">
        <f>IFERROR(INDEX('ערכים טכנולוגיים'!$D$5:$D$357,SMALL('ערכים טכנולוגיים'!$P$5:$P$357,158)),"")</f>
        <v/>
      </c>
      <c r="E170">
        <f>IFERROR(INDEX('ערכים טכנולוגיים'!$E$5:$E$357,SMALL('ערכים טכנולוגיים'!$P$5:$P$357,158)),"")</f>
        <v/>
      </c>
      <c r="F170">
        <f>IFERROR(INDEX('ערכים טכנולוגיים'!$F$5:$F$357,SMALL('ערכים טכנולוגיים'!$P$5:$P$357,158)),"")</f>
        <v/>
      </c>
      <c r="G170">
        <f>IFERROR(INDEX('ערכים טכנולוגיים'!$G$5:$G$357,SMALL('ערכים טכנולוגיים'!$P$5:$P$357,158)),"")</f>
        <v/>
      </c>
      <c r="H170">
        <f>IFERROR(INDEX('ערכים טכנולוגיים'!$H$5:$H$357,SMALL('ערכים טכנולוגיים'!$P$5:$P$357,158)),"")</f>
        <v/>
      </c>
      <c r="I170">
        <f>IFERROR(INDEX('ערכים טכנולוגיים'!$I$5:$I$357,SMALL('ערכים טכנולוגיים'!$P$5:$P$357,158)),"")</f>
        <v/>
      </c>
      <c r="J170">
        <f>IFERROR(INDEX('ערכים טכנולוגיים'!$J$5:$J$357,SMALL('ערכים טכנולוגיים'!$P$5:$P$357,158)),"")</f>
        <v/>
      </c>
      <c r="K170">
        <f>IFERROR(INDEX('ערכים טכנולוגיים'!$K$5:$K$357,SMALL('ערכים טכנולוגיים'!$P$5:$P$357,158)),"")</f>
        <v/>
      </c>
      <c r="L170">
        <f>IFERROR(INDEX('ערכים טכנולוגיים'!$L$5:$L$357,SMALL('ערכים טכנולוגיים'!$P$5:$P$357,158)),"")</f>
        <v/>
      </c>
      <c r="M170">
        <f>IFERROR(INDEX('ערכים טכנולוגיים'!$M$5:$M$357,SMALL('ערכים טכנולוגיים'!$P$5:$P$357,158)),"")</f>
        <v/>
      </c>
      <c r="N170">
        <f>IFERROR(INDEX('ערכים טכנולוגיים'!$N$5:$N$357,SMALL('ערכים טכנולוגיים'!$P$5:$P$357,158)),"")</f>
        <v/>
      </c>
      <c r="O170">
        <f>IFERROR(INDEX('ערכים טכנולוגיים'!$O$5:$O$357,SMALL('ערכים טכנולוגיים'!$P$5:$P$357,158)),"")</f>
        <v/>
      </c>
    </row>
    <row r="171">
      <c r="A171">
        <f>IFERROR(INDEX('ערכים טכנולוגיים'!$A$5:$A$357,SMALL('ערכים טכנולוגיים'!$P$5:$P$357,159)),"")</f>
        <v/>
      </c>
      <c r="B171">
        <f>IFERROR(INDEX('ערכים טכנולוגיים'!$B$5:$B$357,SMALL('ערכים טכנולוגיים'!$P$5:$P$357,159)),"")</f>
        <v/>
      </c>
      <c r="C171">
        <f>IFERROR(INDEX('ערכים טכנולוגיים'!$C$5:$C$357,SMALL('ערכים טכנולוגיים'!$P$5:$P$357,159)),"")</f>
        <v/>
      </c>
      <c r="D171">
        <f>IFERROR(INDEX('ערכים טכנולוגיים'!$D$5:$D$357,SMALL('ערכים טכנולוגיים'!$P$5:$P$357,159)),"")</f>
        <v/>
      </c>
      <c r="E171">
        <f>IFERROR(INDEX('ערכים טכנולוגיים'!$E$5:$E$357,SMALL('ערכים טכנולוגיים'!$P$5:$P$357,159)),"")</f>
        <v/>
      </c>
      <c r="F171">
        <f>IFERROR(INDEX('ערכים טכנולוגיים'!$F$5:$F$357,SMALL('ערכים טכנולוגיים'!$P$5:$P$357,159)),"")</f>
        <v/>
      </c>
      <c r="G171">
        <f>IFERROR(INDEX('ערכים טכנולוגיים'!$G$5:$G$357,SMALL('ערכים טכנולוגיים'!$P$5:$P$357,159)),"")</f>
        <v/>
      </c>
      <c r="H171">
        <f>IFERROR(INDEX('ערכים טכנולוגיים'!$H$5:$H$357,SMALL('ערכים טכנולוגיים'!$P$5:$P$357,159)),"")</f>
        <v/>
      </c>
      <c r="I171">
        <f>IFERROR(INDEX('ערכים טכנולוגיים'!$I$5:$I$357,SMALL('ערכים טכנולוגיים'!$P$5:$P$357,159)),"")</f>
        <v/>
      </c>
      <c r="J171">
        <f>IFERROR(INDEX('ערכים טכנולוגיים'!$J$5:$J$357,SMALL('ערכים טכנולוגיים'!$P$5:$P$357,159)),"")</f>
        <v/>
      </c>
      <c r="K171">
        <f>IFERROR(INDEX('ערכים טכנולוגיים'!$K$5:$K$357,SMALL('ערכים טכנולוגיים'!$P$5:$P$357,159)),"")</f>
        <v/>
      </c>
      <c r="L171">
        <f>IFERROR(INDEX('ערכים טכנולוגיים'!$L$5:$L$357,SMALL('ערכים טכנולוגיים'!$P$5:$P$357,159)),"")</f>
        <v/>
      </c>
      <c r="M171">
        <f>IFERROR(INDEX('ערכים טכנולוגיים'!$M$5:$M$357,SMALL('ערכים טכנולוגיים'!$P$5:$P$357,159)),"")</f>
        <v/>
      </c>
      <c r="N171">
        <f>IFERROR(INDEX('ערכים טכנולוגיים'!$N$5:$N$357,SMALL('ערכים טכנולוגיים'!$P$5:$P$357,159)),"")</f>
        <v/>
      </c>
      <c r="O171">
        <f>IFERROR(INDEX('ערכים טכנולוגיים'!$O$5:$O$357,SMALL('ערכים טכנולוגיים'!$P$5:$P$357,159)),"")</f>
        <v/>
      </c>
    </row>
    <row r="172">
      <c r="A172">
        <f>IFERROR(INDEX('ערכים טכנולוגיים'!$A$5:$A$357,SMALL('ערכים טכנולוגיים'!$P$5:$P$357,160)),"")</f>
        <v/>
      </c>
      <c r="B172">
        <f>IFERROR(INDEX('ערכים טכנולוגיים'!$B$5:$B$357,SMALL('ערכים טכנולוגיים'!$P$5:$P$357,160)),"")</f>
        <v/>
      </c>
      <c r="C172">
        <f>IFERROR(INDEX('ערכים טכנולוגיים'!$C$5:$C$357,SMALL('ערכים טכנולוגיים'!$P$5:$P$357,160)),"")</f>
        <v/>
      </c>
      <c r="D172">
        <f>IFERROR(INDEX('ערכים טכנולוגיים'!$D$5:$D$357,SMALL('ערכים טכנולוגיים'!$P$5:$P$357,160)),"")</f>
        <v/>
      </c>
      <c r="E172">
        <f>IFERROR(INDEX('ערכים טכנולוגיים'!$E$5:$E$357,SMALL('ערכים טכנולוגיים'!$P$5:$P$357,160)),"")</f>
        <v/>
      </c>
      <c r="F172">
        <f>IFERROR(INDEX('ערכים טכנולוגיים'!$F$5:$F$357,SMALL('ערכים טכנולוגיים'!$P$5:$P$357,160)),"")</f>
        <v/>
      </c>
      <c r="G172">
        <f>IFERROR(INDEX('ערכים טכנולוגיים'!$G$5:$G$357,SMALL('ערכים טכנולוגיים'!$P$5:$P$357,160)),"")</f>
        <v/>
      </c>
      <c r="H172">
        <f>IFERROR(INDEX('ערכים טכנולוגיים'!$H$5:$H$357,SMALL('ערכים טכנולוגיים'!$P$5:$P$357,160)),"")</f>
        <v/>
      </c>
      <c r="I172">
        <f>IFERROR(INDEX('ערכים טכנולוגיים'!$I$5:$I$357,SMALL('ערכים טכנולוגיים'!$P$5:$P$357,160)),"")</f>
        <v/>
      </c>
      <c r="J172">
        <f>IFERROR(INDEX('ערכים טכנולוגיים'!$J$5:$J$357,SMALL('ערכים טכנולוגיים'!$P$5:$P$357,160)),"")</f>
        <v/>
      </c>
      <c r="K172">
        <f>IFERROR(INDEX('ערכים טכנולוגיים'!$K$5:$K$357,SMALL('ערכים טכנולוגיים'!$P$5:$P$357,160)),"")</f>
        <v/>
      </c>
      <c r="L172">
        <f>IFERROR(INDEX('ערכים טכנולוגיים'!$L$5:$L$357,SMALL('ערכים טכנולוגיים'!$P$5:$P$357,160)),"")</f>
        <v/>
      </c>
      <c r="M172">
        <f>IFERROR(INDEX('ערכים טכנולוגיים'!$M$5:$M$357,SMALL('ערכים טכנולוגיים'!$P$5:$P$357,160)),"")</f>
        <v/>
      </c>
      <c r="N172">
        <f>IFERROR(INDEX('ערכים טכנולוגיים'!$N$5:$N$357,SMALL('ערכים טכנולוגיים'!$P$5:$P$357,160)),"")</f>
        <v/>
      </c>
      <c r="O172">
        <f>IFERROR(INDEX('ערכים טכנולוגיים'!$O$5:$O$357,SMALL('ערכים טכנולוגיים'!$P$5:$P$357,160)),"")</f>
        <v/>
      </c>
    </row>
    <row r="173">
      <c r="A173">
        <f>IFERROR(INDEX('ערכים טכנולוגיים'!$A$5:$A$357,SMALL('ערכים טכנולוגיים'!$P$5:$P$357,161)),"")</f>
        <v/>
      </c>
      <c r="B173">
        <f>IFERROR(INDEX('ערכים טכנולוגיים'!$B$5:$B$357,SMALL('ערכים טכנולוגיים'!$P$5:$P$357,161)),"")</f>
        <v/>
      </c>
      <c r="C173">
        <f>IFERROR(INDEX('ערכים טכנולוגיים'!$C$5:$C$357,SMALL('ערכים טכנולוגיים'!$P$5:$P$357,161)),"")</f>
        <v/>
      </c>
      <c r="D173">
        <f>IFERROR(INDEX('ערכים טכנולוגיים'!$D$5:$D$357,SMALL('ערכים טכנולוגיים'!$P$5:$P$357,161)),"")</f>
        <v/>
      </c>
      <c r="E173">
        <f>IFERROR(INDEX('ערכים טכנולוגיים'!$E$5:$E$357,SMALL('ערכים טכנולוגיים'!$P$5:$P$357,161)),"")</f>
        <v/>
      </c>
      <c r="F173">
        <f>IFERROR(INDEX('ערכים טכנולוגיים'!$F$5:$F$357,SMALL('ערכים טכנולוגיים'!$P$5:$P$357,161)),"")</f>
        <v/>
      </c>
      <c r="G173">
        <f>IFERROR(INDEX('ערכים טכנולוגיים'!$G$5:$G$357,SMALL('ערכים טכנולוגיים'!$P$5:$P$357,161)),"")</f>
        <v/>
      </c>
      <c r="H173">
        <f>IFERROR(INDEX('ערכים טכנולוגיים'!$H$5:$H$357,SMALL('ערכים טכנולוגיים'!$P$5:$P$357,161)),"")</f>
        <v/>
      </c>
      <c r="I173">
        <f>IFERROR(INDEX('ערכים טכנולוגיים'!$I$5:$I$357,SMALL('ערכים טכנולוגיים'!$P$5:$P$357,161)),"")</f>
        <v/>
      </c>
      <c r="J173">
        <f>IFERROR(INDEX('ערכים טכנולוגיים'!$J$5:$J$357,SMALL('ערכים טכנולוגיים'!$P$5:$P$357,161)),"")</f>
        <v/>
      </c>
      <c r="K173">
        <f>IFERROR(INDEX('ערכים טכנולוגיים'!$K$5:$K$357,SMALL('ערכים טכנולוגיים'!$P$5:$P$357,161)),"")</f>
        <v/>
      </c>
      <c r="L173">
        <f>IFERROR(INDEX('ערכים טכנולוגיים'!$L$5:$L$357,SMALL('ערכים טכנולוגיים'!$P$5:$P$357,161)),"")</f>
        <v/>
      </c>
      <c r="M173">
        <f>IFERROR(INDEX('ערכים טכנולוגיים'!$M$5:$M$357,SMALL('ערכים טכנולוגיים'!$P$5:$P$357,161)),"")</f>
        <v/>
      </c>
      <c r="N173">
        <f>IFERROR(INDEX('ערכים טכנולוגיים'!$N$5:$N$357,SMALL('ערכים טכנולוגיים'!$P$5:$P$357,161)),"")</f>
        <v/>
      </c>
      <c r="O173">
        <f>IFERROR(INDEX('ערכים טכנולוגיים'!$O$5:$O$357,SMALL('ערכים טכנולוגיים'!$P$5:$P$357,161)),"")</f>
        <v/>
      </c>
    </row>
    <row r="174">
      <c r="A174">
        <f>IFERROR(INDEX('ערכים טכנולוגיים'!$A$5:$A$357,SMALL('ערכים טכנולוגיים'!$P$5:$P$357,162)),"")</f>
        <v/>
      </c>
      <c r="B174">
        <f>IFERROR(INDEX('ערכים טכנולוגיים'!$B$5:$B$357,SMALL('ערכים טכנולוגיים'!$P$5:$P$357,162)),"")</f>
        <v/>
      </c>
      <c r="C174">
        <f>IFERROR(INDEX('ערכים טכנולוגיים'!$C$5:$C$357,SMALL('ערכים טכנולוגיים'!$P$5:$P$357,162)),"")</f>
        <v/>
      </c>
      <c r="D174">
        <f>IFERROR(INDEX('ערכים טכנולוגיים'!$D$5:$D$357,SMALL('ערכים טכנולוגיים'!$P$5:$P$357,162)),"")</f>
        <v/>
      </c>
      <c r="E174">
        <f>IFERROR(INDEX('ערכים טכנולוגיים'!$E$5:$E$357,SMALL('ערכים טכנולוגיים'!$P$5:$P$357,162)),"")</f>
        <v/>
      </c>
      <c r="F174">
        <f>IFERROR(INDEX('ערכים טכנולוגיים'!$F$5:$F$357,SMALL('ערכים טכנולוגיים'!$P$5:$P$357,162)),"")</f>
        <v/>
      </c>
      <c r="G174">
        <f>IFERROR(INDEX('ערכים טכנולוגיים'!$G$5:$G$357,SMALL('ערכים טכנולוגיים'!$P$5:$P$357,162)),"")</f>
        <v/>
      </c>
      <c r="H174">
        <f>IFERROR(INDEX('ערכים טכנולוגיים'!$H$5:$H$357,SMALL('ערכים טכנולוגיים'!$P$5:$P$357,162)),"")</f>
        <v/>
      </c>
      <c r="I174">
        <f>IFERROR(INDEX('ערכים טכנולוגיים'!$I$5:$I$357,SMALL('ערכים טכנולוגיים'!$P$5:$P$357,162)),"")</f>
        <v/>
      </c>
      <c r="J174">
        <f>IFERROR(INDEX('ערכים טכנולוגיים'!$J$5:$J$357,SMALL('ערכים טכנולוגיים'!$P$5:$P$357,162)),"")</f>
        <v/>
      </c>
      <c r="K174">
        <f>IFERROR(INDEX('ערכים טכנולוגיים'!$K$5:$K$357,SMALL('ערכים טכנולוגיים'!$P$5:$P$357,162)),"")</f>
        <v/>
      </c>
      <c r="L174">
        <f>IFERROR(INDEX('ערכים טכנולוגיים'!$L$5:$L$357,SMALL('ערכים טכנולוגיים'!$P$5:$P$357,162)),"")</f>
        <v/>
      </c>
      <c r="M174">
        <f>IFERROR(INDEX('ערכים טכנולוגיים'!$M$5:$M$357,SMALL('ערכים טכנולוגיים'!$P$5:$P$357,162)),"")</f>
        <v/>
      </c>
      <c r="N174">
        <f>IFERROR(INDEX('ערכים טכנולוגיים'!$N$5:$N$357,SMALL('ערכים טכנולוגיים'!$P$5:$P$357,162)),"")</f>
        <v/>
      </c>
      <c r="O174">
        <f>IFERROR(INDEX('ערכים טכנולוגיים'!$O$5:$O$357,SMALL('ערכים טכנולוגיים'!$P$5:$P$357,162)),"")</f>
        <v/>
      </c>
    </row>
    <row r="175">
      <c r="A175">
        <f>IFERROR(INDEX('ערכים טכנולוגיים'!$A$5:$A$357,SMALL('ערכים טכנולוגיים'!$P$5:$P$357,163)),"")</f>
        <v/>
      </c>
      <c r="B175">
        <f>IFERROR(INDEX('ערכים טכנולוגיים'!$B$5:$B$357,SMALL('ערכים טכנולוגיים'!$P$5:$P$357,163)),"")</f>
        <v/>
      </c>
      <c r="C175">
        <f>IFERROR(INDEX('ערכים טכנולוגיים'!$C$5:$C$357,SMALL('ערכים טכנולוגיים'!$P$5:$P$357,163)),"")</f>
        <v/>
      </c>
      <c r="D175">
        <f>IFERROR(INDEX('ערכים טכנולוגיים'!$D$5:$D$357,SMALL('ערכים טכנולוגיים'!$P$5:$P$357,163)),"")</f>
        <v/>
      </c>
      <c r="E175">
        <f>IFERROR(INDEX('ערכים טכנולוגיים'!$E$5:$E$357,SMALL('ערכים טכנולוגיים'!$P$5:$P$357,163)),"")</f>
        <v/>
      </c>
      <c r="F175">
        <f>IFERROR(INDEX('ערכים טכנולוגיים'!$F$5:$F$357,SMALL('ערכים טכנולוגיים'!$P$5:$P$357,163)),"")</f>
        <v/>
      </c>
      <c r="G175">
        <f>IFERROR(INDEX('ערכים טכנולוגיים'!$G$5:$G$357,SMALL('ערכים טכנולוגיים'!$P$5:$P$357,163)),"")</f>
        <v/>
      </c>
      <c r="H175">
        <f>IFERROR(INDEX('ערכים טכנולוגיים'!$H$5:$H$357,SMALL('ערכים טכנולוגיים'!$P$5:$P$357,163)),"")</f>
        <v/>
      </c>
      <c r="I175">
        <f>IFERROR(INDEX('ערכים טכנולוגיים'!$I$5:$I$357,SMALL('ערכים טכנולוגיים'!$P$5:$P$357,163)),"")</f>
        <v/>
      </c>
      <c r="J175">
        <f>IFERROR(INDEX('ערכים טכנולוגיים'!$J$5:$J$357,SMALL('ערכים טכנולוגיים'!$P$5:$P$357,163)),"")</f>
        <v/>
      </c>
      <c r="K175">
        <f>IFERROR(INDEX('ערכים טכנולוגיים'!$K$5:$K$357,SMALL('ערכים טכנולוגיים'!$P$5:$P$357,163)),"")</f>
        <v/>
      </c>
      <c r="L175">
        <f>IFERROR(INDEX('ערכים טכנולוגיים'!$L$5:$L$357,SMALL('ערכים טכנולוגיים'!$P$5:$P$357,163)),"")</f>
        <v/>
      </c>
      <c r="M175">
        <f>IFERROR(INDEX('ערכים טכנולוגיים'!$M$5:$M$357,SMALL('ערכים טכנולוגיים'!$P$5:$P$357,163)),"")</f>
        <v/>
      </c>
      <c r="N175">
        <f>IFERROR(INDEX('ערכים טכנולוגיים'!$N$5:$N$357,SMALL('ערכים טכנולוגיים'!$P$5:$P$357,163)),"")</f>
        <v/>
      </c>
      <c r="O175">
        <f>IFERROR(INDEX('ערכים טכנולוגיים'!$O$5:$O$357,SMALL('ערכים טכנולוגיים'!$P$5:$P$357,163)),"")</f>
        <v/>
      </c>
    </row>
    <row r="176">
      <c r="A176">
        <f>IFERROR(INDEX('ערכים טכנולוגיים'!$A$5:$A$357,SMALL('ערכים טכנולוגיים'!$P$5:$P$357,164)),"")</f>
        <v/>
      </c>
      <c r="B176">
        <f>IFERROR(INDEX('ערכים טכנולוגיים'!$B$5:$B$357,SMALL('ערכים טכנולוגיים'!$P$5:$P$357,164)),"")</f>
        <v/>
      </c>
      <c r="C176">
        <f>IFERROR(INDEX('ערכים טכנולוגיים'!$C$5:$C$357,SMALL('ערכים טכנולוגיים'!$P$5:$P$357,164)),"")</f>
        <v/>
      </c>
      <c r="D176">
        <f>IFERROR(INDEX('ערכים טכנולוגיים'!$D$5:$D$357,SMALL('ערכים טכנולוגיים'!$P$5:$P$357,164)),"")</f>
        <v/>
      </c>
      <c r="E176">
        <f>IFERROR(INDEX('ערכים טכנולוגיים'!$E$5:$E$357,SMALL('ערכים טכנולוגיים'!$P$5:$P$357,164)),"")</f>
        <v/>
      </c>
      <c r="F176">
        <f>IFERROR(INDEX('ערכים טכנולוגיים'!$F$5:$F$357,SMALL('ערכים טכנולוגיים'!$P$5:$P$357,164)),"")</f>
        <v/>
      </c>
      <c r="G176">
        <f>IFERROR(INDEX('ערכים טכנולוגיים'!$G$5:$G$357,SMALL('ערכים טכנולוגיים'!$P$5:$P$357,164)),"")</f>
        <v/>
      </c>
      <c r="H176">
        <f>IFERROR(INDEX('ערכים טכנולוגיים'!$H$5:$H$357,SMALL('ערכים טכנולוגיים'!$P$5:$P$357,164)),"")</f>
        <v/>
      </c>
      <c r="I176">
        <f>IFERROR(INDEX('ערכים טכנולוגיים'!$I$5:$I$357,SMALL('ערכים טכנולוגיים'!$P$5:$P$357,164)),"")</f>
        <v/>
      </c>
      <c r="J176">
        <f>IFERROR(INDEX('ערכים טכנולוגיים'!$J$5:$J$357,SMALL('ערכים טכנולוגיים'!$P$5:$P$357,164)),"")</f>
        <v/>
      </c>
      <c r="K176">
        <f>IFERROR(INDEX('ערכים טכנולוגיים'!$K$5:$K$357,SMALL('ערכים טכנולוגיים'!$P$5:$P$357,164)),"")</f>
        <v/>
      </c>
      <c r="L176">
        <f>IFERROR(INDEX('ערכים טכנולוגיים'!$L$5:$L$357,SMALL('ערכים טכנולוגיים'!$P$5:$P$357,164)),"")</f>
        <v/>
      </c>
      <c r="M176">
        <f>IFERROR(INDEX('ערכים טכנולוגיים'!$M$5:$M$357,SMALL('ערכים טכנולוגיים'!$P$5:$P$357,164)),"")</f>
        <v/>
      </c>
      <c r="N176">
        <f>IFERROR(INDEX('ערכים טכנולוגיים'!$N$5:$N$357,SMALL('ערכים טכנולוגיים'!$P$5:$P$357,164)),"")</f>
        <v/>
      </c>
      <c r="O176">
        <f>IFERROR(INDEX('ערכים טכנולוגיים'!$O$5:$O$357,SMALL('ערכים טכנולוגיים'!$P$5:$P$357,164)),"")</f>
        <v/>
      </c>
    </row>
    <row r="177">
      <c r="A177">
        <f>IFERROR(INDEX('ערכים טכנולוגיים'!$A$5:$A$357,SMALL('ערכים טכנולוגיים'!$P$5:$P$357,165)),"")</f>
        <v/>
      </c>
      <c r="B177">
        <f>IFERROR(INDEX('ערכים טכנולוגיים'!$B$5:$B$357,SMALL('ערכים טכנולוגיים'!$P$5:$P$357,165)),"")</f>
        <v/>
      </c>
      <c r="C177">
        <f>IFERROR(INDEX('ערכים טכנולוגיים'!$C$5:$C$357,SMALL('ערכים טכנולוגיים'!$P$5:$P$357,165)),"")</f>
        <v/>
      </c>
      <c r="D177">
        <f>IFERROR(INDEX('ערכים טכנולוגיים'!$D$5:$D$357,SMALL('ערכים טכנולוגיים'!$P$5:$P$357,165)),"")</f>
        <v/>
      </c>
      <c r="E177">
        <f>IFERROR(INDEX('ערכים טכנולוגיים'!$E$5:$E$357,SMALL('ערכים טכנולוגיים'!$P$5:$P$357,165)),"")</f>
        <v/>
      </c>
      <c r="F177">
        <f>IFERROR(INDEX('ערכים טכנולוגיים'!$F$5:$F$357,SMALL('ערכים טכנולוגיים'!$P$5:$P$357,165)),"")</f>
        <v/>
      </c>
      <c r="G177">
        <f>IFERROR(INDEX('ערכים טכנולוגיים'!$G$5:$G$357,SMALL('ערכים טכנולוגיים'!$P$5:$P$357,165)),"")</f>
        <v/>
      </c>
      <c r="H177">
        <f>IFERROR(INDEX('ערכים טכנולוגיים'!$H$5:$H$357,SMALL('ערכים טכנולוגיים'!$P$5:$P$357,165)),"")</f>
        <v/>
      </c>
      <c r="I177">
        <f>IFERROR(INDEX('ערכים טכנולוגיים'!$I$5:$I$357,SMALL('ערכים טכנולוגיים'!$P$5:$P$357,165)),"")</f>
        <v/>
      </c>
      <c r="J177">
        <f>IFERROR(INDEX('ערכים טכנולוגיים'!$J$5:$J$357,SMALL('ערכים טכנולוגיים'!$P$5:$P$357,165)),"")</f>
        <v/>
      </c>
      <c r="K177">
        <f>IFERROR(INDEX('ערכים טכנולוגיים'!$K$5:$K$357,SMALL('ערכים טכנולוגיים'!$P$5:$P$357,165)),"")</f>
        <v/>
      </c>
      <c r="L177">
        <f>IFERROR(INDEX('ערכים טכנולוגיים'!$L$5:$L$357,SMALL('ערכים טכנולוגיים'!$P$5:$P$357,165)),"")</f>
        <v/>
      </c>
      <c r="M177">
        <f>IFERROR(INDEX('ערכים טכנולוגיים'!$M$5:$M$357,SMALL('ערכים טכנולוגיים'!$P$5:$P$357,165)),"")</f>
        <v/>
      </c>
      <c r="N177">
        <f>IFERROR(INDEX('ערכים טכנולוגיים'!$N$5:$N$357,SMALL('ערכים טכנולוגיים'!$P$5:$P$357,165)),"")</f>
        <v/>
      </c>
      <c r="O177">
        <f>IFERROR(INDEX('ערכים טכנולוגיים'!$O$5:$O$357,SMALL('ערכים טכנולוגיים'!$P$5:$P$357,165)),"")</f>
        <v/>
      </c>
    </row>
    <row r="178">
      <c r="A178">
        <f>IFERROR(INDEX('ערכים טכנולוגיים'!$A$5:$A$357,SMALL('ערכים טכנולוגיים'!$P$5:$P$357,166)),"")</f>
        <v/>
      </c>
      <c r="B178">
        <f>IFERROR(INDEX('ערכים טכנולוגיים'!$B$5:$B$357,SMALL('ערכים טכנולוגיים'!$P$5:$P$357,166)),"")</f>
        <v/>
      </c>
      <c r="C178">
        <f>IFERROR(INDEX('ערכים טכנולוגיים'!$C$5:$C$357,SMALL('ערכים טכנולוגיים'!$P$5:$P$357,166)),"")</f>
        <v/>
      </c>
      <c r="D178">
        <f>IFERROR(INDEX('ערכים טכנולוגיים'!$D$5:$D$357,SMALL('ערכים טכנולוגיים'!$P$5:$P$357,166)),"")</f>
        <v/>
      </c>
      <c r="E178">
        <f>IFERROR(INDEX('ערכים טכנולוגיים'!$E$5:$E$357,SMALL('ערכים טכנולוגיים'!$P$5:$P$357,166)),"")</f>
        <v/>
      </c>
      <c r="F178">
        <f>IFERROR(INDEX('ערכים טכנולוגיים'!$F$5:$F$357,SMALL('ערכים טכנולוגיים'!$P$5:$P$357,166)),"")</f>
        <v/>
      </c>
      <c r="G178">
        <f>IFERROR(INDEX('ערכים טכנולוגיים'!$G$5:$G$357,SMALL('ערכים טכנולוגיים'!$P$5:$P$357,166)),"")</f>
        <v/>
      </c>
      <c r="H178">
        <f>IFERROR(INDEX('ערכים טכנולוגיים'!$H$5:$H$357,SMALL('ערכים טכנולוגיים'!$P$5:$P$357,166)),"")</f>
        <v/>
      </c>
      <c r="I178">
        <f>IFERROR(INDEX('ערכים טכנולוגיים'!$I$5:$I$357,SMALL('ערכים טכנולוגיים'!$P$5:$P$357,166)),"")</f>
        <v/>
      </c>
      <c r="J178">
        <f>IFERROR(INDEX('ערכים טכנולוגיים'!$J$5:$J$357,SMALL('ערכים טכנולוגיים'!$P$5:$P$357,166)),"")</f>
        <v/>
      </c>
      <c r="K178">
        <f>IFERROR(INDEX('ערכים טכנולוגיים'!$K$5:$K$357,SMALL('ערכים טכנולוגיים'!$P$5:$P$357,166)),"")</f>
        <v/>
      </c>
      <c r="L178">
        <f>IFERROR(INDEX('ערכים טכנולוגיים'!$L$5:$L$357,SMALL('ערכים טכנולוגיים'!$P$5:$P$357,166)),"")</f>
        <v/>
      </c>
      <c r="M178">
        <f>IFERROR(INDEX('ערכים טכנולוגיים'!$M$5:$M$357,SMALL('ערכים טכנולוגיים'!$P$5:$P$357,166)),"")</f>
        <v/>
      </c>
      <c r="N178">
        <f>IFERROR(INDEX('ערכים טכנולוגיים'!$N$5:$N$357,SMALL('ערכים טכנולוגיים'!$P$5:$P$357,166)),"")</f>
        <v/>
      </c>
      <c r="O178">
        <f>IFERROR(INDEX('ערכים טכנולוגיים'!$O$5:$O$357,SMALL('ערכים טכנולוגיים'!$P$5:$P$357,166)),"")</f>
        <v/>
      </c>
    </row>
    <row r="179">
      <c r="A179">
        <f>IFERROR(INDEX('ערכים טכנולוגיים'!$A$5:$A$357,SMALL('ערכים טכנולוגיים'!$P$5:$P$357,167)),"")</f>
        <v/>
      </c>
      <c r="B179">
        <f>IFERROR(INDEX('ערכים טכנולוגיים'!$B$5:$B$357,SMALL('ערכים טכנולוגיים'!$P$5:$P$357,167)),"")</f>
        <v/>
      </c>
      <c r="C179">
        <f>IFERROR(INDEX('ערכים טכנולוגיים'!$C$5:$C$357,SMALL('ערכים טכנולוגיים'!$P$5:$P$357,167)),"")</f>
        <v/>
      </c>
      <c r="D179">
        <f>IFERROR(INDEX('ערכים טכנולוגיים'!$D$5:$D$357,SMALL('ערכים טכנולוגיים'!$P$5:$P$357,167)),"")</f>
        <v/>
      </c>
      <c r="E179">
        <f>IFERROR(INDEX('ערכים טכנולוגיים'!$E$5:$E$357,SMALL('ערכים טכנולוגיים'!$P$5:$P$357,167)),"")</f>
        <v/>
      </c>
      <c r="F179">
        <f>IFERROR(INDEX('ערכים טכנולוגיים'!$F$5:$F$357,SMALL('ערכים טכנולוגיים'!$P$5:$P$357,167)),"")</f>
        <v/>
      </c>
      <c r="G179">
        <f>IFERROR(INDEX('ערכים טכנולוגיים'!$G$5:$G$357,SMALL('ערכים טכנולוגיים'!$P$5:$P$357,167)),"")</f>
        <v/>
      </c>
      <c r="H179">
        <f>IFERROR(INDEX('ערכים טכנולוגיים'!$H$5:$H$357,SMALL('ערכים טכנולוגיים'!$P$5:$P$357,167)),"")</f>
        <v/>
      </c>
      <c r="I179">
        <f>IFERROR(INDEX('ערכים טכנולוגיים'!$I$5:$I$357,SMALL('ערכים טכנולוגיים'!$P$5:$P$357,167)),"")</f>
        <v/>
      </c>
      <c r="J179">
        <f>IFERROR(INDEX('ערכים טכנולוגיים'!$J$5:$J$357,SMALL('ערכים טכנולוגיים'!$P$5:$P$357,167)),"")</f>
        <v/>
      </c>
      <c r="K179">
        <f>IFERROR(INDEX('ערכים טכנולוגיים'!$K$5:$K$357,SMALL('ערכים טכנולוגיים'!$P$5:$P$357,167)),"")</f>
        <v/>
      </c>
      <c r="L179">
        <f>IFERROR(INDEX('ערכים טכנולוגיים'!$L$5:$L$357,SMALL('ערכים טכנולוגיים'!$P$5:$P$357,167)),"")</f>
        <v/>
      </c>
      <c r="M179">
        <f>IFERROR(INDEX('ערכים טכנולוגיים'!$M$5:$M$357,SMALL('ערכים טכנולוגיים'!$P$5:$P$357,167)),"")</f>
        <v/>
      </c>
      <c r="N179">
        <f>IFERROR(INDEX('ערכים טכנולוגיים'!$N$5:$N$357,SMALL('ערכים טכנולוגיים'!$P$5:$P$357,167)),"")</f>
        <v/>
      </c>
      <c r="O179">
        <f>IFERROR(INDEX('ערכים טכנולוגיים'!$O$5:$O$357,SMALL('ערכים טכנולוגיים'!$P$5:$P$357,167)),"")</f>
        <v/>
      </c>
    </row>
    <row r="180">
      <c r="A180">
        <f>IFERROR(INDEX('ערכים טכנולוגיים'!$A$5:$A$357,SMALL('ערכים טכנולוגיים'!$P$5:$P$357,168)),"")</f>
        <v/>
      </c>
      <c r="B180">
        <f>IFERROR(INDEX('ערכים טכנולוגיים'!$B$5:$B$357,SMALL('ערכים טכנולוגיים'!$P$5:$P$357,168)),"")</f>
        <v/>
      </c>
      <c r="C180">
        <f>IFERROR(INDEX('ערכים טכנולוגיים'!$C$5:$C$357,SMALL('ערכים טכנולוגיים'!$P$5:$P$357,168)),"")</f>
        <v/>
      </c>
      <c r="D180">
        <f>IFERROR(INDEX('ערכים טכנולוגיים'!$D$5:$D$357,SMALL('ערכים טכנולוגיים'!$P$5:$P$357,168)),"")</f>
        <v/>
      </c>
      <c r="E180">
        <f>IFERROR(INDEX('ערכים טכנולוגיים'!$E$5:$E$357,SMALL('ערכים טכנולוגיים'!$P$5:$P$357,168)),"")</f>
        <v/>
      </c>
      <c r="F180">
        <f>IFERROR(INDEX('ערכים טכנולוגיים'!$F$5:$F$357,SMALL('ערכים טכנולוגיים'!$P$5:$P$357,168)),"")</f>
        <v/>
      </c>
      <c r="G180">
        <f>IFERROR(INDEX('ערכים טכנולוגיים'!$G$5:$G$357,SMALL('ערכים טכנולוגיים'!$P$5:$P$357,168)),"")</f>
        <v/>
      </c>
      <c r="H180">
        <f>IFERROR(INDEX('ערכים טכנולוגיים'!$H$5:$H$357,SMALL('ערכים טכנולוגיים'!$P$5:$P$357,168)),"")</f>
        <v/>
      </c>
      <c r="I180">
        <f>IFERROR(INDEX('ערכים טכנולוגיים'!$I$5:$I$357,SMALL('ערכים טכנולוגיים'!$P$5:$P$357,168)),"")</f>
        <v/>
      </c>
      <c r="J180">
        <f>IFERROR(INDEX('ערכים טכנולוגיים'!$J$5:$J$357,SMALL('ערכים טכנולוגיים'!$P$5:$P$357,168)),"")</f>
        <v/>
      </c>
      <c r="K180">
        <f>IFERROR(INDEX('ערכים טכנולוגיים'!$K$5:$K$357,SMALL('ערכים טכנולוגיים'!$P$5:$P$357,168)),"")</f>
        <v/>
      </c>
      <c r="L180">
        <f>IFERROR(INDEX('ערכים טכנולוגיים'!$L$5:$L$357,SMALL('ערכים טכנולוגיים'!$P$5:$P$357,168)),"")</f>
        <v/>
      </c>
      <c r="M180">
        <f>IFERROR(INDEX('ערכים טכנולוגיים'!$M$5:$M$357,SMALL('ערכים טכנולוגיים'!$P$5:$P$357,168)),"")</f>
        <v/>
      </c>
      <c r="N180">
        <f>IFERROR(INDEX('ערכים טכנולוגיים'!$N$5:$N$357,SMALL('ערכים טכנולוגיים'!$P$5:$P$357,168)),"")</f>
        <v/>
      </c>
      <c r="O180">
        <f>IFERROR(INDEX('ערכים טכנולוגיים'!$O$5:$O$357,SMALL('ערכים טכנולוגיים'!$P$5:$P$357,168)),"")</f>
        <v/>
      </c>
    </row>
    <row r="181">
      <c r="A181">
        <f>IFERROR(INDEX('ערכים טכנולוגיים'!$A$5:$A$357,SMALL('ערכים טכנולוגיים'!$P$5:$P$357,169)),"")</f>
        <v/>
      </c>
      <c r="B181">
        <f>IFERROR(INDEX('ערכים טכנולוגיים'!$B$5:$B$357,SMALL('ערכים טכנולוגיים'!$P$5:$P$357,169)),"")</f>
        <v/>
      </c>
      <c r="C181">
        <f>IFERROR(INDEX('ערכים טכנולוגיים'!$C$5:$C$357,SMALL('ערכים טכנולוגיים'!$P$5:$P$357,169)),"")</f>
        <v/>
      </c>
      <c r="D181">
        <f>IFERROR(INDEX('ערכים טכנולוגיים'!$D$5:$D$357,SMALL('ערכים טכנולוגיים'!$P$5:$P$357,169)),"")</f>
        <v/>
      </c>
      <c r="E181">
        <f>IFERROR(INDEX('ערכים טכנולוגיים'!$E$5:$E$357,SMALL('ערכים טכנולוגיים'!$P$5:$P$357,169)),"")</f>
        <v/>
      </c>
      <c r="F181">
        <f>IFERROR(INDEX('ערכים טכנולוגיים'!$F$5:$F$357,SMALL('ערכים טכנולוגיים'!$P$5:$P$357,169)),"")</f>
        <v/>
      </c>
      <c r="G181">
        <f>IFERROR(INDEX('ערכים טכנולוגיים'!$G$5:$G$357,SMALL('ערכים טכנולוגיים'!$P$5:$P$357,169)),"")</f>
        <v/>
      </c>
      <c r="H181">
        <f>IFERROR(INDEX('ערכים טכנולוגיים'!$H$5:$H$357,SMALL('ערכים טכנולוגיים'!$P$5:$P$357,169)),"")</f>
        <v/>
      </c>
      <c r="I181">
        <f>IFERROR(INDEX('ערכים טכנולוגיים'!$I$5:$I$357,SMALL('ערכים טכנולוגיים'!$P$5:$P$357,169)),"")</f>
        <v/>
      </c>
      <c r="J181">
        <f>IFERROR(INDEX('ערכים טכנולוגיים'!$J$5:$J$357,SMALL('ערכים טכנולוגיים'!$P$5:$P$357,169)),"")</f>
        <v/>
      </c>
      <c r="K181">
        <f>IFERROR(INDEX('ערכים טכנולוגיים'!$K$5:$K$357,SMALL('ערכים טכנולוגיים'!$P$5:$P$357,169)),"")</f>
        <v/>
      </c>
      <c r="L181">
        <f>IFERROR(INDEX('ערכים טכנולוגיים'!$L$5:$L$357,SMALL('ערכים טכנולוגיים'!$P$5:$P$357,169)),"")</f>
        <v/>
      </c>
      <c r="M181">
        <f>IFERROR(INDEX('ערכים טכנולוגיים'!$M$5:$M$357,SMALL('ערכים טכנולוגיים'!$P$5:$P$357,169)),"")</f>
        <v/>
      </c>
      <c r="N181">
        <f>IFERROR(INDEX('ערכים טכנולוגיים'!$N$5:$N$357,SMALL('ערכים טכנולוגיים'!$P$5:$P$357,169)),"")</f>
        <v/>
      </c>
      <c r="O181">
        <f>IFERROR(INDEX('ערכים טכנולוגיים'!$O$5:$O$357,SMALL('ערכים טכנולוגיים'!$P$5:$P$357,169)),"")</f>
        <v/>
      </c>
    </row>
    <row r="182">
      <c r="A182">
        <f>IFERROR(INDEX('ערכים טכנולוגיים'!$A$5:$A$357,SMALL('ערכים טכנולוגיים'!$P$5:$P$357,170)),"")</f>
        <v/>
      </c>
      <c r="B182">
        <f>IFERROR(INDEX('ערכים טכנולוגיים'!$B$5:$B$357,SMALL('ערכים טכנולוגיים'!$P$5:$P$357,170)),"")</f>
        <v/>
      </c>
      <c r="C182">
        <f>IFERROR(INDEX('ערכים טכנולוגיים'!$C$5:$C$357,SMALL('ערכים טכנולוגיים'!$P$5:$P$357,170)),"")</f>
        <v/>
      </c>
      <c r="D182">
        <f>IFERROR(INDEX('ערכים טכנולוגיים'!$D$5:$D$357,SMALL('ערכים טכנולוגיים'!$P$5:$P$357,170)),"")</f>
        <v/>
      </c>
      <c r="E182">
        <f>IFERROR(INDEX('ערכים טכנולוגיים'!$E$5:$E$357,SMALL('ערכים טכנולוגיים'!$P$5:$P$357,170)),"")</f>
        <v/>
      </c>
      <c r="F182">
        <f>IFERROR(INDEX('ערכים טכנולוגיים'!$F$5:$F$357,SMALL('ערכים טכנולוגיים'!$P$5:$P$357,170)),"")</f>
        <v/>
      </c>
      <c r="G182">
        <f>IFERROR(INDEX('ערכים טכנולוגיים'!$G$5:$G$357,SMALL('ערכים טכנולוגיים'!$P$5:$P$357,170)),"")</f>
        <v/>
      </c>
      <c r="H182">
        <f>IFERROR(INDEX('ערכים טכנולוגיים'!$H$5:$H$357,SMALL('ערכים טכנולוגיים'!$P$5:$P$357,170)),"")</f>
        <v/>
      </c>
      <c r="I182">
        <f>IFERROR(INDEX('ערכים טכנולוגיים'!$I$5:$I$357,SMALL('ערכים טכנולוגיים'!$P$5:$P$357,170)),"")</f>
        <v/>
      </c>
      <c r="J182">
        <f>IFERROR(INDEX('ערכים טכנולוגיים'!$J$5:$J$357,SMALL('ערכים טכנולוגיים'!$P$5:$P$357,170)),"")</f>
        <v/>
      </c>
      <c r="K182">
        <f>IFERROR(INDEX('ערכים טכנולוגיים'!$K$5:$K$357,SMALL('ערכים טכנולוגיים'!$P$5:$P$357,170)),"")</f>
        <v/>
      </c>
      <c r="L182">
        <f>IFERROR(INDEX('ערכים טכנולוגיים'!$L$5:$L$357,SMALL('ערכים טכנולוגיים'!$P$5:$P$357,170)),"")</f>
        <v/>
      </c>
      <c r="M182">
        <f>IFERROR(INDEX('ערכים טכנולוגיים'!$M$5:$M$357,SMALL('ערכים טכנולוגיים'!$P$5:$P$357,170)),"")</f>
        <v/>
      </c>
      <c r="N182">
        <f>IFERROR(INDEX('ערכים טכנולוגיים'!$N$5:$N$357,SMALL('ערכים טכנולוגיים'!$P$5:$P$357,170)),"")</f>
        <v/>
      </c>
      <c r="O182">
        <f>IFERROR(INDEX('ערכים טכנולוגיים'!$O$5:$O$357,SMALL('ערכים טכנולוגיים'!$P$5:$P$357,170)),"")</f>
        <v/>
      </c>
    </row>
    <row r="183">
      <c r="A183">
        <f>IFERROR(INDEX('ערכים טכנולוגיים'!$A$5:$A$357,SMALL('ערכים טכנולוגיים'!$P$5:$P$357,171)),"")</f>
        <v/>
      </c>
      <c r="B183">
        <f>IFERROR(INDEX('ערכים טכנולוגיים'!$B$5:$B$357,SMALL('ערכים טכנולוגיים'!$P$5:$P$357,171)),"")</f>
        <v/>
      </c>
      <c r="C183">
        <f>IFERROR(INDEX('ערכים טכנולוגיים'!$C$5:$C$357,SMALL('ערכים טכנולוגיים'!$P$5:$P$357,171)),"")</f>
        <v/>
      </c>
      <c r="D183">
        <f>IFERROR(INDEX('ערכים טכנולוגיים'!$D$5:$D$357,SMALL('ערכים טכנולוגיים'!$P$5:$P$357,171)),"")</f>
        <v/>
      </c>
      <c r="E183">
        <f>IFERROR(INDEX('ערכים טכנולוגיים'!$E$5:$E$357,SMALL('ערכים טכנולוגיים'!$P$5:$P$357,171)),"")</f>
        <v/>
      </c>
      <c r="F183">
        <f>IFERROR(INDEX('ערכים טכנולוגיים'!$F$5:$F$357,SMALL('ערכים טכנולוגיים'!$P$5:$P$357,171)),"")</f>
        <v/>
      </c>
      <c r="G183">
        <f>IFERROR(INDEX('ערכים טכנולוגיים'!$G$5:$G$357,SMALL('ערכים טכנולוגיים'!$P$5:$P$357,171)),"")</f>
        <v/>
      </c>
      <c r="H183">
        <f>IFERROR(INDEX('ערכים טכנולוגיים'!$H$5:$H$357,SMALL('ערכים טכנולוגיים'!$P$5:$P$357,171)),"")</f>
        <v/>
      </c>
      <c r="I183">
        <f>IFERROR(INDEX('ערכים טכנולוגיים'!$I$5:$I$357,SMALL('ערכים טכנולוגיים'!$P$5:$P$357,171)),"")</f>
        <v/>
      </c>
      <c r="J183">
        <f>IFERROR(INDEX('ערכים טכנולוגיים'!$J$5:$J$357,SMALL('ערכים טכנולוגיים'!$P$5:$P$357,171)),"")</f>
        <v/>
      </c>
      <c r="K183">
        <f>IFERROR(INDEX('ערכים טכנולוגיים'!$K$5:$K$357,SMALL('ערכים טכנולוגיים'!$P$5:$P$357,171)),"")</f>
        <v/>
      </c>
      <c r="L183">
        <f>IFERROR(INDEX('ערכים טכנולוגיים'!$L$5:$L$357,SMALL('ערכים טכנולוגיים'!$P$5:$P$357,171)),"")</f>
        <v/>
      </c>
      <c r="M183">
        <f>IFERROR(INDEX('ערכים טכנולוגיים'!$M$5:$M$357,SMALL('ערכים טכנולוגיים'!$P$5:$P$357,171)),"")</f>
        <v/>
      </c>
      <c r="N183">
        <f>IFERROR(INDEX('ערכים טכנולוגיים'!$N$5:$N$357,SMALL('ערכים טכנולוגיים'!$P$5:$P$357,171)),"")</f>
        <v/>
      </c>
      <c r="O183">
        <f>IFERROR(INDEX('ערכים טכנולוגיים'!$O$5:$O$357,SMALL('ערכים טכנולוגיים'!$P$5:$P$357,171)),"")</f>
        <v/>
      </c>
    </row>
    <row r="184">
      <c r="A184">
        <f>IFERROR(INDEX('ערכים טכנולוגיים'!$A$5:$A$357,SMALL('ערכים טכנולוגיים'!$P$5:$P$357,172)),"")</f>
        <v/>
      </c>
      <c r="B184">
        <f>IFERROR(INDEX('ערכים טכנולוגיים'!$B$5:$B$357,SMALL('ערכים טכנולוגיים'!$P$5:$P$357,172)),"")</f>
        <v/>
      </c>
      <c r="C184">
        <f>IFERROR(INDEX('ערכים טכנולוגיים'!$C$5:$C$357,SMALL('ערכים טכנולוגיים'!$P$5:$P$357,172)),"")</f>
        <v/>
      </c>
      <c r="D184">
        <f>IFERROR(INDEX('ערכים טכנולוגיים'!$D$5:$D$357,SMALL('ערכים טכנולוגיים'!$P$5:$P$357,172)),"")</f>
        <v/>
      </c>
      <c r="E184">
        <f>IFERROR(INDEX('ערכים טכנולוגיים'!$E$5:$E$357,SMALL('ערכים טכנולוגיים'!$P$5:$P$357,172)),"")</f>
        <v/>
      </c>
      <c r="F184">
        <f>IFERROR(INDEX('ערכים טכנולוגיים'!$F$5:$F$357,SMALL('ערכים טכנולוגיים'!$P$5:$P$357,172)),"")</f>
        <v/>
      </c>
      <c r="G184">
        <f>IFERROR(INDEX('ערכים טכנולוגיים'!$G$5:$G$357,SMALL('ערכים טכנולוגיים'!$P$5:$P$357,172)),"")</f>
        <v/>
      </c>
      <c r="H184">
        <f>IFERROR(INDEX('ערכים טכנולוגיים'!$H$5:$H$357,SMALL('ערכים טכנולוגיים'!$P$5:$P$357,172)),"")</f>
        <v/>
      </c>
      <c r="I184">
        <f>IFERROR(INDEX('ערכים טכנולוגיים'!$I$5:$I$357,SMALL('ערכים טכנולוגיים'!$P$5:$P$357,172)),"")</f>
        <v/>
      </c>
      <c r="J184">
        <f>IFERROR(INDEX('ערכים טכנולוגיים'!$J$5:$J$357,SMALL('ערכים טכנולוגיים'!$P$5:$P$357,172)),"")</f>
        <v/>
      </c>
      <c r="K184">
        <f>IFERROR(INDEX('ערכים טכנולוגיים'!$K$5:$K$357,SMALL('ערכים טכנולוגיים'!$P$5:$P$357,172)),"")</f>
        <v/>
      </c>
      <c r="L184">
        <f>IFERROR(INDEX('ערכים טכנולוגיים'!$L$5:$L$357,SMALL('ערכים טכנולוגיים'!$P$5:$P$357,172)),"")</f>
        <v/>
      </c>
      <c r="M184">
        <f>IFERROR(INDEX('ערכים טכנולוגיים'!$M$5:$M$357,SMALL('ערכים טכנולוגיים'!$P$5:$P$357,172)),"")</f>
        <v/>
      </c>
      <c r="N184">
        <f>IFERROR(INDEX('ערכים טכנולוגיים'!$N$5:$N$357,SMALL('ערכים טכנולוגיים'!$P$5:$P$357,172)),"")</f>
        <v/>
      </c>
      <c r="O184">
        <f>IFERROR(INDEX('ערכים טכנולוגיים'!$O$5:$O$357,SMALL('ערכים טכנולוגיים'!$P$5:$P$357,172)),"")</f>
        <v/>
      </c>
    </row>
    <row r="185">
      <c r="A185">
        <f>IFERROR(INDEX('ערכים טכנולוגיים'!$A$5:$A$357,SMALL('ערכים טכנולוגיים'!$P$5:$P$357,173)),"")</f>
        <v/>
      </c>
      <c r="B185">
        <f>IFERROR(INDEX('ערכים טכנולוגיים'!$B$5:$B$357,SMALL('ערכים טכנולוגיים'!$P$5:$P$357,173)),"")</f>
        <v/>
      </c>
      <c r="C185">
        <f>IFERROR(INDEX('ערכים טכנולוגיים'!$C$5:$C$357,SMALL('ערכים טכנולוגיים'!$P$5:$P$357,173)),"")</f>
        <v/>
      </c>
      <c r="D185">
        <f>IFERROR(INDEX('ערכים טכנולוגיים'!$D$5:$D$357,SMALL('ערכים טכנולוגיים'!$P$5:$P$357,173)),"")</f>
        <v/>
      </c>
      <c r="E185">
        <f>IFERROR(INDEX('ערכים טכנולוגיים'!$E$5:$E$357,SMALL('ערכים טכנולוגיים'!$P$5:$P$357,173)),"")</f>
        <v/>
      </c>
      <c r="F185">
        <f>IFERROR(INDEX('ערכים טכנולוגיים'!$F$5:$F$357,SMALL('ערכים טכנולוגיים'!$P$5:$P$357,173)),"")</f>
        <v/>
      </c>
      <c r="G185">
        <f>IFERROR(INDEX('ערכים טכנולוגיים'!$G$5:$G$357,SMALL('ערכים טכנולוגיים'!$P$5:$P$357,173)),"")</f>
        <v/>
      </c>
      <c r="H185">
        <f>IFERROR(INDEX('ערכים טכנולוגיים'!$H$5:$H$357,SMALL('ערכים טכנולוגיים'!$P$5:$P$357,173)),"")</f>
        <v/>
      </c>
      <c r="I185">
        <f>IFERROR(INDEX('ערכים טכנולוגיים'!$I$5:$I$357,SMALL('ערכים טכנולוגיים'!$P$5:$P$357,173)),"")</f>
        <v/>
      </c>
      <c r="J185">
        <f>IFERROR(INDEX('ערכים טכנולוגיים'!$J$5:$J$357,SMALL('ערכים טכנולוגיים'!$P$5:$P$357,173)),"")</f>
        <v/>
      </c>
      <c r="K185">
        <f>IFERROR(INDEX('ערכים טכנולוגיים'!$K$5:$K$357,SMALL('ערכים טכנולוגיים'!$P$5:$P$357,173)),"")</f>
        <v/>
      </c>
      <c r="L185">
        <f>IFERROR(INDEX('ערכים טכנולוגיים'!$L$5:$L$357,SMALL('ערכים טכנולוגיים'!$P$5:$P$357,173)),"")</f>
        <v/>
      </c>
      <c r="M185">
        <f>IFERROR(INDEX('ערכים טכנולוגיים'!$M$5:$M$357,SMALL('ערכים טכנולוגיים'!$P$5:$P$357,173)),"")</f>
        <v/>
      </c>
      <c r="N185">
        <f>IFERROR(INDEX('ערכים טכנולוגיים'!$N$5:$N$357,SMALL('ערכים טכנולוגיים'!$P$5:$P$357,173)),"")</f>
        <v/>
      </c>
      <c r="O185">
        <f>IFERROR(INDEX('ערכים טכנולוגיים'!$O$5:$O$357,SMALL('ערכים טכנולוגיים'!$P$5:$P$357,173)),"")</f>
        <v/>
      </c>
    </row>
    <row r="186">
      <c r="A186">
        <f>IFERROR(INDEX('ערכים טכנולוגיים'!$A$5:$A$357,SMALL('ערכים טכנולוגיים'!$P$5:$P$357,174)),"")</f>
        <v/>
      </c>
      <c r="B186">
        <f>IFERROR(INDEX('ערכים טכנולוגיים'!$B$5:$B$357,SMALL('ערכים טכנולוגיים'!$P$5:$P$357,174)),"")</f>
        <v/>
      </c>
      <c r="C186">
        <f>IFERROR(INDEX('ערכים טכנולוגיים'!$C$5:$C$357,SMALL('ערכים טכנולוגיים'!$P$5:$P$357,174)),"")</f>
        <v/>
      </c>
      <c r="D186">
        <f>IFERROR(INDEX('ערכים טכנולוגיים'!$D$5:$D$357,SMALL('ערכים טכנולוגיים'!$P$5:$P$357,174)),"")</f>
        <v/>
      </c>
      <c r="E186">
        <f>IFERROR(INDEX('ערכים טכנולוגיים'!$E$5:$E$357,SMALL('ערכים טכנולוגיים'!$P$5:$P$357,174)),"")</f>
        <v/>
      </c>
      <c r="F186">
        <f>IFERROR(INDEX('ערכים טכנולוגיים'!$F$5:$F$357,SMALL('ערכים טכנולוגיים'!$P$5:$P$357,174)),"")</f>
        <v/>
      </c>
      <c r="G186">
        <f>IFERROR(INDEX('ערכים טכנולוגיים'!$G$5:$G$357,SMALL('ערכים טכנולוגיים'!$P$5:$P$357,174)),"")</f>
        <v/>
      </c>
      <c r="H186">
        <f>IFERROR(INDEX('ערכים טכנולוגיים'!$H$5:$H$357,SMALL('ערכים טכנולוגיים'!$P$5:$P$357,174)),"")</f>
        <v/>
      </c>
      <c r="I186">
        <f>IFERROR(INDEX('ערכים טכנולוגיים'!$I$5:$I$357,SMALL('ערכים טכנולוגיים'!$P$5:$P$357,174)),"")</f>
        <v/>
      </c>
      <c r="J186">
        <f>IFERROR(INDEX('ערכים טכנולוגיים'!$J$5:$J$357,SMALL('ערכים טכנולוגיים'!$P$5:$P$357,174)),"")</f>
        <v/>
      </c>
      <c r="K186">
        <f>IFERROR(INDEX('ערכים טכנולוגיים'!$K$5:$K$357,SMALL('ערכים טכנולוגיים'!$P$5:$P$357,174)),"")</f>
        <v/>
      </c>
      <c r="L186">
        <f>IFERROR(INDEX('ערכים טכנולוגיים'!$L$5:$L$357,SMALL('ערכים טכנולוגיים'!$P$5:$P$357,174)),"")</f>
        <v/>
      </c>
      <c r="M186">
        <f>IFERROR(INDEX('ערכים טכנולוגיים'!$M$5:$M$357,SMALL('ערכים טכנולוגיים'!$P$5:$P$357,174)),"")</f>
        <v/>
      </c>
      <c r="N186">
        <f>IFERROR(INDEX('ערכים טכנולוגיים'!$N$5:$N$357,SMALL('ערכים טכנולוגיים'!$P$5:$P$357,174)),"")</f>
        <v/>
      </c>
      <c r="O186">
        <f>IFERROR(INDEX('ערכים טכנולוגיים'!$O$5:$O$357,SMALL('ערכים טכנולוגיים'!$P$5:$P$357,174)),"")</f>
        <v/>
      </c>
    </row>
    <row r="187">
      <c r="A187">
        <f>IFERROR(INDEX('ערכים טכנולוגיים'!$A$5:$A$357,SMALL('ערכים טכנולוגיים'!$P$5:$P$357,175)),"")</f>
        <v/>
      </c>
      <c r="B187">
        <f>IFERROR(INDEX('ערכים טכנולוגיים'!$B$5:$B$357,SMALL('ערכים טכנולוגיים'!$P$5:$P$357,175)),"")</f>
        <v/>
      </c>
      <c r="C187">
        <f>IFERROR(INDEX('ערכים טכנולוגיים'!$C$5:$C$357,SMALL('ערכים טכנולוגיים'!$P$5:$P$357,175)),"")</f>
        <v/>
      </c>
      <c r="D187">
        <f>IFERROR(INDEX('ערכים טכנולוגיים'!$D$5:$D$357,SMALL('ערכים טכנולוגיים'!$P$5:$P$357,175)),"")</f>
        <v/>
      </c>
      <c r="E187">
        <f>IFERROR(INDEX('ערכים טכנולוגיים'!$E$5:$E$357,SMALL('ערכים טכנולוגיים'!$P$5:$P$357,175)),"")</f>
        <v/>
      </c>
      <c r="F187">
        <f>IFERROR(INDEX('ערכים טכנולוגיים'!$F$5:$F$357,SMALL('ערכים טכנולוגיים'!$P$5:$P$357,175)),"")</f>
        <v/>
      </c>
      <c r="G187">
        <f>IFERROR(INDEX('ערכים טכנולוגיים'!$G$5:$G$357,SMALL('ערכים טכנולוגיים'!$P$5:$P$357,175)),"")</f>
        <v/>
      </c>
      <c r="H187">
        <f>IFERROR(INDEX('ערכים טכנולוגיים'!$H$5:$H$357,SMALL('ערכים טכנולוגיים'!$P$5:$P$357,175)),"")</f>
        <v/>
      </c>
      <c r="I187">
        <f>IFERROR(INDEX('ערכים טכנולוגיים'!$I$5:$I$357,SMALL('ערכים טכנולוגיים'!$P$5:$P$357,175)),"")</f>
        <v/>
      </c>
      <c r="J187">
        <f>IFERROR(INDEX('ערכים טכנולוגיים'!$J$5:$J$357,SMALL('ערכים טכנולוגיים'!$P$5:$P$357,175)),"")</f>
        <v/>
      </c>
      <c r="K187">
        <f>IFERROR(INDEX('ערכים טכנולוגיים'!$K$5:$K$357,SMALL('ערכים טכנולוגיים'!$P$5:$P$357,175)),"")</f>
        <v/>
      </c>
      <c r="L187">
        <f>IFERROR(INDEX('ערכים טכנולוגיים'!$L$5:$L$357,SMALL('ערכים טכנולוגיים'!$P$5:$P$357,175)),"")</f>
        <v/>
      </c>
      <c r="M187">
        <f>IFERROR(INDEX('ערכים טכנולוגיים'!$M$5:$M$357,SMALL('ערכים טכנולוגיים'!$P$5:$P$357,175)),"")</f>
        <v/>
      </c>
      <c r="N187">
        <f>IFERROR(INDEX('ערכים טכנולוגיים'!$N$5:$N$357,SMALL('ערכים טכנולוגיים'!$P$5:$P$357,175)),"")</f>
        <v/>
      </c>
      <c r="O187">
        <f>IFERROR(INDEX('ערכים טכנולוגיים'!$O$5:$O$357,SMALL('ערכים טכנולוגיים'!$P$5:$P$357,175)),"")</f>
        <v/>
      </c>
    </row>
    <row r="188">
      <c r="A188">
        <f>IFERROR(INDEX('ערכים טכנולוגיים'!$A$5:$A$357,SMALL('ערכים טכנולוגיים'!$P$5:$P$357,176)),"")</f>
        <v/>
      </c>
      <c r="B188">
        <f>IFERROR(INDEX('ערכים טכנולוגיים'!$B$5:$B$357,SMALL('ערכים טכנולוגיים'!$P$5:$P$357,176)),"")</f>
        <v/>
      </c>
      <c r="C188">
        <f>IFERROR(INDEX('ערכים טכנולוגיים'!$C$5:$C$357,SMALL('ערכים טכנולוגיים'!$P$5:$P$357,176)),"")</f>
        <v/>
      </c>
      <c r="D188">
        <f>IFERROR(INDEX('ערכים טכנולוגיים'!$D$5:$D$357,SMALL('ערכים טכנולוגיים'!$P$5:$P$357,176)),"")</f>
        <v/>
      </c>
      <c r="E188">
        <f>IFERROR(INDEX('ערכים טכנולוגיים'!$E$5:$E$357,SMALL('ערכים טכנולוגיים'!$P$5:$P$357,176)),"")</f>
        <v/>
      </c>
      <c r="F188">
        <f>IFERROR(INDEX('ערכים טכנולוגיים'!$F$5:$F$357,SMALL('ערכים טכנולוגיים'!$P$5:$P$357,176)),"")</f>
        <v/>
      </c>
      <c r="G188">
        <f>IFERROR(INDEX('ערכים טכנולוגיים'!$G$5:$G$357,SMALL('ערכים טכנולוגיים'!$P$5:$P$357,176)),"")</f>
        <v/>
      </c>
      <c r="H188">
        <f>IFERROR(INDEX('ערכים טכנולוגיים'!$H$5:$H$357,SMALL('ערכים טכנולוגיים'!$P$5:$P$357,176)),"")</f>
        <v/>
      </c>
      <c r="I188">
        <f>IFERROR(INDEX('ערכים טכנולוגיים'!$I$5:$I$357,SMALL('ערכים טכנולוגיים'!$P$5:$P$357,176)),"")</f>
        <v/>
      </c>
      <c r="J188">
        <f>IFERROR(INDEX('ערכים טכנולוגיים'!$J$5:$J$357,SMALL('ערכים טכנולוגיים'!$P$5:$P$357,176)),"")</f>
        <v/>
      </c>
      <c r="K188">
        <f>IFERROR(INDEX('ערכים טכנולוגיים'!$K$5:$K$357,SMALL('ערכים טכנולוגיים'!$P$5:$P$357,176)),"")</f>
        <v/>
      </c>
      <c r="L188">
        <f>IFERROR(INDEX('ערכים טכנולוגיים'!$L$5:$L$357,SMALL('ערכים טכנולוגיים'!$P$5:$P$357,176)),"")</f>
        <v/>
      </c>
      <c r="M188">
        <f>IFERROR(INDEX('ערכים טכנולוגיים'!$M$5:$M$357,SMALL('ערכים טכנולוגיים'!$P$5:$P$357,176)),"")</f>
        <v/>
      </c>
      <c r="N188">
        <f>IFERROR(INDEX('ערכים טכנולוגיים'!$N$5:$N$357,SMALL('ערכים טכנולוגיים'!$P$5:$P$357,176)),"")</f>
        <v/>
      </c>
      <c r="O188">
        <f>IFERROR(INDEX('ערכים טכנולוגיים'!$O$5:$O$357,SMALL('ערכים טכנולוגיים'!$P$5:$P$357,176)),"")</f>
        <v/>
      </c>
    </row>
    <row r="189">
      <c r="A189">
        <f>IFERROR(INDEX('ערכים טכנולוגיים'!$A$5:$A$357,SMALL('ערכים טכנולוגיים'!$P$5:$P$357,177)),"")</f>
        <v/>
      </c>
      <c r="B189">
        <f>IFERROR(INDEX('ערכים טכנולוגיים'!$B$5:$B$357,SMALL('ערכים טכנולוגיים'!$P$5:$P$357,177)),"")</f>
        <v/>
      </c>
      <c r="C189">
        <f>IFERROR(INDEX('ערכים טכנולוגיים'!$C$5:$C$357,SMALL('ערכים טכנולוגיים'!$P$5:$P$357,177)),"")</f>
        <v/>
      </c>
      <c r="D189">
        <f>IFERROR(INDEX('ערכים טכנולוגיים'!$D$5:$D$357,SMALL('ערכים טכנולוגיים'!$P$5:$P$357,177)),"")</f>
        <v/>
      </c>
      <c r="E189">
        <f>IFERROR(INDEX('ערכים טכנולוגיים'!$E$5:$E$357,SMALL('ערכים טכנולוגיים'!$P$5:$P$357,177)),"")</f>
        <v/>
      </c>
      <c r="F189">
        <f>IFERROR(INDEX('ערכים טכנולוגיים'!$F$5:$F$357,SMALL('ערכים טכנולוגיים'!$P$5:$P$357,177)),"")</f>
        <v/>
      </c>
      <c r="G189">
        <f>IFERROR(INDEX('ערכים טכנולוגיים'!$G$5:$G$357,SMALL('ערכים טכנולוגיים'!$P$5:$P$357,177)),"")</f>
        <v/>
      </c>
      <c r="H189">
        <f>IFERROR(INDEX('ערכים טכנולוגיים'!$H$5:$H$357,SMALL('ערכים טכנולוגיים'!$P$5:$P$357,177)),"")</f>
        <v/>
      </c>
      <c r="I189">
        <f>IFERROR(INDEX('ערכים טכנולוגיים'!$I$5:$I$357,SMALL('ערכים טכנולוגיים'!$P$5:$P$357,177)),"")</f>
        <v/>
      </c>
      <c r="J189">
        <f>IFERROR(INDEX('ערכים טכנולוגיים'!$J$5:$J$357,SMALL('ערכים טכנולוגיים'!$P$5:$P$357,177)),"")</f>
        <v/>
      </c>
      <c r="K189">
        <f>IFERROR(INDEX('ערכים טכנולוגיים'!$K$5:$K$357,SMALL('ערכים טכנולוגיים'!$P$5:$P$357,177)),"")</f>
        <v/>
      </c>
      <c r="L189">
        <f>IFERROR(INDEX('ערכים טכנולוגיים'!$L$5:$L$357,SMALL('ערכים טכנולוגיים'!$P$5:$P$357,177)),"")</f>
        <v/>
      </c>
      <c r="M189">
        <f>IFERROR(INDEX('ערכים טכנולוגיים'!$M$5:$M$357,SMALL('ערכים טכנולוגיים'!$P$5:$P$357,177)),"")</f>
        <v/>
      </c>
      <c r="N189">
        <f>IFERROR(INDEX('ערכים טכנולוגיים'!$N$5:$N$357,SMALL('ערכים טכנולוגיים'!$P$5:$P$357,177)),"")</f>
        <v/>
      </c>
      <c r="O189">
        <f>IFERROR(INDEX('ערכים טכנולוגיים'!$O$5:$O$357,SMALL('ערכים טכנולוגיים'!$P$5:$P$357,177)),"")</f>
        <v/>
      </c>
    </row>
    <row r="190">
      <c r="A190">
        <f>IFERROR(INDEX('ערכים טכנולוגיים'!$A$5:$A$357,SMALL('ערכים טכנולוגיים'!$P$5:$P$357,178)),"")</f>
        <v/>
      </c>
      <c r="B190">
        <f>IFERROR(INDEX('ערכים טכנולוגיים'!$B$5:$B$357,SMALL('ערכים טכנולוגיים'!$P$5:$P$357,178)),"")</f>
        <v/>
      </c>
      <c r="C190">
        <f>IFERROR(INDEX('ערכים טכנולוגיים'!$C$5:$C$357,SMALL('ערכים טכנולוגיים'!$P$5:$P$357,178)),"")</f>
        <v/>
      </c>
      <c r="D190">
        <f>IFERROR(INDEX('ערכים טכנולוגיים'!$D$5:$D$357,SMALL('ערכים טכנולוגיים'!$P$5:$P$357,178)),"")</f>
        <v/>
      </c>
      <c r="E190">
        <f>IFERROR(INDEX('ערכים טכנולוגיים'!$E$5:$E$357,SMALL('ערכים טכנולוגיים'!$P$5:$P$357,178)),"")</f>
        <v/>
      </c>
      <c r="F190">
        <f>IFERROR(INDEX('ערכים טכנולוגיים'!$F$5:$F$357,SMALL('ערכים טכנולוגיים'!$P$5:$P$357,178)),"")</f>
        <v/>
      </c>
      <c r="G190">
        <f>IFERROR(INDEX('ערכים טכנולוגיים'!$G$5:$G$357,SMALL('ערכים טכנולוגיים'!$P$5:$P$357,178)),"")</f>
        <v/>
      </c>
      <c r="H190">
        <f>IFERROR(INDEX('ערכים טכנולוגיים'!$H$5:$H$357,SMALL('ערכים טכנולוגיים'!$P$5:$P$357,178)),"")</f>
        <v/>
      </c>
      <c r="I190">
        <f>IFERROR(INDEX('ערכים טכנולוגיים'!$I$5:$I$357,SMALL('ערכים טכנולוגיים'!$P$5:$P$357,178)),"")</f>
        <v/>
      </c>
      <c r="J190">
        <f>IFERROR(INDEX('ערכים טכנולוגיים'!$J$5:$J$357,SMALL('ערכים טכנולוגיים'!$P$5:$P$357,178)),"")</f>
        <v/>
      </c>
      <c r="K190">
        <f>IFERROR(INDEX('ערכים טכנולוגיים'!$K$5:$K$357,SMALL('ערכים טכנולוגיים'!$P$5:$P$357,178)),"")</f>
        <v/>
      </c>
      <c r="L190">
        <f>IFERROR(INDEX('ערכים טכנולוגיים'!$L$5:$L$357,SMALL('ערכים טכנולוגיים'!$P$5:$P$357,178)),"")</f>
        <v/>
      </c>
      <c r="M190">
        <f>IFERROR(INDEX('ערכים טכנולוגיים'!$M$5:$M$357,SMALL('ערכים טכנולוגיים'!$P$5:$P$357,178)),"")</f>
        <v/>
      </c>
      <c r="N190">
        <f>IFERROR(INDEX('ערכים טכנולוגיים'!$N$5:$N$357,SMALL('ערכים טכנולוגיים'!$P$5:$P$357,178)),"")</f>
        <v/>
      </c>
      <c r="O190">
        <f>IFERROR(INDEX('ערכים טכנולוגיים'!$O$5:$O$357,SMALL('ערכים טכנולוגיים'!$P$5:$P$357,178)),"")</f>
        <v/>
      </c>
    </row>
    <row r="191">
      <c r="A191">
        <f>IFERROR(INDEX('ערכים טכנולוגיים'!$A$5:$A$357,SMALL('ערכים טכנולוגיים'!$P$5:$P$357,179)),"")</f>
        <v/>
      </c>
      <c r="B191">
        <f>IFERROR(INDEX('ערכים טכנולוגיים'!$B$5:$B$357,SMALL('ערכים טכנולוגיים'!$P$5:$P$357,179)),"")</f>
        <v/>
      </c>
      <c r="C191">
        <f>IFERROR(INDEX('ערכים טכנולוגיים'!$C$5:$C$357,SMALL('ערכים טכנולוגיים'!$P$5:$P$357,179)),"")</f>
        <v/>
      </c>
      <c r="D191">
        <f>IFERROR(INDEX('ערכים טכנולוגיים'!$D$5:$D$357,SMALL('ערכים טכנולוגיים'!$P$5:$P$357,179)),"")</f>
        <v/>
      </c>
      <c r="E191">
        <f>IFERROR(INDEX('ערכים טכנולוגיים'!$E$5:$E$357,SMALL('ערכים טכנולוגיים'!$P$5:$P$357,179)),"")</f>
        <v/>
      </c>
      <c r="F191">
        <f>IFERROR(INDEX('ערכים טכנולוגיים'!$F$5:$F$357,SMALL('ערכים טכנולוגיים'!$P$5:$P$357,179)),"")</f>
        <v/>
      </c>
      <c r="G191">
        <f>IFERROR(INDEX('ערכים טכנולוגיים'!$G$5:$G$357,SMALL('ערכים טכנולוגיים'!$P$5:$P$357,179)),"")</f>
        <v/>
      </c>
      <c r="H191">
        <f>IFERROR(INDEX('ערכים טכנולוגיים'!$H$5:$H$357,SMALL('ערכים טכנולוגיים'!$P$5:$P$357,179)),"")</f>
        <v/>
      </c>
      <c r="I191">
        <f>IFERROR(INDEX('ערכים טכנולוגיים'!$I$5:$I$357,SMALL('ערכים טכנולוגיים'!$P$5:$P$357,179)),"")</f>
        <v/>
      </c>
      <c r="J191">
        <f>IFERROR(INDEX('ערכים טכנולוגיים'!$J$5:$J$357,SMALL('ערכים טכנולוגיים'!$P$5:$P$357,179)),"")</f>
        <v/>
      </c>
      <c r="K191">
        <f>IFERROR(INDEX('ערכים טכנולוגיים'!$K$5:$K$357,SMALL('ערכים טכנולוגיים'!$P$5:$P$357,179)),"")</f>
        <v/>
      </c>
      <c r="L191">
        <f>IFERROR(INDEX('ערכים טכנולוגיים'!$L$5:$L$357,SMALL('ערכים טכנולוגיים'!$P$5:$P$357,179)),"")</f>
        <v/>
      </c>
      <c r="M191">
        <f>IFERROR(INDEX('ערכים טכנולוגיים'!$M$5:$M$357,SMALL('ערכים טכנולוגיים'!$P$5:$P$357,179)),"")</f>
        <v/>
      </c>
      <c r="N191">
        <f>IFERROR(INDEX('ערכים טכנולוגיים'!$N$5:$N$357,SMALL('ערכים טכנולוגיים'!$P$5:$P$357,179)),"")</f>
        <v/>
      </c>
      <c r="O191">
        <f>IFERROR(INDEX('ערכים טכנולוגיים'!$O$5:$O$357,SMALL('ערכים טכנולוגיים'!$P$5:$P$357,179)),"")</f>
        <v/>
      </c>
    </row>
    <row r="192">
      <c r="A192">
        <f>IFERROR(INDEX('ערכים טכנולוגיים'!$A$5:$A$357,SMALL('ערכים טכנולוגיים'!$P$5:$P$357,180)),"")</f>
        <v/>
      </c>
      <c r="B192">
        <f>IFERROR(INDEX('ערכים טכנולוגיים'!$B$5:$B$357,SMALL('ערכים טכנולוגיים'!$P$5:$P$357,180)),"")</f>
        <v/>
      </c>
      <c r="C192">
        <f>IFERROR(INDEX('ערכים טכנולוגיים'!$C$5:$C$357,SMALL('ערכים טכנולוגיים'!$P$5:$P$357,180)),"")</f>
        <v/>
      </c>
      <c r="D192">
        <f>IFERROR(INDEX('ערכים טכנולוגיים'!$D$5:$D$357,SMALL('ערכים טכנולוגיים'!$P$5:$P$357,180)),"")</f>
        <v/>
      </c>
      <c r="E192">
        <f>IFERROR(INDEX('ערכים טכנולוגיים'!$E$5:$E$357,SMALL('ערכים טכנולוגיים'!$P$5:$P$357,180)),"")</f>
        <v/>
      </c>
      <c r="F192">
        <f>IFERROR(INDEX('ערכים טכנולוגיים'!$F$5:$F$357,SMALL('ערכים טכנולוגיים'!$P$5:$P$357,180)),"")</f>
        <v/>
      </c>
      <c r="G192">
        <f>IFERROR(INDEX('ערכים טכנולוגיים'!$G$5:$G$357,SMALL('ערכים טכנולוגיים'!$P$5:$P$357,180)),"")</f>
        <v/>
      </c>
      <c r="H192">
        <f>IFERROR(INDEX('ערכים טכנולוגיים'!$H$5:$H$357,SMALL('ערכים טכנולוגיים'!$P$5:$P$357,180)),"")</f>
        <v/>
      </c>
      <c r="I192">
        <f>IFERROR(INDEX('ערכים טכנולוגיים'!$I$5:$I$357,SMALL('ערכים טכנולוגיים'!$P$5:$P$357,180)),"")</f>
        <v/>
      </c>
      <c r="J192">
        <f>IFERROR(INDEX('ערכים טכנולוגיים'!$J$5:$J$357,SMALL('ערכים טכנולוגיים'!$P$5:$P$357,180)),"")</f>
        <v/>
      </c>
      <c r="K192">
        <f>IFERROR(INDEX('ערכים טכנולוגיים'!$K$5:$K$357,SMALL('ערכים טכנולוגיים'!$P$5:$P$357,180)),"")</f>
        <v/>
      </c>
      <c r="L192">
        <f>IFERROR(INDEX('ערכים טכנולוגיים'!$L$5:$L$357,SMALL('ערכים טכנולוגיים'!$P$5:$P$357,180)),"")</f>
        <v/>
      </c>
      <c r="M192">
        <f>IFERROR(INDEX('ערכים טכנולוגיים'!$M$5:$M$357,SMALL('ערכים טכנולוגיים'!$P$5:$P$357,180)),"")</f>
        <v/>
      </c>
      <c r="N192">
        <f>IFERROR(INDEX('ערכים טכנולוגיים'!$N$5:$N$357,SMALL('ערכים טכנולוגיים'!$P$5:$P$357,180)),"")</f>
        <v/>
      </c>
      <c r="O192">
        <f>IFERROR(INDEX('ערכים טכנולוגיים'!$O$5:$O$357,SMALL('ערכים טכנולוגיים'!$P$5:$P$357,180)),"")</f>
        <v/>
      </c>
    </row>
    <row r="193">
      <c r="A193">
        <f>IFERROR(INDEX('ערכים טכנולוגיים'!$A$5:$A$357,SMALL('ערכים טכנולוגיים'!$P$5:$P$357,181)),"")</f>
        <v/>
      </c>
      <c r="B193">
        <f>IFERROR(INDEX('ערכים טכנולוגיים'!$B$5:$B$357,SMALL('ערכים טכנולוגיים'!$P$5:$P$357,181)),"")</f>
        <v/>
      </c>
      <c r="C193">
        <f>IFERROR(INDEX('ערכים טכנולוגיים'!$C$5:$C$357,SMALL('ערכים טכנולוגיים'!$P$5:$P$357,181)),"")</f>
        <v/>
      </c>
      <c r="D193">
        <f>IFERROR(INDEX('ערכים טכנולוגיים'!$D$5:$D$357,SMALL('ערכים טכנולוגיים'!$P$5:$P$357,181)),"")</f>
        <v/>
      </c>
      <c r="E193">
        <f>IFERROR(INDEX('ערכים טכנולוגיים'!$E$5:$E$357,SMALL('ערכים טכנולוגיים'!$P$5:$P$357,181)),"")</f>
        <v/>
      </c>
      <c r="F193">
        <f>IFERROR(INDEX('ערכים טכנולוגיים'!$F$5:$F$357,SMALL('ערכים טכנולוגיים'!$P$5:$P$357,181)),"")</f>
        <v/>
      </c>
      <c r="G193">
        <f>IFERROR(INDEX('ערכים טכנולוגיים'!$G$5:$G$357,SMALL('ערכים טכנולוגיים'!$P$5:$P$357,181)),"")</f>
        <v/>
      </c>
      <c r="H193">
        <f>IFERROR(INDEX('ערכים טכנולוגיים'!$H$5:$H$357,SMALL('ערכים טכנולוגיים'!$P$5:$P$357,181)),"")</f>
        <v/>
      </c>
      <c r="I193">
        <f>IFERROR(INDEX('ערכים טכנולוגיים'!$I$5:$I$357,SMALL('ערכים טכנולוגיים'!$P$5:$P$357,181)),"")</f>
        <v/>
      </c>
      <c r="J193">
        <f>IFERROR(INDEX('ערכים טכנולוגיים'!$J$5:$J$357,SMALL('ערכים טכנולוגיים'!$P$5:$P$357,181)),"")</f>
        <v/>
      </c>
      <c r="K193">
        <f>IFERROR(INDEX('ערכים טכנולוגיים'!$K$5:$K$357,SMALL('ערכים טכנולוגיים'!$P$5:$P$357,181)),"")</f>
        <v/>
      </c>
      <c r="L193">
        <f>IFERROR(INDEX('ערכים טכנולוגיים'!$L$5:$L$357,SMALL('ערכים טכנולוגיים'!$P$5:$P$357,181)),"")</f>
        <v/>
      </c>
      <c r="M193">
        <f>IFERROR(INDEX('ערכים טכנולוגיים'!$M$5:$M$357,SMALL('ערכים טכנולוגיים'!$P$5:$P$357,181)),"")</f>
        <v/>
      </c>
      <c r="N193">
        <f>IFERROR(INDEX('ערכים טכנולוגיים'!$N$5:$N$357,SMALL('ערכים טכנולוגיים'!$P$5:$P$357,181)),"")</f>
        <v/>
      </c>
      <c r="O193">
        <f>IFERROR(INDEX('ערכים טכנולוגיים'!$O$5:$O$357,SMALL('ערכים טכנולוגיים'!$P$5:$P$357,181)),"")</f>
        <v/>
      </c>
    </row>
    <row r="194">
      <c r="A194">
        <f>IFERROR(INDEX('ערכים טכנולוגיים'!$A$5:$A$357,SMALL('ערכים טכנולוגיים'!$P$5:$P$357,182)),"")</f>
        <v/>
      </c>
      <c r="B194">
        <f>IFERROR(INDEX('ערכים טכנולוגיים'!$B$5:$B$357,SMALL('ערכים טכנולוגיים'!$P$5:$P$357,182)),"")</f>
        <v/>
      </c>
      <c r="C194">
        <f>IFERROR(INDEX('ערכים טכנולוגיים'!$C$5:$C$357,SMALL('ערכים טכנולוגיים'!$P$5:$P$357,182)),"")</f>
        <v/>
      </c>
      <c r="D194">
        <f>IFERROR(INDEX('ערכים טכנולוגיים'!$D$5:$D$357,SMALL('ערכים טכנולוגיים'!$P$5:$P$357,182)),"")</f>
        <v/>
      </c>
      <c r="E194">
        <f>IFERROR(INDEX('ערכים טכנולוגיים'!$E$5:$E$357,SMALL('ערכים טכנולוגיים'!$P$5:$P$357,182)),"")</f>
        <v/>
      </c>
      <c r="F194">
        <f>IFERROR(INDEX('ערכים טכנולוגיים'!$F$5:$F$357,SMALL('ערכים טכנולוגיים'!$P$5:$P$357,182)),"")</f>
        <v/>
      </c>
      <c r="G194">
        <f>IFERROR(INDEX('ערכים טכנולוגיים'!$G$5:$G$357,SMALL('ערכים טכנולוגיים'!$P$5:$P$357,182)),"")</f>
        <v/>
      </c>
      <c r="H194">
        <f>IFERROR(INDEX('ערכים טכנולוגיים'!$H$5:$H$357,SMALL('ערכים טכנולוגיים'!$P$5:$P$357,182)),"")</f>
        <v/>
      </c>
      <c r="I194">
        <f>IFERROR(INDEX('ערכים טכנולוגיים'!$I$5:$I$357,SMALL('ערכים טכנולוגיים'!$P$5:$P$357,182)),"")</f>
        <v/>
      </c>
      <c r="J194">
        <f>IFERROR(INDEX('ערכים טכנולוגיים'!$J$5:$J$357,SMALL('ערכים טכנולוגיים'!$P$5:$P$357,182)),"")</f>
        <v/>
      </c>
      <c r="K194">
        <f>IFERROR(INDEX('ערכים טכנולוגיים'!$K$5:$K$357,SMALL('ערכים טכנולוגיים'!$P$5:$P$357,182)),"")</f>
        <v/>
      </c>
      <c r="L194">
        <f>IFERROR(INDEX('ערכים טכנולוגיים'!$L$5:$L$357,SMALL('ערכים טכנולוגיים'!$P$5:$P$357,182)),"")</f>
        <v/>
      </c>
      <c r="M194">
        <f>IFERROR(INDEX('ערכים טכנולוגיים'!$M$5:$M$357,SMALL('ערכים טכנולוגיים'!$P$5:$P$357,182)),"")</f>
        <v/>
      </c>
      <c r="N194">
        <f>IFERROR(INDEX('ערכים טכנולוגיים'!$N$5:$N$357,SMALL('ערכים טכנולוגיים'!$P$5:$P$357,182)),"")</f>
        <v/>
      </c>
      <c r="O194">
        <f>IFERROR(INDEX('ערכים טכנולוגיים'!$O$5:$O$357,SMALL('ערכים טכנולוגיים'!$P$5:$P$357,182)),"")</f>
        <v/>
      </c>
    </row>
    <row r="195">
      <c r="A195">
        <f>IFERROR(INDEX('ערכים טכנולוגיים'!$A$5:$A$357,SMALL('ערכים טכנולוגיים'!$P$5:$P$357,183)),"")</f>
        <v/>
      </c>
      <c r="B195">
        <f>IFERROR(INDEX('ערכים טכנולוגיים'!$B$5:$B$357,SMALL('ערכים טכנולוגיים'!$P$5:$P$357,183)),"")</f>
        <v/>
      </c>
      <c r="C195">
        <f>IFERROR(INDEX('ערכים טכנולוגיים'!$C$5:$C$357,SMALL('ערכים טכנולוגיים'!$P$5:$P$357,183)),"")</f>
        <v/>
      </c>
      <c r="D195">
        <f>IFERROR(INDEX('ערכים טכנולוגיים'!$D$5:$D$357,SMALL('ערכים טכנולוגיים'!$P$5:$P$357,183)),"")</f>
        <v/>
      </c>
      <c r="E195">
        <f>IFERROR(INDEX('ערכים טכנולוגיים'!$E$5:$E$357,SMALL('ערכים טכנולוגיים'!$P$5:$P$357,183)),"")</f>
        <v/>
      </c>
      <c r="F195">
        <f>IFERROR(INDEX('ערכים טכנולוגיים'!$F$5:$F$357,SMALL('ערכים טכנולוגיים'!$P$5:$P$357,183)),"")</f>
        <v/>
      </c>
      <c r="G195">
        <f>IFERROR(INDEX('ערכים טכנולוגיים'!$G$5:$G$357,SMALL('ערכים טכנולוגיים'!$P$5:$P$357,183)),"")</f>
        <v/>
      </c>
      <c r="H195">
        <f>IFERROR(INDEX('ערכים טכנולוגיים'!$H$5:$H$357,SMALL('ערכים טכנולוגיים'!$P$5:$P$357,183)),"")</f>
        <v/>
      </c>
      <c r="I195">
        <f>IFERROR(INDEX('ערכים טכנולוגיים'!$I$5:$I$357,SMALL('ערכים טכנולוגיים'!$P$5:$P$357,183)),"")</f>
        <v/>
      </c>
      <c r="J195">
        <f>IFERROR(INDEX('ערכים טכנולוגיים'!$J$5:$J$357,SMALL('ערכים טכנולוגיים'!$P$5:$P$357,183)),"")</f>
        <v/>
      </c>
      <c r="K195">
        <f>IFERROR(INDEX('ערכים טכנולוגיים'!$K$5:$K$357,SMALL('ערכים טכנולוגיים'!$P$5:$P$357,183)),"")</f>
        <v/>
      </c>
      <c r="L195">
        <f>IFERROR(INDEX('ערכים טכנולוגיים'!$L$5:$L$357,SMALL('ערכים טכנולוגיים'!$P$5:$P$357,183)),"")</f>
        <v/>
      </c>
      <c r="M195">
        <f>IFERROR(INDEX('ערכים טכנולוגיים'!$M$5:$M$357,SMALL('ערכים טכנולוגיים'!$P$5:$P$357,183)),"")</f>
        <v/>
      </c>
      <c r="N195">
        <f>IFERROR(INDEX('ערכים טכנולוגיים'!$N$5:$N$357,SMALL('ערכים טכנולוגיים'!$P$5:$P$357,183)),"")</f>
        <v/>
      </c>
      <c r="O195">
        <f>IFERROR(INDEX('ערכים טכנולוגיים'!$O$5:$O$357,SMALL('ערכים טכנולוגיים'!$P$5:$P$357,183)),"")</f>
        <v/>
      </c>
    </row>
    <row r="196">
      <c r="A196">
        <f>IFERROR(INDEX('ערכים טכנולוגיים'!$A$5:$A$357,SMALL('ערכים טכנולוגיים'!$P$5:$P$357,184)),"")</f>
        <v/>
      </c>
      <c r="B196">
        <f>IFERROR(INDEX('ערכים טכנולוגיים'!$B$5:$B$357,SMALL('ערכים טכנולוגיים'!$P$5:$P$357,184)),"")</f>
        <v/>
      </c>
      <c r="C196">
        <f>IFERROR(INDEX('ערכים טכנולוגיים'!$C$5:$C$357,SMALL('ערכים טכנולוגיים'!$P$5:$P$357,184)),"")</f>
        <v/>
      </c>
      <c r="D196">
        <f>IFERROR(INDEX('ערכים טכנולוגיים'!$D$5:$D$357,SMALL('ערכים טכנולוגיים'!$P$5:$P$357,184)),"")</f>
        <v/>
      </c>
      <c r="E196">
        <f>IFERROR(INDEX('ערכים טכנולוגיים'!$E$5:$E$357,SMALL('ערכים טכנולוגיים'!$P$5:$P$357,184)),"")</f>
        <v/>
      </c>
      <c r="F196">
        <f>IFERROR(INDEX('ערכים טכנולוגיים'!$F$5:$F$357,SMALL('ערכים טכנולוגיים'!$P$5:$P$357,184)),"")</f>
        <v/>
      </c>
      <c r="G196">
        <f>IFERROR(INDEX('ערכים טכנולוגיים'!$G$5:$G$357,SMALL('ערכים טכנולוגיים'!$P$5:$P$357,184)),"")</f>
        <v/>
      </c>
      <c r="H196">
        <f>IFERROR(INDEX('ערכים טכנולוגיים'!$H$5:$H$357,SMALL('ערכים טכנולוגיים'!$P$5:$P$357,184)),"")</f>
        <v/>
      </c>
      <c r="I196">
        <f>IFERROR(INDEX('ערכים טכנולוגיים'!$I$5:$I$357,SMALL('ערכים טכנולוגיים'!$P$5:$P$357,184)),"")</f>
        <v/>
      </c>
      <c r="J196">
        <f>IFERROR(INDEX('ערכים טכנולוגיים'!$J$5:$J$357,SMALL('ערכים טכנולוגיים'!$P$5:$P$357,184)),"")</f>
        <v/>
      </c>
      <c r="K196">
        <f>IFERROR(INDEX('ערכים טכנולוגיים'!$K$5:$K$357,SMALL('ערכים טכנולוגיים'!$P$5:$P$357,184)),"")</f>
        <v/>
      </c>
      <c r="L196">
        <f>IFERROR(INDEX('ערכים טכנולוגיים'!$L$5:$L$357,SMALL('ערכים טכנולוגיים'!$P$5:$P$357,184)),"")</f>
        <v/>
      </c>
      <c r="M196">
        <f>IFERROR(INDEX('ערכים טכנולוגיים'!$M$5:$M$357,SMALL('ערכים טכנולוגיים'!$P$5:$P$357,184)),"")</f>
        <v/>
      </c>
      <c r="N196">
        <f>IFERROR(INDEX('ערכים טכנולוגיים'!$N$5:$N$357,SMALL('ערכים טכנולוגיים'!$P$5:$P$357,184)),"")</f>
        <v/>
      </c>
      <c r="O196">
        <f>IFERROR(INDEX('ערכים טכנולוגיים'!$O$5:$O$357,SMALL('ערכים טכנולוגיים'!$P$5:$P$357,184)),"")</f>
        <v/>
      </c>
    </row>
    <row r="197">
      <c r="A197">
        <f>IFERROR(INDEX('ערכים טכנולוגיים'!$A$5:$A$357,SMALL('ערכים טכנולוגיים'!$P$5:$P$357,185)),"")</f>
        <v/>
      </c>
      <c r="B197">
        <f>IFERROR(INDEX('ערכים טכנולוגיים'!$B$5:$B$357,SMALL('ערכים טכנולוגיים'!$P$5:$P$357,185)),"")</f>
        <v/>
      </c>
      <c r="C197">
        <f>IFERROR(INDEX('ערכים טכנולוגיים'!$C$5:$C$357,SMALL('ערכים טכנולוגיים'!$P$5:$P$357,185)),"")</f>
        <v/>
      </c>
      <c r="D197">
        <f>IFERROR(INDEX('ערכים טכנולוגיים'!$D$5:$D$357,SMALL('ערכים טכנולוגיים'!$P$5:$P$357,185)),"")</f>
        <v/>
      </c>
      <c r="E197">
        <f>IFERROR(INDEX('ערכים טכנולוגיים'!$E$5:$E$357,SMALL('ערכים טכנולוגיים'!$P$5:$P$357,185)),"")</f>
        <v/>
      </c>
      <c r="F197">
        <f>IFERROR(INDEX('ערכים טכנולוגיים'!$F$5:$F$357,SMALL('ערכים טכנולוגיים'!$P$5:$P$357,185)),"")</f>
        <v/>
      </c>
      <c r="G197">
        <f>IFERROR(INDEX('ערכים טכנולוגיים'!$G$5:$G$357,SMALL('ערכים טכנולוגיים'!$P$5:$P$357,185)),"")</f>
        <v/>
      </c>
      <c r="H197">
        <f>IFERROR(INDEX('ערכים טכנולוגיים'!$H$5:$H$357,SMALL('ערכים טכנולוגיים'!$P$5:$P$357,185)),"")</f>
        <v/>
      </c>
      <c r="I197">
        <f>IFERROR(INDEX('ערכים טכנולוגיים'!$I$5:$I$357,SMALL('ערכים טכנולוגיים'!$P$5:$P$357,185)),"")</f>
        <v/>
      </c>
      <c r="J197">
        <f>IFERROR(INDEX('ערכים טכנולוגיים'!$J$5:$J$357,SMALL('ערכים טכנולוגיים'!$P$5:$P$357,185)),"")</f>
        <v/>
      </c>
      <c r="K197">
        <f>IFERROR(INDEX('ערכים טכנולוגיים'!$K$5:$K$357,SMALL('ערכים טכנולוגיים'!$P$5:$P$357,185)),"")</f>
        <v/>
      </c>
      <c r="L197">
        <f>IFERROR(INDEX('ערכים טכנולוגיים'!$L$5:$L$357,SMALL('ערכים טכנולוגיים'!$P$5:$P$357,185)),"")</f>
        <v/>
      </c>
      <c r="M197">
        <f>IFERROR(INDEX('ערכים טכנולוגיים'!$M$5:$M$357,SMALL('ערכים טכנולוגיים'!$P$5:$P$357,185)),"")</f>
        <v/>
      </c>
      <c r="N197">
        <f>IFERROR(INDEX('ערכים טכנולוגיים'!$N$5:$N$357,SMALL('ערכים טכנולוגיים'!$P$5:$P$357,185)),"")</f>
        <v/>
      </c>
      <c r="O197">
        <f>IFERROR(INDEX('ערכים טכנולוגיים'!$O$5:$O$357,SMALL('ערכים טכנולוגיים'!$P$5:$P$357,185)),"")</f>
        <v/>
      </c>
    </row>
    <row r="198">
      <c r="A198">
        <f>IFERROR(INDEX('ערכים טכנולוגיים'!$A$5:$A$357,SMALL('ערכים טכנולוגיים'!$P$5:$P$357,186)),"")</f>
        <v/>
      </c>
      <c r="B198">
        <f>IFERROR(INDEX('ערכים טכנולוגיים'!$B$5:$B$357,SMALL('ערכים טכנולוגיים'!$P$5:$P$357,186)),"")</f>
        <v/>
      </c>
      <c r="C198">
        <f>IFERROR(INDEX('ערכים טכנולוגיים'!$C$5:$C$357,SMALL('ערכים טכנולוגיים'!$P$5:$P$357,186)),"")</f>
        <v/>
      </c>
      <c r="D198">
        <f>IFERROR(INDEX('ערכים טכנולוגיים'!$D$5:$D$357,SMALL('ערכים טכנולוגיים'!$P$5:$P$357,186)),"")</f>
        <v/>
      </c>
      <c r="E198">
        <f>IFERROR(INDEX('ערכים טכנולוגיים'!$E$5:$E$357,SMALL('ערכים טכנולוגיים'!$P$5:$P$357,186)),"")</f>
        <v/>
      </c>
      <c r="F198">
        <f>IFERROR(INDEX('ערכים טכנולוגיים'!$F$5:$F$357,SMALL('ערכים טכנולוגיים'!$P$5:$P$357,186)),"")</f>
        <v/>
      </c>
      <c r="G198">
        <f>IFERROR(INDEX('ערכים טכנולוגיים'!$G$5:$G$357,SMALL('ערכים טכנולוגיים'!$P$5:$P$357,186)),"")</f>
        <v/>
      </c>
      <c r="H198">
        <f>IFERROR(INDEX('ערכים טכנולוגיים'!$H$5:$H$357,SMALL('ערכים טכנולוגיים'!$P$5:$P$357,186)),"")</f>
        <v/>
      </c>
      <c r="I198">
        <f>IFERROR(INDEX('ערכים טכנולוגיים'!$I$5:$I$357,SMALL('ערכים טכנולוגיים'!$P$5:$P$357,186)),"")</f>
        <v/>
      </c>
      <c r="J198">
        <f>IFERROR(INDEX('ערכים טכנולוגיים'!$J$5:$J$357,SMALL('ערכים טכנולוגיים'!$P$5:$P$357,186)),"")</f>
        <v/>
      </c>
      <c r="K198">
        <f>IFERROR(INDEX('ערכים טכנולוגיים'!$K$5:$K$357,SMALL('ערכים טכנולוגיים'!$P$5:$P$357,186)),"")</f>
        <v/>
      </c>
      <c r="L198">
        <f>IFERROR(INDEX('ערכים טכנולוגיים'!$L$5:$L$357,SMALL('ערכים טכנולוגיים'!$P$5:$P$357,186)),"")</f>
        <v/>
      </c>
      <c r="M198">
        <f>IFERROR(INDEX('ערכים טכנולוגיים'!$M$5:$M$357,SMALL('ערכים טכנולוגיים'!$P$5:$P$357,186)),"")</f>
        <v/>
      </c>
      <c r="N198">
        <f>IFERROR(INDEX('ערכים טכנולוגיים'!$N$5:$N$357,SMALL('ערכים טכנולוגיים'!$P$5:$P$357,186)),"")</f>
        <v/>
      </c>
      <c r="O198">
        <f>IFERROR(INDEX('ערכים טכנולוגיים'!$O$5:$O$357,SMALL('ערכים טכנולוגיים'!$P$5:$P$357,186)),"")</f>
        <v/>
      </c>
    </row>
    <row r="199">
      <c r="A199">
        <f>IFERROR(INDEX('ערכים טכנולוגיים'!$A$5:$A$357,SMALL('ערכים טכנולוגיים'!$P$5:$P$357,187)),"")</f>
        <v/>
      </c>
      <c r="B199">
        <f>IFERROR(INDEX('ערכים טכנולוגיים'!$B$5:$B$357,SMALL('ערכים טכנולוגיים'!$P$5:$P$357,187)),"")</f>
        <v/>
      </c>
      <c r="C199">
        <f>IFERROR(INDEX('ערכים טכנולוגיים'!$C$5:$C$357,SMALL('ערכים טכנולוגיים'!$P$5:$P$357,187)),"")</f>
        <v/>
      </c>
      <c r="D199">
        <f>IFERROR(INDEX('ערכים טכנולוגיים'!$D$5:$D$357,SMALL('ערכים טכנולוגיים'!$P$5:$P$357,187)),"")</f>
        <v/>
      </c>
      <c r="E199">
        <f>IFERROR(INDEX('ערכים טכנולוגיים'!$E$5:$E$357,SMALL('ערכים טכנולוגיים'!$P$5:$P$357,187)),"")</f>
        <v/>
      </c>
      <c r="F199">
        <f>IFERROR(INDEX('ערכים טכנולוגיים'!$F$5:$F$357,SMALL('ערכים טכנולוגיים'!$P$5:$P$357,187)),"")</f>
        <v/>
      </c>
      <c r="G199">
        <f>IFERROR(INDEX('ערכים טכנולוגיים'!$G$5:$G$357,SMALL('ערכים טכנולוגיים'!$P$5:$P$357,187)),"")</f>
        <v/>
      </c>
      <c r="H199">
        <f>IFERROR(INDEX('ערכים טכנולוגיים'!$H$5:$H$357,SMALL('ערכים טכנולוגיים'!$P$5:$P$357,187)),"")</f>
        <v/>
      </c>
      <c r="I199">
        <f>IFERROR(INDEX('ערכים טכנולוגיים'!$I$5:$I$357,SMALL('ערכים טכנולוגיים'!$P$5:$P$357,187)),"")</f>
        <v/>
      </c>
      <c r="J199">
        <f>IFERROR(INDEX('ערכים טכנולוגיים'!$J$5:$J$357,SMALL('ערכים טכנולוגיים'!$P$5:$P$357,187)),"")</f>
        <v/>
      </c>
      <c r="K199">
        <f>IFERROR(INDEX('ערכים טכנולוגיים'!$K$5:$K$357,SMALL('ערכים טכנולוגיים'!$P$5:$P$357,187)),"")</f>
        <v/>
      </c>
      <c r="L199">
        <f>IFERROR(INDEX('ערכים טכנולוגיים'!$L$5:$L$357,SMALL('ערכים טכנולוגיים'!$P$5:$P$357,187)),"")</f>
        <v/>
      </c>
      <c r="M199">
        <f>IFERROR(INDEX('ערכים טכנולוגיים'!$M$5:$M$357,SMALL('ערכים טכנולוגיים'!$P$5:$P$357,187)),"")</f>
        <v/>
      </c>
      <c r="N199">
        <f>IFERROR(INDEX('ערכים טכנולוגיים'!$N$5:$N$357,SMALL('ערכים טכנולוגיים'!$P$5:$P$357,187)),"")</f>
        <v/>
      </c>
      <c r="O199">
        <f>IFERROR(INDEX('ערכים טכנולוגיים'!$O$5:$O$357,SMALL('ערכים טכנולוגיים'!$P$5:$P$357,187)),"")</f>
        <v/>
      </c>
    </row>
    <row r="200">
      <c r="A200">
        <f>IFERROR(INDEX('ערכים טכנולוגיים'!$A$5:$A$357,SMALL('ערכים טכנולוגיים'!$P$5:$P$357,188)),"")</f>
        <v/>
      </c>
      <c r="B200">
        <f>IFERROR(INDEX('ערכים טכנולוגיים'!$B$5:$B$357,SMALL('ערכים טכנולוגיים'!$P$5:$P$357,188)),"")</f>
        <v/>
      </c>
      <c r="C200">
        <f>IFERROR(INDEX('ערכים טכנולוגיים'!$C$5:$C$357,SMALL('ערכים טכנולוגיים'!$P$5:$P$357,188)),"")</f>
        <v/>
      </c>
      <c r="D200">
        <f>IFERROR(INDEX('ערכים טכנולוגיים'!$D$5:$D$357,SMALL('ערכים טכנולוגיים'!$P$5:$P$357,188)),"")</f>
        <v/>
      </c>
      <c r="E200">
        <f>IFERROR(INDEX('ערכים טכנולוגיים'!$E$5:$E$357,SMALL('ערכים טכנולוגיים'!$P$5:$P$357,188)),"")</f>
        <v/>
      </c>
      <c r="F200">
        <f>IFERROR(INDEX('ערכים טכנולוגיים'!$F$5:$F$357,SMALL('ערכים טכנולוגיים'!$P$5:$P$357,188)),"")</f>
        <v/>
      </c>
      <c r="G200">
        <f>IFERROR(INDEX('ערכים טכנולוגיים'!$G$5:$G$357,SMALL('ערכים טכנולוגיים'!$P$5:$P$357,188)),"")</f>
        <v/>
      </c>
      <c r="H200">
        <f>IFERROR(INDEX('ערכים טכנולוגיים'!$H$5:$H$357,SMALL('ערכים טכנולוגיים'!$P$5:$P$357,188)),"")</f>
        <v/>
      </c>
      <c r="I200">
        <f>IFERROR(INDEX('ערכים טכנולוגיים'!$I$5:$I$357,SMALL('ערכים טכנולוגיים'!$P$5:$P$357,188)),"")</f>
        <v/>
      </c>
      <c r="J200">
        <f>IFERROR(INDEX('ערכים טכנולוגיים'!$J$5:$J$357,SMALL('ערכים טכנולוגיים'!$P$5:$P$357,188)),"")</f>
        <v/>
      </c>
      <c r="K200">
        <f>IFERROR(INDEX('ערכים טכנולוגיים'!$K$5:$K$357,SMALL('ערכים טכנולוגיים'!$P$5:$P$357,188)),"")</f>
        <v/>
      </c>
      <c r="L200">
        <f>IFERROR(INDEX('ערכים טכנולוגיים'!$L$5:$L$357,SMALL('ערכים טכנולוגיים'!$P$5:$P$357,188)),"")</f>
        <v/>
      </c>
      <c r="M200">
        <f>IFERROR(INDEX('ערכים טכנולוגיים'!$M$5:$M$357,SMALL('ערכים טכנולוגיים'!$P$5:$P$357,188)),"")</f>
        <v/>
      </c>
      <c r="N200">
        <f>IFERROR(INDEX('ערכים טכנולוגיים'!$N$5:$N$357,SMALL('ערכים טכנולוגיים'!$P$5:$P$357,188)),"")</f>
        <v/>
      </c>
      <c r="O200">
        <f>IFERROR(INDEX('ערכים טכנולוגיים'!$O$5:$O$357,SMALL('ערכים טכנולוגיים'!$P$5:$P$357,188)),"")</f>
        <v/>
      </c>
    </row>
  </sheetData>
  <mergeCells count="1">
    <mergeCell ref="A1:J1"/>
  </mergeCells>
  <dataValidations count="3">
    <dataValidation sqref="C3" showDropDown="0" showInputMessage="0" showErrorMessage="0" allowBlank="1" type="list">
      <formula1>'הגדרות'!$F$2:$F$8</formula1>
    </dataValidation>
    <dataValidation sqref="C4" showDropDown="0" showInputMessage="0" showErrorMessage="0" allowBlank="1" type="list">
      <formula1>'הגדרות'!$G$2:$G$10</formula1>
    </dataValidation>
    <dataValidation sqref="C5" showDropDown="0" showInputMessage="0" showErrorMessage="0" allowBlank="1" type="list">
      <formula1>'הגדרות'!$O$2:$O$4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2026-04-05T10:24:21Z</dcterms:created>
  <dcterms:modified xsi:type="dcterms:W3CDTF">2026-04-05T10:25:13Z</dcterms:modified>
</cp:coreProperties>
</file>
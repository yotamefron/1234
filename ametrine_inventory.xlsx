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'הגדרות'!$A$11:$D$25</definedName>
    <definedName name="שמות_הדפסים">'הגדרות'!$A$11:$A$25</definedName>
    <definedName name="קווי_מוצר">'הגדרות'!$A$29:$A$36</definedName>
    <definedName name="מוצרים">'הגדרות'!$A$40:$C$63</definedName>
    <definedName name="OverGarment">'הגדרות'!$B$40:$B$51</definedName>
    <definedName name="Hide_Site">'הגדרות'!$B$52:$B$54</definedName>
    <definedName name="Platform_Hide_Site">'הגדרות'!$B$55:$B$55</definedName>
    <definedName name="Uniform">'הגדרות'!$B$56:$B$57</definedName>
    <definedName name="Blankets">'הגדרות'!$B$58:$B$59</definedName>
    <definedName name="Urban">'הגדרות'!$B$60:$B$60</definedName>
    <definedName name="Platform_On_The_Move">'הגדרות'!$B$61:$B$62</definedName>
    <definedName name="Accessories">'הגדרות'!$B$63:$B$63</definedName>
    <definedName name="סוגי_בד">'הגדרות'!$A$67:$A$78</definedName>
    <definedName name="סטטוסים">'הגדרות'!$A$82:$A$85</definedName>
    <definedName name="כן_לא">'הגדרות'!$A$89:$A$90</definedName>
    <definedName name="מידות">'הגדרות'!$A$94:$A$100</definedName>
    <definedName name="מקטים">'הגדרות'!$A$104:$D$123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" t="inlineStr">
        <is>
          <t>קו מוצר</t>
        </is>
      </c>
      <c r="B1" s="1" t="inlineStr">
        <is>
          <t>שם מוצר</t>
        </is>
      </c>
      <c r="C1" s="1" t="inlineStr">
        <is>
          <t>גרסה</t>
        </is>
      </c>
      <c r="D1" s="1" t="inlineStr">
        <is>
          <t>מזהה ייחודי</t>
        </is>
      </c>
      <c r="E1" s="1" t="inlineStr">
        <is>
          <t>מק"ט</t>
        </is>
      </c>
      <c r="F1" s="1" t="inlineStr">
        <is>
          <t>תאריך השאלה</t>
        </is>
      </c>
      <c r="G1" s="1" t="inlineStr">
        <is>
          <t>סוג בד 1</t>
        </is>
      </c>
      <c r="H1" s="1" t="inlineStr">
        <is>
          <t>סוג בד 2</t>
        </is>
      </c>
      <c r="I1" s="1" t="inlineStr">
        <is>
          <t>מידה</t>
        </is>
      </c>
      <c r="J1" s="1" t="inlineStr">
        <is>
          <t>גרסה מיוחדת - פיתוח</t>
        </is>
      </c>
      <c r="K1" s="1" t="inlineStr">
        <is>
          <t>גרסה סופית</t>
        </is>
      </c>
      <c r="L1" s="1" t="inlineStr">
        <is>
          <t>הערות גרסה/פיצ׳רים</t>
        </is>
      </c>
      <c r="M1" s="1" t="inlineStr">
        <is>
          <t>הדפס צד A</t>
        </is>
      </c>
      <c r="N1" s="1" t="inlineStr">
        <is>
          <t>הדפס צד B</t>
        </is>
      </c>
      <c r="O1" s="1" t="inlineStr">
        <is>
          <t>תקין ויזואלית צד A</t>
        </is>
      </c>
      <c r="P1" s="1" t="inlineStr">
        <is>
          <t>תקין ויזואלית צד B</t>
        </is>
      </c>
      <c r="Q1" s="1" t="inlineStr">
        <is>
          <t>סביבה A</t>
        </is>
      </c>
      <c r="R1" s="1" t="inlineStr">
        <is>
          <t>סביבה משנית A</t>
        </is>
      </c>
      <c r="S1" s="1" t="inlineStr">
        <is>
          <t>סביבה B</t>
        </is>
      </c>
      <c r="T1" s="1" t="inlineStr">
        <is>
          <t>סביבה משנית B</t>
        </is>
      </c>
      <c r="U1" s="1" t="inlineStr">
        <is>
          <t>תקין תרמית צד A</t>
        </is>
      </c>
      <c r="V1" s="1" t="inlineStr">
        <is>
          <t>תקין תרמית צד B</t>
        </is>
      </c>
      <c r="W1" s="1" t="inlineStr">
        <is>
          <t>פיצ׳רים תקינים</t>
        </is>
      </c>
      <c r="X1" s="1" t="inlineStr">
        <is>
          <t>סטטוס</t>
        </is>
      </c>
      <c r="Y1" s="1" t="inlineStr">
        <is>
          <t>מושאל ל</t>
        </is>
      </c>
      <c r="Z1" s="1" t="inlineStr">
        <is>
          <t>מדינה</t>
        </is>
      </c>
      <c r="AA1" s="1" t="inlineStr">
        <is>
          <t>אחראי מהחברה</t>
        </is>
      </c>
      <c r="AB1" s="1" t="inlineStr">
        <is>
          <t>החזרה משוערת</t>
        </is>
      </c>
      <c r="AC1" s="1" t="inlineStr">
        <is>
          <t>הערות</t>
        </is>
      </c>
      <c r="AD1" s="1" t="inlineStr">
        <is>
          <t>פער בתכולה</t>
        </is>
      </c>
      <c r="AE1" s="1" t="inlineStr">
        <is>
          <t>מתאים_סביבה</t>
        </is>
      </c>
      <c r="AF1" s="1" t="inlineStr">
        <is>
          <t>תקין_לגמרי</t>
        </is>
      </c>
      <c r="AG1" s="1" t="inlineStr">
        <is>
          <t>תקין_ויזואלי_בלבד</t>
        </is>
      </c>
      <c r="AH1" s="1" t="inlineStr">
        <is>
          <t>תקין_תרמי_בלבד</t>
        </is>
      </c>
      <c r="AI1" s="1" t="inlineStr">
        <is>
          <t>באיחור</t>
        </is>
      </c>
    </row>
    <row r="2">
      <c r="A2" s="2" t="inlineStr">
        <is>
          <t>OverGarment</t>
        </is>
      </c>
      <c r="B2" s="2" t="inlineStr">
        <is>
          <t>Poncho Inbar</t>
        </is>
      </c>
      <c r="C2" s="2" t="n"/>
      <c r="D2" s="2" t="inlineStr">
        <is>
          <t>INV-001</t>
        </is>
      </c>
      <c r="E2" s="2">
        <f>IFERROR(INDEX('הגדרות'!$D$104:$D$123,MATCH(B2&amp;G2&amp;C2,'הגדרות'!$A$104:$A$123&amp;'הגדרות'!$B$104:$B$123&amp;'הגדרות'!$C$104:$C$123,0)),"")</f>
        <v/>
      </c>
      <c r="F2" s="3" t="n">
        <v>45971</v>
      </c>
      <c r="G2" s="2" t="inlineStr">
        <is>
          <t>Inbar</t>
        </is>
      </c>
      <c r="H2" s="2" t="n"/>
      <c r="I2" s="2" t="inlineStr">
        <is>
          <t>L</t>
        </is>
      </c>
      <c r="J2" s="2" t="inlineStr">
        <is>
          <t>לא</t>
        </is>
      </c>
      <c r="K2" s="2" t="inlineStr">
        <is>
          <t>כן</t>
        </is>
      </c>
      <c r="L2" s="2" t="n"/>
      <c r="M2" s="2" t="inlineStr">
        <is>
          <t>Desert</t>
        </is>
      </c>
      <c r="N2" s="2" t="inlineStr">
        <is>
          <t>Forest Green</t>
        </is>
      </c>
      <c r="O2" s="2" t="inlineStr">
        <is>
          <t>לא</t>
        </is>
      </c>
      <c r="P2" s="2" t="inlineStr">
        <is>
          <t>כן</t>
        </is>
      </c>
      <c r="Q2" s="2">
        <f>IFERROR(VLOOKUP(M2,'הגדרות'!$A$11:$D$25,2,FALSE),"")</f>
        <v/>
      </c>
      <c r="R2" s="2">
        <f>IFERROR(VLOOKUP(M2,'הגדרות'!$A$11:$D$25,3,FALSE),"")</f>
        <v/>
      </c>
      <c r="S2" s="2">
        <f>IFERROR(VLOOKUP(N2,'הגדרות'!$A$11:$D$25,2,FALSE),"")</f>
        <v/>
      </c>
      <c r="T2" s="2">
        <f>IFERROR(VLOOKUP(N2,'הגדרות'!$A$11:$D$25,3,FALSE),"")</f>
        <v/>
      </c>
      <c r="U2" s="2" t="inlineStr">
        <is>
          <t>כן</t>
        </is>
      </c>
      <c r="V2" s="2" t="inlineStr">
        <is>
          <t>כן</t>
        </is>
      </c>
      <c r="W2" s="2" t="inlineStr">
        <is>
          <t>כן</t>
        </is>
      </c>
      <c r="X2" s="2" t="inlineStr">
        <is>
          <t>במלאי</t>
        </is>
      </c>
      <c r="Y2" s="2" t="n"/>
      <c r="Z2" s="2" t="inlineStr">
        <is>
          <t>ישראל</t>
        </is>
      </c>
      <c r="AA2" s="2" t="n"/>
      <c r="AB2" s="3" t="n"/>
      <c r="AC2" s="2" t="inlineStr">
        <is>
          <t>הדפס Desert ישן — אינו תקין ויזואלית</t>
        </is>
      </c>
      <c r="AD2" s="2" t="inlineStr">
        <is>
          <t>לא</t>
        </is>
      </c>
      <c r="AE2" s="2">
        <f>OR(Q2='לוח בקרה'!$B$2,R2='לוח בקרה'!$B$2,S2='לוח בקרה'!$B$2,T2='לוח בקרה'!$B$2)</f>
        <v/>
      </c>
      <c r="AF2" s="2">
        <f>AND(AE2,OR(AND(O2="כן",U2="כן"),AND(P2="כן",V2="כן")))</f>
        <v/>
      </c>
      <c r="AG2" s="2">
        <f>AND(AE2,OR(O2="כן",P2="כן"),NOT(OR(AND(O2="כן",U2="כן"),AND(P2="כן",V2="כן"))))</f>
        <v/>
      </c>
      <c r="AH2" s="2">
        <f>AND(AE2,OR(U2="כן",V2="כן"),NOT(OR(O2="כן",P2="כן")))</f>
        <v/>
      </c>
      <c r="AI2" s="2">
        <f>AND(X2="מושאל",AB2&lt;&gt;"",AB2&lt;TODAY())</f>
        <v/>
      </c>
    </row>
    <row r="3">
      <c r="A3" s="4" t="inlineStr">
        <is>
          <t>Hide Site</t>
        </is>
      </c>
      <c r="B3" s="4" t="inlineStr">
        <is>
          <t>Hide Site Standard</t>
        </is>
      </c>
      <c r="C3" s="4" t="n"/>
      <c r="D3" s="4" t="inlineStr">
        <is>
          <t>INV-002</t>
        </is>
      </c>
      <c r="E3" s="4">
        <f>IFERROR(INDEX('הגדרות'!$D$104:$D$123,MATCH(B3&amp;G3&amp;C3,'הגדרות'!$A$104:$A$123&amp;'הגדרות'!$B$104:$B$123&amp;'הגדרות'!$C$104:$C$123,0)),"")</f>
        <v/>
      </c>
      <c r="F3" s="5" t="n">
        <v>45870</v>
      </c>
      <c r="G3" s="4" t="inlineStr">
        <is>
          <t>Sahar</t>
        </is>
      </c>
      <c r="H3" s="4" t="inlineStr">
        <is>
          <t>Gabardine</t>
        </is>
      </c>
      <c r="I3" s="4" t="inlineStr">
        <is>
          <t>One Size</t>
        </is>
      </c>
      <c r="J3" s="4" t="inlineStr">
        <is>
          <t>לא</t>
        </is>
      </c>
      <c r="K3" s="4" t="inlineStr">
        <is>
          <t>כן</t>
        </is>
      </c>
      <c r="L3" s="4" t="n"/>
      <c r="M3" s="4" t="inlineStr">
        <is>
          <t>Woodland</t>
        </is>
      </c>
      <c r="N3" s="4" t="n"/>
      <c r="O3" s="4" t="inlineStr">
        <is>
          <t>כן</t>
        </is>
      </c>
      <c r="P3" s="4" t="n"/>
      <c r="Q3" s="4">
        <f>IFERROR(VLOOKUP(M3,'הגדרות'!$A$11:$D$25,2,FALSE),"")</f>
        <v/>
      </c>
      <c r="R3" s="4">
        <f>IFERROR(VLOOKUP(M3,'הגדרות'!$A$11:$D$25,3,FALSE),"")</f>
        <v/>
      </c>
      <c r="S3" s="4">
        <f>IFERROR(VLOOKUP(N3,'הגדרות'!$A$11:$D$25,2,FALSE),"")</f>
        <v/>
      </c>
      <c r="T3" s="4">
        <f>IFERROR(VLOOKUP(N3,'הגדרות'!$A$11:$D$25,3,FALSE),"")</f>
        <v/>
      </c>
      <c r="U3" s="4" t="inlineStr">
        <is>
          <t>כן</t>
        </is>
      </c>
      <c r="V3" s="4" t="n"/>
      <c r="W3" s="4" t="inlineStr">
        <is>
          <t>כן</t>
        </is>
      </c>
      <c r="X3" s="4" t="inlineStr">
        <is>
          <t>מושאל</t>
        </is>
      </c>
      <c r="Y3" s="4" t="inlineStr">
        <is>
          <t>צה"ל</t>
        </is>
      </c>
      <c r="Z3" s="4" t="inlineStr">
        <is>
          <t>ישראל</t>
        </is>
      </c>
      <c r="AA3" s="4" t="inlineStr">
        <is>
          <t>יוסי כהן</t>
        </is>
      </c>
      <c r="AB3" s="5" t="n">
        <v>46068</v>
      </c>
      <c r="AC3" s="4" t="n"/>
      <c r="AD3" s="4" t="inlineStr">
        <is>
          <t>לא</t>
        </is>
      </c>
      <c r="AE3" s="4">
        <f>OR(Q3='לוח בקרה'!$B$2,R3='לוח בקרה'!$B$2,S3='לוח בקרה'!$B$2,T3='לוח בקרה'!$B$2)</f>
        <v/>
      </c>
      <c r="AF3" s="4">
        <f>AND(AE3,OR(AND(O3="כן",U3="כן"),AND(P3="כן",V3="כן")))</f>
        <v/>
      </c>
      <c r="AG3" s="4">
        <f>AND(AE3,OR(O3="כן",P3="כן"),NOT(OR(AND(O3="כן",U3="כן"),AND(P3="כן",V3="כן"))))</f>
        <v/>
      </c>
      <c r="AH3" s="4">
        <f>AND(AE3,OR(U3="כן",V3="כן"),NOT(OR(O3="כן",P3="כן")))</f>
        <v/>
      </c>
      <c r="AI3" s="4">
        <f>AND(X3="מושאל",AB3&lt;&gt;"",AB3&lt;TODAY())</f>
        <v/>
      </c>
    </row>
    <row r="4">
      <c r="A4" s="2" t="inlineStr">
        <is>
          <t>Uniform</t>
        </is>
      </c>
      <c r="B4" s="2" t="inlineStr">
        <is>
          <t>Shirt</t>
        </is>
      </c>
      <c r="C4" s="2" t="n"/>
      <c r="D4" s="2" t="inlineStr">
        <is>
          <t>INV-003</t>
        </is>
      </c>
      <c r="E4" s="2">
        <f>IFERROR(INDEX('הגדרות'!$D$104:$D$123,MATCH(B4&amp;G4&amp;C4,'הגדרות'!$A$104:$A$123&amp;'הגדרות'!$B$104:$B$123&amp;'הגדרות'!$C$104:$C$123,0)),"")</f>
        <v/>
      </c>
      <c r="F4" s="3" t="n"/>
      <c r="G4" s="2" t="inlineStr">
        <is>
          <t>Meron</t>
        </is>
      </c>
      <c r="H4" s="2" t="n"/>
      <c r="I4" s="2" t="inlineStr">
        <is>
          <t>M</t>
        </is>
      </c>
      <c r="J4" s="2" t="inlineStr">
        <is>
          <t>לא</t>
        </is>
      </c>
      <c r="K4" s="2" t="inlineStr">
        <is>
          <t>לא</t>
        </is>
      </c>
      <c r="L4" s="2" t="inlineStr">
        <is>
          <t>דורש בדיקה נוספת</t>
        </is>
      </c>
      <c r="M4" s="2" t="inlineStr">
        <is>
          <t>Urban Green</t>
        </is>
      </c>
      <c r="N4" s="2" t="inlineStr">
        <is>
          <t>Urban</t>
        </is>
      </c>
      <c r="O4" s="2" t="inlineStr">
        <is>
          <t>כן</t>
        </is>
      </c>
      <c r="P4" s="2" t="inlineStr">
        <is>
          <t>כן</t>
        </is>
      </c>
      <c r="Q4" s="2">
        <f>IFERROR(VLOOKUP(M4,'הגדרות'!$A$11:$D$25,2,FALSE),"")</f>
        <v/>
      </c>
      <c r="R4" s="2">
        <f>IFERROR(VLOOKUP(M4,'הגדרות'!$A$11:$D$25,3,FALSE),"")</f>
        <v/>
      </c>
      <c r="S4" s="2">
        <f>IFERROR(VLOOKUP(N4,'הגדרות'!$A$11:$D$25,2,FALSE),"")</f>
        <v/>
      </c>
      <c r="T4" s="2">
        <f>IFERROR(VLOOKUP(N4,'הגדרות'!$A$11:$D$25,3,FALSE),"")</f>
        <v/>
      </c>
      <c r="U4" s="2" t="inlineStr">
        <is>
          <t>כן</t>
        </is>
      </c>
      <c r="V4" s="2" t="inlineStr">
        <is>
          <t>כן</t>
        </is>
      </c>
      <c r="W4" s="2" t="inlineStr">
        <is>
          <t>כן</t>
        </is>
      </c>
      <c r="X4" s="2" t="inlineStr">
        <is>
          <t>בחדר תצוגה</t>
        </is>
      </c>
      <c r="Y4" s="2" t="n"/>
      <c r="Z4" s="2" t="inlineStr">
        <is>
          <t>ישראל</t>
        </is>
      </c>
      <c r="AA4" s="2" t="n"/>
      <c r="AB4" s="3" t="n"/>
      <c r="AC4" s="2" t="inlineStr">
        <is>
          <t>גרסת ביניים — ממתין לאישור סופי</t>
        </is>
      </c>
      <c r="AD4" s="2" t="inlineStr">
        <is>
          <t>לא</t>
        </is>
      </c>
      <c r="AE4" s="2">
        <f>OR(Q4='לוח בקרה'!$B$2,R4='לוח בקרה'!$B$2,S4='לוח בקרה'!$B$2,T4='לוח בקרה'!$B$2)</f>
        <v/>
      </c>
      <c r="AF4" s="2">
        <f>AND(AE4,OR(AND(O4="כן",U4="כן"),AND(P4="כן",V4="כן")))</f>
        <v/>
      </c>
      <c r="AG4" s="2">
        <f>AND(AE4,OR(O4="כן",P4="כן"),NOT(OR(AND(O4="כן",U4="כן"),AND(P4="כן",V4="כן"))))</f>
        <v/>
      </c>
      <c r="AH4" s="2">
        <f>AND(AE4,OR(U4="כן",V4="כן"),NOT(OR(O4="כן",P4="כן")))</f>
        <v/>
      </c>
      <c r="AI4" s="2">
        <f>AND(X4="מושאל",AB4&lt;&gt;"",AB4&lt;TODAY())</f>
        <v/>
      </c>
    </row>
    <row r="5">
      <c r="A5" s="4" t="inlineStr">
        <is>
          <t>Blankets</t>
        </is>
      </c>
      <c r="B5" s="4" t="inlineStr">
        <is>
          <t>Survival Blanket</t>
        </is>
      </c>
      <c r="C5" s="4" t="n"/>
      <c r="D5" s="4" t="inlineStr">
        <is>
          <t>INV-004</t>
        </is>
      </c>
      <c r="E5" s="4">
        <f>IFERROR(INDEX('הגדרות'!$D$104:$D$123,MATCH(B5&amp;G5&amp;C5,'הגדרות'!$A$104:$A$123&amp;'הגדרות'!$B$104:$B$123&amp;'הגדרות'!$C$104:$C$123,0)),"")</f>
        <v/>
      </c>
      <c r="F5" s="5" t="n"/>
      <c r="G5" s="4" t="inlineStr">
        <is>
          <t>IRR</t>
        </is>
      </c>
      <c r="H5" s="4" t="n"/>
      <c r="I5" s="4" t="inlineStr">
        <is>
          <t>One Size</t>
        </is>
      </c>
      <c r="J5" s="4" t="inlineStr">
        <is>
          <t>כן</t>
        </is>
      </c>
      <c r="K5" s="4" t="inlineStr">
        <is>
          <t>לא</t>
        </is>
      </c>
      <c r="L5" s="4" t="inlineStr">
        <is>
          <t>פרוטוטייפ</t>
        </is>
      </c>
      <c r="M5" s="4" t="inlineStr">
        <is>
          <t>Fresh Snow</t>
        </is>
      </c>
      <c r="N5" s="4" t="n"/>
      <c r="O5" s="4" t="inlineStr">
        <is>
          <t>כן</t>
        </is>
      </c>
      <c r="P5" s="4" t="n"/>
      <c r="Q5" s="4">
        <f>IFERROR(VLOOKUP(M5,'הגדרות'!$A$11:$D$25,2,FALSE),"")</f>
        <v/>
      </c>
      <c r="R5" s="4">
        <f>IFERROR(VLOOKUP(M5,'הגדרות'!$A$11:$D$25,3,FALSE),"")</f>
        <v/>
      </c>
      <c r="S5" s="4">
        <f>IFERROR(VLOOKUP(N5,'הגדרות'!$A$11:$D$25,2,FALSE),"")</f>
        <v/>
      </c>
      <c r="T5" s="4">
        <f>IFERROR(VLOOKUP(N5,'הגדרות'!$A$11:$D$25,3,FALSE),"")</f>
        <v/>
      </c>
      <c r="U5" s="4" t="inlineStr">
        <is>
          <t>לא</t>
        </is>
      </c>
      <c r="V5" s="4" t="n"/>
      <c r="W5" s="4" t="inlineStr">
        <is>
          <t>כן</t>
        </is>
      </c>
      <c r="X5" s="4" t="inlineStr">
        <is>
          <t>במלאי</t>
        </is>
      </c>
      <c r="Y5" s="4" t="n"/>
      <c r="Z5" s="4" t="inlineStr">
        <is>
          <t>ישראל</t>
        </is>
      </c>
      <c r="AA5" s="4" t="n"/>
      <c r="AB5" s="5" t="n"/>
      <c r="AC5" s="4" t="inlineStr">
        <is>
          <t>דגם ניסיוני — לא לשלוח ללקוח</t>
        </is>
      </c>
      <c r="AD5" s="4" t="inlineStr">
        <is>
          <t>לא</t>
        </is>
      </c>
      <c r="AE5" s="4">
        <f>OR(Q5='לוח בקרה'!$B$2,R5='לוח בקרה'!$B$2,S5='לוח בקרה'!$B$2,T5='לוח בקרה'!$B$2)</f>
        <v/>
      </c>
      <c r="AF5" s="4">
        <f>AND(AE5,OR(AND(O5="כן",U5="כן"),AND(P5="כן",V5="כן")))</f>
        <v/>
      </c>
      <c r="AG5" s="4">
        <f>AND(AE5,OR(O5="כן",P5="כן"),NOT(OR(AND(O5="כן",U5="כן"),AND(P5="כן",V5="כן"))))</f>
        <v/>
      </c>
      <c r="AH5" s="4">
        <f>AND(AE5,OR(U5="כן",V5="כן"),NOT(OR(O5="כן",P5="כן")))</f>
        <v/>
      </c>
      <c r="AI5" s="4">
        <f>AND(X5="מושאל",AB5&lt;&gt;"",AB5&lt;TODAY())</f>
        <v/>
      </c>
    </row>
    <row r="6">
      <c r="A6" s="2" t="inlineStr">
        <is>
          <t>OverGarment</t>
        </is>
      </c>
      <c r="B6" s="2" t="inlineStr">
        <is>
          <t>Hobey Elite</t>
        </is>
      </c>
      <c r="C6" s="2" t="n"/>
      <c r="D6" s="2" t="inlineStr">
        <is>
          <t>INV-005</t>
        </is>
      </c>
      <c r="E6" s="2">
        <f>IFERROR(INDEX('הגדרות'!$D$104:$D$123,MATCH(B6&amp;G6&amp;C6,'הגדרות'!$A$104:$A$123&amp;'הגדרות'!$B$104:$B$123&amp;'הגדרות'!$C$104:$C$123,0)),"")</f>
        <v/>
      </c>
      <c r="F6" s="3" t="n">
        <v>45992</v>
      </c>
      <c r="G6" s="2" t="inlineStr">
        <is>
          <t>SRV</t>
        </is>
      </c>
      <c r="H6" s="2" t="inlineStr">
        <is>
          <t>Arber</t>
        </is>
      </c>
      <c r="I6" s="2" t="inlineStr">
        <is>
          <t>XL</t>
        </is>
      </c>
      <c r="J6" s="2" t="inlineStr">
        <is>
          <t>לא</t>
        </is>
      </c>
      <c r="K6" s="2" t="inlineStr">
        <is>
          <t>כן</t>
        </is>
      </c>
      <c r="L6" s="2" t="n"/>
      <c r="M6" s="2" t="inlineStr">
        <is>
          <t>Sand</t>
        </is>
      </c>
      <c r="N6" s="2" t="inlineStr">
        <is>
          <t>Ever-Green</t>
        </is>
      </c>
      <c r="O6" s="2" t="inlineStr">
        <is>
          <t>כן</t>
        </is>
      </c>
      <c r="P6" s="2" t="inlineStr">
        <is>
          <t>כן</t>
        </is>
      </c>
      <c r="Q6" s="2">
        <f>IFERROR(VLOOKUP(M6,'הגדרות'!$A$11:$D$25,2,FALSE),"")</f>
        <v/>
      </c>
      <c r="R6" s="2">
        <f>IFERROR(VLOOKUP(M6,'הגדרות'!$A$11:$D$25,3,FALSE),"")</f>
        <v/>
      </c>
      <c r="S6" s="2">
        <f>IFERROR(VLOOKUP(N6,'הגדרות'!$A$11:$D$25,2,FALSE),"")</f>
        <v/>
      </c>
      <c r="T6" s="2">
        <f>IFERROR(VLOOKUP(N6,'הגדרות'!$A$11:$D$25,3,FALSE),"")</f>
        <v/>
      </c>
      <c r="U6" s="2" t="inlineStr">
        <is>
          <t>כן</t>
        </is>
      </c>
      <c r="V6" s="2" t="inlineStr">
        <is>
          <t>כן</t>
        </is>
      </c>
      <c r="W6" s="2" t="inlineStr">
        <is>
          <t>כן</t>
        </is>
      </c>
      <c r="X6" s="2" t="inlineStr">
        <is>
          <t>מושאל</t>
        </is>
      </c>
      <c r="Y6" s="2" t="inlineStr">
        <is>
          <t>לוקהיד מרטין</t>
        </is>
      </c>
      <c r="Z6" s="2" t="inlineStr">
        <is>
          <t>ארה"ב</t>
        </is>
      </c>
      <c r="AA6" s="2" t="inlineStr">
        <is>
          <t>דני לוי</t>
        </is>
      </c>
      <c r="AB6" s="3" t="n">
        <v>46032</v>
      </c>
      <c r="AC6" s="2" t="n"/>
      <c r="AD6" s="2" t="inlineStr">
        <is>
          <t>לא</t>
        </is>
      </c>
      <c r="AE6" s="2">
        <f>OR(Q6='לוח בקרה'!$B$2,R6='לוח בקרה'!$B$2,S6='לוח בקרה'!$B$2,T6='לוח בקרה'!$B$2)</f>
        <v/>
      </c>
      <c r="AF6" s="2">
        <f>AND(AE6,OR(AND(O6="כן",U6="כן"),AND(P6="כן",V6="כן")))</f>
        <v/>
      </c>
      <c r="AG6" s="2">
        <f>AND(AE6,OR(O6="כן",P6="כן"),NOT(OR(AND(O6="כן",U6="כן"),AND(P6="כן",V6="כן"))))</f>
        <v/>
      </c>
      <c r="AH6" s="2">
        <f>AND(AE6,OR(U6="כן",V6="כן"),NOT(OR(O6="כן",P6="כן")))</f>
        <v/>
      </c>
      <c r="AI6" s="2">
        <f>AND(X6="מושאל",AB6&lt;&gt;"",AB6&lt;TODAY())</f>
        <v/>
      </c>
    </row>
    <row r="7">
      <c r="E7">
        <f>IFERROR(INDEX('הגדרות'!$D$104:$D$123,MATCH(B7&amp;G7&amp;C7,'הגדרות'!$A$104:$A$123&amp;'הגדרות'!$B$104:$B$123&amp;'הגדרות'!$C$104:$C$123,0)),"")</f>
        <v/>
      </c>
      <c r="F7" s="6" t="n"/>
      <c r="Q7">
        <f>IFERROR(VLOOKUP(M7,'הגדרות'!$A$11:$D$25,2,FALSE),"")</f>
        <v/>
      </c>
      <c r="R7">
        <f>IFERROR(VLOOKUP(M7,'הגדרות'!$A$11:$D$25,3,FALSE),"")</f>
        <v/>
      </c>
      <c r="S7">
        <f>IFERROR(VLOOKUP(N7,'הגדרות'!$A$11:$D$25,2,FALSE),"")</f>
        <v/>
      </c>
      <c r="T7">
        <f>IFERROR(VLOOKUP(N7,'הגדרות'!$A$11:$D$25,3,FALSE),"")</f>
        <v/>
      </c>
      <c r="AB7" s="6" t="n"/>
      <c r="AE7">
        <f>OR(Q7='לוח בקרה'!$B$2,R7='לוח בקרה'!$B$2,S7='לוח בקרה'!$B$2,T7='לוח בקרה'!$B$2)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E8">
        <f>IFERROR(INDEX('הגדרות'!$D$104:$D$123,MATCH(B8&amp;G8&amp;C8,'הגדרות'!$A$104:$A$123&amp;'הגדרות'!$B$104:$B$123&amp;'הגדרות'!$C$104:$C$123,0)),"")</f>
        <v/>
      </c>
      <c r="F8" s="6" t="n"/>
      <c r="Q8">
        <f>IFERROR(VLOOKUP(M8,'הגדרות'!$A$11:$D$25,2,FALSE),"")</f>
        <v/>
      </c>
      <c r="R8">
        <f>IFERROR(VLOOKUP(M8,'הגדרות'!$A$11:$D$25,3,FALSE),"")</f>
        <v/>
      </c>
      <c r="S8">
        <f>IFERROR(VLOOKUP(N8,'הגדרות'!$A$11:$D$25,2,FALSE),"")</f>
        <v/>
      </c>
      <c r="T8">
        <f>IFERROR(VLOOKUP(N8,'הגדרות'!$A$11:$D$25,3,FALSE),"")</f>
        <v/>
      </c>
      <c r="AB8" s="6" t="n"/>
      <c r="AE8">
        <f>OR(Q8='לוח בקרה'!$B$2,R8='לוח בקרה'!$B$2,S8='לוח בקרה'!$B$2,T8='לוח בקרה'!$B$2)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E9">
        <f>IFERROR(INDEX('הגדרות'!$D$104:$D$123,MATCH(B9&amp;G9&amp;C9,'הגדרות'!$A$104:$A$123&amp;'הגדרות'!$B$104:$B$123&amp;'הגדרות'!$C$104:$C$123,0)),"")</f>
        <v/>
      </c>
      <c r="F9" s="6" t="n"/>
      <c r="Q9">
        <f>IFERROR(VLOOKUP(M9,'הגדרות'!$A$11:$D$25,2,FALSE),"")</f>
        <v/>
      </c>
      <c r="R9">
        <f>IFERROR(VLOOKUP(M9,'הגדרות'!$A$11:$D$25,3,FALSE),"")</f>
        <v/>
      </c>
      <c r="S9">
        <f>IFERROR(VLOOKUP(N9,'הגדרות'!$A$11:$D$25,2,FALSE),"")</f>
        <v/>
      </c>
      <c r="T9">
        <f>IFERROR(VLOOKUP(N9,'הגדרות'!$A$11:$D$25,3,FALSE),"")</f>
        <v/>
      </c>
      <c r="AB9" s="6" t="n"/>
      <c r="AE9">
        <f>OR(Q9='לוח בקרה'!$B$2,R9='לוח בקרה'!$B$2,S9='לוח בקרה'!$B$2,T9='לוח בקרה'!$B$2)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E10">
        <f>IFERROR(INDEX('הגדרות'!$D$104:$D$123,MATCH(B10&amp;G10&amp;C10,'הגדרות'!$A$104:$A$123&amp;'הגדרות'!$B$104:$B$123&amp;'הגדרות'!$C$104:$C$123,0)),"")</f>
        <v/>
      </c>
      <c r="F10" s="6" t="n"/>
      <c r="Q10">
        <f>IFERROR(VLOOKUP(M10,'הגדרות'!$A$11:$D$25,2,FALSE),"")</f>
        <v/>
      </c>
      <c r="R10">
        <f>IFERROR(VLOOKUP(M10,'הגדרות'!$A$11:$D$25,3,FALSE),"")</f>
        <v/>
      </c>
      <c r="S10">
        <f>IFERROR(VLOOKUP(N10,'הגדרות'!$A$11:$D$25,2,FALSE),"")</f>
        <v/>
      </c>
      <c r="T10">
        <f>IFERROR(VLOOKUP(N10,'הגדרות'!$A$11:$D$25,3,FALSE),"")</f>
        <v/>
      </c>
      <c r="AB10" s="6" t="n"/>
      <c r="AE10">
        <f>OR(Q10='לוח בקרה'!$B$2,R10='לוח בקרה'!$B$2,S10='לוח בקרה'!$B$2,T10='לוח בקרה'!$B$2)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E11">
        <f>IFERROR(INDEX('הגדרות'!$D$104:$D$123,MATCH(B11&amp;G11&amp;C11,'הגדרות'!$A$104:$A$123&amp;'הגדרות'!$B$104:$B$123&amp;'הגדרות'!$C$104:$C$123,0)),"")</f>
        <v/>
      </c>
      <c r="F11" s="6" t="n"/>
      <c r="Q11">
        <f>IFERROR(VLOOKUP(M11,'הגדרות'!$A$11:$D$25,2,FALSE),"")</f>
        <v/>
      </c>
      <c r="R11">
        <f>IFERROR(VLOOKUP(M11,'הגדרות'!$A$11:$D$25,3,FALSE),"")</f>
        <v/>
      </c>
      <c r="S11">
        <f>IFERROR(VLOOKUP(N11,'הגדרות'!$A$11:$D$25,2,FALSE),"")</f>
        <v/>
      </c>
      <c r="T11">
        <f>IFERROR(VLOOKUP(N11,'הגדרות'!$A$11:$D$25,3,FALSE),"")</f>
        <v/>
      </c>
      <c r="AB11" s="6" t="n"/>
      <c r="AE11">
        <f>OR(Q11='לוח בקרה'!$B$2,R11='לוח בקרה'!$B$2,S11='לוח בקרה'!$B$2,T11='לוח בקרה'!$B$2)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E12">
        <f>IFERROR(INDEX('הגדרות'!$D$104:$D$123,MATCH(B12&amp;G12&amp;C12,'הגדרות'!$A$104:$A$123&amp;'הגדרות'!$B$104:$B$123&amp;'הגדרות'!$C$104:$C$123,0)),"")</f>
        <v/>
      </c>
      <c r="F12" s="6" t="n"/>
      <c r="Q12">
        <f>IFERROR(VLOOKUP(M12,'הגדרות'!$A$11:$D$25,2,FALSE),"")</f>
        <v/>
      </c>
      <c r="R12">
        <f>IFERROR(VLOOKUP(M12,'הגדרות'!$A$11:$D$25,3,FALSE),"")</f>
        <v/>
      </c>
      <c r="S12">
        <f>IFERROR(VLOOKUP(N12,'הגדרות'!$A$11:$D$25,2,FALSE),"")</f>
        <v/>
      </c>
      <c r="T12">
        <f>IFERROR(VLOOKUP(N12,'הגדרות'!$A$11:$D$25,3,FALSE),"")</f>
        <v/>
      </c>
      <c r="AB12" s="6" t="n"/>
      <c r="AE12">
        <f>OR(Q12='לוח בקרה'!$B$2,R12='לוח בקרה'!$B$2,S12='לוח בקרה'!$B$2,T12='לוח בקרה'!$B$2)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E13">
        <f>IFERROR(INDEX('הגדרות'!$D$104:$D$123,MATCH(B13&amp;G13&amp;C13,'הגדרות'!$A$104:$A$123&amp;'הגדרות'!$B$104:$B$123&amp;'הגדרות'!$C$104:$C$123,0)),"")</f>
        <v/>
      </c>
      <c r="F13" s="6" t="n"/>
      <c r="Q13">
        <f>IFERROR(VLOOKUP(M13,'הגדרות'!$A$11:$D$25,2,FALSE),"")</f>
        <v/>
      </c>
      <c r="R13">
        <f>IFERROR(VLOOKUP(M13,'הגדרות'!$A$11:$D$25,3,FALSE),"")</f>
        <v/>
      </c>
      <c r="S13">
        <f>IFERROR(VLOOKUP(N13,'הגדרות'!$A$11:$D$25,2,FALSE),"")</f>
        <v/>
      </c>
      <c r="T13">
        <f>IFERROR(VLOOKUP(N13,'הגדרות'!$A$11:$D$25,3,FALSE),"")</f>
        <v/>
      </c>
      <c r="AB13" s="6" t="n"/>
      <c r="AE13">
        <f>OR(Q13='לוח בקרה'!$B$2,R13='לוח בקרה'!$B$2,S13='לוח בקרה'!$B$2,T13='לוח בקרה'!$B$2)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E14">
        <f>IFERROR(INDEX('הגדרות'!$D$104:$D$123,MATCH(B14&amp;G14&amp;C14,'הגדרות'!$A$104:$A$123&amp;'הגדרות'!$B$104:$B$123&amp;'הגדרות'!$C$104:$C$123,0)),"")</f>
        <v/>
      </c>
      <c r="F14" s="6" t="n"/>
      <c r="Q14">
        <f>IFERROR(VLOOKUP(M14,'הגדרות'!$A$11:$D$25,2,FALSE),"")</f>
        <v/>
      </c>
      <c r="R14">
        <f>IFERROR(VLOOKUP(M14,'הגדרות'!$A$11:$D$25,3,FALSE),"")</f>
        <v/>
      </c>
      <c r="S14">
        <f>IFERROR(VLOOKUP(N14,'הגדרות'!$A$11:$D$25,2,FALSE),"")</f>
        <v/>
      </c>
      <c r="T14">
        <f>IFERROR(VLOOKUP(N14,'הגדרות'!$A$11:$D$25,3,FALSE),"")</f>
        <v/>
      </c>
      <c r="AB14" s="6" t="n"/>
      <c r="AE14">
        <f>OR(Q14='לוח בקרה'!$B$2,R14='לוח בקרה'!$B$2,S14='לוח בקרה'!$B$2,T14='לוח בקרה'!$B$2)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E15">
        <f>IFERROR(INDEX('הגדרות'!$D$104:$D$123,MATCH(B15&amp;G15&amp;C15,'הגדרות'!$A$104:$A$123&amp;'הגדרות'!$B$104:$B$123&amp;'הגדרות'!$C$104:$C$123,0)),"")</f>
        <v/>
      </c>
      <c r="F15" s="6" t="n"/>
      <c r="Q15">
        <f>IFERROR(VLOOKUP(M15,'הגדרות'!$A$11:$D$25,2,FALSE),"")</f>
        <v/>
      </c>
      <c r="R15">
        <f>IFERROR(VLOOKUP(M15,'הגדרות'!$A$11:$D$25,3,FALSE),"")</f>
        <v/>
      </c>
      <c r="S15">
        <f>IFERROR(VLOOKUP(N15,'הגדרות'!$A$11:$D$25,2,FALSE),"")</f>
        <v/>
      </c>
      <c r="T15">
        <f>IFERROR(VLOOKUP(N15,'הגדרות'!$A$11:$D$25,3,FALSE),"")</f>
        <v/>
      </c>
      <c r="AB15" s="6" t="n"/>
      <c r="AE15">
        <f>OR(Q15='לוח בקרה'!$B$2,R15='לוח בקרה'!$B$2,S15='לוח בקרה'!$B$2,T15='לוח בקרה'!$B$2)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E16">
        <f>IFERROR(INDEX('הגדרות'!$D$104:$D$123,MATCH(B16&amp;G16&amp;C16,'הגדרות'!$A$104:$A$123&amp;'הגדרות'!$B$104:$B$123&amp;'הגדרות'!$C$104:$C$123,0)),"")</f>
        <v/>
      </c>
      <c r="F16" s="6" t="n"/>
      <c r="Q16">
        <f>IFERROR(VLOOKUP(M16,'הגדרות'!$A$11:$D$25,2,FALSE),"")</f>
        <v/>
      </c>
      <c r="R16">
        <f>IFERROR(VLOOKUP(M16,'הגדרות'!$A$11:$D$25,3,FALSE),"")</f>
        <v/>
      </c>
      <c r="S16">
        <f>IFERROR(VLOOKUP(N16,'הגדרות'!$A$11:$D$25,2,FALSE),"")</f>
        <v/>
      </c>
      <c r="T16">
        <f>IFERROR(VLOOKUP(N16,'הגדרות'!$A$11:$D$25,3,FALSE),"")</f>
        <v/>
      </c>
      <c r="AB16" s="6" t="n"/>
      <c r="AE16">
        <f>OR(Q16='לוח בקרה'!$B$2,R16='לוח בקרה'!$B$2,S16='לוח בקרה'!$B$2,T16='לוח בקרה'!$B$2)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E17">
        <f>IFERROR(INDEX('הגדרות'!$D$104:$D$123,MATCH(B17&amp;G17&amp;C17,'הגדרות'!$A$104:$A$123&amp;'הגדרות'!$B$104:$B$123&amp;'הגדרות'!$C$104:$C$123,0)),"")</f>
        <v/>
      </c>
      <c r="F17" s="6" t="n"/>
      <c r="Q17">
        <f>IFERROR(VLOOKUP(M17,'הגדרות'!$A$11:$D$25,2,FALSE),"")</f>
        <v/>
      </c>
      <c r="R17">
        <f>IFERROR(VLOOKUP(M17,'הגדרות'!$A$11:$D$25,3,FALSE),"")</f>
        <v/>
      </c>
      <c r="S17">
        <f>IFERROR(VLOOKUP(N17,'הגדרות'!$A$11:$D$25,2,FALSE),"")</f>
        <v/>
      </c>
      <c r="T17">
        <f>IFERROR(VLOOKUP(N17,'הגדרות'!$A$11:$D$25,3,FALSE),"")</f>
        <v/>
      </c>
      <c r="AB17" s="6" t="n"/>
      <c r="AE17">
        <f>OR(Q17='לוח בקרה'!$B$2,R17='לוח בקרה'!$B$2,S17='לוח בקרה'!$B$2,T17='לוח בקרה'!$B$2)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E18">
        <f>IFERROR(INDEX('הגדרות'!$D$104:$D$123,MATCH(B18&amp;G18&amp;C18,'הגדרות'!$A$104:$A$123&amp;'הגדרות'!$B$104:$B$123&amp;'הגדרות'!$C$104:$C$123,0)),"")</f>
        <v/>
      </c>
      <c r="F18" s="6" t="n"/>
      <c r="Q18">
        <f>IFERROR(VLOOKUP(M18,'הגדרות'!$A$11:$D$25,2,FALSE),"")</f>
        <v/>
      </c>
      <c r="R18">
        <f>IFERROR(VLOOKUP(M18,'הגדרות'!$A$11:$D$25,3,FALSE),"")</f>
        <v/>
      </c>
      <c r="S18">
        <f>IFERROR(VLOOKUP(N18,'הגדרות'!$A$11:$D$25,2,FALSE),"")</f>
        <v/>
      </c>
      <c r="T18">
        <f>IFERROR(VLOOKUP(N18,'הגדרות'!$A$11:$D$25,3,FALSE),"")</f>
        <v/>
      </c>
      <c r="AB18" s="6" t="n"/>
      <c r="AE18">
        <f>OR(Q18='לוח בקרה'!$B$2,R18='לוח בקרה'!$B$2,S18='לוח בקרה'!$B$2,T18='לוח בקרה'!$B$2)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E19">
        <f>IFERROR(INDEX('הגדרות'!$D$104:$D$123,MATCH(B19&amp;G19&amp;C19,'הגדרות'!$A$104:$A$123&amp;'הגדרות'!$B$104:$B$123&amp;'הגדרות'!$C$104:$C$123,0)),"")</f>
        <v/>
      </c>
      <c r="F19" s="6" t="n"/>
      <c r="Q19">
        <f>IFERROR(VLOOKUP(M19,'הגדרות'!$A$11:$D$25,2,FALSE),"")</f>
        <v/>
      </c>
      <c r="R19">
        <f>IFERROR(VLOOKUP(M19,'הגדרות'!$A$11:$D$25,3,FALSE),"")</f>
        <v/>
      </c>
      <c r="S19">
        <f>IFERROR(VLOOKUP(N19,'הגדרות'!$A$11:$D$25,2,FALSE),"")</f>
        <v/>
      </c>
      <c r="T19">
        <f>IFERROR(VLOOKUP(N19,'הגדרות'!$A$11:$D$25,3,FALSE),"")</f>
        <v/>
      </c>
      <c r="AB19" s="6" t="n"/>
      <c r="AE19">
        <f>OR(Q19='לוח בקרה'!$B$2,R19='לוח בקרה'!$B$2,S19='לוח בקרה'!$B$2,T19='לוח בקרה'!$B$2)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E20">
        <f>IFERROR(INDEX('הגדרות'!$D$104:$D$123,MATCH(B20&amp;G20&amp;C20,'הגדרות'!$A$104:$A$123&amp;'הגדרות'!$B$104:$B$123&amp;'הגדרות'!$C$104:$C$123,0)),"")</f>
        <v/>
      </c>
      <c r="F20" s="6" t="n"/>
      <c r="Q20">
        <f>IFERROR(VLOOKUP(M20,'הגדרות'!$A$11:$D$25,2,FALSE),"")</f>
        <v/>
      </c>
      <c r="R20">
        <f>IFERROR(VLOOKUP(M20,'הגדרות'!$A$11:$D$25,3,FALSE),"")</f>
        <v/>
      </c>
      <c r="S20">
        <f>IFERROR(VLOOKUP(N20,'הגדרות'!$A$11:$D$25,2,FALSE),"")</f>
        <v/>
      </c>
      <c r="T20">
        <f>IFERROR(VLOOKUP(N20,'הגדרות'!$A$11:$D$25,3,FALSE),"")</f>
        <v/>
      </c>
      <c r="AB20" s="6" t="n"/>
      <c r="AE20">
        <f>OR(Q20='לוח בקרה'!$B$2,R20='לוח בקרה'!$B$2,S20='לוח בקרה'!$B$2,T20='לוח בקרה'!$B$2)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E21">
        <f>IFERROR(INDEX('הגדרות'!$D$104:$D$123,MATCH(B21&amp;G21&amp;C21,'הגדרות'!$A$104:$A$123&amp;'הגדרות'!$B$104:$B$123&amp;'הגדרות'!$C$104:$C$123,0)),"")</f>
        <v/>
      </c>
      <c r="F21" s="6" t="n"/>
      <c r="Q21">
        <f>IFERROR(VLOOKUP(M21,'הגדרות'!$A$11:$D$25,2,FALSE),"")</f>
        <v/>
      </c>
      <c r="R21">
        <f>IFERROR(VLOOKUP(M21,'הגדרות'!$A$11:$D$25,3,FALSE),"")</f>
        <v/>
      </c>
      <c r="S21">
        <f>IFERROR(VLOOKUP(N21,'הגדרות'!$A$11:$D$25,2,FALSE),"")</f>
        <v/>
      </c>
      <c r="T21">
        <f>IFERROR(VLOOKUP(N21,'הגדרות'!$A$11:$D$25,3,FALSE),"")</f>
        <v/>
      </c>
      <c r="AB21" s="6" t="n"/>
      <c r="AE21">
        <f>OR(Q21='לוח בקרה'!$B$2,R21='לוח בקרה'!$B$2,S21='לוח בקרה'!$B$2,T21='לוח בקרה'!$B$2)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E22">
        <f>IFERROR(INDEX('הגדרות'!$D$104:$D$123,MATCH(B22&amp;G22&amp;C22,'הגדרות'!$A$104:$A$123&amp;'הגדרות'!$B$104:$B$123&amp;'הגדרות'!$C$104:$C$123,0)),"")</f>
        <v/>
      </c>
      <c r="F22" s="6" t="n"/>
      <c r="Q22">
        <f>IFERROR(VLOOKUP(M22,'הגדרות'!$A$11:$D$25,2,FALSE),"")</f>
        <v/>
      </c>
      <c r="R22">
        <f>IFERROR(VLOOKUP(M22,'הגדרות'!$A$11:$D$25,3,FALSE),"")</f>
        <v/>
      </c>
      <c r="S22">
        <f>IFERROR(VLOOKUP(N22,'הגדרות'!$A$11:$D$25,2,FALSE),"")</f>
        <v/>
      </c>
      <c r="T22">
        <f>IFERROR(VLOOKUP(N22,'הגדרות'!$A$11:$D$25,3,FALSE),"")</f>
        <v/>
      </c>
      <c r="AB22" s="6" t="n"/>
      <c r="AE22">
        <f>OR(Q22='לוח בקרה'!$B$2,R22='לוח בקרה'!$B$2,S22='לוח בקרה'!$B$2,T22='לוח בקרה'!$B$2)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E23">
        <f>IFERROR(INDEX('הגדרות'!$D$104:$D$123,MATCH(B23&amp;G23&amp;C23,'הגדרות'!$A$104:$A$123&amp;'הגדרות'!$B$104:$B$123&amp;'הגדרות'!$C$104:$C$123,0)),"")</f>
        <v/>
      </c>
      <c r="F23" s="6" t="n"/>
      <c r="Q23">
        <f>IFERROR(VLOOKUP(M23,'הגדרות'!$A$11:$D$25,2,FALSE),"")</f>
        <v/>
      </c>
      <c r="R23">
        <f>IFERROR(VLOOKUP(M23,'הגדרות'!$A$11:$D$25,3,FALSE),"")</f>
        <v/>
      </c>
      <c r="S23">
        <f>IFERROR(VLOOKUP(N23,'הגדרות'!$A$11:$D$25,2,FALSE),"")</f>
        <v/>
      </c>
      <c r="T23">
        <f>IFERROR(VLOOKUP(N23,'הגדרות'!$A$11:$D$25,3,FALSE),"")</f>
        <v/>
      </c>
      <c r="AB23" s="6" t="n"/>
      <c r="AE23">
        <f>OR(Q23='לוח בקרה'!$B$2,R23='לוח בקרה'!$B$2,S23='לוח בקרה'!$B$2,T23='לוח בקרה'!$B$2)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E24">
        <f>IFERROR(INDEX('הגדרות'!$D$104:$D$123,MATCH(B24&amp;G24&amp;C24,'הגדרות'!$A$104:$A$123&amp;'הגדרות'!$B$104:$B$123&amp;'הגדרות'!$C$104:$C$123,0)),"")</f>
        <v/>
      </c>
      <c r="F24" s="6" t="n"/>
      <c r="Q24">
        <f>IFERROR(VLOOKUP(M24,'הגדרות'!$A$11:$D$25,2,FALSE),"")</f>
        <v/>
      </c>
      <c r="R24">
        <f>IFERROR(VLOOKUP(M24,'הגדרות'!$A$11:$D$25,3,FALSE),"")</f>
        <v/>
      </c>
      <c r="S24">
        <f>IFERROR(VLOOKUP(N24,'הגדרות'!$A$11:$D$25,2,FALSE),"")</f>
        <v/>
      </c>
      <c r="T24">
        <f>IFERROR(VLOOKUP(N24,'הגדרות'!$A$11:$D$25,3,FALSE),"")</f>
        <v/>
      </c>
      <c r="AB24" s="6" t="n"/>
      <c r="AE24">
        <f>OR(Q24='לוח בקרה'!$B$2,R24='לוח בקרה'!$B$2,S24='לוח בקרה'!$B$2,T24='לוח בקרה'!$B$2)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E25">
        <f>IFERROR(INDEX('הגדרות'!$D$104:$D$123,MATCH(B25&amp;G25&amp;C25,'הגדרות'!$A$104:$A$123&amp;'הגדרות'!$B$104:$B$123&amp;'הגדרות'!$C$104:$C$123,0)),"")</f>
        <v/>
      </c>
      <c r="F25" s="6" t="n"/>
      <c r="Q25">
        <f>IFERROR(VLOOKUP(M25,'הגדרות'!$A$11:$D$25,2,FALSE),"")</f>
        <v/>
      </c>
      <c r="R25">
        <f>IFERROR(VLOOKUP(M25,'הגדרות'!$A$11:$D$25,3,FALSE),"")</f>
        <v/>
      </c>
      <c r="S25">
        <f>IFERROR(VLOOKUP(N25,'הגדרות'!$A$11:$D$25,2,FALSE),"")</f>
        <v/>
      </c>
      <c r="T25">
        <f>IFERROR(VLOOKUP(N25,'הגדרות'!$A$11:$D$25,3,FALSE),"")</f>
        <v/>
      </c>
      <c r="AB25" s="6" t="n"/>
      <c r="AE25">
        <f>OR(Q25='לוח בקרה'!$B$2,R25='לוח בקרה'!$B$2,S25='לוח בקרה'!$B$2,T25='לוח בקרה'!$B$2)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E26">
        <f>IFERROR(INDEX('הגדרות'!$D$104:$D$123,MATCH(B26&amp;G26&amp;C26,'הגדרות'!$A$104:$A$123&amp;'הגדרות'!$B$104:$B$123&amp;'הגדרות'!$C$104:$C$123,0)),"")</f>
        <v/>
      </c>
      <c r="F26" s="6" t="n"/>
      <c r="Q26">
        <f>IFERROR(VLOOKUP(M26,'הגדרות'!$A$11:$D$25,2,FALSE),"")</f>
        <v/>
      </c>
      <c r="R26">
        <f>IFERROR(VLOOKUP(M26,'הגדרות'!$A$11:$D$25,3,FALSE),"")</f>
        <v/>
      </c>
      <c r="S26">
        <f>IFERROR(VLOOKUP(N26,'הגדרות'!$A$11:$D$25,2,FALSE),"")</f>
        <v/>
      </c>
      <c r="T26">
        <f>IFERROR(VLOOKUP(N26,'הגדרות'!$A$11:$D$25,3,FALSE),"")</f>
        <v/>
      </c>
      <c r="AB26" s="6" t="n"/>
      <c r="AE26">
        <f>OR(Q26='לוח בקרה'!$B$2,R26='לוח בקרה'!$B$2,S26='לוח בקרה'!$B$2,T26='לוח בקרה'!$B$2)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E27">
        <f>IFERROR(INDEX('הגדרות'!$D$104:$D$123,MATCH(B27&amp;G27&amp;C27,'הגדרות'!$A$104:$A$123&amp;'הגדרות'!$B$104:$B$123&amp;'הגדרות'!$C$104:$C$123,0)),"")</f>
        <v/>
      </c>
      <c r="F27" s="6" t="n"/>
      <c r="Q27">
        <f>IFERROR(VLOOKUP(M27,'הגדרות'!$A$11:$D$25,2,FALSE),"")</f>
        <v/>
      </c>
      <c r="R27">
        <f>IFERROR(VLOOKUP(M27,'הגדרות'!$A$11:$D$25,3,FALSE),"")</f>
        <v/>
      </c>
      <c r="S27">
        <f>IFERROR(VLOOKUP(N27,'הגדרות'!$A$11:$D$25,2,FALSE),"")</f>
        <v/>
      </c>
      <c r="T27">
        <f>IFERROR(VLOOKUP(N27,'הגדרות'!$A$11:$D$25,3,FALSE),"")</f>
        <v/>
      </c>
      <c r="AB27" s="6" t="n"/>
      <c r="AE27">
        <f>OR(Q27='לוח בקרה'!$B$2,R27='לוח בקרה'!$B$2,S27='לוח בקרה'!$B$2,T27='לוח בקרה'!$B$2)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E28">
        <f>IFERROR(INDEX('הגדרות'!$D$104:$D$123,MATCH(B28&amp;G28&amp;C28,'הגדרות'!$A$104:$A$123&amp;'הגדרות'!$B$104:$B$123&amp;'הגדרות'!$C$104:$C$123,0)),"")</f>
        <v/>
      </c>
      <c r="F28" s="6" t="n"/>
      <c r="Q28">
        <f>IFERROR(VLOOKUP(M28,'הגדרות'!$A$11:$D$25,2,FALSE),"")</f>
        <v/>
      </c>
      <c r="R28">
        <f>IFERROR(VLOOKUP(M28,'הגדרות'!$A$11:$D$25,3,FALSE),"")</f>
        <v/>
      </c>
      <c r="S28">
        <f>IFERROR(VLOOKUP(N28,'הגדרות'!$A$11:$D$25,2,FALSE),"")</f>
        <v/>
      </c>
      <c r="T28">
        <f>IFERROR(VLOOKUP(N28,'הגדרות'!$A$11:$D$25,3,FALSE),"")</f>
        <v/>
      </c>
      <c r="AB28" s="6" t="n"/>
      <c r="AE28">
        <f>OR(Q28='לוח בקרה'!$B$2,R28='לוח בקרה'!$B$2,S28='לוח בקרה'!$B$2,T28='לוח בקרה'!$B$2)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E29">
        <f>IFERROR(INDEX('הגדרות'!$D$104:$D$123,MATCH(B29&amp;G29&amp;C29,'הגדרות'!$A$104:$A$123&amp;'הגדרות'!$B$104:$B$123&amp;'הגדרות'!$C$104:$C$123,0)),"")</f>
        <v/>
      </c>
      <c r="F29" s="6" t="n"/>
      <c r="Q29">
        <f>IFERROR(VLOOKUP(M29,'הגדרות'!$A$11:$D$25,2,FALSE),"")</f>
        <v/>
      </c>
      <c r="R29">
        <f>IFERROR(VLOOKUP(M29,'הגדרות'!$A$11:$D$25,3,FALSE),"")</f>
        <v/>
      </c>
      <c r="S29">
        <f>IFERROR(VLOOKUP(N29,'הגדרות'!$A$11:$D$25,2,FALSE),"")</f>
        <v/>
      </c>
      <c r="T29">
        <f>IFERROR(VLOOKUP(N29,'הגדרות'!$A$11:$D$25,3,FALSE),"")</f>
        <v/>
      </c>
      <c r="AB29" s="6" t="n"/>
      <c r="AE29">
        <f>OR(Q29='לוח בקרה'!$B$2,R29='לוח בקרה'!$B$2,S29='לוח בקרה'!$B$2,T29='לוח בקרה'!$B$2)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E30">
        <f>IFERROR(INDEX('הגדרות'!$D$104:$D$123,MATCH(B30&amp;G30&amp;C30,'הגדרות'!$A$104:$A$123&amp;'הגדרות'!$B$104:$B$123&amp;'הגדרות'!$C$104:$C$123,0)),"")</f>
        <v/>
      </c>
      <c r="F30" s="6" t="n"/>
      <c r="Q30">
        <f>IFERROR(VLOOKUP(M30,'הגדרות'!$A$11:$D$25,2,FALSE),"")</f>
        <v/>
      </c>
      <c r="R30">
        <f>IFERROR(VLOOKUP(M30,'הגדרות'!$A$11:$D$25,3,FALSE),"")</f>
        <v/>
      </c>
      <c r="S30">
        <f>IFERROR(VLOOKUP(N30,'הגדרות'!$A$11:$D$25,2,FALSE),"")</f>
        <v/>
      </c>
      <c r="T30">
        <f>IFERROR(VLOOKUP(N30,'הגדרות'!$A$11:$D$25,3,FALSE),"")</f>
        <v/>
      </c>
      <c r="AB30" s="6" t="n"/>
      <c r="AE30">
        <f>OR(Q30='לוח בקרה'!$B$2,R30='לוח בקרה'!$B$2,S30='לוח בקרה'!$B$2,T30='לוח בקרה'!$B$2)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E31">
        <f>IFERROR(INDEX('הגדרות'!$D$104:$D$123,MATCH(B31&amp;G31&amp;C31,'הגדרות'!$A$104:$A$123&amp;'הגדרות'!$B$104:$B$123&amp;'הגדרות'!$C$104:$C$123,0)),"")</f>
        <v/>
      </c>
      <c r="F31" s="6" t="n"/>
      <c r="Q31">
        <f>IFERROR(VLOOKUP(M31,'הגדרות'!$A$11:$D$25,2,FALSE),"")</f>
        <v/>
      </c>
      <c r="R31">
        <f>IFERROR(VLOOKUP(M31,'הגדרות'!$A$11:$D$25,3,FALSE),"")</f>
        <v/>
      </c>
      <c r="S31">
        <f>IFERROR(VLOOKUP(N31,'הגדרות'!$A$11:$D$25,2,FALSE),"")</f>
        <v/>
      </c>
      <c r="T31">
        <f>IFERROR(VLOOKUP(N31,'הגדרות'!$A$11:$D$25,3,FALSE),"")</f>
        <v/>
      </c>
      <c r="AB31" s="6" t="n"/>
      <c r="AE31">
        <f>OR(Q31='לוח בקרה'!$B$2,R31='לוח בקרה'!$B$2,S31='לוח בקרה'!$B$2,T31='לוח בקרה'!$B$2)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E32">
        <f>IFERROR(INDEX('הגדרות'!$D$104:$D$123,MATCH(B32&amp;G32&amp;C32,'הגדרות'!$A$104:$A$123&amp;'הגדרות'!$B$104:$B$123&amp;'הגדרות'!$C$104:$C$123,0)),"")</f>
        <v/>
      </c>
      <c r="F32" s="6" t="n"/>
      <c r="Q32">
        <f>IFERROR(VLOOKUP(M32,'הגדרות'!$A$11:$D$25,2,FALSE),"")</f>
        <v/>
      </c>
      <c r="R32">
        <f>IFERROR(VLOOKUP(M32,'הגדרות'!$A$11:$D$25,3,FALSE),"")</f>
        <v/>
      </c>
      <c r="S32">
        <f>IFERROR(VLOOKUP(N32,'הגדרות'!$A$11:$D$25,2,FALSE),"")</f>
        <v/>
      </c>
      <c r="T32">
        <f>IFERROR(VLOOKUP(N32,'הגדרות'!$A$11:$D$25,3,FALSE),"")</f>
        <v/>
      </c>
      <c r="AB32" s="6" t="n"/>
      <c r="AE32">
        <f>OR(Q32='לוח בקרה'!$B$2,R32='לוח בקרה'!$B$2,S32='לוח בקרה'!$B$2,T32='לוח בקרה'!$B$2)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E33">
        <f>IFERROR(INDEX('הגדרות'!$D$104:$D$123,MATCH(B33&amp;G33&amp;C33,'הגדרות'!$A$104:$A$123&amp;'הגדרות'!$B$104:$B$123&amp;'הגדרות'!$C$104:$C$123,0)),"")</f>
        <v/>
      </c>
      <c r="F33" s="6" t="n"/>
      <c r="Q33">
        <f>IFERROR(VLOOKUP(M33,'הגדרות'!$A$11:$D$25,2,FALSE),"")</f>
        <v/>
      </c>
      <c r="R33">
        <f>IFERROR(VLOOKUP(M33,'הגדרות'!$A$11:$D$25,3,FALSE),"")</f>
        <v/>
      </c>
      <c r="S33">
        <f>IFERROR(VLOOKUP(N33,'הגדרות'!$A$11:$D$25,2,FALSE),"")</f>
        <v/>
      </c>
      <c r="T33">
        <f>IFERROR(VLOOKUP(N33,'הגדרות'!$A$11:$D$25,3,FALSE),"")</f>
        <v/>
      </c>
      <c r="AB33" s="6" t="n"/>
      <c r="AE33">
        <f>OR(Q33='לוח בקרה'!$B$2,R33='לוח בקרה'!$B$2,S33='לוח בקרה'!$B$2,T33='לוח בקרה'!$B$2)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E34">
        <f>IFERROR(INDEX('הגדרות'!$D$104:$D$123,MATCH(B34&amp;G34&amp;C34,'הגדרות'!$A$104:$A$123&amp;'הגדרות'!$B$104:$B$123&amp;'הגדרות'!$C$104:$C$123,0)),"")</f>
        <v/>
      </c>
      <c r="F34" s="6" t="n"/>
      <c r="Q34">
        <f>IFERROR(VLOOKUP(M34,'הגדרות'!$A$11:$D$25,2,FALSE),"")</f>
        <v/>
      </c>
      <c r="R34">
        <f>IFERROR(VLOOKUP(M34,'הגדרות'!$A$11:$D$25,3,FALSE),"")</f>
        <v/>
      </c>
      <c r="S34">
        <f>IFERROR(VLOOKUP(N34,'הגדרות'!$A$11:$D$25,2,FALSE),"")</f>
        <v/>
      </c>
      <c r="T34">
        <f>IFERROR(VLOOKUP(N34,'הגדרות'!$A$11:$D$25,3,FALSE),"")</f>
        <v/>
      </c>
      <c r="AB34" s="6" t="n"/>
      <c r="AE34">
        <f>OR(Q34='לוח בקרה'!$B$2,R34='לוח בקרה'!$B$2,S34='לוח בקרה'!$B$2,T34='לוח בקרה'!$B$2)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E35">
        <f>IFERROR(INDEX('הגדרות'!$D$104:$D$123,MATCH(B35&amp;G35&amp;C35,'הגדרות'!$A$104:$A$123&amp;'הגדרות'!$B$104:$B$123&amp;'הגדרות'!$C$104:$C$123,0)),"")</f>
        <v/>
      </c>
      <c r="F35" s="6" t="n"/>
      <c r="Q35">
        <f>IFERROR(VLOOKUP(M35,'הגדרות'!$A$11:$D$25,2,FALSE),"")</f>
        <v/>
      </c>
      <c r="R35">
        <f>IFERROR(VLOOKUP(M35,'הגדרות'!$A$11:$D$25,3,FALSE),"")</f>
        <v/>
      </c>
      <c r="S35">
        <f>IFERROR(VLOOKUP(N35,'הגדרות'!$A$11:$D$25,2,FALSE),"")</f>
        <v/>
      </c>
      <c r="T35">
        <f>IFERROR(VLOOKUP(N35,'הגדרות'!$A$11:$D$25,3,FALSE),"")</f>
        <v/>
      </c>
      <c r="AB35" s="6" t="n"/>
      <c r="AE35">
        <f>OR(Q35='לוח בקרה'!$B$2,R35='לוח בקרה'!$B$2,S35='לוח בקרה'!$B$2,T35='לוח בקרה'!$B$2)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E36">
        <f>IFERROR(INDEX('הגדרות'!$D$104:$D$123,MATCH(B36&amp;G36&amp;C36,'הגדרות'!$A$104:$A$123&amp;'הגדרות'!$B$104:$B$123&amp;'הגדרות'!$C$104:$C$123,0)),"")</f>
        <v/>
      </c>
      <c r="F36" s="6" t="n"/>
      <c r="Q36">
        <f>IFERROR(VLOOKUP(M36,'הגדרות'!$A$11:$D$25,2,FALSE),"")</f>
        <v/>
      </c>
      <c r="R36">
        <f>IFERROR(VLOOKUP(M36,'הגדרות'!$A$11:$D$25,3,FALSE),"")</f>
        <v/>
      </c>
      <c r="S36">
        <f>IFERROR(VLOOKUP(N36,'הגדרות'!$A$11:$D$25,2,FALSE),"")</f>
        <v/>
      </c>
      <c r="T36">
        <f>IFERROR(VLOOKUP(N36,'הגדרות'!$A$11:$D$25,3,FALSE),"")</f>
        <v/>
      </c>
      <c r="AB36" s="6" t="n"/>
      <c r="AE36">
        <f>OR(Q36='לוח בקרה'!$B$2,R36='לוח בקרה'!$B$2,S36='לוח בקרה'!$B$2,T36='לוח בקרה'!$B$2)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E37">
        <f>IFERROR(INDEX('הגדרות'!$D$104:$D$123,MATCH(B37&amp;G37&amp;C37,'הגדרות'!$A$104:$A$123&amp;'הגדרות'!$B$104:$B$123&amp;'הגדרות'!$C$104:$C$123,0)),"")</f>
        <v/>
      </c>
      <c r="F37" s="6" t="n"/>
      <c r="Q37">
        <f>IFERROR(VLOOKUP(M37,'הגדרות'!$A$11:$D$25,2,FALSE),"")</f>
        <v/>
      </c>
      <c r="R37">
        <f>IFERROR(VLOOKUP(M37,'הגדרות'!$A$11:$D$25,3,FALSE),"")</f>
        <v/>
      </c>
      <c r="S37">
        <f>IFERROR(VLOOKUP(N37,'הגדרות'!$A$11:$D$25,2,FALSE),"")</f>
        <v/>
      </c>
      <c r="T37">
        <f>IFERROR(VLOOKUP(N37,'הגדרות'!$A$11:$D$25,3,FALSE),"")</f>
        <v/>
      </c>
      <c r="AB37" s="6" t="n"/>
      <c r="AE37">
        <f>OR(Q37='לוח בקרה'!$B$2,R37='לוח בקרה'!$B$2,S37='לוח בקרה'!$B$2,T37='לוח בקרה'!$B$2)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E38">
        <f>IFERROR(INDEX('הגדרות'!$D$104:$D$123,MATCH(B38&amp;G38&amp;C38,'הגדרות'!$A$104:$A$123&amp;'הגדרות'!$B$104:$B$123&amp;'הגדרות'!$C$104:$C$123,0)),"")</f>
        <v/>
      </c>
      <c r="F38" s="6" t="n"/>
      <c r="Q38">
        <f>IFERROR(VLOOKUP(M38,'הגדרות'!$A$11:$D$25,2,FALSE),"")</f>
        <v/>
      </c>
      <c r="R38">
        <f>IFERROR(VLOOKUP(M38,'הגדרות'!$A$11:$D$25,3,FALSE),"")</f>
        <v/>
      </c>
      <c r="S38">
        <f>IFERROR(VLOOKUP(N38,'הגדרות'!$A$11:$D$25,2,FALSE),"")</f>
        <v/>
      </c>
      <c r="T38">
        <f>IFERROR(VLOOKUP(N38,'הגדרות'!$A$11:$D$25,3,FALSE),"")</f>
        <v/>
      </c>
      <c r="AB38" s="6" t="n"/>
      <c r="AE38">
        <f>OR(Q38='לוח בקרה'!$B$2,R38='לוח בקרה'!$B$2,S38='לוח בקרה'!$B$2,T38='לוח בקרה'!$B$2)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E39">
        <f>IFERROR(INDEX('הגדרות'!$D$104:$D$123,MATCH(B39&amp;G39&amp;C39,'הגדרות'!$A$104:$A$123&amp;'הגדרות'!$B$104:$B$123&amp;'הגדרות'!$C$104:$C$123,0)),"")</f>
        <v/>
      </c>
      <c r="F39" s="6" t="n"/>
      <c r="Q39">
        <f>IFERROR(VLOOKUP(M39,'הגדרות'!$A$11:$D$25,2,FALSE),"")</f>
        <v/>
      </c>
      <c r="R39">
        <f>IFERROR(VLOOKUP(M39,'הגדרות'!$A$11:$D$25,3,FALSE),"")</f>
        <v/>
      </c>
      <c r="S39">
        <f>IFERROR(VLOOKUP(N39,'הגדרות'!$A$11:$D$25,2,FALSE),"")</f>
        <v/>
      </c>
      <c r="T39">
        <f>IFERROR(VLOOKUP(N39,'הגדרות'!$A$11:$D$25,3,FALSE),"")</f>
        <v/>
      </c>
      <c r="AB39" s="6" t="n"/>
      <c r="AE39">
        <f>OR(Q39='לוח בקרה'!$B$2,R39='לוח בקרה'!$B$2,S39='לוח בקרה'!$B$2,T39='לוח בקרה'!$B$2)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E40">
        <f>IFERROR(INDEX('הגדרות'!$D$104:$D$123,MATCH(B40&amp;G40&amp;C40,'הגדרות'!$A$104:$A$123&amp;'הגדרות'!$B$104:$B$123&amp;'הגדרות'!$C$104:$C$123,0)),"")</f>
        <v/>
      </c>
      <c r="F40" s="6" t="n"/>
      <c r="Q40">
        <f>IFERROR(VLOOKUP(M40,'הגדרות'!$A$11:$D$25,2,FALSE),"")</f>
        <v/>
      </c>
      <c r="R40">
        <f>IFERROR(VLOOKUP(M40,'הגדרות'!$A$11:$D$25,3,FALSE),"")</f>
        <v/>
      </c>
      <c r="S40">
        <f>IFERROR(VLOOKUP(N40,'הגדרות'!$A$11:$D$25,2,FALSE),"")</f>
        <v/>
      </c>
      <c r="T40">
        <f>IFERROR(VLOOKUP(N40,'הגדרות'!$A$11:$D$25,3,FALSE),"")</f>
        <v/>
      </c>
      <c r="AB40" s="6" t="n"/>
      <c r="AE40">
        <f>OR(Q40='לוח בקרה'!$B$2,R40='לוח בקרה'!$B$2,S40='לוח בקרה'!$B$2,T40='לוח בקרה'!$B$2)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E41">
        <f>IFERROR(INDEX('הגדרות'!$D$104:$D$123,MATCH(B41&amp;G41&amp;C41,'הגדרות'!$A$104:$A$123&amp;'הגדרות'!$B$104:$B$123&amp;'הגדרות'!$C$104:$C$123,0)),"")</f>
        <v/>
      </c>
      <c r="F41" s="6" t="n"/>
      <c r="Q41">
        <f>IFERROR(VLOOKUP(M41,'הגדרות'!$A$11:$D$25,2,FALSE),"")</f>
        <v/>
      </c>
      <c r="R41">
        <f>IFERROR(VLOOKUP(M41,'הגדרות'!$A$11:$D$25,3,FALSE),"")</f>
        <v/>
      </c>
      <c r="S41">
        <f>IFERROR(VLOOKUP(N41,'הגדרות'!$A$11:$D$25,2,FALSE),"")</f>
        <v/>
      </c>
      <c r="T41">
        <f>IFERROR(VLOOKUP(N41,'הגדרות'!$A$11:$D$25,3,FALSE),"")</f>
        <v/>
      </c>
      <c r="AB41" s="6" t="n"/>
      <c r="AE41">
        <f>OR(Q41='לוח בקרה'!$B$2,R41='לוח בקרה'!$B$2,S41='לוח בקרה'!$B$2,T41='לוח בקרה'!$B$2)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E42">
        <f>IFERROR(INDEX('הגדרות'!$D$104:$D$123,MATCH(B42&amp;G42&amp;C42,'הגדרות'!$A$104:$A$123&amp;'הגדרות'!$B$104:$B$123&amp;'הגדרות'!$C$104:$C$123,0)),"")</f>
        <v/>
      </c>
      <c r="F42" s="6" t="n"/>
      <c r="Q42">
        <f>IFERROR(VLOOKUP(M42,'הגדרות'!$A$11:$D$25,2,FALSE),"")</f>
        <v/>
      </c>
      <c r="R42">
        <f>IFERROR(VLOOKUP(M42,'הגדרות'!$A$11:$D$25,3,FALSE),"")</f>
        <v/>
      </c>
      <c r="S42">
        <f>IFERROR(VLOOKUP(N42,'הגדרות'!$A$11:$D$25,2,FALSE),"")</f>
        <v/>
      </c>
      <c r="T42">
        <f>IFERROR(VLOOKUP(N42,'הגדרות'!$A$11:$D$25,3,FALSE),"")</f>
        <v/>
      </c>
      <c r="AB42" s="6" t="n"/>
      <c r="AE42">
        <f>OR(Q42='לוח בקרה'!$B$2,R42='לוח בקרה'!$B$2,S42='לוח בקרה'!$B$2,T42='לוח בקרה'!$B$2)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E43">
        <f>IFERROR(INDEX('הגדרות'!$D$104:$D$123,MATCH(B43&amp;G43&amp;C43,'הגדרות'!$A$104:$A$123&amp;'הגדרות'!$B$104:$B$123&amp;'הגדרות'!$C$104:$C$123,0)),"")</f>
        <v/>
      </c>
      <c r="F43" s="6" t="n"/>
      <c r="Q43">
        <f>IFERROR(VLOOKUP(M43,'הגדרות'!$A$11:$D$25,2,FALSE),"")</f>
        <v/>
      </c>
      <c r="R43">
        <f>IFERROR(VLOOKUP(M43,'הגדרות'!$A$11:$D$25,3,FALSE),"")</f>
        <v/>
      </c>
      <c r="S43">
        <f>IFERROR(VLOOKUP(N43,'הגדרות'!$A$11:$D$25,2,FALSE),"")</f>
        <v/>
      </c>
      <c r="T43">
        <f>IFERROR(VLOOKUP(N43,'הגדרות'!$A$11:$D$25,3,FALSE),"")</f>
        <v/>
      </c>
      <c r="AB43" s="6" t="n"/>
      <c r="AE43">
        <f>OR(Q43='לוח בקרה'!$B$2,R43='לוח בקרה'!$B$2,S43='לוח בקרה'!$B$2,T43='לוח בקרה'!$B$2)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E44">
        <f>IFERROR(INDEX('הגדרות'!$D$104:$D$123,MATCH(B44&amp;G44&amp;C44,'הגדרות'!$A$104:$A$123&amp;'הגדרות'!$B$104:$B$123&amp;'הגדרות'!$C$104:$C$123,0)),"")</f>
        <v/>
      </c>
      <c r="F44" s="6" t="n"/>
      <c r="Q44">
        <f>IFERROR(VLOOKUP(M44,'הגדרות'!$A$11:$D$25,2,FALSE),"")</f>
        <v/>
      </c>
      <c r="R44">
        <f>IFERROR(VLOOKUP(M44,'הגדרות'!$A$11:$D$25,3,FALSE),"")</f>
        <v/>
      </c>
      <c r="S44">
        <f>IFERROR(VLOOKUP(N44,'הגדרות'!$A$11:$D$25,2,FALSE),"")</f>
        <v/>
      </c>
      <c r="T44">
        <f>IFERROR(VLOOKUP(N44,'הגדרות'!$A$11:$D$25,3,FALSE),"")</f>
        <v/>
      </c>
      <c r="AB44" s="6" t="n"/>
      <c r="AE44">
        <f>OR(Q44='לוח בקרה'!$B$2,R44='לוח בקרה'!$B$2,S44='לוח בקרה'!$B$2,T44='לוח בקרה'!$B$2)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E45">
        <f>IFERROR(INDEX('הגדרות'!$D$104:$D$123,MATCH(B45&amp;G45&amp;C45,'הגדרות'!$A$104:$A$123&amp;'הגדרות'!$B$104:$B$123&amp;'הגדרות'!$C$104:$C$123,0)),"")</f>
        <v/>
      </c>
      <c r="F45" s="6" t="n"/>
      <c r="Q45">
        <f>IFERROR(VLOOKUP(M45,'הגדרות'!$A$11:$D$25,2,FALSE),"")</f>
        <v/>
      </c>
      <c r="R45">
        <f>IFERROR(VLOOKUP(M45,'הגדרות'!$A$11:$D$25,3,FALSE),"")</f>
        <v/>
      </c>
      <c r="S45">
        <f>IFERROR(VLOOKUP(N45,'הגדרות'!$A$11:$D$25,2,FALSE),"")</f>
        <v/>
      </c>
      <c r="T45">
        <f>IFERROR(VLOOKUP(N45,'הגדרות'!$A$11:$D$25,3,FALSE),"")</f>
        <v/>
      </c>
      <c r="AB45" s="6" t="n"/>
      <c r="AE45">
        <f>OR(Q45='לוח בקרה'!$B$2,R45='לוח בקרה'!$B$2,S45='לוח בקרה'!$B$2,T45='לוח בקרה'!$B$2)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E46">
        <f>IFERROR(INDEX('הגדרות'!$D$104:$D$123,MATCH(B46&amp;G46&amp;C46,'הגדרות'!$A$104:$A$123&amp;'הגדרות'!$B$104:$B$123&amp;'הגדרות'!$C$104:$C$123,0)),"")</f>
        <v/>
      </c>
      <c r="F46" s="6" t="n"/>
      <c r="Q46">
        <f>IFERROR(VLOOKUP(M46,'הגדרות'!$A$11:$D$25,2,FALSE),"")</f>
        <v/>
      </c>
      <c r="R46">
        <f>IFERROR(VLOOKUP(M46,'הגדרות'!$A$11:$D$25,3,FALSE),"")</f>
        <v/>
      </c>
      <c r="S46">
        <f>IFERROR(VLOOKUP(N46,'הגדרות'!$A$11:$D$25,2,FALSE),"")</f>
        <v/>
      </c>
      <c r="T46">
        <f>IFERROR(VLOOKUP(N46,'הגדרות'!$A$11:$D$25,3,FALSE),"")</f>
        <v/>
      </c>
      <c r="AB46" s="6" t="n"/>
      <c r="AE46">
        <f>OR(Q46='לוח בקרה'!$B$2,R46='לוח בקרה'!$B$2,S46='לוח בקרה'!$B$2,T46='לוח בקרה'!$B$2)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E47">
        <f>IFERROR(INDEX('הגדרות'!$D$104:$D$123,MATCH(B47&amp;G47&amp;C47,'הגדרות'!$A$104:$A$123&amp;'הגדרות'!$B$104:$B$123&amp;'הגדרות'!$C$104:$C$123,0)),"")</f>
        <v/>
      </c>
      <c r="F47" s="6" t="n"/>
      <c r="Q47">
        <f>IFERROR(VLOOKUP(M47,'הגדרות'!$A$11:$D$25,2,FALSE),"")</f>
        <v/>
      </c>
      <c r="R47">
        <f>IFERROR(VLOOKUP(M47,'הגדרות'!$A$11:$D$25,3,FALSE),"")</f>
        <v/>
      </c>
      <c r="S47">
        <f>IFERROR(VLOOKUP(N47,'הגדרות'!$A$11:$D$25,2,FALSE),"")</f>
        <v/>
      </c>
      <c r="T47">
        <f>IFERROR(VLOOKUP(N47,'הגדרות'!$A$11:$D$25,3,FALSE),"")</f>
        <v/>
      </c>
      <c r="AB47" s="6" t="n"/>
      <c r="AE47">
        <f>OR(Q47='לוח בקרה'!$B$2,R47='לוח בקרה'!$B$2,S47='לוח בקרה'!$B$2,T47='לוח בקרה'!$B$2)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E48">
        <f>IFERROR(INDEX('הגדרות'!$D$104:$D$123,MATCH(B48&amp;G48&amp;C48,'הגדרות'!$A$104:$A$123&amp;'הגדרות'!$B$104:$B$123&amp;'הגדרות'!$C$104:$C$123,0)),"")</f>
        <v/>
      </c>
      <c r="F48" s="6" t="n"/>
      <c r="Q48">
        <f>IFERROR(VLOOKUP(M48,'הגדרות'!$A$11:$D$25,2,FALSE),"")</f>
        <v/>
      </c>
      <c r="R48">
        <f>IFERROR(VLOOKUP(M48,'הגדרות'!$A$11:$D$25,3,FALSE),"")</f>
        <v/>
      </c>
      <c r="S48">
        <f>IFERROR(VLOOKUP(N48,'הגדרות'!$A$11:$D$25,2,FALSE),"")</f>
        <v/>
      </c>
      <c r="T48">
        <f>IFERROR(VLOOKUP(N48,'הגדרות'!$A$11:$D$25,3,FALSE),"")</f>
        <v/>
      </c>
      <c r="AB48" s="6" t="n"/>
      <c r="AE48">
        <f>OR(Q48='לוח בקרה'!$B$2,R48='לוח בקרה'!$B$2,S48='לוח בקרה'!$B$2,T48='לוח בקרה'!$B$2)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E49">
        <f>IFERROR(INDEX('הגדרות'!$D$104:$D$123,MATCH(B49&amp;G49&amp;C49,'הגדרות'!$A$104:$A$123&amp;'הגדרות'!$B$104:$B$123&amp;'הגדרות'!$C$104:$C$123,0)),"")</f>
        <v/>
      </c>
      <c r="F49" s="6" t="n"/>
      <c r="Q49">
        <f>IFERROR(VLOOKUP(M49,'הגדרות'!$A$11:$D$25,2,FALSE),"")</f>
        <v/>
      </c>
      <c r="R49">
        <f>IFERROR(VLOOKUP(M49,'הגדרות'!$A$11:$D$25,3,FALSE),"")</f>
        <v/>
      </c>
      <c r="S49">
        <f>IFERROR(VLOOKUP(N49,'הגדרות'!$A$11:$D$25,2,FALSE),"")</f>
        <v/>
      </c>
      <c r="T49">
        <f>IFERROR(VLOOKUP(N49,'הגדרות'!$A$11:$D$25,3,FALSE),"")</f>
        <v/>
      </c>
      <c r="AB49" s="6" t="n"/>
      <c r="AE49">
        <f>OR(Q49='לוח בקרה'!$B$2,R49='לוח בקרה'!$B$2,S49='לוח בקרה'!$B$2,T49='לוח בקרה'!$B$2)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E50">
        <f>IFERROR(INDEX('הגדרות'!$D$104:$D$123,MATCH(B50&amp;G50&amp;C50,'הגדרות'!$A$104:$A$123&amp;'הגדרות'!$B$104:$B$123&amp;'הגדרות'!$C$104:$C$123,0)),"")</f>
        <v/>
      </c>
      <c r="F50" s="6" t="n"/>
      <c r="Q50">
        <f>IFERROR(VLOOKUP(M50,'הגדרות'!$A$11:$D$25,2,FALSE),"")</f>
        <v/>
      </c>
      <c r="R50">
        <f>IFERROR(VLOOKUP(M50,'הגדרות'!$A$11:$D$25,3,FALSE),"")</f>
        <v/>
      </c>
      <c r="S50">
        <f>IFERROR(VLOOKUP(N50,'הגדרות'!$A$11:$D$25,2,FALSE),"")</f>
        <v/>
      </c>
      <c r="T50">
        <f>IFERROR(VLOOKUP(N50,'הגדרות'!$A$11:$D$25,3,FALSE),"")</f>
        <v/>
      </c>
      <c r="AB50" s="6" t="n"/>
      <c r="AE50">
        <f>OR(Q50='לוח בקרה'!$B$2,R50='לוח בקרה'!$B$2,S50='לוח בקרה'!$B$2,T50='לוח בקרה'!$B$2)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E51">
        <f>IFERROR(INDEX('הגדרות'!$D$104:$D$123,MATCH(B51&amp;G51&amp;C51,'הגדרות'!$A$104:$A$123&amp;'הגדרות'!$B$104:$B$123&amp;'הגדרות'!$C$104:$C$123,0)),"")</f>
        <v/>
      </c>
      <c r="F51" s="6" t="n"/>
      <c r="Q51">
        <f>IFERROR(VLOOKUP(M51,'הגדרות'!$A$11:$D$25,2,FALSE),"")</f>
        <v/>
      </c>
      <c r="R51">
        <f>IFERROR(VLOOKUP(M51,'הגדרות'!$A$11:$D$25,3,FALSE),"")</f>
        <v/>
      </c>
      <c r="S51">
        <f>IFERROR(VLOOKUP(N51,'הגדרות'!$A$11:$D$25,2,FALSE),"")</f>
        <v/>
      </c>
      <c r="T51">
        <f>IFERROR(VLOOKUP(N51,'הגדרות'!$A$11:$D$25,3,FALSE),"")</f>
        <v/>
      </c>
      <c r="AB51" s="6" t="n"/>
      <c r="AE51">
        <f>OR(Q51='לוח בקרה'!$B$2,R51='לוח בקרה'!$B$2,S51='לוח בקרה'!$B$2,T51='לוח בקרה'!$B$2)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E52">
        <f>IFERROR(INDEX('הגדרות'!$D$104:$D$123,MATCH(B52&amp;G52&amp;C52,'הגדרות'!$A$104:$A$123&amp;'הגדרות'!$B$104:$B$123&amp;'הגדרות'!$C$104:$C$123,0)),"")</f>
        <v/>
      </c>
      <c r="F52" s="6" t="n"/>
      <c r="Q52">
        <f>IFERROR(VLOOKUP(M52,'הגדרות'!$A$11:$D$25,2,FALSE),"")</f>
        <v/>
      </c>
      <c r="R52">
        <f>IFERROR(VLOOKUP(M52,'הגדרות'!$A$11:$D$25,3,FALSE),"")</f>
        <v/>
      </c>
      <c r="S52">
        <f>IFERROR(VLOOKUP(N52,'הגדרות'!$A$11:$D$25,2,FALSE),"")</f>
        <v/>
      </c>
      <c r="T52">
        <f>IFERROR(VLOOKUP(N52,'הגדרות'!$A$11:$D$25,3,FALSE),"")</f>
        <v/>
      </c>
      <c r="AB52" s="6" t="n"/>
      <c r="AE52">
        <f>OR(Q52='לוח בקרה'!$B$2,R52='לוח בקרה'!$B$2,S52='לוח בקרה'!$B$2,T52='לוח בקרה'!$B$2)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E53">
        <f>IFERROR(INDEX('הגדרות'!$D$104:$D$123,MATCH(B53&amp;G53&amp;C53,'הגדרות'!$A$104:$A$123&amp;'הגדרות'!$B$104:$B$123&amp;'הגדרות'!$C$104:$C$123,0)),"")</f>
        <v/>
      </c>
      <c r="F53" s="6" t="n"/>
      <c r="Q53">
        <f>IFERROR(VLOOKUP(M53,'הגדרות'!$A$11:$D$25,2,FALSE),"")</f>
        <v/>
      </c>
      <c r="R53">
        <f>IFERROR(VLOOKUP(M53,'הגדרות'!$A$11:$D$25,3,FALSE),"")</f>
        <v/>
      </c>
      <c r="S53">
        <f>IFERROR(VLOOKUP(N53,'הגדרות'!$A$11:$D$25,2,FALSE),"")</f>
        <v/>
      </c>
      <c r="T53">
        <f>IFERROR(VLOOKUP(N53,'הגדרות'!$A$11:$D$25,3,FALSE),"")</f>
        <v/>
      </c>
      <c r="AB53" s="6" t="n"/>
      <c r="AE53">
        <f>OR(Q53='לוח בקרה'!$B$2,R53='לוח בקרה'!$B$2,S53='לוח בקרה'!$B$2,T53='לוח בקרה'!$B$2)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E54">
        <f>IFERROR(INDEX('הגדרות'!$D$104:$D$123,MATCH(B54&amp;G54&amp;C54,'הגדרות'!$A$104:$A$123&amp;'הגדרות'!$B$104:$B$123&amp;'הגדרות'!$C$104:$C$123,0)),"")</f>
        <v/>
      </c>
      <c r="F54" s="6" t="n"/>
      <c r="Q54">
        <f>IFERROR(VLOOKUP(M54,'הגדרות'!$A$11:$D$25,2,FALSE),"")</f>
        <v/>
      </c>
      <c r="R54">
        <f>IFERROR(VLOOKUP(M54,'הגדרות'!$A$11:$D$25,3,FALSE),"")</f>
        <v/>
      </c>
      <c r="S54">
        <f>IFERROR(VLOOKUP(N54,'הגדרות'!$A$11:$D$25,2,FALSE),"")</f>
        <v/>
      </c>
      <c r="T54">
        <f>IFERROR(VLOOKUP(N54,'הגדרות'!$A$11:$D$25,3,FALSE),"")</f>
        <v/>
      </c>
      <c r="AB54" s="6" t="n"/>
      <c r="AE54">
        <f>OR(Q54='לוח בקרה'!$B$2,R54='לוח בקרה'!$B$2,S54='לוח בקרה'!$B$2,T54='לוח בקרה'!$B$2)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E55">
        <f>IFERROR(INDEX('הגדרות'!$D$104:$D$123,MATCH(B55&amp;G55&amp;C55,'הגדרות'!$A$104:$A$123&amp;'הגדרות'!$B$104:$B$123&amp;'הגדרות'!$C$104:$C$123,0)),"")</f>
        <v/>
      </c>
      <c r="F55" s="6" t="n"/>
      <c r="Q55">
        <f>IFERROR(VLOOKUP(M55,'הגדרות'!$A$11:$D$25,2,FALSE),"")</f>
        <v/>
      </c>
      <c r="R55">
        <f>IFERROR(VLOOKUP(M55,'הגדרות'!$A$11:$D$25,3,FALSE),"")</f>
        <v/>
      </c>
      <c r="S55">
        <f>IFERROR(VLOOKUP(N55,'הגדרות'!$A$11:$D$25,2,FALSE),"")</f>
        <v/>
      </c>
      <c r="T55">
        <f>IFERROR(VLOOKUP(N55,'הגדרות'!$A$11:$D$25,3,FALSE),"")</f>
        <v/>
      </c>
      <c r="AB55" s="6" t="n"/>
      <c r="AE55">
        <f>OR(Q55='לוח בקרה'!$B$2,R55='לוח בקרה'!$B$2,S55='לוח בקרה'!$B$2,T55='לוח בקרה'!$B$2)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E56">
        <f>IFERROR(INDEX('הגדרות'!$D$104:$D$123,MATCH(B56&amp;G56&amp;C56,'הגדרות'!$A$104:$A$123&amp;'הגדרות'!$B$104:$B$123&amp;'הגדרות'!$C$104:$C$123,0)),"")</f>
        <v/>
      </c>
      <c r="F56" s="6" t="n"/>
      <c r="Q56">
        <f>IFERROR(VLOOKUP(M56,'הגדרות'!$A$11:$D$25,2,FALSE),"")</f>
        <v/>
      </c>
      <c r="R56">
        <f>IFERROR(VLOOKUP(M56,'הגדרות'!$A$11:$D$25,3,FALSE),"")</f>
        <v/>
      </c>
      <c r="S56">
        <f>IFERROR(VLOOKUP(N56,'הגדרות'!$A$11:$D$25,2,FALSE),"")</f>
        <v/>
      </c>
      <c r="T56">
        <f>IFERROR(VLOOKUP(N56,'הגדרות'!$A$11:$D$25,3,FALSE),"")</f>
        <v/>
      </c>
      <c r="AB56" s="6" t="n"/>
      <c r="AE56">
        <f>OR(Q56='לוח בקרה'!$B$2,R56='לוח בקרה'!$B$2,S56='לוח בקרה'!$B$2,T56='לוח בקרה'!$B$2)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E57">
        <f>IFERROR(INDEX('הגדרות'!$D$104:$D$123,MATCH(B57&amp;G57&amp;C57,'הגדרות'!$A$104:$A$123&amp;'הגדרות'!$B$104:$B$123&amp;'הגדרות'!$C$104:$C$123,0)),"")</f>
        <v/>
      </c>
      <c r="F57" s="6" t="n"/>
      <c r="Q57">
        <f>IFERROR(VLOOKUP(M57,'הגדרות'!$A$11:$D$25,2,FALSE),"")</f>
        <v/>
      </c>
      <c r="R57">
        <f>IFERROR(VLOOKUP(M57,'הגדרות'!$A$11:$D$25,3,FALSE),"")</f>
        <v/>
      </c>
      <c r="S57">
        <f>IFERROR(VLOOKUP(N57,'הגדרות'!$A$11:$D$25,2,FALSE),"")</f>
        <v/>
      </c>
      <c r="T57">
        <f>IFERROR(VLOOKUP(N57,'הגדרות'!$A$11:$D$25,3,FALSE),"")</f>
        <v/>
      </c>
      <c r="AB57" s="6" t="n"/>
      <c r="AE57">
        <f>OR(Q57='לוח בקרה'!$B$2,R57='לוח בקרה'!$B$2,S57='לוח בקרה'!$B$2,T57='לוח בקרה'!$B$2)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E58">
        <f>IFERROR(INDEX('הגדרות'!$D$104:$D$123,MATCH(B58&amp;G58&amp;C58,'הגדרות'!$A$104:$A$123&amp;'הגדרות'!$B$104:$B$123&amp;'הגדרות'!$C$104:$C$123,0)),"")</f>
        <v/>
      </c>
      <c r="F58" s="6" t="n"/>
      <c r="Q58">
        <f>IFERROR(VLOOKUP(M58,'הגדרות'!$A$11:$D$25,2,FALSE),"")</f>
        <v/>
      </c>
      <c r="R58">
        <f>IFERROR(VLOOKUP(M58,'הגדרות'!$A$11:$D$25,3,FALSE),"")</f>
        <v/>
      </c>
      <c r="S58">
        <f>IFERROR(VLOOKUP(N58,'הגדרות'!$A$11:$D$25,2,FALSE),"")</f>
        <v/>
      </c>
      <c r="T58">
        <f>IFERROR(VLOOKUP(N58,'הגדרות'!$A$11:$D$25,3,FALSE),"")</f>
        <v/>
      </c>
      <c r="AB58" s="6" t="n"/>
      <c r="AE58">
        <f>OR(Q58='לוח בקרה'!$B$2,R58='לוח בקרה'!$B$2,S58='לוח בקרה'!$B$2,T58='לוח בקרה'!$B$2)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E59">
        <f>IFERROR(INDEX('הגדרות'!$D$104:$D$123,MATCH(B59&amp;G59&amp;C59,'הגדרות'!$A$104:$A$123&amp;'הגדרות'!$B$104:$B$123&amp;'הגדרות'!$C$104:$C$123,0)),"")</f>
        <v/>
      </c>
      <c r="F59" s="6" t="n"/>
      <c r="Q59">
        <f>IFERROR(VLOOKUP(M59,'הגדרות'!$A$11:$D$25,2,FALSE),"")</f>
        <v/>
      </c>
      <c r="R59">
        <f>IFERROR(VLOOKUP(M59,'הגדרות'!$A$11:$D$25,3,FALSE),"")</f>
        <v/>
      </c>
      <c r="S59">
        <f>IFERROR(VLOOKUP(N59,'הגדרות'!$A$11:$D$25,2,FALSE),"")</f>
        <v/>
      </c>
      <c r="T59">
        <f>IFERROR(VLOOKUP(N59,'הגדרות'!$A$11:$D$25,3,FALSE),"")</f>
        <v/>
      </c>
      <c r="AB59" s="6" t="n"/>
      <c r="AE59">
        <f>OR(Q59='לוח בקרה'!$B$2,R59='לוח בקרה'!$B$2,S59='לוח בקרה'!$B$2,T59='לוח בקרה'!$B$2)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E60">
        <f>IFERROR(INDEX('הגדרות'!$D$104:$D$123,MATCH(B60&amp;G60&amp;C60,'הגדרות'!$A$104:$A$123&amp;'הגדרות'!$B$104:$B$123&amp;'הגדרות'!$C$104:$C$123,0)),"")</f>
        <v/>
      </c>
      <c r="F60" s="6" t="n"/>
      <c r="Q60">
        <f>IFERROR(VLOOKUP(M60,'הגדרות'!$A$11:$D$25,2,FALSE),"")</f>
        <v/>
      </c>
      <c r="R60">
        <f>IFERROR(VLOOKUP(M60,'הגדרות'!$A$11:$D$25,3,FALSE),"")</f>
        <v/>
      </c>
      <c r="S60">
        <f>IFERROR(VLOOKUP(N60,'הגדרות'!$A$11:$D$25,2,FALSE),"")</f>
        <v/>
      </c>
      <c r="T60">
        <f>IFERROR(VLOOKUP(N60,'הגדרות'!$A$11:$D$25,3,FALSE),"")</f>
        <v/>
      </c>
      <c r="AB60" s="6" t="n"/>
      <c r="AE60">
        <f>OR(Q60='לוח בקרה'!$B$2,R60='לוח בקרה'!$B$2,S60='לוח בקרה'!$B$2,T60='לוח בקרה'!$B$2)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E61">
        <f>IFERROR(INDEX('הגדרות'!$D$104:$D$123,MATCH(B61&amp;G61&amp;C61,'הגדרות'!$A$104:$A$123&amp;'הגדרות'!$B$104:$B$123&amp;'הגדרות'!$C$104:$C$123,0)),"")</f>
        <v/>
      </c>
      <c r="F61" s="6" t="n"/>
      <c r="Q61">
        <f>IFERROR(VLOOKUP(M61,'הגדרות'!$A$11:$D$25,2,FALSE),"")</f>
        <v/>
      </c>
      <c r="R61">
        <f>IFERROR(VLOOKUP(M61,'הגדרות'!$A$11:$D$25,3,FALSE),"")</f>
        <v/>
      </c>
      <c r="S61">
        <f>IFERROR(VLOOKUP(N61,'הגדרות'!$A$11:$D$25,2,FALSE),"")</f>
        <v/>
      </c>
      <c r="T61">
        <f>IFERROR(VLOOKUP(N61,'הגדרות'!$A$11:$D$25,3,FALSE),"")</f>
        <v/>
      </c>
      <c r="AB61" s="6" t="n"/>
      <c r="AE61">
        <f>OR(Q61='לוח בקרה'!$B$2,R61='לוח בקרה'!$B$2,S61='לוח בקרה'!$B$2,T61='לוח בקרה'!$B$2)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E62">
        <f>IFERROR(INDEX('הגדרות'!$D$104:$D$123,MATCH(B62&amp;G62&amp;C62,'הגדרות'!$A$104:$A$123&amp;'הגדרות'!$B$104:$B$123&amp;'הגדרות'!$C$104:$C$123,0)),"")</f>
        <v/>
      </c>
      <c r="F62" s="6" t="n"/>
      <c r="Q62">
        <f>IFERROR(VLOOKUP(M62,'הגדרות'!$A$11:$D$25,2,FALSE),"")</f>
        <v/>
      </c>
      <c r="R62">
        <f>IFERROR(VLOOKUP(M62,'הגדרות'!$A$11:$D$25,3,FALSE),"")</f>
        <v/>
      </c>
      <c r="S62">
        <f>IFERROR(VLOOKUP(N62,'הגדרות'!$A$11:$D$25,2,FALSE),"")</f>
        <v/>
      </c>
      <c r="T62">
        <f>IFERROR(VLOOKUP(N62,'הגדרות'!$A$11:$D$25,3,FALSE),"")</f>
        <v/>
      </c>
      <c r="AB62" s="6" t="n"/>
      <c r="AE62">
        <f>OR(Q62='לוח בקרה'!$B$2,R62='לוח בקרה'!$B$2,S62='לוח בקרה'!$B$2,T62='לוח בקרה'!$B$2)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E63">
        <f>IFERROR(INDEX('הגדרות'!$D$104:$D$123,MATCH(B63&amp;G63&amp;C63,'הגדרות'!$A$104:$A$123&amp;'הגדרות'!$B$104:$B$123&amp;'הגדרות'!$C$104:$C$123,0)),"")</f>
        <v/>
      </c>
      <c r="F63" s="6" t="n"/>
      <c r="Q63">
        <f>IFERROR(VLOOKUP(M63,'הגדרות'!$A$11:$D$25,2,FALSE),"")</f>
        <v/>
      </c>
      <c r="R63">
        <f>IFERROR(VLOOKUP(M63,'הגדרות'!$A$11:$D$25,3,FALSE),"")</f>
        <v/>
      </c>
      <c r="S63">
        <f>IFERROR(VLOOKUP(N63,'הגדרות'!$A$11:$D$25,2,FALSE),"")</f>
        <v/>
      </c>
      <c r="T63">
        <f>IFERROR(VLOOKUP(N63,'הגדרות'!$A$11:$D$25,3,FALSE),"")</f>
        <v/>
      </c>
      <c r="AB63" s="6" t="n"/>
      <c r="AE63">
        <f>OR(Q63='לוח בקרה'!$B$2,R63='לוח בקרה'!$B$2,S63='לוח בקרה'!$B$2,T63='לוח בקרה'!$B$2)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E64">
        <f>IFERROR(INDEX('הגדרות'!$D$104:$D$123,MATCH(B64&amp;G64&amp;C64,'הגדרות'!$A$104:$A$123&amp;'הגדרות'!$B$104:$B$123&amp;'הגדרות'!$C$104:$C$123,0)),"")</f>
        <v/>
      </c>
      <c r="F64" s="6" t="n"/>
      <c r="Q64">
        <f>IFERROR(VLOOKUP(M64,'הגדרות'!$A$11:$D$25,2,FALSE),"")</f>
        <v/>
      </c>
      <c r="R64">
        <f>IFERROR(VLOOKUP(M64,'הגדרות'!$A$11:$D$25,3,FALSE),"")</f>
        <v/>
      </c>
      <c r="S64">
        <f>IFERROR(VLOOKUP(N64,'הגדרות'!$A$11:$D$25,2,FALSE),"")</f>
        <v/>
      </c>
      <c r="T64">
        <f>IFERROR(VLOOKUP(N64,'הגדרות'!$A$11:$D$25,3,FALSE),"")</f>
        <v/>
      </c>
      <c r="AB64" s="6" t="n"/>
      <c r="AE64">
        <f>OR(Q64='לוח בקרה'!$B$2,R64='לוח בקרה'!$B$2,S64='לוח בקרה'!$B$2,T64='לוח בקרה'!$B$2)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E65">
        <f>IFERROR(INDEX('הגדרות'!$D$104:$D$123,MATCH(B65&amp;G65&amp;C65,'הגדרות'!$A$104:$A$123&amp;'הגדרות'!$B$104:$B$123&amp;'הגדרות'!$C$104:$C$123,0)),"")</f>
        <v/>
      </c>
      <c r="F65" s="6" t="n"/>
      <c r="Q65">
        <f>IFERROR(VLOOKUP(M65,'הגדרות'!$A$11:$D$25,2,FALSE),"")</f>
        <v/>
      </c>
      <c r="R65">
        <f>IFERROR(VLOOKUP(M65,'הגדרות'!$A$11:$D$25,3,FALSE),"")</f>
        <v/>
      </c>
      <c r="S65">
        <f>IFERROR(VLOOKUP(N65,'הגדרות'!$A$11:$D$25,2,FALSE),"")</f>
        <v/>
      </c>
      <c r="T65">
        <f>IFERROR(VLOOKUP(N65,'הגדרות'!$A$11:$D$25,3,FALSE),"")</f>
        <v/>
      </c>
      <c r="AB65" s="6" t="n"/>
      <c r="AE65">
        <f>OR(Q65='לוח בקרה'!$B$2,R65='לוח בקרה'!$B$2,S65='לוח בקרה'!$B$2,T65='לוח בקרה'!$B$2)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E66">
        <f>IFERROR(INDEX('הגדרות'!$D$104:$D$123,MATCH(B66&amp;G66&amp;C66,'הגדרות'!$A$104:$A$123&amp;'הגדרות'!$B$104:$B$123&amp;'הגדרות'!$C$104:$C$123,0)),"")</f>
        <v/>
      </c>
      <c r="F66" s="6" t="n"/>
      <c r="Q66">
        <f>IFERROR(VLOOKUP(M66,'הגדרות'!$A$11:$D$25,2,FALSE),"")</f>
        <v/>
      </c>
      <c r="R66">
        <f>IFERROR(VLOOKUP(M66,'הגדרות'!$A$11:$D$25,3,FALSE),"")</f>
        <v/>
      </c>
      <c r="S66">
        <f>IFERROR(VLOOKUP(N66,'הגדרות'!$A$11:$D$25,2,FALSE),"")</f>
        <v/>
      </c>
      <c r="T66">
        <f>IFERROR(VLOOKUP(N66,'הגדרות'!$A$11:$D$25,3,FALSE),"")</f>
        <v/>
      </c>
      <c r="AB66" s="6" t="n"/>
      <c r="AE66">
        <f>OR(Q66='לוח בקרה'!$B$2,R66='לוח בקרה'!$B$2,S66='לוח בקרה'!$B$2,T66='לוח בקרה'!$B$2)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E67">
        <f>IFERROR(INDEX('הגדרות'!$D$104:$D$123,MATCH(B67&amp;G67&amp;C67,'הגדרות'!$A$104:$A$123&amp;'הגדרות'!$B$104:$B$123&amp;'הגדרות'!$C$104:$C$123,0)),"")</f>
        <v/>
      </c>
      <c r="F67" s="6" t="n"/>
      <c r="Q67">
        <f>IFERROR(VLOOKUP(M67,'הגדרות'!$A$11:$D$25,2,FALSE),"")</f>
        <v/>
      </c>
      <c r="R67">
        <f>IFERROR(VLOOKUP(M67,'הגדרות'!$A$11:$D$25,3,FALSE),"")</f>
        <v/>
      </c>
      <c r="S67">
        <f>IFERROR(VLOOKUP(N67,'הגדרות'!$A$11:$D$25,2,FALSE),"")</f>
        <v/>
      </c>
      <c r="T67">
        <f>IFERROR(VLOOKUP(N67,'הגדרות'!$A$11:$D$25,3,FALSE),"")</f>
        <v/>
      </c>
      <c r="AB67" s="6" t="n"/>
      <c r="AE67">
        <f>OR(Q67='לוח בקרה'!$B$2,R67='לוח בקרה'!$B$2,S67='לוח בקרה'!$B$2,T67='לוח בקרה'!$B$2)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E68">
        <f>IFERROR(INDEX('הגדרות'!$D$104:$D$123,MATCH(B68&amp;G68&amp;C68,'הגדרות'!$A$104:$A$123&amp;'הגדרות'!$B$104:$B$123&amp;'הגדרות'!$C$104:$C$123,0)),"")</f>
        <v/>
      </c>
      <c r="F68" s="6" t="n"/>
      <c r="Q68">
        <f>IFERROR(VLOOKUP(M68,'הגדרות'!$A$11:$D$25,2,FALSE),"")</f>
        <v/>
      </c>
      <c r="R68">
        <f>IFERROR(VLOOKUP(M68,'הגדרות'!$A$11:$D$25,3,FALSE),"")</f>
        <v/>
      </c>
      <c r="S68">
        <f>IFERROR(VLOOKUP(N68,'הגדרות'!$A$11:$D$25,2,FALSE),"")</f>
        <v/>
      </c>
      <c r="T68">
        <f>IFERROR(VLOOKUP(N68,'הגדרות'!$A$11:$D$25,3,FALSE),"")</f>
        <v/>
      </c>
      <c r="AB68" s="6" t="n"/>
      <c r="AE68">
        <f>OR(Q68='לוח בקרה'!$B$2,R68='לוח בקרה'!$B$2,S68='לוח בקרה'!$B$2,T68='לוח בקרה'!$B$2)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E69">
        <f>IFERROR(INDEX('הגדרות'!$D$104:$D$123,MATCH(B69&amp;G69&amp;C69,'הגדרות'!$A$104:$A$123&amp;'הגדרות'!$B$104:$B$123&amp;'הגדרות'!$C$104:$C$123,0)),"")</f>
        <v/>
      </c>
      <c r="F69" s="6" t="n"/>
      <c r="Q69">
        <f>IFERROR(VLOOKUP(M69,'הגדרות'!$A$11:$D$25,2,FALSE),"")</f>
        <v/>
      </c>
      <c r="R69">
        <f>IFERROR(VLOOKUP(M69,'הגדרות'!$A$11:$D$25,3,FALSE),"")</f>
        <v/>
      </c>
      <c r="S69">
        <f>IFERROR(VLOOKUP(N69,'הגדרות'!$A$11:$D$25,2,FALSE),"")</f>
        <v/>
      </c>
      <c r="T69">
        <f>IFERROR(VLOOKUP(N69,'הגדרות'!$A$11:$D$25,3,FALSE),"")</f>
        <v/>
      </c>
      <c r="AB69" s="6" t="n"/>
      <c r="AE69">
        <f>OR(Q69='לוח בקרה'!$B$2,R69='לוח בקרה'!$B$2,S69='לוח בקרה'!$B$2,T69='לוח בקרה'!$B$2)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E70">
        <f>IFERROR(INDEX('הגדרות'!$D$104:$D$123,MATCH(B70&amp;G70&amp;C70,'הגדרות'!$A$104:$A$123&amp;'הגדרות'!$B$104:$B$123&amp;'הגדרות'!$C$104:$C$123,0)),"")</f>
        <v/>
      </c>
      <c r="F70" s="6" t="n"/>
      <c r="Q70">
        <f>IFERROR(VLOOKUP(M70,'הגדרות'!$A$11:$D$25,2,FALSE),"")</f>
        <v/>
      </c>
      <c r="R70">
        <f>IFERROR(VLOOKUP(M70,'הגדרות'!$A$11:$D$25,3,FALSE),"")</f>
        <v/>
      </c>
      <c r="S70">
        <f>IFERROR(VLOOKUP(N70,'הגדרות'!$A$11:$D$25,2,FALSE),"")</f>
        <v/>
      </c>
      <c r="T70">
        <f>IFERROR(VLOOKUP(N70,'הגדרות'!$A$11:$D$25,3,FALSE),"")</f>
        <v/>
      </c>
      <c r="AB70" s="6" t="n"/>
      <c r="AE70">
        <f>OR(Q70='לוח בקרה'!$B$2,R70='לוח בקרה'!$B$2,S70='לוח בקרה'!$B$2,T70='לוח בקרה'!$B$2)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E71">
        <f>IFERROR(INDEX('הגדרות'!$D$104:$D$123,MATCH(B71&amp;G71&amp;C71,'הגדרות'!$A$104:$A$123&amp;'הגדרות'!$B$104:$B$123&amp;'הגדרות'!$C$104:$C$123,0)),"")</f>
        <v/>
      </c>
      <c r="F71" s="6" t="n"/>
      <c r="Q71">
        <f>IFERROR(VLOOKUP(M71,'הגדרות'!$A$11:$D$25,2,FALSE),"")</f>
        <v/>
      </c>
      <c r="R71">
        <f>IFERROR(VLOOKUP(M71,'הגדרות'!$A$11:$D$25,3,FALSE),"")</f>
        <v/>
      </c>
      <c r="S71">
        <f>IFERROR(VLOOKUP(N71,'הגדרות'!$A$11:$D$25,2,FALSE),"")</f>
        <v/>
      </c>
      <c r="T71">
        <f>IFERROR(VLOOKUP(N71,'הגדרות'!$A$11:$D$25,3,FALSE),"")</f>
        <v/>
      </c>
      <c r="AB71" s="6" t="n"/>
      <c r="AE71">
        <f>OR(Q71='לוח בקרה'!$B$2,R71='לוח בקרה'!$B$2,S71='לוח בקרה'!$B$2,T71='לוח בקרה'!$B$2)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E72">
        <f>IFERROR(INDEX('הגדרות'!$D$104:$D$123,MATCH(B72&amp;G72&amp;C72,'הגדרות'!$A$104:$A$123&amp;'הגדרות'!$B$104:$B$123&amp;'הגדרות'!$C$104:$C$123,0)),"")</f>
        <v/>
      </c>
      <c r="F72" s="6" t="n"/>
      <c r="Q72">
        <f>IFERROR(VLOOKUP(M72,'הגדרות'!$A$11:$D$25,2,FALSE),"")</f>
        <v/>
      </c>
      <c r="R72">
        <f>IFERROR(VLOOKUP(M72,'הגדרות'!$A$11:$D$25,3,FALSE),"")</f>
        <v/>
      </c>
      <c r="S72">
        <f>IFERROR(VLOOKUP(N72,'הגדרות'!$A$11:$D$25,2,FALSE),"")</f>
        <v/>
      </c>
      <c r="T72">
        <f>IFERROR(VLOOKUP(N72,'הגדרות'!$A$11:$D$25,3,FALSE),"")</f>
        <v/>
      </c>
      <c r="AB72" s="6" t="n"/>
      <c r="AE72">
        <f>OR(Q72='לוח בקרה'!$B$2,R72='לוח בקרה'!$B$2,S72='לוח בקרה'!$B$2,T72='לוח בקרה'!$B$2)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E73">
        <f>IFERROR(INDEX('הגדרות'!$D$104:$D$123,MATCH(B73&amp;G73&amp;C73,'הגדרות'!$A$104:$A$123&amp;'הגדרות'!$B$104:$B$123&amp;'הגדרות'!$C$104:$C$123,0)),"")</f>
        <v/>
      </c>
      <c r="F73" s="6" t="n"/>
      <c r="Q73">
        <f>IFERROR(VLOOKUP(M73,'הגדרות'!$A$11:$D$25,2,FALSE),"")</f>
        <v/>
      </c>
      <c r="R73">
        <f>IFERROR(VLOOKUP(M73,'הגדרות'!$A$11:$D$25,3,FALSE),"")</f>
        <v/>
      </c>
      <c r="S73">
        <f>IFERROR(VLOOKUP(N73,'הגדרות'!$A$11:$D$25,2,FALSE),"")</f>
        <v/>
      </c>
      <c r="T73">
        <f>IFERROR(VLOOKUP(N73,'הגדרות'!$A$11:$D$25,3,FALSE),"")</f>
        <v/>
      </c>
      <c r="AB73" s="6" t="n"/>
      <c r="AE73">
        <f>OR(Q73='לוח בקרה'!$B$2,R73='לוח בקרה'!$B$2,S73='לוח בקרה'!$B$2,T73='לוח בקרה'!$B$2)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E74">
        <f>IFERROR(INDEX('הגדרות'!$D$104:$D$123,MATCH(B74&amp;G74&amp;C74,'הגדרות'!$A$104:$A$123&amp;'הגדרות'!$B$104:$B$123&amp;'הגדרות'!$C$104:$C$123,0)),"")</f>
        <v/>
      </c>
      <c r="F74" s="6" t="n"/>
      <c r="Q74">
        <f>IFERROR(VLOOKUP(M74,'הגדרות'!$A$11:$D$25,2,FALSE),"")</f>
        <v/>
      </c>
      <c r="R74">
        <f>IFERROR(VLOOKUP(M74,'הגדרות'!$A$11:$D$25,3,FALSE),"")</f>
        <v/>
      </c>
      <c r="S74">
        <f>IFERROR(VLOOKUP(N74,'הגדרות'!$A$11:$D$25,2,FALSE),"")</f>
        <v/>
      </c>
      <c r="T74">
        <f>IFERROR(VLOOKUP(N74,'הגדרות'!$A$11:$D$25,3,FALSE),"")</f>
        <v/>
      </c>
      <c r="AB74" s="6" t="n"/>
      <c r="AE74">
        <f>OR(Q74='לוח בקרה'!$B$2,R74='לוח בקרה'!$B$2,S74='לוח בקרה'!$B$2,T74='לוח בקרה'!$B$2)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E75">
        <f>IFERROR(INDEX('הגדרות'!$D$104:$D$123,MATCH(B75&amp;G75&amp;C75,'הגדרות'!$A$104:$A$123&amp;'הגדרות'!$B$104:$B$123&amp;'הגדרות'!$C$104:$C$123,0)),"")</f>
        <v/>
      </c>
      <c r="F75" s="6" t="n"/>
      <c r="Q75">
        <f>IFERROR(VLOOKUP(M75,'הגדרות'!$A$11:$D$25,2,FALSE),"")</f>
        <v/>
      </c>
      <c r="R75">
        <f>IFERROR(VLOOKUP(M75,'הגדרות'!$A$11:$D$25,3,FALSE),"")</f>
        <v/>
      </c>
      <c r="S75">
        <f>IFERROR(VLOOKUP(N75,'הגדרות'!$A$11:$D$25,2,FALSE),"")</f>
        <v/>
      </c>
      <c r="T75">
        <f>IFERROR(VLOOKUP(N75,'הגדרות'!$A$11:$D$25,3,FALSE),"")</f>
        <v/>
      </c>
      <c r="AB75" s="6" t="n"/>
      <c r="AE75">
        <f>OR(Q75='לוח בקרה'!$B$2,R75='לוח בקרה'!$B$2,S75='לוח בקרה'!$B$2,T75='לוח בקרה'!$B$2)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E76">
        <f>IFERROR(INDEX('הגדרות'!$D$104:$D$123,MATCH(B76&amp;G76&amp;C76,'הגדרות'!$A$104:$A$123&amp;'הגדרות'!$B$104:$B$123&amp;'הגדרות'!$C$104:$C$123,0)),"")</f>
        <v/>
      </c>
      <c r="F76" s="6" t="n"/>
      <c r="Q76">
        <f>IFERROR(VLOOKUP(M76,'הגדרות'!$A$11:$D$25,2,FALSE),"")</f>
        <v/>
      </c>
      <c r="R76">
        <f>IFERROR(VLOOKUP(M76,'הגדרות'!$A$11:$D$25,3,FALSE),"")</f>
        <v/>
      </c>
      <c r="S76">
        <f>IFERROR(VLOOKUP(N76,'הגדרות'!$A$11:$D$25,2,FALSE),"")</f>
        <v/>
      </c>
      <c r="T76">
        <f>IFERROR(VLOOKUP(N76,'הגדרות'!$A$11:$D$25,3,FALSE),"")</f>
        <v/>
      </c>
      <c r="AB76" s="6" t="n"/>
      <c r="AE76">
        <f>OR(Q76='לוח בקרה'!$B$2,R76='לוח בקרה'!$B$2,S76='לוח בקרה'!$B$2,T76='לוח בקרה'!$B$2)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E77">
        <f>IFERROR(INDEX('הגדרות'!$D$104:$D$123,MATCH(B77&amp;G77&amp;C77,'הגדרות'!$A$104:$A$123&amp;'הגדרות'!$B$104:$B$123&amp;'הגדרות'!$C$104:$C$123,0)),"")</f>
        <v/>
      </c>
      <c r="F77" s="6" t="n"/>
      <c r="Q77">
        <f>IFERROR(VLOOKUP(M77,'הגדרות'!$A$11:$D$25,2,FALSE),"")</f>
        <v/>
      </c>
      <c r="R77">
        <f>IFERROR(VLOOKUP(M77,'הגדרות'!$A$11:$D$25,3,FALSE),"")</f>
        <v/>
      </c>
      <c r="S77">
        <f>IFERROR(VLOOKUP(N77,'הגדרות'!$A$11:$D$25,2,FALSE),"")</f>
        <v/>
      </c>
      <c r="T77">
        <f>IFERROR(VLOOKUP(N77,'הגדרות'!$A$11:$D$25,3,FALSE),"")</f>
        <v/>
      </c>
      <c r="AB77" s="6" t="n"/>
      <c r="AE77">
        <f>OR(Q77='לוח בקרה'!$B$2,R77='לוח בקרה'!$B$2,S77='לוח בקרה'!$B$2,T77='לוח בקרה'!$B$2)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E78">
        <f>IFERROR(INDEX('הגדרות'!$D$104:$D$123,MATCH(B78&amp;G78&amp;C78,'הגדרות'!$A$104:$A$123&amp;'הגדרות'!$B$104:$B$123&amp;'הגדרות'!$C$104:$C$123,0)),"")</f>
        <v/>
      </c>
      <c r="F78" s="6" t="n"/>
      <c r="Q78">
        <f>IFERROR(VLOOKUP(M78,'הגדרות'!$A$11:$D$25,2,FALSE),"")</f>
        <v/>
      </c>
      <c r="R78">
        <f>IFERROR(VLOOKUP(M78,'הגדרות'!$A$11:$D$25,3,FALSE),"")</f>
        <v/>
      </c>
      <c r="S78">
        <f>IFERROR(VLOOKUP(N78,'הגדרות'!$A$11:$D$25,2,FALSE),"")</f>
        <v/>
      </c>
      <c r="T78">
        <f>IFERROR(VLOOKUP(N78,'הגדרות'!$A$11:$D$25,3,FALSE),"")</f>
        <v/>
      </c>
      <c r="AB78" s="6" t="n"/>
      <c r="AE78">
        <f>OR(Q78='לוח בקרה'!$B$2,R78='לוח בקרה'!$B$2,S78='לוח בקרה'!$B$2,T78='לוח בקרה'!$B$2)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E79">
        <f>IFERROR(INDEX('הגדרות'!$D$104:$D$123,MATCH(B79&amp;G79&amp;C79,'הגדרות'!$A$104:$A$123&amp;'הגדרות'!$B$104:$B$123&amp;'הגדרות'!$C$104:$C$123,0)),"")</f>
        <v/>
      </c>
      <c r="F79" s="6" t="n"/>
      <c r="Q79">
        <f>IFERROR(VLOOKUP(M79,'הגדרות'!$A$11:$D$25,2,FALSE),"")</f>
        <v/>
      </c>
      <c r="R79">
        <f>IFERROR(VLOOKUP(M79,'הגדרות'!$A$11:$D$25,3,FALSE),"")</f>
        <v/>
      </c>
      <c r="S79">
        <f>IFERROR(VLOOKUP(N79,'הגדרות'!$A$11:$D$25,2,FALSE),"")</f>
        <v/>
      </c>
      <c r="T79">
        <f>IFERROR(VLOOKUP(N79,'הגדרות'!$A$11:$D$25,3,FALSE),"")</f>
        <v/>
      </c>
      <c r="AB79" s="6" t="n"/>
      <c r="AE79">
        <f>OR(Q79='לוח בקרה'!$B$2,R79='לוח בקרה'!$B$2,S79='לוח בקרה'!$B$2,T79='לוח בקרה'!$B$2)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E80">
        <f>IFERROR(INDEX('הגדרות'!$D$104:$D$123,MATCH(B80&amp;G80&amp;C80,'הגדרות'!$A$104:$A$123&amp;'הגדרות'!$B$104:$B$123&amp;'הגדרות'!$C$104:$C$123,0)),"")</f>
        <v/>
      </c>
      <c r="F80" s="6" t="n"/>
      <c r="Q80">
        <f>IFERROR(VLOOKUP(M80,'הגדרות'!$A$11:$D$25,2,FALSE),"")</f>
        <v/>
      </c>
      <c r="R80">
        <f>IFERROR(VLOOKUP(M80,'הגדרות'!$A$11:$D$25,3,FALSE),"")</f>
        <v/>
      </c>
      <c r="S80">
        <f>IFERROR(VLOOKUP(N80,'הגדרות'!$A$11:$D$25,2,FALSE),"")</f>
        <v/>
      </c>
      <c r="T80">
        <f>IFERROR(VLOOKUP(N80,'הגדרות'!$A$11:$D$25,3,FALSE),"")</f>
        <v/>
      </c>
      <c r="AB80" s="6" t="n"/>
      <c r="AE80">
        <f>OR(Q80='לוח בקרה'!$B$2,R80='לוח בקרה'!$B$2,S80='לוח בקרה'!$B$2,T80='לוח בקרה'!$B$2)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E81">
        <f>IFERROR(INDEX('הגדרות'!$D$104:$D$123,MATCH(B81&amp;G81&amp;C81,'הגדרות'!$A$104:$A$123&amp;'הגדרות'!$B$104:$B$123&amp;'הגדרות'!$C$104:$C$123,0)),"")</f>
        <v/>
      </c>
      <c r="F81" s="6" t="n"/>
      <c r="Q81">
        <f>IFERROR(VLOOKUP(M81,'הגדרות'!$A$11:$D$25,2,FALSE),"")</f>
        <v/>
      </c>
      <c r="R81">
        <f>IFERROR(VLOOKUP(M81,'הגדרות'!$A$11:$D$25,3,FALSE),"")</f>
        <v/>
      </c>
      <c r="S81">
        <f>IFERROR(VLOOKUP(N81,'הגדרות'!$A$11:$D$25,2,FALSE),"")</f>
        <v/>
      </c>
      <c r="T81">
        <f>IFERROR(VLOOKUP(N81,'הגדרות'!$A$11:$D$25,3,FALSE),"")</f>
        <v/>
      </c>
      <c r="AB81" s="6" t="n"/>
      <c r="AE81">
        <f>OR(Q81='לוח בקרה'!$B$2,R81='לוח בקרה'!$B$2,S81='לוח בקרה'!$B$2,T81='לוח בקרה'!$B$2)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E82">
        <f>IFERROR(INDEX('הגדרות'!$D$104:$D$123,MATCH(B82&amp;G82&amp;C82,'הגדרות'!$A$104:$A$123&amp;'הגדרות'!$B$104:$B$123&amp;'הגדרות'!$C$104:$C$123,0)),"")</f>
        <v/>
      </c>
      <c r="F82" s="6" t="n"/>
      <c r="Q82">
        <f>IFERROR(VLOOKUP(M82,'הגדרות'!$A$11:$D$25,2,FALSE),"")</f>
        <v/>
      </c>
      <c r="R82">
        <f>IFERROR(VLOOKUP(M82,'הגדרות'!$A$11:$D$25,3,FALSE),"")</f>
        <v/>
      </c>
      <c r="S82">
        <f>IFERROR(VLOOKUP(N82,'הגדרות'!$A$11:$D$25,2,FALSE),"")</f>
        <v/>
      </c>
      <c r="T82">
        <f>IFERROR(VLOOKUP(N82,'הגדרות'!$A$11:$D$25,3,FALSE),"")</f>
        <v/>
      </c>
      <c r="AB82" s="6" t="n"/>
      <c r="AE82">
        <f>OR(Q82='לוח בקרה'!$B$2,R82='לוח בקרה'!$B$2,S82='לוח בקרה'!$B$2,T82='לוח בקרה'!$B$2)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E83">
        <f>IFERROR(INDEX('הגדרות'!$D$104:$D$123,MATCH(B83&amp;G83&amp;C83,'הגדרות'!$A$104:$A$123&amp;'הגדרות'!$B$104:$B$123&amp;'הגדרות'!$C$104:$C$123,0)),"")</f>
        <v/>
      </c>
      <c r="F83" s="6" t="n"/>
      <c r="Q83">
        <f>IFERROR(VLOOKUP(M83,'הגדרות'!$A$11:$D$25,2,FALSE),"")</f>
        <v/>
      </c>
      <c r="R83">
        <f>IFERROR(VLOOKUP(M83,'הגדרות'!$A$11:$D$25,3,FALSE),"")</f>
        <v/>
      </c>
      <c r="S83">
        <f>IFERROR(VLOOKUP(N83,'הגדרות'!$A$11:$D$25,2,FALSE),"")</f>
        <v/>
      </c>
      <c r="T83">
        <f>IFERROR(VLOOKUP(N83,'הגדרות'!$A$11:$D$25,3,FALSE),"")</f>
        <v/>
      </c>
      <c r="AB83" s="6" t="n"/>
      <c r="AE83">
        <f>OR(Q83='לוח בקרה'!$B$2,R83='לוח בקרה'!$B$2,S83='לוח בקרה'!$B$2,T83='לוח בקרה'!$B$2)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E84">
        <f>IFERROR(INDEX('הגדרות'!$D$104:$D$123,MATCH(B84&amp;G84&amp;C84,'הגדרות'!$A$104:$A$123&amp;'הגדרות'!$B$104:$B$123&amp;'הגדרות'!$C$104:$C$123,0)),"")</f>
        <v/>
      </c>
      <c r="F84" s="6" t="n"/>
      <c r="Q84">
        <f>IFERROR(VLOOKUP(M84,'הגדרות'!$A$11:$D$25,2,FALSE),"")</f>
        <v/>
      </c>
      <c r="R84">
        <f>IFERROR(VLOOKUP(M84,'הגדרות'!$A$11:$D$25,3,FALSE),"")</f>
        <v/>
      </c>
      <c r="S84">
        <f>IFERROR(VLOOKUP(N84,'הגדרות'!$A$11:$D$25,2,FALSE),"")</f>
        <v/>
      </c>
      <c r="T84">
        <f>IFERROR(VLOOKUP(N84,'הגדרות'!$A$11:$D$25,3,FALSE),"")</f>
        <v/>
      </c>
      <c r="AB84" s="6" t="n"/>
      <c r="AE84">
        <f>OR(Q84='לוח בקרה'!$B$2,R84='לוח בקרה'!$B$2,S84='לוח בקרה'!$B$2,T84='לוח בקרה'!$B$2)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E85">
        <f>IFERROR(INDEX('הגדרות'!$D$104:$D$123,MATCH(B85&amp;G85&amp;C85,'הגדרות'!$A$104:$A$123&amp;'הגדרות'!$B$104:$B$123&amp;'הגדרות'!$C$104:$C$123,0)),"")</f>
        <v/>
      </c>
      <c r="F85" s="6" t="n"/>
      <c r="Q85">
        <f>IFERROR(VLOOKUP(M85,'הגדרות'!$A$11:$D$25,2,FALSE),"")</f>
        <v/>
      </c>
      <c r="R85">
        <f>IFERROR(VLOOKUP(M85,'הגדרות'!$A$11:$D$25,3,FALSE),"")</f>
        <v/>
      </c>
      <c r="S85">
        <f>IFERROR(VLOOKUP(N85,'הגדרות'!$A$11:$D$25,2,FALSE),"")</f>
        <v/>
      </c>
      <c r="T85">
        <f>IFERROR(VLOOKUP(N85,'הגדרות'!$A$11:$D$25,3,FALSE),"")</f>
        <v/>
      </c>
      <c r="AB85" s="6" t="n"/>
      <c r="AE85">
        <f>OR(Q85='לוח בקרה'!$B$2,R85='לוח בקרה'!$B$2,S85='לוח בקרה'!$B$2,T85='לוח בקרה'!$B$2)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E86">
        <f>IFERROR(INDEX('הגדרות'!$D$104:$D$123,MATCH(B86&amp;G86&amp;C86,'הגדרות'!$A$104:$A$123&amp;'הגדרות'!$B$104:$B$123&amp;'הגדרות'!$C$104:$C$123,0)),"")</f>
        <v/>
      </c>
      <c r="F86" s="6" t="n"/>
      <c r="Q86">
        <f>IFERROR(VLOOKUP(M86,'הגדרות'!$A$11:$D$25,2,FALSE),"")</f>
        <v/>
      </c>
      <c r="R86">
        <f>IFERROR(VLOOKUP(M86,'הגדרות'!$A$11:$D$25,3,FALSE),"")</f>
        <v/>
      </c>
      <c r="S86">
        <f>IFERROR(VLOOKUP(N86,'הגדרות'!$A$11:$D$25,2,FALSE),"")</f>
        <v/>
      </c>
      <c r="T86">
        <f>IFERROR(VLOOKUP(N86,'הגדרות'!$A$11:$D$25,3,FALSE),"")</f>
        <v/>
      </c>
      <c r="AB86" s="6" t="n"/>
      <c r="AE86">
        <f>OR(Q86='לוח בקרה'!$B$2,R86='לוח בקרה'!$B$2,S86='לוח בקרה'!$B$2,T86='לוח בקרה'!$B$2)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E87">
        <f>IFERROR(INDEX('הגדרות'!$D$104:$D$123,MATCH(B87&amp;G87&amp;C87,'הגדרות'!$A$104:$A$123&amp;'הגדרות'!$B$104:$B$123&amp;'הגדרות'!$C$104:$C$123,0)),"")</f>
        <v/>
      </c>
      <c r="F87" s="6" t="n"/>
      <c r="Q87">
        <f>IFERROR(VLOOKUP(M87,'הגדרות'!$A$11:$D$25,2,FALSE),"")</f>
        <v/>
      </c>
      <c r="R87">
        <f>IFERROR(VLOOKUP(M87,'הגדרות'!$A$11:$D$25,3,FALSE),"")</f>
        <v/>
      </c>
      <c r="S87">
        <f>IFERROR(VLOOKUP(N87,'הגדרות'!$A$11:$D$25,2,FALSE),"")</f>
        <v/>
      </c>
      <c r="T87">
        <f>IFERROR(VLOOKUP(N87,'הגדרות'!$A$11:$D$25,3,FALSE),"")</f>
        <v/>
      </c>
      <c r="AB87" s="6" t="n"/>
      <c r="AE87">
        <f>OR(Q87='לוח בקרה'!$B$2,R87='לוח בקרה'!$B$2,S87='לוח בקרה'!$B$2,T87='לוח בקרה'!$B$2)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E88">
        <f>IFERROR(INDEX('הגדרות'!$D$104:$D$123,MATCH(B88&amp;G88&amp;C88,'הגדרות'!$A$104:$A$123&amp;'הגדרות'!$B$104:$B$123&amp;'הגדרות'!$C$104:$C$123,0)),"")</f>
        <v/>
      </c>
      <c r="F88" s="6" t="n"/>
      <c r="Q88">
        <f>IFERROR(VLOOKUP(M88,'הגדרות'!$A$11:$D$25,2,FALSE),"")</f>
        <v/>
      </c>
      <c r="R88">
        <f>IFERROR(VLOOKUP(M88,'הגדרות'!$A$11:$D$25,3,FALSE),"")</f>
        <v/>
      </c>
      <c r="S88">
        <f>IFERROR(VLOOKUP(N88,'הגדרות'!$A$11:$D$25,2,FALSE),"")</f>
        <v/>
      </c>
      <c r="T88">
        <f>IFERROR(VLOOKUP(N88,'הגדרות'!$A$11:$D$25,3,FALSE),"")</f>
        <v/>
      </c>
      <c r="AB88" s="6" t="n"/>
      <c r="AE88">
        <f>OR(Q88='לוח בקרה'!$B$2,R88='לוח בקרה'!$B$2,S88='לוח בקרה'!$B$2,T88='לוח בקרה'!$B$2)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E89">
        <f>IFERROR(INDEX('הגדרות'!$D$104:$D$123,MATCH(B89&amp;G89&amp;C89,'הגדרות'!$A$104:$A$123&amp;'הגדרות'!$B$104:$B$123&amp;'הגדרות'!$C$104:$C$123,0)),"")</f>
        <v/>
      </c>
      <c r="F89" s="6" t="n"/>
      <c r="Q89">
        <f>IFERROR(VLOOKUP(M89,'הגדרות'!$A$11:$D$25,2,FALSE),"")</f>
        <v/>
      </c>
      <c r="R89">
        <f>IFERROR(VLOOKUP(M89,'הגדרות'!$A$11:$D$25,3,FALSE),"")</f>
        <v/>
      </c>
      <c r="S89">
        <f>IFERROR(VLOOKUP(N89,'הגדרות'!$A$11:$D$25,2,FALSE),"")</f>
        <v/>
      </c>
      <c r="T89">
        <f>IFERROR(VLOOKUP(N89,'הגדרות'!$A$11:$D$25,3,FALSE),"")</f>
        <v/>
      </c>
      <c r="AB89" s="6" t="n"/>
      <c r="AE89">
        <f>OR(Q89='לוח בקרה'!$B$2,R89='לוח בקרה'!$B$2,S89='לוח בקרה'!$B$2,T89='לוח בקרה'!$B$2)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E90">
        <f>IFERROR(INDEX('הגדרות'!$D$104:$D$123,MATCH(B90&amp;G90&amp;C90,'הגדרות'!$A$104:$A$123&amp;'הגדרות'!$B$104:$B$123&amp;'הגדרות'!$C$104:$C$123,0)),"")</f>
        <v/>
      </c>
      <c r="F90" s="6" t="n"/>
      <c r="Q90">
        <f>IFERROR(VLOOKUP(M90,'הגדרות'!$A$11:$D$25,2,FALSE),"")</f>
        <v/>
      </c>
      <c r="R90">
        <f>IFERROR(VLOOKUP(M90,'הגדרות'!$A$11:$D$25,3,FALSE),"")</f>
        <v/>
      </c>
      <c r="S90">
        <f>IFERROR(VLOOKUP(N90,'הגדרות'!$A$11:$D$25,2,FALSE),"")</f>
        <v/>
      </c>
      <c r="T90">
        <f>IFERROR(VLOOKUP(N90,'הגדרות'!$A$11:$D$25,3,FALSE),"")</f>
        <v/>
      </c>
      <c r="AB90" s="6" t="n"/>
      <c r="AE90">
        <f>OR(Q90='לוח בקרה'!$B$2,R90='לוח בקרה'!$B$2,S90='לוח בקרה'!$B$2,T90='לוח בקרה'!$B$2)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E91">
        <f>IFERROR(INDEX('הגדרות'!$D$104:$D$123,MATCH(B91&amp;G91&amp;C91,'הגדרות'!$A$104:$A$123&amp;'הגדרות'!$B$104:$B$123&amp;'הגדרות'!$C$104:$C$123,0)),"")</f>
        <v/>
      </c>
      <c r="F91" s="6" t="n"/>
      <c r="Q91">
        <f>IFERROR(VLOOKUP(M91,'הגדרות'!$A$11:$D$25,2,FALSE),"")</f>
        <v/>
      </c>
      <c r="R91">
        <f>IFERROR(VLOOKUP(M91,'הגדרות'!$A$11:$D$25,3,FALSE),"")</f>
        <v/>
      </c>
      <c r="S91">
        <f>IFERROR(VLOOKUP(N91,'הגדרות'!$A$11:$D$25,2,FALSE),"")</f>
        <v/>
      </c>
      <c r="T91">
        <f>IFERROR(VLOOKUP(N91,'הגדרות'!$A$11:$D$25,3,FALSE),"")</f>
        <v/>
      </c>
      <c r="AB91" s="6" t="n"/>
      <c r="AE91">
        <f>OR(Q91='לוח בקרה'!$B$2,R91='לוח בקרה'!$B$2,S91='לוח בקרה'!$B$2,T91='לוח בקרה'!$B$2)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E92">
        <f>IFERROR(INDEX('הגדרות'!$D$104:$D$123,MATCH(B92&amp;G92&amp;C92,'הגדרות'!$A$104:$A$123&amp;'הגדרות'!$B$104:$B$123&amp;'הגדרות'!$C$104:$C$123,0)),"")</f>
        <v/>
      </c>
      <c r="F92" s="6" t="n"/>
      <c r="Q92">
        <f>IFERROR(VLOOKUP(M92,'הגדרות'!$A$11:$D$25,2,FALSE),"")</f>
        <v/>
      </c>
      <c r="R92">
        <f>IFERROR(VLOOKUP(M92,'הגדרות'!$A$11:$D$25,3,FALSE),"")</f>
        <v/>
      </c>
      <c r="S92">
        <f>IFERROR(VLOOKUP(N92,'הגדרות'!$A$11:$D$25,2,FALSE),"")</f>
        <v/>
      </c>
      <c r="T92">
        <f>IFERROR(VLOOKUP(N92,'הגדרות'!$A$11:$D$25,3,FALSE),"")</f>
        <v/>
      </c>
      <c r="AB92" s="6" t="n"/>
      <c r="AE92">
        <f>OR(Q92='לוח בקרה'!$B$2,R92='לוח בקרה'!$B$2,S92='לוח בקרה'!$B$2,T92='לוח בקרה'!$B$2)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E93">
        <f>IFERROR(INDEX('הגדרות'!$D$104:$D$123,MATCH(B93&amp;G93&amp;C93,'הגדרות'!$A$104:$A$123&amp;'הגדרות'!$B$104:$B$123&amp;'הגדרות'!$C$104:$C$123,0)),"")</f>
        <v/>
      </c>
      <c r="F93" s="6" t="n"/>
      <c r="Q93">
        <f>IFERROR(VLOOKUP(M93,'הגדרות'!$A$11:$D$25,2,FALSE),"")</f>
        <v/>
      </c>
      <c r="R93">
        <f>IFERROR(VLOOKUP(M93,'הגדרות'!$A$11:$D$25,3,FALSE),"")</f>
        <v/>
      </c>
      <c r="S93">
        <f>IFERROR(VLOOKUP(N93,'הגדרות'!$A$11:$D$25,2,FALSE),"")</f>
        <v/>
      </c>
      <c r="T93">
        <f>IFERROR(VLOOKUP(N93,'הגדרות'!$A$11:$D$25,3,FALSE),"")</f>
        <v/>
      </c>
      <c r="AB93" s="6" t="n"/>
      <c r="AE93">
        <f>OR(Q93='לוח בקרה'!$B$2,R93='לוח בקרה'!$B$2,S93='לוח בקרה'!$B$2,T93='לוח בקרה'!$B$2)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E94">
        <f>IFERROR(INDEX('הגדרות'!$D$104:$D$123,MATCH(B94&amp;G94&amp;C94,'הגדרות'!$A$104:$A$123&amp;'הגדרות'!$B$104:$B$123&amp;'הגדרות'!$C$104:$C$123,0)),"")</f>
        <v/>
      </c>
      <c r="F94" s="6" t="n"/>
      <c r="Q94">
        <f>IFERROR(VLOOKUP(M94,'הגדרות'!$A$11:$D$25,2,FALSE),"")</f>
        <v/>
      </c>
      <c r="R94">
        <f>IFERROR(VLOOKUP(M94,'הגדרות'!$A$11:$D$25,3,FALSE),"")</f>
        <v/>
      </c>
      <c r="S94">
        <f>IFERROR(VLOOKUP(N94,'הגדרות'!$A$11:$D$25,2,FALSE),"")</f>
        <v/>
      </c>
      <c r="T94">
        <f>IFERROR(VLOOKUP(N94,'הגדרות'!$A$11:$D$25,3,FALSE),"")</f>
        <v/>
      </c>
      <c r="AB94" s="6" t="n"/>
      <c r="AE94">
        <f>OR(Q94='לוח בקרה'!$B$2,R94='לוח בקרה'!$B$2,S94='לוח בקרה'!$B$2,T94='לוח בקרה'!$B$2)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E95">
        <f>IFERROR(INDEX('הגדרות'!$D$104:$D$123,MATCH(B95&amp;G95&amp;C95,'הגדרות'!$A$104:$A$123&amp;'הגדרות'!$B$104:$B$123&amp;'הגדרות'!$C$104:$C$123,0)),"")</f>
        <v/>
      </c>
      <c r="F95" s="6" t="n"/>
      <c r="Q95">
        <f>IFERROR(VLOOKUP(M95,'הגדרות'!$A$11:$D$25,2,FALSE),"")</f>
        <v/>
      </c>
      <c r="R95">
        <f>IFERROR(VLOOKUP(M95,'הגדרות'!$A$11:$D$25,3,FALSE),"")</f>
        <v/>
      </c>
      <c r="S95">
        <f>IFERROR(VLOOKUP(N95,'הגדרות'!$A$11:$D$25,2,FALSE),"")</f>
        <v/>
      </c>
      <c r="T95">
        <f>IFERROR(VLOOKUP(N95,'הגדרות'!$A$11:$D$25,3,FALSE),"")</f>
        <v/>
      </c>
      <c r="AB95" s="6" t="n"/>
      <c r="AE95">
        <f>OR(Q95='לוח בקרה'!$B$2,R95='לוח בקרה'!$B$2,S95='לוח בקרה'!$B$2,T95='לוח בקרה'!$B$2)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E96">
        <f>IFERROR(INDEX('הגדרות'!$D$104:$D$123,MATCH(B96&amp;G96&amp;C96,'הגדרות'!$A$104:$A$123&amp;'הגדרות'!$B$104:$B$123&amp;'הגדרות'!$C$104:$C$123,0)),"")</f>
        <v/>
      </c>
      <c r="F96" s="6" t="n"/>
      <c r="Q96">
        <f>IFERROR(VLOOKUP(M96,'הגדרות'!$A$11:$D$25,2,FALSE),"")</f>
        <v/>
      </c>
      <c r="R96">
        <f>IFERROR(VLOOKUP(M96,'הגדרות'!$A$11:$D$25,3,FALSE),"")</f>
        <v/>
      </c>
      <c r="S96">
        <f>IFERROR(VLOOKUP(N96,'הגדרות'!$A$11:$D$25,2,FALSE),"")</f>
        <v/>
      </c>
      <c r="T96">
        <f>IFERROR(VLOOKUP(N96,'הגדרות'!$A$11:$D$25,3,FALSE),"")</f>
        <v/>
      </c>
      <c r="AB96" s="6" t="n"/>
      <c r="AE96">
        <f>OR(Q96='לוח בקרה'!$B$2,R96='לוח בקרה'!$B$2,S96='לוח בקרה'!$B$2,T96='לוח בקרה'!$B$2)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E97">
        <f>IFERROR(INDEX('הגדרות'!$D$104:$D$123,MATCH(B97&amp;G97&amp;C97,'הגדרות'!$A$104:$A$123&amp;'הגדרות'!$B$104:$B$123&amp;'הגדרות'!$C$104:$C$123,0)),"")</f>
        <v/>
      </c>
      <c r="F97" s="6" t="n"/>
      <c r="Q97">
        <f>IFERROR(VLOOKUP(M97,'הגדרות'!$A$11:$D$25,2,FALSE),"")</f>
        <v/>
      </c>
      <c r="R97">
        <f>IFERROR(VLOOKUP(M97,'הגדרות'!$A$11:$D$25,3,FALSE),"")</f>
        <v/>
      </c>
      <c r="S97">
        <f>IFERROR(VLOOKUP(N97,'הגדרות'!$A$11:$D$25,2,FALSE),"")</f>
        <v/>
      </c>
      <c r="T97">
        <f>IFERROR(VLOOKUP(N97,'הגדרות'!$A$11:$D$25,3,FALSE),"")</f>
        <v/>
      </c>
      <c r="AB97" s="6" t="n"/>
      <c r="AE97">
        <f>OR(Q97='לוח בקרה'!$B$2,R97='לוח בקרה'!$B$2,S97='לוח בקרה'!$B$2,T97='לוח בקרה'!$B$2)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E98">
        <f>IFERROR(INDEX('הגדרות'!$D$104:$D$123,MATCH(B98&amp;G98&amp;C98,'הגדרות'!$A$104:$A$123&amp;'הגדרות'!$B$104:$B$123&amp;'הגדרות'!$C$104:$C$123,0)),"")</f>
        <v/>
      </c>
      <c r="F98" s="6" t="n"/>
      <c r="Q98">
        <f>IFERROR(VLOOKUP(M98,'הגדרות'!$A$11:$D$25,2,FALSE),"")</f>
        <v/>
      </c>
      <c r="R98">
        <f>IFERROR(VLOOKUP(M98,'הגדרות'!$A$11:$D$25,3,FALSE),"")</f>
        <v/>
      </c>
      <c r="S98">
        <f>IFERROR(VLOOKUP(N98,'הגדרות'!$A$11:$D$25,2,FALSE),"")</f>
        <v/>
      </c>
      <c r="T98">
        <f>IFERROR(VLOOKUP(N98,'הגדרות'!$A$11:$D$25,3,FALSE),"")</f>
        <v/>
      </c>
      <c r="AB98" s="6" t="n"/>
      <c r="AE98">
        <f>OR(Q98='לוח בקרה'!$B$2,R98='לוח בקרה'!$B$2,S98='לוח בקרה'!$B$2,T98='לוח בקרה'!$B$2)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E99">
        <f>IFERROR(INDEX('הגדרות'!$D$104:$D$123,MATCH(B99&amp;G99&amp;C99,'הגדרות'!$A$104:$A$123&amp;'הגדרות'!$B$104:$B$123&amp;'הגדרות'!$C$104:$C$123,0)),"")</f>
        <v/>
      </c>
      <c r="F99" s="6" t="n"/>
      <c r="Q99">
        <f>IFERROR(VLOOKUP(M99,'הגדרות'!$A$11:$D$25,2,FALSE),"")</f>
        <v/>
      </c>
      <c r="R99">
        <f>IFERROR(VLOOKUP(M99,'הגדרות'!$A$11:$D$25,3,FALSE),"")</f>
        <v/>
      </c>
      <c r="S99">
        <f>IFERROR(VLOOKUP(N99,'הגדרות'!$A$11:$D$25,2,FALSE),"")</f>
        <v/>
      </c>
      <c r="T99">
        <f>IFERROR(VLOOKUP(N99,'הגדרות'!$A$11:$D$25,3,FALSE),"")</f>
        <v/>
      </c>
      <c r="AB99" s="6" t="n"/>
      <c r="AE99">
        <f>OR(Q99='לוח בקרה'!$B$2,R99='לוח בקרה'!$B$2,S99='לוח בקרה'!$B$2,T99='לוח בקרה'!$B$2)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E100">
        <f>IFERROR(INDEX('הגדרות'!$D$104:$D$123,MATCH(B100&amp;G100&amp;C100,'הגדרות'!$A$104:$A$123&amp;'הגדרות'!$B$104:$B$123&amp;'הגדרות'!$C$104:$C$123,0)),"")</f>
        <v/>
      </c>
      <c r="F100" s="6" t="n"/>
      <c r="Q100">
        <f>IFERROR(VLOOKUP(M100,'הגדרות'!$A$11:$D$25,2,FALSE),"")</f>
        <v/>
      </c>
      <c r="R100">
        <f>IFERROR(VLOOKUP(M100,'הגדרות'!$A$11:$D$25,3,FALSE),"")</f>
        <v/>
      </c>
      <c r="S100">
        <f>IFERROR(VLOOKUP(N100,'הגדרות'!$A$11:$D$25,2,FALSE),"")</f>
        <v/>
      </c>
      <c r="T100">
        <f>IFERROR(VLOOKUP(N100,'הגדרות'!$A$11:$D$25,3,FALSE),"")</f>
        <v/>
      </c>
      <c r="AB100" s="6" t="n"/>
      <c r="AE100">
        <f>OR(Q100='לוח בקרה'!$B$2,R100='לוח בקרה'!$B$2,S100='לוח בקרה'!$B$2,T100='לוח בקרה'!$B$2)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E101">
        <f>IFERROR(INDEX('הגדרות'!$D$104:$D$123,MATCH(B101&amp;G101&amp;C101,'הגדרות'!$A$104:$A$123&amp;'הגדרות'!$B$104:$B$123&amp;'הגדרות'!$C$104:$C$123,0)),"")</f>
        <v/>
      </c>
      <c r="F101" s="6" t="n"/>
      <c r="Q101">
        <f>IFERROR(VLOOKUP(M101,'הגדרות'!$A$11:$D$25,2,FALSE),"")</f>
        <v/>
      </c>
      <c r="R101">
        <f>IFERROR(VLOOKUP(M101,'הגדרות'!$A$11:$D$25,3,FALSE),"")</f>
        <v/>
      </c>
      <c r="S101">
        <f>IFERROR(VLOOKUP(N101,'הגדרות'!$A$11:$D$25,2,FALSE),"")</f>
        <v/>
      </c>
      <c r="T101">
        <f>IFERROR(VLOOKUP(N101,'הגדרות'!$A$11:$D$25,3,FALSE),"")</f>
        <v/>
      </c>
      <c r="AB101" s="6" t="n"/>
      <c r="AE101">
        <f>OR(Q101='לוח בקרה'!$B$2,R101='לוח בקרה'!$B$2,S101='לוח בקרה'!$B$2,T101='לוח בקרה'!$B$2)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E102">
        <f>IFERROR(INDEX('הגדרות'!$D$104:$D$123,MATCH(B102&amp;G102&amp;C102,'הגדרות'!$A$104:$A$123&amp;'הגדרות'!$B$104:$B$123&amp;'הגדרות'!$C$104:$C$123,0)),"")</f>
        <v/>
      </c>
      <c r="F102" s="6" t="n"/>
      <c r="Q102">
        <f>IFERROR(VLOOKUP(M102,'הגדרות'!$A$11:$D$25,2,FALSE),"")</f>
        <v/>
      </c>
      <c r="R102">
        <f>IFERROR(VLOOKUP(M102,'הגדרות'!$A$11:$D$25,3,FALSE),"")</f>
        <v/>
      </c>
      <c r="S102">
        <f>IFERROR(VLOOKUP(N102,'הגדרות'!$A$11:$D$25,2,FALSE),"")</f>
        <v/>
      </c>
      <c r="T102">
        <f>IFERROR(VLOOKUP(N102,'הגדרות'!$A$11:$D$25,3,FALSE),"")</f>
        <v/>
      </c>
      <c r="AB102" s="6" t="n"/>
      <c r="AE102">
        <f>OR(Q102='לוח בקרה'!$B$2,R102='לוח בקרה'!$B$2,S102='לוח בקרה'!$B$2,T102='לוח בקרה'!$B$2)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E103">
        <f>IFERROR(INDEX('הגדרות'!$D$104:$D$123,MATCH(B103&amp;G103&amp;C103,'הגדרות'!$A$104:$A$123&amp;'הגדרות'!$B$104:$B$123&amp;'הגדרות'!$C$104:$C$123,0)),"")</f>
        <v/>
      </c>
      <c r="F103" s="6" t="n"/>
      <c r="Q103">
        <f>IFERROR(VLOOKUP(M103,'הגדרות'!$A$11:$D$25,2,FALSE),"")</f>
        <v/>
      </c>
      <c r="R103">
        <f>IFERROR(VLOOKUP(M103,'הגדרות'!$A$11:$D$25,3,FALSE),"")</f>
        <v/>
      </c>
      <c r="S103">
        <f>IFERROR(VLOOKUP(N103,'הגדרות'!$A$11:$D$25,2,FALSE),"")</f>
        <v/>
      </c>
      <c r="T103">
        <f>IFERROR(VLOOKUP(N103,'הגדרות'!$A$11:$D$25,3,FALSE),"")</f>
        <v/>
      </c>
      <c r="AB103" s="6" t="n"/>
      <c r="AE103">
        <f>OR(Q103='לוח בקרה'!$B$2,R103='לוח בקרה'!$B$2,S103='לוח בקרה'!$B$2,T103='לוח בקרה'!$B$2)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E104">
        <f>IFERROR(INDEX('הגדרות'!$D$104:$D$123,MATCH(B104&amp;G104&amp;C104,'הגדרות'!$A$104:$A$123&amp;'הגדרות'!$B$104:$B$123&amp;'הגדרות'!$C$104:$C$123,0)),"")</f>
        <v/>
      </c>
      <c r="F104" s="6" t="n"/>
      <c r="Q104">
        <f>IFERROR(VLOOKUP(M104,'הגדרות'!$A$11:$D$25,2,FALSE),"")</f>
        <v/>
      </c>
      <c r="R104">
        <f>IFERROR(VLOOKUP(M104,'הגדרות'!$A$11:$D$25,3,FALSE),"")</f>
        <v/>
      </c>
      <c r="S104">
        <f>IFERROR(VLOOKUP(N104,'הגדרות'!$A$11:$D$25,2,FALSE),"")</f>
        <v/>
      </c>
      <c r="T104">
        <f>IFERROR(VLOOKUP(N104,'הגדרות'!$A$11:$D$25,3,FALSE),"")</f>
        <v/>
      </c>
      <c r="AB104" s="6" t="n"/>
      <c r="AE104">
        <f>OR(Q104='לוח בקרה'!$B$2,R104='לוח בקרה'!$B$2,S104='לוח בקרה'!$B$2,T104='לוח בקרה'!$B$2)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E105">
        <f>IFERROR(INDEX('הגדרות'!$D$104:$D$123,MATCH(B105&amp;G105&amp;C105,'הגדרות'!$A$104:$A$123&amp;'הגדרות'!$B$104:$B$123&amp;'הגדרות'!$C$104:$C$123,0)),"")</f>
        <v/>
      </c>
      <c r="F105" s="6" t="n"/>
      <c r="Q105">
        <f>IFERROR(VLOOKUP(M105,'הגדרות'!$A$11:$D$25,2,FALSE),"")</f>
        <v/>
      </c>
      <c r="R105">
        <f>IFERROR(VLOOKUP(M105,'הגדרות'!$A$11:$D$25,3,FALSE),"")</f>
        <v/>
      </c>
      <c r="S105">
        <f>IFERROR(VLOOKUP(N105,'הגדרות'!$A$11:$D$25,2,FALSE),"")</f>
        <v/>
      </c>
      <c r="T105">
        <f>IFERROR(VLOOKUP(N105,'הגדרות'!$A$11:$D$25,3,FALSE),"")</f>
        <v/>
      </c>
      <c r="AB105" s="6" t="n"/>
      <c r="AE105">
        <f>OR(Q105='לוח בקרה'!$B$2,R105='לוח בקרה'!$B$2,S105='לוח בקרה'!$B$2,T105='לוח בקרה'!$B$2)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E106">
        <f>IFERROR(INDEX('הגדרות'!$D$104:$D$123,MATCH(B106&amp;G106&amp;C106,'הגדרות'!$A$104:$A$123&amp;'הגדרות'!$B$104:$B$123&amp;'הגדרות'!$C$104:$C$123,0)),"")</f>
        <v/>
      </c>
      <c r="F106" s="6" t="n"/>
      <c r="Q106">
        <f>IFERROR(VLOOKUP(M106,'הגדרות'!$A$11:$D$25,2,FALSE),"")</f>
        <v/>
      </c>
      <c r="R106">
        <f>IFERROR(VLOOKUP(M106,'הגדרות'!$A$11:$D$25,3,FALSE),"")</f>
        <v/>
      </c>
      <c r="S106">
        <f>IFERROR(VLOOKUP(N106,'הגדרות'!$A$11:$D$25,2,FALSE),"")</f>
        <v/>
      </c>
      <c r="T106">
        <f>IFERROR(VLOOKUP(N106,'הגדרות'!$A$11:$D$25,3,FALSE),"")</f>
        <v/>
      </c>
      <c r="AB106" s="6" t="n"/>
      <c r="AE106">
        <f>OR(Q106='לוח בקרה'!$B$2,R106='לוח בקרה'!$B$2,S106='לוח בקרה'!$B$2,T106='לוח בקרה'!$B$2)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E107">
        <f>IFERROR(INDEX('הגדרות'!$D$104:$D$123,MATCH(B107&amp;G107&amp;C107,'הגדרות'!$A$104:$A$123&amp;'הגדרות'!$B$104:$B$123&amp;'הגדרות'!$C$104:$C$123,0)),"")</f>
        <v/>
      </c>
      <c r="F107" s="6" t="n"/>
      <c r="Q107">
        <f>IFERROR(VLOOKUP(M107,'הגדרות'!$A$11:$D$25,2,FALSE),"")</f>
        <v/>
      </c>
      <c r="R107">
        <f>IFERROR(VLOOKUP(M107,'הגדרות'!$A$11:$D$25,3,FALSE),"")</f>
        <v/>
      </c>
      <c r="S107">
        <f>IFERROR(VLOOKUP(N107,'הגדרות'!$A$11:$D$25,2,FALSE),"")</f>
        <v/>
      </c>
      <c r="T107">
        <f>IFERROR(VLOOKUP(N107,'הגדרות'!$A$11:$D$25,3,FALSE),"")</f>
        <v/>
      </c>
      <c r="AB107" s="6" t="n"/>
      <c r="AE107">
        <f>OR(Q107='לוח בקרה'!$B$2,R107='לוח בקרה'!$B$2,S107='לוח בקרה'!$B$2,T107='לוח בקרה'!$B$2)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E108">
        <f>IFERROR(INDEX('הגדרות'!$D$104:$D$123,MATCH(B108&amp;G108&amp;C108,'הגדרות'!$A$104:$A$123&amp;'הגדרות'!$B$104:$B$123&amp;'הגדרות'!$C$104:$C$123,0)),"")</f>
        <v/>
      </c>
      <c r="F108" s="6" t="n"/>
      <c r="Q108">
        <f>IFERROR(VLOOKUP(M108,'הגדרות'!$A$11:$D$25,2,FALSE),"")</f>
        <v/>
      </c>
      <c r="R108">
        <f>IFERROR(VLOOKUP(M108,'הגדרות'!$A$11:$D$25,3,FALSE),"")</f>
        <v/>
      </c>
      <c r="S108">
        <f>IFERROR(VLOOKUP(N108,'הגדרות'!$A$11:$D$25,2,FALSE),"")</f>
        <v/>
      </c>
      <c r="T108">
        <f>IFERROR(VLOOKUP(N108,'הגדרות'!$A$11:$D$25,3,FALSE),"")</f>
        <v/>
      </c>
      <c r="AB108" s="6" t="n"/>
      <c r="AE108">
        <f>OR(Q108='לוח בקרה'!$B$2,R108='לוח בקרה'!$B$2,S108='לוח בקרה'!$B$2,T108='לוח בקרה'!$B$2)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E109">
        <f>IFERROR(INDEX('הגדרות'!$D$104:$D$123,MATCH(B109&amp;G109&amp;C109,'הגדרות'!$A$104:$A$123&amp;'הגדרות'!$B$104:$B$123&amp;'הגדרות'!$C$104:$C$123,0)),"")</f>
        <v/>
      </c>
      <c r="F109" s="6" t="n"/>
      <c r="Q109">
        <f>IFERROR(VLOOKUP(M109,'הגדרות'!$A$11:$D$25,2,FALSE),"")</f>
        <v/>
      </c>
      <c r="R109">
        <f>IFERROR(VLOOKUP(M109,'הגדרות'!$A$11:$D$25,3,FALSE),"")</f>
        <v/>
      </c>
      <c r="S109">
        <f>IFERROR(VLOOKUP(N109,'הגדרות'!$A$11:$D$25,2,FALSE),"")</f>
        <v/>
      </c>
      <c r="T109">
        <f>IFERROR(VLOOKUP(N109,'הגדרות'!$A$11:$D$25,3,FALSE),"")</f>
        <v/>
      </c>
      <c r="AB109" s="6" t="n"/>
      <c r="AE109">
        <f>OR(Q109='לוח בקרה'!$B$2,R109='לוח בקרה'!$B$2,S109='לוח בקרה'!$B$2,T109='לוח בקרה'!$B$2)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E110">
        <f>IFERROR(INDEX('הגדרות'!$D$104:$D$123,MATCH(B110&amp;G110&amp;C110,'הגדרות'!$A$104:$A$123&amp;'הגדרות'!$B$104:$B$123&amp;'הגדרות'!$C$104:$C$123,0)),"")</f>
        <v/>
      </c>
      <c r="F110" s="6" t="n"/>
      <c r="Q110">
        <f>IFERROR(VLOOKUP(M110,'הגדרות'!$A$11:$D$25,2,FALSE),"")</f>
        <v/>
      </c>
      <c r="R110">
        <f>IFERROR(VLOOKUP(M110,'הגדרות'!$A$11:$D$25,3,FALSE),"")</f>
        <v/>
      </c>
      <c r="S110">
        <f>IFERROR(VLOOKUP(N110,'הגדרות'!$A$11:$D$25,2,FALSE),"")</f>
        <v/>
      </c>
      <c r="T110">
        <f>IFERROR(VLOOKUP(N110,'הגדרות'!$A$11:$D$25,3,FALSE),"")</f>
        <v/>
      </c>
      <c r="AB110" s="6" t="n"/>
      <c r="AE110">
        <f>OR(Q110='לוח בקרה'!$B$2,R110='לוח בקרה'!$B$2,S110='לוח בקרה'!$B$2,T110='לוח בקרה'!$B$2)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E111">
        <f>IFERROR(INDEX('הגדרות'!$D$104:$D$123,MATCH(B111&amp;G111&amp;C111,'הגדרות'!$A$104:$A$123&amp;'הגדרות'!$B$104:$B$123&amp;'הגדרות'!$C$104:$C$123,0)),"")</f>
        <v/>
      </c>
      <c r="F111" s="6" t="n"/>
      <c r="Q111">
        <f>IFERROR(VLOOKUP(M111,'הגדרות'!$A$11:$D$25,2,FALSE),"")</f>
        <v/>
      </c>
      <c r="R111">
        <f>IFERROR(VLOOKUP(M111,'הגדרות'!$A$11:$D$25,3,FALSE),"")</f>
        <v/>
      </c>
      <c r="S111">
        <f>IFERROR(VLOOKUP(N111,'הגדרות'!$A$11:$D$25,2,FALSE),"")</f>
        <v/>
      </c>
      <c r="T111">
        <f>IFERROR(VLOOKUP(N111,'הגדרות'!$A$11:$D$25,3,FALSE),"")</f>
        <v/>
      </c>
      <c r="AB111" s="6" t="n"/>
      <c r="AE111">
        <f>OR(Q111='לוח בקרה'!$B$2,R111='לוח בקרה'!$B$2,S111='לוח בקרה'!$B$2,T111='לוח בקרה'!$B$2)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E112">
        <f>IFERROR(INDEX('הגדרות'!$D$104:$D$123,MATCH(B112&amp;G112&amp;C112,'הגדרות'!$A$104:$A$123&amp;'הגדרות'!$B$104:$B$123&amp;'הגדרות'!$C$104:$C$123,0)),"")</f>
        <v/>
      </c>
      <c r="F112" s="6" t="n"/>
      <c r="Q112">
        <f>IFERROR(VLOOKUP(M112,'הגדרות'!$A$11:$D$25,2,FALSE),"")</f>
        <v/>
      </c>
      <c r="R112">
        <f>IFERROR(VLOOKUP(M112,'הגדרות'!$A$11:$D$25,3,FALSE),"")</f>
        <v/>
      </c>
      <c r="S112">
        <f>IFERROR(VLOOKUP(N112,'הגדרות'!$A$11:$D$25,2,FALSE),"")</f>
        <v/>
      </c>
      <c r="T112">
        <f>IFERROR(VLOOKUP(N112,'הגדרות'!$A$11:$D$25,3,FALSE),"")</f>
        <v/>
      </c>
      <c r="AB112" s="6" t="n"/>
      <c r="AE112">
        <f>OR(Q112='לוח בקרה'!$B$2,R112='לוח בקרה'!$B$2,S112='לוח בקרה'!$B$2,T112='לוח בקרה'!$B$2)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E113">
        <f>IFERROR(INDEX('הגדרות'!$D$104:$D$123,MATCH(B113&amp;G113&amp;C113,'הגדרות'!$A$104:$A$123&amp;'הגדרות'!$B$104:$B$123&amp;'הגדרות'!$C$104:$C$123,0)),"")</f>
        <v/>
      </c>
      <c r="F113" s="6" t="n"/>
      <c r="Q113">
        <f>IFERROR(VLOOKUP(M113,'הגדרות'!$A$11:$D$25,2,FALSE),"")</f>
        <v/>
      </c>
      <c r="R113">
        <f>IFERROR(VLOOKUP(M113,'הגדרות'!$A$11:$D$25,3,FALSE),"")</f>
        <v/>
      </c>
      <c r="S113">
        <f>IFERROR(VLOOKUP(N113,'הגדרות'!$A$11:$D$25,2,FALSE),"")</f>
        <v/>
      </c>
      <c r="T113">
        <f>IFERROR(VLOOKUP(N113,'הגדרות'!$A$11:$D$25,3,FALSE),"")</f>
        <v/>
      </c>
      <c r="AB113" s="6" t="n"/>
      <c r="AE113">
        <f>OR(Q113='לוח בקרה'!$B$2,R113='לוח בקרה'!$B$2,S113='לוח בקרה'!$B$2,T113='לוח בקרה'!$B$2)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E114">
        <f>IFERROR(INDEX('הגדרות'!$D$104:$D$123,MATCH(B114&amp;G114&amp;C114,'הגדרות'!$A$104:$A$123&amp;'הגדרות'!$B$104:$B$123&amp;'הגדרות'!$C$104:$C$123,0)),"")</f>
        <v/>
      </c>
      <c r="F114" s="6" t="n"/>
      <c r="Q114">
        <f>IFERROR(VLOOKUP(M114,'הגדרות'!$A$11:$D$25,2,FALSE),"")</f>
        <v/>
      </c>
      <c r="R114">
        <f>IFERROR(VLOOKUP(M114,'הגדרות'!$A$11:$D$25,3,FALSE),"")</f>
        <v/>
      </c>
      <c r="S114">
        <f>IFERROR(VLOOKUP(N114,'הגדרות'!$A$11:$D$25,2,FALSE),"")</f>
        <v/>
      </c>
      <c r="T114">
        <f>IFERROR(VLOOKUP(N114,'הגדרות'!$A$11:$D$25,3,FALSE),"")</f>
        <v/>
      </c>
      <c r="AB114" s="6" t="n"/>
      <c r="AE114">
        <f>OR(Q114='לוח בקרה'!$B$2,R114='לוח בקרה'!$B$2,S114='לוח בקרה'!$B$2,T114='לוח בקרה'!$B$2)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E115">
        <f>IFERROR(INDEX('הגדרות'!$D$104:$D$123,MATCH(B115&amp;G115&amp;C115,'הגדרות'!$A$104:$A$123&amp;'הגדרות'!$B$104:$B$123&amp;'הגדרות'!$C$104:$C$123,0)),"")</f>
        <v/>
      </c>
      <c r="F115" s="6" t="n"/>
      <c r="Q115">
        <f>IFERROR(VLOOKUP(M115,'הגדרות'!$A$11:$D$25,2,FALSE),"")</f>
        <v/>
      </c>
      <c r="R115">
        <f>IFERROR(VLOOKUP(M115,'הגדרות'!$A$11:$D$25,3,FALSE),"")</f>
        <v/>
      </c>
      <c r="S115">
        <f>IFERROR(VLOOKUP(N115,'הגדרות'!$A$11:$D$25,2,FALSE),"")</f>
        <v/>
      </c>
      <c r="T115">
        <f>IFERROR(VLOOKUP(N115,'הגדרות'!$A$11:$D$25,3,FALSE),"")</f>
        <v/>
      </c>
      <c r="AB115" s="6" t="n"/>
      <c r="AE115">
        <f>OR(Q115='לוח בקרה'!$B$2,R115='לוח בקרה'!$B$2,S115='לוח בקרה'!$B$2,T115='לוח בקרה'!$B$2)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E116">
        <f>IFERROR(INDEX('הגדרות'!$D$104:$D$123,MATCH(B116&amp;G116&amp;C116,'הגדרות'!$A$104:$A$123&amp;'הגדרות'!$B$104:$B$123&amp;'הגדרות'!$C$104:$C$123,0)),"")</f>
        <v/>
      </c>
      <c r="F116" s="6" t="n"/>
      <c r="Q116">
        <f>IFERROR(VLOOKUP(M116,'הגדרות'!$A$11:$D$25,2,FALSE),"")</f>
        <v/>
      </c>
      <c r="R116">
        <f>IFERROR(VLOOKUP(M116,'הגדרות'!$A$11:$D$25,3,FALSE),"")</f>
        <v/>
      </c>
      <c r="S116">
        <f>IFERROR(VLOOKUP(N116,'הגדרות'!$A$11:$D$25,2,FALSE),"")</f>
        <v/>
      </c>
      <c r="T116">
        <f>IFERROR(VLOOKUP(N116,'הגדרות'!$A$11:$D$25,3,FALSE),"")</f>
        <v/>
      </c>
      <c r="AB116" s="6" t="n"/>
      <c r="AE116">
        <f>OR(Q116='לוח בקרה'!$B$2,R116='לוח בקרה'!$B$2,S116='לוח בקרה'!$B$2,T116='לוח בקרה'!$B$2)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E117">
        <f>IFERROR(INDEX('הגדרות'!$D$104:$D$123,MATCH(B117&amp;G117&amp;C117,'הגדרות'!$A$104:$A$123&amp;'הגדרות'!$B$104:$B$123&amp;'הגדרות'!$C$104:$C$123,0)),"")</f>
        <v/>
      </c>
      <c r="F117" s="6" t="n"/>
      <c r="Q117">
        <f>IFERROR(VLOOKUP(M117,'הגדרות'!$A$11:$D$25,2,FALSE),"")</f>
        <v/>
      </c>
      <c r="R117">
        <f>IFERROR(VLOOKUP(M117,'הגדרות'!$A$11:$D$25,3,FALSE),"")</f>
        <v/>
      </c>
      <c r="S117">
        <f>IFERROR(VLOOKUP(N117,'הגדרות'!$A$11:$D$25,2,FALSE),"")</f>
        <v/>
      </c>
      <c r="T117">
        <f>IFERROR(VLOOKUP(N117,'הגדרות'!$A$11:$D$25,3,FALSE),"")</f>
        <v/>
      </c>
      <c r="AB117" s="6" t="n"/>
      <c r="AE117">
        <f>OR(Q117='לוח בקרה'!$B$2,R117='לוח בקרה'!$B$2,S117='לוח בקרה'!$B$2,T117='לוח בקרה'!$B$2)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E118">
        <f>IFERROR(INDEX('הגדרות'!$D$104:$D$123,MATCH(B118&amp;G118&amp;C118,'הגדרות'!$A$104:$A$123&amp;'הגדרות'!$B$104:$B$123&amp;'הגדרות'!$C$104:$C$123,0)),"")</f>
        <v/>
      </c>
      <c r="F118" s="6" t="n"/>
      <c r="Q118">
        <f>IFERROR(VLOOKUP(M118,'הגדרות'!$A$11:$D$25,2,FALSE),"")</f>
        <v/>
      </c>
      <c r="R118">
        <f>IFERROR(VLOOKUP(M118,'הגדרות'!$A$11:$D$25,3,FALSE),"")</f>
        <v/>
      </c>
      <c r="S118">
        <f>IFERROR(VLOOKUP(N118,'הגדרות'!$A$11:$D$25,2,FALSE),"")</f>
        <v/>
      </c>
      <c r="T118">
        <f>IFERROR(VLOOKUP(N118,'הגדרות'!$A$11:$D$25,3,FALSE),"")</f>
        <v/>
      </c>
      <c r="AB118" s="6" t="n"/>
      <c r="AE118">
        <f>OR(Q118='לוח בקרה'!$B$2,R118='לוח בקרה'!$B$2,S118='לוח בקרה'!$B$2,T118='לוח בקרה'!$B$2)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E119">
        <f>IFERROR(INDEX('הגדרות'!$D$104:$D$123,MATCH(B119&amp;G119&amp;C119,'הגדרות'!$A$104:$A$123&amp;'הגדרות'!$B$104:$B$123&amp;'הגדרות'!$C$104:$C$123,0)),"")</f>
        <v/>
      </c>
      <c r="F119" s="6" t="n"/>
      <c r="Q119">
        <f>IFERROR(VLOOKUP(M119,'הגדרות'!$A$11:$D$25,2,FALSE),"")</f>
        <v/>
      </c>
      <c r="R119">
        <f>IFERROR(VLOOKUP(M119,'הגדרות'!$A$11:$D$25,3,FALSE),"")</f>
        <v/>
      </c>
      <c r="S119">
        <f>IFERROR(VLOOKUP(N119,'הגדרות'!$A$11:$D$25,2,FALSE),"")</f>
        <v/>
      </c>
      <c r="T119">
        <f>IFERROR(VLOOKUP(N119,'הגדרות'!$A$11:$D$25,3,FALSE),"")</f>
        <v/>
      </c>
      <c r="AB119" s="6" t="n"/>
      <c r="AE119">
        <f>OR(Q119='לוח בקרה'!$B$2,R119='לוח בקרה'!$B$2,S119='לוח בקרה'!$B$2,T119='לוח בקרה'!$B$2)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E120">
        <f>IFERROR(INDEX('הגדרות'!$D$104:$D$123,MATCH(B120&amp;G120&amp;C120,'הגדרות'!$A$104:$A$123&amp;'הגדרות'!$B$104:$B$123&amp;'הגדרות'!$C$104:$C$123,0)),"")</f>
        <v/>
      </c>
      <c r="F120" s="6" t="n"/>
      <c r="Q120">
        <f>IFERROR(VLOOKUP(M120,'הגדרות'!$A$11:$D$25,2,FALSE),"")</f>
        <v/>
      </c>
      <c r="R120">
        <f>IFERROR(VLOOKUP(M120,'הגדרות'!$A$11:$D$25,3,FALSE),"")</f>
        <v/>
      </c>
      <c r="S120">
        <f>IFERROR(VLOOKUP(N120,'הגדרות'!$A$11:$D$25,2,FALSE),"")</f>
        <v/>
      </c>
      <c r="T120">
        <f>IFERROR(VLOOKUP(N120,'הגדרות'!$A$11:$D$25,3,FALSE),"")</f>
        <v/>
      </c>
      <c r="AB120" s="6" t="n"/>
      <c r="AE120">
        <f>OR(Q120='לוח בקרה'!$B$2,R120='לוח בקרה'!$B$2,S120='לוח בקרה'!$B$2,T120='לוח בקרה'!$B$2)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E121">
        <f>IFERROR(INDEX('הגדרות'!$D$104:$D$123,MATCH(B121&amp;G121&amp;C121,'הגדרות'!$A$104:$A$123&amp;'הגדרות'!$B$104:$B$123&amp;'הגדרות'!$C$104:$C$123,0)),"")</f>
        <v/>
      </c>
      <c r="F121" s="6" t="n"/>
      <c r="Q121">
        <f>IFERROR(VLOOKUP(M121,'הגדרות'!$A$11:$D$25,2,FALSE),"")</f>
        <v/>
      </c>
      <c r="R121">
        <f>IFERROR(VLOOKUP(M121,'הגדרות'!$A$11:$D$25,3,FALSE),"")</f>
        <v/>
      </c>
      <c r="S121">
        <f>IFERROR(VLOOKUP(N121,'הגדרות'!$A$11:$D$25,2,FALSE),"")</f>
        <v/>
      </c>
      <c r="T121">
        <f>IFERROR(VLOOKUP(N121,'הגדרות'!$A$11:$D$25,3,FALSE),"")</f>
        <v/>
      </c>
      <c r="AB121" s="6" t="n"/>
      <c r="AE121">
        <f>OR(Q121='לוח בקרה'!$B$2,R121='לוח בקרה'!$B$2,S121='לוח בקרה'!$B$2,T121='לוח בקרה'!$B$2)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E122">
        <f>IFERROR(INDEX('הגדרות'!$D$104:$D$123,MATCH(B122&amp;G122&amp;C122,'הגדרות'!$A$104:$A$123&amp;'הגדרות'!$B$104:$B$123&amp;'הגדרות'!$C$104:$C$123,0)),"")</f>
        <v/>
      </c>
      <c r="F122" s="6" t="n"/>
      <c r="Q122">
        <f>IFERROR(VLOOKUP(M122,'הגדרות'!$A$11:$D$25,2,FALSE),"")</f>
        <v/>
      </c>
      <c r="R122">
        <f>IFERROR(VLOOKUP(M122,'הגדרות'!$A$11:$D$25,3,FALSE),"")</f>
        <v/>
      </c>
      <c r="S122">
        <f>IFERROR(VLOOKUP(N122,'הגדרות'!$A$11:$D$25,2,FALSE),"")</f>
        <v/>
      </c>
      <c r="T122">
        <f>IFERROR(VLOOKUP(N122,'הגדרות'!$A$11:$D$25,3,FALSE),"")</f>
        <v/>
      </c>
      <c r="AB122" s="6" t="n"/>
      <c r="AE122">
        <f>OR(Q122='לוח בקרה'!$B$2,R122='לוח בקרה'!$B$2,S122='לוח בקרה'!$B$2,T122='לוח בקרה'!$B$2)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E123">
        <f>IFERROR(INDEX('הגדרות'!$D$104:$D$123,MATCH(B123&amp;G123&amp;C123,'הגדרות'!$A$104:$A$123&amp;'הגדרות'!$B$104:$B$123&amp;'הגדרות'!$C$104:$C$123,0)),"")</f>
        <v/>
      </c>
      <c r="F123" s="6" t="n"/>
      <c r="Q123">
        <f>IFERROR(VLOOKUP(M123,'הגדרות'!$A$11:$D$25,2,FALSE),"")</f>
        <v/>
      </c>
      <c r="R123">
        <f>IFERROR(VLOOKUP(M123,'הגדרות'!$A$11:$D$25,3,FALSE),"")</f>
        <v/>
      </c>
      <c r="S123">
        <f>IFERROR(VLOOKUP(N123,'הגדרות'!$A$11:$D$25,2,FALSE),"")</f>
        <v/>
      </c>
      <c r="T123">
        <f>IFERROR(VLOOKUP(N123,'הגדרות'!$A$11:$D$25,3,FALSE),"")</f>
        <v/>
      </c>
      <c r="AB123" s="6" t="n"/>
      <c r="AE123">
        <f>OR(Q123='לוח בקרה'!$B$2,R123='לוח בקרה'!$B$2,S123='לוח בקרה'!$B$2,T123='לוח בקרה'!$B$2)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E124">
        <f>IFERROR(INDEX('הגדרות'!$D$104:$D$123,MATCH(B124&amp;G124&amp;C124,'הגדרות'!$A$104:$A$123&amp;'הגדרות'!$B$104:$B$123&amp;'הגדרות'!$C$104:$C$123,0)),"")</f>
        <v/>
      </c>
      <c r="F124" s="6" t="n"/>
      <c r="Q124">
        <f>IFERROR(VLOOKUP(M124,'הגדרות'!$A$11:$D$25,2,FALSE),"")</f>
        <v/>
      </c>
      <c r="R124">
        <f>IFERROR(VLOOKUP(M124,'הגדרות'!$A$11:$D$25,3,FALSE),"")</f>
        <v/>
      </c>
      <c r="S124">
        <f>IFERROR(VLOOKUP(N124,'הגדרות'!$A$11:$D$25,2,FALSE),"")</f>
        <v/>
      </c>
      <c r="T124">
        <f>IFERROR(VLOOKUP(N124,'הגדרות'!$A$11:$D$25,3,FALSE),"")</f>
        <v/>
      </c>
      <c r="AB124" s="6" t="n"/>
      <c r="AE124">
        <f>OR(Q124='לוח בקרה'!$B$2,R124='לוח בקרה'!$B$2,S124='לוח בקרה'!$B$2,T124='לוח בקרה'!$B$2)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E125">
        <f>IFERROR(INDEX('הגדרות'!$D$104:$D$123,MATCH(B125&amp;G125&amp;C125,'הגדרות'!$A$104:$A$123&amp;'הגדרות'!$B$104:$B$123&amp;'הגדרות'!$C$104:$C$123,0)),"")</f>
        <v/>
      </c>
      <c r="F125" s="6" t="n"/>
      <c r="Q125">
        <f>IFERROR(VLOOKUP(M125,'הגדרות'!$A$11:$D$25,2,FALSE),"")</f>
        <v/>
      </c>
      <c r="R125">
        <f>IFERROR(VLOOKUP(M125,'הגדרות'!$A$11:$D$25,3,FALSE),"")</f>
        <v/>
      </c>
      <c r="S125">
        <f>IFERROR(VLOOKUP(N125,'הגדרות'!$A$11:$D$25,2,FALSE),"")</f>
        <v/>
      </c>
      <c r="T125">
        <f>IFERROR(VLOOKUP(N125,'הגדרות'!$A$11:$D$25,3,FALSE),"")</f>
        <v/>
      </c>
      <c r="AB125" s="6" t="n"/>
      <c r="AE125">
        <f>OR(Q125='לוח בקרה'!$B$2,R125='לוח בקרה'!$B$2,S125='לוח בקרה'!$B$2,T125='לוח בקרה'!$B$2)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E126">
        <f>IFERROR(INDEX('הגדרות'!$D$104:$D$123,MATCH(B126&amp;G126&amp;C126,'הגדרות'!$A$104:$A$123&amp;'הגדרות'!$B$104:$B$123&amp;'הגדרות'!$C$104:$C$123,0)),"")</f>
        <v/>
      </c>
      <c r="F126" s="6" t="n"/>
      <c r="Q126">
        <f>IFERROR(VLOOKUP(M126,'הגדרות'!$A$11:$D$25,2,FALSE),"")</f>
        <v/>
      </c>
      <c r="R126">
        <f>IFERROR(VLOOKUP(M126,'הגדרות'!$A$11:$D$25,3,FALSE),"")</f>
        <v/>
      </c>
      <c r="S126">
        <f>IFERROR(VLOOKUP(N126,'הגדרות'!$A$11:$D$25,2,FALSE),"")</f>
        <v/>
      </c>
      <c r="T126">
        <f>IFERROR(VLOOKUP(N126,'הגדרות'!$A$11:$D$25,3,FALSE),"")</f>
        <v/>
      </c>
      <c r="AB126" s="6" t="n"/>
      <c r="AE126">
        <f>OR(Q126='לוח בקרה'!$B$2,R126='לוח בקרה'!$B$2,S126='לוח בקרה'!$B$2,T126='לוח בקרה'!$B$2)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E127">
        <f>IFERROR(INDEX('הגדרות'!$D$104:$D$123,MATCH(B127&amp;G127&amp;C127,'הגדרות'!$A$104:$A$123&amp;'הגדרות'!$B$104:$B$123&amp;'הגדרות'!$C$104:$C$123,0)),"")</f>
        <v/>
      </c>
      <c r="F127" s="6" t="n"/>
      <c r="Q127">
        <f>IFERROR(VLOOKUP(M127,'הגדרות'!$A$11:$D$25,2,FALSE),"")</f>
        <v/>
      </c>
      <c r="R127">
        <f>IFERROR(VLOOKUP(M127,'הגדרות'!$A$11:$D$25,3,FALSE),"")</f>
        <v/>
      </c>
      <c r="S127">
        <f>IFERROR(VLOOKUP(N127,'הגדרות'!$A$11:$D$25,2,FALSE),"")</f>
        <v/>
      </c>
      <c r="T127">
        <f>IFERROR(VLOOKUP(N127,'הגדרות'!$A$11:$D$25,3,FALSE),"")</f>
        <v/>
      </c>
      <c r="AB127" s="6" t="n"/>
      <c r="AE127">
        <f>OR(Q127='לוח בקרה'!$B$2,R127='לוח בקרה'!$B$2,S127='לוח בקרה'!$B$2,T127='לוח בקרה'!$B$2)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E128">
        <f>IFERROR(INDEX('הגדרות'!$D$104:$D$123,MATCH(B128&amp;G128&amp;C128,'הגדרות'!$A$104:$A$123&amp;'הגדרות'!$B$104:$B$123&amp;'הגדרות'!$C$104:$C$123,0)),"")</f>
        <v/>
      </c>
      <c r="F128" s="6" t="n"/>
      <c r="Q128">
        <f>IFERROR(VLOOKUP(M128,'הגדרות'!$A$11:$D$25,2,FALSE),"")</f>
        <v/>
      </c>
      <c r="R128">
        <f>IFERROR(VLOOKUP(M128,'הגדרות'!$A$11:$D$25,3,FALSE),"")</f>
        <v/>
      </c>
      <c r="S128">
        <f>IFERROR(VLOOKUP(N128,'הגדרות'!$A$11:$D$25,2,FALSE),"")</f>
        <v/>
      </c>
      <c r="T128">
        <f>IFERROR(VLOOKUP(N128,'הגדרות'!$A$11:$D$25,3,FALSE),"")</f>
        <v/>
      </c>
      <c r="AB128" s="6" t="n"/>
      <c r="AE128">
        <f>OR(Q128='לוח בקרה'!$B$2,R128='לוח בקרה'!$B$2,S128='לוח בקרה'!$B$2,T128='לוח בקרה'!$B$2)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E129">
        <f>IFERROR(INDEX('הגדרות'!$D$104:$D$123,MATCH(B129&amp;G129&amp;C129,'הגדרות'!$A$104:$A$123&amp;'הגדרות'!$B$104:$B$123&amp;'הגדרות'!$C$104:$C$123,0)),"")</f>
        <v/>
      </c>
      <c r="F129" s="6" t="n"/>
      <c r="Q129">
        <f>IFERROR(VLOOKUP(M129,'הגדרות'!$A$11:$D$25,2,FALSE),"")</f>
        <v/>
      </c>
      <c r="R129">
        <f>IFERROR(VLOOKUP(M129,'הגדרות'!$A$11:$D$25,3,FALSE),"")</f>
        <v/>
      </c>
      <c r="S129">
        <f>IFERROR(VLOOKUP(N129,'הגדרות'!$A$11:$D$25,2,FALSE),"")</f>
        <v/>
      </c>
      <c r="T129">
        <f>IFERROR(VLOOKUP(N129,'הגדרות'!$A$11:$D$25,3,FALSE),"")</f>
        <v/>
      </c>
      <c r="AB129" s="6" t="n"/>
      <c r="AE129">
        <f>OR(Q129='לוח בקרה'!$B$2,R129='לוח בקרה'!$B$2,S129='לוח בקרה'!$B$2,T129='לוח בקרה'!$B$2)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E130">
        <f>IFERROR(INDEX('הגדרות'!$D$104:$D$123,MATCH(B130&amp;G130&amp;C130,'הגדרות'!$A$104:$A$123&amp;'הגדרות'!$B$104:$B$123&amp;'הגדרות'!$C$104:$C$123,0)),"")</f>
        <v/>
      </c>
      <c r="F130" s="6" t="n"/>
      <c r="Q130">
        <f>IFERROR(VLOOKUP(M130,'הגדרות'!$A$11:$D$25,2,FALSE),"")</f>
        <v/>
      </c>
      <c r="R130">
        <f>IFERROR(VLOOKUP(M130,'הגדרות'!$A$11:$D$25,3,FALSE),"")</f>
        <v/>
      </c>
      <c r="S130">
        <f>IFERROR(VLOOKUP(N130,'הגדרות'!$A$11:$D$25,2,FALSE),"")</f>
        <v/>
      </c>
      <c r="T130">
        <f>IFERROR(VLOOKUP(N130,'הגדרות'!$A$11:$D$25,3,FALSE),"")</f>
        <v/>
      </c>
      <c r="AB130" s="6" t="n"/>
      <c r="AE130">
        <f>OR(Q130='לוח בקרה'!$B$2,R130='לוח בקרה'!$B$2,S130='לוח בקרה'!$B$2,T130='לוח בקרה'!$B$2)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E131">
        <f>IFERROR(INDEX('הגדרות'!$D$104:$D$123,MATCH(B131&amp;G131&amp;C131,'הגדרות'!$A$104:$A$123&amp;'הגדרות'!$B$104:$B$123&amp;'הגדרות'!$C$104:$C$123,0)),"")</f>
        <v/>
      </c>
      <c r="F131" s="6" t="n"/>
      <c r="Q131">
        <f>IFERROR(VLOOKUP(M131,'הגדרות'!$A$11:$D$25,2,FALSE),"")</f>
        <v/>
      </c>
      <c r="R131">
        <f>IFERROR(VLOOKUP(M131,'הגדרות'!$A$11:$D$25,3,FALSE),"")</f>
        <v/>
      </c>
      <c r="S131">
        <f>IFERROR(VLOOKUP(N131,'הגדרות'!$A$11:$D$25,2,FALSE),"")</f>
        <v/>
      </c>
      <c r="T131">
        <f>IFERROR(VLOOKUP(N131,'הגדרות'!$A$11:$D$25,3,FALSE),"")</f>
        <v/>
      </c>
      <c r="AB131" s="6" t="n"/>
      <c r="AE131">
        <f>OR(Q131='לוח בקרה'!$B$2,R131='לוח בקרה'!$B$2,S131='לוח בקרה'!$B$2,T131='לוח בקרה'!$B$2)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E132">
        <f>IFERROR(INDEX('הגדרות'!$D$104:$D$123,MATCH(B132&amp;G132&amp;C132,'הגדרות'!$A$104:$A$123&amp;'הגדרות'!$B$104:$B$123&amp;'הגדרות'!$C$104:$C$123,0)),"")</f>
        <v/>
      </c>
      <c r="F132" s="6" t="n"/>
      <c r="Q132">
        <f>IFERROR(VLOOKUP(M132,'הגדרות'!$A$11:$D$25,2,FALSE),"")</f>
        <v/>
      </c>
      <c r="R132">
        <f>IFERROR(VLOOKUP(M132,'הגדרות'!$A$11:$D$25,3,FALSE),"")</f>
        <v/>
      </c>
      <c r="S132">
        <f>IFERROR(VLOOKUP(N132,'הגדרות'!$A$11:$D$25,2,FALSE),"")</f>
        <v/>
      </c>
      <c r="T132">
        <f>IFERROR(VLOOKUP(N132,'הגדרות'!$A$11:$D$25,3,FALSE),"")</f>
        <v/>
      </c>
      <c r="AB132" s="6" t="n"/>
      <c r="AE132">
        <f>OR(Q132='לוח בקרה'!$B$2,R132='לוח בקרה'!$B$2,S132='לוח בקרה'!$B$2,T132='לוח בקרה'!$B$2)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E133">
        <f>IFERROR(INDEX('הגדרות'!$D$104:$D$123,MATCH(B133&amp;G133&amp;C133,'הגדרות'!$A$104:$A$123&amp;'הגדרות'!$B$104:$B$123&amp;'הגדרות'!$C$104:$C$123,0)),"")</f>
        <v/>
      </c>
      <c r="F133" s="6" t="n"/>
      <c r="Q133">
        <f>IFERROR(VLOOKUP(M133,'הגדרות'!$A$11:$D$25,2,FALSE),"")</f>
        <v/>
      </c>
      <c r="R133">
        <f>IFERROR(VLOOKUP(M133,'הגדרות'!$A$11:$D$25,3,FALSE),"")</f>
        <v/>
      </c>
      <c r="S133">
        <f>IFERROR(VLOOKUP(N133,'הגדרות'!$A$11:$D$25,2,FALSE),"")</f>
        <v/>
      </c>
      <c r="T133">
        <f>IFERROR(VLOOKUP(N133,'הגדרות'!$A$11:$D$25,3,FALSE),"")</f>
        <v/>
      </c>
      <c r="AB133" s="6" t="n"/>
      <c r="AE133">
        <f>OR(Q133='לוח בקרה'!$B$2,R133='לוח בקרה'!$B$2,S133='לוח בקרה'!$B$2,T133='לוח בקרה'!$B$2)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E134">
        <f>IFERROR(INDEX('הגדרות'!$D$104:$D$123,MATCH(B134&amp;G134&amp;C134,'הגדרות'!$A$104:$A$123&amp;'הגדרות'!$B$104:$B$123&amp;'הגדרות'!$C$104:$C$123,0)),"")</f>
        <v/>
      </c>
      <c r="F134" s="6" t="n"/>
      <c r="Q134">
        <f>IFERROR(VLOOKUP(M134,'הגדרות'!$A$11:$D$25,2,FALSE),"")</f>
        <v/>
      </c>
      <c r="R134">
        <f>IFERROR(VLOOKUP(M134,'הגדרות'!$A$11:$D$25,3,FALSE),"")</f>
        <v/>
      </c>
      <c r="S134">
        <f>IFERROR(VLOOKUP(N134,'הגדרות'!$A$11:$D$25,2,FALSE),"")</f>
        <v/>
      </c>
      <c r="T134">
        <f>IFERROR(VLOOKUP(N134,'הגדרות'!$A$11:$D$25,3,FALSE),"")</f>
        <v/>
      </c>
      <c r="AB134" s="6" t="n"/>
      <c r="AE134">
        <f>OR(Q134='לוח בקרה'!$B$2,R134='לוח בקרה'!$B$2,S134='לוח בקרה'!$B$2,T134='לוח בקרה'!$B$2)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E135">
        <f>IFERROR(INDEX('הגדרות'!$D$104:$D$123,MATCH(B135&amp;G135&amp;C135,'הגדרות'!$A$104:$A$123&amp;'הגדרות'!$B$104:$B$123&amp;'הגדרות'!$C$104:$C$123,0)),"")</f>
        <v/>
      </c>
      <c r="F135" s="6" t="n"/>
      <c r="Q135">
        <f>IFERROR(VLOOKUP(M135,'הגדרות'!$A$11:$D$25,2,FALSE),"")</f>
        <v/>
      </c>
      <c r="R135">
        <f>IFERROR(VLOOKUP(M135,'הגדרות'!$A$11:$D$25,3,FALSE),"")</f>
        <v/>
      </c>
      <c r="S135">
        <f>IFERROR(VLOOKUP(N135,'הגדרות'!$A$11:$D$25,2,FALSE),"")</f>
        <v/>
      </c>
      <c r="T135">
        <f>IFERROR(VLOOKUP(N135,'הגדרות'!$A$11:$D$25,3,FALSE),"")</f>
        <v/>
      </c>
      <c r="AB135" s="6" t="n"/>
      <c r="AE135">
        <f>OR(Q135='לוח בקרה'!$B$2,R135='לוח בקרה'!$B$2,S135='לוח בקרה'!$B$2,T135='לוח בקרה'!$B$2)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E136">
        <f>IFERROR(INDEX('הגדרות'!$D$104:$D$123,MATCH(B136&amp;G136&amp;C136,'הגדרות'!$A$104:$A$123&amp;'הגדרות'!$B$104:$B$123&amp;'הגדרות'!$C$104:$C$123,0)),"")</f>
        <v/>
      </c>
      <c r="F136" s="6" t="n"/>
      <c r="Q136">
        <f>IFERROR(VLOOKUP(M136,'הגדרות'!$A$11:$D$25,2,FALSE),"")</f>
        <v/>
      </c>
      <c r="R136">
        <f>IFERROR(VLOOKUP(M136,'הגדרות'!$A$11:$D$25,3,FALSE),"")</f>
        <v/>
      </c>
      <c r="S136">
        <f>IFERROR(VLOOKUP(N136,'הגדרות'!$A$11:$D$25,2,FALSE),"")</f>
        <v/>
      </c>
      <c r="T136">
        <f>IFERROR(VLOOKUP(N136,'הגדרות'!$A$11:$D$25,3,FALSE),"")</f>
        <v/>
      </c>
      <c r="AB136" s="6" t="n"/>
      <c r="AE136">
        <f>OR(Q136='לוח בקרה'!$B$2,R136='לוח בקרה'!$B$2,S136='לוח בקרה'!$B$2,T136='לוח בקרה'!$B$2)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E137">
        <f>IFERROR(INDEX('הגדרות'!$D$104:$D$123,MATCH(B137&amp;G137&amp;C137,'הגדרות'!$A$104:$A$123&amp;'הגדרות'!$B$104:$B$123&amp;'הגדרות'!$C$104:$C$123,0)),"")</f>
        <v/>
      </c>
      <c r="F137" s="6" t="n"/>
      <c r="Q137">
        <f>IFERROR(VLOOKUP(M137,'הגדרות'!$A$11:$D$25,2,FALSE),"")</f>
        <v/>
      </c>
      <c r="R137">
        <f>IFERROR(VLOOKUP(M137,'הגדרות'!$A$11:$D$25,3,FALSE),"")</f>
        <v/>
      </c>
      <c r="S137">
        <f>IFERROR(VLOOKUP(N137,'הגדרות'!$A$11:$D$25,2,FALSE),"")</f>
        <v/>
      </c>
      <c r="T137">
        <f>IFERROR(VLOOKUP(N137,'הגדרות'!$A$11:$D$25,3,FALSE),"")</f>
        <v/>
      </c>
      <c r="AB137" s="6" t="n"/>
      <c r="AE137">
        <f>OR(Q137='לוח בקרה'!$B$2,R137='לוח בקרה'!$B$2,S137='לוח בקרה'!$B$2,T137='לוח בקרה'!$B$2)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E138">
        <f>IFERROR(INDEX('הגדרות'!$D$104:$D$123,MATCH(B138&amp;G138&amp;C138,'הגדרות'!$A$104:$A$123&amp;'הגדרות'!$B$104:$B$123&amp;'הגדרות'!$C$104:$C$123,0)),"")</f>
        <v/>
      </c>
      <c r="F138" s="6" t="n"/>
      <c r="Q138">
        <f>IFERROR(VLOOKUP(M138,'הגדרות'!$A$11:$D$25,2,FALSE),"")</f>
        <v/>
      </c>
      <c r="R138">
        <f>IFERROR(VLOOKUP(M138,'הגדרות'!$A$11:$D$25,3,FALSE),"")</f>
        <v/>
      </c>
      <c r="S138">
        <f>IFERROR(VLOOKUP(N138,'הגדרות'!$A$11:$D$25,2,FALSE),"")</f>
        <v/>
      </c>
      <c r="T138">
        <f>IFERROR(VLOOKUP(N138,'הגדרות'!$A$11:$D$25,3,FALSE),"")</f>
        <v/>
      </c>
      <c r="AB138" s="6" t="n"/>
      <c r="AE138">
        <f>OR(Q138='לוח בקרה'!$B$2,R138='לוח בקרה'!$B$2,S138='לוח בקרה'!$B$2,T138='לוח בקרה'!$B$2)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E139">
        <f>IFERROR(INDEX('הגדרות'!$D$104:$D$123,MATCH(B139&amp;G139&amp;C139,'הגדרות'!$A$104:$A$123&amp;'הגדרות'!$B$104:$B$123&amp;'הגדרות'!$C$104:$C$123,0)),"")</f>
        <v/>
      </c>
      <c r="F139" s="6" t="n"/>
      <c r="Q139">
        <f>IFERROR(VLOOKUP(M139,'הגדרות'!$A$11:$D$25,2,FALSE),"")</f>
        <v/>
      </c>
      <c r="R139">
        <f>IFERROR(VLOOKUP(M139,'הגדרות'!$A$11:$D$25,3,FALSE),"")</f>
        <v/>
      </c>
      <c r="S139">
        <f>IFERROR(VLOOKUP(N139,'הגדרות'!$A$11:$D$25,2,FALSE),"")</f>
        <v/>
      </c>
      <c r="T139">
        <f>IFERROR(VLOOKUP(N139,'הגדרות'!$A$11:$D$25,3,FALSE),"")</f>
        <v/>
      </c>
      <c r="AB139" s="6" t="n"/>
      <c r="AE139">
        <f>OR(Q139='לוח בקרה'!$B$2,R139='לוח בקרה'!$B$2,S139='לוח בקרה'!$B$2,T139='לוח בקרה'!$B$2)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E140">
        <f>IFERROR(INDEX('הגדרות'!$D$104:$D$123,MATCH(B140&amp;G140&amp;C140,'הגדרות'!$A$104:$A$123&amp;'הגדרות'!$B$104:$B$123&amp;'הגדרות'!$C$104:$C$123,0)),"")</f>
        <v/>
      </c>
      <c r="F140" s="6" t="n"/>
      <c r="Q140">
        <f>IFERROR(VLOOKUP(M140,'הגדרות'!$A$11:$D$25,2,FALSE),"")</f>
        <v/>
      </c>
      <c r="R140">
        <f>IFERROR(VLOOKUP(M140,'הגדרות'!$A$11:$D$25,3,FALSE),"")</f>
        <v/>
      </c>
      <c r="S140">
        <f>IFERROR(VLOOKUP(N140,'הגדרות'!$A$11:$D$25,2,FALSE),"")</f>
        <v/>
      </c>
      <c r="T140">
        <f>IFERROR(VLOOKUP(N140,'הגדרות'!$A$11:$D$25,3,FALSE),"")</f>
        <v/>
      </c>
      <c r="AB140" s="6" t="n"/>
      <c r="AE140">
        <f>OR(Q140='לוח בקרה'!$B$2,R140='לוח בקרה'!$B$2,S140='לוח בקרה'!$B$2,T140='לוח בקרה'!$B$2)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E141">
        <f>IFERROR(INDEX('הגדרות'!$D$104:$D$123,MATCH(B141&amp;G141&amp;C141,'הגדרות'!$A$104:$A$123&amp;'הגדרות'!$B$104:$B$123&amp;'הגדרות'!$C$104:$C$123,0)),"")</f>
        <v/>
      </c>
      <c r="F141" s="6" t="n"/>
      <c r="Q141">
        <f>IFERROR(VLOOKUP(M141,'הגדרות'!$A$11:$D$25,2,FALSE),"")</f>
        <v/>
      </c>
      <c r="R141">
        <f>IFERROR(VLOOKUP(M141,'הגדרות'!$A$11:$D$25,3,FALSE),"")</f>
        <v/>
      </c>
      <c r="S141">
        <f>IFERROR(VLOOKUP(N141,'הגדרות'!$A$11:$D$25,2,FALSE),"")</f>
        <v/>
      </c>
      <c r="T141">
        <f>IFERROR(VLOOKUP(N141,'הגדרות'!$A$11:$D$25,3,FALSE),"")</f>
        <v/>
      </c>
      <c r="AB141" s="6" t="n"/>
      <c r="AE141">
        <f>OR(Q141='לוח בקרה'!$B$2,R141='לוח בקרה'!$B$2,S141='לוח בקרה'!$B$2,T141='לוח בקרה'!$B$2)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E142">
        <f>IFERROR(INDEX('הגדרות'!$D$104:$D$123,MATCH(B142&amp;G142&amp;C142,'הגדרות'!$A$104:$A$123&amp;'הגדרות'!$B$104:$B$123&amp;'הגדרות'!$C$104:$C$123,0)),"")</f>
        <v/>
      </c>
      <c r="F142" s="6" t="n"/>
      <c r="Q142">
        <f>IFERROR(VLOOKUP(M142,'הגדרות'!$A$11:$D$25,2,FALSE),"")</f>
        <v/>
      </c>
      <c r="R142">
        <f>IFERROR(VLOOKUP(M142,'הגדרות'!$A$11:$D$25,3,FALSE),"")</f>
        <v/>
      </c>
      <c r="S142">
        <f>IFERROR(VLOOKUP(N142,'הגדרות'!$A$11:$D$25,2,FALSE),"")</f>
        <v/>
      </c>
      <c r="T142">
        <f>IFERROR(VLOOKUP(N142,'הגדרות'!$A$11:$D$25,3,FALSE),"")</f>
        <v/>
      </c>
      <c r="AB142" s="6" t="n"/>
      <c r="AE142">
        <f>OR(Q142='לוח בקרה'!$B$2,R142='לוח בקרה'!$B$2,S142='לוח בקרה'!$B$2,T142='לוח בקרה'!$B$2)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E143">
        <f>IFERROR(INDEX('הגדרות'!$D$104:$D$123,MATCH(B143&amp;G143&amp;C143,'הגדרות'!$A$104:$A$123&amp;'הגדרות'!$B$104:$B$123&amp;'הגדרות'!$C$104:$C$123,0)),"")</f>
        <v/>
      </c>
      <c r="F143" s="6" t="n"/>
      <c r="Q143">
        <f>IFERROR(VLOOKUP(M143,'הגדרות'!$A$11:$D$25,2,FALSE),"")</f>
        <v/>
      </c>
      <c r="R143">
        <f>IFERROR(VLOOKUP(M143,'הגדרות'!$A$11:$D$25,3,FALSE),"")</f>
        <v/>
      </c>
      <c r="S143">
        <f>IFERROR(VLOOKUP(N143,'הגדרות'!$A$11:$D$25,2,FALSE),"")</f>
        <v/>
      </c>
      <c r="T143">
        <f>IFERROR(VLOOKUP(N143,'הגדרות'!$A$11:$D$25,3,FALSE),"")</f>
        <v/>
      </c>
      <c r="AB143" s="6" t="n"/>
      <c r="AE143">
        <f>OR(Q143='לוח בקרה'!$B$2,R143='לוח בקרה'!$B$2,S143='לוח בקרה'!$B$2,T143='לוח בקרה'!$B$2)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E144">
        <f>IFERROR(INDEX('הגדרות'!$D$104:$D$123,MATCH(B144&amp;G144&amp;C144,'הגדרות'!$A$104:$A$123&amp;'הגדרות'!$B$104:$B$123&amp;'הגדרות'!$C$104:$C$123,0)),"")</f>
        <v/>
      </c>
      <c r="F144" s="6" t="n"/>
      <c r="Q144">
        <f>IFERROR(VLOOKUP(M144,'הגדרות'!$A$11:$D$25,2,FALSE),"")</f>
        <v/>
      </c>
      <c r="R144">
        <f>IFERROR(VLOOKUP(M144,'הגדרות'!$A$11:$D$25,3,FALSE),"")</f>
        <v/>
      </c>
      <c r="S144">
        <f>IFERROR(VLOOKUP(N144,'הגדרות'!$A$11:$D$25,2,FALSE),"")</f>
        <v/>
      </c>
      <c r="T144">
        <f>IFERROR(VLOOKUP(N144,'הגדרות'!$A$11:$D$25,3,FALSE),"")</f>
        <v/>
      </c>
      <c r="AB144" s="6" t="n"/>
      <c r="AE144">
        <f>OR(Q144='לוח בקרה'!$B$2,R144='לוח בקרה'!$B$2,S144='לוח בקרה'!$B$2,T144='לוח בקרה'!$B$2)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E145">
        <f>IFERROR(INDEX('הגדרות'!$D$104:$D$123,MATCH(B145&amp;G145&amp;C145,'הגדרות'!$A$104:$A$123&amp;'הגדרות'!$B$104:$B$123&amp;'הגדרות'!$C$104:$C$123,0)),"")</f>
        <v/>
      </c>
      <c r="F145" s="6" t="n"/>
      <c r="Q145">
        <f>IFERROR(VLOOKUP(M145,'הגדרות'!$A$11:$D$25,2,FALSE),"")</f>
        <v/>
      </c>
      <c r="R145">
        <f>IFERROR(VLOOKUP(M145,'הגדרות'!$A$11:$D$25,3,FALSE),"")</f>
        <v/>
      </c>
      <c r="S145">
        <f>IFERROR(VLOOKUP(N145,'הגדרות'!$A$11:$D$25,2,FALSE),"")</f>
        <v/>
      </c>
      <c r="T145">
        <f>IFERROR(VLOOKUP(N145,'הגדרות'!$A$11:$D$25,3,FALSE),"")</f>
        <v/>
      </c>
      <c r="AB145" s="6" t="n"/>
      <c r="AE145">
        <f>OR(Q145='לוח בקרה'!$B$2,R145='לוח בקרה'!$B$2,S145='לוח בקרה'!$B$2,T145='לוח בקרה'!$B$2)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E146">
        <f>IFERROR(INDEX('הגדרות'!$D$104:$D$123,MATCH(B146&amp;G146&amp;C146,'הגדרות'!$A$104:$A$123&amp;'הגדרות'!$B$104:$B$123&amp;'הגדרות'!$C$104:$C$123,0)),"")</f>
        <v/>
      </c>
      <c r="F146" s="6" t="n"/>
      <c r="Q146">
        <f>IFERROR(VLOOKUP(M146,'הגדרות'!$A$11:$D$25,2,FALSE),"")</f>
        <v/>
      </c>
      <c r="R146">
        <f>IFERROR(VLOOKUP(M146,'הגדרות'!$A$11:$D$25,3,FALSE),"")</f>
        <v/>
      </c>
      <c r="S146">
        <f>IFERROR(VLOOKUP(N146,'הגדרות'!$A$11:$D$25,2,FALSE),"")</f>
        <v/>
      </c>
      <c r="T146">
        <f>IFERROR(VLOOKUP(N146,'הגדרות'!$A$11:$D$25,3,FALSE),"")</f>
        <v/>
      </c>
      <c r="AB146" s="6" t="n"/>
      <c r="AE146">
        <f>OR(Q146='לוח בקרה'!$B$2,R146='לוח בקרה'!$B$2,S146='לוח בקרה'!$B$2,T146='לוח בקרה'!$B$2)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E147">
        <f>IFERROR(INDEX('הגדרות'!$D$104:$D$123,MATCH(B147&amp;G147&amp;C147,'הגדרות'!$A$104:$A$123&amp;'הגדרות'!$B$104:$B$123&amp;'הגדרות'!$C$104:$C$123,0)),"")</f>
        <v/>
      </c>
      <c r="F147" s="6" t="n"/>
      <c r="Q147">
        <f>IFERROR(VLOOKUP(M147,'הגדרות'!$A$11:$D$25,2,FALSE),"")</f>
        <v/>
      </c>
      <c r="R147">
        <f>IFERROR(VLOOKUP(M147,'הגדרות'!$A$11:$D$25,3,FALSE),"")</f>
        <v/>
      </c>
      <c r="S147">
        <f>IFERROR(VLOOKUP(N147,'הגדרות'!$A$11:$D$25,2,FALSE),"")</f>
        <v/>
      </c>
      <c r="T147">
        <f>IFERROR(VLOOKUP(N147,'הגדרות'!$A$11:$D$25,3,FALSE),"")</f>
        <v/>
      </c>
      <c r="AB147" s="6" t="n"/>
      <c r="AE147">
        <f>OR(Q147='לוח בקרה'!$B$2,R147='לוח בקרה'!$B$2,S147='לוח בקרה'!$B$2,T147='לוח בקרה'!$B$2)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E148">
        <f>IFERROR(INDEX('הגדרות'!$D$104:$D$123,MATCH(B148&amp;G148&amp;C148,'הגדרות'!$A$104:$A$123&amp;'הגדרות'!$B$104:$B$123&amp;'הגדרות'!$C$104:$C$123,0)),"")</f>
        <v/>
      </c>
      <c r="F148" s="6" t="n"/>
      <c r="Q148">
        <f>IFERROR(VLOOKUP(M148,'הגדרות'!$A$11:$D$25,2,FALSE),"")</f>
        <v/>
      </c>
      <c r="R148">
        <f>IFERROR(VLOOKUP(M148,'הגדרות'!$A$11:$D$25,3,FALSE),"")</f>
        <v/>
      </c>
      <c r="S148">
        <f>IFERROR(VLOOKUP(N148,'הגדרות'!$A$11:$D$25,2,FALSE),"")</f>
        <v/>
      </c>
      <c r="T148">
        <f>IFERROR(VLOOKUP(N148,'הגדרות'!$A$11:$D$25,3,FALSE),"")</f>
        <v/>
      </c>
      <c r="AB148" s="6" t="n"/>
      <c r="AE148">
        <f>OR(Q148='לוח בקרה'!$B$2,R148='לוח בקרה'!$B$2,S148='לוח בקרה'!$B$2,T148='לוח בקרה'!$B$2)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E149">
        <f>IFERROR(INDEX('הגדרות'!$D$104:$D$123,MATCH(B149&amp;G149&amp;C149,'הגדרות'!$A$104:$A$123&amp;'הגדרות'!$B$104:$B$123&amp;'הגדרות'!$C$104:$C$123,0)),"")</f>
        <v/>
      </c>
      <c r="F149" s="6" t="n"/>
      <c r="Q149">
        <f>IFERROR(VLOOKUP(M149,'הגדרות'!$A$11:$D$25,2,FALSE),"")</f>
        <v/>
      </c>
      <c r="R149">
        <f>IFERROR(VLOOKUP(M149,'הגדרות'!$A$11:$D$25,3,FALSE),"")</f>
        <v/>
      </c>
      <c r="S149">
        <f>IFERROR(VLOOKUP(N149,'הגדרות'!$A$11:$D$25,2,FALSE),"")</f>
        <v/>
      </c>
      <c r="T149">
        <f>IFERROR(VLOOKUP(N149,'הגדרות'!$A$11:$D$25,3,FALSE),"")</f>
        <v/>
      </c>
      <c r="AB149" s="6" t="n"/>
      <c r="AE149">
        <f>OR(Q149='לוח בקרה'!$B$2,R149='לוח בקרה'!$B$2,S149='לוח בקרה'!$B$2,T149='לוח בקרה'!$B$2)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E150">
        <f>IFERROR(INDEX('הגדרות'!$D$104:$D$123,MATCH(B150&amp;G150&amp;C150,'הגדרות'!$A$104:$A$123&amp;'הגדרות'!$B$104:$B$123&amp;'הגדרות'!$C$104:$C$123,0)),"")</f>
        <v/>
      </c>
      <c r="F150" s="6" t="n"/>
      <c r="Q150">
        <f>IFERROR(VLOOKUP(M150,'הגדרות'!$A$11:$D$25,2,FALSE),"")</f>
        <v/>
      </c>
      <c r="R150">
        <f>IFERROR(VLOOKUP(M150,'הגדרות'!$A$11:$D$25,3,FALSE),"")</f>
        <v/>
      </c>
      <c r="S150">
        <f>IFERROR(VLOOKUP(N150,'הגדרות'!$A$11:$D$25,2,FALSE),"")</f>
        <v/>
      </c>
      <c r="T150">
        <f>IFERROR(VLOOKUP(N150,'הגדרות'!$A$11:$D$25,3,FALSE),"")</f>
        <v/>
      </c>
      <c r="AB150" s="6" t="n"/>
      <c r="AE150">
        <f>OR(Q150='לוח בקרה'!$B$2,R150='לוח בקרה'!$B$2,S150='לוח בקרה'!$B$2,T150='לוח בקרה'!$B$2)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E151">
        <f>IFERROR(INDEX('הגדרות'!$D$104:$D$123,MATCH(B151&amp;G151&amp;C151,'הגדרות'!$A$104:$A$123&amp;'הגדרות'!$B$104:$B$123&amp;'הגדרות'!$C$104:$C$123,0)),"")</f>
        <v/>
      </c>
      <c r="F151" s="6" t="n"/>
      <c r="Q151">
        <f>IFERROR(VLOOKUP(M151,'הגדרות'!$A$11:$D$25,2,FALSE),"")</f>
        <v/>
      </c>
      <c r="R151">
        <f>IFERROR(VLOOKUP(M151,'הגדרות'!$A$11:$D$25,3,FALSE),"")</f>
        <v/>
      </c>
      <c r="S151">
        <f>IFERROR(VLOOKUP(N151,'הגדרות'!$A$11:$D$25,2,FALSE),"")</f>
        <v/>
      </c>
      <c r="T151">
        <f>IFERROR(VLOOKUP(N151,'הגדרות'!$A$11:$D$25,3,FALSE),"")</f>
        <v/>
      </c>
      <c r="AB151" s="6" t="n"/>
      <c r="AE151">
        <f>OR(Q151='לוח בקרה'!$B$2,R151='לוח בקרה'!$B$2,S151='לוח בקרה'!$B$2,T151='לוח בקרה'!$B$2)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E152">
        <f>IFERROR(INDEX('הגדרות'!$D$104:$D$123,MATCH(B152&amp;G152&amp;C152,'הגדרות'!$A$104:$A$123&amp;'הגדרות'!$B$104:$B$123&amp;'הגדרות'!$C$104:$C$123,0)),"")</f>
        <v/>
      </c>
      <c r="F152" s="6" t="n"/>
      <c r="Q152">
        <f>IFERROR(VLOOKUP(M152,'הגדרות'!$A$11:$D$25,2,FALSE),"")</f>
        <v/>
      </c>
      <c r="R152">
        <f>IFERROR(VLOOKUP(M152,'הגדרות'!$A$11:$D$25,3,FALSE),"")</f>
        <v/>
      </c>
      <c r="S152">
        <f>IFERROR(VLOOKUP(N152,'הגדרות'!$A$11:$D$25,2,FALSE),"")</f>
        <v/>
      </c>
      <c r="T152">
        <f>IFERROR(VLOOKUP(N152,'הגדרות'!$A$11:$D$25,3,FALSE),"")</f>
        <v/>
      </c>
      <c r="AB152" s="6" t="n"/>
      <c r="AE152">
        <f>OR(Q152='לוח בקרה'!$B$2,R152='לוח בקרה'!$B$2,S152='לוח בקרה'!$B$2,T152='לוח בקרה'!$B$2)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E153">
        <f>IFERROR(INDEX('הגדרות'!$D$104:$D$123,MATCH(B153&amp;G153&amp;C153,'הגדרות'!$A$104:$A$123&amp;'הגדרות'!$B$104:$B$123&amp;'הגדרות'!$C$104:$C$123,0)),"")</f>
        <v/>
      </c>
      <c r="F153" s="6" t="n"/>
      <c r="Q153">
        <f>IFERROR(VLOOKUP(M153,'הגדרות'!$A$11:$D$25,2,FALSE),"")</f>
        <v/>
      </c>
      <c r="R153">
        <f>IFERROR(VLOOKUP(M153,'הגדרות'!$A$11:$D$25,3,FALSE),"")</f>
        <v/>
      </c>
      <c r="S153">
        <f>IFERROR(VLOOKUP(N153,'הגדרות'!$A$11:$D$25,2,FALSE),"")</f>
        <v/>
      </c>
      <c r="T153">
        <f>IFERROR(VLOOKUP(N153,'הגדרות'!$A$11:$D$25,3,FALSE),"")</f>
        <v/>
      </c>
      <c r="AB153" s="6" t="n"/>
      <c r="AE153">
        <f>OR(Q153='לוח בקרה'!$B$2,R153='לוח בקרה'!$B$2,S153='לוח בקרה'!$B$2,T153='לוח בקרה'!$B$2)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E154">
        <f>IFERROR(INDEX('הגדרות'!$D$104:$D$123,MATCH(B154&amp;G154&amp;C154,'הגדרות'!$A$104:$A$123&amp;'הגדרות'!$B$104:$B$123&amp;'הגדרות'!$C$104:$C$123,0)),"")</f>
        <v/>
      </c>
      <c r="F154" s="6" t="n"/>
      <c r="Q154">
        <f>IFERROR(VLOOKUP(M154,'הגדרות'!$A$11:$D$25,2,FALSE),"")</f>
        <v/>
      </c>
      <c r="R154">
        <f>IFERROR(VLOOKUP(M154,'הגדרות'!$A$11:$D$25,3,FALSE),"")</f>
        <v/>
      </c>
      <c r="S154">
        <f>IFERROR(VLOOKUP(N154,'הגדרות'!$A$11:$D$25,2,FALSE),"")</f>
        <v/>
      </c>
      <c r="T154">
        <f>IFERROR(VLOOKUP(N154,'הגדרות'!$A$11:$D$25,3,FALSE),"")</f>
        <v/>
      </c>
      <c r="AB154" s="6" t="n"/>
      <c r="AE154">
        <f>OR(Q154='לוח בקרה'!$B$2,R154='לוח בקרה'!$B$2,S154='לוח בקרה'!$B$2,T154='לוח בקרה'!$B$2)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E155">
        <f>IFERROR(INDEX('הגדרות'!$D$104:$D$123,MATCH(B155&amp;G155&amp;C155,'הגדרות'!$A$104:$A$123&amp;'הגדרות'!$B$104:$B$123&amp;'הגדרות'!$C$104:$C$123,0)),"")</f>
        <v/>
      </c>
      <c r="F155" s="6" t="n"/>
      <c r="Q155">
        <f>IFERROR(VLOOKUP(M155,'הגדרות'!$A$11:$D$25,2,FALSE),"")</f>
        <v/>
      </c>
      <c r="R155">
        <f>IFERROR(VLOOKUP(M155,'הגדרות'!$A$11:$D$25,3,FALSE),"")</f>
        <v/>
      </c>
      <c r="S155">
        <f>IFERROR(VLOOKUP(N155,'הגדרות'!$A$11:$D$25,2,FALSE),"")</f>
        <v/>
      </c>
      <c r="T155">
        <f>IFERROR(VLOOKUP(N155,'הגדרות'!$A$11:$D$25,3,FALSE),"")</f>
        <v/>
      </c>
      <c r="AB155" s="6" t="n"/>
      <c r="AE155">
        <f>OR(Q155='לוח בקרה'!$B$2,R155='לוח בקרה'!$B$2,S155='לוח בקרה'!$B$2,T155='לוח בקרה'!$B$2)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E156">
        <f>IFERROR(INDEX('הגדרות'!$D$104:$D$123,MATCH(B156&amp;G156&amp;C156,'הגדרות'!$A$104:$A$123&amp;'הגדרות'!$B$104:$B$123&amp;'הגדרות'!$C$104:$C$123,0)),"")</f>
        <v/>
      </c>
      <c r="F156" s="6" t="n"/>
      <c r="Q156">
        <f>IFERROR(VLOOKUP(M156,'הגדרות'!$A$11:$D$25,2,FALSE),"")</f>
        <v/>
      </c>
      <c r="R156">
        <f>IFERROR(VLOOKUP(M156,'הגדרות'!$A$11:$D$25,3,FALSE),"")</f>
        <v/>
      </c>
      <c r="S156">
        <f>IFERROR(VLOOKUP(N156,'הגדרות'!$A$11:$D$25,2,FALSE),"")</f>
        <v/>
      </c>
      <c r="T156">
        <f>IFERROR(VLOOKUP(N156,'הגדרות'!$A$11:$D$25,3,FALSE),"")</f>
        <v/>
      </c>
      <c r="AB156" s="6" t="n"/>
      <c r="AE156">
        <f>OR(Q156='לוח בקרה'!$B$2,R156='לוח בקרה'!$B$2,S156='לוח בקרה'!$B$2,T156='לוח בקרה'!$B$2)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E157">
        <f>IFERROR(INDEX('הגדרות'!$D$104:$D$123,MATCH(B157&amp;G157&amp;C157,'הגדרות'!$A$104:$A$123&amp;'הגדרות'!$B$104:$B$123&amp;'הגדרות'!$C$104:$C$123,0)),"")</f>
        <v/>
      </c>
      <c r="F157" s="6" t="n"/>
      <c r="Q157">
        <f>IFERROR(VLOOKUP(M157,'הגדרות'!$A$11:$D$25,2,FALSE),"")</f>
        <v/>
      </c>
      <c r="R157">
        <f>IFERROR(VLOOKUP(M157,'הגדרות'!$A$11:$D$25,3,FALSE),"")</f>
        <v/>
      </c>
      <c r="S157">
        <f>IFERROR(VLOOKUP(N157,'הגדרות'!$A$11:$D$25,2,FALSE),"")</f>
        <v/>
      </c>
      <c r="T157">
        <f>IFERROR(VLOOKUP(N157,'הגדרות'!$A$11:$D$25,3,FALSE),"")</f>
        <v/>
      </c>
      <c r="AB157" s="6" t="n"/>
      <c r="AE157">
        <f>OR(Q157='לוח בקרה'!$B$2,R157='לוח בקרה'!$B$2,S157='לוח בקרה'!$B$2,T157='לוח בקרה'!$B$2)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E158">
        <f>IFERROR(INDEX('הגדרות'!$D$104:$D$123,MATCH(B158&amp;G158&amp;C158,'הגדרות'!$A$104:$A$123&amp;'הגדרות'!$B$104:$B$123&amp;'הגדרות'!$C$104:$C$123,0)),"")</f>
        <v/>
      </c>
      <c r="F158" s="6" t="n"/>
      <c r="Q158">
        <f>IFERROR(VLOOKUP(M158,'הגדרות'!$A$11:$D$25,2,FALSE),"")</f>
        <v/>
      </c>
      <c r="R158">
        <f>IFERROR(VLOOKUP(M158,'הגדרות'!$A$11:$D$25,3,FALSE),"")</f>
        <v/>
      </c>
      <c r="S158">
        <f>IFERROR(VLOOKUP(N158,'הגדרות'!$A$11:$D$25,2,FALSE),"")</f>
        <v/>
      </c>
      <c r="T158">
        <f>IFERROR(VLOOKUP(N158,'הגדרות'!$A$11:$D$25,3,FALSE),"")</f>
        <v/>
      </c>
      <c r="AB158" s="6" t="n"/>
      <c r="AE158">
        <f>OR(Q158='לוח בקרה'!$B$2,R158='לוח בקרה'!$B$2,S158='לוח בקרה'!$B$2,T158='לוח בקרה'!$B$2)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E159">
        <f>IFERROR(INDEX('הגדרות'!$D$104:$D$123,MATCH(B159&amp;G159&amp;C159,'הגדרות'!$A$104:$A$123&amp;'הגדרות'!$B$104:$B$123&amp;'הגדרות'!$C$104:$C$123,0)),"")</f>
        <v/>
      </c>
      <c r="F159" s="6" t="n"/>
      <c r="Q159">
        <f>IFERROR(VLOOKUP(M159,'הגדרות'!$A$11:$D$25,2,FALSE),"")</f>
        <v/>
      </c>
      <c r="R159">
        <f>IFERROR(VLOOKUP(M159,'הגדרות'!$A$11:$D$25,3,FALSE),"")</f>
        <v/>
      </c>
      <c r="S159">
        <f>IFERROR(VLOOKUP(N159,'הגדרות'!$A$11:$D$25,2,FALSE),"")</f>
        <v/>
      </c>
      <c r="T159">
        <f>IFERROR(VLOOKUP(N159,'הגדרות'!$A$11:$D$25,3,FALSE),"")</f>
        <v/>
      </c>
      <c r="AB159" s="6" t="n"/>
      <c r="AE159">
        <f>OR(Q159='לוח בקרה'!$B$2,R159='לוח בקרה'!$B$2,S159='לוח בקרה'!$B$2,T159='לוח בקרה'!$B$2)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E160">
        <f>IFERROR(INDEX('הגדרות'!$D$104:$D$123,MATCH(B160&amp;G160&amp;C160,'הגדרות'!$A$104:$A$123&amp;'הגדרות'!$B$104:$B$123&amp;'הגדרות'!$C$104:$C$123,0)),"")</f>
        <v/>
      </c>
      <c r="F160" s="6" t="n"/>
      <c r="Q160">
        <f>IFERROR(VLOOKUP(M160,'הגדרות'!$A$11:$D$25,2,FALSE),"")</f>
        <v/>
      </c>
      <c r="R160">
        <f>IFERROR(VLOOKUP(M160,'הגדרות'!$A$11:$D$25,3,FALSE),"")</f>
        <v/>
      </c>
      <c r="S160">
        <f>IFERROR(VLOOKUP(N160,'הגדרות'!$A$11:$D$25,2,FALSE),"")</f>
        <v/>
      </c>
      <c r="T160">
        <f>IFERROR(VLOOKUP(N160,'הגדרות'!$A$11:$D$25,3,FALSE),"")</f>
        <v/>
      </c>
      <c r="AB160" s="6" t="n"/>
      <c r="AE160">
        <f>OR(Q160='לוח בקרה'!$B$2,R160='לוח בקרה'!$B$2,S160='לוח בקרה'!$B$2,T160='לוח בקרה'!$B$2)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E161">
        <f>IFERROR(INDEX('הגדרות'!$D$104:$D$123,MATCH(B161&amp;G161&amp;C161,'הגדרות'!$A$104:$A$123&amp;'הגדרות'!$B$104:$B$123&amp;'הגדרות'!$C$104:$C$123,0)),"")</f>
        <v/>
      </c>
      <c r="F161" s="6" t="n"/>
      <c r="Q161">
        <f>IFERROR(VLOOKUP(M161,'הגדרות'!$A$11:$D$25,2,FALSE),"")</f>
        <v/>
      </c>
      <c r="R161">
        <f>IFERROR(VLOOKUP(M161,'הגדרות'!$A$11:$D$25,3,FALSE),"")</f>
        <v/>
      </c>
      <c r="S161">
        <f>IFERROR(VLOOKUP(N161,'הגדרות'!$A$11:$D$25,2,FALSE),"")</f>
        <v/>
      </c>
      <c r="T161">
        <f>IFERROR(VLOOKUP(N161,'הגדרות'!$A$11:$D$25,3,FALSE),"")</f>
        <v/>
      </c>
      <c r="AB161" s="6" t="n"/>
      <c r="AE161">
        <f>OR(Q161='לוח בקרה'!$B$2,R161='לוח בקרה'!$B$2,S161='לוח בקרה'!$B$2,T161='לוח בקרה'!$B$2)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E162">
        <f>IFERROR(INDEX('הגדרות'!$D$104:$D$123,MATCH(B162&amp;G162&amp;C162,'הגדרות'!$A$104:$A$123&amp;'הגדרות'!$B$104:$B$123&amp;'הגדרות'!$C$104:$C$123,0)),"")</f>
        <v/>
      </c>
      <c r="F162" s="6" t="n"/>
      <c r="Q162">
        <f>IFERROR(VLOOKUP(M162,'הגדרות'!$A$11:$D$25,2,FALSE),"")</f>
        <v/>
      </c>
      <c r="R162">
        <f>IFERROR(VLOOKUP(M162,'הגדרות'!$A$11:$D$25,3,FALSE),"")</f>
        <v/>
      </c>
      <c r="S162">
        <f>IFERROR(VLOOKUP(N162,'הגדרות'!$A$11:$D$25,2,FALSE),"")</f>
        <v/>
      </c>
      <c r="T162">
        <f>IFERROR(VLOOKUP(N162,'הגדרות'!$A$11:$D$25,3,FALSE),"")</f>
        <v/>
      </c>
      <c r="AB162" s="6" t="n"/>
      <c r="AE162">
        <f>OR(Q162='לוח בקרה'!$B$2,R162='לוח בקרה'!$B$2,S162='לוח בקרה'!$B$2,T162='לוח בקרה'!$B$2)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E163">
        <f>IFERROR(INDEX('הגדרות'!$D$104:$D$123,MATCH(B163&amp;G163&amp;C163,'הגדרות'!$A$104:$A$123&amp;'הגדרות'!$B$104:$B$123&amp;'הגדרות'!$C$104:$C$123,0)),"")</f>
        <v/>
      </c>
      <c r="F163" s="6" t="n"/>
      <c r="Q163">
        <f>IFERROR(VLOOKUP(M163,'הגדרות'!$A$11:$D$25,2,FALSE),"")</f>
        <v/>
      </c>
      <c r="R163">
        <f>IFERROR(VLOOKUP(M163,'הגדרות'!$A$11:$D$25,3,FALSE),"")</f>
        <v/>
      </c>
      <c r="S163">
        <f>IFERROR(VLOOKUP(N163,'הגדרות'!$A$11:$D$25,2,FALSE),"")</f>
        <v/>
      </c>
      <c r="T163">
        <f>IFERROR(VLOOKUP(N163,'הגדרות'!$A$11:$D$25,3,FALSE),"")</f>
        <v/>
      </c>
      <c r="AB163" s="6" t="n"/>
      <c r="AE163">
        <f>OR(Q163='לוח בקרה'!$B$2,R163='לוח בקרה'!$B$2,S163='לוח בקרה'!$B$2,T163='לוח בקרה'!$B$2)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E164">
        <f>IFERROR(INDEX('הגדרות'!$D$104:$D$123,MATCH(B164&amp;G164&amp;C164,'הגדרות'!$A$104:$A$123&amp;'הגדרות'!$B$104:$B$123&amp;'הגדרות'!$C$104:$C$123,0)),"")</f>
        <v/>
      </c>
      <c r="F164" s="6" t="n"/>
      <c r="Q164">
        <f>IFERROR(VLOOKUP(M164,'הגדרות'!$A$11:$D$25,2,FALSE),"")</f>
        <v/>
      </c>
      <c r="R164">
        <f>IFERROR(VLOOKUP(M164,'הגדרות'!$A$11:$D$25,3,FALSE),"")</f>
        <v/>
      </c>
      <c r="S164">
        <f>IFERROR(VLOOKUP(N164,'הגדרות'!$A$11:$D$25,2,FALSE),"")</f>
        <v/>
      </c>
      <c r="T164">
        <f>IFERROR(VLOOKUP(N164,'הגדרות'!$A$11:$D$25,3,FALSE),"")</f>
        <v/>
      </c>
      <c r="AB164" s="6" t="n"/>
      <c r="AE164">
        <f>OR(Q164='לוח בקרה'!$B$2,R164='לוח בקרה'!$B$2,S164='לוח בקרה'!$B$2,T164='לוח בקרה'!$B$2)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E165">
        <f>IFERROR(INDEX('הגדרות'!$D$104:$D$123,MATCH(B165&amp;G165&amp;C165,'הגדרות'!$A$104:$A$123&amp;'הגדרות'!$B$104:$B$123&amp;'הגדרות'!$C$104:$C$123,0)),"")</f>
        <v/>
      </c>
      <c r="F165" s="6" t="n"/>
      <c r="Q165">
        <f>IFERROR(VLOOKUP(M165,'הגדרות'!$A$11:$D$25,2,FALSE),"")</f>
        <v/>
      </c>
      <c r="R165">
        <f>IFERROR(VLOOKUP(M165,'הגדרות'!$A$11:$D$25,3,FALSE),"")</f>
        <v/>
      </c>
      <c r="S165">
        <f>IFERROR(VLOOKUP(N165,'הגדרות'!$A$11:$D$25,2,FALSE),"")</f>
        <v/>
      </c>
      <c r="T165">
        <f>IFERROR(VLOOKUP(N165,'הגדרות'!$A$11:$D$25,3,FALSE),"")</f>
        <v/>
      </c>
      <c r="AB165" s="6" t="n"/>
      <c r="AE165">
        <f>OR(Q165='לוח בקרה'!$B$2,R165='לוח בקרה'!$B$2,S165='לוח בקרה'!$B$2,T165='לוח בקרה'!$B$2)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E166">
        <f>IFERROR(INDEX('הגדרות'!$D$104:$D$123,MATCH(B166&amp;G166&amp;C166,'הגדרות'!$A$104:$A$123&amp;'הגדרות'!$B$104:$B$123&amp;'הגדרות'!$C$104:$C$123,0)),"")</f>
        <v/>
      </c>
      <c r="F166" s="6" t="n"/>
      <c r="Q166">
        <f>IFERROR(VLOOKUP(M166,'הגדרות'!$A$11:$D$25,2,FALSE),"")</f>
        <v/>
      </c>
      <c r="R166">
        <f>IFERROR(VLOOKUP(M166,'הגדרות'!$A$11:$D$25,3,FALSE),"")</f>
        <v/>
      </c>
      <c r="S166">
        <f>IFERROR(VLOOKUP(N166,'הגדרות'!$A$11:$D$25,2,FALSE),"")</f>
        <v/>
      </c>
      <c r="T166">
        <f>IFERROR(VLOOKUP(N166,'הגדרות'!$A$11:$D$25,3,FALSE),"")</f>
        <v/>
      </c>
      <c r="AB166" s="6" t="n"/>
      <c r="AE166">
        <f>OR(Q166='לוח בקרה'!$B$2,R166='לוח בקרה'!$B$2,S166='לוח בקרה'!$B$2,T166='לוח בקרה'!$B$2)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E167">
        <f>IFERROR(INDEX('הגדרות'!$D$104:$D$123,MATCH(B167&amp;G167&amp;C167,'הגדרות'!$A$104:$A$123&amp;'הגדרות'!$B$104:$B$123&amp;'הגדרות'!$C$104:$C$123,0)),"")</f>
        <v/>
      </c>
      <c r="F167" s="6" t="n"/>
      <c r="Q167">
        <f>IFERROR(VLOOKUP(M167,'הגדרות'!$A$11:$D$25,2,FALSE),"")</f>
        <v/>
      </c>
      <c r="R167">
        <f>IFERROR(VLOOKUP(M167,'הגדרות'!$A$11:$D$25,3,FALSE),"")</f>
        <v/>
      </c>
      <c r="S167">
        <f>IFERROR(VLOOKUP(N167,'הגדרות'!$A$11:$D$25,2,FALSE),"")</f>
        <v/>
      </c>
      <c r="T167">
        <f>IFERROR(VLOOKUP(N167,'הגדרות'!$A$11:$D$25,3,FALSE),"")</f>
        <v/>
      </c>
      <c r="AB167" s="6" t="n"/>
      <c r="AE167">
        <f>OR(Q167='לוח בקרה'!$B$2,R167='לוח בקרה'!$B$2,S167='לוח בקרה'!$B$2,T167='לוח בקרה'!$B$2)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E168">
        <f>IFERROR(INDEX('הגדרות'!$D$104:$D$123,MATCH(B168&amp;G168&amp;C168,'הגדרות'!$A$104:$A$123&amp;'הגדרות'!$B$104:$B$123&amp;'הגדרות'!$C$104:$C$123,0)),"")</f>
        <v/>
      </c>
      <c r="F168" s="6" t="n"/>
      <c r="Q168">
        <f>IFERROR(VLOOKUP(M168,'הגדרות'!$A$11:$D$25,2,FALSE),"")</f>
        <v/>
      </c>
      <c r="R168">
        <f>IFERROR(VLOOKUP(M168,'הגדרות'!$A$11:$D$25,3,FALSE),"")</f>
        <v/>
      </c>
      <c r="S168">
        <f>IFERROR(VLOOKUP(N168,'הגדרות'!$A$11:$D$25,2,FALSE),"")</f>
        <v/>
      </c>
      <c r="T168">
        <f>IFERROR(VLOOKUP(N168,'הגדרות'!$A$11:$D$25,3,FALSE),"")</f>
        <v/>
      </c>
      <c r="AB168" s="6" t="n"/>
      <c r="AE168">
        <f>OR(Q168='לוח בקרה'!$B$2,R168='לוח בקרה'!$B$2,S168='לוח בקרה'!$B$2,T168='לוח בקרה'!$B$2)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E169">
        <f>IFERROR(INDEX('הגדרות'!$D$104:$D$123,MATCH(B169&amp;G169&amp;C169,'הגדרות'!$A$104:$A$123&amp;'הגדרות'!$B$104:$B$123&amp;'הגדרות'!$C$104:$C$123,0)),"")</f>
        <v/>
      </c>
      <c r="F169" s="6" t="n"/>
      <c r="Q169">
        <f>IFERROR(VLOOKUP(M169,'הגדרות'!$A$11:$D$25,2,FALSE),"")</f>
        <v/>
      </c>
      <c r="R169">
        <f>IFERROR(VLOOKUP(M169,'הגדרות'!$A$11:$D$25,3,FALSE),"")</f>
        <v/>
      </c>
      <c r="S169">
        <f>IFERROR(VLOOKUP(N169,'הגדרות'!$A$11:$D$25,2,FALSE),"")</f>
        <v/>
      </c>
      <c r="T169">
        <f>IFERROR(VLOOKUP(N169,'הגדרות'!$A$11:$D$25,3,FALSE),"")</f>
        <v/>
      </c>
      <c r="AB169" s="6" t="n"/>
      <c r="AE169">
        <f>OR(Q169='לוח בקרה'!$B$2,R169='לוח בקרה'!$B$2,S169='לוח בקרה'!$B$2,T169='לוח בקרה'!$B$2)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E170">
        <f>IFERROR(INDEX('הגדרות'!$D$104:$D$123,MATCH(B170&amp;G170&amp;C170,'הגדרות'!$A$104:$A$123&amp;'הגדרות'!$B$104:$B$123&amp;'הגדרות'!$C$104:$C$123,0)),"")</f>
        <v/>
      </c>
      <c r="F170" s="6" t="n"/>
      <c r="Q170">
        <f>IFERROR(VLOOKUP(M170,'הגדרות'!$A$11:$D$25,2,FALSE),"")</f>
        <v/>
      </c>
      <c r="R170">
        <f>IFERROR(VLOOKUP(M170,'הגדרות'!$A$11:$D$25,3,FALSE),"")</f>
        <v/>
      </c>
      <c r="S170">
        <f>IFERROR(VLOOKUP(N170,'הגדרות'!$A$11:$D$25,2,FALSE),"")</f>
        <v/>
      </c>
      <c r="T170">
        <f>IFERROR(VLOOKUP(N170,'הגדרות'!$A$11:$D$25,3,FALSE),"")</f>
        <v/>
      </c>
      <c r="AB170" s="6" t="n"/>
      <c r="AE170">
        <f>OR(Q170='לוח בקרה'!$B$2,R170='לוח בקרה'!$B$2,S170='לוח בקרה'!$B$2,T170='לוח בקרה'!$B$2)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E171">
        <f>IFERROR(INDEX('הגדרות'!$D$104:$D$123,MATCH(B171&amp;G171&amp;C171,'הגדרות'!$A$104:$A$123&amp;'הגדרות'!$B$104:$B$123&amp;'הגדרות'!$C$104:$C$123,0)),"")</f>
        <v/>
      </c>
      <c r="F171" s="6" t="n"/>
      <c r="Q171">
        <f>IFERROR(VLOOKUP(M171,'הגדרות'!$A$11:$D$25,2,FALSE),"")</f>
        <v/>
      </c>
      <c r="R171">
        <f>IFERROR(VLOOKUP(M171,'הגדרות'!$A$11:$D$25,3,FALSE),"")</f>
        <v/>
      </c>
      <c r="S171">
        <f>IFERROR(VLOOKUP(N171,'הגדרות'!$A$11:$D$25,2,FALSE),"")</f>
        <v/>
      </c>
      <c r="T171">
        <f>IFERROR(VLOOKUP(N171,'הגדרות'!$A$11:$D$25,3,FALSE),"")</f>
        <v/>
      </c>
      <c r="AB171" s="6" t="n"/>
      <c r="AE171">
        <f>OR(Q171='לוח בקרה'!$B$2,R171='לוח בקרה'!$B$2,S171='לוח בקרה'!$B$2,T171='לוח בקרה'!$B$2)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E172">
        <f>IFERROR(INDEX('הגדרות'!$D$104:$D$123,MATCH(B172&amp;G172&amp;C172,'הגדרות'!$A$104:$A$123&amp;'הגדרות'!$B$104:$B$123&amp;'הגדרות'!$C$104:$C$123,0)),"")</f>
        <v/>
      </c>
      <c r="F172" s="6" t="n"/>
      <c r="Q172">
        <f>IFERROR(VLOOKUP(M172,'הגדרות'!$A$11:$D$25,2,FALSE),"")</f>
        <v/>
      </c>
      <c r="R172">
        <f>IFERROR(VLOOKUP(M172,'הגדרות'!$A$11:$D$25,3,FALSE),"")</f>
        <v/>
      </c>
      <c r="S172">
        <f>IFERROR(VLOOKUP(N172,'הגדרות'!$A$11:$D$25,2,FALSE),"")</f>
        <v/>
      </c>
      <c r="T172">
        <f>IFERROR(VLOOKUP(N172,'הגדרות'!$A$11:$D$25,3,FALSE),"")</f>
        <v/>
      </c>
      <c r="AB172" s="6" t="n"/>
      <c r="AE172">
        <f>OR(Q172='לוח בקרה'!$B$2,R172='לוח בקרה'!$B$2,S172='לוח בקרה'!$B$2,T172='לוח בקרה'!$B$2)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E173">
        <f>IFERROR(INDEX('הגדרות'!$D$104:$D$123,MATCH(B173&amp;G173&amp;C173,'הגדרות'!$A$104:$A$123&amp;'הגדרות'!$B$104:$B$123&amp;'הגדרות'!$C$104:$C$123,0)),"")</f>
        <v/>
      </c>
      <c r="F173" s="6" t="n"/>
      <c r="Q173">
        <f>IFERROR(VLOOKUP(M173,'הגדרות'!$A$11:$D$25,2,FALSE),"")</f>
        <v/>
      </c>
      <c r="R173">
        <f>IFERROR(VLOOKUP(M173,'הגדרות'!$A$11:$D$25,3,FALSE),"")</f>
        <v/>
      </c>
      <c r="S173">
        <f>IFERROR(VLOOKUP(N173,'הגדרות'!$A$11:$D$25,2,FALSE),"")</f>
        <v/>
      </c>
      <c r="T173">
        <f>IFERROR(VLOOKUP(N173,'הגדרות'!$A$11:$D$25,3,FALSE),"")</f>
        <v/>
      </c>
      <c r="AB173" s="6" t="n"/>
      <c r="AE173">
        <f>OR(Q173='לוח בקרה'!$B$2,R173='לוח בקרה'!$B$2,S173='לוח בקרה'!$B$2,T173='לוח בקרה'!$B$2)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E174">
        <f>IFERROR(INDEX('הגדרות'!$D$104:$D$123,MATCH(B174&amp;G174&amp;C174,'הגדרות'!$A$104:$A$123&amp;'הגדרות'!$B$104:$B$123&amp;'הגדרות'!$C$104:$C$123,0)),"")</f>
        <v/>
      </c>
      <c r="F174" s="6" t="n"/>
      <c r="Q174">
        <f>IFERROR(VLOOKUP(M174,'הגדרות'!$A$11:$D$25,2,FALSE),"")</f>
        <v/>
      </c>
      <c r="R174">
        <f>IFERROR(VLOOKUP(M174,'הגדרות'!$A$11:$D$25,3,FALSE),"")</f>
        <v/>
      </c>
      <c r="S174">
        <f>IFERROR(VLOOKUP(N174,'הגדרות'!$A$11:$D$25,2,FALSE),"")</f>
        <v/>
      </c>
      <c r="T174">
        <f>IFERROR(VLOOKUP(N174,'הגדרות'!$A$11:$D$25,3,FALSE),"")</f>
        <v/>
      </c>
      <c r="AB174" s="6" t="n"/>
      <c r="AE174">
        <f>OR(Q174='לוח בקרה'!$B$2,R174='לוח בקרה'!$B$2,S174='לוח בקרה'!$B$2,T174='לוח בקרה'!$B$2)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E175">
        <f>IFERROR(INDEX('הגדרות'!$D$104:$D$123,MATCH(B175&amp;G175&amp;C175,'הגדרות'!$A$104:$A$123&amp;'הגדרות'!$B$104:$B$123&amp;'הגדרות'!$C$104:$C$123,0)),"")</f>
        <v/>
      </c>
      <c r="F175" s="6" t="n"/>
      <c r="Q175">
        <f>IFERROR(VLOOKUP(M175,'הגדרות'!$A$11:$D$25,2,FALSE),"")</f>
        <v/>
      </c>
      <c r="R175">
        <f>IFERROR(VLOOKUP(M175,'הגדרות'!$A$11:$D$25,3,FALSE),"")</f>
        <v/>
      </c>
      <c r="S175">
        <f>IFERROR(VLOOKUP(N175,'הגדרות'!$A$11:$D$25,2,FALSE),"")</f>
        <v/>
      </c>
      <c r="T175">
        <f>IFERROR(VLOOKUP(N175,'הגדרות'!$A$11:$D$25,3,FALSE),"")</f>
        <v/>
      </c>
      <c r="AB175" s="6" t="n"/>
      <c r="AE175">
        <f>OR(Q175='לוח בקרה'!$B$2,R175='לוח בקרה'!$B$2,S175='לוח בקרה'!$B$2,T175='לוח בקרה'!$B$2)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E176">
        <f>IFERROR(INDEX('הגדרות'!$D$104:$D$123,MATCH(B176&amp;G176&amp;C176,'הגדרות'!$A$104:$A$123&amp;'הגדרות'!$B$104:$B$123&amp;'הגדרות'!$C$104:$C$123,0)),"")</f>
        <v/>
      </c>
      <c r="F176" s="6" t="n"/>
      <c r="Q176">
        <f>IFERROR(VLOOKUP(M176,'הגדרות'!$A$11:$D$25,2,FALSE),"")</f>
        <v/>
      </c>
      <c r="R176">
        <f>IFERROR(VLOOKUP(M176,'הגדרות'!$A$11:$D$25,3,FALSE),"")</f>
        <v/>
      </c>
      <c r="S176">
        <f>IFERROR(VLOOKUP(N176,'הגדרות'!$A$11:$D$25,2,FALSE),"")</f>
        <v/>
      </c>
      <c r="T176">
        <f>IFERROR(VLOOKUP(N176,'הגדרות'!$A$11:$D$25,3,FALSE),"")</f>
        <v/>
      </c>
      <c r="AB176" s="6" t="n"/>
      <c r="AE176">
        <f>OR(Q176='לוח בקרה'!$B$2,R176='לוח בקרה'!$B$2,S176='לוח בקרה'!$B$2,T176='לוח בקרה'!$B$2)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E177">
        <f>IFERROR(INDEX('הגדרות'!$D$104:$D$123,MATCH(B177&amp;G177&amp;C177,'הגדרות'!$A$104:$A$123&amp;'הגדרות'!$B$104:$B$123&amp;'הגדרות'!$C$104:$C$123,0)),"")</f>
        <v/>
      </c>
      <c r="F177" s="6" t="n"/>
      <c r="Q177">
        <f>IFERROR(VLOOKUP(M177,'הגדרות'!$A$11:$D$25,2,FALSE),"")</f>
        <v/>
      </c>
      <c r="R177">
        <f>IFERROR(VLOOKUP(M177,'הגדרות'!$A$11:$D$25,3,FALSE),"")</f>
        <v/>
      </c>
      <c r="S177">
        <f>IFERROR(VLOOKUP(N177,'הגדרות'!$A$11:$D$25,2,FALSE),"")</f>
        <v/>
      </c>
      <c r="T177">
        <f>IFERROR(VLOOKUP(N177,'הגדרות'!$A$11:$D$25,3,FALSE),"")</f>
        <v/>
      </c>
      <c r="AB177" s="6" t="n"/>
      <c r="AE177">
        <f>OR(Q177='לוח בקרה'!$B$2,R177='לוח בקרה'!$B$2,S177='לוח בקרה'!$B$2,T177='לוח בקרה'!$B$2)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E178">
        <f>IFERROR(INDEX('הגדרות'!$D$104:$D$123,MATCH(B178&amp;G178&amp;C178,'הגדרות'!$A$104:$A$123&amp;'הגדרות'!$B$104:$B$123&amp;'הגדרות'!$C$104:$C$123,0)),"")</f>
        <v/>
      </c>
      <c r="F178" s="6" t="n"/>
      <c r="Q178">
        <f>IFERROR(VLOOKUP(M178,'הגדרות'!$A$11:$D$25,2,FALSE),"")</f>
        <v/>
      </c>
      <c r="R178">
        <f>IFERROR(VLOOKUP(M178,'הגדרות'!$A$11:$D$25,3,FALSE),"")</f>
        <v/>
      </c>
      <c r="S178">
        <f>IFERROR(VLOOKUP(N178,'הגדרות'!$A$11:$D$25,2,FALSE),"")</f>
        <v/>
      </c>
      <c r="T178">
        <f>IFERROR(VLOOKUP(N178,'הגדרות'!$A$11:$D$25,3,FALSE),"")</f>
        <v/>
      </c>
      <c r="AB178" s="6" t="n"/>
      <c r="AE178">
        <f>OR(Q178='לוח בקרה'!$B$2,R178='לוח בקרה'!$B$2,S178='לוח בקרה'!$B$2,T178='לוח בקרה'!$B$2)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E179">
        <f>IFERROR(INDEX('הגדרות'!$D$104:$D$123,MATCH(B179&amp;G179&amp;C179,'הגדרות'!$A$104:$A$123&amp;'הגדרות'!$B$104:$B$123&amp;'הגדרות'!$C$104:$C$123,0)),"")</f>
        <v/>
      </c>
      <c r="F179" s="6" t="n"/>
      <c r="Q179">
        <f>IFERROR(VLOOKUP(M179,'הגדרות'!$A$11:$D$25,2,FALSE),"")</f>
        <v/>
      </c>
      <c r="R179">
        <f>IFERROR(VLOOKUP(M179,'הגדרות'!$A$11:$D$25,3,FALSE),"")</f>
        <v/>
      </c>
      <c r="S179">
        <f>IFERROR(VLOOKUP(N179,'הגדרות'!$A$11:$D$25,2,FALSE),"")</f>
        <v/>
      </c>
      <c r="T179">
        <f>IFERROR(VLOOKUP(N179,'הגדרות'!$A$11:$D$25,3,FALSE),"")</f>
        <v/>
      </c>
      <c r="AB179" s="6" t="n"/>
      <c r="AE179">
        <f>OR(Q179='לוח בקרה'!$B$2,R179='לוח בקרה'!$B$2,S179='לוח בקרה'!$B$2,T179='לוח בקרה'!$B$2)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E180">
        <f>IFERROR(INDEX('הגדרות'!$D$104:$D$123,MATCH(B180&amp;G180&amp;C180,'הגדרות'!$A$104:$A$123&amp;'הגדרות'!$B$104:$B$123&amp;'הגדרות'!$C$104:$C$123,0)),"")</f>
        <v/>
      </c>
      <c r="F180" s="6" t="n"/>
      <c r="Q180">
        <f>IFERROR(VLOOKUP(M180,'הגדרות'!$A$11:$D$25,2,FALSE),"")</f>
        <v/>
      </c>
      <c r="R180">
        <f>IFERROR(VLOOKUP(M180,'הגדרות'!$A$11:$D$25,3,FALSE),"")</f>
        <v/>
      </c>
      <c r="S180">
        <f>IFERROR(VLOOKUP(N180,'הגדרות'!$A$11:$D$25,2,FALSE),"")</f>
        <v/>
      </c>
      <c r="T180">
        <f>IFERROR(VLOOKUP(N180,'הגדרות'!$A$11:$D$25,3,FALSE),"")</f>
        <v/>
      </c>
      <c r="AB180" s="6" t="n"/>
      <c r="AE180">
        <f>OR(Q180='לוח בקרה'!$B$2,R180='לוח בקרה'!$B$2,S180='לוח בקרה'!$B$2,T180='לוח בקרה'!$B$2)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E181">
        <f>IFERROR(INDEX('הגדרות'!$D$104:$D$123,MATCH(B181&amp;G181&amp;C181,'הגדרות'!$A$104:$A$123&amp;'הגדרות'!$B$104:$B$123&amp;'הגדרות'!$C$104:$C$123,0)),"")</f>
        <v/>
      </c>
      <c r="F181" s="6" t="n"/>
      <c r="Q181">
        <f>IFERROR(VLOOKUP(M181,'הגדרות'!$A$11:$D$25,2,FALSE),"")</f>
        <v/>
      </c>
      <c r="R181">
        <f>IFERROR(VLOOKUP(M181,'הגדרות'!$A$11:$D$25,3,FALSE),"")</f>
        <v/>
      </c>
      <c r="S181">
        <f>IFERROR(VLOOKUP(N181,'הגדרות'!$A$11:$D$25,2,FALSE),"")</f>
        <v/>
      </c>
      <c r="T181">
        <f>IFERROR(VLOOKUP(N181,'הגדרות'!$A$11:$D$25,3,FALSE),"")</f>
        <v/>
      </c>
      <c r="AB181" s="6" t="n"/>
      <c r="AE181">
        <f>OR(Q181='לוח בקרה'!$B$2,R181='לוח בקרה'!$B$2,S181='לוח בקרה'!$B$2,T181='לוח בקרה'!$B$2)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E182">
        <f>IFERROR(INDEX('הגדרות'!$D$104:$D$123,MATCH(B182&amp;G182&amp;C182,'הגדרות'!$A$104:$A$123&amp;'הגדרות'!$B$104:$B$123&amp;'הגדרות'!$C$104:$C$123,0)),"")</f>
        <v/>
      </c>
      <c r="F182" s="6" t="n"/>
      <c r="Q182">
        <f>IFERROR(VLOOKUP(M182,'הגדרות'!$A$11:$D$25,2,FALSE),"")</f>
        <v/>
      </c>
      <c r="R182">
        <f>IFERROR(VLOOKUP(M182,'הגדרות'!$A$11:$D$25,3,FALSE),"")</f>
        <v/>
      </c>
      <c r="S182">
        <f>IFERROR(VLOOKUP(N182,'הגדרות'!$A$11:$D$25,2,FALSE),"")</f>
        <v/>
      </c>
      <c r="T182">
        <f>IFERROR(VLOOKUP(N182,'הגדרות'!$A$11:$D$25,3,FALSE),"")</f>
        <v/>
      </c>
      <c r="AB182" s="6" t="n"/>
      <c r="AE182">
        <f>OR(Q182='לוח בקרה'!$B$2,R182='לוח בקרה'!$B$2,S182='לוח בקרה'!$B$2,T182='לוח בקרה'!$B$2)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E183">
        <f>IFERROR(INDEX('הגדרות'!$D$104:$D$123,MATCH(B183&amp;G183&amp;C183,'הגדרות'!$A$104:$A$123&amp;'הגדרות'!$B$104:$B$123&amp;'הגדרות'!$C$104:$C$123,0)),"")</f>
        <v/>
      </c>
      <c r="F183" s="6" t="n"/>
      <c r="Q183">
        <f>IFERROR(VLOOKUP(M183,'הגדרות'!$A$11:$D$25,2,FALSE),"")</f>
        <v/>
      </c>
      <c r="R183">
        <f>IFERROR(VLOOKUP(M183,'הגדרות'!$A$11:$D$25,3,FALSE),"")</f>
        <v/>
      </c>
      <c r="S183">
        <f>IFERROR(VLOOKUP(N183,'הגדרות'!$A$11:$D$25,2,FALSE),"")</f>
        <v/>
      </c>
      <c r="T183">
        <f>IFERROR(VLOOKUP(N183,'הגדרות'!$A$11:$D$25,3,FALSE),"")</f>
        <v/>
      </c>
      <c r="AB183" s="6" t="n"/>
      <c r="AE183">
        <f>OR(Q183='לוח בקרה'!$B$2,R183='לוח בקרה'!$B$2,S183='לוח בקרה'!$B$2,T183='לוח בקרה'!$B$2)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E184">
        <f>IFERROR(INDEX('הגדרות'!$D$104:$D$123,MATCH(B184&amp;G184&amp;C184,'הגדרות'!$A$104:$A$123&amp;'הגדרות'!$B$104:$B$123&amp;'הגדרות'!$C$104:$C$123,0)),"")</f>
        <v/>
      </c>
      <c r="F184" s="6" t="n"/>
      <c r="Q184">
        <f>IFERROR(VLOOKUP(M184,'הגדרות'!$A$11:$D$25,2,FALSE),"")</f>
        <v/>
      </c>
      <c r="R184">
        <f>IFERROR(VLOOKUP(M184,'הגדרות'!$A$11:$D$25,3,FALSE),"")</f>
        <v/>
      </c>
      <c r="S184">
        <f>IFERROR(VLOOKUP(N184,'הגדרות'!$A$11:$D$25,2,FALSE),"")</f>
        <v/>
      </c>
      <c r="T184">
        <f>IFERROR(VLOOKUP(N184,'הגדרות'!$A$11:$D$25,3,FALSE),"")</f>
        <v/>
      </c>
      <c r="AB184" s="6" t="n"/>
      <c r="AE184">
        <f>OR(Q184='לוח בקרה'!$B$2,R184='לוח בקרה'!$B$2,S184='לוח בקרה'!$B$2,T184='לוח בקרה'!$B$2)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E185">
        <f>IFERROR(INDEX('הגדרות'!$D$104:$D$123,MATCH(B185&amp;G185&amp;C185,'הגדרות'!$A$104:$A$123&amp;'הגדרות'!$B$104:$B$123&amp;'הגדרות'!$C$104:$C$123,0)),"")</f>
        <v/>
      </c>
      <c r="F185" s="6" t="n"/>
      <c r="Q185">
        <f>IFERROR(VLOOKUP(M185,'הגדרות'!$A$11:$D$25,2,FALSE),"")</f>
        <v/>
      </c>
      <c r="R185">
        <f>IFERROR(VLOOKUP(M185,'הגדרות'!$A$11:$D$25,3,FALSE),"")</f>
        <v/>
      </c>
      <c r="S185">
        <f>IFERROR(VLOOKUP(N185,'הגדרות'!$A$11:$D$25,2,FALSE),"")</f>
        <v/>
      </c>
      <c r="T185">
        <f>IFERROR(VLOOKUP(N185,'הגדרות'!$A$11:$D$25,3,FALSE),"")</f>
        <v/>
      </c>
      <c r="AB185" s="6" t="n"/>
      <c r="AE185">
        <f>OR(Q185='לוח בקרה'!$B$2,R185='לוח בקרה'!$B$2,S185='לוח בקרה'!$B$2,T185='לוח בקרה'!$B$2)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E186">
        <f>IFERROR(INDEX('הגדרות'!$D$104:$D$123,MATCH(B186&amp;G186&amp;C186,'הגדרות'!$A$104:$A$123&amp;'הגדרות'!$B$104:$B$123&amp;'הגדרות'!$C$104:$C$123,0)),"")</f>
        <v/>
      </c>
      <c r="F186" s="6" t="n"/>
      <c r="Q186">
        <f>IFERROR(VLOOKUP(M186,'הגדרות'!$A$11:$D$25,2,FALSE),"")</f>
        <v/>
      </c>
      <c r="R186">
        <f>IFERROR(VLOOKUP(M186,'הגדרות'!$A$11:$D$25,3,FALSE),"")</f>
        <v/>
      </c>
      <c r="S186">
        <f>IFERROR(VLOOKUP(N186,'הגדרות'!$A$11:$D$25,2,FALSE),"")</f>
        <v/>
      </c>
      <c r="T186">
        <f>IFERROR(VLOOKUP(N186,'הגדרות'!$A$11:$D$25,3,FALSE),"")</f>
        <v/>
      </c>
      <c r="AB186" s="6" t="n"/>
      <c r="AE186">
        <f>OR(Q186='לוח בקרה'!$B$2,R186='לוח בקרה'!$B$2,S186='לוח בקרה'!$B$2,T186='לוח בקרה'!$B$2)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E187">
        <f>IFERROR(INDEX('הגדרות'!$D$104:$D$123,MATCH(B187&amp;G187&amp;C187,'הגדרות'!$A$104:$A$123&amp;'הגדרות'!$B$104:$B$123&amp;'הגדרות'!$C$104:$C$123,0)),"")</f>
        <v/>
      </c>
      <c r="F187" s="6" t="n"/>
      <c r="Q187">
        <f>IFERROR(VLOOKUP(M187,'הגדרות'!$A$11:$D$25,2,FALSE),"")</f>
        <v/>
      </c>
      <c r="R187">
        <f>IFERROR(VLOOKUP(M187,'הגדרות'!$A$11:$D$25,3,FALSE),"")</f>
        <v/>
      </c>
      <c r="S187">
        <f>IFERROR(VLOOKUP(N187,'הגדרות'!$A$11:$D$25,2,FALSE),"")</f>
        <v/>
      </c>
      <c r="T187">
        <f>IFERROR(VLOOKUP(N187,'הגדרות'!$A$11:$D$25,3,FALSE),"")</f>
        <v/>
      </c>
      <c r="AB187" s="6" t="n"/>
      <c r="AE187">
        <f>OR(Q187='לוח בקרה'!$B$2,R187='לוח בקרה'!$B$2,S187='לוח בקרה'!$B$2,T187='לוח בקרה'!$B$2)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E188">
        <f>IFERROR(INDEX('הגדרות'!$D$104:$D$123,MATCH(B188&amp;G188&amp;C188,'הגדרות'!$A$104:$A$123&amp;'הגדרות'!$B$104:$B$123&amp;'הגדרות'!$C$104:$C$123,0)),"")</f>
        <v/>
      </c>
      <c r="F188" s="6" t="n"/>
      <c r="Q188">
        <f>IFERROR(VLOOKUP(M188,'הגדרות'!$A$11:$D$25,2,FALSE),"")</f>
        <v/>
      </c>
      <c r="R188">
        <f>IFERROR(VLOOKUP(M188,'הגדרות'!$A$11:$D$25,3,FALSE),"")</f>
        <v/>
      </c>
      <c r="S188">
        <f>IFERROR(VLOOKUP(N188,'הגדרות'!$A$11:$D$25,2,FALSE),"")</f>
        <v/>
      </c>
      <c r="T188">
        <f>IFERROR(VLOOKUP(N188,'הגדרות'!$A$11:$D$25,3,FALSE),"")</f>
        <v/>
      </c>
      <c r="AB188" s="6" t="n"/>
      <c r="AE188">
        <f>OR(Q188='לוח בקרה'!$B$2,R188='לוח בקרה'!$B$2,S188='לוח בקרה'!$B$2,T188='לוח בקרה'!$B$2)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E189">
        <f>IFERROR(INDEX('הגדרות'!$D$104:$D$123,MATCH(B189&amp;G189&amp;C189,'הגדרות'!$A$104:$A$123&amp;'הגדרות'!$B$104:$B$123&amp;'הגדרות'!$C$104:$C$123,0)),"")</f>
        <v/>
      </c>
      <c r="F189" s="6" t="n"/>
      <c r="Q189">
        <f>IFERROR(VLOOKUP(M189,'הגדרות'!$A$11:$D$25,2,FALSE),"")</f>
        <v/>
      </c>
      <c r="R189">
        <f>IFERROR(VLOOKUP(M189,'הגדרות'!$A$11:$D$25,3,FALSE),"")</f>
        <v/>
      </c>
      <c r="S189">
        <f>IFERROR(VLOOKUP(N189,'הגדרות'!$A$11:$D$25,2,FALSE),"")</f>
        <v/>
      </c>
      <c r="T189">
        <f>IFERROR(VLOOKUP(N189,'הגדרות'!$A$11:$D$25,3,FALSE),"")</f>
        <v/>
      </c>
      <c r="AB189" s="6" t="n"/>
      <c r="AE189">
        <f>OR(Q189='לוח בקרה'!$B$2,R189='לוח בקרה'!$B$2,S189='לוח בקרה'!$B$2,T189='לוח בקרה'!$B$2)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E190">
        <f>IFERROR(INDEX('הגדרות'!$D$104:$D$123,MATCH(B190&amp;G190&amp;C190,'הגדרות'!$A$104:$A$123&amp;'הגדרות'!$B$104:$B$123&amp;'הגדרות'!$C$104:$C$123,0)),"")</f>
        <v/>
      </c>
      <c r="F190" s="6" t="n"/>
      <c r="Q190">
        <f>IFERROR(VLOOKUP(M190,'הגדרות'!$A$11:$D$25,2,FALSE),"")</f>
        <v/>
      </c>
      <c r="R190">
        <f>IFERROR(VLOOKUP(M190,'הגדרות'!$A$11:$D$25,3,FALSE),"")</f>
        <v/>
      </c>
      <c r="S190">
        <f>IFERROR(VLOOKUP(N190,'הגדרות'!$A$11:$D$25,2,FALSE),"")</f>
        <v/>
      </c>
      <c r="T190">
        <f>IFERROR(VLOOKUP(N190,'הגדרות'!$A$11:$D$25,3,FALSE),"")</f>
        <v/>
      </c>
      <c r="AB190" s="6" t="n"/>
      <c r="AE190">
        <f>OR(Q190='לוח בקרה'!$B$2,R190='לוח בקרה'!$B$2,S190='לוח בקרה'!$B$2,T190='לוח בקרה'!$B$2)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E191">
        <f>IFERROR(INDEX('הגדרות'!$D$104:$D$123,MATCH(B191&amp;G191&amp;C191,'הגדרות'!$A$104:$A$123&amp;'הגדרות'!$B$104:$B$123&amp;'הגדרות'!$C$104:$C$123,0)),"")</f>
        <v/>
      </c>
      <c r="F191" s="6" t="n"/>
      <c r="Q191">
        <f>IFERROR(VLOOKUP(M191,'הגדרות'!$A$11:$D$25,2,FALSE),"")</f>
        <v/>
      </c>
      <c r="R191">
        <f>IFERROR(VLOOKUP(M191,'הגדרות'!$A$11:$D$25,3,FALSE),"")</f>
        <v/>
      </c>
      <c r="S191">
        <f>IFERROR(VLOOKUP(N191,'הגדרות'!$A$11:$D$25,2,FALSE),"")</f>
        <v/>
      </c>
      <c r="T191">
        <f>IFERROR(VLOOKUP(N191,'הגדרות'!$A$11:$D$25,3,FALSE),"")</f>
        <v/>
      </c>
      <c r="AB191" s="6" t="n"/>
      <c r="AE191">
        <f>OR(Q191='לוח בקרה'!$B$2,R191='לוח בקרה'!$B$2,S191='לוח בקרה'!$B$2,T191='לוח בקרה'!$B$2)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E192">
        <f>IFERROR(INDEX('הגדרות'!$D$104:$D$123,MATCH(B192&amp;G192&amp;C192,'הגדרות'!$A$104:$A$123&amp;'הגדרות'!$B$104:$B$123&amp;'הגדרות'!$C$104:$C$123,0)),"")</f>
        <v/>
      </c>
      <c r="F192" s="6" t="n"/>
      <c r="Q192">
        <f>IFERROR(VLOOKUP(M192,'הגדרות'!$A$11:$D$25,2,FALSE),"")</f>
        <v/>
      </c>
      <c r="R192">
        <f>IFERROR(VLOOKUP(M192,'הגדרות'!$A$11:$D$25,3,FALSE),"")</f>
        <v/>
      </c>
      <c r="S192">
        <f>IFERROR(VLOOKUP(N192,'הגדרות'!$A$11:$D$25,2,FALSE),"")</f>
        <v/>
      </c>
      <c r="T192">
        <f>IFERROR(VLOOKUP(N192,'הגדרות'!$A$11:$D$25,3,FALSE),"")</f>
        <v/>
      </c>
      <c r="AB192" s="6" t="n"/>
      <c r="AE192">
        <f>OR(Q192='לוח בקרה'!$B$2,R192='לוח בקרה'!$B$2,S192='לוח בקרה'!$B$2,T192='לוח בקרה'!$B$2)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E193">
        <f>IFERROR(INDEX('הגדרות'!$D$104:$D$123,MATCH(B193&amp;G193&amp;C193,'הגדרות'!$A$104:$A$123&amp;'הגדרות'!$B$104:$B$123&amp;'הגדרות'!$C$104:$C$123,0)),"")</f>
        <v/>
      </c>
      <c r="F193" s="6" t="n"/>
      <c r="Q193">
        <f>IFERROR(VLOOKUP(M193,'הגדרות'!$A$11:$D$25,2,FALSE),"")</f>
        <v/>
      </c>
      <c r="R193">
        <f>IFERROR(VLOOKUP(M193,'הגדרות'!$A$11:$D$25,3,FALSE),"")</f>
        <v/>
      </c>
      <c r="S193">
        <f>IFERROR(VLOOKUP(N193,'הגדרות'!$A$11:$D$25,2,FALSE),"")</f>
        <v/>
      </c>
      <c r="T193">
        <f>IFERROR(VLOOKUP(N193,'הגדרות'!$A$11:$D$25,3,FALSE),"")</f>
        <v/>
      </c>
      <c r="AB193" s="6" t="n"/>
      <c r="AE193">
        <f>OR(Q193='לוח בקרה'!$B$2,R193='לוח בקרה'!$B$2,S193='לוח בקרה'!$B$2,T193='לוח בקרה'!$B$2)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E194">
        <f>IFERROR(INDEX('הגדרות'!$D$104:$D$123,MATCH(B194&amp;G194&amp;C194,'הגדרות'!$A$104:$A$123&amp;'הגדרות'!$B$104:$B$123&amp;'הגדרות'!$C$104:$C$123,0)),"")</f>
        <v/>
      </c>
      <c r="F194" s="6" t="n"/>
      <c r="Q194">
        <f>IFERROR(VLOOKUP(M194,'הגדרות'!$A$11:$D$25,2,FALSE),"")</f>
        <v/>
      </c>
      <c r="R194">
        <f>IFERROR(VLOOKUP(M194,'הגדרות'!$A$11:$D$25,3,FALSE),"")</f>
        <v/>
      </c>
      <c r="S194">
        <f>IFERROR(VLOOKUP(N194,'הגדרות'!$A$11:$D$25,2,FALSE),"")</f>
        <v/>
      </c>
      <c r="T194">
        <f>IFERROR(VLOOKUP(N194,'הגדרות'!$A$11:$D$25,3,FALSE),"")</f>
        <v/>
      </c>
      <c r="AB194" s="6" t="n"/>
      <c r="AE194">
        <f>OR(Q194='לוח בקרה'!$B$2,R194='לוח בקרה'!$B$2,S194='לוח בקרה'!$B$2,T194='לוח בקרה'!$B$2)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E195">
        <f>IFERROR(INDEX('הגדרות'!$D$104:$D$123,MATCH(B195&amp;G195&amp;C195,'הגדרות'!$A$104:$A$123&amp;'הגדרות'!$B$104:$B$123&amp;'הגדרות'!$C$104:$C$123,0)),"")</f>
        <v/>
      </c>
      <c r="F195" s="6" t="n"/>
      <c r="Q195">
        <f>IFERROR(VLOOKUP(M195,'הגדרות'!$A$11:$D$25,2,FALSE),"")</f>
        <v/>
      </c>
      <c r="R195">
        <f>IFERROR(VLOOKUP(M195,'הגדרות'!$A$11:$D$25,3,FALSE),"")</f>
        <v/>
      </c>
      <c r="S195">
        <f>IFERROR(VLOOKUP(N195,'הגדרות'!$A$11:$D$25,2,FALSE),"")</f>
        <v/>
      </c>
      <c r="T195">
        <f>IFERROR(VLOOKUP(N195,'הגדרות'!$A$11:$D$25,3,FALSE),"")</f>
        <v/>
      </c>
      <c r="AB195" s="6" t="n"/>
      <c r="AE195">
        <f>OR(Q195='לוח בקרה'!$B$2,R195='לוח בקרה'!$B$2,S195='לוח בקרה'!$B$2,T195='לוח בקרה'!$B$2)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E196">
        <f>IFERROR(INDEX('הגדרות'!$D$104:$D$123,MATCH(B196&amp;G196&amp;C196,'הגדרות'!$A$104:$A$123&amp;'הגדרות'!$B$104:$B$123&amp;'הגדרות'!$C$104:$C$123,0)),"")</f>
        <v/>
      </c>
      <c r="F196" s="6" t="n"/>
      <c r="Q196">
        <f>IFERROR(VLOOKUP(M196,'הגדרות'!$A$11:$D$25,2,FALSE),"")</f>
        <v/>
      </c>
      <c r="R196">
        <f>IFERROR(VLOOKUP(M196,'הגדרות'!$A$11:$D$25,3,FALSE),"")</f>
        <v/>
      </c>
      <c r="S196">
        <f>IFERROR(VLOOKUP(N196,'הגדרות'!$A$11:$D$25,2,FALSE),"")</f>
        <v/>
      </c>
      <c r="T196">
        <f>IFERROR(VLOOKUP(N196,'הגדרות'!$A$11:$D$25,3,FALSE),"")</f>
        <v/>
      </c>
      <c r="AB196" s="6" t="n"/>
      <c r="AE196">
        <f>OR(Q196='לוח בקרה'!$B$2,R196='לוח בקרה'!$B$2,S196='לוח בקרה'!$B$2,T196='לוח בקרה'!$B$2)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E197">
        <f>IFERROR(INDEX('הגדרות'!$D$104:$D$123,MATCH(B197&amp;G197&amp;C197,'הגדרות'!$A$104:$A$123&amp;'הגדרות'!$B$104:$B$123&amp;'הגדרות'!$C$104:$C$123,0)),"")</f>
        <v/>
      </c>
      <c r="F197" s="6" t="n"/>
      <c r="Q197">
        <f>IFERROR(VLOOKUP(M197,'הגדרות'!$A$11:$D$25,2,FALSE),"")</f>
        <v/>
      </c>
      <c r="R197">
        <f>IFERROR(VLOOKUP(M197,'הגדרות'!$A$11:$D$25,3,FALSE),"")</f>
        <v/>
      </c>
      <c r="S197">
        <f>IFERROR(VLOOKUP(N197,'הגדרות'!$A$11:$D$25,2,FALSE),"")</f>
        <v/>
      </c>
      <c r="T197">
        <f>IFERROR(VLOOKUP(N197,'הגדרות'!$A$11:$D$25,3,FALSE),"")</f>
        <v/>
      </c>
      <c r="AB197" s="6" t="n"/>
      <c r="AE197">
        <f>OR(Q197='לוח בקרה'!$B$2,R197='לוח בקרה'!$B$2,S197='לוח בקרה'!$B$2,T197='לוח בקרה'!$B$2)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E198">
        <f>IFERROR(INDEX('הגדרות'!$D$104:$D$123,MATCH(B198&amp;G198&amp;C198,'הגדרות'!$A$104:$A$123&amp;'הגדרות'!$B$104:$B$123&amp;'הגדרות'!$C$104:$C$123,0)),"")</f>
        <v/>
      </c>
      <c r="F198" s="6" t="n"/>
      <c r="Q198">
        <f>IFERROR(VLOOKUP(M198,'הגדרות'!$A$11:$D$25,2,FALSE),"")</f>
        <v/>
      </c>
      <c r="R198">
        <f>IFERROR(VLOOKUP(M198,'הגדרות'!$A$11:$D$25,3,FALSE),"")</f>
        <v/>
      </c>
      <c r="S198">
        <f>IFERROR(VLOOKUP(N198,'הגדרות'!$A$11:$D$25,2,FALSE),"")</f>
        <v/>
      </c>
      <c r="T198">
        <f>IFERROR(VLOOKUP(N198,'הגדרות'!$A$11:$D$25,3,FALSE),"")</f>
        <v/>
      </c>
      <c r="AB198" s="6" t="n"/>
      <c r="AE198">
        <f>OR(Q198='לוח בקרה'!$B$2,R198='לוח בקרה'!$B$2,S198='לוח בקרה'!$B$2,T198='לוח בקרה'!$B$2)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E199">
        <f>IFERROR(INDEX('הגדרות'!$D$104:$D$123,MATCH(B199&amp;G199&amp;C199,'הגדרות'!$A$104:$A$123&amp;'הגדרות'!$B$104:$B$123&amp;'הגדרות'!$C$104:$C$123,0)),"")</f>
        <v/>
      </c>
      <c r="F199" s="6" t="n"/>
      <c r="Q199">
        <f>IFERROR(VLOOKUP(M199,'הגדרות'!$A$11:$D$25,2,FALSE),"")</f>
        <v/>
      </c>
      <c r="R199">
        <f>IFERROR(VLOOKUP(M199,'הגדרות'!$A$11:$D$25,3,FALSE),"")</f>
        <v/>
      </c>
      <c r="S199">
        <f>IFERROR(VLOOKUP(N199,'הגדרות'!$A$11:$D$25,2,FALSE),"")</f>
        <v/>
      </c>
      <c r="T199">
        <f>IFERROR(VLOOKUP(N199,'הגדרות'!$A$11:$D$25,3,FALSE),"")</f>
        <v/>
      </c>
      <c r="AB199" s="6" t="n"/>
      <c r="AE199">
        <f>OR(Q199='לוח בקרה'!$B$2,R199='לוח בקרה'!$B$2,S199='לוח בקרה'!$B$2,T199='לוח בקרה'!$B$2)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E200">
        <f>IFERROR(INDEX('הגדרות'!$D$104:$D$123,MATCH(B200&amp;G200&amp;C200,'הגדרות'!$A$104:$A$123&amp;'הגדרות'!$B$104:$B$123&amp;'הגדרות'!$C$104:$C$123,0)),"")</f>
        <v/>
      </c>
      <c r="F200" s="6" t="n"/>
      <c r="Q200">
        <f>IFERROR(VLOOKUP(M200,'הגדרות'!$A$11:$D$25,2,FALSE),"")</f>
        <v/>
      </c>
      <c r="R200">
        <f>IFERROR(VLOOKUP(M200,'הגדרות'!$A$11:$D$25,3,FALSE),"")</f>
        <v/>
      </c>
      <c r="S200">
        <f>IFERROR(VLOOKUP(N200,'הגדרות'!$A$11:$D$25,2,FALSE),"")</f>
        <v/>
      </c>
      <c r="T200">
        <f>IFERROR(VLOOKUP(N200,'הגדרות'!$A$11:$D$25,3,FALSE),"")</f>
        <v/>
      </c>
      <c r="AB200" s="6" t="n"/>
      <c r="AE200">
        <f>OR(Q200='לוח בקרה'!$B$2,R200='לוח בקרה'!$B$2,S200='לוח בקרה'!$B$2,T200='לוח בקרה'!$B$2)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E201">
        <f>IFERROR(INDEX('הגדרות'!$D$104:$D$123,MATCH(B201&amp;G201&amp;C201,'הגדרות'!$A$104:$A$123&amp;'הגדרות'!$B$104:$B$123&amp;'הגדרות'!$C$104:$C$123,0)),"")</f>
        <v/>
      </c>
      <c r="F201" s="6" t="n"/>
      <c r="Q201">
        <f>IFERROR(VLOOKUP(M201,'הגדרות'!$A$11:$D$25,2,FALSE),"")</f>
        <v/>
      </c>
      <c r="R201">
        <f>IFERROR(VLOOKUP(M201,'הגדרות'!$A$11:$D$25,3,FALSE),"")</f>
        <v/>
      </c>
      <c r="S201">
        <f>IFERROR(VLOOKUP(N201,'הגדרות'!$A$11:$D$25,2,FALSE),"")</f>
        <v/>
      </c>
      <c r="T201">
        <f>IFERROR(VLOOKUP(N201,'הגדרות'!$A$11:$D$25,3,FALSE),"")</f>
        <v/>
      </c>
      <c r="AB201" s="6" t="n"/>
      <c r="AE201">
        <f>OR(Q201='לוח בקרה'!$B$2,R201='לוח בקרה'!$B$2,S201='לוח בקרה'!$B$2,T201='לוח בקרה'!$B$2)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E202">
        <f>IFERROR(INDEX('הגדרות'!$D$104:$D$123,MATCH(B202&amp;G202&amp;C202,'הגדרות'!$A$104:$A$123&amp;'הגדרות'!$B$104:$B$123&amp;'הגדרות'!$C$104:$C$123,0)),"")</f>
        <v/>
      </c>
      <c r="F202" s="6" t="n"/>
      <c r="Q202">
        <f>IFERROR(VLOOKUP(M202,'הגדרות'!$A$11:$D$25,2,FALSE),"")</f>
        <v/>
      </c>
      <c r="R202">
        <f>IFERROR(VLOOKUP(M202,'הגדרות'!$A$11:$D$25,3,FALSE),"")</f>
        <v/>
      </c>
      <c r="S202">
        <f>IFERROR(VLOOKUP(N202,'הגדרות'!$A$11:$D$25,2,FALSE),"")</f>
        <v/>
      </c>
      <c r="T202">
        <f>IFERROR(VLOOKUP(N202,'הגדרות'!$A$11:$D$25,3,FALSE),"")</f>
        <v/>
      </c>
      <c r="AB202" s="6" t="n"/>
      <c r="AE202">
        <f>OR(Q202='לוח בקרה'!$B$2,R202='לוח בקרה'!$B$2,S202='לוח בקרה'!$B$2,T202='לוח בקרה'!$B$2)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E203">
        <f>IFERROR(INDEX('הגדרות'!$D$104:$D$123,MATCH(B203&amp;G203&amp;C203,'הגדרות'!$A$104:$A$123&amp;'הגדרות'!$B$104:$B$123&amp;'הגדרות'!$C$104:$C$123,0)),"")</f>
        <v/>
      </c>
      <c r="F203" s="6" t="n"/>
      <c r="Q203">
        <f>IFERROR(VLOOKUP(M203,'הגדרות'!$A$11:$D$25,2,FALSE),"")</f>
        <v/>
      </c>
      <c r="R203">
        <f>IFERROR(VLOOKUP(M203,'הגדרות'!$A$11:$D$25,3,FALSE),"")</f>
        <v/>
      </c>
      <c r="S203">
        <f>IFERROR(VLOOKUP(N203,'הגדרות'!$A$11:$D$25,2,FALSE),"")</f>
        <v/>
      </c>
      <c r="T203">
        <f>IFERROR(VLOOKUP(N203,'הגדרות'!$A$11:$D$25,3,FALSE),"")</f>
        <v/>
      </c>
      <c r="AB203" s="6" t="n"/>
      <c r="AE203">
        <f>OR(Q203='לוח בקרה'!$B$2,R203='לוח בקרה'!$B$2,S203='לוח בקרה'!$B$2,T203='לוח בקרה'!$B$2)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E204">
        <f>IFERROR(INDEX('הגדרות'!$D$104:$D$123,MATCH(B204&amp;G204&amp;C204,'הגדרות'!$A$104:$A$123&amp;'הגדרות'!$B$104:$B$123&amp;'הגדרות'!$C$104:$C$123,0)),"")</f>
        <v/>
      </c>
      <c r="F204" s="6" t="n"/>
      <c r="Q204">
        <f>IFERROR(VLOOKUP(M204,'הגדרות'!$A$11:$D$25,2,FALSE),"")</f>
        <v/>
      </c>
      <c r="R204">
        <f>IFERROR(VLOOKUP(M204,'הגדרות'!$A$11:$D$25,3,FALSE),"")</f>
        <v/>
      </c>
      <c r="S204">
        <f>IFERROR(VLOOKUP(N204,'הגדרות'!$A$11:$D$25,2,FALSE),"")</f>
        <v/>
      </c>
      <c r="T204">
        <f>IFERROR(VLOOKUP(N204,'הגדרות'!$A$11:$D$25,3,FALSE),"")</f>
        <v/>
      </c>
      <c r="AB204" s="6" t="n"/>
      <c r="AE204">
        <f>OR(Q204='לוח בקרה'!$B$2,R204='לוח בקרה'!$B$2,S204='לוח בקרה'!$B$2,T204='לוח בקרה'!$B$2)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E205">
        <f>IFERROR(INDEX('הגדרות'!$D$104:$D$123,MATCH(B205&amp;G205&amp;C205,'הגדרות'!$A$104:$A$123&amp;'הגדרות'!$B$104:$B$123&amp;'הגדרות'!$C$104:$C$123,0)),"")</f>
        <v/>
      </c>
      <c r="F205" s="6" t="n"/>
      <c r="Q205">
        <f>IFERROR(VLOOKUP(M205,'הגדרות'!$A$11:$D$25,2,FALSE),"")</f>
        <v/>
      </c>
      <c r="R205">
        <f>IFERROR(VLOOKUP(M205,'הגדרות'!$A$11:$D$25,3,FALSE),"")</f>
        <v/>
      </c>
      <c r="S205">
        <f>IFERROR(VLOOKUP(N205,'הגדרות'!$A$11:$D$25,2,FALSE),"")</f>
        <v/>
      </c>
      <c r="T205">
        <f>IFERROR(VLOOKUP(N205,'הגדרות'!$A$11:$D$25,3,FALSE),"")</f>
        <v/>
      </c>
      <c r="AB205" s="6" t="n"/>
      <c r="AE205">
        <f>OR(Q205='לוח בקרה'!$B$2,R205='לוח בקרה'!$B$2,S205='לוח בקרה'!$B$2,T205='לוח בקרה'!$B$2)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E206">
        <f>IFERROR(INDEX('הגדרות'!$D$104:$D$123,MATCH(B206&amp;G206&amp;C206,'הגדרות'!$A$104:$A$123&amp;'הגדרות'!$B$104:$B$123&amp;'הגדרות'!$C$104:$C$123,0)),"")</f>
        <v/>
      </c>
      <c r="F206" s="6" t="n"/>
      <c r="Q206">
        <f>IFERROR(VLOOKUP(M206,'הגדרות'!$A$11:$D$25,2,FALSE),"")</f>
        <v/>
      </c>
      <c r="R206">
        <f>IFERROR(VLOOKUP(M206,'הגדרות'!$A$11:$D$25,3,FALSE),"")</f>
        <v/>
      </c>
      <c r="S206">
        <f>IFERROR(VLOOKUP(N206,'הגדרות'!$A$11:$D$25,2,FALSE),"")</f>
        <v/>
      </c>
      <c r="T206">
        <f>IFERROR(VLOOKUP(N206,'הגדרות'!$A$11:$D$25,3,FALSE),"")</f>
        <v/>
      </c>
      <c r="AB206" s="6" t="n"/>
      <c r="AE206">
        <f>OR(Q206='לוח בקרה'!$B$2,R206='לוח בקרה'!$B$2,S206='לוח בקרה'!$B$2,T206='לוח בקרה'!$B$2)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E207">
        <f>IFERROR(INDEX('הגדרות'!$D$104:$D$123,MATCH(B207&amp;G207&amp;C207,'הגדרות'!$A$104:$A$123&amp;'הגדרות'!$B$104:$B$123&amp;'הגדרות'!$C$104:$C$123,0)),"")</f>
        <v/>
      </c>
      <c r="F207" s="6" t="n"/>
      <c r="Q207">
        <f>IFERROR(VLOOKUP(M207,'הגדרות'!$A$11:$D$25,2,FALSE),"")</f>
        <v/>
      </c>
      <c r="R207">
        <f>IFERROR(VLOOKUP(M207,'הגדרות'!$A$11:$D$25,3,FALSE),"")</f>
        <v/>
      </c>
      <c r="S207">
        <f>IFERROR(VLOOKUP(N207,'הגדרות'!$A$11:$D$25,2,FALSE),"")</f>
        <v/>
      </c>
      <c r="T207">
        <f>IFERROR(VLOOKUP(N207,'הגדרות'!$A$11:$D$25,3,FALSE),"")</f>
        <v/>
      </c>
      <c r="AB207" s="6" t="n"/>
      <c r="AE207">
        <f>OR(Q207='לוח בקרה'!$B$2,R207='לוח בקרה'!$B$2,S207='לוח בקרה'!$B$2,T207='לוח בקרה'!$B$2)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E208">
        <f>IFERROR(INDEX('הגדרות'!$D$104:$D$123,MATCH(B208&amp;G208&amp;C208,'הגדרות'!$A$104:$A$123&amp;'הגדרות'!$B$104:$B$123&amp;'הגדרות'!$C$104:$C$123,0)),"")</f>
        <v/>
      </c>
      <c r="F208" s="6" t="n"/>
      <c r="Q208">
        <f>IFERROR(VLOOKUP(M208,'הגדרות'!$A$11:$D$25,2,FALSE),"")</f>
        <v/>
      </c>
      <c r="R208">
        <f>IFERROR(VLOOKUP(M208,'הגדרות'!$A$11:$D$25,3,FALSE),"")</f>
        <v/>
      </c>
      <c r="S208">
        <f>IFERROR(VLOOKUP(N208,'הגדרות'!$A$11:$D$25,2,FALSE),"")</f>
        <v/>
      </c>
      <c r="T208">
        <f>IFERROR(VLOOKUP(N208,'הגדרות'!$A$11:$D$25,3,FALSE),"")</f>
        <v/>
      </c>
      <c r="AB208" s="6" t="n"/>
      <c r="AE208">
        <f>OR(Q208='לוח בקרה'!$B$2,R208='לוח בקרה'!$B$2,S208='לוח בקרה'!$B$2,T208='לוח בקרה'!$B$2)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E209">
        <f>IFERROR(INDEX('הגדרות'!$D$104:$D$123,MATCH(B209&amp;G209&amp;C209,'הגדרות'!$A$104:$A$123&amp;'הגדרות'!$B$104:$B$123&amp;'הגדרות'!$C$104:$C$123,0)),"")</f>
        <v/>
      </c>
      <c r="F209" s="6" t="n"/>
      <c r="Q209">
        <f>IFERROR(VLOOKUP(M209,'הגדרות'!$A$11:$D$25,2,FALSE),"")</f>
        <v/>
      </c>
      <c r="R209">
        <f>IFERROR(VLOOKUP(M209,'הגדרות'!$A$11:$D$25,3,FALSE),"")</f>
        <v/>
      </c>
      <c r="S209">
        <f>IFERROR(VLOOKUP(N209,'הגדרות'!$A$11:$D$25,2,FALSE),"")</f>
        <v/>
      </c>
      <c r="T209">
        <f>IFERROR(VLOOKUP(N209,'הגדרות'!$A$11:$D$25,3,FALSE),"")</f>
        <v/>
      </c>
      <c r="AB209" s="6" t="n"/>
      <c r="AE209">
        <f>OR(Q209='לוח בקרה'!$B$2,R209='לוח בקרה'!$B$2,S209='לוח בקרה'!$B$2,T209='לוח בקרה'!$B$2)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E210">
        <f>IFERROR(INDEX('הגדרות'!$D$104:$D$123,MATCH(B210&amp;G210&amp;C210,'הגדרות'!$A$104:$A$123&amp;'הגדרות'!$B$104:$B$123&amp;'הגדרות'!$C$104:$C$123,0)),"")</f>
        <v/>
      </c>
      <c r="F210" s="6" t="n"/>
      <c r="Q210">
        <f>IFERROR(VLOOKUP(M210,'הגדרות'!$A$11:$D$25,2,FALSE),"")</f>
        <v/>
      </c>
      <c r="R210">
        <f>IFERROR(VLOOKUP(M210,'הגדרות'!$A$11:$D$25,3,FALSE),"")</f>
        <v/>
      </c>
      <c r="S210">
        <f>IFERROR(VLOOKUP(N210,'הגדרות'!$A$11:$D$25,2,FALSE),"")</f>
        <v/>
      </c>
      <c r="T210">
        <f>IFERROR(VLOOKUP(N210,'הגדרות'!$A$11:$D$25,3,FALSE),"")</f>
        <v/>
      </c>
      <c r="AB210" s="6" t="n"/>
      <c r="AE210">
        <f>OR(Q210='לוח בקרה'!$B$2,R210='לוח בקרה'!$B$2,S210='לוח בקרה'!$B$2,T210='לוח בקרה'!$B$2)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E211">
        <f>IFERROR(INDEX('הגדרות'!$D$104:$D$123,MATCH(B211&amp;G211&amp;C211,'הגדרות'!$A$104:$A$123&amp;'הגדרות'!$B$104:$B$123&amp;'הגדרות'!$C$104:$C$123,0)),"")</f>
        <v/>
      </c>
      <c r="F211" s="6" t="n"/>
      <c r="Q211">
        <f>IFERROR(VLOOKUP(M211,'הגדרות'!$A$11:$D$25,2,FALSE),"")</f>
        <v/>
      </c>
      <c r="R211">
        <f>IFERROR(VLOOKUP(M211,'הגדרות'!$A$11:$D$25,3,FALSE),"")</f>
        <v/>
      </c>
      <c r="S211">
        <f>IFERROR(VLOOKUP(N211,'הגדרות'!$A$11:$D$25,2,FALSE),"")</f>
        <v/>
      </c>
      <c r="T211">
        <f>IFERROR(VLOOKUP(N211,'הגדרות'!$A$11:$D$25,3,FALSE),"")</f>
        <v/>
      </c>
      <c r="AB211" s="6" t="n"/>
      <c r="AE211">
        <f>OR(Q211='לוח בקרה'!$B$2,R211='לוח בקרה'!$B$2,S211='לוח בקרה'!$B$2,T211='לוח בקרה'!$B$2)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E212">
        <f>IFERROR(INDEX('הגדרות'!$D$104:$D$123,MATCH(B212&amp;G212&amp;C212,'הגדרות'!$A$104:$A$123&amp;'הגדרות'!$B$104:$B$123&amp;'הגדרות'!$C$104:$C$123,0)),"")</f>
        <v/>
      </c>
      <c r="F212" s="6" t="n"/>
      <c r="Q212">
        <f>IFERROR(VLOOKUP(M212,'הגדרות'!$A$11:$D$25,2,FALSE),"")</f>
        <v/>
      </c>
      <c r="R212">
        <f>IFERROR(VLOOKUP(M212,'הגדרות'!$A$11:$D$25,3,FALSE),"")</f>
        <v/>
      </c>
      <c r="S212">
        <f>IFERROR(VLOOKUP(N212,'הגדרות'!$A$11:$D$25,2,FALSE),"")</f>
        <v/>
      </c>
      <c r="T212">
        <f>IFERROR(VLOOKUP(N212,'הגדרות'!$A$11:$D$25,3,FALSE),"")</f>
        <v/>
      </c>
      <c r="AB212" s="6" t="n"/>
      <c r="AE212">
        <f>OR(Q212='לוח בקרה'!$B$2,R212='לוח בקרה'!$B$2,S212='לוח בקרה'!$B$2,T212='לוח בקרה'!$B$2)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E213">
        <f>IFERROR(INDEX('הגדרות'!$D$104:$D$123,MATCH(B213&amp;G213&amp;C213,'הגדרות'!$A$104:$A$123&amp;'הגדרות'!$B$104:$B$123&amp;'הגדרות'!$C$104:$C$123,0)),"")</f>
        <v/>
      </c>
      <c r="F213" s="6" t="n"/>
      <c r="Q213">
        <f>IFERROR(VLOOKUP(M213,'הגדרות'!$A$11:$D$25,2,FALSE),"")</f>
        <v/>
      </c>
      <c r="R213">
        <f>IFERROR(VLOOKUP(M213,'הגדרות'!$A$11:$D$25,3,FALSE),"")</f>
        <v/>
      </c>
      <c r="S213">
        <f>IFERROR(VLOOKUP(N213,'הגדרות'!$A$11:$D$25,2,FALSE),"")</f>
        <v/>
      </c>
      <c r="T213">
        <f>IFERROR(VLOOKUP(N213,'הגדרות'!$A$11:$D$25,3,FALSE),"")</f>
        <v/>
      </c>
      <c r="AB213" s="6" t="n"/>
      <c r="AE213">
        <f>OR(Q213='לוח בקרה'!$B$2,R213='לוח בקרה'!$B$2,S213='לוח בקרה'!$B$2,T213='לוח בקרה'!$B$2)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E214">
        <f>IFERROR(INDEX('הגדרות'!$D$104:$D$123,MATCH(B214&amp;G214&amp;C214,'הגדרות'!$A$104:$A$123&amp;'הגדרות'!$B$104:$B$123&amp;'הגדרות'!$C$104:$C$123,0)),"")</f>
        <v/>
      </c>
      <c r="F214" s="6" t="n"/>
      <c r="Q214">
        <f>IFERROR(VLOOKUP(M214,'הגדרות'!$A$11:$D$25,2,FALSE),"")</f>
        <v/>
      </c>
      <c r="R214">
        <f>IFERROR(VLOOKUP(M214,'הגדרות'!$A$11:$D$25,3,FALSE),"")</f>
        <v/>
      </c>
      <c r="S214">
        <f>IFERROR(VLOOKUP(N214,'הגדרות'!$A$11:$D$25,2,FALSE),"")</f>
        <v/>
      </c>
      <c r="T214">
        <f>IFERROR(VLOOKUP(N214,'הגדרות'!$A$11:$D$25,3,FALSE),"")</f>
        <v/>
      </c>
      <c r="AB214" s="6" t="n"/>
      <c r="AE214">
        <f>OR(Q214='לוח בקרה'!$B$2,R214='לוח בקרה'!$B$2,S214='לוח בקרה'!$B$2,T214='לוח בקרה'!$B$2)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E215">
        <f>IFERROR(INDEX('הגדרות'!$D$104:$D$123,MATCH(B215&amp;G215&amp;C215,'הגדרות'!$A$104:$A$123&amp;'הגדרות'!$B$104:$B$123&amp;'הגדרות'!$C$104:$C$123,0)),"")</f>
        <v/>
      </c>
      <c r="F215" s="6" t="n"/>
      <c r="Q215">
        <f>IFERROR(VLOOKUP(M215,'הגדרות'!$A$11:$D$25,2,FALSE),"")</f>
        <v/>
      </c>
      <c r="R215">
        <f>IFERROR(VLOOKUP(M215,'הגדרות'!$A$11:$D$25,3,FALSE),"")</f>
        <v/>
      </c>
      <c r="S215">
        <f>IFERROR(VLOOKUP(N215,'הגדרות'!$A$11:$D$25,2,FALSE),"")</f>
        <v/>
      </c>
      <c r="T215">
        <f>IFERROR(VLOOKUP(N215,'הגדרות'!$A$11:$D$25,3,FALSE),"")</f>
        <v/>
      </c>
      <c r="AB215" s="6" t="n"/>
      <c r="AE215">
        <f>OR(Q215='לוח בקרה'!$B$2,R215='לוח בקרה'!$B$2,S215='לוח בקרה'!$B$2,T215='לוח בקרה'!$B$2)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E216">
        <f>IFERROR(INDEX('הגדרות'!$D$104:$D$123,MATCH(B216&amp;G216&amp;C216,'הגדרות'!$A$104:$A$123&amp;'הגדרות'!$B$104:$B$123&amp;'הגדרות'!$C$104:$C$123,0)),"")</f>
        <v/>
      </c>
      <c r="F216" s="6" t="n"/>
      <c r="Q216">
        <f>IFERROR(VLOOKUP(M216,'הגדרות'!$A$11:$D$25,2,FALSE),"")</f>
        <v/>
      </c>
      <c r="R216">
        <f>IFERROR(VLOOKUP(M216,'הגדרות'!$A$11:$D$25,3,FALSE),"")</f>
        <v/>
      </c>
      <c r="S216">
        <f>IFERROR(VLOOKUP(N216,'הגדרות'!$A$11:$D$25,2,FALSE),"")</f>
        <v/>
      </c>
      <c r="T216">
        <f>IFERROR(VLOOKUP(N216,'הגדרות'!$A$11:$D$25,3,FALSE),"")</f>
        <v/>
      </c>
      <c r="AB216" s="6" t="n"/>
      <c r="AE216">
        <f>OR(Q216='לוח בקרה'!$B$2,R216='לוח בקרה'!$B$2,S216='לוח בקרה'!$B$2,T216='לוח בקרה'!$B$2)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E217">
        <f>IFERROR(INDEX('הגדרות'!$D$104:$D$123,MATCH(B217&amp;G217&amp;C217,'הגדרות'!$A$104:$A$123&amp;'הגדרות'!$B$104:$B$123&amp;'הגדרות'!$C$104:$C$123,0)),"")</f>
        <v/>
      </c>
      <c r="F217" s="6" t="n"/>
      <c r="Q217">
        <f>IFERROR(VLOOKUP(M217,'הגדרות'!$A$11:$D$25,2,FALSE),"")</f>
        <v/>
      </c>
      <c r="R217">
        <f>IFERROR(VLOOKUP(M217,'הגדרות'!$A$11:$D$25,3,FALSE),"")</f>
        <v/>
      </c>
      <c r="S217">
        <f>IFERROR(VLOOKUP(N217,'הגדרות'!$A$11:$D$25,2,FALSE),"")</f>
        <v/>
      </c>
      <c r="T217">
        <f>IFERROR(VLOOKUP(N217,'הגדרות'!$A$11:$D$25,3,FALSE),"")</f>
        <v/>
      </c>
      <c r="AB217" s="6" t="n"/>
      <c r="AE217">
        <f>OR(Q217='לוח בקרה'!$B$2,R217='לוח בקרה'!$B$2,S217='לוח בקרה'!$B$2,T217='לוח בקרה'!$B$2)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E218">
        <f>IFERROR(INDEX('הגדרות'!$D$104:$D$123,MATCH(B218&amp;G218&amp;C218,'הגדרות'!$A$104:$A$123&amp;'הגדרות'!$B$104:$B$123&amp;'הגדרות'!$C$104:$C$123,0)),"")</f>
        <v/>
      </c>
      <c r="F218" s="6" t="n"/>
      <c r="Q218">
        <f>IFERROR(VLOOKUP(M218,'הגדרות'!$A$11:$D$25,2,FALSE),"")</f>
        <v/>
      </c>
      <c r="R218">
        <f>IFERROR(VLOOKUP(M218,'הגדרות'!$A$11:$D$25,3,FALSE),"")</f>
        <v/>
      </c>
      <c r="S218">
        <f>IFERROR(VLOOKUP(N218,'הגדרות'!$A$11:$D$25,2,FALSE),"")</f>
        <v/>
      </c>
      <c r="T218">
        <f>IFERROR(VLOOKUP(N218,'הגדרות'!$A$11:$D$25,3,FALSE),"")</f>
        <v/>
      </c>
      <c r="AB218" s="6" t="n"/>
      <c r="AE218">
        <f>OR(Q218='לוח בקרה'!$B$2,R218='לוח בקרה'!$B$2,S218='לוח בקרה'!$B$2,T218='לוח בקרה'!$B$2)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E219">
        <f>IFERROR(INDEX('הגדרות'!$D$104:$D$123,MATCH(B219&amp;G219&amp;C219,'הגדרות'!$A$104:$A$123&amp;'הגדרות'!$B$104:$B$123&amp;'הגדרות'!$C$104:$C$123,0)),"")</f>
        <v/>
      </c>
      <c r="F219" s="6" t="n"/>
      <c r="Q219">
        <f>IFERROR(VLOOKUP(M219,'הגדרות'!$A$11:$D$25,2,FALSE),"")</f>
        <v/>
      </c>
      <c r="R219">
        <f>IFERROR(VLOOKUP(M219,'הגדרות'!$A$11:$D$25,3,FALSE),"")</f>
        <v/>
      </c>
      <c r="S219">
        <f>IFERROR(VLOOKUP(N219,'הגדרות'!$A$11:$D$25,2,FALSE),"")</f>
        <v/>
      </c>
      <c r="T219">
        <f>IFERROR(VLOOKUP(N219,'הגדרות'!$A$11:$D$25,3,FALSE),"")</f>
        <v/>
      </c>
      <c r="AB219" s="6" t="n"/>
      <c r="AE219">
        <f>OR(Q219='לוח בקרה'!$B$2,R219='לוח בקרה'!$B$2,S219='לוח בקרה'!$B$2,T219='לוח בקרה'!$B$2)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E220">
        <f>IFERROR(INDEX('הגדרות'!$D$104:$D$123,MATCH(B220&amp;G220&amp;C220,'הגדרות'!$A$104:$A$123&amp;'הגדרות'!$B$104:$B$123&amp;'הגדרות'!$C$104:$C$123,0)),"")</f>
        <v/>
      </c>
      <c r="F220" s="6" t="n"/>
      <c r="Q220">
        <f>IFERROR(VLOOKUP(M220,'הגדרות'!$A$11:$D$25,2,FALSE),"")</f>
        <v/>
      </c>
      <c r="R220">
        <f>IFERROR(VLOOKUP(M220,'הגדרות'!$A$11:$D$25,3,FALSE),"")</f>
        <v/>
      </c>
      <c r="S220">
        <f>IFERROR(VLOOKUP(N220,'הגדרות'!$A$11:$D$25,2,FALSE),"")</f>
        <v/>
      </c>
      <c r="T220">
        <f>IFERROR(VLOOKUP(N220,'הגדרות'!$A$11:$D$25,3,FALSE),"")</f>
        <v/>
      </c>
      <c r="AB220" s="6" t="n"/>
      <c r="AE220">
        <f>OR(Q220='לוח בקרה'!$B$2,R220='לוח בקרה'!$B$2,S220='לוח בקרה'!$B$2,T220='לוח בקרה'!$B$2)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E221">
        <f>IFERROR(INDEX('הגדרות'!$D$104:$D$123,MATCH(B221&amp;G221&amp;C221,'הגדרות'!$A$104:$A$123&amp;'הגדרות'!$B$104:$B$123&amp;'הגדרות'!$C$104:$C$123,0)),"")</f>
        <v/>
      </c>
      <c r="F221" s="6" t="n"/>
      <c r="Q221">
        <f>IFERROR(VLOOKUP(M221,'הגדרות'!$A$11:$D$25,2,FALSE),"")</f>
        <v/>
      </c>
      <c r="R221">
        <f>IFERROR(VLOOKUP(M221,'הגדרות'!$A$11:$D$25,3,FALSE),"")</f>
        <v/>
      </c>
      <c r="S221">
        <f>IFERROR(VLOOKUP(N221,'הגדרות'!$A$11:$D$25,2,FALSE),"")</f>
        <v/>
      </c>
      <c r="T221">
        <f>IFERROR(VLOOKUP(N221,'הגדרות'!$A$11:$D$25,3,FALSE),"")</f>
        <v/>
      </c>
      <c r="AB221" s="6" t="n"/>
      <c r="AE221">
        <f>OR(Q221='לוח בקרה'!$B$2,R221='לוח בקרה'!$B$2,S221='לוח בקרה'!$B$2,T221='לוח בקרה'!$B$2)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E222">
        <f>IFERROR(INDEX('הגדרות'!$D$104:$D$123,MATCH(B222&amp;G222&amp;C222,'הגדרות'!$A$104:$A$123&amp;'הגדרות'!$B$104:$B$123&amp;'הגדרות'!$C$104:$C$123,0)),"")</f>
        <v/>
      </c>
      <c r="F222" s="6" t="n"/>
      <c r="Q222">
        <f>IFERROR(VLOOKUP(M222,'הגדרות'!$A$11:$D$25,2,FALSE),"")</f>
        <v/>
      </c>
      <c r="R222">
        <f>IFERROR(VLOOKUP(M222,'הגדרות'!$A$11:$D$25,3,FALSE),"")</f>
        <v/>
      </c>
      <c r="S222">
        <f>IFERROR(VLOOKUP(N222,'הגדרות'!$A$11:$D$25,2,FALSE),"")</f>
        <v/>
      </c>
      <c r="T222">
        <f>IFERROR(VLOOKUP(N222,'הגדרות'!$A$11:$D$25,3,FALSE),"")</f>
        <v/>
      </c>
      <c r="AB222" s="6" t="n"/>
      <c r="AE222">
        <f>OR(Q222='לוח בקרה'!$B$2,R222='לוח בקרה'!$B$2,S222='לוח בקרה'!$B$2,T222='לוח בקרה'!$B$2)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E223">
        <f>IFERROR(INDEX('הגדרות'!$D$104:$D$123,MATCH(B223&amp;G223&amp;C223,'הגדרות'!$A$104:$A$123&amp;'הגדרות'!$B$104:$B$123&amp;'הגדרות'!$C$104:$C$123,0)),"")</f>
        <v/>
      </c>
      <c r="F223" s="6" t="n"/>
      <c r="Q223">
        <f>IFERROR(VLOOKUP(M223,'הגדרות'!$A$11:$D$25,2,FALSE),"")</f>
        <v/>
      </c>
      <c r="R223">
        <f>IFERROR(VLOOKUP(M223,'הגדרות'!$A$11:$D$25,3,FALSE),"")</f>
        <v/>
      </c>
      <c r="S223">
        <f>IFERROR(VLOOKUP(N223,'הגדרות'!$A$11:$D$25,2,FALSE),"")</f>
        <v/>
      </c>
      <c r="T223">
        <f>IFERROR(VLOOKUP(N223,'הגדרות'!$A$11:$D$25,3,FALSE),"")</f>
        <v/>
      </c>
      <c r="AB223" s="6" t="n"/>
      <c r="AE223">
        <f>OR(Q223='לוח בקרה'!$B$2,R223='לוח בקרה'!$B$2,S223='לוח בקרה'!$B$2,T223='לוח בקרה'!$B$2)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E224">
        <f>IFERROR(INDEX('הגדרות'!$D$104:$D$123,MATCH(B224&amp;G224&amp;C224,'הגדרות'!$A$104:$A$123&amp;'הגדרות'!$B$104:$B$123&amp;'הגדרות'!$C$104:$C$123,0)),"")</f>
        <v/>
      </c>
      <c r="F224" s="6" t="n"/>
      <c r="Q224">
        <f>IFERROR(VLOOKUP(M224,'הגדרות'!$A$11:$D$25,2,FALSE),"")</f>
        <v/>
      </c>
      <c r="R224">
        <f>IFERROR(VLOOKUP(M224,'הגדרות'!$A$11:$D$25,3,FALSE),"")</f>
        <v/>
      </c>
      <c r="S224">
        <f>IFERROR(VLOOKUP(N224,'הגדרות'!$A$11:$D$25,2,FALSE),"")</f>
        <v/>
      </c>
      <c r="T224">
        <f>IFERROR(VLOOKUP(N224,'הגדרות'!$A$11:$D$25,3,FALSE),"")</f>
        <v/>
      </c>
      <c r="AB224" s="6" t="n"/>
      <c r="AE224">
        <f>OR(Q224='לוח בקרה'!$B$2,R224='לוח בקרה'!$B$2,S224='לוח בקרה'!$B$2,T224='לוח בקרה'!$B$2)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E225">
        <f>IFERROR(INDEX('הגדרות'!$D$104:$D$123,MATCH(B225&amp;G225&amp;C225,'הגדרות'!$A$104:$A$123&amp;'הגדרות'!$B$104:$B$123&amp;'הגדרות'!$C$104:$C$123,0)),"")</f>
        <v/>
      </c>
      <c r="F225" s="6" t="n"/>
      <c r="Q225">
        <f>IFERROR(VLOOKUP(M225,'הגדרות'!$A$11:$D$25,2,FALSE),"")</f>
        <v/>
      </c>
      <c r="R225">
        <f>IFERROR(VLOOKUP(M225,'הגדרות'!$A$11:$D$25,3,FALSE),"")</f>
        <v/>
      </c>
      <c r="S225">
        <f>IFERROR(VLOOKUP(N225,'הגדרות'!$A$11:$D$25,2,FALSE),"")</f>
        <v/>
      </c>
      <c r="T225">
        <f>IFERROR(VLOOKUP(N225,'הגדרות'!$A$11:$D$25,3,FALSE),"")</f>
        <v/>
      </c>
      <c r="AB225" s="6" t="n"/>
      <c r="AE225">
        <f>OR(Q225='לוח בקרה'!$B$2,R225='לוח בקרה'!$B$2,S225='לוח בקרה'!$B$2,T225='לוח בקרה'!$B$2)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E226">
        <f>IFERROR(INDEX('הגדרות'!$D$104:$D$123,MATCH(B226&amp;G226&amp;C226,'הגדרות'!$A$104:$A$123&amp;'הגדרות'!$B$104:$B$123&amp;'הגדרות'!$C$104:$C$123,0)),"")</f>
        <v/>
      </c>
      <c r="F226" s="6" t="n"/>
      <c r="Q226">
        <f>IFERROR(VLOOKUP(M226,'הגדרות'!$A$11:$D$25,2,FALSE),"")</f>
        <v/>
      </c>
      <c r="R226">
        <f>IFERROR(VLOOKUP(M226,'הגדרות'!$A$11:$D$25,3,FALSE),"")</f>
        <v/>
      </c>
      <c r="S226">
        <f>IFERROR(VLOOKUP(N226,'הגדרות'!$A$11:$D$25,2,FALSE),"")</f>
        <v/>
      </c>
      <c r="T226">
        <f>IFERROR(VLOOKUP(N226,'הגדרות'!$A$11:$D$25,3,FALSE),"")</f>
        <v/>
      </c>
      <c r="AB226" s="6" t="n"/>
      <c r="AE226">
        <f>OR(Q226='לוח בקרה'!$B$2,R226='לוח בקרה'!$B$2,S226='לוח בקרה'!$B$2,T226='לוח בקרה'!$B$2)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E227">
        <f>IFERROR(INDEX('הגדרות'!$D$104:$D$123,MATCH(B227&amp;G227&amp;C227,'הגדרות'!$A$104:$A$123&amp;'הגדרות'!$B$104:$B$123&amp;'הגדרות'!$C$104:$C$123,0)),"")</f>
        <v/>
      </c>
      <c r="F227" s="6" t="n"/>
      <c r="Q227">
        <f>IFERROR(VLOOKUP(M227,'הגדרות'!$A$11:$D$25,2,FALSE),"")</f>
        <v/>
      </c>
      <c r="R227">
        <f>IFERROR(VLOOKUP(M227,'הגדרות'!$A$11:$D$25,3,FALSE),"")</f>
        <v/>
      </c>
      <c r="S227">
        <f>IFERROR(VLOOKUP(N227,'הגדרות'!$A$11:$D$25,2,FALSE),"")</f>
        <v/>
      </c>
      <c r="T227">
        <f>IFERROR(VLOOKUP(N227,'הגדרות'!$A$11:$D$25,3,FALSE),"")</f>
        <v/>
      </c>
      <c r="AB227" s="6" t="n"/>
      <c r="AE227">
        <f>OR(Q227='לוח בקרה'!$B$2,R227='לוח בקרה'!$B$2,S227='לוח בקרה'!$B$2,T227='לוח בקרה'!$B$2)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E228">
        <f>IFERROR(INDEX('הגדרות'!$D$104:$D$123,MATCH(B228&amp;G228&amp;C228,'הגדרות'!$A$104:$A$123&amp;'הגדרות'!$B$104:$B$123&amp;'הגדרות'!$C$104:$C$123,0)),"")</f>
        <v/>
      </c>
      <c r="F228" s="6" t="n"/>
      <c r="Q228">
        <f>IFERROR(VLOOKUP(M228,'הגדרות'!$A$11:$D$25,2,FALSE),"")</f>
        <v/>
      </c>
      <c r="R228">
        <f>IFERROR(VLOOKUP(M228,'הגדרות'!$A$11:$D$25,3,FALSE),"")</f>
        <v/>
      </c>
      <c r="S228">
        <f>IFERROR(VLOOKUP(N228,'הגדרות'!$A$11:$D$25,2,FALSE),"")</f>
        <v/>
      </c>
      <c r="T228">
        <f>IFERROR(VLOOKUP(N228,'הגדרות'!$A$11:$D$25,3,FALSE),"")</f>
        <v/>
      </c>
      <c r="AB228" s="6" t="n"/>
      <c r="AE228">
        <f>OR(Q228='לוח בקרה'!$B$2,R228='לוח בקרה'!$B$2,S228='לוח בקרה'!$B$2,T228='לוח בקרה'!$B$2)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E229">
        <f>IFERROR(INDEX('הגדרות'!$D$104:$D$123,MATCH(B229&amp;G229&amp;C229,'הגדרות'!$A$104:$A$123&amp;'הגדרות'!$B$104:$B$123&amp;'הגדרות'!$C$104:$C$123,0)),"")</f>
        <v/>
      </c>
      <c r="F229" s="6" t="n"/>
      <c r="Q229">
        <f>IFERROR(VLOOKUP(M229,'הגדרות'!$A$11:$D$25,2,FALSE),"")</f>
        <v/>
      </c>
      <c r="R229">
        <f>IFERROR(VLOOKUP(M229,'הגדרות'!$A$11:$D$25,3,FALSE),"")</f>
        <v/>
      </c>
      <c r="S229">
        <f>IFERROR(VLOOKUP(N229,'הגדרות'!$A$11:$D$25,2,FALSE),"")</f>
        <v/>
      </c>
      <c r="T229">
        <f>IFERROR(VLOOKUP(N229,'הגדרות'!$A$11:$D$25,3,FALSE),"")</f>
        <v/>
      </c>
      <c r="AB229" s="6" t="n"/>
      <c r="AE229">
        <f>OR(Q229='לוח בקרה'!$B$2,R229='לוח בקרה'!$B$2,S229='לוח בקרה'!$B$2,T229='לוח בקרה'!$B$2)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E230">
        <f>IFERROR(INDEX('הגדרות'!$D$104:$D$123,MATCH(B230&amp;G230&amp;C230,'הגדרות'!$A$104:$A$123&amp;'הגדרות'!$B$104:$B$123&amp;'הגדרות'!$C$104:$C$123,0)),"")</f>
        <v/>
      </c>
      <c r="F230" s="6" t="n"/>
      <c r="Q230">
        <f>IFERROR(VLOOKUP(M230,'הגדרות'!$A$11:$D$25,2,FALSE),"")</f>
        <v/>
      </c>
      <c r="R230">
        <f>IFERROR(VLOOKUP(M230,'הגדרות'!$A$11:$D$25,3,FALSE),"")</f>
        <v/>
      </c>
      <c r="S230">
        <f>IFERROR(VLOOKUP(N230,'הגדרות'!$A$11:$D$25,2,FALSE),"")</f>
        <v/>
      </c>
      <c r="T230">
        <f>IFERROR(VLOOKUP(N230,'הגדרות'!$A$11:$D$25,3,FALSE),"")</f>
        <v/>
      </c>
      <c r="AB230" s="6" t="n"/>
      <c r="AE230">
        <f>OR(Q230='לוח בקרה'!$B$2,R230='לוח בקרה'!$B$2,S230='לוח בקרה'!$B$2,T230='לוח בקרה'!$B$2)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E231">
        <f>IFERROR(INDEX('הגדרות'!$D$104:$D$123,MATCH(B231&amp;G231&amp;C231,'הגדרות'!$A$104:$A$123&amp;'הגדרות'!$B$104:$B$123&amp;'הגדרות'!$C$104:$C$123,0)),"")</f>
        <v/>
      </c>
      <c r="F231" s="6" t="n"/>
      <c r="Q231">
        <f>IFERROR(VLOOKUP(M231,'הגדרות'!$A$11:$D$25,2,FALSE),"")</f>
        <v/>
      </c>
      <c r="R231">
        <f>IFERROR(VLOOKUP(M231,'הגדרות'!$A$11:$D$25,3,FALSE),"")</f>
        <v/>
      </c>
      <c r="S231">
        <f>IFERROR(VLOOKUP(N231,'הגדרות'!$A$11:$D$25,2,FALSE),"")</f>
        <v/>
      </c>
      <c r="T231">
        <f>IFERROR(VLOOKUP(N231,'הגדרות'!$A$11:$D$25,3,FALSE),"")</f>
        <v/>
      </c>
      <c r="AB231" s="6" t="n"/>
      <c r="AE231">
        <f>OR(Q231='לוח בקרה'!$B$2,R231='לוח בקרה'!$B$2,S231='לוח בקרה'!$B$2,T231='לוח בקרה'!$B$2)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E232">
        <f>IFERROR(INDEX('הגדרות'!$D$104:$D$123,MATCH(B232&amp;G232&amp;C232,'הגדרות'!$A$104:$A$123&amp;'הגדרות'!$B$104:$B$123&amp;'הגדרות'!$C$104:$C$123,0)),"")</f>
        <v/>
      </c>
      <c r="F232" s="6" t="n"/>
      <c r="Q232">
        <f>IFERROR(VLOOKUP(M232,'הגדרות'!$A$11:$D$25,2,FALSE),"")</f>
        <v/>
      </c>
      <c r="R232">
        <f>IFERROR(VLOOKUP(M232,'הגדרות'!$A$11:$D$25,3,FALSE),"")</f>
        <v/>
      </c>
      <c r="S232">
        <f>IFERROR(VLOOKUP(N232,'הגדרות'!$A$11:$D$25,2,FALSE),"")</f>
        <v/>
      </c>
      <c r="T232">
        <f>IFERROR(VLOOKUP(N232,'הגדרות'!$A$11:$D$25,3,FALSE),"")</f>
        <v/>
      </c>
      <c r="AB232" s="6" t="n"/>
      <c r="AE232">
        <f>OR(Q232='לוח בקרה'!$B$2,R232='לוח בקרה'!$B$2,S232='לוח בקרה'!$B$2,T232='לוח בקרה'!$B$2)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E233">
        <f>IFERROR(INDEX('הגדרות'!$D$104:$D$123,MATCH(B233&amp;G233&amp;C233,'הגדרות'!$A$104:$A$123&amp;'הגדרות'!$B$104:$B$123&amp;'הגדרות'!$C$104:$C$123,0)),"")</f>
        <v/>
      </c>
      <c r="F233" s="6" t="n"/>
      <c r="Q233">
        <f>IFERROR(VLOOKUP(M233,'הגדרות'!$A$11:$D$25,2,FALSE),"")</f>
        <v/>
      </c>
      <c r="R233">
        <f>IFERROR(VLOOKUP(M233,'הגדרות'!$A$11:$D$25,3,FALSE),"")</f>
        <v/>
      </c>
      <c r="S233">
        <f>IFERROR(VLOOKUP(N233,'הגדרות'!$A$11:$D$25,2,FALSE),"")</f>
        <v/>
      </c>
      <c r="T233">
        <f>IFERROR(VLOOKUP(N233,'הגדרות'!$A$11:$D$25,3,FALSE),"")</f>
        <v/>
      </c>
      <c r="AB233" s="6" t="n"/>
      <c r="AE233">
        <f>OR(Q233='לוח בקרה'!$B$2,R233='לוח בקרה'!$B$2,S233='לוח בקרה'!$B$2,T233='לוח בקרה'!$B$2)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E234">
        <f>IFERROR(INDEX('הגדרות'!$D$104:$D$123,MATCH(B234&amp;G234&amp;C234,'הגדרות'!$A$104:$A$123&amp;'הגדרות'!$B$104:$B$123&amp;'הגדרות'!$C$104:$C$123,0)),"")</f>
        <v/>
      </c>
      <c r="F234" s="6" t="n"/>
      <c r="Q234">
        <f>IFERROR(VLOOKUP(M234,'הגדרות'!$A$11:$D$25,2,FALSE),"")</f>
        <v/>
      </c>
      <c r="R234">
        <f>IFERROR(VLOOKUP(M234,'הגדרות'!$A$11:$D$25,3,FALSE),"")</f>
        <v/>
      </c>
      <c r="S234">
        <f>IFERROR(VLOOKUP(N234,'הגדרות'!$A$11:$D$25,2,FALSE),"")</f>
        <v/>
      </c>
      <c r="T234">
        <f>IFERROR(VLOOKUP(N234,'הגדרות'!$A$11:$D$25,3,FALSE),"")</f>
        <v/>
      </c>
      <c r="AB234" s="6" t="n"/>
      <c r="AE234">
        <f>OR(Q234='לוח בקרה'!$B$2,R234='לוח בקרה'!$B$2,S234='לוח בקרה'!$B$2,T234='לוח בקרה'!$B$2)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E235">
        <f>IFERROR(INDEX('הגדרות'!$D$104:$D$123,MATCH(B235&amp;G235&amp;C235,'הגדרות'!$A$104:$A$123&amp;'הגדרות'!$B$104:$B$123&amp;'הגדרות'!$C$104:$C$123,0)),"")</f>
        <v/>
      </c>
      <c r="F235" s="6" t="n"/>
      <c r="Q235">
        <f>IFERROR(VLOOKUP(M235,'הגדרות'!$A$11:$D$25,2,FALSE),"")</f>
        <v/>
      </c>
      <c r="R235">
        <f>IFERROR(VLOOKUP(M235,'הגדרות'!$A$11:$D$25,3,FALSE),"")</f>
        <v/>
      </c>
      <c r="S235">
        <f>IFERROR(VLOOKUP(N235,'הגדרות'!$A$11:$D$25,2,FALSE),"")</f>
        <v/>
      </c>
      <c r="T235">
        <f>IFERROR(VLOOKUP(N235,'הגדרות'!$A$11:$D$25,3,FALSE),"")</f>
        <v/>
      </c>
      <c r="AB235" s="6" t="n"/>
      <c r="AE235">
        <f>OR(Q235='לוח בקרה'!$B$2,R235='לוח בקרה'!$B$2,S235='לוח בקרה'!$B$2,T235='לוח בקרה'!$B$2)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E236">
        <f>IFERROR(INDEX('הגדרות'!$D$104:$D$123,MATCH(B236&amp;G236&amp;C236,'הגדרות'!$A$104:$A$123&amp;'הגדרות'!$B$104:$B$123&amp;'הגדרות'!$C$104:$C$123,0)),"")</f>
        <v/>
      </c>
      <c r="F236" s="6" t="n"/>
      <c r="Q236">
        <f>IFERROR(VLOOKUP(M236,'הגדרות'!$A$11:$D$25,2,FALSE),"")</f>
        <v/>
      </c>
      <c r="R236">
        <f>IFERROR(VLOOKUP(M236,'הגדרות'!$A$11:$D$25,3,FALSE),"")</f>
        <v/>
      </c>
      <c r="S236">
        <f>IFERROR(VLOOKUP(N236,'הגדרות'!$A$11:$D$25,2,FALSE),"")</f>
        <v/>
      </c>
      <c r="T236">
        <f>IFERROR(VLOOKUP(N236,'הגדרות'!$A$11:$D$25,3,FALSE),"")</f>
        <v/>
      </c>
      <c r="AB236" s="6" t="n"/>
      <c r="AE236">
        <f>OR(Q236='לוח בקרה'!$B$2,R236='לוח בקרה'!$B$2,S236='לוח בקרה'!$B$2,T236='לוח בקרה'!$B$2)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E237">
        <f>IFERROR(INDEX('הגדרות'!$D$104:$D$123,MATCH(B237&amp;G237&amp;C237,'הגדרות'!$A$104:$A$123&amp;'הגדרות'!$B$104:$B$123&amp;'הגדרות'!$C$104:$C$123,0)),"")</f>
        <v/>
      </c>
      <c r="F237" s="6" t="n"/>
      <c r="Q237">
        <f>IFERROR(VLOOKUP(M237,'הגדרות'!$A$11:$D$25,2,FALSE),"")</f>
        <v/>
      </c>
      <c r="R237">
        <f>IFERROR(VLOOKUP(M237,'הגדרות'!$A$11:$D$25,3,FALSE),"")</f>
        <v/>
      </c>
      <c r="S237">
        <f>IFERROR(VLOOKUP(N237,'הגדרות'!$A$11:$D$25,2,FALSE),"")</f>
        <v/>
      </c>
      <c r="T237">
        <f>IFERROR(VLOOKUP(N237,'הגדרות'!$A$11:$D$25,3,FALSE),"")</f>
        <v/>
      </c>
      <c r="AB237" s="6" t="n"/>
      <c r="AE237">
        <f>OR(Q237='לוח בקרה'!$B$2,R237='לוח בקרה'!$B$2,S237='לוח בקרה'!$B$2,T237='לוח בקרה'!$B$2)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E238">
        <f>IFERROR(INDEX('הגדרות'!$D$104:$D$123,MATCH(B238&amp;G238&amp;C238,'הגדרות'!$A$104:$A$123&amp;'הגדרות'!$B$104:$B$123&amp;'הגדרות'!$C$104:$C$123,0)),"")</f>
        <v/>
      </c>
      <c r="F238" s="6" t="n"/>
      <c r="Q238">
        <f>IFERROR(VLOOKUP(M238,'הגדרות'!$A$11:$D$25,2,FALSE),"")</f>
        <v/>
      </c>
      <c r="R238">
        <f>IFERROR(VLOOKUP(M238,'הגדרות'!$A$11:$D$25,3,FALSE),"")</f>
        <v/>
      </c>
      <c r="S238">
        <f>IFERROR(VLOOKUP(N238,'הגדרות'!$A$11:$D$25,2,FALSE),"")</f>
        <v/>
      </c>
      <c r="T238">
        <f>IFERROR(VLOOKUP(N238,'הגדרות'!$A$11:$D$25,3,FALSE),"")</f>
        <v/>
      </c>
      <c r="AB238" s="6" t="n"/>
      <c r="AE238">
        <f>OR(Q238='לוח בקרה'!$B$2,R238='לוח בקרה'!$B$2,S238='לוח בקרה'!$B$2,T238='לוח בקרה'!$B$2)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E239">
        <f>IFERROR(INDEX('הגדרות'!$D$104:$D$123,MATCH(B239&amp;G239&amp;C239,'הגדרות'!$A$104:$A$123&amp;'הגדרות'!$B$104:$B$123&amp;'הגדרות'!$C$104:$C$123,0)),"")</f>
        <v/>
      </c>
      <c r="F239" s="6" t="n"/>
      <c r="Q239">
        <f>IFERROR(VLOOKUP(M239,'הגדרות'!$A$11:$D$25,2,FALSE),"")</f>
        <v/>
      </c>
      <c r="R239">
        <f>IFERROR(VLOOKUP(M239,'הגדרות'!$A$11:$D$25,3,FALSE),"")</f>
        <v/>
      </c>
      <c r="S239">
        <f>IFERROR(VLOOKUP(N239,'הגדרות'!$A$11:$D$25,2,FALSE),"")</f>
        <v/>
      </c>
      <c r="T239">
        <f>IFERROR(VLOOKUP(N239,'הגדרות'!$A$11:$D$25,3,FALSE),"")</f>
        <v/>
      </c>
      <c r="AB239" s="6" t="n"/>
      <c r="AE239">
        <f>OR(Q239='לוח בקרה'!$B$2,R239='לוח בקרה'!$B$2,S239='לוח בקרה'!$B$2,T239='לוח בקרה'!$B$2)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E240">
        <f>IFERROR(INDEX('הגדרות'!$D$104:$D$123,MATCH(B240&amp;G240&amp;C240,'הגדרות'!$A$104:$A$123&amp;'הגדרות'!$B$104:$B$123&amp;'הגדרות'!$C$104:$C$123,0)),"")</f>
        <v/>
      </c>
      <c r="F240" s="6" t="n"/>
      <c r="Q240">
        <f>IFERROR(VLOOKUP(M240,'הגדרות'!$A$11:$D$25,2,FALSE),"")</f>
        <v/>
      </c>
      <c r="R240">
        <f>IFERROR(VLOOKUP(M240,'הגדרות'!$A$11:$D$25,3,FALSE),"")</f>
        <v/>
      </c>
      <c r="S240">
        <f>IFERROR(VLOOKUP(N240,'הגדרות'!$A$11:$D$25,2,FALSE),"")</f>
        <v/>
      </c>
      <c r="T240">
        <f>IFERROR(VLOOKUP(N240,'הגדרות'!$A$11:$D$25,3,FALSE),"")</f>
        <v/>
      </c>
      <c r="AB240" s="6" t="n"/>
      <c r="AE240">
        <f>OR(Q240='לוח בקרה'!$B$2,R240='לוח בקרה'!$B$2,S240='לוח בקרה'!$B$2,T240='לוח בקרה'!$B$2)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E241">
        <f>IFERROR(INDEX('הגדרות'!$D$104:$D$123,MATCH(B241&amp;G241&amp;C241,'הגדרות'!$A$104:$A$123&amp;'הגדרות'!$B$104:$B$123&amp;'הגדרות'!$C$104:$C$123,0)),"")</f>
        <v/>
      </c>
      <c r="F241" s="6" t="n"/>
      <c r="Q241">
        <f>IFERROR(VLOOKUP(M241,'הגדרות'!$A$11:$D$25,2,FALSE),"")</f>
        <v/>
      </c>
      <c r="R241">
        <f>IFERROR(VLOOKUP(M241,'הגדרות'!$A$11:$D$25,3,FALSE),"")</f>
        <v/>
      </c>
      <c r="S241">
        <f>IFERROR(VLOOKUP(N241,'הגדרות'!$A$11:$D$25,2,FALSE),"")</f>
        <v/>
      </c>
      <c r="T241">
        <f>IFERROR(VLOOKUP(N241,'הגדרות'!$A$11:$D$25,3,FALSE),"")</f>
        <v/>
      </c>
      <c r="AB241" s="6" t="n"/>
      <c r="AE241">
        <f>OR(Q241='לוח בקרה'!$B$2,R241='לוח בקרה'!$B$2,S241='לוח בקרה'!$B$2,T241='לוח בקרה'!$B$2)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E242">
        <f>IFERROR(INDEX('הגדרות'!$D$104:$D$123,MATCH(B242&amp;G242&amp;C242,'הגדרות'!$A$104:$A$123&amp;'הגדרות'!$B$104:$B$123&amp;'הגדרות'!$C$104:$C$123,0)),"")</f>
        <v/>
      </c>
      <c r="F242" s="6" t="n"/>
      <c r="Q242">
        <f>IFERROR(VLOOKUP(M242,'הגדרות'!$A$11:$D$25,2,FALSE),"")</f>
        <v/>
      </c>
      <c r="R242">
        <f>IFERROR(VLOOKUP(M242,'הגדרות'!$A$11:$D$25,3,FALSE),"")</f>
        <v/>
      </c>
      <c r="S242">
        <f>IFERROR(VLOOKUP(N242,'הגדרות'!$A$11:$D$25,2,FALSE),"")</f>
        <v/>
      </c>
      <c r="T242">
        <f>IFERROR(VLOOKUP(N242,'הגדרות'!$A$11:$D$25,3,FALSE),"")</f>
        <v/>
      </c>
      <c r="AB242" s="6" t="n"/>
      <c r="AE242">
        <f>OR(Q242='לוח בקרה'!$B$2,R242='לוח בקרה'!$B$2,S242='לוח בקרה'!$B$2,T242='לוח בקרה'!$B$2)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E243">
        <f>IFERROR(INDEX('הגדרות'!$D$104:$D$123,MATCH(B243&amp;G243&amp;C243,'הגדרות'!$A$104:$A$123&amp;'הגדרות'!$B$104:$B$123&amp;'הגדרות'!$C$104:$C$123,0)),"")</f>
        <v/>
      </c>
      <c r="F243" s="6" t="n"/>
      <c r="Q243">
        <f>IFERROR(VLOOKUP(M243,'הגדרות'!$A$11:$D$25,2,FALSE),"")</f>
        <v/>
      </c>
      <c r="R243">
        <f>IFERROR(VLOOKUP(M243,'הגדרות'!$A$11:$D$25,3,FALSE),"")</f>
        <v/>
      </c>
      <c r="S243">
        <f>IFERROR(VLOOKUP(N243,'הגדרות'!$A$11:$D$25,2,FALSE),"")</f>
        <v/>
      </c>
      <c r="T243">
        <f>IFERROR(VLOOKUP(N243,'הגדרות'!$A$11:$D$25,3,FALSE),"")</f>
        <v/>
      </c>
      <c r="AB243" s="6" t="n"/>
      <c r="AE243">
        <f>OR(Q243='לוח בקרה'!$B$2,R243='לוח בקרה'!$B$2,S243='לוח בקרה'!$B$2,T243='לוח בקרה'!$B$2)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E244">
        <f>IFERROR(INDEX('הגדרות'!$D$104:$D$123,MATCH(B244&amp;G244&amp;C244,'הגדרות'!$A$104:$A$123&amp;'הגדרות'!$B$104:$B$123&amp;'הגדרות'!$C$104:$C$123,0)),"")</f>
        <v/>
      </c>
      <c r="F244" s="6" t="n"/>
      <c r="Q244">
        <f>IFERROR(VLOOKUP(M244,'הגדרות'!$A$11:$D$25,2,FALSE),"")</f>
        <v/>
      </c>
      <c r="R244">
        <f>IFERROR(VLOOKUP(M244,'הגדרות'!$A$11:$D$25,3,FALSE),"")</f>
        <v/>
      </c>
      <c r="S244">
        <f>IFERROR(VLOOKUP(N244,'הגדרות'!$A$11:$D$25,2,FALSE),"")</f>
        <v/>
      </c>
      <c r="T244">
        <f>IFERROR(VLOOKUP(N244,'הגדרות'!$A$11:$D$25,3,FALSE),"")</f>
        <v/>
      </c>
      <c r="AB244" s="6" t="n"/>
      <c r="AE244">
        <f>OR(Q244='לוח בקרה'!$B$2,R244='לוח בקרה'!$B$2,S244='לוח בקרה'!$B$2,T244='לוח בקרה'!$B$2)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E245">
        <f>IFERROR(INDEX('הגדרות'!$D$104:$D$123,MATCH(B245&amp;G245&amp;C245,'הגדרות'!$A$104:$A$123&amp;'הגדרות'!$B$104:$B$123&amp;'הגדרות'!$C$104:$C$123,0)),"")</f>
        <v/>
      </c>
      <c r="F245" s="6" t="n"/>
      <c r="Q245">
        <f>IFERROR(VLOOKUP(M245,'הגדרות'!$A$11:$D$25,2,FALSE),"")</f>
        <v/>
      </c>
      <c r="R245">
        <f>IFERROR(VLOOKUP(M245,'הגדרות'!$A$11:$D$25,3,FALSE),"")</f>
        <v/>
      </c>
      <c r="S245">
        <f>IFERROR(VLOOKUP(N245,'הגדרות'!$A$11:$D$25,2,FALSE),"")</f>
        <v/>
      </c>
      <c r="T245">
        <f>IFERROR(VLOOKUP(N245,'הגדרות'!$A$11:$D$25,3,FALSE),"")</f>
        <v/>
      </c>
      <c r="AB245" s="6" t="n"/>
      <c r="AE245">
        <f>OR(Q245='לוח בקרה'!$B$2,R245='לוח בקרה'!$B$2,S245='לוח בקרה'!$B$2,T245='לוח בקרה'!$B$2)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E246">
        <f>IFERROR(INDEX('הגדרות'!$D$104:$D$123,MATCH(B246&amp;G246&amp;C246,'הגדרות'!$A$104:$A$123&amp;'הגדרות'!$B$104:$B$123&amp;'הגדרות'!$C$104:$C$123,0)),"")</f>
        <v/>
      </c>
      <c r="F246" s="6" t="n"/>
      <c r="Q246">
        <f>IFERROR(VLOOKUP(M246,'הגדרות'!$A$11:$D$25,2,FALSE),"")</f>
        <v/>
      </c>
      <c r="R246">
        <f>IFERROR(VLOOKUP(M246,'הגדרות'!$A$11:$D$25,3,FALSE),"")</f>
        <v/>
      </c>
      <c r="S246">
        <f>IFERROR(VLOOKUP(N246,'הגדרות'!$A$11:$D$25,2,FALSE),"")</f>
        <v/>
      </c>
      <c r="T246">
        <f>IFERROR(VLOOKUP(N246,'הגדרות'!$A$11:$D$25,3,FALSE),"")</f>
        <v/>
      </c>
      <c r="AB246" s="6" t="n"/>
      <c r="AE246">
        <f>OR(Q246='לוח בקרה'!$B$2,R246='לוח בקרה'!$B$2,S246='לוח בקרה'!$B$2,T246='לוח בקרה'!$B$2)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E247">
        <f>IFERROR(INDEX('הגדרות'!$D$104:$D$123,MATCH(B247&amp;G247&amp;C247,'הגדרות'!$A$104:$A$123&amp;'הגדרות'!$B$104:$B$123&amp;'הגדרות'!$C$104:$C$123,0)),"")</f>
        <v/>
      </c>
      <c r="F247" s="6" t="n"/>
      <c r="Q247">
        <f>IFERROR(VLOOKUP(M247,'הגדרות'!$A$11:$D$25,2,FALSE),"")</f>
        <v/>
      </c>
      <c r="R247">
        <f>IFERROR(VLOOKUP(M247,'הגדרות'!$A$11:$D$25,3,FALSE),"")</f>
        <v/>
      </c>
      <c r="S247">
        <f>IFERROR(VLOOKUP(N247,'הגדרות'!$A$11:$D$25,2,FALSE),"")</f>
        <v/>
      </c>
      <c r="T247">
        <f>IFERROR(VLOOKUP(N247,'הגדרות'!$A$11:$D$25,3,FALSE),"")</f>
        <v/>
      </c>
      <c r="AB247" s="6" t="n"/>
      <c r="AE247">
        <f>OR(Q247='לוח בקרה'!$B$2,R247='לוח בקרה'!$B$2,S247='לוח בקרה'!$B$2,T247='לוח בקרה'!$B$2)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E248">
        <f>IFERROR(INDEX('הגדרות'!$D$104:$D$123,MATCH(B248&amp;G248&amp;C248,'הגדרות'!$A$104:$A$123&amp;'הגדרות'!$B$104:$B$123&amp;'הגדרות'!$C$104:$C$123,0)),"")</f>
        <v/>
      </c>
      <c r="F248" s="6" t="n"/>
      <c r="Q248">
        <f>IFERROR(VLOOKUP(M248,'הגדרות'!$A$11:$D$25,2,FALSE),"")</f>
        <v/>
      </c>
      <c r="R248">
        <f>IFERROR(VLOOKUP(M248,'הגדרות'!$A$11:$D$25,3,FALSE),"")</f>
        <v/>
      </c>
      <c r="S248">
        <f>IFERROR(VLOOKUP(N248,'הגדרות'!$A$11:$D$25,2,FALSE),"")</f>
        <v/>
      </c>
      <c r="T248">
        <f>IFERROR(VLOOKUP(N248,'הגדרות'!$A$11:$D$25,3,FALSE),"")</f>
        <v/>
      </c>
      <c r="AB248" s="6" t="n"/>
      <c r="AE248">
        <f>OR(Q248='לוח בקרה'!$B$2,R248='לוח בקרה'!$B$2,S248='לוח בקרה'!$B$2,T248='לוח בקרה'!$B$2)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E249">
        <f>IFERROR(INDEX('הגדרות'!$D$104:$D$123,MATCH(B249&amp;G249&amp;C249,'הגדרות'!$A$104:$A$123&amp;'הגדרות'!$B$104:$B$123&amp;'הגדרות'!$C$104:$C$123,0)),"")</f>
        <v/>
      </c>
      <c r="F249" s="6" t="n"/>
      <c r="Q249">
        <f>IFERROR(VLOOKUP(M249,'הגדרות'!$A$11:$D$25,2,FALSE),"")</f>
        <v/>
      </c>
      <c r="R249">
        <f>IFERROR(VLOOKUP(M249,'הגדרות'!$A$11:$D$25,3,FALSE),"")</f>
        <v/>
      </c>
      <c r="S249">
        <f>IFERROR(VLOOKUP(N249,'הגדרות'!$A$11:$D$25,2,FALSE),"")</f>
        <v/>
      </c>
      <c r="T249">
        <f>IFERROR(VLOOKUP(N249,'הגדרות'!$A$11:$D$25,3,FALSE),"")</f>
        <v/>
      </c>
      <c r="AB249" s="6" t="n"/>
      <c r="AE249">
        <f>OR(Q249='לוח בקרה'!$B$2,R249='לוח בקרה'!$B$2,S249='לוח בקרה'!$B$2,T249='לוח בקרה'!$B$2)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E250">
        <f>IFERROR(INDEX('הגדרות'!$D$104:$D$123,MATCH(B250&amp;G250&amp;C250,'הגדרות'!$A$104:$A$123&amp;'הגדרות'!$B$104:$B$123&amp;'הגדרות'!$C$104:$C$123,0)),"")</f>
        <v/>
      </c>
      <c r="F250" s="6" t="n"/>
      <c r="Q250">
        <f>IFERROR(VLOOKUP(M250,'הגדרות'!$A$11:$D$25,2,FALSE),"")</f>
        <v/>
      </c>
      <c r="R250">
        <f>IFERROR(VLOOKUP(M250,'הגדרות'!$A$11:$D$25,3,FALSE),"")</f>
        <v/>
      </c>
      <c r="S250">
        <f>IFERROR(VLOOKUP(N250,'הגדרות'!$A$11:$D$25,2,FALSE),"")</f>
        <v/>
      </c>
      <c r="T250">
        <f>IFERROR(VLOOKUP(N250,'הגדרות'!$A$11:$D$25,3,FALSE),"")</f>
        <v/>
      </c>
      <c r="AB250" s="6" t="n"/>
      <c r="AE250">
        <f>OR(Q250='לוח בקרה'!$B$2,R250='לוח בקרה'!$B$2,S250='לוח בקרה'!$B$2,T250='לוח בקרה'!$B$2)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E251">
        <f>IFERROR(INDEX('הגדרות'!$D$104:$D$123,MATCH(B251&amp;G251&amp;C251,'הגדרות'!$A$104:$A$123&amp;'הגדרות'!$B$104:$B$123&amp;'הגדרות'!$C$104:$C$123,0)),"")</f>
        <v/>
      </c>
      <c r="F251" s="6" t="n"/>
      <c r="Q251">
        <f>IFERROR(VLOOKUP(M251,'הגדרות'!$A$11:$D$25,2,FALSE),"")</f>
        <v/>
      </c>
      <c r="R251">
        <f>IFERROR(VLOOKUP(M251,'הגדרות'!$A$11:$D$25,3,FALSE),"")</f>
        <v/>
      </c>
      <c r="S251">
        <f>IFERROR(VLOOKUP(N251,'הגדרות'!$A$11:$D$25,2,FALSE),"")</f>
        <v/>
      </c>
      <c r="T251">
        <f>IFERROR(VLOOKUP(N251,'הגדרות'!$A$11:$D$25,3,FALSE),"")</f>
        <v/>
      </c>
      <c r="AB251" s="6" t="n"/>
      <c r="AE251">
        <f>OR(Q251='לוח בקרה'!$B$2,R251='לוח בקרה'!$B$2,S251='לוח בקרה'!$B$2,T251='לוח בקרה'!$B$2)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E252">
        <f>IFERROR(INDEX('הגדרות'!$D$104:$D$123,MATCH(B252&amp;G252&amp;C252,'הגדרות'!$A$104:$A$123&amp;'הגדרות'!$B$104:$B$123&amp;'הגדרות'!$C$104:$C$123,0)),"")</f>
        <v/>
      </c>
      <c r="F252" s="6" t="n"/>
      <c r="Q252">
        <f>IFERROR(VLOOKUP(M252,'הגדרות'!$A$11:$D$25,2,FALSE),"")</f>
        <v/>
      </c>
      <c r="R252">
        <f>IFERROR(VLOOKUP(M252,'הגדרות'!$A$11:$D$25,3,FALSE),"")</f>
        <v/>
      </c>
      <c r="S252">
        <f>IFERROR(VLOOKUP(N252,'הגדרות'!$A$11:$D$25,2,FALSE),"")</f>
        <v/>
      </c>
      <c r="T252">
        <f>IFERROR(VLOOKUP(N252,'הגדרות'!$A$11:$D$25,3,FALSE),"")</f>
        <v/>
      </c>
      <c r="AB252" s="6" t="n"/>
      <c r="AE252">
        <f>OR(Q252='לוח בקרה'!$B$2,R252='לוח בקרה'!$B$2,S252='לוח בקרה'!$B$2,T252='לוח בקרה'!$B$2)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E253">
        <f>IFERROR(INDEX('הגדרות'!$D$104:$D$123,MATCH(B253&amp;G253&amp;C253,'הגדרות'!$A$104:$A$123&amp;'הגדרות'!$B$104:$B$123&amp;'הגדרות'!$C$104:$C$123,0)),"")</f>
        <v/>
      </c>
      <c r="F253" s="6" t="n"/>
      <c r="Q253">
        <f>IFERROR(VLOOKUP(M253,'הגדרות'!$A$11:$D$25,2,FALSE),"")</f>
        <v/>
      </c>
      <c r="R253">
        <f>IFERROR(VLOOKUP(M253,'הגדרות'!$A$11:$D$25,3,FALSE),"")</f>
        <v/>
      </c>
      <c r="S253">
        <f>IFERROR(VLOOKUP(N253,'הגדרות'!$A$11:$D$25,2,FALSE),"")</f>
        <v/>
      </c>
      <c r="T253">
        <f>IFERROR(VLOOKUP(N253,'הגדרות'!$A$11:$D$25,3,FALSE),"")</f>
        <v/>
      </c>
      <c r="AB253" s="6" t="n"/>
      <c r="AE253">
        <f>OR(Q253='לוח בקרה'!$B$2,R253='לוח בקרה'!$B$2,S253='לוח בקרה'!$B$2,T253='לוח בקרה'!$B$2)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E254">
        <f>IFERROR(INDEX('הגדרות'!$D$104:$D$123,MATCH(B254&amp;G254&amp;C254,'הגדרות'!$A$104:$A$123&amp;'הגדרות'!$B$104:$B$123&amp;'הגדרות'!$C$104:$C$123,0)),"")</f>
        <v/>
      </c>
      <c r="F254" s="6" t="n"/>
      <c r="Q254">
        <f>IFERROR(VLOOKUP(M254,'הגדרות'!$A$11:$D$25,2,FALSE),"")</f>
        <v/>
      </c>
      <c r="R254">
        <f>IFERROR(VLOOKUP(M254,'הגדרות'!$A$11:$D$25,3,FALSE),"")</f>
        <v/>
      </c>
      <c r="S254">
        <f>IFERROR(VLOOKUP(N254,'הגדרות'!$A$11:$D$25,2,FALSE),"")</f>
        <v/>
      </c>
      <c r="T254">
        <f>IFERROR(VLOOKUP(N254,'הגדרות'!$A$11:$D$25,3,FALSE),"")</f>
        <v/>
      </c>
      <c r="AB254" s="6" t="n"/>
      <c r="AE254">
        <f>OR(Q254='לוח בקרה'!$B$2,R254='לוח בקרה'!$B$2,S254='לוח בקרה'!$B$2,T254='לוח בקרה'!$B$2)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E255">
        <f>IFERROR(INDEX('הגדרות'!$D$104:$D$123,MATCH(B255&amp;G255&amp;C255,'הגדרות'!$A$104:$A$123&amp;'הגדרות'!$B$104:$B$123&amp;'הגדרות'!$C$104:$C$123,0)),"")</f>
        <v/>
      </c>
      <c r="F255" s="6" t="n"/>
      <c r="Q255">
        <f>IFERROR(VLOOKUP(M255,'הגדרות'!$A$11:$D$25,2,FALSE),"")</f>
        <v/>
      </c>
      <c r="R255">
        <f>IFERROR(VLOOKUP(M255,'הגדרות'!$A$11:$D$25,3,FALSE),"")</f>
        <v/>
      </c>
      <c r="S255">
        <f>IFERROR(VLOOKUP(N255,'הגדרות'!$A$11:$D$25,2,FALSE),"")</f>
        <v/>
      </c>
      <c r="T255">
        <f>IFERROR(VLOOKUP(N255,'הגדרות'!$A$11:$D$25,3,FALSE),"")</f>
        <v/>
      </c>
      <c r="AB255" s="6" t="n"/>
      <c r="AE255">
        <f>OR(Q255='לוח בקרה'!$B$2,R255='לוח בקרה'!$B$2,S255='לוח בקרה'!$B$2,T255='לוח בקרה'!$B$2)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E256">
        <f>IFERROR(INDEX('הגדרות'!$D$104:$D$123,MATCH(B256&amp;G256&amp;C256,'הגדרות'!$A$104:$A$123&amp;'הגדרות'!$B$104:$B$123&amp;'הגדרות'!$C$104:$C$123,0)),"")</f>
        <v/>
      </c>
      <c r="F256" s="6" t="n"/>
      <c r="Q256">
        <f>IFERROR(VLOOKUP(M256,'הגדרות'!$A$11:$D$25,2,FALSE),"")</f>
        <v/>
      </c>
      <c r="R256">
        <f>IFERROR(VLOOKUP(M256,'הגדרות'!$A$11:$D$25,3,FALSE),"")</f>
        <v/>
      </c>
      <c r="S256">
        <f>IFERROR(VLOOKUP(N256,'הגדרות'!$A$11:$D$25,2,FALSE),"")</f>
        <v/>
      </c>
      <c r="T256">
        <f>IFERROR(VLOOKUP(N256,'הגדרות'!$A$11:$D$25,3,FALSE),"")</f>
        <v/>
      </c>
      <c r="AB256" s="6" t="n"/>
      <c r="AE256">
        <f>OR(Q256='לוח בקרה'!$B$2,R256='לוח בקרה'!$B$2,S256='לוח בקרה'!$B$2,T256='לוח בקרה'!$B$2)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E257">
        <f>IFERROR(INDEX('הגדרות'!$D$104:$D$123,MATCH(B257&amp;G257&amp;C257,'הגדרות'!$A$104:$A$123&amp;'הגדרות'!$B$104:$B$123&amp;'הגדרות'!$C$104:$C$123,0)),"")</f>
        <v/>
      </c>
      <c r="F257" s="6" t="n"/>
      <c r="Q257">
        <f>IFERROR(VLOOKUP(M257,'הגדרות'!$A$11:$D$25,2,FALSE),"")</f>
        <v/>
      </c>
      <c r="R257">
        <f>IFERROR(VLOOKUP(M257,'הגדרות'!$A$11:$D$25,3,FALSE),"")</f>
        <v/>
      </c>
      <c r="S257">
        <f>IFERROR(VLOOKUP(N257,'הגדרות'!$A$11:$D$25,2,FALSE),"")</f>
        <v/>
      </c>
      <c r="T257">
        <f>IFERROR(VLOOKUP(N257,'הגדרות'!$A$11:$D$25,3,FALSE),"")</f>
        <v/>
      </c>
      <c r="AB257" s="6" t="n"/>
      <c r="AE257">
        <f>OR(Q257='לוח בקרה'!$B$2,R257='לוח בקרה'!$B$2,S257='לוח בקרה'!$B$2,T257='לוח בקרה'!$B$2)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E258">
        <f>IFERROR(INDEX('הגדרות'!$D$104:$D$123,MATCH(B258&amp;G258&amp;C258,'הגדרות'!$A$104:$A$123&amp;'הגדרות'!$B$104:$B$123&amp;'הגדרות'!$C$104:$C$123,0)),"")</f>
        <v/>
      </c>
      <c r="F258" s="6" t="n"/>
      <c r="Q258">
        <f>IFERROR(VLOOKUP(M258,'הגדרות'!$A$11:$D$25,2,FALSE),"")</f>
        <v/>
      </c>
      <c r="R258">
        <f>IFERROR(VLOOKUP(M258,'הגדרות'!$A$11:$D$25,3,FALSE),"")</f>
        <v/>
      </c>
      <c r="S258">
        <f>IFERROR(VLOOKUP(N258,'הגדרות'!$A$11:$D$25,2,FALSE),"")</f>
        <v/>
      </c>
      <c r="T258">
        <f>IFERROR(VLOOKUP(N258,'הגדרות'!$A$11:$D$25,3,FALSE),"")</f>
        <v/>
      </c>
      <c r="AB258" s="6" t="n"/>
      <c r="AE258">
        <f>OR(Q258='לוח בקרה'!$B$2,R258='לוח בקרה'!$B$2,S258='לוח בקרה'!$B$2,T258='לוח בקרה'!$B$2)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E259">
        <f>IFERROR(INDEX('הגדרות'!$D$104:$D$123,MATCH(B259&amp;G259&amp;C259,'הגדרות'!$A$104:$A$123&amp;'הגדרות'!$B$104:$B$123&amp;'הגדרות'!$C$104:$C$123,0)),"")</f>
        <v/>
      </c>
      <c r="F259" s="6" t="n"/>
      <c r="Q259">
        <f>IFERROR(VLOOKUP(M259,'הגדרות'!$A$11:$D$25,2,FALSE),"")</f>
        <v/>
      </c>
      <c r="R259">
        <f>IFERROR(VLOOKUP(M259,'הגדרות'!$A$11:$D$25,3,FALSE),"")</f>
        <v/>
      </c>
      <c r="S259">
        <f>IFERROR(VLOOKUP(N259,'הגדרות'!$A$11:$D$25,2,FALSE),"")</f>
        <v/>
      </c>
      <c r="T259">
        <f>IFERROR(VLOOKUP(N259,'הגדרות'!$A$11:$D$25,3,FALSE),"")</f>
        <v/>
      </c>
      <c r="AB259" s="6" t="n"/>
      <c r="AE259">
        <f>OR(Q259='לוח בקרה'!$B$2,R259='לוח בקרה'!$B$2,S259='לוח בקרה'!$B$2,T259='לוח בקרה'!$B$2)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E260">
        <f>IFERROR(INDEX('הגדרות'!$D$104:$D$123,MATCH(B260&amp;G260&amp;C260,'הגדרות'!$A$104:$A$123&amp;'הגדרות'!$B$104:$B$123&amp;'הגדרות'!$C$104:$C$123,0)),"")</f>
        <v/>
      </c>
      <c r="F260" s="6" t="n"/>
      <c r="Q260">
        <f>IFERROR(VLOOKUP(M260,'הגדרות'!$A$11:$D$25,2,FALSE),"")</f>
        <v/>
      </c>
      <c r="R260">
        <f>IFERROR(VLOOKUP(M260,'הגדרות'!$A$11:$D$25,3,FALSE),"")</f>
        <v/>
      </c>
      <c r="S260">
        <f>IFERROR(VLOOKUP(N260,'הגדרות'!$A$11:$D$25,2,FALSE),"")</f>
        <v/>
      </c>
      <c r="T260">
        <f>IFERROR(VLOOKUP(N260,'הגדרות'!$A$11:$D$25,3,FALSE),"")</f>
        <v/>
      </c>
      <c r="AB260" s="6" t="n"/>
      <c r="AE260">
        <f>OR(Q260='לוח בקרה'!$B$2,R260='לוח בקרה'!$B$2,S260='לוח בקרה'!$B$2,T260='לוח בקרה'!$B$2)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E261">
        <f>IFERROR(INDEX('הגדרות'!$D$104:$D$123,MATCH(B261&amp;G261&amp;C261,'הגדרות'!$A$104:$A$123&amp;'הגדרות'!$B$104:$B$123&amp;'הגדרות'!$C$104:$C$123,0)),"")</f>
        <v/>
      </c>
      <c r="F261" s="6" t="n"/>
      <c r="Q261">
        <f>IFERROR(VLOOKUP(M261,'הגדרות'!$A$11:$D$25,2,FALSE),"")</f>
        <v/>
      </c>
      <c r="R261">
        <f>IFERROR(VLOOKUP(M261,'הגדרות'!$A$11:$D$25,3,FALSE),"")</f>
        <v/>
      </c>
      <c r="S261">
        <f>IFERROR(VLOOKUP(N261,'הגדרות'!$A$11:$D$25,2,FALSE),"")</f>
        <v/>
      </c>
      <c r="T261">
        <f>IFERROR(VLOOKUP(N261,'הגדרות'!$A$11:$D$25,3,FALSE),"")</f>
        <v/>
      </c>
      <c r="AB261" s="6" t="n"/>
      <c r="AE261">
        <f>OR(Q261='לוח בקרה'!$B$2,R261='לוח בקרה'!$B$2,S261='לוח בקרה'!$B$2,T261='לוח בקרה'!$B$2)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E262">
        <f>IFERROR(INDEX('הגדרות'!$D$104:$D$123,MATCH(B262&amp;G262&amp;C262,'הגדרות'!$A$104:$A$123&amp;'הגדרות'!$B$104:$B$123&amp;'הגדרות'!$C$104:$C$123,0)),"")</f>
        <v/>
      </c>
      <c r="F262" s="6" t="n"/>
      <c r="Q262">
        <f>IFERROR(VLOOKUP(M262,'הגדרות'!$A$11:$D$25,2,FALSE),"")</f>
        <v/>
      </c>
      <c r="R262">
        <f>IFERROR(VLOOKUP(M262,'הגדרות'!$A$11:$D$25,3,FALSE),"")</f>
        <v/>
      </c>
      <c r="S262">
        <f>IFERROR(VLOOKUP(N262,'הגדרות'!$A$11:$D$25,2,FALSE),"")</f>
        <v/>
      </c>
      <c r="T262">
        <f>IFERROR(VLOOKUP(N262,'הגדרות'!$A$11:$D$25,3,FALSE),"")</f>
        <v/>
      </c>
      <c r="AB262" s="6" t="n"/>
      <c r="AE262">
        <f>OR(Q262='לוח בקרה'!$B$2,R262='לוח בקרה'!$B$2,S262='לוח בקרה'!$B$2,T262='לוח בקרה'!$B$2)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E263">
        <f>IFERROR(INDEX('הגדרות'!$D$104:$D$123,MATCH(B263&amp;G263&amp;C263,'הגדרות'!$A$104:$A$123&amp;'הגדרות'!$B$104:$B$123&amp;'הגדרות'!$C$104:$C$123,0)),"")</f>
        <v/>
      </c>
      <c r="F263" s="6" t="n"/>
      <c r="Q263">
        <f>IFERROR(VLOOKUP(M263,'הגדרות'!$A$11:$D$25,2,FALSE),"")</f>
        <v/>
      </c>
      <c r="R263">
        <f>IFERROR(VLOOKUP(M263,'הגדרות'!$A$11:$D$25,3,FALSE),"")</f>
        <v/>
      </c>
      <c r="S263">
        <f>IFERROR(VLOOKUP(N263,'הגדרות'!$A$11:$D$25,2,FALSE),"")</f>
        <v/>
      </c>
      <c r="T263">
        <f>IFERROR(VLOOKUP(N263,'הגדרות'!$A$11:$D$25,3,FALSE),"")</f>
        <v/>
      </c>
      <c r="AB263" s="6" t="n"/>
      <c r="AE263">
        <f>OR(Q263='לוח בקרה'!$B$2,R263='לוח בקרה'!$B$2,S263='לוח בקרה'!$B$2,T263='לוח בקרה'!$B$2)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E264">
        <f>IFERROR(INDEX('הגדרות'!$D$104:$D$123,MATCH(B264&amp;G264&amp;C264,'הגדרות'!$A$104:$A$123&amp;'הגדרות'!$B$104:$B$123&amp;'הגדרות'!$C$104:$C$123,0)),"")</f>
        <v/>
      </c>
      <c r="F264" s="6" t="n"/>
      <c r="Q264">
        <f>IFERROR(VLOOKUP(M264,'הגדרות'!$A$11:$D$25,2,FALSE),"")</f>
        <v/>
      </c>
      <c r="R264">
        <f>IFERROR(VLOOKUP(M264,'הגדרות'!$A$11:$D$25,3,FALSE),"")</f>
        <v/>
      </c>
      <c r="S264">
        <f>IFERROR(VLOOKUP(N264,'הגדרות'!$A$11:$D$25,2,FALSE),"")</f>
        <v/>
      </c>
      <c r="T264">
        <f>IFERROR(VLOOKUP(N264,'הגדרות'!$A$11:$D$25,3,FALSE),"")</f>
        <v/>
      </c>
      <c r="AB264" s="6" t="n"/>
      <c r="AE264">
        <f>OR(Q264='לוח בקרה'!$B$2,R264='לוח בקרה'!$B$2,S264='לוח בקרה'!$B$2,T264='לוח בקרה'!$B$2)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E265">
        <f>IFERROR(INDEX('הגדרות'!$D$104:$D$123,MATCH(B265&amp;G265&amp;C265,'הגדרות'!$A$104:$A$123&amp;'הגדרות'!$B$104:$B$123&amp;'הגדרות'!$C$104:$C$123,0)),"")</f>
        <v/>
      </c>
      <c r="F265" s="6" t="n"/>
      <c r="Q265">
        <f>IFERROR(VLOOKUP(M265,'הגדרות'!$A$11:$D$25,2,FALSE),"")</f>
        <v/>
      </c>
      <c r="R265">
        <f>IFERROR(VLOOKUP(M265,'הגדרות'!$A$11:$D$25,3,FALSE),"")</f>
        <v/>
      </c>
      <c r="S265">
        <f>IFERROR(VLOOKUP(N265,'הגדרות'!$A$11:$D$25,2,FALSE),"")</f>
        <v/>
      </c>
      <c r="T265">
        <f>IFERROR(VLOOKUP(N265,'הגדרות'!$A$11:$D$25,3,FALSE),"")</f>
        <v/>
      </c>
      <c r="AB265" s="6" t="n"/>
      <c r="AE265">
        <f>OR(Q265='לוח בקרה'!$B$2,R265='לוח בקרה'!$B$2,S265='לוח בקרה'!$B$2,T265='לוח בקרה'!$B$2)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E266">
        <f>IFERROR(INDEX('הגדרות'!$D$104:$D$123,MATCH(B266&amp;G266&amp;C266,'הגדרות'!$A$104:$A$123&amp;'הגדרות'!$B$104:$B$123&amp;'הגדרות'!$C$104:$C$123,0)),"")</f>
        <v/>
      </c>
      <c r="F266" s="6" t="n"/>
      <c r="Q266">
        <f>IFERROR(VLOOKUP(M266,'הגדרות'!$A$11:$D$25,2,FALSE),"")</f>
        <v/>
      </c>
      <c r="R266">
        <f>IFERROR(VLOOKUP(M266,'הגדרות'!$A$11:$D$25,3,FALSE),"")</f>
        <v/>
      </c>
      <c r="S266">
        <f>IFERROR(VLOOKUP(N266,'הגדרות'!$A$11:$D$25,2,FALSE),"")</f>
        <v/>
      </c>
      <c r="T266">
        <f>IFERROR(VLOOKUP(N266,'הגדרות'!$A$11:$D$25,3,FALSE),"")</f>
        <v/>
      </c>
      <c r="AB266" s="6" t="n"/>
      <c r="AE266">
        <f>OR(Q266='לוח בקרה'!$B$2,R266='לוח בקרה'!$B$2,S266='לוח בקרה'!$B$2,T266='לוח בקרה'!$B$2)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E267">
        <f>IFERROR(INDEX('הגדרות'!$D$104:$D$123,MATCH(B267&amp;G267&amp;C267,'הגדרות'!$A$104:$A$123&amp;'הגדרות'!$B$104:$B$123&amp;'הגדרות'!$C$104:$C$123,0)),"")</f>
        <v/>
      </c>
      <c r="F267" s="6" t="n"/>
      <c r="Q267">
        <f>IFERROR(VLOOKUP(M267,'הגדרות'!$A$11:$D$25,2,FALSE),"")</f>
        <v/>
      </c>
      <c r="R267">
        <f>IFERROR(VLOOKUP(M267,'הגדרות'!$A$11:$D$25,3,FALSE),"")</f>
        <v/>
      </c>
      <c r="S267">
        <f>IFERROR(VLOOKUP(N267,'הגדרות'!$A$11:$D$25,2,FALSE),"")</f>
        <v/>
      </c>
      <c r="T267">
        <f>IFERROR(VLOOKUP(N267,'הגדרות'!$A$11:$D$25,3,FALSE),"")</f>
        <v/>
      </c>
      <c r="AB267" s="6" t="n"/>
      <c r="AE267">
        <f>OR(Q267='לוח בקרה'!$B$2,R267='לוח בקרה'!$B$2,S267='לוח בקרה'!$B$2,T267='לוח בקרה'!$B$2)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E268">
        <f>IFERROR(INDEX('הגדרות'!$D$104:$D$123,MATCH(B268&amp;G268&amp;C268,'הגדרות'!$A$104:$A$123&amp;'הגדרות'!$B$104:$B$123&amp;'הגדרות'!$C$104:$C$123,0)),"")</f>
        <v/>
      </c>
      <c r="F268" s="6" t="n"/>
      <c r="Q268">
        <f>IFERROR(VLOOKUP(M268,'הגדרות'!$A$11:$D$25,2,FALSE),"")</f>
        <v/>
      </c>
      <c r="R268">
        <f>IFERROR(VLOOKUP(M268,'הגדרות'!$A$11:$D$25,3,FALSE),"")</f>
        <v/>
      </c>
      <c r="S268">
        <f>IFERROR(VLOOKUP(N268,'הגדרות'!$A$11:$D$25,2,FALSE),"")</f>
        <v/>
      </c>
      <c r="T268">
        <f>IFERROR(VLOOKUP(N268,'הגדרות'!$A$11:$D$25,3,FALSE),"")</f>
        <v/>
      </c>
      <c r="AB268" s="6" t="n"/>
      <c r="AE268">
        <f>OR(Q268='לוח בקרה'!$B$2,R268='לוח בקרה'!$B$2,S268='לוח בקרה'!$B$2,T268='לוח בקרה'!$B$2)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E269">
        <f>IFERROR(INDEX('הגדרות'!$D$104:$D$123,MATCH(B269&amp;G269&amp;C269,'הגדרות'!$A$104:$A$123&amp;'הגדרות'!$B$104:$B$123&amp;'הגדרות'!$C$104:$C$123,0)),"")</f>
        <v/>
      </c>
      <c r="F269" s="6" t="n"/>
      <c r="Q269">
        <f>IFERROR(VLOOKUP(M269,'הגדרות'!$A$11:$D$25,2,FALSE),"")</f>
        <v/>
      </c>
      <c r="R269">
        <f>IFERROR(VLOOKUP(M269,'הגדרות'!$A$11:$D$25,3,FALSE),"")</f>
        <v/>
      </c>
      <c r="S269">
        <f>IFERROR(VLOOKUP(N269,'הגדרות'!$A$11:$D$25,2,FALSE),"")</f>
        <v/>
      </c>
      <c r="T269">
        <f>IFERROR(VLOOKUP(N269,'הגדרות'!$A$11:$D$25,3,FALSE),"")</f>
        <v/>
      </c>
      <c r="AB269" s="6" t="n"/>
      <c r="AE269">
        <f>OR(Q269='לוח בקרה'!$B$2,R269='לוח בקרה'!$B$2,S269='לוח בקרה'!$B$2,T269='לוח בקרה'!$B$2)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E270">
        <f>IFERROR(INDEX('הגדרות'!$D$104:$D$123,MATCH(B270&amp;G270&amp;C270,'הגדרות'!$A$104:$A$123&amp;'הגדרות'!$B$104:$B$123&amp;'הגדרות'!$C$104:$C$123,0)),"")</f>
        <v/>
      </c>
      <c r="F270" s="6" t="n"/>
      <c r="Q270">
        <f>IFERROR(VLOOKUP(M270,'הגדרות'!$A$11:$D$25,2,FALSE),"")</f>
        <v/>
      </c>
      <c r="R270">
        <f>IFERROR(VLOOKUP(M270,'הגדרות'!$A$11:$D$25,3,FALSE),"")</f>
        <v/>
      </c>
      <c r="S270">
        <f>IFERROR(VLOOKUP(N270,'הגדרות'!$A$11:$D$25,2,FALSE),"")</f>
        <v/>
      </c>
      <c r="T270">
        <f>IFERROR(VLOOKUP(N270,'הגדרות'!$A$11:$D$25,3,FALSE),"")</f>
        <v/>
      </c>
      <c r="AB270" s="6" t="n"/>
      <c r="AE270">
        <f>OR(Q270='לוח בקרה'!$B$2,R270='לוח בקרה'!$B$2,S270='לוח בקרה'!$B$2,T270='לוח בקרה'!$B$2)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E271">
        <f>IFERROR(INDEX('הגדרות'!$D$104:$D$123,MATCH(B271&amp;G271&amp;C271,'הגדרות'!$A$104:$A$123&amp;'הגדרות'!$B$104:$B$123&amp;'הגדרות'!$C$104:$C$123,0)),"")</f>
        <v/>
      </c>
      <c r="F271" s="6" t="n"/>
      <c r="Q271">
        <f>IFERROR(VLOOKUP(M271,'הגדרות'!$A$11:$D$25,2,FALSE),"")</f>
        <v/>
      </c>
      <c r="R271">
        <f>IFERROR(VLOOKUP(M271,'הגדרות'!$A$11:$D$25,3,FALSE),"")</f>
        <v/>
      </c>
      <c r="S271">
        <f>IFERROR(VLOOKUP(N271,'הגדרות'!$A$11:$D$25,2,FALSE),"")</f>
        <v/>
      </c>
      <c r="T271">
        <f>IFERROR(VLOOKUP(N271,'הגדרות'!$A$11:$D$25,3,FALSE),"")</f>
        <v/>
      </c>
      <c r="AB271" s="6" t="n"/>
      <c r="AE271">
        <f>OR(Q271='לוח בקרה'!$B$2,R271='לוח בקרה'!$B$2,S271='לוח בקרה'!$B$2,T271='לוח בקרה'!$B$2)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E272">
        <f>IFERROR(INDEX('הגדרות'!$D$104:$D$123,MATCH(B272&amp;G272&amp;C272,'הגדרות'!$A$104:$A$123&amp;'הגדרות'!$B$104:$B$123&amp;'הגדרות'!$C$104:$C$123,0)),"")</f>
        <v/>
      </c>
      <c r="F272" s="6" t="n"/>
      <c r="Q272">
        <f>IFERROR(VLOOKUP(M272,'הגדרות'!$A$11:$D$25,2,FALSE),"")</f>
        <v/>
      </c>
      <c r="R272">
        <f>IFERROR(VLOOKUP(M272,'הגדרות'!$A$11:$D$25,3,FALSE),"")</f>
        <v/>
      </c>
      <c r="S272">
        <f>IFERROR(VLOOKUP(N272,'הגדרות'!$A$11:$D$25,2,FALSE),"")</f>
        <v/>
      </c>
      <c r="T272">
        <f>IFERROR(VLOOKUP(N272,'הגדרות'!$A$11:$D$25,3,FALSE),"")</f>
        <v/>
      </c>
      <c r="AB272" s="6" t="n"/>
      <c r="AE272">
        <f>OR(Q272='לוח בקרה'!$B$2,R272='לוח בקרה'!$B$2,S272='לוח בקרה'!$B$2,T272='לוח בקרה'!$B$2)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E273">
        <f>IFERROR(INDEX('הגדרות'!$D$104:$D$123,MATCH(B273&amp;G273&amp;C273,'הגדרות'!$A$104:$A$123&amp;'הגדרות'!$B$104:$B$123&amp;'הגדרות'!$C$104:$C$123,0)),"")</f>
        <v/>
      </c>
      <c r="F273" s="6" t="n"/>
      <c r="Q273">
        <f>IFERROR(VLOOKUP(M273,'הגדרות'!$A$11:$D$25,2,FALSE),"")</f>
        <v/>
      </c>
      <c r="R273">
        <f>IFERROR(VLOOKUP(M273,'הגדרות'!$A$11:$D$25,3,FALSE),"")</f>
        <v/>
      </c>
      <c r="S273">
        <f>IFERROR(VLOOKUP(N273,'הגדרות'!$A$11:$D$25,2,FALSE),"")</f>
        <v/>
      </c>
      <c r="T273">
        <f>IFERROR(VLOOKUP(N273,'הגדרות'!$A$11:$D$25,3,FALSE),"")</f>
        <v/>
      </c>
      <c r="AB273" s="6" t="n"/>
      <c r="AE273">
        <f>OR(Q273='לוח בקרה'!$B$2,R273='לוח בקרה'!$B$2,S273='לוח בקרה'!$B$2,T273='לוח בקרה'!$B$2)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E274">
        <f>IFERROR(INDEX('הגדרות'!$D$104:$D$123,MATCH(B274&amp;G274&amp;C274,'הגדרות'!$A$104:$A$123&amp;'הגדרות'!$B$104:$B$123&amp;'הגדרות'!$C$104:$C$123,0)),"")</f>
        <v/>
      </c>
      <c r="F274" s="6" t="n"/>
      <c r="Q274">
        <f>IFERROR(VLOOKUP(M274,'הגדרות'!$A$11:$D$25,2,FALSE),"")</f>
        <v/>
      </c>
      <c r="R274">
        <f>IFERROR(VLOOKUP(M274,'הגדרות'!$A$11:$D$25,3,FALSE),"")</f>
        <v/>
      </c>
      <c r="S274">
        <f>IFERROR(VLOOKUP(N274,'הגדרות'!$A$11:$D$25,2,FALSE),"")</f>
        <v/>
      </c>
      <c r="T274">
        <f>IFERROR(VLOOKUP(N274,'הגדרות'!$A$11:$D$25,3,FALSE),"")</f>
        <v/>
      </c>
      <c r="AB274" s="6" t="n"/>
      <c r="AE274">
        <f>OR(Q274='לוח בקרה'!$B$2,R274='לוח בקרה'!$B$2,S274='לוח בקרה'!$B$2,T274='לוח בקרה'!$B$2)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E275">
        <f>IFERROR(INDEX('הגדרות'!$D$104:$D$123,MATCH(B275&amp;G275&amp;C275,'הגדרות'!$A$104:$A$123&amp;'הגדרות'!$B$104:$B$123&amp;'הגדרות'!$C$104:$C$123,0)),"")</f>
        <v/>
      </c>
      <c r="F275" s="6" t="n"/>
      <c r="Q275">
        <f>IFERROR(VLOOKUP(M275,'הגדרות'!$A$11:$D$25,2,FALSE),"")</f>
        <v/>
      </c>
      <c r="R275">
        <f>IFERROR(VLOOKUP(M275,'הגדרות'!$A$11:$D$25,3,FALSE),"")</f>
        <v/>
      </c>
      <c r="S275">
        <f>IFERROR(VLOOKUP(N275,'הגדרות'!$A$11:$D$25,2,FALSE),"")</f>
        <v/>
      </c>
      <c r="T275">
        <f>IFERROR(VLOOKUP(N275,'הגדרות'!$A$11:$D$25,3,FALSE),"")</f>
        <v/>
      </c>
      <c r="AB275" s="6" t="n"/>
      <c r="AE275">
        <f>OR(Q275='לוח בקרה'!$B$2,R275='לוח בקרה'!$B$2,S275='לוח בקרה'!$B$2,T275='לוח בקרה'!$B$2)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E276">
        <f>IFERROR(INDEX('הגדרות'!$D$104:$D$123,MATCH(B276&amp;G276&amp;C276,'הגדרות'!$A$104:$A$123&amp;'הגדרות'!$B$104:$B$123&amp;'הגדרות'!$C$104:$C$123,0)),"")</f>
        <v/>
      </c>
      <c r="F276" s="6" t="n"/>
      <c r="Q276">
        <f>IFERROR(VLOOKUP(M276,'הגדרות'!$A$11:$D$25,2,FALSE),"")</f>
        <v/>
      </c>
      <c r="R276">
        <f>IFERROR(VLOOKUP(M276,'הגדרות'!$A$11:$D$25,3,FALSE),"")</f>
        <v/>
      </c>
      <c r="S276">
        <f>IFERROR(VLOOKUP(N276,'הגדרות'!$A$11:$D$25,2,FALSE),"")</f>
        <v/>
      </c>
      <c r="T276">
        <f>IFERROR(VLOOKUP(N276,'הגדרות'!$A$11:$D$25,3,FALSE),"")</f>
        <v/>
      </c>
      <c r="AB276" s="6" t="n"/>
      <c r="AE276">
        <f>OR(Q276='לוח בקרה'!$B$2,R276='לוח בקרה'!$B$2,S276='לוח בקרה'!$B$2,T276='לוח בקרה'!$B$2)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E277">
        <f>IFERROR(INDEX('הגדרות'!$D$104:$D$123,MATCH(B277&amp;G277&amp;C277,'הגדרות'!$A$104:$A$123&amp;'הגדרות'!$B$104:$B$123&amp;'הגדרות'!$C$104:$C$123,0)),"")</f>
        <v/>
      </c>
      <c r="F277" s="6" t="n"/>
      <c r="Q277">
        <f>IFERROR(VLOOKUP(M277,'הגדרות'!$A$11:$D$25,2,FALSE),"")</f>
        <v/>
      </c>
      <c r="R277">
        <f>IFERROR(VLOOKUP(M277,'הגדרות'!$A$11:$D$25,3,FALSE),"")</f>
        <v/>
      </c>
      <c r="S277">
        <f>IFERROR(VLOOKUP(N277,'הגדרות'!$A$11:$D$25,2,FALSE),"")</f>
        <v/>
      </c>
      <c r="T277">
        <f>IFERROR(VLOOKUP(N277,'הגדרות'!$A$11:$D$25,3,FALSE),"")</f>
        <v/>
      </c>
      <c r="AB277" s="6" t="n"/>
      <c r="AE277">
        <f>OR(Q277='לוח בקרה'!$B$2,R277='לוח בקרה'!$B$2,S277='לוח בקרה'!$B$2,T277='לוח בקרה'!$B$2)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E278">
        <f>IFERROR(INDEX('הגדרות'!$D$104:$D$123,MATCH(B278&amp;G278&amp;C278,'הגדרות'!$A$104:$A$123&amp;'הגדרות'!$B$104:$B$123&amp;'הגדרות'!$C$104:$C$123,0)),"")</f>
        <v/>
      </c>
      <c r="F278" s="6" t="n"/>
      <c r="Q278">
        <f>IFERROR(VLOOKUP(M278,'הגדרות'!$A$11:$D$25,2,FALSE),"")</f>
        <v/>
      </c>
      <c r="R278">
        <f>IFERROR(VLOOKUP(M278,'הגדרות'!$A$11:$D$25,3,FALSE),"")</f>
        <v/>
      </c>
      <c r="S278">
        <f>IFERROR(VLOOKUP(N278,'הגדרות'!$A$11:$D$25,2,FALSE),"")</f>
        <v/>
      </c>
      <c r="T278">
        <f>IFERROR(VLOOKUP(N278,'הגדרות'!$A$11:$D$25,3,FALSE),"")</f>
        <v/>
      </c>
      <c r="AB278" s="6" t="n"/>
      <c r="AE278">
        <f>OR(Q278='לוח בקרה'!$B$2,R278='לוח בקרה'!$B$2,S278='לוח בקרה'!$B$2,T278='לוח בקרה'!$B$2)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E279">
        <f>IFERROR(INDEX('הגדרות'!$D$104:$D$123,MATCH(B279&amp;G279&amp;C279,'הגדרות'!$A$104:$A$123&amp;'הגדרות'!$B$104:$B$123&amp;'הגדרות'!$C$104:$C$123,0)),"")</f>
        <v/>
      </c>
      <c r="F279" s="6" t="n"/>
      <c r="Q279">
        <f>IFERROR(VLOOKUP(M279,'הגדרות'!$A$11:$D$25,2,FALSE),"")</f>
        <v/>
      </c>
      <c r="R279">
        <f>IFERROR(VLOOKUP(M279,'הגדרות'!$A$11:$D$25,3,FALSE),"")</f>
        <v/>
      </c>
      <c r="S279">
        <f>IFERROR(VLOOKUP(N279,'הגדרות'!$A$11:$D$25,2,FALSE),"")</f>
        <v/>
      </c>
      <c r="T279">
        <f>IFERROR(VLOOKUP(N279,'הגדרות'!$A$11:$D$25,3,FALSE),"")</f>
        <v/>
      </c>
      <c r="AB279" s="6" t="n"/>
      <c r="AE279">
        <f>OR(Q279='לוח בקרה'!$B$2,R279='לוח בקרה'!$B$2,S279='לוח בקרה'!$B$2,T279='לוח בקרה'!$B$2)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E280">
        <f>IFERROR(INDEX('הגדרות'!$D$104:$D$123,MATCH(B280&amp;G280&amp;C280,'הגדרות'!$A$104:$A$123&amp;'הגדרות'!$B$104:$B$123&amp;'הגדרות'!$C$104:$C$123,0)),"")</f>
        <v/>
      </c>
      <c r="F280" s="6" t="n"/>
      <c r="Q280">
        <f>IFERROR(VLOOKUP(M280,'הגדרות'!$A$11:$D$25,2,FALSE),"")</f>
        <v/>
      </c>
      <c r="R280">
        <f>IFERROR(VLOOKUP(M280,'הגדרות'!$A$11:$D$25,3,FALSE),"")</f>
        <v/>
      </c>
      <c r="S280">
        <f>IFERROR(VLOOKUP(N280,'הגדרות'!$A$11:$D$25,2,FALSE),"")</f>
        <v/>
      </c>
      <c r="T280">
        <f>IFERROR(VLOOKUP(N280,'הגדרות'!$A$11:$D$25,3,FALSE),"")</f>
        <v/>
      </c>
      <c r="AB280" s="6" t="n"/>
      <c r="AE280">
        <f>OR(Q280='לוח בקרה'!$B$2,R280='לוח בקרה'!$B$2,S280='לוח בקרה'!$B$2,T280='לוח בקרה'!$B$2)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E281">
        <f>IFERROR(INDEX('הגדרות'!$D$104:$D$123,MATCH(B281&amp;G281&amp;C281,'הגדרות'!$A$104:$A$123&amp;'הגדרות'!$B$104:$B$123&amp;'הגדרות'!$C$104:$C$123,0)),"")</f>
        <v/>
      </c>
      <c r="F281" s="6" t="n"/>
      <c r="Q281">
        <f>IFERROR(VLOOKUP(M281,'הגדרות'!$A$11:$D$25,2,FALSE),"")</f>
        <v/>
      </c>
      <c r="R281">
        <f>IFERROR(VLOOKUP(M281,'הגדרות'!$A$11:$D$25,3,FALSE),"")</f>
        <v/>
      </c>
      <c r="S281">
        <f>IFERROR(VLOOKUP(N281,'הגדרות'!$A$11:$D$25,2,FALSE),"")</f>
        <v/>
      </c>
      <c r="T281">
        <f>IFERROR(VLOOKUP(N281,'הגדרות'!$A$11:$D$25,3,FALSE),"")</f>
        <v/>
      </c>
      <c r="AB281" s="6" t="n"/>
      <c r="AE281">
        <f>OR(Q281='לוח בקרה'!$B$2,R281='לוח בקרה'!$B$2,S281='לוח בקרה'!$B$2,T281='לוח בקרה'!$B$2)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E282">
        <f>IFERROR(INDEX('הגדרות'!$D$104:$D$123,MATCH(B282&amp;G282&amp;C282,'הגדרות'!$A$104:$A$123&amp;'הגדרות'!$B$104:$B$123&amp;'הגדרות'!$C$104:$C$123,0)),"")</f>
        <v/>
      </c>
      <c r="F282" s="6" t="n"/>
      <c r="Q282">
        <f>IFERROR(VLOOKUP(M282,'הגדרות'!$A$11:$D$25,2,FALSE),"")</f>
        <v/>
      </c>
      <c r="R282">
        <f>IFERROR(VLOOKUP(M282,'הגדרות'!$A$11:$D$25,3,FALSE),"")</f>
        <v/>
      </c>
      <c r="S282">
        <f>IFERROR(VLOOKUP(N282,'הגדרות'!$A$11:$D$25,2,FALSE),"")</f>
        <v/>
      </c>
      <c r="T282">
        <f>IFERROR(VLOOKUP(N282,'הגדרות'!$A$11:$D$25,3,FALSE),"")</f>
        <v/>
      </c>
      <c r="AB282" s="6" t="n"/>
      <c r="AE282">
        <f>OR(Q282='לוח בקרה'!$B$2,R282='לוח בקרה'!$B$2,S282='לוח בקרה'!$B$2,T282='לוח בקרה'!$B$2)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E283">
        <f>IFERROR(INDEX('הגדרות'!$D$104:$D$123,MATCH(B283&amp;G283&amp;C283,'הגדרות'!$A$104:$A$123&amp;'הגדרות'!$B$104:$B$123&amp;'הגדרות'!$C$104:$C$123,0)),"")</f>
        <v/>
      </c>
      <c r="F283" s="6" t="n"/>
      <c r="Q283">
        <f>IFERROR(VLOOKUP(M283,'הגדרות'!$A$11:$D$25,2,FALSE),"")</f>
        <v/>
      </c>
      <c r="R283">
        <f>IFERROR(VLOOKUP(M283,'הגדרות'!$A$11:$D$25,3,FALSE),"")</f>
        <v/>
      </c>
      <c r="S283">
        <f>IFERROR(VLOOKUP(N283,'הגדרות'!$A$11:$D$25,2,FALSE),"")</f>
        <v/>
      </c>
      <c r="T283">
        <f>IFERROR(VLOOKUP(N283,'הגדרות'!$A$11:$D$25,3,FALSE),"")</f>
        <v/>
      </c>
      <c r="AB283" s="6" t="n"/>
      <c r="AE283">
        <f>OR(Q283='לוח בקרה'!$B$2,R283='לוח בקרה'!$B$2,S283='לוח בקרה'!$B$2,T283='לוח בקרה'!$B$2)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E284">
        <f>IFERROR(INDEX('הגדרות'!$D$104:$D$123,MATCH(B284&amp;G284&amp;C284,'הגדרות'!$A$104:$A$123&amp;'הגדרות'!$B$104:$B$123&amp;'הגדרות'!$C$104:$C$123,0)),"")</f>
        <v/>
      </c>
      <c r="F284" s="6" t="n"/>
      <c r="Q284">
        <f>IFERROR(VLOOKUP(M284,'הגדרות'!$A$11:$D$25,2,FALSE),"")</f>
        <v/>
      </c>
      <c r="R284">
        <f>IFERROR(VLOOKUP(M284,'הגדרות'!$A$11:$D$25,3,FALSE),"")</f>
        <v/>
      </c>
      <c r="S284">
        <f>IFERROR(VLOOKUP(N284,'הגדרות'!$A$11:$D$25,2,FALSE),"")</f>
        <v/>
      </c>
      <c r="T284">
        <f>IFERROR(VLOOKUP(N284,'הגדרות'!$A$11:$D$25,3,FALSE),"")</f>
        <v/>
      </c>
      <c r="AB284" s="6" t="n"/>
      <c r="AE284">
        <f>OR(Q284='לוח בקרה'!$B$2,R284='לוח בקרה'!$B$2,S284='לוח בקרה'!$B$2,T284='לוח בקרה'!$B$2)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E285">
        <f>IFERROR(INDEX('הגדרות'!$D$104:$D$123,MATCH(B285&amp;G285&amp;C285,'הגדרות'!$A$104:$A$123&amp;'הגדרות'!$B$104:$B$123&amp;'הגדרות'!$C$104:$C$123,0)),"")</f>
        <v/>
      </c>
      <c r="F285" s="6" t="n"/>
      <c r="Q285">
        <f>IFERROR(VLOOKUP(M285,'הגדרות'!$A$11:$D$25,2,FALSE),"")</f>
        <v/>
      </c>
      <c r="R285">
        <f>IFERROR(VLOOKUP(M285,'הגדרות'!$A$11:$D$25,3,FALSE),"")</f>
        <v/>
      </c>
      <c r="S285">
        <f>IFERROR(VLOOKUP(N285,'הגדרות'!$A$11:$D$25,2,FALSE),"")</f>
        <v/>
      </c>
      <c r="T285">
        <f>IFERROR(VLOOKUP(N285,'הגדרות'!$A$11:$D$25,3,FALSE),"")</f>
        <v/>
      </c>
      <c r="AB285" s="6" t="n"/>
      <c r="AE285">
        <f>OR(Q285='לוח בקרה'!$B$2,R285='לוח בקרה'!$B$2,S285='לוח בקרה'!$B$2,T285='לוח בקרה'!$B$2)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E286">
        <f>IFERROR(INDEX('הגדרות'!$D$104:$D$123,MATCH(B286&amp;G286&amp;C286,'הגדרות'!$A$104:$A$123&amp;'הגדרות'!$B$104:$B$123&amp;'הגדרות'!$C$104:$C$123,0)),"")</f>
        <v/>
      </c>
      <c r="F286" s="6" t="n"/>
      <c r="Q286">
        <f>IFERROR(VLOOKUP(M286,'הגדרות'!$A$11:$D$25,2,FALSE),"")</f>
        <v/>
      </c>
      <c r="R286">
        <f>IFERROR(VLOOKUP(M286,'הגדרות'!$A$11:$D$25,3,FALSE),"")</f>
        <v/>
      </c>
      <c r="S286">
        <f>IFERROR(VLOOKUP(N286,'הגדרות'!$A$11:$D$25,2,FALSE),"")</f>
        <v/>
      </c>
      <c r="T286">
        <f>IFERROR(VLOOKUP(N286,'הגדרות'!$A$11:$D$25,3,FALSE),"")</f>
        <v/>
      </c>
      <c r="AB286" s="6" t="n"/>
      <c r="AE286">
        <f>OR(Q286='לוח בקרה'!$B$2,R286='לוח בקרה'!$B$2,S286='לוח בקרה'!$B$2,T286='לוח בקרה'!$B$2)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E287">
        <f>IFERROR(INDEX('הגדרות'!$D$104:$D$123,MATCH(B287&amp;G287&amp;C287,'הגדרות'!$A$104:$A$123&amp;'הגדרות'!$B$104:$B$123&amp;'הגדרות'!$C$104:$C$123,0)),"")</f>
        <v/>
      </c>
      <c r="F287" s="6" t="n"/>
      <c r="Q287">
        <f>IFERROR(VLOOKUP(M287,'הגדרות'!$A$11:$D$25,2,FALSE),"")</f>
        <v/>
      </c>
      <c r="R287">
        <f>IFERROR(VLOOKUP(M287,'הגדרות'!$A$11:$D$25,3,FALSE),"")</f>
        <v/>
      </c>
      <c r="S287">
        <f>IFERROR(VLOOKUP(N287,'הגדרות'!$A$11:$D$25,2,FALSE),"")</f>
        <v/>
      </c>
      <c r="T287">
        <f>IFERROR(VLOOKUP(N287,'הגדרות'!$A$11:$D$25,3,FALSE),"")</f>
        <v/>
      </c>
      <c r="AB287" s="6" t="n"/>
      <c r="AE287">
        <f>OR(Q287='לוח בקרה'!$B$2,R287='לוח בקרה'!$B$2,S287='לוח בקרה'!$B$2,T287='לוח בקרה'!$B$2)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E288">
        <f>IFERROR(INDEX('הגדרות'!$D$104:$D$123,MATCH(B288&amp;G288&amp;C288,'הגדרות'!$A$104:$A$123&amp;'הגדרות'!$B$104:$B$123&amp;'הגדרות'!$C$104:$C$123,0)),"")</f>
        <v/>
      </c>
      <c r="F288" s="6" t="n"/>
      <c r="Q288">
        <f>IFERROR(VLOOKUP(M288,'הגדרות'!$A$11:$D$25,2,FALSE),"")</f>
        <v/>
      </c>
      <c r="R288">
        <f>IFERROR(VLOOKUP(M288,'הגדרות'!$A$11:$D$25,3,FALSE),"")</f>
        <v/>
      </c>
      <c r="S288">
        <f>IFERROR(VLOOKUP(N288,'הגדרות'!$A$11:$D$25,2,FALSE),"")</f>
        <v/>
      </c>
      <c r="T288">
        <f>IFERROR(VLOOKUP(N288,'הגדרות'!$A$11:$D$25,3,FALSE),"")</f>
        <v/>
      </c>
      <c r="AB288" s="6" t="n"/>
      <c r="AE288">
        <f>OR(Q288='לוח בקרה'!$B$2,R288='לוח בקרה'!$B$2,S288='לוח בקרה'!$B$2,T288='לוח בקרה'!$B$2)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E289">
        <f>IFERROR(INDEX('הגדרות'!$D$104:$D$123,MATCH(B289&amp;G289&amp;C289,'הגדרות'!$A$104:$A$123&amp;'הגדרות'!$B$104:$B$123&amp;'הגדרות'!$C$104:$C$123,0)),"")</f>
        <v/>
      </c>
      <c r="F289" s="6" t="n"/>
      <c r="Q289">
        <f>IFERROR(VLOOKUP(M289,'הגדרות'!$A$11:$D$25,2,FALSE),"")</f>
        <v/>
      </c>
      <c r="R289">
        <f>IFERROR(VLOOKUP(M289,'הגדרות'!$A$11:$D$25,3,FALSE),"")</f>
        <v/>
      </c>
      <c r="S289">
        <f>IFERROR(VLOOKUP(N289,'הגדרות'!$A$11:$D$25,2,FALSE),"")</f>
        <v/>
      </c>
      <c r="T289">
        <f>IFERROR(VLOOKUP(N289,'הגדרות'!$A$11:$D$25,3,FALSE),"")</f>
        <v/>
      </c>
      <c r="AB289" s="6" t="n"/>
      <c r="AE289">
        <f>OR(Q289='לוח בקרה'!$B$2,R289='לוח בקרה'!$B$2,S289='לוח בקרה'!$B$2,T289='לוח בקרה'!$B$2)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E290">
        <f>IFERROR(INDEX('הגדרות'!$D$104:$D$123,MATCH(B290&amp;G290&amp;C290,'הגדרות'!$A$104:$A$123&amp;'הגדרות'!$B$104:$B$123&amp;'הגדרות'!$C$104:$C$123,0)),"")</f>
        <v/>
      </c>
      <c r="F290" s="6" t="n"/>
      <c r="Q290">
        <f>IFERROR(VLOOKUP(M290,'הגדרות'!$A$11:$D$25,2,FALSE),"")</f>
        <v/>
      </c>
      <c r="R290">
        <f>IFERROR(VLOOKUP(M290,'הגדרות'!$A$11:$D$25,3,FALSE),"")</f>
        <v/>
      </c>
      <c r="S290">
        <f>IFERROR(VLOOKUP(N290,'הגדרות'!$A$11:$D$25,2,FALSE),"")</f>
        <v/>
      </c>
      <c r="T290">
        <f>IFERROR(VLOOKUP(N290,'הגדרות'!$A$11:$D$25,3,FALSE),"")</f>
        <v/>
      </c>
      <c r="AB290" s="6" t="n"/>
      <c r="AE290">
        <f>OR(Q290='לוח בקרה'!$B$2,R290='לוח בקרה'!$B$2,S290='לוח בקרה'!$B$2,T290='לוח בקרה'!$B$2)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E291">
        <f>IFERROR(INDEX('הגדרות'!$D$104:$D$123,MATCH(B291&amp;G291&amp;C291,'הגדרות'!$A$104:$A$123&amp;'הגדרות'!$B$104:$B$123&amp;'הגדרות'!$C$104:$C$123,0)),"")</f>
        <v/>
      </c>
      <c r="F291" s="6" t="n"/>
      <c r="Q291">
        <f>IFERROR(VLOOKUP(M291,'הגדרות'!$A$11:$D$25,2,FALSE),"")</f>
        <v/>
      </c>
      <c r="R291">
        <f>IFERROR(VLOOKUP(M291,'הגדרות'!$A$11:$D$25,3,FALSE),"")</f>
        <v/>
      </c>
      <c r="S291">
        <f>IFERROR(VLOOKUP(N291,'הגדרות'!$A$11:$D$25,2,FALSE),"")</f>
        <v/>
      </c>
      <c r="T291">
        <f>IFERROR(VLOOKUP(N291,'הגדרות'!$A$11:$D$25,3,FALSE),"")</f>
        <v/>
      </c>
      <c r="AB291" s="6" t="n"/>
      <c r="AE291">
        <f>OR(Q291='לוח בקרה'!$B$2,R291='לוח בקרה'!$B$2,S291='לוח בקרה'!$B$2,T291='לוח בקרה'!$B$2)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E292">
        <f>IFERROR(INDEX('הגדרות'!$D$104:$D$123,MATCH(B292&amp;G292&amp;C292,'הגדרות'!$A$104:$A$123&amp;'הגדרות'!$B$104:$B$123&amp;'הגדרות'!$C$104:$C$123,0)),"")</f>
        <v/>
      </c>
      <c r="F292" s="6" t="n"/>
      <c r="Q292">
        <f>IFERROR(VLOOKUP(M292,'הגדרות'!$A$11:$D$25,2,FALSE),"")</f>
        <v/>
      </c>
      <c r="R292">
        <f>IFERROR(VLOOKUP(M292,'הגדרות'!$A$11:$D$25,3,FALSE),"")</f>
        <v/>
      </c>
      <c r="S292">
        <f>IFERROR(VLOOKUP(N292,'הגדרות'!$A$11:$D$25,2,FALSE),"")</f>
        <v/>
      </c>
      <c r="T292">
        <f>IFERROR(VLOOKUP(N292,'הגדרות'!$A$11:$D$25,3,FALSE),"")</f>
        <v/>
      </c>
      <c r="AB292" s="6" t="n"/>
      <c r="AE292">
        <f>OR(Q292='לוח בקרה'!$B$2,R292='לוח בקרה'!$B$2,S292='לוח בקרה'!$B$2,T292='לוח בקרה'!$B$2)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E293">
        <f>IFERROR(INDEX('הגדרות'!$D$104:$D$123,MATCH(B293&amp;G293&amp;C293,'הגדרות'!$A$104:$A$123&amp;'הגדרות'!$B$104:$B$123&amp;'הגדרות'!$C$104:$C$123,0)),"")</f>
        <v/>
      </c>
      <c r="F293" s="6" t="n"/>
      <c r="Q293">
        <f>IFERROR(VLOOKUP(M293,'הגדרות'!$A$11:$D$25,2,FALSE),"")</f>
        <v/>
      </c>
      <c r="R293">
        <f>IFERROR(VLOOKUP(M293,'הגדרות'!$A$11:$D$25,3,FALSE),"")</f>
        <v/>
      </c>
      <c r="S293">
        <f>IFERROR(VLOOKUP(N293,'הגדרות'!$A$11:$D$25,2,FALSE),"")</f>
        <v/>
      </c>
      <c r="T293">
        <f>IFERROR(VLOOKUP(N293,'הגדרות'!$A$11:$D$25,3,FALSE),"")</f>
        <v/>
      </c>
      <c r="AB293" s="6" t="n"/>
      <c r="AE293">
        <f>OR(Q293='לוח בקרה'!$B$2,R293='לוח בקרה'!$B$2,S293='לוח בקרה'!$B$2,T293='לוח בקרה'!$B$2)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E294">
        <f>IFERROR(INDEX('הגדרות'!$D$104:$D$123,MATCH(B294&amp;G294&amp;C294,'הגדרות'!$A$104:$A$123&amp;'הגדרות'!$B$104:$B$123&amp;'הגדרות'!$C$104:$C$123,0)),"")</f>
        <v/>
      </c>
      <c r="F294" s="6" t="n"/>
      <c r="Q294">
        <f>IFERROR(VLOOKUP(M294,'הגדרות'!$A$11:$D$25,2,FALSE),"")</f>
        <v/>
      </c>
      <c r="R294">
        <f>IFERROR(VLOOKUP(M294,'הגדרות'!$A$11:$D$25,3,FALSE),"")</f>
        <v/>
      </c>
      <c r="S294">
        <f>IFERROR(VLOOKUP(N294,'הגדרות'!$A$11:$D$25,2,FALSE),"")</f>
        <v/>
      </c>
      <c r="T294">
        <f>IFERROR(VLOOKUP(N294,'הגדרות'!$A$11:$D$25,3,FALSE),"")</f>
        <v/>
      </c>
      <c r="AB294" s="6" t="n"/>
      <c r="AE294">
        <f>OR(Q294='לוח בקרה'!$B$2,R294='לוח בקרה'!$B$2,S294='לוח בקרה'!$B$2,T294='לוח בקרה'!$B$2)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E295">
        <f>IFERROR(INDEX('הגדרות'!$D$104:$D$123,MATCH(B295&amp;G295&amp;C295,'הגדרות'!$A$104:$A$123&amp;'הגדרות'!$B$104:$B$123&amp;'הגדרות'!$C$104:$C$123,0)),"")</f>
        <v/>
      </c>
      <c r="F295" s="6" t="n"/>
      <c r="Q295">
        <f>IFERROR(VLOOKUP(M295,'הגדרות'!$A$11:$D$25,2,FALSE),"")</f>
        <v/>
      </c>
      <c r="R295">
        <f>IFERROR(VLOOKUP(M295,'הגדרות'!$A$11:$D$25,3,FALSE),"")</f>
        <v/>
      </c>
      <c r="S295">
        <f>IFERROR(VLOOKUP(N295,'הגדרות'!$A$11:$D$25,2,FALSE),"")</f>
        <v/>
      </c>
      <c r="T295">
        <f>IFERROR(VLOOKUP(N295,'הגדרות'!$A$11:$D$25,3,FALSE),"")</f>
        <v/>
      </c>
      <c r="AB295" s="6" t="n"/>
      <c r="AE295">
        <f>OR(Q295='לוח בקרה'!$B$2,R295='לוח בקרה'!$B$2,S295='לוח בקרה'!$B$2,T295='לוח בקרה'!$B$2)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E296">
        <f>IFERROR(INDEX('הגדרות'!$D$104:$D$123,MATCH(B296&amp;G296&amp;C296,'הגדרות'!$A$104:$A$123&amp;'הגדרות'!$B$104:$B$123&amp;'הגדרות'!$C$104:$C$123,0)),"")</f>
        <v/>
      </c>
      <c r="F296" s="6" t="n"/>
      <c r="Q296">
        <f>IFERROR(VLOOKUP(M296,'הגדרות'!$A$11:$D$25,2,FALSE),"")</f>
        <v/>
      </c>
      <c r="R296">
        <f>IFERROR(VLOOKUP(M296,'הגדרות'!$A$11:$D$25,3,FALSE),"")</f>
        <v/>
      </c>
      <c r="S296">
        <f>IFERROR(VLOOKUP(N296,'הגדרות'!$A$11:$D$25,2,FALSE),"")</f>
        <v/>
      </c>
      <c r="T296">
        <f>IFERROR(VLOOKUP(N296,'הגדרות'!$A$11:$D$25,3,FALSE),"")</f>
        <v/>
      </c>
      <c r="AB296" s="6" t="n"/>
      <c r="AE296">
        <f>OR(Q296='לוח בקרה'!$B$2,R296='לוח בקרה'!$B$2,S296='לוח בקרה'!$B$2,T296='לוח בקרה'!$B$2)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E297">
        <f>IFERROR(INDEX('הגדרות'!$D$104:$D$123,MATCH(B297&amp;G297&amp;C297,'הגדרות'!$A$104:$A$123&amp;'הגדרות'!$B$104:$B$123&amp;'הגדרות'!$C$104:$C$123,0)),"")</f>
        <v/>
      </c>
      <c r="F297" s="6" t="n"/>
      <c r="Q297">
        <f>IFERROR(VLOOKUP(M297,'הגדרות'!$A$11:$D$25,2,FALSE),"")</f>
        <v/>
      </c>
      <c r="R297">
        <f>IFERROR(VLOOKUP(M297,'הגדרות'!$A$11:$D$25,3,FALSE),"")</f>
        <v/>
      </c>
      <c r="S297">
        <f>IFERROR(VLOOKUP(N297,'הגדרות'!$A$11:$D$25,2,FALSE),"")</f>
        <v/>
      </c>
      <c r="T297">
        <f>IFERROR(VLOOKUP(N297,'הגדרות'!$A$11:$D$25,3,FALSE),"")</f>
        <v/>
      </c>
      <c r="AB297" s="6" t="n"/>
      <c r="AE297">
        <f>OR(Q297='לוח בקרה'!$B$2,R297='לוח בקרה'!$B$2,S297='לוח בקרה'!$B$2,T297='לוח בקרה'!$B$2)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E298">
        <f>IFERROR(INDEX('הגדרות'!$D$104:$D$123,MATCH(B298&amp;G298&amp;C298,'הגדרות'!$A$104:$A$123&amp;'הגדרות'!$B$104:$B$123&amp;'הגדרות'!$C$104:$C$123,0)),"")</f>
        <v/>
      </c>
      <c r="F298" s="6" t="n"/>
      <c r="Q298">
        <f>IFERROR(VLOOKUP(M298,'הגדרות'!$A$11:$D$25,2,FALSE),"")</f>
        <v/>
      </c>
      <c r="R298">
        <f>IFERROR(VLOOKUP(M298,'הגדרות'!$A$11:$D$25,3,FALSE),"")</f>
        <v/>
      </c>
      <c r="S298">
        <f>IFERROR(VLOOKUP(N298,'הגדרות'!$A$11:$D$25,2,FALSE),"")</f>
        <v/>
      </c>
      <c r="T298">
        <f>IFERROR(VLOOKUP(N298,'הגדרות'!$A$11:$D$25,3,FALSE),"")</f>
        <v/>
      </c>
      <c r="AB298" s="6" t="n"/>
      <c r="AE298">
        <f>OR(Q298='לוח בקרה'!$B$2,R298='לוח בקרה'!$B$2,S298='לוח בקרה'!$B$2,T298='לוח בקרה'!$B$2)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E299">
        <f>IFERROR(INDEX('הגדרות'!$D$104:$D$123,MATCH(B299&amp;G299&amp;C299,'הגדרות'!$A$104:$A$123&amp;'הגדרות'!$B$104:$B$123&amp;'הגדרות'!$C$104:$C$123,0)),"")</f>
        <v/>
      </c>
      <c r="F299" s="6" t="n"/>
      <c r="Q299">
        <f>IFERROR(VLOOKUP(M299,'הגדרות'!$A$11:$D$25,2,FALSE),"")</f>
        <v/>
      </c>
      <c r="R299">
        <f>IFERROR(VLOOKUP(M299,'הגדרות'!$A$11:$D$25,3,FALSE),"")</f>
        <v/>
      </c>
      <c r="S299">
        <f>IFERROR(VLOOKUP(N299,'הגדרות'!$A$11:$D$25,2,FALSE),"")</f>
        <v/>
      </c>
      <c r="T299">
        <f>IFERROR(VLOOKUP(N299,'הגדרות'!$A$11:$D$25,3,FALSE),"")</f>
        <v/>
      </c>
      <c r="AB299" s="6" t="n"/>
      <c r="AE299">
        <f>OR(Q299='לוח בקרה'!$B$2,R299='לוח בקרה'!$B$2,S299='לוח בקרה'!$B$2,T299='לוח בקרה'!$B$2)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E300">
        <f>IFERROR(INDEX('הגדרות'!$D$104:$D$123,MATCH(B300&amp;G300&amp;C300,'הגדרות'!$A$104:$A$123&amp;'הגדרות'!$B$104:$B$123&amp;'הגדרות'!$C$104:$C$123,0)),"")</f>
        <v/>
      </c>
      <c r="F300" s="6" t="n"/>
      <c r="Q300">
        <f>IFERROR(VLOOKUP(M300,'הגדרות'!$A$11:$D$25,2,FALSE),"")</f>
        <v/>
      </c>
      <c r="R300">
        <f>IFERROR(VLOOKUP(M300,'הגדרות'!$A$11:$D$25,3,FALSE),"")</f>
        <v/>
      </c>
      <c r="S300">
        <f>IFERROR(VLOOKUP(N300,'הגדרות'!$A$11:$D$25,2,FALSE),"")</f>
        <v/>
      </c>
      <c r="T300">
        <f>IFERROR(VLOOKUP(N300,'הגדרות'!$A$11:$D$25,3,FALSE),"")</f>
        <v/>
      </c>
      <c r="AB300" s="6" t="n"/>
      <c r="AE300">
        <f>OR(Q300='לוח בקרה'!$B$2,R300='לוח בקרה'!$B$2,S300='לוח בקרה'!$B$2,T300='לוח בקרה'!$B$2)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E301">
        <f>IFERROR(INDEX('הגדרות'!$D$104:$D$123,MATCH(B301&amp;G301&amp;C301,'הגדרות'!$A$104:$A$123&amp;'הגדרות'!$B$104:$B$123&amp;'הגדרות'!$C$104:$C$123,0)),"")</f>
        <v/>
      </c>
      <c r="F301" s="6" t="n"/>
      <c r="Q301">
        <f>IFERROR(VLOOKUP(M301,'הגדרות'!$A$11:$D$25,2,FALSE),"")</f>
        <v/>
      </c>
      <c r="R301">
        <f>IFERROR(VLOOKUP(M301,'הגדרות'!$A$11:$D$25,3,FALSE),"")</f>
        <v/>
      </c>
      <c r="S301">
        <f>IFERROR(VLOOKUP(N301,'הגדרות'!$A$11:$D$25,2,FALSE),"")</f>
        <v/>
      </c>
      <c r="T301">
        <f>IFERROR(VLOOKUP(N301,'הגדרות'!$A$11:$D$25,3,FALSE),"")</f>
        <v/>
      </c>
      <c r="AB301" s="6" t="n"/>
      <c r="AE301">
        <f>OR(Q301='לוח בקרה'!$B$2,R301='לוח בקרה'!$B$2,S301='לוח בקרה'!$B$2,T301='לוח בקרה'!$B$2)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E302">
        <f>IFERROR(INDEX('הגדרות'!$D$104:$D$123,MATCH(B302&amp;G302&amp;C302,'הגדרות'!$A$104:$A$123&amp;'הגדרות'!$B$104:$B$123&amp;'הגדרות'!$C$104:$C$123,0)),"")</f>
        <v/>
      </c>
      <c r="F302" s="6" t="n"/>
      <c r="Q302">
        <f>IFERROR(VLOOKUP(M302,'הגדרות'!$A$11:$D$25,2,FALSE),"")</f>
        <v/>
      </c>
      <c r="R302">
        <f>IFERROR(VLOOKUP(M302,'הגדרות'!$A$11:$D$25,3,FALSE),"")</f>
        <v/>
      </c>
      <c r="S302">
        <f>IFERROR(VLOOKUP(N302,'הגדרות'!$A$11:$D$25,2,FALSE),"")</f>
        <v/>
      </c>
      <c r="T302">
        <f>IFERROR(VLOOKUP(N302,'הגדרות'!$A$11:$D$25,3,FALSE),"")</f>
        <v/>
      </c>
      <c r="AB302" s="6" t="n"/>
      <c r="AE302">
        <f>OR(Q302='לוח בקרה'!$B$2,R302='לוח בקרה'!$B$2,S302='לוח בקרה'!$B$2,T302='לוח בקרה'!$B$2)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E303">
        <f>IFERROR(INDEX('הגדרות'!$D$104:$D$123,MATCH(B303&amp;G303&amp;C303,'הגדרות'!$A$104:$A$123&amp;'הגדרות'!$B$104:$B$123&amp;'הגדרות'!$C$104:$C$123,0)),"")</f>
        <v/>
      </c>
      <c r="F303" s="6" t="n"/>
      <c r="Q303">
        <f>IFERROR(VLOOKUP(M303,'הגדרות'!$A$11:$D$25,2,FALSE),"")</f>
        <v/>
      </c>
      <c r="R303">
        <f>IFERROR(VLOOKUP(M303,'הגדרות'!$A$11:$D$25,3,FALSE),"")</f>
        <v/>
      </c>
      <c r="S303">
        <f>IFERROR(VLOOKUP(N303,'הגדרות'!$A$11:$D$25,2,FALSE),"")</f>
        <v/>
      </c>
      <c r="T303">
        <f>IFERROR(VLOOKUP(N303,'הגדרות'!$A$11:$D$25,3,FALSE),"")</f>
        <v/>
      </c>
      <c r="AB303" s="6" t="n"/>
      <c r="AE303">
        <f>OR(Q303='לוח בקרה'!$B$2,R303='לוח בקרה'!$B$2,S303='לוח בקרה'!$B$2,T303='לוח בקרה'!$B$2)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E304">
        <f>IFERROR(INDEX('הגדרות'!$D$104:$D$123,MATCH(B304&amp;G304&amp;C304,'הגדרות'!$A$104:$A$123&amp;'הגדרות'!$B$104:$B$123&amp;'הגדרות'!$C$104:$C$123,0)),"")</f>
        <v/>
      </c>
      <c r="F304" s="6" t="n"/>
      <c r="Q304">
        <f>IFERROR(VLOOKUP(M304,'הגדרות'!$A$11:$D$25,2,FALSE),"")</f>
        <v/>
      </c>
      <c r="R304">
        <f>IFERROR(VLOOKUP(M304,'הגדרות'!$A$11:$D$25,3,FALSE),"")</f>
        <v/>
      </c>
      <c r="S304">
        <f>IFERROR(VLOOKUP(N304,'הגדרות'!$A$11:$D$25,2,FALSE),"")</f>
        <v/>
      </c>
      <c r="T304">
        <f>IFERROR(VLOOKUP(N304,'הגדרות'!$A$11:$D$25,3,FALSE),"")</f>
        <v/>
      </c>
      <c r="AB304" s="6" t="n"/>
      <c r="AE304">
        <f>OR(Q304='לוח בקרה'!$B$2,R304='לוח בקרה'!$B$2,S304='לוח בקרה'!$B$2,T304='לוח בקרה'!$B$2)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E305">
        <f>IFERROR(INDEX('הגדרות'!$D$104:$D$123,MATCH(B305&amp;G305&amp;C305,'הגדרות'!$A$104:$A$123&amp;'הגדרות'!$B$104:$B$123&amp;'הגדרות'!$C$104:$C$123,0)),"")</f>
        <v/>
      </c>
      <c r="F305" s="6" t="n"/>
      <c r="Q305">
        <f>IFERROR(VLOOKUP(M305,'הגדרות'!$A$11:$D$25,2,FALSE),"")</f>
        <v/>
      </c>
      <c r="R305">
        <f>IFERROR(VLOOKUP(M305,'הגדרות'!$A$11:$D$25,3,FALSE),"")</f>
        <v/>
      </c>
      <c r="S305">
        <f>IFERROR(VLOOKUP(N305,'הגדרות'!$A$11:$D$25,2,FALSE),"")</f>
        <v/>
      </c>
      <c r="T305">
        <f>IFERROR(VLOOKUP(N305,'הגדרות'!$A$11:$D$25,3,FALSE),"")</f>
        <v/>
      </c>
      <c r="AB305" s="6" t="n"/>
      <c r="AE305">
        <f>OR(Q305='לוח בקרה'!$B$2,R305='לוח בקרה'!$B$2,S305='לוח בקרה'!$B$2,T305='לוח בקרה'!$B$2)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E306">
        <f>IFERROR(INDEX('הגדרות'!$D$104:$D$123,MATCH(B306&amp;G306&amp;C306,'הגדרות'!$A$104:$A$123&amp;'הגדרות'!$B$104:$B$123&amp;'הגדרות'!$C$104:$C$123,0)),"")</f>
        <v/>
      </c>
      <c r="F306" s="6" t="n"/>
      <c r="Q306">
        <f>IFERROR(VLOOKUP(M306,'הגדרות'!$A$11:$D$25,2,FALSE),"")</f>
        <v/>
      </c>
      <c r="R306">
        <f>IFERROR(VLOOKUP(M306,'הגדרות'!$A$11:$D$25,3,FALSE),"")</f>
        <v/>
      </c>
      <c r="S306">
        <f>IFERROR(VLOOKUP(N306,'הגדרות'!$A$11:$D$25,2,FALSE),"")</f>
        <v/>
      </c>
      <c r="T306">
        <f>IFERROR(VLOOKUP(N306,'הגדרות'!$A$11:$D$25,3,FALSE),"")</f>
        <v/>
      </c>
      <c r="AB306" s="6" t="n"/>
      <c r="AE306">
        <f>OR(Q306='לוח בקרה'!$B$2,R306='לוח בקרה'!$B$2,S306='לוח בקרה'!$B$2,T306='לוח בקרה'!$B$2)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E307">
        <f>IFERROR(INDEX('הגדרות'!$D$104:$D$123,MATCH(B307&amp;G307&amp;C307,'הגדרות'!$A$104:$A$123&amp;'הגדרות'!$B$104:$B$123&amp;'הגדרות'!$C$104:$C$123,0)),"")</f>
        <v/>
      </c>
      <c r="F307" s="6" t="n"/>
      <c r="Q307">
        <f>IFERROR(VLOOKUP(M307,'הגדרות'!$A$11:$D$25,2,FALSE),"")</f>
        <v/>
      </c>
      <c r="R307">
        <f>IFERROR(VLOOKUP(M307,'הגדרות'!$A$11:$D$25,3,FALSE),"")</f>
        <v/>
      </c>
      <c r="S307">
        <f>IFERROR(VLOOKUP(N307,'הגדרות'!$A$11:$D$25,2,FALSE),"")</f>
        <v/>
      </c>
      <c r="T307">
        <f>IFERROR(VLOOKUP(N307,'הגדרות'!$A$11:$D$25,3,FALSE),"")</f>
        <v/>
      </c>
      <c r="AB307" s="6" t="n"/>
      <c r="AE307">
        <f>OR(Q307='לוח בקרה'!$B$2,R307='לוח בקרה'!$B$2,S307='לוח בקרה'!$B$2,T307='לוח בקרה'!$B$2)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E308">
        <f>IFERROR(INDEX('הגדרות'!$D$104:$D$123,MATCH(B308&amp;G308&amp;C308,'הגדרות'!$A$104:$A$123&amp;'הגדרות'!$B$104:$B$123&amp;'הגדרות'!$C$104:$C$123,0)),"")</f>
        <v/>
      </c>
      <c r="F308" s="6" t="n"/>
      <c r="Q308">
        <f>IFERROR(VLOOKUP(M308,'הגדרות'!$A$11:$D$25,2,FALSE),"")</f>
        <v/>
      </c>
      <c r="R308">
        <f>IFERROR(VLOOKUP(M308,'הגדרות'!$A$11:$D$25,3,FALSE),"")</f>
        <v/>
      </c>
      <c r="S308">
        <f>IFERROR(VLOOKUP(N308,'הגדרות'!$A$11:$D$25,2,FALSE),"")</f>
        <v/>
      </c>
      <c r="T308">
        <f>IFERROR(VLOOKUP(N308,'הגדרות'!$A$11:$D$25,3,FALSE),"")</f>
        <v/>
      </c>
      <c r="AB308" s="6" t="n"/>
      <c r="AE308">
        <f>OR(Q308='לוח בקרה'!$B$2,R308='לוח בקרה'!$B$2,S308='לוח בקרה'!$B$2,T308='לוח בקרה'!$B$2)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E309">
        <f>IFERROR(INDEX('הגדרות'!$D$104:$D$123,MATCH(B309&amp;G309&amp;C309,'הגדרות'!$A$104:$A$123&amp;'הגדרות'!$B$104:$B$123&amp;'הגדרות'!$C$104:$C$123,0)),"")</f>
        <v/>
      </c>
      <c r="F309" s="6" t="n"/>
      <c r="Q309">
        <f>IFERROR(VLOOKUP(M309,'הגדרות'!$A$11:$D$25,2,FALSE),"")</f>
        <v/>
      </c>
      <c r="R309">
        <f>IFERROR(VLOOKUP(M309,'הגדרות'!$A$11:$D$25,3,FALSE),"")</f>
        <v/>
      </c>
      <c r="S309">
        <f>IFERROR(VLOOKUP(N309,'הגדרות'!$A$11:$D$25,2,FALSE),"")</f>
        <v/>
      </c>
      <c r="T309">
        <f>IFERROR(VLOOKUP(N309,'הגדרות'!$A$11:$D$25,3,FALSE),"")</f>
        <v/>
      </c>
      <c r="AB309" s="6" t="n"/>
      <c r="AE309">
        <f>OR(Q309='לוח בקרה'!$B$2,R309='לוח בקרה'!$B$2,S309='לוח בקרה'!$B$2,T309='לוח בקרה'!$B$2)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E310">
        <f>IFERROR(INDEX('הגדרות'!$D$104:$D$123,MATCH(B310&amp;G310&amp;C310,'הגדרות'!$A$104:$A$123&amp;'הגדרות'!$B$104:$B$123&amp;'הגדרות'!$C$104:$C$123,0)),"")</f>
        <v/>
      </c>
      <c r="F310" s="6" t="n"/>
      <c r="Q310">
        <f>IFERROR(VLOOKUP(M310,'הגדרות'!$A$11:$D$25,2,FALSE),"")</f>
        <v/>
      </c>
      <c r="R310">
        <f>IFERROR(VLOOKUP(M310,'הגדרות'!$A$11:$D$25,3,FALSE),"")</f>
        <v/>
      </c>
      <c r="S310">
        <f>IFERROR(VLOOKUP(N310,'הגדרות'!$A$11:$D$25,2,FALSE),"")</f>
        <v/>
      </c>
      <c r="T310">
        <f>IFERROR(VLOOKUP(N310,'הגדרות'!$A$11:$D$25,3,FALSE),"")</f>
        <v/>
      </c>
      <c r="AB310" s="6" t="n"/>
      <c r="AE310">
        <f>OR(Q310='לוח בקרה'!$B$2,R310='לוח בקרה'!$B$2,S310='לוח בקרה'!$B$2,T310='לוח בקרה'!$B$2)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E311">
        <f>IFERROR(INDEX('הגדרות'!$D$104:$D$123,MATCH(B311&amp;G311&amp;C311,'הגדרות'!$A$104:$A$123&amp;'הגדרות'!$B$104:$B$123&amp;'הגדרות'!$C$104:$C$123,0)),"")</f>
        <v/>
      </c>
      <c r="F311" s="6" t="n"/>
      <c r="Q311">
        <f>IFERROR(VLOOKUP(M311,'הגדרות'!$A$11:$D$25,2,FALSE),"")</f>
        <v/>
      </c>
      <c r="R311">
        <f>IFERROR(VLOOKUP(M311,'הגדרות'!$A$11:$D$25,3,FALSE),"")</f>
        <v/>
      </c>
      <c r="S311">
        <f>IFERROR(VLOOKUP(N311,'הגדרות'!$A$11:$D$25,2,FALSE),"")</f>
        <v/>
      </c>
      <c r="T311">
        <f>IFERROR(VLOOKUP(N311,'הגדרות'!$A$11:$D$25,3,FALSE),"")</f>
        <v/>
      </c>
      <c r="AB311" s="6" t="n"/>
      <c r="AE311">
        <f>OR(Q311='לוח בקרה'!$B$2,R311='לוח בקרה'!$B$2,S311='לוח בקרה'!$B$2,T311='לוח בקרה'!$B$2)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E312">
        <f>IFERROR(INDEX('הגדרות'!$D$104:$D$123,MATCH(B312&amp;G312&amp;C312,'הגדרות'!$A$104:$A$123&amp;'הגדרות'!$B$104:$B$123&amp;'הגדרות'!$C$104:$C$123,0)),"")</f>
        <v/>
      </c>
      <c r="F312" s="6" t="n"/>
      <c r="Q312">
        <f>IFERROR(VLOOKUP(M312,'הגדרות'!$A$11:$D$25,2,FALSE),"")</f>
        <v/>
      </c>
      <c r="R312">
        <f>IFERROR(VLOOKUP(M312,'הגדרות'!$A$11:$D$25,3,FALSE),"")</f>
        <v/>
      </c>
      <c r="S312">
        <f>IFERROR(VLOOKUP(N312,'הגדרות'!$A$11:$D$25,2,FALSE),"")</f>
        <v/>
      </c>
      <c r="T312">
        <f>IFERROR(VLOOKUP(N312,'הגדרות'!$A$11:$D$25,3,FALSE),"")</f>
        <v/>
      </c>
      <c r="AB312" s="6" t="n"/>
      <c r="AE312">
        <f>OR(Q312='לוח בקרה'!$B$2,R312='לוח בקרה'!$B$2,S312='לוח בקרה'!$B$2,T312='לוח בקרה'!$B$2)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E313">
        <f>IFERROR(INDEX('הגדרות'!$D$104:$D$123,MATCH(B313&amp;G313&amp;C313,'הגדרות'!$A$104:$A$123&amp;'הגדרות'!$B$104:$B$123&amp;'הגדרות'!$C$104:$C$123,0)),"")</f>
        <v/>
      </c>
      <c r="F313" s="6" t="n"/>
      <c r="Q313">
        <f>IFERROR(VLOOKUP(M313,'הגדרות'!$A$11:$D$25,2,FALSE),"")</f>
        <v/>
      </c>
      <c r="R313">
        <f>IFERROR(VLOOKUP(M313,'הגדרות'!$A$11:$D$25,3,FALSE),"")</f>
        <v/>
      </c>
      <c r="S313">
        <f>IFERROR(VLOOKUP(N313,'הגדרות'!$A$11:$D$25,2,FALSE),"")</f>
        <v/>
      </c>
      <c r="T313">
        <f>IFERROR(VLOOKUP(N313,'הגדרות'!$A$11:$D$25,3,FALSE),"")</f>
        <v/>
      </c>
      <c r="AB313" s="6" t="n"/>
      <c r="AE313">
        <f>OR(Q313='לוח בקרה'!$B$2,R313='לוח בקרה'!$B$2,S313='לוח בקרה'!$B$2,T313='לוח בקרה'!$B$2)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E314">
        <f>IFERROR(INDEX('הגדרות'!$D$104:$D$123,MATCH(B314&amp;G314&amp;C314,'הגדרות'!$A$104:$A$123&amp;'הגדרות'!$B$104:$B$123&amp;'הגדרות'!$C$104:$C$123,0)),"")</f>
        <v/>
      </c>
      <c r="F314" s="6" t="n"/>
      <c r="Q314">
        <f>IFERROR(VLOOKUP(M314,'הגדרות'!$A$11:$D$25,2,FALSE),"")</f>
        <v/>
      </c>
      <c r="R314">
        <f>IFERROR(VLOOKUP(M314,'הגדרות'!$A$11:$D$25,3,FALSE),"")</f>
        <v/>
      </c>
      <c r="S314">
        <f>IFERROR(VLOOKUP(N314,'הגדרות'!$A$11:$D$25,2,FALSE),"")</f>
        <v/>
      </c>
      <c r="T314">
        <f>IFERROR(VLOOKUP(N314,'הגדרות'!$A$11:$D$25,3,FALSE),"")</f>
        <v/>
      </c>
      <c r="AB314" s="6" t="n"/>
      <c r="AE314">
        <f>OR(Q314='לוח בקרה'!$B$2,R314='לוח בקרה'!$B$2,S314='לוח בקרה'!$B$2,T314='לוח בקרה'!$B$2)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E315">
        <f>IFERROR(INDEX('הגדרות'!$D$104:$D$123,MATCH(B315&amp;G315&amp;C315,'הגדרות'!$A$104:$A$123&amp;'הגדרות'!$B$104:$B$123&amp;'הגדרות'!$C$104:$C$123,0)),"")</f>
        <v/>
      </c>
      <c r="F315" s="6" t="n"/>
      <c r="Q315">
        <f>IFERROR(VLOOKUP(M315,'הגדרות'!$A$11:$D$25,2,FALSE),"")</f>
        <v/>
      </c>
      <c r="R315">
        <f>IFERROR(VLOOKUP(M315,'הגדרות'!$A$11:$D$25,3,FALSE),"")</f>
        <v/>
      </c>
      <c r="S315">
        <f>IFERROR(VLOOKUP(N315,'הגדרות'!$A$11:$D$25,2,FALSE),"")</f>
        <v/>
      </c>
      <c r="T315">
        <f>IFERROR(VLOOKUP(N315,'הגדרות'!$A$11:$D$25,3,FALSE),"")</f>
        <v/>
      </c>
      <c r="AB315" s="6" t="n"/>
      <c r="AE315">
        <f>OR(Q315='לוח בקרה'!$B$2,R315='לוח בקרה'!$B$2,S315='לוח בקרה'!$B$2,T315='לוח בקרה'!$B$2)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E316">
        <f>IFERROR(INDEX('הגדרות'!$D$104:$D$123,MATCH(B316&amp;G316&amp;C316,'הגדרות'!$A$104:$A$123&amp;'הגדרות'!$B$104:$B$123&amp;'הגדרות'!$C$104:$C$123,0)),"")</f>
        <v/>
      </c>
      <c r="F316" s="6" t="n"/>
      <c r="Q316">
        <f>IFERROR(VLOOKUP(M316,'הגדרות'!$A$11:$D$25,2,FALSE),"")</f>
        <v/>
      </c>
      <c r="R316">
        <f>IFERROR(VLOOKUP(M316,'הגדרות'!$A$11:$D$25,3,FALSE),"")</f>
        <v/>
      </c>
      <c r="S316">
        <f>IFERROR(VLOOKUP(N316,'הגדרות'!$A$11:$D$25,2,FALSE),"")</f>
        <v/>
      </c>
      <c r="T316">
        <f>IFERROR(VLOOKUP(N316,'הגדרות'!$A$11:$D$25,3,FALSE),"")</f>
        <v/>
      </c>
      <c r="AB316" s="6" t="n"/>
      <c r="AE316">
        <f>OR(Q316='לוח בקרה'!$B$2,R316='לוח בקרה'!$B$2,S316='לוח בקרה'!$B$2,T316='לוח בקרה'!$B$2)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E317">
        <f>IFERROR(INDEX('הגדרות'!$D$104:$D$123,MATCH(B317&amp;G317&amp;C317,'הגדרות'!$A$104:$A$123&amp;'הגדרות'!$B$104:$B$123&amp;'הגדרות'!$C$104:$C$123,0)),"")</f>
        <v/>
      </c>
      <c r="F317" s="6" t="n"/>
      <c r="Q317">
        <f>IFERROR(VLOOKUP(M317,'הגדרות'!$A$11:$D$25,2,FALSE),"")</f>
        <v/>
      </c>
      <c r="R317">
        <f>IFERROR(VLOOKUP(M317,'הגדרות'!$A$11:$D$25,3,FALSE),"")</f>
        <v/>
      </c>
      <c r="S317">
        <f>IFERROR(VLOOKUP(N317,'הגדרות'!$A$11:$D$25,2,FALSE),"")</f>
        <v/>
      </c>
      <c r="T317">
        <f>IFERROR(VLOOKUP(N317,'הגדרות'!$A$11:$D$25,3,FALSE),"")</f>
        <v/>
      </c>
      <c r="AB317" s="6" t="n"/>
      <c r="AE317">
        <f>OR(Q317='לוח בקרה'!$B$2,R317='לוח בקרה'!$B$2,S317='לוח בקרה'!$B$2,T317='לוח בקרה'!$B$2)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E318">
        <f>IFERROR(INDEX('הגדרות'!$D$104:$D$123,MATCH(B318&amp;G318&amp;C318,'הגדרות'!$A$104:$A$123&amp;'הגדרות'!$B$104:$B$123&amp;'הגדרות'!$C$104:$C$123,0)),"")</f>
        <v/>
      </c>
      <c r="F318" s="6" t="n"/>
      <c r="Q318">
        <f>IFERROR(VLOOKUP(M318,'הגדרות'!$A$11:$D$25,2,FALSE),"")</f>
        <v/>
      </c>
      <c r="R318">
        <f>IFERROR(VLOOKUP(M318,'הגדרות'!$A$11:$D$25,3,FALSE),"")</f>
        <v/>
      </c>
      <c r="S318">
        <f>IFERROR(VLOOKUP(N318,'הגדרות'!$A$11:$D$25,2,FALSE),"")</f>
        <v/>
      </c>
      <c r="T318">
        <f>IFERROR(VLOOKUP(N318,'הגדרות'!$A$11:$D$25,3,FALSE),"")</f>
        <v/>
      </c>
      <c r="AB318" s="6" t="n"/>
      <c r="AE318">
        <f>OR(Q318='לוח בקרה'!$B$2,R318='לוח בקרה'!$B$2,S318='לוח בקרה'!$B$2,T318='לוח בקרה'!$B$2)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E319">
        <f>IFERROR(INDEX('הגדרות'!$D$104:$D$123,MATCH(B319&amp;G319&amp;C319,'הגדרות'!$A$104:$A$123&amp;'הגדרות'!$B$104:$B$123&amp;'הגדרות'!$C$104:$C$123,0)),"")</f>
        <v/>
      </c>
      <c r="F319" s="6" t="n"/>
      <c r="Q319">
        <f>IFERROR(VLOOKUP(M319,'הגדרות'!$A$11:$D$25,2,FALSE),"")</f>
        <v/>
      </c>
      <c r="R319">
        <f>IFERROR(VLOOKUP(M319,'הגדרות'!$A$11:$D$25,3,FALSE),"")</f>
        <v/>
      </c>
      <c r="S319">
        <f>IFERROR(VLOOKUP(N319,'הגדרות'!$A$11:$D$25,2,FALSE),"")</f>
        <v/>
      </c>
      <c r="T319">
        <f>IFERROR(VLOOKUP(N319,'הגדרות'!$A$11:$D$25,3,FALSE),"")</f>
        <v/>
      </c>
      <c r="AB319" s="6" t="n"/>
      <c r="AE319">
        <f>OR(Q319='לוח בקרה'!$B$2,R319='לוח בקרה'!$B$2,S319='לוח בקרה'!$B$2,T319='לוח בקרה'!$B$2)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E320">
        <f>IFERROR(INDEX('הגדרות'!$D$104:$D$123,MATCH(B320&amp;G320&amp;C320,'הגדרות'!$A$104:$A$123&amp;'הגדרות'!$B$104:$B$123&amp;'הגדרות'!$C$104:$C$123,0)),"")</f>
        <v/>
      </c>
      <c r="F320" s="6" t="n"/>
      <c r="Q320">
        <f>IFERROR(VLOOKUP(M320,'הגדרות'!$A$11:$D$25,2,FALSE),"")</f>
        <v/>
      </c>
      <c r="R320">
        <f>IFERROR(VLOOKUP(M320,'הגדרות'!$A$11:$D$25,3,FALSE),"")</f>
        <v/>
      </c>
      <c r="S320">
        <f>IFERROR(VLOOKUP(N320,'הגדרות'!$A$11:$D$25,2,FALSE),"")</f>
        <v/>
      </c>
      <c r="T320">
        <f>IFERROR(VLOOKUP(N320,'הגדרות'!$A$11:$D$25,3,FALSE),"")</f>
        <v/>
      </c>
      <c r="AB320" s="6" t="n"/>
      <c r="AE320">
        <f>OR(Q320='לוח בקרה'!$B$2,R320='לוח בקרה'!$B$2,S320='לוח בקרה'!$B$2,T320='לוח בקרה'!$B$2)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E321">
        <f>IFERROR(INDEX('הגדרות'!$D$104:$D$123,MATCH(B321&amp;G321&amp;C321,'הגדרות'!$A$104:$A$123&amp;'הגדרות'!$B$104:$B$123&amp;'הגדרות'!$C$104:$C$123,0)),"")</f>
        <v/>
      </c>
      <c r="F321" s="6" t="n"/>
      <c r="Q321">
        <f>IFERROR(VLOOKUP(M321,'הגדרות'!$A$11:$D$25,2,FALSE),"")</f>
        <v/>
      </c>
      <c r="R321">
        <f>IFERROR(VLOOKUP(M321,'הגדרות'!$A$11:$D$25,3,FALSE),"")</f>
        <v/>
      </c>
      <c r="S321">
        <f>IFERROR(VLOOKUP(N321,'הגדרות'!$A$11:$D$25,2,FALSE),"")</f>
        <v/>
      </c>
      <c r="T321">
        <f>IFERROR(VLOOKUP(N321,'הגדרות'!$A$11:$D$25,3,FALSE),"")</f>
        <v/>
      </c>
      <c r="AB321" s="6" t="n"/>
      <c r="AE321">
        <f>OR(Q321='לוח בקרה'!$B$2,R321='לוח בקרה'!$B$2,S321='לוח בקרה'!$B$2,T321='לוח בקרה'!$B$2)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E322">
        <f>IFERROR(INDEX('הגדרות'!$D$104:$D$123,MATCH(B322&amp;G322&amp;C322,'הגדרות'!$A$104:$A$123&amp;'הגדרות'!$B$104:$B$123&amp;'הגדרות'!$C$104:$C$123,0)),"")</f>
        <v/>
      </c>
      <c r="F322" s="6" t="n"/>
      <c r="Q322">
        <f>IFERROR(VLOOKUP(M322,'הגדרות'!$A$11:$D$25,2,FALSE),"")</f>
        <v/>
      </c>
      <c r="R322">
        <f>IFERROR(VLOOKUP(M322,'הגדרות'!$A$11:$D$25,3,FALSE),"")</f>
        <v/>
      </c>
      <c r="S322">
        <f>IFERROR(VLOOKUP(N322,'הגדרות'!$A$11:$D$25,2,FALSE),"")</f>
        <v/>
      </c>
      <c r="T322">
        <f>IFERROR(VLOOKUP(N322,'הגדרות'!$A$11:$D$25,3,FALSE),"")</f>
        <v/>
      </c>
      <c r="AB322" s="6" t="n"/>
      <c r="AE322">
        <f>OR(Q322='לוח בקרה'!$B$2,R322='לוח בקרה'!$B$2,S322='לוח בקרה'!$B$2,T322='לוח בקרה'!$B$2)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E323">
        <f>IFERROR(INDEX('הגדרות'!$D$104:$D$123,MATCH(B323&amp;G323&amp;C323,'הגדרות'!$A$104:$A$123&amp;'הגדרות'!$B$104:$B$123&amp;'הגדרות'!$C$104:$C$123,0)),"")</f>
        <v/>
      </c>
      <c r="F323" s="6" t="n"/>
      <c r="Q323">
        <f>IFERROR(VLOOKUP(M323,'הגדרות'!$A$11:$D$25,2,FALSE),"")</f>
        <v/>
      </c>
      <c r="R323">
        <f>IFERROR(VLOOKUP(M323,'הגדרות'!$A$11:$D$25,3,FALSE),"")</f>
        <v/>
      </c>
      <c r="S323">
        <f>IFERROR(VLOOKUP(N323,'הגדרות'!$A$11:$D$25,2,FALSE),"")</f>
        <v/>
      </c>
      <c r="T323">
        <f>IFERROR(VLOOKUP(N323,'הגדרות'!$A$11:$D$25,3,FALSE),"")</f>
        <v/>
      </c>
      <c r="AB323" s="6" t="n"/>
      <c r="AE323">
        <f>OR(Q323='לוח בקרה'!$B$2,R323='לוח בקרה'!$B$2,S323='לוח בקרה'!$B$2,T323='לוח בקרה'!$B$2)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E324">
        <f>IFERROR(INDEX('הגדרות'!$D$104:$D$123,MATCH(B324&amp;G324&amp;C324,'הגדרות'!$A$104:$A$123&amp;'הגדרות'!$B$104:$B$123&amp;'הגדרות'!$C$104:$C$123,0)),"")</f>
        <v/>
      </c>
      <c r="F324" s="6" t="n"/>
      <c r="Q324">
        <f>IFERROR(VLOOKUP(M324,'הגדרות'!$A$11:$D$25,2,FALSE),"")</f>
        <v/>
      </c>
      <c r="R324">
        <f>IFERROR(VLOOKUP(M324,'הגדרות'!$A$11:$D$25,3,FALSE),"")</f>
        <v/>
      </c>
      <c r="S324">
        <f>IFERROR(VLOOKUP(N324,'הגדרות'!$A$11:$D$25,2,FALSE),"")</f>
        <v/>
      </c>
      <c r="T324">
        <f>IFERROR(VLOOKUP(N324,'הגדרות'!$A$11:$D$25,3,FALSE),"")</f>
        <v/>
      </c>
      <c r="AB324" s="6" t="n"/>
      <c r="AE324">
        <f>OR(Q324='לוח בקרה'!$B$2,R324='לוח בקרה'!$B$2,S324='לוח בקרה'!$B$2,T324='לוח בקרה'!$B$2)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E325">
        <f>IFERROR(INDEX('הגדרות'!$D$104:$D$123,MATCH(B325&amp;G325&amp;C325,'הגדרות'!$A$104:$A$123&amp;'הגדרות'!$B$104:$B$123&amp;'הגדרות'!$C$104:$C$123,0)),"")</f>
        <v/>
      </c>
      <c r="F325" s="6" t="n"/>
      <c r="Q325">
        <f>IFERROR(VLOOKUP(M325,'הגדרות'!$A$11:$D$25,2,FALSE),"")</f>
        <v/>
      </c>
      <c r="R325">
        <f>IFERROR(VLOOKUP(M325,'הגדרות'!$A$11:$D$25,3,FALSE),"")</f>
        <v/>
      </c>
      <c r="S325">
        <f>IFERROR(VLOOKUP(N325,'הגדרות'!$A$11:$D$25,2,FALSE),"")</f>
        <v/>
      </c>
      <c r="T325">
        <f>IFERROR(VLOOKUP(N325,'הגדרות'!$A$11:$D$25,3,FALSE),"")</f>
        <v/>
      </c>
      <c r="AB325" s="6" t="n"/>
      <c r="AE325">
        <f>OR(Q325='לוח בקרה'!$B$2,R325='לוח בקרה'!$B$2,S325='לוח בקרה'!$B$2,T325='לוח בקרה'!$B$2)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E326">
        <f>IFERROR(INDEX('הגדרות'!$D$104:$D$123,MATCH(B326&amp;G326&amp;C326,'הגדרות'!$A$104:$A$123&amp;'הגדרות'!$B$104:$B$123&amp;'הגדרות'!$C$104:$C$123,0)),"")</f>
        <v/>
      </c>
      <c r="F326" s="6" t="n"/>
      <c r="Q326">
        <f>IFERROR(VLOOKUP(M326,'הגדרות'!$A$11:$D$25,2,FALSE),"")</f>
        <v/>
      </c>
      <c r="R326">
        <f>IFERROR(VLOOKUP(M326,'הגדרות'!$A$11:$D$25,3,FALSE),"")</f>
        <v/>
      </c>
      <c r="S326">
        <f>IFERROR(VLOOKUP(N326,'הגדרות'!$A$11:$D$25,2,FALSE),"")</f>
        <v/>
      </c>
      <c r="T326">
        <f>IFERROR(VLOOKUP(N326,'הגדרות'!$A$11:$D$25,3,FALSE),"")</f>
        <v/>
      </c>
      <c r="AB326" s="6" t="n"/>
      <c r="AE326">
        <f>OR(Q326='לוח בקרה'!$B$2,R326='לוח בקרה'!$B$2,S326='לוח בקרה'!$B$2,T326='לוח בקרה'!$B$2)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E327">
        <f>IFERROR(INDEX('הגדרות'!$D$104:$D$123,MATCH(B327&amp;G327&amp;C327,'הגדרות'!$A$104:$A$123&amp;'הגדרות'!$B$104:$B$123&amp;'הגדרות'!$C$104:$C$123,0)),"")</f>
        <v/>
      </c>
      <c r="F327" s="6" t="n"/>
      <c r="Q327">
        <f>IFERROR(VLOOKUP(M327,'הגדרות'!$A$11:$D$25,2,FALSE),"")</f>
        <v/>
      </c>
      <c r="R327">
        <f>IFERROR(VLOOKUP(M327,'הגדרות'!$A$11:$D$25,3,FALSE),"")</f>
        <v/>
      </c>
      <c r="S327">
        <f>IFERROR(VLOOKUP(N327,'הגדרות'!$A$11:$D$25,2,FALSE),"")</f>
        <v/>
      </c>
      <c r="T327">
        <f>IFERROR(VLOOKUP(N327,'הגדרות'!$A$11:$D$25,3,FALSE),"")</f>
        <v/>
      </c>
      <c r="AB327" s="6" t="n"/>
      <c r="AE327">
        <f>OR(Q327='לוח בקרה'!$B$2,R327='לוח בקרה'!$B$2,S327='לוח בקרה'!$B$2,T327='לוח בקרה'!$B$2)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E328">
        <f>IFERROR(INDEX('הגדרות'!$D$104:$D$123,MATCH(B328&amp;G328&amp;C328,'הגדרות'!$A$104:$A$123&amp;'הגדרות'!$B$104:$B$123&amp;'הגדרות'!$C$104:$C$123,0)),"")</f>
        <v/>
      </c>
      <c r="F328" s="6" t="n"/>
      <c r="Q328">
        <f>IFERROR(VLOOKUP(M328,'הגדרות'!$A$11:$D$25,2,FALSE),"")</f>
        <v/>
      </c>
      <c r="R328">
        <f>IFERROR(VLOOKUP(M328,'הגדרות'!$A$11:$D$25,3,FALSE),"")</f>
        <v/>
      </c>
      <c r="S328">
        <f>IFERROR(VLOOKUP(N328,'הגדרות'!$A$11:$D$25,2,FALSE),"")</f>
        <v/>
      </c>
      <c r="T328">
        <f>IFERROR(VLOOKUP(N328,'הגדרות'!$A$11:$D$25,3,FALSE),"")</f>
        <v/>
      </c>
      <c r="AB328" s="6" t="n"/>
      <c r="AE328">
        <f>OR(Q328='לוח בקרה'!$B$2,R328='לוח בקרה'!$B$2,S328='לוח בקרה'!$B$2,T328='לוח בקרה'!$B$2)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E329">
        <f>IFERROR(INDEX('הגדרות'!$D$104:$D$123,MATCH(B329&amp;G329&amp;C329,'הגדרות'!$A$104:$A$123&amp;'הגדרות'!$B$104:$B$123&amp;'הגדרות'!$C$104:$C$123,0)),"")</f>
        <v/>
      </c>
      <c r="F329" s="6" t="n"/>
      <c r="Q329">
        <f>IFERROR(VLOOKUP(M329,'הגדרות'!$A$11:$D$25,2,FALSE),"")</f>
        <v/>
      </c>
      <c r="R329">
        <f>IFERROR(VLOOKUP(M329,'הגדרות'!$A$11:$D$25,3,FALSE),"")</f>
        <v/>
      </c>
      <c r="S329">
        <f>IFERROR(VLOOKUP(N329,'הגדרות'!$A$11:$D$25,2,FALSE),"")</f>
        <v/>
      </c>
      <c r="T329">
        <f>IFERROR(VLOOKUP(N329,'הגדרות'!$A$11:$D$25,3,FALSE),"")</f>
        <v/>
      </c>
      <c r="AB329" s="6" t="n"/>
      <c r="AE329">
        <f>OR(Q329='לוח בקרה'!$B$2,R329='לוח בקרה'!$B$2,S329='לוח בקרה'!$B$2,T329='לוח בקרה'!$B$2)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E330">
        <f>IFERROR(INDEX('הגדרות'!$D$104:$D$123,MATCH(B330&amp;G330&amp;C330,'הגדרות'!$A$104:$A$123&amp;'הגדרות'!$B$104:$B$123&amp;'הגדרות'!$C$104:$C$123,0)),"")</f>
        <v/>
      </c>
      <c r="F330" s="6" t="n"/>
      <c r="Q330">
        <f>IFERROR(VLOOKUP(M330,'הגדרות'!$A$11:$D$25,2,FALSE),"")</f>
        <v/>
      </c>
      <c r="R330">
        <f>IFERROR(VLOOKUP(M330,'הגדרות'!$A$11:$D$25,3,FALSE),"")</f>
        <v/>
      </c>
      <c r="S330">
        <f>IFERROR(VLOOKUP(N330,'הגדרות'!$A$11:$D$25,2,FALSE),"")</f>
        <v/>
      </c>
      <c r="T330">
        <f>IFERROR(VLOOKUP(N330,'הגדרות'!$A$11:$D$25,3,FALSE),"")</f>
        <v/>
      </c>
      <c r="AB330" s="6" t="n"/>
      <c r="AE330">
        <f>OR(Q330='לוח בקרה'!$B$2,R330='לוח בקרה'!$B$2,S330='לוח בקרה'!$B$2,T330='לוח בקרה'!$B$2)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E331">
        <f>IFERROR(INDEX('הגדרות'!$D$104:$D$123,MATCH(B331&amp;G331&amp;C331,'הגדרות'!$A$104:$A$123&amp;'הגדרות'!$B$104:$B$123&amp;'הגדרות'!$C$104:$C$123,0)),"")</f>
        <v/>
      </c>
      <c r="F331" s="6" t="n"/>
      <c r="Q331">
        <f>IFERROR(VLOOKUP(M331,'הגדרות'!$A$11:$D$25,2,FALSE),"")</f>
        <v/>
      </c>
      <c r="R331">
        <f>IFERROR(VLOOKUP(M331,'הגדרות'!$A$11:$D$25,3,FALSE),"")</f>
        <v/>
      </c>
      <c r="S331">
        <f>IFERROR(VLOOKUP(N331,'הגדרות'!$A$11:$D$25,2,FALSE),"")</f>
        <v/>
      </c>
      <c r="T331">
        <f>IFERROR(VLOOKUP(N331,'הגדרות'!$A$11:$D$25,3,FALSE),"")</f>
        <v/>
      </c>
      <c r="AB331" s="6" t="n"/>
      <c r="AE331">
        <f>OR(Q331='לוח בקרה'!$B$2,R331='לוח בקרה'!$B$2,S331='לוח בקרה'!$B$2,T331='לוח בקרה'!$B$2)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E332">
        <f>IFERROR(INDEX('הגדרות'!$D$104:$D$123,MATCH(B332&amp;G332&amp;C332,'הגדרות'!$A$104:$A$123&amp;'הגדרות'!$B$104:$B$123&amp;'הגדרות'!$C$104:$C$123,0)),"")</f>
        <v/>
      </c>
      <c r="F332" s="6" t="n"/>
      <c r="Q332">
        <f>IFERROR(VLOOKUP(M332,'הגדרות'!$A$11:$D$25,2,FALSE),"")</f>
        <v/>
      </c>
      <c r="R332">
        <f>IFERROR(VLOOKUP(M332,'הגדרות'!$A$11:$D$25,3,FALSE),"")</f>
        <v/>
      </c>
      <c r="S332">
        <f>IFERROR(VLOOKUP(N332,'הגדרות'!$A$11:$D$25,2,FALSE),"")</f>
        <v/>
      </c>
      <c r="T332">
        <f>IFERROR(VLOOKUP(N332,'הגדרות'!$A$11:$D$25,3,FALSE),"")</f>
        <v/>
      </c>
      <c r="AB332" s="6" t="n"/>
      <c r="AE332">
        <f>OR(Q332='לוח בקרה'!$B$2,R332='לוח בקרה'!$B$2,S332='לוח בקרה'!$B$2,T332='לוח בקרה'!$B$2)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E333">
        <f>IFERROR(INDEX('הגדרות'!$D$104:$D$123,MATCH(B333&amp;G333&amp;C333,'הגדרות'!$A$104:$A$123&amp;'הגדרות'!$B$104:$B$123&amp;'הגדרות'!$C$104:$C$123,0)),"")</f>
        <v/>
      </c>
      <c r="F333" s="6" t="n"/>
      <c r="Q333">
        <f>IFERROR(VLOOKUP(M333,'הגדרות'!$A$11:$D$25,2,FALSE),"")</f>
        <v/>
      </c>
      <c r="R333">
        <f>IFERROR(VLOOKUP(M333,'הגדרות'!$A$11:$D$25,3,FALSE),"")</f>
        <v/>
      </c>
      <c r="S333">
        <f>IFERROR(VLOOKUP(N333,'הגדרות'!$A$11:$D$25,2,FALSE),"")</f>
        <v/>
      </c>
      <c r="T333">
        <f>IFERROR(VLOOKUP(N333,'הגדרות'!$A$11:$D$25,3,FALSE),"")</f>
        <v/>
      </c>
      <c r="AB333" s="6" t="n"/>
      <c r="AE333">
        <f>OR(Q333='לוח בקרה'!$B$2,R333='לוח בקרה'!$B$2,S333='לוח בקרה'!$B$2,T333='לוח בקרה'!$B$2)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E334">
        <f>IFERROR(INDEX('הגדרות'!$D$104:$D$123,MATCH(B334&amp;G334&amp;C334,'הגדרות'!$A$104:$A$123&amp;'הגדרות'!$B$104:$B$123&amp;'הגדרות'!$C$104:$C$123,0)),"")</f>
        <v/>
      </c>
      <c r="F334" s="6" t="n"/>
      <c r="Q334">
        <f>IFERROR(VLOOKUP(M334,'הגדרות'!$A$11:$D$25,2,FALSE),"")</f>
        <v/>
      </c>
      <c r="R334">
        <f>IFERROR(VLOOKUP(M334,'הגדרות'!$A$11:$D$25,3,FALSE),"")</f>
        <v/>
      </c>
      <c r="S334">
        <f>IFERROR(VLOOKUP(N334,'הגדרות'!$A$11:$D$25,2,FALSE),"")</f>
        <v/>
      </c>
      <c r="T334">
        <f>IFERROR(VLOOKUP(N334,'הגדרות'!$A$11:$D$25,3,FALSE),"")</f>
        <v/>
      </c>
      <c r="AB334" s="6" t="n"/>
      <c r="AE334">
        <f>OR(Q334='לוח בקרה'!$B$2,R334='לוח בקרה'!$B$2,S334='לוח בקרה'!$B$2,T334='לוח בקרה'!$B$2)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E335">
        <f>IFERROR(INDEX('הגדרות'!$D$104:$D$123,MATCH(B335&amp;G335&amp;C335,'הגדרות'!$A$104:$A$123&amp;'הגדרות'!$B$104:$B$123&amp;'הגדרות'!$C$104:$C$123,0)),"")</f>
        <v/>
      </c>
      <c r="F335" s="6" t="n"/>
      <c r="Q335">
        <f>IFERROR(VLOOKUP(M335,'הגדרות'!$A$11:$D$25,2,FALSE),"")</f>
        <v/>
      </c>
      <c r="R335">
        <f>IFERROR(VLOOKUP(M335,'הגדרות'!$A$11:$D$25,3,FALSE),"")</f>
        <v/>
      </c>
      <c r="S335">
        <f>IFERROR(VLOOKUP(N335,'הגדרות'!$A$11:$D$25,2,FALSE),"")</f>
        <v/>
      </c>
      <c r="T335">
        <f>IFERROR(VLOOKUP(N335,'הגדרות'!$A$11:$D$25,3,FALSE),"")</f>
        <v/>
      </c>
      <c r="AB335" s="6" t="n"/>
      <c r="AE335">
        <f>OR(Q335='לוח בקרה'!$B$2,R335='לוח בקרה'!$B$2,S335='לוח בקרה'!$B$2,T335='לוח בקרה'!$B$2)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E336">
        <f>IFERROR(INDEX('הגדרות'!$D$104:$D$123,MATCH(B336&amp;G336&amp;C336,'הגדרות'!$A$104:$A$123&amp;'הגדרות'!$B$104:$B$123&amp;'הגדרות'!$C$104:$C$123,0)),"")</f>
        <v/>
      </c>
      <c r="F336" s="6" t="n"/>
      <c r="Q336">
        <f>IFERROR(VLOOKUP(M336,'הגדרות'!$A$11:$D$25,2,FALSE),"")</f>
        <v/>
      </c>
      <c r="R336">
        <f>IFERROR(VLOOKUP(M336,'הגדרות'!$A$11:$D$25,3,FALSE),"")</f>
        <v/>
      </c>
      <c r="S336">
        <f>IFERROR(VLOOKUP(N336,'הגדרות'!$A$11:$D$25,2,FALSE),"")</f>
        <v/>
      </c>
      <c r="T336">
        <f>IFERROR(VLOOKUP(N336,'הגדרות'!$A$11:$D$25,3,FALSE),"")</f>
        <v/>
      </c>
      <c r="AB336" s="6" t="n"/>
      <c r="AE336">
        <f>OR(Q336='לוח בקרה'!$B$2,R336='לוח בקרה'!$B$2,S336='לוח בקרה'!$B$2,T336='לוח בקרה'!$B$2)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E337">
        <f>IFERROR(INDEX('הגדרות'!$D$104:$D$123,MATCH(B337&amp;G337&amp;C337,'הגדרות'!$A$104:$A$123&amp;'הגדרות'!$B$104:$B$123&amp;'הגדרות'!$C$104:$C$123,0)),"")</f>
        <v/>
      </c>
      <c r="F337" s="6" t="n"/>
      <c r="Q337">
        <f>IFERROR(VLOOKUP(M337,'הגדרות'!$A$11:$D$25,2,FALSE),"")</f>
        <v/>
      </c>
      <c r="R337">
        <f>IFERROR(VLOOKUP(M337,'הגדרות'!$A$11:$D$25,3,FALSE),"")</f>
        <v/>
      </c>
      <c r="S337">
        <f>IFERROR(VLOOKUP(N337,'הגדרות'!$A$11:$D$25,2,FALSE),"")</f>
        <v/>
      </c>
      <c r="T337">
        <f>IFERROR(VLOOKUP(N337,'הגדרות'!$A$11:$D$25,3,FALSE),"")</f>
        <v/>
      </c>
      <c r="AB337" s="6" t="n"/>
      <c r="AE337">
        <f>OR(Q337='לוח בקרה'!$B$2,R337='לוח בקרה'!$B$2,S337='לוח בקרה'!$B$2,T337='לוח בקרה'!$B$2)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E338">
        <f>IFERROR(INDEX('הגדרות'!$D$104:$D$123,MATCH(B338&amp;G338&amp;C338,'הגדרות'!$A$104:$A$123&amp;'הגדרות'!$B$104:$B$123&amp;'הגדרות'!$C$104:$C$123,0)),"")</f>
        <v/>
      </c>
      <c r="F338" s="6" t="n"/>
      <c r="Q338">
        <f>IFERROR(VLOOKUP(M338,'הגדרות'!$A$11:$D$25,2,FALSE),"")</f>
        <v/>
      </c>
      <c r="R338">
        <f>IFERROR(VLOOKUP(M338,'הגדרות'!$A$11:$D$25,3,FALSE),"")</f>
        <v/>
      </c>
      <c r="S338">
        <f>IFERROR(VLOOKUP(N338,'הגדרות'!$A$11:$D$25,2,FALSE),"")</f>
        <v/>
      </c>
      <c r="T338">
        <f>IFERROR(VLOOKUP(N338,'הגדרות'!$A$11:$D$25,3,FALSE),"")</f>
        <v/>
      </c>
      <c r="AB338" s="6" t="n"/>
      <c r="AE338">
        <f>OR(Q338='לוח בקרה'!$B$2,R338='לוח בקרה'!$B$2,S338='לוח בקרה'!$B$2,T338='לוח בקרה'!$B$2)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E339">
        <f>IFERROR(INDEX('הגדרות'!$D$104:$D$123,MATCH(B339&amp;G339&amp;C339,'הגדרות'!$A$104:$A$123&amp;'הגדרות'!$B$104:$B$123&amp;'הגדרות'!$C$104:$C$123,0)),"")</f>
        <v/>
      </c>
      <c r="F339" s="6" t="n"/>
      <c r="Q339">
        <f>IFERROR(VLOOKUP(M339,'הגדרות'!$A$11:$D$25,2,FALSE),"")</f>
        <v/>
      </c>
      <c r="R339">
        <f>IFERROR(VLOOKUP(M339,'הגדרות'!$A$11:$D$25,3,FALSE),"")</f>
        <v/>
      </c>
      <c r="S339">
        <f>IFERROR(VLOOKUP(N339,'הגדרות'!$A$11:$D$25,2,FALSE),"")</f>
        <v/>
      </c>
      <c r="T339">
        <f>IFERROR(VLOOKUP(N339,'הגדרות'!$A$11:$D$25,3,FALSE),"")</f>
        <v/>
      </c>
      <c r="AB339" s="6" t="n"/>
      <c r="AE339">
        <f>OR(Q339='לוח בקרה'!$B$2,R339='לוח בקרה'!$B$2,S339='לוח בקרה'!$B$2,T339='לוח בקרה'!$B$2)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E340">
        <f>IFERROR(INDEX('הגדרות'!$D$104:$D$123,MATCH(B340&amp;G340&amp;C340,'הגדרות'!$A$104:$A$123&amp;'הגדרות'!$B$104:$B$123&amp;'הגדרות'!$C$104:$C$123,0)),"")</f>
        <v/>
      </c>
      <c r="F340" s="6" t="n"/>
      <c r="Q340">
        <f>IFERROR(VLOOKUP(M340,'הגדרות'!$A$11:$D$25,2,FALSE),"")</f>
        <v/>
      </c>
      <c r="R340">
        <f>IFERROR(VLOOKUP(M340,'הגדרות'!$A$11:$D$25,3,FALSE),"")</f>
        <v/>
      </c>
      <c r="S340">
        <f>IFERROR(VLOOKUP(N340,'הגדרות'!$A$11:$D$25,2,FALSE),"")</f>
        <v/>
      </c>
      <c r="T340">
        <f>IFERROR(VLOOKUP(N340,'הגדרות'!$A$11:$D$25,3,FALSE),"")</f>
        <v/>
      </c>
      <c r="AB340" s="6" t="n"/>
      <c r="AE340">
        <f>OR(Q340='לוח בקרה'!$B$2,R340='לוח בקרה'!$B$2,S340='לוח בקרה'!$B$2,T340='לוח בקרה'!$B$2)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E341">
        <f>IFERROR(INDEX('הגדרות'!$D$104:$D$123,MATCH(B341&amp;G341&amp;C341,'הגדרות'!$A$104:$A$123&amp;'הגדרות'!$B$104:$B$123&amp;'הגדרות'!$C$104:$C$123,0)),"")</f>
        <v/>
      </c>
      <c r="F341" s="6" t="n"/>
      <c r="Q341">
        <f>IFERROR(VLOOKUP(M341,'הגדרות'!$A$11:$D$25,2,FALSE),"")</f>
        <v/>
      </c>
      <c r="R341">
        <f>IFERROR(VLOOKUP(M341,'הגדרות'!$A$11:$D$25,3,FALSE),"")</f>
        <v/>
      </c>
      <c r="S341">
        <f>IFERROR(VLOOKUP(N341,'הגדרות'!$A$11:$D$25,2,FALSE),"")</f>
        <v/>
      </c>
      <c r="T341">
        <f>IFERROR(VLOOKUP(N341,'הגדרות'!$A$11:$D$25,3,FALSE),"")</f>
        <v/>
      </c>
      <c r="AB341" s="6" t="n"/>
      <c r="AE341">
        <f>OR(Q341='לוח בקרה'!$B$2,R341='לוח בקרה'!$B$2,S341='לוח בקרה'!$B$2,T341='לוח בקרה'!$B$2)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E342">
        <f>IFERROR(INDEX('הגדרות'!$D$104:$D$123,MATCH(B342&amp;G342&amp;C342,'הגדרות'!$A$104:$A$123&amp;'הגדרות'!$B$104:$B$123&amp;'הגדרות'!$C$104:$C$123,0)),"")</f>
        <v/>
      </c>
      <c r="F342" s="6" t="n"/>
      <c r="Q342">
        <f>IFERROR(VLOOKUP(M342,'הגדרות'!$A$11:$D$25,2,FALSE),"")</f>
        <v/>
      </c>
      <c r="R342">
        <f>IFERROR(VLOOKUP(M342,'הגדרות'!$A$11:$D$25,3,FALSE),"")</f>
        <v/>
      </c>
      <c r="S342">
        <f>IFERROR(VLOOKUP(N342,'הגדרות'!$A$11:$D$25,2,FALSE),"")</f>
        <v/>
      </c>
      <c r="T342">
        <f>IFERROR(VLOOKUP(N342,'הגדרות'!$A$11:$D$25,3,FALSE),"")</f>
        <v/>
      </c>
      <c r="AB342" s="6" t="n"/>
      <c r="AE342">
        <f>OR(Q342='לוח בקרה'!$B$2,R342='לוח בקרה'!$B$2,S342='לוח בקרה'!$B$2,T342='לוח בקרה'!$B$2)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E343">
        <f>IFERROR(INDEX('הגדרות'!$D$104:$D$123,MATCH(B343&amp;G343&amp;C343,'הגדרות'!$A$104:$A$123&amp;'הגדרות'!$B$104:$B$123&amp;'הגדרות'!$C$104:$C$123,0)),"")</f>
        <v/>
      </c>
      <c r="F343" s="6" t="n"/>
      <c r="Q343">
        <f>IFERROR(VLOOKUP(M343,'הגדרות'!$A$11:$D$25,2,FALSE),"")</f>
        <v/>
      </c>
      <c r="R343">
        <f>IFERROR(VLOOKUP(M343,'הגדרות'!$A$11:$D$25,3,FALSE),"")</f>
        <v/>
      </c>
      <c r="S343">
        <f>IFERROR(VLOOKUP(N343,'הגדרות'!$A$11:$D$25,2,FALSE),"")</f>
        <v/>
      </c>
      <c r="T343">
        <f>IFERROR(VLOOKUP(N343,'הגדרות'!$A$11:$D$25,3,FALSE),"")</f>
        <v/>
      </c>
      <c r="AB343" s="6" t="n"/>
      <c r="AE343">
        <f>OR(Q343='לוח בקרה'!$B$2,R343='לוח בקרה'!$B$2,S343='לוח בקרה'!$B$2,T343='לוח בקרה'!$B$2)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E344">
        <f>IFERROR(INDEX('הגדרות'!$D$104:$D$123,MATCH(B344&amp;G344&amp;C344,'הגדרות'!$A$104:$A$123&amp;'הגדרות'!$B$104:$B$123&amp;'הגדרות'!$C$104:$C$123,0)),"")</f>
        <v/>
      </c>
      <c r="F344" s="6" t="n"/>
      <c r="Q344">
        <f>IFERROR(VLOOKUP(M344,'הגדרות'!$A$11:$D$25,2,FALSE),"")</f>
        <v/>
      </c>
      <c r="R344">
        <f>IFERROR(VLOOKUP(M344,'הגדרות'!$A$11:$D$25,3,FALSE),"")</f>
        <v/>
      </c>
      <c r="S344">
        <f>IFERROR(VLOOKUP(N344,'הגדרות'!$A$11:$D$25,2,FALSE),"")</f>
        <v/>
      </c>
      <c r="T344">
        <f>IFERROR(VLOOKUP(N344,'הגדרות'!$A$11:$D$25,3,FALSE),"")</f>
        <v/>
      </c>
      <c r="AB344" s="6" t="n"/>
      <c r="AE344">
        <f>OR(Q344='לוח בקרה'!$B$2,R344='לוח בקרה'!$B$2,S344='לוח בקרה'!$B$2,T344='לוח בקרה'!$B$2)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E345">
        <f>IFERROR(INDEX('הגדרות'!$D$104:$D$123,MATCH(B345&amp;G345&amp;C345,'הגדרות'!$A$104:$A$123&amp;'הגדרות'!$B$104:$B$123&amp;'הגדרות'!$C$104:$C$123,0)),"")</f>
        <v/>
      </c>
      <c r="F345" s="6" t="n"/>
      <c r="Q345">
        <f>IFERROR(VLOOKUP(M345,'הגדרות'!$A$11:$D$25,2,FALSE),"")</f>
        <v/>
      </c>
      <c r="R345">
        <f>IFERROR(VLOOKUP(M345,'הגדרות'!$A$11:$D$25,3,FALSE),"")</f>
        <v/>
      </c>
      <c r="S345">
        <f>IFERROR(VLOOKUP(N345,'הגדרות'!$A$11:$D$25,2,FALSE),"")</f>
        <v/>
      </c>
      <c r="T345">
        <f>IFERROR(VLOOKUP(N345,'הגדרות'!$A$11:$D$25,3,FALSE),"")</f>
        <v/>
      </c>
      <c r="AB345" s="6" t="n"/>
      <c r="AE345">
        <f>OR(Q345='לוח בקרה'!$B$2,R345='לוח בקרה'!$B$2,S345='לוח בקרה'!$B$2,T345='לוח בקרה'!$B$2)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E346">
        <f>IFERROR(INDEX('הגדרות'!$D$104:$D$123,MATCH(B346&amp;G346&amp;C346,'הגדרות'!$A$104:$A$123&amp;'הגדרות'!$B$104:$B$123&amp;'הגדרות'!$C$104:$C$123,0)),"")</f>
        <v/>
      </c>
      <c r="F346" s="6" t="n"/>
      <c r="Q346">
        <f>IFERROR(VLOOKUP(M346,'הגדרות'!$A$11:$D$25,2,FALSE),"")</f>
        <v/>
      </c>
      <c r="R346">
        <f>IFERROR(VLOOKUP(M346,'הגדרות'!$A$11:$D$25,3,FALSE),"")</f>
        <v/>
      </c>
      <c r="S346">
        <f>IFERROR(VLOOKUP(N346,'הגדרות'!$A$11:$D$25,2,FALSE),"")</f>
        <v/>
      </c>
      <c r="T346">
        <f>IFERROR(VLOOKUP(N346,'הגדרות'!$A$11:$D$25,3,FALSE),"")</f>
        <v/>
      </c>
      <c r="AB346" s="6" t="n"/>
      <c r="AE346">
        <f>OR(Q346='לוח בקרה'!$B$2,R346='לוח בקרה'!$B$2,S346='לוח בקרה'!$B$2,T346='לוח בקרה'!$B$2)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E347">
        <f>IFERROR(INDEX('הגדרות'!$D$104:$D$123,MATCH(B347&amp;G347&amp;C347,'הגדרות'!$A$104:$A$123&amp;'הגדרות'!$B$104:$B$123&amp;'הגדרות'!$C$104:$C$123,0)),"")</f>
        <v/>
      </c>
      <c r="F347" s="6" t="n"/>
      <c r="Q347">
        <f>IFERROR(VLOOKUP(M347,'הגדרות'!$A$11:$D$25,2,FALSE),"")</f>
        <v/>
      </c>
      <c r="R347">
        <f>IFERROR(VLOOKUP(M347,'הגדרות'!$A$11:$D$25,3,FALSE),"")</f>
        <v/>
      </c>
      <c r="S347">
        <f>IFERROR(VLOOKUP(N347,'הגדרות'!$A$11:$D$25,2,FALSE),"")</f>
        <v/>
      </c>
      <c r="T347">
        <f>IFERROR(VLOOKUP(N347,'הגדרות'!$A$11:$D$25,3,FALSE),"")</f>
        <v/>
      </c>
      <c r="AB347" s="6" t="n"/>
      <c r="AE347">
        <f>OR(Q347='לוח בקרה'!$B$2,R347='לוח בקרה'!$B$2,S347='לוח בקרה'!$B$2,T347='לוח בקרה'!$B$2)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E348">
        <f>IFERROR(INDEX('הגדרות'!$D$104:$D$123,MATCH(B348&amp;G348&amp;C348,'הגדרות'!$A$104:$A$123&amp;'הגדרות'!$B$104:$B$123&amp;'הגדרות'!$C$104:$C$123,0)),"")</f>
        <v/>
      </c>
      <c r="F348" s="6" t="n"/>
      <c r="Q348">
        <f>IFERROR(VLOOKUP(M348,'הגדרות'!$A$11:$D$25,2,FALSE),"")</f>
        <v/>
      </c>
      <c r="R348">
        <f>IFERROR(VLOOKUP(M348,'הגדרות'!$A$11:$D$25,3,FALSE),"")</f>
        <v/>
      </c>
      <c r="S348">
        <f>IFERROR(VLOOKUP(N348,'הגדרות'!$A$11:$D$25,2,FALSE),"")</f>
        <v/>
      </c>
      <c r="T348">
        <f>IFERROR(VLOOKUP(N348,'הגדרות'!$A$11:$D$25,3,FALSE),"")</f>
        <v/>
      </c>
      <c r="AB348" s="6" t="n"/>
      <c r="AE348">
        <f>OR(Q348='לוח בקרה'!$B$2,R348='לוח בקרה'!$B$2,S348='לוח בקרה'!$B$2,T348='לוח בקרה'!$B$2)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E349">
        <f>IFERROR(INDEX('הגדרות'!$D$104:$D$123,MATCH(B349&amp;G349&amp;C349,'הגדרות'!$A$104:$A$123&amp;'הגדרות'!$B$104:$B$123&amp;'הגדרות'!$C$104:$C$123,0)),"")</f>
        <v/>
      </c>
      <c r="F349" s="6" t="n"/>
      <c r="Q349">
        <f>IFERROR(VLOOKUP(M349,'הגדרות'!$A$11:$D$25,2,FALSE),"")</f>
        <v/>
      </c>
      <c r="R349">
        <f>IFERROR(VLOOKUP(M349,'הגדרות'!$A$11:$D$25,3,FALSE),"")</f>
        <v/>
      </c>
      <c r="S349">
        <f>IFERROR(VLOOKUP(N349,'הגדרות'!$A$11:$D$25,2,FALSE),"")</f>
        <v/>
      </c>
      <c r="T349">
        <f>IFERROR(VLOOKUP(N349,'הגדרות'!$A$11:$D$25,3,FALSE),"")</f>
        <v/>
      </c>
      <c r="AB349" s="6" t="n"/>
      <c r="AE349">
        <f>OR(Q349='לוח בקרה'!$B$2,R349='לוח בקרה'!$B$2,S349='לוח בקרה'!$B$2,T349='לוח בקרה'!$B$2)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E350">
        <f>IFERROR(INDEX('הגדרות'!$D$104:$D$123,MATCH(B350&amp;G350&amp;C350,'הגדרות'!$A$104:$A$123&amp;'הגדרות'!$B$104:$B$123&amp;'הגדרות'!$C$104:$C$123,0)),"")</f>
        <v/>
      </c>
      <c r="F350" s="6" t="n"/>
      <c r="Q350">
        <f>IFERROR(VLOOKUP(M350,'הגדרות'!$A$11:$D$25,2,FALSE),"")</f>
        <v/>
      </c>
      <c r="R350">
        <f>IFERROR(VLOOKUP(M350,'הגדרות'!$A$11:$D$25,3,FALSE),"")</f>
        <v/>
      </c>
      <c r="S350">
        <f>IFERROR(VLOOKUP(N350,'הגדרות'!$A$11:$D$25,2,FALSE),"")</f>
        <v/>
      </c>
      <c r="T350">
        <f>IFERROR(VLOOKUP(N350,'הגדרות'!$A$11:$D$25,3,FALSE),"")</f>
        <v/>
      </c>
      <c r="AB350" s="6" t="n"/>
      <c r="AE350">
        <f>OR(Q350='לוח בקרה'!$B$2,R350='לוח בקרה'!$B$2,S350='לוח בקרה'!$B$2,T350='לוח בקרה'!$B$2)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E351">
        <f>IFERROR(INDEX('הגדרות'!$D$104:$D$123,MATCH(B351&amp;G351&amp;C351,'הגדרות'!$A$104:$A$123&amp;'הגדרות'!$B$104:$B$123&amp;'הגדרות'!$C$104:$C$123,0)),"")</f>
        <v/>
      </c>
      <c r="F351" s="6" t="n"/>
      <c r="Q351">
        <f>IFERROR(VLOOKUP(M351,'הגדרות'!$A$11:$D$25,2,FALSE),"")</f>
        <v/>
      </c>
      <c r="R351">
        <f>IFERROR(VLOOKUP(M351,'הגדרות'!$A$11:$D$25,3,FALSE),"")</f>
        <v/>
      </c>
      <c r="S351">
        <f>IFERROR(VLOOKUP(N351,'הגדרות'!$A$11:$D$25,2,FALSE),"")</f>
        <v/>
      </c>
      <c r="T351">
        <f>IFERROR(VLOOKUP(N351,'הגדרות'!$A$11:$D$25,3,FALSE),"")</f>
        <v/>
      </c>
      <c r="AB351" s="6" t="n"/>
      <c r="AE351">
        <f>OR(Q351='לוח בקרה'!$B$2,R351='לוח בקרה'!$B$2,S351='לוח בקרה'!$B$2,T351='לוח בקרה'!$B$2)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E352">
        <f>IFERROR(INDEX('הגדרות'!$D$104:$D$123,MATCH(B352&amp;G352&amp;C352,'הגדרות'!$A$104:$A$123&amp;'הגדרות'!$B$104:$B$123&amp;'הגדרות'!$C$104:$C$123,0)),"")</f>
        <v/>
      </c>
      <c r="F352" s="6" t="n"/>
      <c r="Q352">
        <f>IFERROR(VLOOKUP(M352,'הגדרות'!$A$11:$D$25,2,FALSE),"")</f>
        <v/>
      </c>
      <c r="R352">
        <f>IFERROR(VLOOKUP(M352,'הגדרות'!$A$11:$D$25,3,FALSE),"")</f>
        <v/>
      </c>
      <c r="S352">
        <f>IFERROR(VLOOKUP(N352,'הגדרות'!$A$11:$D$25,2,FALSE),"")</f>
        <v/>
      </c>
      <c r="T352">
        <f>IFERROR(VLOOKUP(N352,'הגדרות'!$A$11:$D$25,3,FALSE),"")</f>
        <v/>
      </c>
      <c r="AB352" s="6" t="n"/>
      <c r="AE352">
        <f>OR(Q352='לוח בקרה'!$B$2,R352='לוח בקרה'!$B$2,S352='לוח בקרה'!$B$2,T352='לוח בקרה'!$B$2)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E353">
        <f>IFERROR(INDEX('הגדרות'!$D$104:$D$123,MATCH(B353&amp;G353&amp;C353,'הגדרות'!$A$104:$A$123&amp;'הגדרות'!$B$104:$B$123&amp;'הגדרות'!$C$104:$C$123,0)),"")</f>
        <v/>
      </c>
      <c r="F353" s="6" t="n"/>
      <c r="Q353">
        <f>IFERROR(VLOOKUP(M353,'הגדרות'!$A$11:$D$25,2,FALSE),"")</f>
        <v/>
      </c>
      <c r="R353">
        <f>IFERROR(VLOOKUP(M353,'הגדרות'!$A$11:$D$25,3,FALSE),"")</f>
        <v/>
      </c>
      <c r="S353">
        <f>IFERROR(VLOOKUP(N353,'הגדרות'!$A$11:$D$25,2,FALSE),"")</f>
        <v/>
      </c>
      <c r="T353">
        <f>IFERROR(VLOOKUP(N353,'הגדרות'!$A$11:$D$25,3,FALSE),"")</f>
        <v/>
      </c>
      <c r="AB353" s="6" t="n"/>
      <c r="AE353">
        <f>OR(Q353='לוח בקרה'!$B$2,R353='לוח בקרה'!$B$2,S353='לוח בקרה'!$B$2,T353='לוח בקרה'!$B$2)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E354">
        <f>IFERROR(INDEX('הגדרות'!$D$104:$D$123,MATCH(B354&amp;G354&amp;C354,'הגדרות'!$A$104:$A$123&amp;'הגדרות'!$B$104:$B$123&amp;'הגדרות'!$C$104:$C$123,0)),"")</f>
        <v/>
      </c>
      <c r="F354" s="6" t="n"/>
      <c r="Q354">
        <f>IFERROR(VLOOKUP(M354,'הגדרות'!$A$11:$D$25,2,FALSE),"")</f>
        <v/>
      </c>
      <c r="R354">
        <f>IFERROR(VLOOKUP(M354,'הגדרות'!$A$11:$D$25,3,FALSE),"")</f>
        <v/>
      </c>
      <c r="S354">
        <f>IFERROR(VLOOKUP(N354,'הגדרות'!$A$11:$D$25,2,FALSE),"")</f>
        <v/>
      </c>
      <c r="T354">
        <f>IFERROR(VLOOKUP(N354,'הגדרות'!$A$11:$D$25,3,FALSE),"")</f>
        <v/>
      </c>
      <c r="AB354" s="6" t="n"/>
      <c r="AE354">
        <f>OR(Q354='לוח בקרה'!$B$2,R354='לוח בקרה'!$B$2,S354='לוח בקרה'!$B$2,T354='לוח בקרה'!$B$2)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E355">
        <f>IFERROR(INDEX('הגדרות'!$D$104:$D$123,MATCH(B355&amp;G355&amp;C355,'הגדרות'!$A$104:$A$123&amp;'הגדרות'!$B$104:$B$123&amp;'הגדרות'!$C$104:$C$123,0)),"")</f>
        <v/>
      </c>
      <c r="F355" s="6" t="n"/>
      <c r="Q355">
        <f>IFERROR(VLOOKUP(M355,'הגדרות'!$A$11:$D$25,2,FALSE),"")</f>
        <v/>
      </c>
      <c r="R355">
        <f>IFERROR(VLOOKUP(M355,'הגדרות'!$A$11:$D$25,3,FALSE),"")</f>
        <v/>
      </c>
      <c r="S355">
        <f>IFERROR(VLOOKUP(N355,'הגדרות'!$A$11:$D$25,2,FALSE),"")</f>
        <v/>
      </c>
      <c r="T355">
        <f>IFERROR(VLOOKUP(N355,'הגדרות'!$A$11:$D$25,3,FALSE),"")</f>
        <v/>
      </c>
      <c r="AB355" s="6" t="n"/>
      <c r="AE355">
        <f>OR(Q355='לוח בקרה'!$B$2,R355='לוח בקרה'!$B$2,S355='לוח בקרה'!$B$2,T355='לוח בקרה'!$B$2)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E356">
        <f>IFERROR(INDEX('הגדרות'!$D$104:$D$123,MATCH(B356&amp;G356&amp;C356,'הגדרות'!$A$104:$A$123&amp;'הגדרות'!$B$104:$B$123&amp;'הגדרות'!$C$104:$C$123,0)),"")</f>
        <v/>
      </c>
      <c r="F356" s="6" t="n"/>
      <c r="Q356">
        <f>IFERROR(VLOOKUP(M356,'הגדרות'!$A$11:$D$25,2,FALSE),"")</f>
        <v/>
      </c>
      <c r="R356">
        <f>IFERROR(VLOOKUP(M356,'הגדרות'!$A$11:$D$25,3,FALSE),"")</f>
        <v/>
      </c>
      <c r="S356">
        <f>IFERROR(VLOOKUP(N356,'הגדרות'!$A$11:$D$25,2,FALSE),"")</f>
        <v/>
      </c>
      <c r="T356">
        <f>IFERROR(VLOOKUP(N356,'הגדרות'!$A$11:$D$25,3,FALSE),"")</f>
        <v/>
      </c>
      <c r="AB356" s="6" t="n"/>
      <c r="AE356">
        <f>OR(Q356='לוח בקרה'!$B$2,R356='לוח בקרה'!$B$2,S356='לוח בקרה'!$B$2,T356='לוח בקרה'!$B$2)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E357">
        <f>IFERROR(INDEX('הגדרות'!$D$104:$D$123,MATCH(B357&amp;G357&amp;C357,'הגדרות'!$A$104:$A$123&amp;'הגדרות'!$B$104:$B$123&amp;'הגדרות'!$C$104:$C$123,0)),"")</f>
        <v/>
      </c>
      <c r="F357" s="6" t="n"/>
      <c r="Q357">
        <f>IFERROR(VLOOKUP(M357,'הגדרות'!$A$11:$D$25,2,FALSE),"")</f>
        <v/>
      </c>
      <c r="R357">
        <f>IFERROR(VLOOKUP(M357,'הגדרות'!$A$11:$D$25,3,FALSE),"")</f>
        <v/>
      </c>
      <c r="S357">
        <f>IFERROR(VLOOKUP(N357,'הגדרות'!$A$11:$D$25,2,FALSE),"")</f>
        <v/>
      </c>
      <c r="T357">
        <f>IFERROR(VLOOKUP(N357,'הגדרות'!$A$11:$D$25,3,FALSE),"")</f>
        <v/>
      </c>
      <c r="AB357" s="6" t="n"/>
      <c r="AE357">
        <f>OR(Q357='לוח בקרה'!$B$2,R357='לוח בקרה'!$B$2,S357='לוח בקרה'!$B$2,T357='לוח בקרה'!$B$2)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E358">
        <f>IFERROR(INDEX('הגדרות'!$D$104:$D$123,MATCH(B358&amp;G358&amp;C358,'הגדרות'!$A$104:$A$123&amp;'הגדרות'!$B$104:$B$123&amp;'הגדרות'!$C$104:$C$123,0)),"")</f>
        <v/>
      </c>
      <c r="F358" s="6" t="n"/>
      <c r="Q358">
        <f>IFERROR(VLOOKUP(M358,'הגדרות'!$A$11:$D$25,2,FALSE),"")</f>
        <v/>
      </c>
      <c r="R358">
        <f>IFERROR(VLOOKUP(M358,'הגדרות'!$A$11:$D$25,3,FALSE),"")</f>
        <v/>
      </c>
      <c r="S358">
        <f>IFERROR(VLOOKUP(N358,'הגדרות'!$A$11:$D$25,2,FALSE),"")</f>
        <v/>
      </c>
      <c r="T358">
        <f>IFERROR(VLOOKUP(N358,'הגדרות'!$A$11:$D$25,3,FALSE),"")</f>
        <v/>
      </c>
      <c r="AB358" s="6" t="n"/>
      <c r="AE358">
        <f>OR(Q358='לוח בקרה'!$B$2,R358='לוח בקרה'!$B$2,S358='לוח בקרה'!$B$2,T358='לוח בקרה'!$B$2)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E359">
        <f>IFERROR(INDEX('הגדרות'!$D$104:$D$123,MATCH(B359&amp;G359&amp;C359,'הגדרות'!$A$104:$A$123&amp;'הגדרות'!$B$104:$B$123&amp;'הגדרות'!$C$104:$C$123,0)),"")</f>
        <v/>
      </c>
      <c r="F359" s="6" t="n"/>
      <c r="Q359">
        <f>IFERROR(VLOOKUP(M359,'הגדרות'!$A$11:$D$25,2,FALSE),"")</f>
        <v/>
      </c>
      <c r="R359">
        <f>IFERROR(VLOOKUP(M359,'הגדרות'!$A$11:$D$25,3,FALSE),"")</f>
        <v/>
      </c>
      <c r="S359">
        <f>IFERROR(VLOOKUP(N359,'הגדרות'!$A$11:$D$25,2,FALSE),"")</f>
        <v/>
      </c>
      <c r="T359">
        <f>IFERROR(VLOOKUP(N359,'הגדרות'!$A$11:$D$25,3,FALSE),"")</f>
        <v/>
      </c>
      <c r="AB359" s="6" t="n"/>
      <c r="AE359">
        <f>OR(Q359='לוח בקרה'!$B$2,R359='לוח בקרה'!$B$2,S359='לוח בקרה'!$B$2,T359='לוח בקרה'!$B$2)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E360">
        <f>IFERROR(INDEX('הגדרות'!$D$104:$D$123,MATCH(B360&amp;G360&amp;C360,'הגדרות'!$A$104:$A$123&amp;'הגדרות'!$B$104:$B$123&amp;'הגדרות'!$C$104:$C$123,0)),"")</f>
        <v/>
      </c>
      <c r="F360" s="6" t="n"/>
      <c r="Q360">
        <f>IFERROR(VLOOKUP(M360,'הגדרות'!$A$11:$D$25,2,FALSE),"")</f>
        <v/>
      </c>
      <c r="R360">
        <f>IFERROR(VLOOKUP(M360,'הגדרות'!$A$11:$D$25,3,FALSE),"")</f>
        <v/>
      </c>
      <c r="S360">
        <f>IFERROR(VLOOKUP(N360,'הגדרות'!$A$11:$D$25,2,FALSE),"")</f>
        <v/>
      </c>
      <c r="T360">
        <f>IFERROR(VLOOKUP(N360,'הגדרות'!$A$11:$D$25,3,FALSE),"")</f>
        <v/>
      </c>
      <c r="AB360" s="6" t="n"/>
      <c r="AE360">
        <f>OR(Q360='לוח בקרה'!$B$2,R360='לוח בקרה'!$B$2,S360='לוח בקרה'!$B$2,T360='לוח בקרה'!$B$2)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E361">
        <f>IFERROR(INDEX('הגדרות'!$D$104:$D$123,MATCH(B361&amp;G361&amp;C361,'הגדרות'!$A$104:$A$123&amp;'הגדרות'!$B$104:$B$123&amp;'הגדרות'!$C$104:$C$123,0)),"")</f>
        <v/>
      </c>
      <c r="F361" s="6" t="n"/>
      <c r="Q361">
        <f>IFERROR(VLOOKUP(M361,'הגדרות'!$A$11:$D$25,2,FALSE),"")</f>
        <v/>
      </c>
      <c r="R361">
        <f>IFERROR(VLOOKUP(M361,'הגדרות'!$A$11:$D$25,3,FALSE),"")</f>
        <v/>
      </c>
      <c r="S361">
        <f>IFERROR(VLOOKUP(N361,'הגדרות'!$A$11:$D$25,2,FALSE),"")</f>
        <v/>
      </c>
      <c r="T361">
        <f>IFERROR(VLOOKUP(N361,'הגדרות'!$A$11:$D$25,3,FALSE),"")</f>
        <v/>
      </c>
      <c r="AB361" s="6" t="n"/>
      <c r="AE361">
        <f>OR(Q361='לוח בקרה'!$B$2,R361='לוח בקרה'!$B$2,S361='לוח בקרה'!$B$2,T361='לוח בקרה'!$B$2)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E362">
        <f>IFERROR(INDEX('הגדרות'!$D$104:$D$123,MATCH(B362&amp;G362&amp;C362,'הגדרות'!$A$104:$A$123&amp;'הגדרות'!$B$104:$B$123&amp;'הגדרות'!$C$104:$C$123,0)),"")</f>
        <v/>
      </c>
      <c r="F362" s="6" t="n"/>
      <c r="Q362">
        <f>IFERROR(VLOOKUP(M362,'הגדרות'!$A$11:$D$25,2,FALSE),"")</f>
        <v/>
      </c>
      <c r="R362">
        <f>IFERROR(VLOOKUP(M362,'הגדרות'!$A$11:$D$25,3,FALSE),"")</f>
        <v/>
      </c>
      <c r="S362">
        <f>IFERROR(VLOOKUP(N362,'הגדרות'!$A$11:$D$25,2,FALSE),"")</f>
        <v/>
      </c>
      <c r="T362">
        <f>IFERROR(VLOOKUP(N362,'הגדרות'!$A$11:$D$25,3,FALSE),"")</f>
        <v/>
      </c>
      <c r="AB362" s="6" t="n"/>
      <c r="AE362">
        <f>OR(Q362='לוח בקרה'!$B$2,R362='לוח בקרה'!$B$2,S362='לוח בקרה'!$B$2,T362='לוח בקרה'!$B$2)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E363">
        <f>IFERROR(INDEX('הגדרות'!$D$104:$D$123,MATCH(B363&amp;G363&amp;C363,'הגדרות'!$A$104:$A$123&amp;'הגדרות'!$B$104:$B$123&amp;'הגדרות'!$C$104:$C$123,0)),"")</f>
        <v/>
      </c>
      <c r="F363" s="6" t="n"/>
      <c r="Q363">
        <f>IFERROR(VLOOKUP(M363,'הגדרות'!$A$11:$D$25,2,FALSE),"")</f>
        <v/>
      </c>
      <c r="R363">
        <f>IFERROR(VLOOKUP(M363,'הגדרות'!$A$11:$D$25,3,FALSE),"")</f>
        <v/>
      </c>
      <c r="S363">
        <f>IFERROR(VLOOKUP(N363,'הגדרות'!$A$11:$D$25,2,FALSE),"")</f>
        <v/>
      </c>
      <c r="T363">
        <f>IFERROR(VLOOKUP(N363,'הגדרות'!$A$11:$D$25,3,FALSE),"")</f>
        <v/>
      </c>
      <c r="AB363" s="6" t="n"/>
      <c r="AE363">
        <f>OR(Q363='לוח בקרה'!$B$2,R363='לוח בקרה'!$B$2,S363='לוח בקרה'!$B$2,T363='לוח בקרה'!$B$2)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E364">
        <f>IFERROR(INDEX('הגדרות'!$D$104:$D$123,MATCH(B364&amp;G364&amp;C364,'הגדרות'!$A$104:$A$123&amp;'הגדרות'!$B$104:$B$123&amp;'הגדרות'!$C$104:$C$123,0)),"")</f>
        <v/>
      </c>
      <c r="F364" s="6" t="n"/>
      <c r="Q364">
        <f>IFERROR(VLOOKUP(M364,'הגדרות'!$A$11:$D$25,2,FALSE),"")</f>
        <v/>
      </c>
      <c r="R364">
        <f>IFERROR(VLOOKUP(M364,'הגדרות'!$A$11:$D$25,3,FALSE),"")</f>
        <v/>
      </c>
      <c r="S364">
        <f>IFERROR(VLOOKUP(N364,'הגדרות'!$A$11:$D$25,2,FALSE),"")</f>
        <v/>
      </c>
      <c r="T364">
        <f>IFERROR(VLOOKUP(N364,'הגדרות'!$A$11:$D$25,3,FALSE),"")</f>
        <v/>
      </c>
      <c r="AB364" s="6" t="n"/>
      <c r="AE364">
        <f>OR(Q364='לוח בקרה'!$B$2,R364='לוח בקרה'!$B$2,S364='לוח בקרה'!$B$2,T364='לוח בקרה'!$B$2)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E365">
        <f>IFERROR(INDEX('הגדרות'!$D$104:$D$123,MATCH(B365&amp;G365&amp;C365,'הגדרות'!$A$104:$A$123&amp;'הגדרות'!$B$104:$B$123&amp;'הגדרות'!$C$104:$C$123,0)),"")</f>
        <v/>
      </c>
      <c r="F365" s="6" t="n"/>
      <c r="Q365">
        <f>IFERROR(VLOOKUP(M365,'הגדרות'!$A$11:$D$25,2,FALSE),"")</f>
        <v/>
      </c>
      <c r="R365">
        <f>IFERROR(VLOOKUP(M365,'הגדרות'!$A$11:$D$25,3,FALSE),"")</f>
        <v/>
      </c>
      <c r="S365">
        <f>IFERROR(VLOOKUP(N365,'הגדרות'!$A$11:$D$25,2,FALSE),"")</f>
        <v/>
      </c>
      <c r="T365">
        <f>IFERROR(VLOOKUP(N365,'הגדרות'!$A$11:$D$25,3,FALSE),"")</f>
        <v/>
      </c>
      <c r="AB365" s="6" t="n"/>
      <c r="AE365">
        <f>OR(Q365='לוח בקרה'!$B$2,R365='לוח בקרה'!$B$2,S365='לוח בקרה'!$B$2,T365='לוח בקרה'!$B$2)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E366">
        <f>IFERROR(INDEX('הגדרות'!$D$104:$D$123,MATCH(B366&amp;G366&amp;C366,'הגדרות'!$A$104:$A$123&amp;'הגדרות'!$B$104:$B$123&amp;'הגדרות'!$C$104:$C$123,0)),"")</f>
        <v/>
      </c>
      <c r="F366" s="6" t="n"/>
      <c r="Q366">
        <f>IFERROR(VLOOKUP(M366,'הגדרות'!$A$11:$D$25,2,FALSE),"")</f>
        <v/>
      </c>
      <c r="R366">
        <f>IFERROR(VLOOKUP(M366,'הגדרות'!$A$11:$D$25,3,FALSE),"")</f>
        <v/>
      </c>
      <c r="S366">
        <f>IFERROR(VLOOKUP(N366,'הגדרות'!$A$11:$D$25,2,FALSE),"")</f>
        <v/>
      </c>
      <c r="T366">
        <f>IFERROR(VLOOKUP(N366,'הגדרות'!$A$11:$D$25,3,FALSE),"")</f>
        <v/>
      </c>
      <c r="AB366" s="6" t="n"/>
      <c r="AE366">
        <f>OR(Q366='לוח בקרה'!$B$2,R366='לוח בקרה'!$B$2,S366='לוח בקרה'!$B$2,T366='לוח בקרה'!$B$2)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E367">
        <f>IFERROR(INDEX('הגדרות'!$D$104:$D$123,MATCH(B367&amp;G367&amp;C367,'הגדרות'!$A$104:$A$123&amp;'הגדרות'!$B$104:$B$123&amp;'הגדרות'!$C$104:$C$123,0)),"")</f>
        <v/>
      </c>
      <c r="F367" s="6" t="n"/>
      <c r="Q367">
        <f>IFERROR(VLOOKUP(M367,'הגדרות'!$A$11:$D$25,2,FALSE),"")</f>
        <v/>
      </c>
      <c r="R367">
        <f>IFERROR(VLOOKUP(M367,'הגדרות'!$A$11:$D$25,3,FALSE),"")</f>
        <v/>
      </c>
      <c r="S367">
        <f>IFERROR(VLOOKUP(N367,'הגדרות'!$A$11:$D$25,2,FALSE),"")</f>
        <v/>
      </c>
      <c r="T367">
        <f>IFERROR(VLOOKUP(N367,'הגדרות'!$A$11:$D$25,3,FALSE),"")</f>
        <v/>
      </c>
      <c r="AB367" s="6" t="n"/>
      <c r="AE367">
        <f>OR(Q367='לוח בקרה'!$B$2,R367='לוח בקרה'!$B$2,S367='לוח בקרה'!$B$2,T367='לוח בקרה'!$B$2)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E368">
        <f>IFERROR(INDEX('הגדרות'!$D$104:$D$123,MATCH(B368&amp;G368&amp;C368,'הגדרות'!$A$104:$A$123&amp;'הגדרות'!$B$104:$B$123&amp;'הגדרות'!$C$104:$C$123,0)),"")</f>
        <v/>
      </c>
      <c r="F368" s="6" t="n"/>
      <c r="Q368">
        <f>IFERROR(VLOOKUP(M368,'הגדרות'!$A$11:$D$25,2,FALSE),"")</f>
        <v/>
      </c>
      <c r="R368">
        <f>IFERROR(VLOOKUP(M368,'הגדרות'!$A$11:$D$25,3,FALSE),"")</f>
        <v/>
      </c>
      <c r="S368">
        <f>IFERROR(VLOOKUP(N368,'הגדרות'!$A$11:$D$25,2,FALSE),"")</f>
        <v/>
      </c>
      <c r="T368">
        <f>IFERROR(VLOOKUP(N368,'הגדרות'!$A$11:$D$25,3,FALSE),"")</f>
        <v/>
      </c>
      <c r="AB368" s="6" t="n"/>
      <c r="AE368">
        <f>OR(Q368='לוח בקרה'!$B$2,R368='לוח בקרה'!$B$2,S368='לוח בקרה'!$B$2,T368='לוח בקרה'!$B$2)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E369">
        <f>IFERROR(INDEX('הגדרות'!$D$104:$D$123,MATCH(B369&amp;G369&amp;C369,'הגדרות'!$A$104:$A$123&amp;'הגדרות'!$B$104:$B$123&amp;'הגדרות'!$C$104:$C$123,0)),"")</f>
        <v/>
      </c>
      <c r="F369" s="6" t="n"/>
      <c r="Q369">
        <f>IFERROR(VLOOKUP(M369,'הגדרות'!$A$11:$D$25,2,FALSE),"")</f>
        <v/>
      </c>
      <c r="R369">
        <f>IFERROR(VLOOKUP(M369,'הגדרות'!$A$11:$D$25,3,FALSE),"")</f>
        <v/>
      </c>
      <c r="S369">
        <f>IFERROR(VLOOKUP(N369,'הגדרות'!$A$11:$D$25,2,FALSE),"")</f>
        <v/>
      </c>
      <c r="T369">
        <f>IFERROR(VLOOKUP(N369,'הגדרות'!$A$11:$D$25,3,FALSE),"")</f>
        <v/>
      </c>
      <c r="AB369" s="6" t="n"/>
      <c r="AE369">
        <f>OR(Q369='לוח בקרה'!$B$2,R369='לוח בקרה'!$B$2,S369='לוח בקרה'!$B$2,T369='לוח בקרה'!$B$2)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E370">
        <f>IFERROR(INDEX('הגדרות'!$D$104:$D$123,MATCH(B370&amp;G370&amp;C370,'הגדרות'!$A$104:$A$123&amp;'הגדרות'!$B$104:$B$123&amp;'הגדרות'!$C$104:$C$123,0)),"")</f>
        <v/>
      </c>
      <c r="F370" s="6" t="n"/>
      <c r="Q370">
        <f>IFERROR(VLOOKUP(M370,'הגדרות'!$A$11:$D$25,2,FALSE),"")</f>
        <v/>
      </c>
      <c r="R370">
        <f>IFERROR(VLOOKUP(M370,'הגדרות'!$A$11:$D$25,3,FALSE),"")</f>
        <v/>
      </c>
      <c r="S370">
        <f>IFERROR(VLOOKUP(N370,'הגדרות'!$A$11:$D$25,2,FALSE),"")</f>
        <v/>
      </c>
      <c r="T370">
        <f>IFERROR(VLOOKUP(N370,'הגדרות'!$A$11:$D$25,3,FALSE),"")</f>
        <v/>
      </c>
      <c r="AB370" s="6" t="n"/>
      <c r="AE370">
        <f>OR(Q370='לוח בקרה'!$B$2,R370='לוח בקרה'!$B$2,S370='לוח בקרה'!$B$2,T370='לוח בקרה'!$B$2)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E371">
        <f>IFERROR(INDEX('הגדרות'!$D$104:$D$123,MATCH(B371&amp;G371&amp;C371,'הגדרות'!$A$104:$A$123&amp;'הגדרות'!$B$104:$B$123&amp;'הגדרות'!$C$104:$C$123,0)),"")</f>
        <v/>
      </c>
      <c r="F371" s="6" t="n"/>
      <c r="Q371">
        <f>IFERROR(VLOOKUP(M371,'הגדרות'!$A$11:$D$25,2,FALSE),"")</f>
        <v/>
      </c>
      <c r="R371">
        <f>IFERROR(VLOOKUP(M371,'הגדרות'!$A$11:$D$25,3,FALSE),"")</f>
        <v/>
      </c>
      <c r="S371">
        <f>IFERROR(VLOOKUP(N371,'הגדרות'!$A$11:$D$25,2,FALSE),"")</f>
        <v/>
      </c>
      <c r="T371">
        <f>IFERROR(VLOOKUP(N371,'הגדרות'!$A$11:$D$25,3,FALSE),"")</f>
        <v/>
      </c>
      <c r="AB371" s="6" t="n"/>
      <c r="AE371">
        <f>OR(Q371='לוח בקרה'!$B$2,R371='לוח בקרה'!$B$2,S371='לוח בקרה'!$B$2,T371='לוח בקרה'!$B$2)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E372">
        <f>IFERROR(INDEX('הגדרות'!$D$104:$D$123,MATCH(B372&amp;G372&amp;C372,'הגדרות'!$A$104:$A$123&amp;'הגדרות'!$B$104:$B$123&amp;'הגדרות'!$C$104:$C$123,0)),"")</f>
        <v/>
      </c>
      <c r="F372" s="6" t="n"/>
      <c r="Q372">
        <f>IFERROR(VLOOKUP(M372,'הגדרות'!$A$11:$D$25,2,FALSE),"")</f>
        <v/>
      </c>
      <c r="R372">
        <f>IFERROR(VLOOKUP(M372,'הגדרות'!$A$11:$D$25,3,FALSE),"")</f>
        <v/>
      </c>
      <c r="S372">
        <f>IFERROR(VLOOKUP(N372,'הגדרות'!$A$11:$D$25,2,FALSE),"")</f>
        <v/>
      </c>
      <c r="T372">
        <f>IFERROR(VLOOKUP(N372,'הגדרות'!$A$11:$D$25,3,FALSE),"")</f>
        <v/>
      </c>
      <c r="AB372" s="6" t="n"/>
      <c r="AE372">
        <f>OR(Q372='לוח בקרה'!$B$2,R372='לוח בקרה'!$B$2,S372='לוח בקרה'!$B$2,T372='לוח בקרה'!$B$2)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E373">
        <f>IFERROR(INDEX('הגדרות'!$D$104:$D$123,MATCH(B373&amp;G373&amp;C373,'הגדרות'!$A$104:$A$123&amp;'הגדרות'!$B$104:$B$123&amp;'הגדרות'!$C$104:$C$123,0)),"")</f>
        <v/>
      </c>
      <c r="F373" s="6" t="n"/>
      <c r="Q373">
        <f>IFERROR(VLOOKUP(M373,'הגדרות'!$A$11:$D$25,2,FALSE),"")</f>
        <v/>
      </c>
      <c r="R373">
        <f>IFERROR(VLOOKUP(M373,'הגדרות'!$A$11:$D$25,3,FALSE),"")</f>
        <v/>
      </c>
      <c r="S373">
        <f>IFERROR(VLOOKUP(N373,'הגדרות'!$A$11:$D$25,2,FALSE),"")</f>
        <v/>
      </c>
      <c r="T373">
        <f>IFERROR(VLOOKUP(N373,'הגדרות'!$A$11:$D$25,3,FALSE),"")</f>
        <v/>
      </c>
      <c r="AB373" s="6" t="n"/>
      <c r="AE373">
        <f>OR(Q373='לוח בקרה'!$B$2,R373='לוח בקרה'!$B$2,S373='לוח בקרה'!$B$2,T373='לוח בקרה'!$B$2)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E374">
        <f>IFERROR(INDEX('הגדרות'!$D$104:$D$123,MATCH(B374&amp;G374&amp;C374,'הגדרות'!$A$104:$A$123&amp;'הגדרות'!$B$104:$B$123&amp;'הגדרות'!$C$104:$C$123,0)),"")</f>
        <v/>
      </c>
      <c r="F374" s="6" t="n"/>
      <c r="Q374">
        <f>IFERROR(VLOOKUP(M374,'הגדרות'!$A$11:$D$25,2,FALSE),"")</f>
        <v/>
      </c>
      <c r="R374">
        <f>IFERROR(VLOOKUP(M374,'הגדרות'!$A$11:$D$25,3,FALSE),"")</f>
        <v/>
      </c>
      <c r="S374">
        <f>IFERROR(VLOOKUP(N374,'הגדרות'!$A$11:$D$25,2,FALSE),"")</f>
        <v/>
      </c>
      <c r="T374">
        <f>IFERROR(VLOOKUP(N374,'הגדרות'!$A$11:$D$25,3,FALSE),"")</f>
        <v/>
      </c>
      <c r="AB374" s="6" t="n"/>
      <c r="AE374">
        <f>OR(Q374='לוח בקרה'!$B$2,R374='לוח בקרה'!$B$2,S374='לוח בקרה'!$B$2,T374='לוח בקרה'!$B$2)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E375">
        <f>IFERROR(INDEX('הגדרות'!$D$104:$D$123,MATCH(B375&amp;G375&amp;C375,'הגדרות'!$A$104:$A$123&amp;'הגדרות'!$B$104:$B$123&amp;'הגדרות'!$C$104:$C$123,0)),"")</f>
        <v/>
      </c>
      <c r="F375" s="6" t="n"/>
      <c r="Q375">
        <f>IFERROR(VLOOKUP(M375,'הגדרות'!$A$11:$D$25,2,FALSE),"")</f>
        <v/>
      </c>
      <c r="R375">
        <f>IFERROR(VLOOKUP(M375,'הגדרות'!$A$11:$D$25,3,FALSE),"")</f>
        <v/>
      </c>
      <c r="S375">
        <f>IFERROR(VLOOKUP(N375,'הגדרות'!$A$11:$D$25,2,FALSE),"")</f>
        <v/>
      </c>
      <c r="T375">
        <f>IFERROR(VLOOKUP(N375,'הגדרות'!$A$11:$D$25,3,FALSE),"")</f>
        <v/>
      </c>
      <c r="AB375" s="6" t="n"/>
      <c r="AE375">
        <f>OR(Q375='לוח בקרה'!$B$2,R375='לוח בקרה'!$B$2,S375='לוח בקרה'!$B$2,T375='לוח בקרה'!$B$2)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E376">
        <f>IFERROR(INDEX('הגדרות'!$D$104:$D$123,MATCH(B376&amp;G376&amp;C376,'הגדרות'!$A$104:$A$123&amp;'הגדרות'!$B$104:$B$123&amp;'הגדרות'!$C$104:$C$123,0)),"")</f>
        <v/>
      </c>
      <c r="F376" s="6" t="n"/>
      <c r="Q376">
        <f>IFERROR(VLOOKUP(M376,'הגדרות'!$A$11:$D$25,2,FALSE),"")</f>
        <v/>
      </c>
      <c r="R376">
        <f>IFERROR(VLOOKUP(M376,'הגדרות'!$A$11:$D$25,3,FALSE),"")</f>
        <v/>
      </c>
      <c r="S376">
        <f>IFERROR(VLOOKUP(N376,'הגדרות'!$A$11:$D$25,2,FALSE),"")</f>
        <v/>
      </c>
      <c r="T376">
        <f>IFERROR(VLOOKUP(N376,'הגדרות'!$A$11:$D$25,3,FALSE),"")</f>
        <v/>
      </c>
      <c r="AB376" s="6" t="n"/>
      <c r="AE376">
        <f>OR(Q376='לוח בקרה'!$B$2,R376='לוח בקרה'!$B$2,S376='לוח בקרה'!$B$2,T376='לוח בקרה'!$B$2)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E377">
        <f>IFERROR(INDEX('הגדרות'!$D$104:$D$123,MATCH(B377&amp;G377&amp;C377,'הגדרות'!$A$104:$A$123&amp;'הגדרות'!$B$104:$B$123&amp;'הגדרות'!$C$104:$C$123,0)),"")</f>
        <v/>
      </c>
      <c r="F377" s="6" t="n"/>
      <c r="Q377">
        <f>IFERROR(VLOOKUP(M377,'הגדרות'!$A$11:$D$25,2,FALSE),"")</f>
        <v/>
      </c>
      <c r="R377">
        <f>IFERROR(VLOOKUP(M377,'הגדרות'!$A$11:$D$25,3,FALSE),"")</f>
        <v/>
      </c>
      <c r="S377">
        <f>IFERROR(VLOOKUP(N377,'הגדרות'!$A$11:$D$25,2,FALSE),"")</f>
        <v/>
      </c>
      <c r="T377">
        <f>IFERROR(VLOOKUP(N377,'הגדרות'!$A$11:$D$25,3,FALSE),"")</f>
        <v/>
      </c>
      <c r="AB377" s="6" t="n"/>
      <c r="AE377">
        <f>OR(Q377='לוח בקרה'!$B$2,R377='לוח בקרה'!$B$2,S377='לוח בקרה'!$B$2,T377='לוח בקרה'!$B$2)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E378">
        <f>IFERROR(INDEX('הגדרות'!$D$104:$D$123,MATCH(B378&amp;G378&amp;C378,'הגדרות'!$A$104:$A$123&amp;'הגדרות'!$B$104:$B$123&amp;'הגדרות'!$C$104:$C$123,0)),"")</f>
        <v/>
      </c>
      <c r="F378" s="6" t="n"/>
      <c r="Q378">
        <f>IFERROR(VLOOKUP(M378,'הגדרות'!$A$11:$D$25,2,FALSE),"")</f>
        <v/>
      </c>
      <c r="R378">
        <f>IFERROR(VLOOKUP(M378,'הגדרות'!$A$11:$D$25,3,FALSE),"")</f>
        <v/>
      </c>
      <c r="S378">
        <f>IFERROR(VLOOKUP(N378,'הגדרות'!$A$11:$D$25,2,FALSE),"")</f>
        <v/>
      </c>
      <c r="T378">
        <f>IFERROR(VLOOKUP(N378,'הגדרות'!$A$11:$D$25,3,FALSE),"")</f>
        <v/>
      </c>
      <c r="AB378" s="6" t="n"/>
      <c r="AE378">
        <f>OR(Q378='לוח בקרה'!$B$2,R378='לוח בקרה'!$B$2,S378='לוח בקרה'!$B$2,T378='לוח בקרה'!$B$2)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E379">
        <f>IFERROR(INDEX('הגדרות'!$D$104:$D$123,MATCH(B379&amp;G379&amp;C379,'הגדרות'!$A$104:$A$123&amp;'הגדרות'!$B$104:$B$123&amp;'הגדרות'!$C$104:$C$123,0)),"")</f>
        <v/>
      </c>
      <c r="F379" s="6" t="n"/>
      <c r="Q379">
        <f>IFERROR(VLOOKUP(M379,'הגדרות'!$A$11:$D$25,2,FALSE),"")</f>
        <v/>
      </c>
      <c r="R379">
        <f>IFERROR(VLOOKUP(M379,'הגדרות'!$A$11:$D$25,3,FALSE),"")</f>
        <v/>
      </c>
      <c r="S379">
        <f>IFERROR(VLOOKUP(N379,'הגדרות'!$A$11:$D$25,2,FALSE),"")</f>
        <v/>
      </c>
      <c r="T379">
        <f>IFERROR(VLOOKUP(N379,'הגדרות'!$A$11:$D$25,3,FALSE),"")</f>
        <v/>
      </c>
      <c r="AB379" s="6" t="n"/>
      <c r="AE379">
        <f>OR(Q379='לוח בקרה'!$B$2,R379='לוח בקרה'!$B$2,S379='לוח בקרה'!$B$2,T379='לוח בקרה'!$B$2)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E380">
        <f>IFERROR(INDEX('הגדרות'!$D$104:$D$123,MATCH(B380&amp;G380&amp;C380,'הגדרות'!$A$104:$A$123&amp;'הגדרות'!$B$104:$B$123&amp;'הגדרות'!$C$104:$C$123,0)),"")</f>
        <v/>
      </c>
      <c r="F380" s="6" t="n"/>
      <c r="Q380">
        <f>IFERROR(VLOOKUP(M380,'הגדרות'!$A$11:$D$25,2,FALSE),"")</f>
        <v/>
      </c>
      <c r="R380">
        <f>IFERROR(VLOOKUP(M380,'הגדרות'!$A$11:$D$25,3,FALSE),"")</f>
        <v/>
      </c>
      <c r="S380">
        <f>IFERROR(VLOOKUP(N380,'הגדרות'!$A$11:$D$25,2,FALSE),"")</f>
        <v/>
      </c>
      <c r="T380">
        <f>IFERROR(VLOOKUP(N380,'הגדרות'!$A$11:$D$25,3,FALSE),"")</f>
        <v/>
      </c>
      <c r="AB380" s="6" t="n"/>
      <c r="AE380">
        <f>OR(Q380='לוח בקרה'!$B$2,R380='לוח בקרה'!$B$2,S380='לוח בקרה'!$B$2,T380='לוח בקרה'!$B$2)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E381">
        <f>IFERROR(INDEX('הגדרות'!$D$104:$D$123,MATCH(B381&amp;G381&amp;C381,'הגדרות'!$A$104:$A$123&amp;'הגדרות'!$B$104:$B$123&amp;'הגדרות'!$C$104:$C$123,0)),"")</f>
        <v/>
      </c>
      <c r="F381" s="6" t="n"/>
      <c r="Q381">
        <f>IFERROR(VLOOKUP(M381,'הגדרות'!$A$11:$D$25,2,FALSE),"")</f>
        <v/>
      </c>
      <c r="R381">
        <f>IFERROR(VLOOKUP(M381,'הגדרות'!$A$11:$D$25,3,FALSE),"")</f>
        <v/>
      </c>
      <c r="S381">
        <f>IFERROR(VLOOKUP(N381,'הגדרות'!$A$11:$D$25,2,FALSE),"")</f>
        <v/>
      </c>
      <c r="T381">
        <f>IFERROR(VLOOKUP(N381,'הגדרות'!$A$11:$D$25,3,FALSE),"")</f>
        <v/>
      </c>
      <c r="AB381" s="6" t="n"/>
      <c r="AE381">
        <f>OR(Q381='לוח בקרה'!$B$2,R381='לוח בקרה'!$B$2,S381='לוח בקרה'!$B$2,T381='לוח בקרה'!$B$2)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E382">
        <f>IFERROR(INDEX('הגדרות'!$D$104:$D$123,MATCH(B382&amp;G382&amp;C382,'הגדרות'!$A$104:$A$123&amp;'הגדרות'!$B$104:$B$123&amp;'הגדרות'!$C$104:$C$123,0)),"")</f>
        <v/>
      </c>
      <c r="F382" s="6" t="n"/>
      <c r="Q382">
        <f>IFERROR(VLOOKUP(M382,'הגדרות'!$A$11:$D$25,2,FALSE),"")</f>
        <v/>
      </c>
      <c r="R382">
        <f>IFERROR(VLOOKUP(M382,'הגדרות'!$A$11:$D$25,3,FALSE),"")</f>
        <v/>
      </c>
      <c r="S382">
        <f>IFERROR(VLOOKUP(N382,'הגדרות'!$A$11:$D$25,2,FALSE),"")</f>
        <v/>
      </c>
      <c r="T382">
        <f>IFERROR(VLOOKUP(N382,'הגדרות'!$A$11:$D$25,3,FALSE),"")</f>
        <v/>
      </c>
      <c r="AB382" s="6" t="n"/>
      <c r="AE382">
        <f>OR(Q382='לוח בקרה'!$B$2,R382='לוח בקרה'!$B$2,S382='לוח בקרה'!$B$2,T382='לוח בקרה'!$B$2)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E383">
        <f>IFERROR(INDEX('הגדרות'!$D$104:$D$123,MATCH(B383&amp;G383&amp;C383,'הגדרות'!$A$104:$A$123&amp;'הגדרות'!$B$104:$B$123&amp;'הגדרות'!$C$104:$C$123,0)),"")</f>
        <v/>
      </c>
      <c r="F383" s="6" t="n"/>
      <c r="Q383">
        <f>IFERROR(VLOOKUP(M383,'הגדרות'!$A$11:$D$25,2,FALSE),"")</f>
        <v/>
      </c>
      <c r="R383">
        <f>IFERROR(VLOOKUP(M383,'הגדרות'!$A$11:$D$25,3,FALSE),"")</f>
        <v/>
      </c>
      <c r="S383">
        <f>IFERROR(VLOOKUP(N383,'הגדרות'!$A$11:$D$25,2,FALSE),"")</f>
        <v/>
      </c>
      <c r="T383">
        <f>IFERROR(VLOOKUP(N383,'הגדרות'!$A$11:$D$25,3,FALSE),"")</f>
        <v/>
      </c>
      <c r="AB383" s="6" t="n"/>
      <c r="AE383">
        <f>OR(Q383='לוח בקרה'!$B$2,R383='לוח בקרה'!$B$2,S383='לוח בקרה'!$B$2,T383='לוח בקרה'!$B$2)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E384">
        <f>IFERROR(INDEX('הגדרות'!$D$104:$D$123,MATCH(B384&amp;G384&amp;C384,'הגדרות'!$A$104:$A$123&amp;'הגדרות'!$B$104:$B$123&amp;'הגדרות'!$C$104:$C$123,0)),"")</f>
        <v/>
      </c>
      <c r="F384" s="6" t="n"/>
      <c r="Q384">
        <f>IFERROR(VLOOKUP(M384,'הגדרות'!$A$11:$D$25,2,FALSE),"")</f>
        <v/>
      </c>
      <c r="R384">
        <f>IFERROR(VLOOKUP(M384,'הגדרות'!$A$11:$D$25,3,FALSE),"")</f>
        <v/>
      </c>
      <c r="S384">
        <f>IFERROR(VLOOKUP(N384,'הגדרות'!$A$11:$D$25,2,FALSE),"")</f>
        <v/>
      </c>
      <c r="T384">
        <f>IFERROR(VLOOKUP(N384,'הגדרות'!$A$11:$D$25,3,FALSE),"")</f>
        <v/>
      </c>
      <c r="AB384" s="6" t="n"/>
      <c r="AE384">
        <f>OR(Q384='לוח בקרה'!$B$2,R384='לוח בקרה'!$B$2,S384='לוח בקרה'!$B$2,T384='לוח בקרה'!$B$2)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E385">
        <f>IFERROR(INDEX('הגדרות'!$D$104:$D$123,MATCH(B385&amp;G385&amp;C385,'הגדרות'!$A$104:$A$123&amp;'הגדרות'!$B$104:$B$123&amp;'הגדרות'!$C$104:$C$123,0)),"")</f>
        <v/>
      </c>
      <c r="F385" s="6" t="n"/>
      <c r="Q385">
        <f>IFERROR(VLOOKUP(M385,'הגדרות'!$A$11:$D$25,2,FALSE),"")</f>
        <v/>
      </c>
      <c r="R385">
        <f>IFERROR(VLOOKUP(M385,'הגדרות'!$A$11:$D$25,3,FALSE),"")</f>
        <v/>
      </c>
      <c r="S385">
        <f>IFERROR(VLOOKUP(N385,'הגדרות'!$A$11:$D$25,2,FALSE),"")</f>
        <v/>
      </c>
      <c r="T385">
        <f>IFERROR(VLOOKUP(N385,'הגדרות'!$A$11:$D$25,3,FALSE),"")</f>
        <v/>
      </c>
      <c r="AB385" s="6" t="n"/>
      <c r="AE385">
        <f>OR(Q385='לוח בקרה'!$B$2,R385='לוח בקרה'!$B$2,S385='לוח בקרה'!$B$2,T385='לוח בקרה'!$B$2)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E386">
        <f>IFERROR(INDEX('הגדרות'!$D$104:$D$123,MATCH(B386&amp;G386&amp;C386,'הגדרות'!$A$104:$A$123&amp;'הגדרות'!$B$104:$B$123&amp;'הגדרות'!$C$104:$C$123,0)),"")</f>
        <v/>
      </c>
      <c r="F386" s="6" t="n"/>
      <c r="Q386">
        <f>IFERROR(VLOOKUP(M386,'הגדרות'!$A$11:$D$25,2,FALSE),"")</f>
        <v/>
      </c>
      <c r="R386">
        <f>IFERROR(VLOOKUP(M386,'הגדרות'!$A$11:$D$25,3,FALSE),"")</f>
        <v/>
      </c>
      <c r="S386">
        <f>IFERROR(VLOOKUP(N386,'הגדרות'!$A$11:$D$25,2,FALSE),"")</f>
        <v/>
      </c>
      <c r="T386">
        <f>IFERROR(VLOOKUP(N386,'הגדרות'!$A$11:$D$25,3,FALSE),"")</f>
        <v/>
      </c>
      <c r="AB386" s="6" t="n"/>
      <c r="AE386">
        <f>OR(Q386='לוח בקרה'!$B$2,R386='לוח בקרה'!$B$2,S386='לוח בקרה'!$B$2,T386='לוח בקרה'!$B$2)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E387">
        <f>IFERROR(INDEX('הגדרות'!$D$104:$D$123,MATCH(B387&amp;G387&amp;C387,'הגדרות'!$A$104:$A$123&amp;'הגדרות'!$B$104:$B$123&amp;'הגדרות'!$C$104:$C$123,0)),"")</f>
        <v/>
      </c>
      <c r="F387" s="6" t="n"/>
      <c r="Q387">
        <f>IFERROR(VLOOKUP(M387,'הגדרות'!$A$11:$D$25,2,FALSE),"")</f>
        <v/>
      </c>
      <c r="R387">
        <f>IFERROR(VLOOKUP(M387,'הגדרות'!$A$11:$D$25,3,FALSE),"")</f>
        <v/>
      </c>
      <c r="S387">
        <f>IFERROR(VLOOKUP(N387,'הגדרות'!$A$11:$D$25,2,FALSE),"")</f>
        <v/>
      </c>
      <c r="T387">
        <f>IFERROR(VLOOKUP(N387,'הגדרות'!$A$11:$D$25,3,FALSE),"")</f>
        <v/>
      </c>
      <c r="AB387" s="6" t="n"/>
      <c r="AE387">
        <f>OR(Q387='לוח בקרה'!$B$2,R387='לוח בקרה'!$B$2,S387='לוח בקרה'!$B$2,T387='לוח בקרה'!$B$2)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E388">
        <f>IFERROR(INDEX('הגדרות'!$D$104:$D$123,MATCH(B388&amp;G388&amp;C388,'הגדרות'!$A$104:$A$123&amp;'הגדרות'!$B$104:$B$123&amp;'הגדרות'!$C$104:$C$123,0)),"")</f>
        <v/>
      </c>
      <c r="F388" s="6" t="n"/>
      <c r="Q388">
        <f>IFERROR(VLOOKUP(M388,'הגדרות'!$A$11:$D$25,2,FALSE),"")</f>
        <v/>
      </c>
      <c r="R388">
        <f>IFERROR(VLOOKUP(M388,'הגדרות'!$A$11:$D$25,3,FALSE),"")</f>
        <v/>
      </c>
      <c r="S388">
        <f>IFERROR(VLOOKUP(N388,'הגדרות'!$A$11:$D$25,2,FALSE),"")</f>
        <v/>
      </c>
      <c r="T388">
        <f>IFERROR(VLOOKUP(N388,'הגדרות'!$A$11:$D$25,3,FALSE),"")</f>
        <v/>
      </c>
      <c r="AB388" s="6" t="n"/>
      <c r="AE388">
        <f>OR(Q388='לוח בקרה'!$B$2,R388='לוח בקרה'!$B$2,S388='לוח בקרה'!$B$2,T388='לוח בקרה'!$B$2)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E389">
        <f>IFERROR(INDEX('הגדרות'!$D$104:$D$123,MATCH(B389&amp;G389&amp;C389,'הגדרות'!$A$104:$A$123&amp;'הגדרות'!$B$104:$B$123&amp;'הגדרות'!$C$104:$C$123,0)),"")</f>
        <v/>
      </c>
      <c r="F389" s="6" t="n"/>
      <c r="Q389">
        <f>IFERROR(VLOOKUP(M389,'הגדרות'!$A$11:$D$25,2,FALSE),"")</f>
        <v/>
      </c>
      <c r="R389">
        <f>IFERROR(VLOOKUP(M389,'הגדרות'!$A$11:$D$25,3,FALSE),"")</f>
        <v/>
      </c>
      <c r="S389">
        <f>IFERROR(VLOOKUP(N389,'הגדרות'!$A$11:$D$25,2,FALSE),"")</f>
        <v/>
      </c>
      <c r="T389">
        <f>IFERROR(VLOOKUP(N389,'הגדרות'!$A$11:$D$25,3,FALSE),"")</f>
        <v/>
      </c>
      <c r="AB389" s="6" t="n"/>
      <c r="AE389">
        <f>OR(Q389='לוח בקרה'!$B$2,R389='לוח בקרה'!$B$2,S389='לוח בקרה'!$B$2,T389='לוח בקרה'!$B$2)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E390">
        <f>IFERROR(INDEX('הגדרות'!$D$104:$D$123,MATCH(B390&amp;G390&amp;C390,'הגדרות'!$A$104:$A$123&amp;'הגדרות'!$B$104:$B$123&amp;'הגדרות'!$C$104:$C$123,0)),"")</f>
        <v/>
      </c>
      <c r="F390" s="6" t="n"/>
      <c r="Q390">
        <f>IFERROR(VLOOKUP(M390,'הגדרות'!$A$11:$D$25,2,FALSE),"")</f>
        <v/>
      </c>
      <c r="R390">
        <f>IFERROR(VLOOKUP(M390,'הגדרות'!$A$11:$D$25,3,FALSE),"")</f>
        <v/>
      </c>
      <c r="S390">
        <f>IFERROR(VLOOKUP(N390,'הגדרות'!$A$11:$D$25,2,FALSE),"")</f>
        <v/>
      </c>
      <c r="T390">
        <f>IFERROR(VLOOKUP(N390,'הגדרות'!$A$11:$D$25,3,FALSE),"")</f>
        <v/>
      </c>
      <c r="AB390" s="6" t="n"/>
      <c r="AE390">
        <f>OR(Q390='לוח בקרה'!$B$2,R390='לוח בקרה'!$B$2,S390='לוח בקרה'!$B$2,T390='לוח בקרה'!$B$2)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E391">
        <f>IFERROR(INDEX('הגדרות'!$D$104:$D$123,MATCH(B391&amp;G391&amp;C391,'הגדרות'!$A$104:$A$123&amp;'הגדרות'!$B$104:$B$123&amp;'הגדרות'!$C$104:$C$123,0)),"")</f>
        <v/>
      </c>
      <c r="F391" s="6" t="n"/>
      <c r="Q391">
        <f>IFERROR(VLOOKUP(M391,'הגדרות'!$A$11:$D$25,2,FALSE),"")</f>
        <v/>
      </c>
      <c r="R391">
        <f>IFERROR(VLOOKUP(M391,'הגדרות'!$A$11:$D$25,3,FALSE),"")</f>
        <v/>
      </c>
      <c r="S391">
        <f>IFERROR(VLOOKUP(N391,'הגדרות'!$A$11:$D$25,2,FALSE),"")</f>
        <v/>
      </c>
      <c r="T391">
        <f>IFERROR(VLOOKUP(N391,'הגדרות'!$A$11:$D$25,3,FALSE),"")</f>
        <v/>
      </c>
      <c r="AB391" s="6" t="n"/>
      <c r="AE391">
        <f>OR(Q391='לוח בקרה'!$B$2,R391='לוח בקרה'!$B$2,S391='לוח בקרה'!$B$2,T391='לוח בקרה'!$B$2)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E392">
        <f>IFERROR(INDEX('הגדרות'!$D$104:$D$123,MATCH(B392&amp;G392&amp;C392,'הגדרות'!$A$104:$A$123&amp;'הגדרות'!$B$104:$B$123&amp;'הגדרות'!$C$104:$C$123,0)),"")</f>
        <v/>
      </c>
      <c r="F392" s="6" t="n"/>
      <c r="Q392">
        <f>IFERROR(VLOOKUP(M392,'הגדרות'!$A$11:$D$25,2,FALSE),"")</f>
        <v/>
      </c>
      <c r="R392">
        <f>IFERROR(VLOOKUP(M392,'הגדרות'!$A$11:$D$25,3,FALSE),"")</f>
        <v/>
      </c>
      <c r="S392">
        <f>IFERROR(VLOOKUP(N392,'הגדרות'!$A$11:$D$25,2,FALSE),"")</f>
        <v/>
      </c>
      <c r="T392">
        <f>IFERROR(VLOOKUP(N392,'הגדרות'!$A$11:$D$25,3,FALSE),"")</f>
        <v/>
      </c>
      <c r="AB392" s="6" t="n"/>
      <c r="AE392">
        <f>OR(Q392='לוח בקרה'!$B$2,R392='לוח בקרה'!$B$2,S392='לוח בקרה'!$B$2,T392='לוח בקרה'!$B$2)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E393">
        <f>IFERROR(INDEX('הגדרות'!$D$104:$D$123,MATCH(B393&amp;G393&amp;C393,'הגדרות'!$A$104:$A$123&amp;'הגדרות'!$B$104:$B$123&amp;'הגדרות'!$C$104:$C$123,0)),"")</f>
        <v/>
      </c>
      <c r="F393" s="6" t="n"/>
      <c r="Q393">
        <f>IFERROR(VLOOKUP(M393,'הגדרות'!$A$11:$D$25,2,FALSE),"")</f>
        <v/>
      </c>
      <c r="R393">
        <f>IFERROR(VLOOKUP(M393,'הגדרות'!$A$11:$D$25,3,FALSE),"")</f>
        <v/>
      </c>
      <c r="S393">
        <f>IFERROR(VLOOKUP(N393,'הגדרות'!$A$11:$D$25,2,FALSE),"")</f>
        <v/>
      </c>
      <c r="T393">
        <f>IFERROR(VLOOKUP(N393,'הגדרות'!$A$11:$D$25,3,FALSE),"")</f>
        <v/>
      </c>
      <c r="AB393" s="6" t="n"/>
      <c r="AE393">
        <f>OR(Q393='לוח בקרה'!$B$2,R393='לוח בקרה'!$B$2,S393='לוח בקרה'!$B$2,T393='לוח בקרה'!$B$2)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E394">
        <f>IFERROR(INDEX('הגדרות'!$D$104:$D$123,MATCH(B394&amp;G394&amp;C394,'הגדרות'!$A$104:$A$123&amp;'הגדרות'!$B$104:$B$123&amp;'הגדרות'!$C$104:$C$123,0)),"")</f>
        <v/>
      </c>
      <c r="F394" s="6" t="n"/>
      <c r="Q394">
        <f>IFERROR(VLOOKUP(M394,'הגדרות'!$A$11:$D$25,2,FALSE),"")</f>
        <v/>
      </c>
      <c r="R394">
        <f>IFERROR(VLOOKUP(M394,'הגדרות'!$A$11:$D$25,3,FALSE),"")</f>
        <v/>
      </c>
      <c r="S394">
        <f>IFERROR(VLOOKUP(N394,'הגדרות'!$A$11:$D$25,2,FALSE),"")</f>
        <v/>
      </c>
      <c r="T394">
        <f>IFERROR(VLOOKUP(N394,'הגדרות'!$A$11:$D$25,3,FALSE),"")</f>
        <v/>
      </c>
      <c r="AB394" s="6" t="n"/>
      <c r="AE394">
        <f>OR(Q394='לוח בקרה'!$B$2,R394='לוח בקרה'!$B$2,S394='לוח בקרה'!$B$2,T394='לוח בקרה'!$B$2)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E395">
        <f>IFERROR(INDEX('הגדרות'!$D$104:$D$123,MATCH(B395&amp;G395&amp;C395,'הגדרות'!$A$104:$A$123&amp;'הגדרות'!$B$104:$B$123&amp;'הגדרות'!$C$104:$C$123,0)),"")</f>
        <v/>
      </c>
      <c r="F395" s="6" t="n"/>
      <c r="Q395">
        <f>IFERROR(VLOOKUP(M395,'הגדרות'!$A$11:$D$25,2,FALSE),"")</f>
        <v/>
      </c>
      <c r="R395">
        <f>IFERROR(VLOOKUP(M395,'הגדרות'!$A$11:$D$25,3,FALSE),"")</f>
        <v/>
      </c>
      <c r="S395">
        <f>IFERROR(VLOOKUP(N395,'הגדרות'!$A$11:$D$25,2,FALSE),"")</f>
        <v/>
      </c>
      <c r="T395">
        <f>IFERROR(VLOOKUP(N395,'הגדרות'!$A$11:$D$25,3,FALSE),"")</f>
        <v/>
      </c>
      <c r="AB395" s="6" t="n"/>
      <c r="AE395">
        <f>OR(Q395='לוח בקרה'!$B$2,R395='לוח בקרה'!$B$2,S395='לוח בקרה'!$B$2,T395='לוח בקרה'!$B$2)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E396">
        <f>IFERROR(INDEX('הגדרות'!$D$104:$D$123,MATCH(B396&amp;G396&amp;C396,'הגדרות'!$A$104:$A$123&amp;'הגדרות'!$B$104:$B$123&amp;'הגדרות'!$C$104:$C$123,0)),"")</f>
        <v/>
      </c>
      <c r="F396" s="6" t="n"/>
      <c r="Q396">
        <f>IFERROR(VLOOKUP(M396,'הגדרות'!$A$11:$D$25,2,FALSE),"")</f>
        <v/>
      </c>
      <c r="R396">
        <f>IFERROR(VLOOKUP(M396,'הגדרות'!$A$11:$D$25,3,FALSE),"")</f>
        <v/>
      </c>
      <c r="S396">
        <f>IFERROR(VLOOKUP(N396,'הגדרות'!$A$11:$D$25,2,FALSE),"")</f>
        <v/>
      </c>
      <c r="T396">
        <f>IFERROR(VLOOKUP(N396,'הגדרות'!$A$11:$D$25,3,FALSE),"")</f>
        <v/>
      </c>
      <c r="AB396" s="6" t="n"/>
      <c r="AE396">
        <f>OR(Q396='לוח בקרה'!$B$2,R396='לוח בקרה'!$B$2,S396='לוח בקרה'!$B$2,T396='לוח בקרה'!$B$2)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E397">
        <f>IFERROR(INDEX('הגדרות'!$D$104:$D$123,MATCH(B397&amp;G397&amp;C397,'הגדרות'!$A$104:$A$123&amp;'הגדרות'!$B$104:$B$123&amp;'הגדרות'!$C$104:$C$123,0)),"")</f>
        <v/>
      </c>
      <c r="F397" s="6" t="n"/>
      <c r="Q397">
        <f>IFERROR(VLOOKUP(M397,'הגדרות'!$A$11:$D$25,2,FALSE),"")</f>
        <v/>
      </c>
      <c r="R397">
        <f>IFERROR(VLOOKUP(M397,'הגדרות'!$A$11:$D$25,3,FALSE),"")</f>
        <v/>
      </c>
      <c r="S397">
        <f>IFERROR(VLOOKUP(N397,'הגדרות'!$A$11:$D$25,2,FALSE),"")</f>
        <v/>
      </c>
      <c r="T397">
        <f>IFERROR(VLOOKUP(N397,'הגדרות'!$A$11:$D$25,3,FALSE),"")</f>
        <v/>
      </c>
      <c r="AB397" s="6" t="n"/>
      <c r="AE397">
        <f>OR(Q397='לוח בקרה'!$B$2,R397='לוח בקרה'!$B$2,S397='לוח בקרה'!$B$2,T397='לוח בקרה'!$B$2)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E398">
        <f>IFERROR(INDEX('הגדרות'!$D$104:$D$123,MATCH(B398&amp;G398&amp;C398,'הגדרות'!$A$104:$A$123&amp;'הגדרות'!$B$104:$B$123&amp;'הגדרות'!$C$104:$C$123,0)),"")</f>
        <v/>
      </c>
      <c r="F398" s="6" t="n"/>
      <c r="Q398">
        <f>IFERROR(VLOOKUP(M398,'הגדרות'!$A$11:$D$25,2,FALSE),"")</f>
        <v/>
      </c>
      <c r="R398">
        <f>IFERROR(VLOOKUP(M398,'הגדרות'!$A$11:$D$25,3,FALSE),"")</f>
        <v/>
      </c>
      <c r="S398">
        <f>IFERROR(VLOOKUP(N398,'הגדרות'!$A$11:$D$25,2,FALSE),"")</f>
        <v/>
      </c>
      <c r="T398">
        <f>IFERROR(VLOOKUP(N398,'הגדרות'!$A$11:$D$25,3,FALSE),"")</f>
        <v/>
      </c>
      <c r="AB398" s="6" t="n"/>
      <c r="AE398">
        <f>OR(Q398='לוח בקרה'!$B$2,R398='לוח בקרה'!$B$2,S398='לוח בקרה'!$B$2,T398='לוח בקרה'!$B$2)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E399">
        <f>IFERROR(INDEX('הגדרות'!$D$104:$D$123,MATCH(B399&amp;G399&amp;C399,'הגדרות'!$A$104:$A$123&amp;'הגדרות'!$B$104:$B$123&amp;'הגדרות'!$C$104:$C$123,0)),"")</f>
        <v/>
      </c>
      <c r="F399" s="6" t="n"/>
      <c r="Q399">
        <f>IFERROR(VLOOKUP(M399,'הגדרות'!$A$11:$D$25,2,FALSE),"")</f>
        <v/>
      </c>
      <c r="R399">
        <f>IFERROR(VLOOKUP(M399,'הגדרות'!$A$11:$D$25,3,FALSE),"")</f>
        <v/>
      </c>
      <c r="S399">
        <f>IFERROR(VLOOKUP(N399,'הגדרות'!$A$11:$D$25,2,FALSE),"")</f>
        <v/>
      </c>
      <c r="T399">
        <f>IFERROR(VLOOKUP(N399,'הגדרות'!$A$11:$D$25,3,FALSE),"")</f>
        <v/>
      </c>
      <c r="AB399" s="6" t="n"/>
      <c r="AE399">
        <f>OR(Q399='לוח בקרה'!$B$2,R399='לוח בקרה'!$B$2,S399='לוח בקרה'!$B$2,T399='לוח בקרה'!$B$2)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E400">
        <f>IFERROR(INDEX('הגדרות'!$D$104:$D$123,MATCH(B400&amp;G400&amp;C400,'הגדרות'!$A$104:$A$123&amp;'הגדרות'!$B$104:$B$123&amp;'הגדרות'!$C$104:$C$123,0)),"")</f>
        <v/>
      </c>
      <c r="F400" s="6" t="n"/>
      <c r="Q400">
        <f>IFERROR(VLOOKUP(M400,'הגדרות'!$A$11:$D$25,2,FALSE),"")</f>
        <v/>
      </c>
      <c r="R400">
        <f>IFERROR(VLOOKUP(M400,'הגדרות'!$A$11:$D$25,3,FALSE),"")</f>
        <v/>
      </c>
      <c r="S400">
        <f>IFERROR(VLOOKUP(N400,'הגדרות'!$A$11:$D$25,2,FALSE),"")</f>
        <v/>
      </c>
      <c r="T400">
        <f>IFERROR(VLOOKUP(N400,'הגדרות'!$A$11:$D$25,3,FALSE),"")</f>
        <v/>
      </c>
      <c r="AB400" s="6" t="n"/>
      <c r="AE400">
        <f>OR(Q400='לוח בקרה'!$B$2,R400='לוח בקרה'!$B$2,S400='לוח בקרה'!$B$2,T400='לוח בקרה'!$B$2)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E401">
        <f>IFERROR(INDEX('הגדרות'!$D$104:$D$123,MATCH(B401&amp;G401&amp;C401,'הגדרות'!$A$104:$A$123&amp;'הגדרות'!$B$104:$B$123&amp;'הגדרות'!$C$104:$C$123,0)),"")</f>
        <v/>
      </c>
      <c r="F401" s="6" t="n"/>
      <c r="Q401">
        <f>IFERROR(VLOOKUP(M401,'הגדרות'!$A$11:$D$25,2,FALSE),"")</f>
        <v/>
      </c>
      <c r="R401">
        <f>IFERROR(VLOOKUP(M401,'הגדרות'!$A$11:$D$25,3,FALSE),"")</f>
        <v/>
      </c>
      <c r="S401">
        <f>IFERROR(VLOOKUP(N401,'הגדרות'!$A$11:$D$25,2,FALSE),"")</f>
        <v/>
      </c>
      <c r="T401">
        <f>IFERROR(VLOOKUP(N401,'הגדרות'!$A$11:$D$25,3,FALSE),"")</f>
        <v/>
      </c>
      <c r="AB401" s="6" t="n"/>
      <c r="AE401">
        <f>OR(Q401='לוח בקרה'!$B$2,R401='לוח בקרה'!$B$2,S401='לוח בקרה'!$B$2,T401='לוח בקרה'!$B$2)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E402">
        <f>IFERROR(INDEX('הגדרות'!$D$104:$D$123,MATCH(B402&amp;G402&amp;C402,'הגדרות'!$A$104:$A$123&amp;'הגדרות'!$B$104:$B$123&amp;'הגדרות'!$C$104:$C$123,0)),"")</f>
        <v/>
      </c>
      <c r="F402" s="6" t="n"/>
      <c r="Q402">
        <f>IFERROR(VLOOKUP(M402,'הגדרות'!$A$11:$D$25,2,FALSE),"")</f>
        <v/>
      </c>
      <c r="R402">
        <f>IFERROR(VLOOKUP(M402,'הגדרות'!$A$11:$D$25,3,FALSE),"")</f>
        <v/>
      </c>
      <c r="S402">
        <f>IFERROR(VLOOKUP(N402,'הגדרות'!$A$11:$D$25,2,FALSE),"")</f>
        <v/>
      </c>
      <c r="T402">
        <f>IFERROR(VLOOKUP(N402,'הגדרות'!$A$11:$D$25,3,FALSE),"")</f>
        <v/>
      </c>
      <c r="AB402" s="6" t="n"/>
      <c r="AE402">
        <f>OR(Q402='לוח בקרה'!$B$2,R402='לוח בקרה'!$B$2,S402='לוח בקרה'!$B$2,T402='לוח בקרה'!$B$2)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E403">
        <f>IFERROR(INDEX('הגדרות'!$D$104:$D$123,MATCH(B403&amp;G403&amp;C403,'הגדרות'!$A$104:$A$123&amp;'הגדרות'!$B$104:$B$123&amp;'הגדרות'!$C$104:$C$123,0)),"")</f>
        <v/>
      </c>
      <c r="F403" s="6" t="n"/>
      <c r="Q403">
        <f>IFERROR(VLOOKUP(M403,'הגדרות'!$A$11:$D$25,2,FALSE),"")</f>
        <v/>
      </c>
      <c r="R403">
        <f>IFERROR(VLOOKUP(M403,'הגדרות'!$A$11:$D$25,3,FALSE),"")</f>
        <v/>
      </c>
      <c r="S403">
        <f>IFERROR(VLOOKUP(N403,'הגדרות'!$A$11:$D$25,2,FALSE),"")</f>
        <v/>
      </c>
      <c r="T403">
        <f>IFERROR(VLOOKUP(N403,'הגדרות'!$A$11:$D$25,3,FALSE),"")</f>
        <v/>
      </c>
      <c r="AB403" s="6" t="n"/>
      <c r="AE403">
        <f>OR(Q403='לוח בקרה'!$B$2,R403='לוח בקרה'!$B$2,S403='לוח בקרה'!$B$2,T403='לוח בקרה'!$B$2)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E404">
        <f>IFERROR(INDEX('הגדרות'!$D$104:$D$123,MATCH(B404&amp;G404&amp;C404,'הגדרות'!$A$104:$A$123&amp;'הגדרות'!$B$104:$B$123&amp;'הגדרות'!$C$104:$C$123,0)),"")</f>
        <v/>
      </c>
      <c r="F404" s="6" t="n"/>
      <c r="Q404">
        <f>IFERROR(VLOOKUP(M404,'הגדרות'!$A$11:$D$25,2,FALSE),"")</f>
        <v/>
      </c>
      <c r="R404">
        <f>IFERROR(VLOOKUP(M404,'הגדרות'!$A$11:$D$25,3,FALSE),"")</f>
        <v/>
      </c>
      <c r="S404">
        <f>IFERROR(VLOOKUP(N404,'הגדרות'!$A$11:$D$25,2,FALSE),"")</f>
        <v/>
      </c>
      <c r="T404">
        <f>IFERROR(VLOOKUP(N404,'הגדרות'!$A$11:$D$25,3,FALSE),"")</f>
        <v/>
      </c>
      <c r="AB404" s="6" t="n"/>
      <c r="AE404">
        <f>OR(Q404='לוח בקרה'!$B$2,R404='לוח בקרה'!$B$2,S404='לוח בקרה'!$B$2,T404='לוח בקרה'!$B$2)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E405">
        <f>IFERROR(INDEX('הגדרות'!$D$104:$D$123,MATCH(B405&amp;G405&amp;C405,'הגדרות'!$A$104:$A$123&amp;'הגדרות'!$B$104:$B$123&amp;'הגדרות'!$C$104:$C$123,0)),"")</f>
        <v/>
      </c>
      <c r="F405" s="6" t="n"/>
      <c r="Q405">
        <f>IFERROR(VLOOKUP(M405,'הגדרות'!$A$11:$D$25,2,FALSE),"")</f>
        <v/>
      </c>
      <c r="R405">
        <f>IFERROR(VLOOKUP(M405,'הגדרות'!$A$11:$D$25,3,FALSE),"")</f>
        <v/>
      </c>
      <c r="S405">
        <f>IFERROR(VLOOKUP(N405,'הגדרות'!$A$11:$D$25,2,FALSE),"")</f>
        <v/>
      </c>
      <c r="T405">
        <f>IFERROR(VLOOKUP(N405,'הגדרות'!$A$11:$D$25,3,FALSE),"")</f>
        <v/>
      </c>
      <c r="AB405" s="6" t="n"/>
      <c r="AE405">
        <f>OR(Q405='לוח בקרה'!$B$2,R405='לוח בקרה'!$B$2,S405='לוח בקרה'!$B$2,T405='לוח בקרה'!$B$2)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E406">
        <f>IFERROR(INDEX('הגדרות'!$D$104:$D$123,MATCH(B406&amp;G406&amp;C406,'הגדרות'!$A$104:$A$123&amp;'הגדרות'!$B$104:$B$123&amp;'הגדרות'!$C$104:$C$123,0)),"")</f>
        <v/>
      </c>
      <c r="F406" s="6" t="n"/>
      <c r="Q406">
        <f>IFERROR(VLOOKUP(M406,'הגדרות'!$A$11:$D$25,2,FALSE),"")</f>
        <v/>
      </c>
      <c r="R406">
        <f>IFERROR(VLOOKUP(M406,'הגדרות'!$A$11:$D$25,3,FALSE),"")</f>
        <v/>
      </c>
      <c r="S406">
        <f>IFERROR(VLOOKUP(N406,'הגדרות'!$A$11:$D$25,2,FALSE),"")</f>
        <v/>
      </c>
      <c r="T406">
        <f>IFERROR(VLOOKUP(N406,'הגדרות'!$A$11:$D$25,3,FALSE),"")</f>
        <v/>
      </c>
      <c r="AB406" s="6" t="n"/>
      <c r="AE406">
        <f>OR(Q406='לוח בקרה'!$B$2,R406='לוח בקרה'!$B$2,S406='לוח בקרה'!$B$2,T406='לוח בקרה'!$B$2)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E407">
        <f>IFERROR(INDEX('הגדרות'!$D$104:$D$123,MATCH(B407&amp;G407&amp;C407,'הגדרות'!$A$104:$A$123&amp;'הגדרות'!$B$104:$B$123&amp;'הגדרות'!$C$104:$C$123,0)),"")</f>
        <v/>
      </c>
      <c r="F407" s="6" t="n"/>
      <c r="Q407">
        <f>IFERROR(VLOOKUP(M407,'הגדרות'!$A$11:$D$25,2,FALSE),"")</f>
        <v/>
      </c>
      <c r="R407">
        <f>IFERROR(VLOOKUP(M407,'הגדרות'!$A$11:$D$25,3,FALSE),"")</f>
        <v/>
      </c>
      <c r="S407">
        <f>IFERROR(VLOOKUP(N407,'הגדרות'!$A$11:$D$25,2,FALSE),"")</f>
        <v/>
      </c>
      <c r="T407">
        <f>IFERROR(VLOOKUP(N407,'הגדרות'!$A$11:$D$25,3,FALSE),"")</f>
        <v/>
      </c>
      <c r="AB407" s="6" t="n"/>
      <c r="AE407">
        <f>OR(Q407='לוח בקרה'!$B$2,R407='לוח בקרה'!$B$2,S407='לוח בקרה'!$B$2,T407='לוח בקרה'!$B$2)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E408">
        <f>IFERROR(INDEX('הגדרות'!$D$104:$D$123,MATCH(B408&amp;G408&amp;C408,'הגדרות'!$A$104:$A$123&amp;'הגדרות'!$B$104:$B$123&amp;'הגדרות'!$C$104:$C$123,0)),"")</f>
        <v/>
      </c>
      <c r="F408" s="6" t="n"/>
      <c r="Q408">
        <f>IFERROR(VLOOKUP(M408,'הגדרות'!$A$11:$D$25,2,FALSE),"")</f>
        <v/>
      </c>
      <c r="R408">
        <f>IFERROR(VLOOKUP(M408,'הגדרות'!$A$11:$D$25,3,FALSE),"")</f>
        <v/>
      </c>
      <c r="S408">
        <f>IFERROR(VLOOKUP(N408,'הגדרות'!$A$11:$D$25,2,FALSE),"")</f>
        <v/>
      </c>
      <c r="T408">
        <f>IFERROR(VLOOKUP(N408,'הגדרות'!$A$11:$D$25,3,FALSE),"")</f>
        <v/>
      </c>
      <c r="AB408" s="6" t="n"/>
      <c r="AE408">
        <f>OR(Q408='לוח בקרה'!$B$2,R408='לוח בקרה'!$B$2,S408='לוח בקרה'!$B$2,T408='לוח בקרה'!$B$2)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E409">
        <f>IFERROR(INDEX('הגדרות'!$D$104:$D$123,MATCH(B409&amp;G409&amp;C409,'הגדרות'!$A$104:$A$123&amp;'הגדרות'!$B$104:$B$123&amp;'הגדרות'!$C$104:$C$123,0)),"")</f>
        <v/>
      </c>
      <c r="F409" s="6" t="n"/>
      <c r="Q409">
        <f>IFERROR(VLOOKUP(M409,'הגדרות'!$A$11:$D$25,2,FALSE),"")</f>
        <v/>
      </c>
      <c r="R409">
        <f>IFERROR(VLOOKUP(M409,'הגדרות'!$A$11:$D$25,3,FALSE),"")</f>
        <v/>
      </c>
      <c r="S409">
        <f>IFERROR(VLOOKUP(N409,'הגדרות'!$A$11:$D$25,2,FALSE),"")</f>
        <v/>
      </c>
      <c r="T409">
        <f>IFERROR(VLOOKUP(N409,'הגדרות'!$A$11:$D$25,3,FALSE),"")</f>
        <v/>
      </c>
      <c r="AB409" s="6" t="n"/>
      <c r="AE409">
        <f>OR(Q409='לוח בקרה'!$B$2,R409='לוח בקרה'!$B$2,S409='לוח בקרה'!$B$2,T409='לוח בקרה'!$B$2)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E410">
        <f>IFERROR(INDEX('הגדרות'!$D$104:$D$123,MATCH(B410&amp;G410&amp;C410,'הגדרות'!$A$104:$A$123&amp;'הגדרות'!$B$104:$B$123&amp;'הגדרות'!$C$104:$C$123,0)),"")</f>
        <v/>
      </c>
      <c r="F410" s="6" t="n"/>
      <c r="Q410">
        <f>IFERROR(VLOOKUP(M410,'הגדרות'!$A$11:$D$25,2,FALSE),"")</f>
        <v/>
      </c>
      <c r="R410">
        <f>IFERROR(VLOOKUP(M410,'הגדרות'!$A$11:$D$25,3,FALSE),"")</f>
        <v/>
      </c>
      <c r="S410">
        <f>IFERROR(VLOOKUP(N410,'הגדרות'!$A$11:$D$25,2,FALSE),"")</f>
        <v/>
      </c>
      <c r="T410">
        <f>IFERROR(VLOOKUP(N410,'הגדרות'!$A$11:$D$25,3,FALSE),"")</f>
        <v/>
      </c>
      <c r="AB410" s="6" t="n"/>
      <c r="AE410">
        <f>OR(Q410='לוח בקרה'!$B$2,R410='לוח בקרה'!$B$2,S410='לוח בקרה'!$B$2,T410='לוח בקרה'!$B$2)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E411">
        <f>IFERROR(INDEX('הגדרות'!$D$104:$D$123,MATCH(B411&amp;G411&amp;C411,'הגדרות'!$A$104:$A$123&amp;'הגדרות'!$B$104:$B$123&amp;'הגדרות'!$C$104:$C$123,0)),"")</f>
        <v/>
      </c>
      <c r="F411" s="6" t="n"/>
      <c r="Q411">
        <f>IFERROR(VLOOKUP(M411,'הגדרות'!$A$11:$D$25,2,FALSE),"")</f>
        <v/>
      </c>
      <c r="R411">
        <f>IFERROR(VLOOKUP(M411,'הגדרות'!$A$11:$D$25,3,FALSE),"")</f>
        <v/>
      </c>
      <c r="S411">
        <f>IFERROR(VLOOKUP(N411,'הגדרות'!$A$11:$D$25,2,FALSE),"")</f>
        <v/>
      </c>
      <c r="T411">
        <f>IFERROR(VLOOKUP(N411,'הגדרות'!$A$11:$D$25,3,FALSE),"")</f>
        <v/>
      </c>
      <c r="AB411" s="6" t="n"/>
      <c r="AE411">
        <f>OR(Q411='לוח בקרה'!$B$2,R411='לוח בקרה'!$B$2,S411='לוח בקרה'!$B$2,T411='לוח בקרה'!$B$2)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E412">
        <f>IFERROR(INDEX('הגדרות'!$D$104:$D$123,MATCH(B412&amp;G412&amp;C412,'הגדרות'!$A$104:$A$123&amp;'הגדרות'!$B$104:$B$123&amp;'הגדרות'!$C$104:$C$123,0)),"")</f>
        <v/>
      </c>
      <c r="F412" s="6" t="n"/>
      <c r="Q412">
        <f>IFERROR(VLOOKUP(M412,'הגדרות'!$A$11:$D$25,2,FALSE),"")</f>
        <v/>
      </c>
      <c r="R412">
        <f>IFERROR(VLOOKUP(M412,'הגדרות'!$A$11:$D$25,3,FALSE),"")</f>
        <v/>
      </c>
      <c r="S412">
        <f>IFERROR(VLOOKUP(N412,'הגדרות'!$A$11:$D$25,2,FALSE),"")</f>
        <v/>
      </c>
      <c r="T412">
        <f>IFERROR(VLOOKUP(N412,'הגדרות'!$A$11:$D$25,3,FALSE),"")</f>
        <v/>
      </c>
      <c r="AB412" s="6" t="n"/>
      <c r="AE412">
        <f>OR(Q412='לוח בקרה'!$B$2,R412='לוח בקרה'!$B$2,S412='לוח בקרה'!$B$2,T412='לוח בקרה'!$B$2)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E413">
        <f>IFERROR(INDEX('הגדרות'!$D$104:$D$123,MATCH(B413&amp;G413&amp;C413,'הגדרות'!$A$104:$A$123&amp;'הגדרות'!$B$104:$B$123&amp;'הגדרות'!$C$104:$C$123,0)),"")</f>
        <v/>
      </c>
      <c r="F413" s="6" t="n"/>
      <c r="Q413">
        <f>IFERROR(VLOOKUP(M413,'הגדרות'!$A$11:$D$25,2,FALSE),"")</f>
        <v/>
      </c>
      <c r="R413">
        <f>IFERROR(VLOOKUP(M413,'הגדרות'!$A$11:$D$25,3,FALSE),"")</f>
        <v/>
      </c>
      <c r="S413">
        <f>IFERROR(VLOOKUP(N413,'הגדרות'!$A$11:$D$25,2,FALSE),"")</f>
        <v/>
      </c>
      <c r="T413">
        <f>IFERROR(VLOOKUP(N413,'הגדרות'!$A$11:$D$25,3,FALSE),"")</f>
        <v/>
      </c>
      <c r="AB413" s="6" t="n"/>
      <c r="AE413">
        <f>OR(Q413='לוח בקרה'!$B$2,R413='לוח בקרה'!$B$2,S413='לוח בקרה'!$B$2,T413='לוח בקרה'!$B$2)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E414">
        <f>IFERROR(INDEX('הגדרות'!$D$104:$D$123,MATCH(B414&amp;G414&amp;C414,'הגדרות'!$A$104:$A$123&amp;'הגדרות'!$B$104:$B$123&amp;'הגדרות'!$C$104:$C$123,0)),"")</f>
        <v/>
      </c>
      <c r="F414" s="6" t="n"/>
      <c r="Q414">
        <f>IFERROR(VLOOKUP(M414,'הגדרות'!$A$11:$D$25,2,FALSE),"")</f>
        <v/>
      </c>
      <c r="R414">
        <f>IFERROR(VLOOKUP(M414,'הגדרות'!$A$11:$D$25,3,FALSE),"")</f>
        <v/>
      </c>
      <c r="S414">
        <f>IFERROR(VLOOKUP(N414,'הגדרות'!$A$11:$D$25,2,FALSE),"")</f>
        <v/>
      </c>
      <c r="T414">
        <f>IFERROR(VLOOKUP(N414,'הגדרות'!$A$11:$D$25,3,FALSE),"")</f>
        <v/>
      </c>
      <c r="AB414" s="6" t="n"/>
      <c r="AE414">
        <f>OR(Q414='לוח בקרה'!$B$2,R414='לוח בקרה'!$B$2,S414='לוח בקרה'!$B$2,T414='לוח בקרה'!$B$2)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E415">
        <f>IFERROR(INDEX('הגדרות'!$D$104:$D$123,MATCH(B415&amp;G415&amp;C415,'הגדרות'!$A$104:$A$123&amp;'הגדרות'!$B$104:$B$123&amp;'הגדרות'!$C$104:$C$123,0)),"")</f>
        <v/>
      </c>
      <c r="F415" s="6" t="n"/>
      <c r="Q415">
        <f>IFERROR(VLOOKUP(M415,'הגדרות'!$A$11:$D$25,2,FALSE),"")</f>
        <v/>
      </c>
      <c r="R415">
        <f>IFERROR(VLOOKUP(M415,'הגדרות'!$A$11:$D$25,3,FALSE),"")</f>
        <v/>
      </c>
      <c r="S415">
        <f>IFERROR(VLOOKUP(N415,'הגדרות'!$A$11:$D$25,2,FALSE),"")</f>
        <v/>
      </c>
      <c r="T415">
        <f>IFERROR(VLOOKUP(N415,'הגדרות'!$A$11:$D$25,3,FALSE),"")</f>
        <v/>
      </c>
      <c r="AB415" s="6" t="n"/>
      <c r="AE415">
        <f>OR(Q415='לוח בקרה'!$B$2,R415='לוח בקרה'!$B$2,S415='לוח בקרה'!$B$2,T415='לוח בקרה'!$B$2)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E416">
        <f>IFERROR(INDEX('הגדרות'!$D$104:$D$123,MATCH(B416&amp;G416&amp;C416,'הגדרות'!$A$104:$A$123&amp;'הגדרות'!$B$104:$B$123&amp;'הגדרות'!$C$104:$C$123,0)),"")</f>
        <v/>
      </c>
      <c r="F416" s="6" t="n"/>
      <c r="Q416">
        <f>IFERROR(VLOOKUP(M416,'הגדרות'!$A$11:$D$25,2,FALSE),"")</f>
        <v/>
      </c>
      <c r="R416">
        <f>IFERROR(VLOOKUP(M416,'הגדרות'!$A$11:$D$25,3,FALSE),"")</f>
        <v/>
      </c>
      <c r="S416">
        <f>IFERROR(VLOOKUP(N416,'הגדרות'!$A$11:$D$25,2,FALSE),"")</f>
        <v/>
      </c>
      <c r="T416">
        <f>IFERROR(VLOOKUP(N416,'הגדרות'!$A$11:$D$25,3,FALSE),"")</f>
        <v/>
      </c>
      <c r="AB416" s="6" t="n"/>
      <c r="AE416">
        <f>OR(Q416='לוח בקרה'!$B$2,R416='לוח בקרה'!$B$2,S416='לוח בקרה'!$B$2,T416='לוח בקרה'!$B$2)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E417">
        <f>IFERROR(INDEX('הגדרות'!$D$104:$D$123,MATCH(B417&amp;G417&amp;C417,'הגדרות'!$A$104:$A$123&amp;'הגדרות'!$B$104:$B$123&amp;'הגדרות'!$C$104:$C$123,0)),"")</f>
        <v/>
      </c>
      <c r="F417" s="6" t="n"/>
      <c r="Q417">
        <f>IFERROR(VLOOKUP(M417,'הגדרות'!$A$11:$D$25,2,FALSE),"")</f>
        <v/>
      </c>
      <c r="R417">
        <f>IFERROR(VLOOKUP(M417,'הגדרות'!$A$11:$D$25,3,FALSE),"")</f>
        <v/>
      </c>
      <c r="S417">
        <f>IFERROR(VLOOKUP(N417,'הגדרות'!$A$11:$D$25,2,FALSE),"")</f>
        <v/>
      </c>
      <c r="T417">
        <f>IFERROR(VLOOKUP(N417,'הגדרות'!$A$11:$D$25,3,FALSE),"")</f>
        <v/>
      </c>
      <c r="AB417" s="6" t="n"/>
      <c r="AE417">
        <f>OR(Q417='לוח בקרה'!$B$2,R417='לוח בקרה'!$B$2,S417='לוח בקרה'!$B$2,T417='לוח בקרה'!$B$2)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E418">
        <f>IFERROR(INDEX('הגדרות'!$D$104:$D$123,MATCH(B418&amp;G418&amp;C418,'הגדרות'!$A$104:$A$123&amp;'הגדרות'!$B$104:$B$123&amp;'הגדרות'!$C$104:$C$123,0)),"")</f>
        <v/>
      </c>
      <c r="F418" s="6" t="n"/>
      <c r="Q418">
        <f>IFERROR(VLOOKUP(M418,'הגדרות'!$A$11:$D$25,2,FALSE),"")</f>
        <v/>
      </c>
      <c r="R418">
        <f>IFERROR(VLOOKUP(M418,'הגדרות'!$A$11:$D$25,3,FALSE),"")</f>
        <v/>
      </c>
      <c r="S418">
        <f>IFERROR(VLOOKUP(N418,'הגדרות'!$A$11:$D$25,2,FALSE),"")</f>
        <v/>
      </c>
      <c r="T418">
        <f>IFERROR(VLOOKUP(N418,'הגדרות'!$A$11:$D$25,3,FALSE),"")</f>
        <v/>
      </c>
      <c r="AB418" s="6" t="n"/>
      <c r="AE418">
        <f>OR(Q418='לוח בקרה'!$B$2,R418='לוח בקרה'!$B$2,S418='לוח בקרה'!$B$2,T418='לוח בקרה'!$B$2)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E419">
        <f>IFERROR(INDEX('הגדרות'!$D$104:$D$123,MATCH(B419&amp;G419&amp;C419,'הגדרות'!$A$104:$A$123&amp;'הגדרות'!$B$104:$B$123&amp;'הגדרות'!$C$104:$C$123,0)),"")</f>
        <v/>
      </c>
      <c r="F419" s="6" t="n"/>
      <c r="Q419">
        <f>IFERROR(VLOOKUP(M419,'הגדרות'!$A$11:$D$25,2,FALSE),"")</f>
        <v/>
      </c>
      <c r="R419">
        <f>IFERROR(VLOOKUP(M419,'הגדרות'!$A$11:$D$25,3,FALSE),"")</f>
        <v/>
      </c>
      <c r="S419">
        <f>IFERROR(VLOOKUP(N419,'הגדרות'!$A$11:$D$25,2,FALSE),"")</f>
        <v/>
      </c>
      <c r="T419">
        <f>IFERROR(VLOOKUP(N419,'הגדרות'!$A$11:$D$25,3,FALSE),"")</f>
        <v/>
      </c>
      <c r="AB419" s="6" t="n"/>
      <c r="AE419">
        <f>OR(Q419='לוח בקרה'!$B$2,R419='לוח בקרה'!$B$2,S419='לוח בקרה'!$B$2,T419='לוח בקרה'!$B$2)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E420">
        <f>IFERROR(INDEX('הגדרות'!$D$104:$D$123,MATCH(B420&amp;G420&amp;C420,'הגדרות'!$A$104:$A$123&amp;'הגדרות'!$B$104:$B$123&amp;'הגדרות'!$C$104:$C$123,0)),"")</f>
        <v/>
      </c>
      <c r="F420" s="6" t="n"/>
      <c r="Q420">
        <f>IFERROR(VLOOKUP(M420,'הגדרות'!$A$11:$D$25,2,FALSE),"")</f>
        <v/>
      </c>
      <c r="R420">
        <f>IFERROR(VLOOKUP(M420,'הגדרות'!$A$11:$D$25,3,FALSE),"")</f>
        <v/>
      </c>
      <c r="S420">
        <f>IFERROR(VLOOKUP(N420,'הגדרות'!$A$11:$D$25,2,FALSE),"")</f>
        <v/>
      </c>
      <c r="T420">
        <f>IFERROR(VLOOKUP(N420,'הגדרות'!$A$11:$D$25,3,FALSE),"")</f>
        <v/>
      </c>
      <c r="AB420" s="6" t="n"/>
      <c r="AE420">
        <f>OR(Q420='לוח בקרה'!$B$2,R420='לוח בקרה'!$B$2,S420='לוח בקרה'!$B$2,T420='לוח בקרה'!$B$2)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E421">
        <f>IFERROR(INDEX('הגדרות'!$D$104:$D$123,MATCH(B421&amp;G421&amp;C421,'הגדרות'!$A$104:$A$123&amp;'הגדרות'!$B$104:$B$123&amp;'הגדרות'!$C$104:$C$123,0)),"")</f>
        <v/>
      </c>
      <c r="F421" s="6" t="n"/>
      <c r="Q421">
        <f>IFERROR(VLOOKUP(M421,'הגדרות'!$A$11:$D$25,2,FALSE),"")</f>
        <v/>
      </c>
      <c r="R421">
        <f>IFERROR(VLOOKUP(M421,'הגדרות'!$A$11:$D$25,3,FALSE),"")</f>
        <v/>
      </c>
      <c r="S421">
        <f>IFERROR(VLOOKUP(N421,'הגדרות'!$A$11:$D$25,2,FALSE),"")</f>
        <v/>
      </c>
      <c r="T421">
        <f>IFERROR(VLOOKUP(N421,'הגדרות'!$A$11:$D$25,3,FALSE),"")</f>
        <v/>
      </c>
      <c r="AB421" s="6" t="n"/>
      <c r="AE421">
        <f>OR(Q421='לוח בקרה'!$B$2,R421='לוח בקרה'!$B$2,S421='לוח בקרה'!$B$2,T421='לוח בקרה'!$B$2)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E422">
        <f>IFERROR(INDEX('הגדרות'!$D$104:$D$123,MATCH(B422&amp;G422&amp;C422,'הגדרות'!$A$104:$A$123&amp;'הגדרות'!$B$104:$B$123&amp;'הגדרות'!$C$104:$C$123,0)),"")</f>
        <v/>
      </c>
      <c r="F422" s="6" t="n"/>
      <c r="Q422">
        <f>IFERROR(VLOOKUP(M422,'הגדרות'!$A$11:$D$25,2,FALSE),"")</f>
        <v/>
      </c>
      <c r="R422">
        <f>IFERROR(VLOOKUP(M422,'הגדרות'!$A$11:$D$25,3,FALSE),"")</f>
        <v/>
      </c>
      <c r="S422">
        <f>IFERROR(VLOOKUP(N422,'הגדרות'!$A$11:$D$25,2,FALSE),"")</f>
        <v/>
      </c>
      <c r="T422">
        <f>IFERROR(VLOOKUP(N422,'הגדרות'!$A$11:$D$25,3,FALSE),"")</f>
        <v/>
      </c>
      <c r="AB422" s="6" t="n"/>
      <c r="AE422">
        <f>OR(Q422='לוח בקרה'!$B$2,R422='לוח בקרה'!$B$2,S422='לוח בקרה'!$B$2,T422='לוח בקרה'!$B$2)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E423">
        <f>IFERROR(INDEX('הגדרות'!$D$104:$D$123,MATCH(B423&amp;G423&amp;C423,'הגדרות'!$A$104:$A$123&amp;'הגדרות'!$B$104:$B$123&amp;'הגדרות'!$C$104:$C$123,0)),"")</f>
        <v/>
      </c>
      <c r="F423" s="6" t="n"/>
      <c r="Q423">
        <f>IFERROR(VLOOKUP(M423,'הגדרות'!$A$11:$D$25,2,FALSE),"")</f>
        <v/>
      </c>
      <c r="R423">
        <f>IFERROR(VLOOKUP(M423,'הגדרות'!$A$11:$D$25,3,FALSE),"")</f>
        <v/>
      </c>
      <c r="S423">
        <f>IFERROR(VLOOKUP(N423,'הגדרות'!$A$11:$D$25,2,FALSE),"")</f>
        <v/>
      </c>
      <c r="T423">
        <f>IFERROR(VLOOKUP(N423,'הגדרות'!$A$11:$D$25,3,FALSE),"")</f>
        <v/>
      </c>
      <c r="AB423" s="6" t="n"/>
      <c r="AE423">
        <f>OR(Q423='לוח בקרה'!$B$2,R423='לוח בקרה'!$B$2,S423='לוח בקרה'!$B$2,T423='לוח בקרה'!$B$2)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E424">
        <f>IFERROR(INDEX('הגדרות'!$D$104:$D$123,MATCH(B424&amp;G424&amp;C424,'הגדרות'!$A$104:$A$123&amp;'הגדרות'!$B$104:$B$123&amp;'הגדרות'!$C$104:$C$123,0)),"")</f>
        <v/>
      </c>
      <c r="F424" s="6" t="n"/>
      <c r="Q424">
        <f>IFERROR(VLOOKUP(M424,'הגדרות'!$A$11:$D$25,2,FALSE),"")</f>
        <v/>
      </c>
      <c r="R424">
        <f>IFERROR(VLOOKUP(M424,'הגדרות'!$A$11:$D$25,3,FALSE),"")</f>
        <v/>
      </c>
      <c r="S424">
        <f>IFERROR(VLOOKUP(N424,'הגדרות'!$A$11:$D$25,2,FALSE),"")</f>
        <v/>
      </c>
      <c r="T424">
        <f>IFERROR(VLOOKUP(N424,'הגדרות'!$A$11:$D$25,3,FALSE),"")</f>
        <v/>
      </c>
      <c r="AB424" s="6" t="n"/>
      <c r="AE424">
        <f>OR(Q424='לוח בקרה'!$B$2,R424='לוח בקרה'!$B$2,S424='לוח בקרה'!$B$2,T424='לוח בקרה'!$B$2)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E425">
        <f>IFERROR(INDEX('הגדרות'!$D$104:$D$123,MATCH(B425&amp;G425&amp;C425,'הגדרות'!$A$104:$A$123&amp;'הגדרות'!$B$104:$B$123&amp;'הגדרות'!$C$104:$C$123,0)),"")</f>
        <v/>
      </c>
      <c r="F425" s="6" t="n"/>
      <c r="Q425">
        <f>IFERROR(VLOOKUP(M425,'הגדרות'!$A$11:$D$25,2,FALSE),"")</f>
        <v/>
      </c>
      <c r="R425">
        <f>IFERROR(VLOOKUP(M425,'הגדרות'!$A$11:$D$25,3,FALSE),"")</f>
        <v/>
      </c>
      <c r="S425">
        <f>IFERROR(VLOOKUP(N425,'הגדרות'!$A$11:$D$25,2,FALSE),"")</f>
        <v/>
      </c>
      <c r="T425">
        <f>IFERROR(VLOOKUP(N425,'הגדרות'!$A$11:$D$25,3,FALSE),"")</f>
        <v/>
      </c>
      <c r="AB425" s="6" t="n"/>
      <c r="AE425">
        <f>OR(Q425='לוח בקרה'!$B$2,R425='לוח בקרה'!$B$2,S425='לוח בקרה'!$B$2,T425='לוח בקרה'!$B$2)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E426">
        <f>IFERROR(INDEX('הגדרות'!$D$104:$D$123,MATCH(B426&amp;G426&amp;C426,'הגדרות'!$A$104:$A$123&amp;'הגדרות'!$B$104:$B$123&amp;'הגדרות'!$C$104:$C$123,0)),"")</f>
        <v/>
      </c>
      <c r="F426" s="6" t="n"/>
      <c r="Q426">
        <f>IFERROR(VLOOKUP(M426,'הגדרות'!$A$11:$D$25,2,FALSE),"")</f>
        <v/>
      </c>
      <c r="R426">
        <f>IFERROR(VLOOKUP(M426,'הגדרות'!$A$11:$D$25,3,FALSE),"")</f>
        <v/>
      </c>
      <c r="S426">
        <f>IFERROR(VLOOKUP(N426,'הגדרות'!$A$11:$D$25,2,FALSE),"")</f>
        <v/>
      </c>
      <c r="T426">
        <f>IFERROR(VLOOKUP(N426,'הגדרות'!$A$11:$D$25,3,FALSE),"")</f>
        <v/>
      </c>
      <c r="AB426" s="6" t="n"/>
      <c r="AE426">
        <f>OR(Q426='לוח בקרה'!$B$2,R426='לוח בקרה'!$B$2,S426='לוח בקרה'!$B$2,T426='לוח בקרה'!$B$2)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E427">
        <f>IFERROR(INDEX('הגדרות'!$D$104:$D$123,MATCH(B427&amp;G427&amp;C427,'הגדרות'!$A$104:$A$123&amp;'הגדרות'!$B$104:$B$123&amp;'הגדרות'!$C$104:$C$123,0)),"")</f>
        <v/>
      </c>
      <c r="F427" s="6" t="n"/>
      <c r="Q427">
        <f>IFERROR(VLOOKUP(M427,'הגדרות'!$A$11:$D$25,2,FALSE),"")</f>
        <v/>
      </c>
      <c r="R427">
        <f>IFERROR(VLOOKUP(M427,'הגדרות'!$A$11:$D$25,3,FALSE),"")</f>
        <v/>
      </c>
      <c r="S427">
        <f>IFERROR(VLOOKUP(N427,'הגדרות'!$A$11:$D$25,2,FALSE),"")</f>
        <v/>
      </c>
      <c r="T427">
        <f>IFERROR(VLOOKUP(N427,'הגדרות'!$A$11:$D$25,3,FALSE),"")</f>
        <v/>
      </c>
      <c r="AB427" s="6" t="n"/>
      <c r="AE427">
        <f>OR(Q427='לוח בקרה'!$B$2,R427='לוח בקרה'!$B$2,S427='לוח בקרה'!$B$2,T427='לוח בקרה'!$B$2)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E428">
        <f>IFERROR(INDEX('הגדרות'!$D$104:$D$123,MATCH(B428&amp;G428&amp;C428,'הגדרות'!$A$104:$A$123&amp;'הגדרות'!$B$104:$B$123&amp;'הגדרות'!$C$104:$C$123,0)),"")</f>
        <v/>
      </c>
      <c r="F428" s="6" t="n"/>
      <c r="Q428">
        <f>IFERROR(VLOOKUP(M428,'הגדרות'!$A$11:$D$25,2,FALSE),"")</f>
        <v/>
      </c>
      <c r="R428">
        <f>IFERROR(VLOOKUP(M428,'הגדרות'!$A$11:$D$25,3,FALSE),"")</f>
        <v/>
      </c>
      <c r="S428">
        <f>IFERROR(VLOOKUP(N428,'הגדרות'!$A$11:$D$25,2,FALSE),"")</f>
        <v/>
      </c>
      <c r="T428">
        <f>IFERROR(VLOOKUP(N428,'הגדרות'!$A$11:$D$25,3,FALSE),"")</f>
        <v/>
      </c>
      <c r="AB428" s="6" t="n"/>
      <c r="AE428">
        <f>OR(Q428='לוח בקרה'!$B$2,R428='לוח בקרה'!$B$2,S428='לוח בקרה'!$B$2,T428='לוח בקרה'!$B$2)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E429">
        <f>IFERROR(INDEX('הגדרות'!$D$104:$D$123,MATCH(B429&amp;G429&amp;C429,'הגדרות'!$A$104:$A$123&amp;'הגדרות'!$B$104:$B$123&amp;'הגדרות'!$C$104:$C$123,0)),"")</f>
        <v/>
      </c>
      <c r="F429" s="6" t="n"/>
      <c r="Q429">
        <f>IFERROR(VLOOKUP(M429,'הגדרות'!$A$11:$D$25,2,FALSE),"")</f>
        <v/>
      </c>
      <c r="R429">
        <f>IFERROR(VLOOKUP(M429,'הגדרות'!$A$11:$D$25,3,FALSE),"")</f>
        <v/>
      </c>
      <c r="S429">
        <f>IFERROR(VLOOKUP(N429,'הגדרות'!$A$11:$D$25,2,FALSE),"")</f>
        <v/>
      </c>
      <c r="T429">
        <f>IFERROR(VLOOKUP(N429,'הגדרות'!$A$11:$D$25,3,FALSE),"")</f>
        <v/>
      </c>
      <c r="AB429" s="6" t="n"/>
      <c r="AE429">
        <f>OR(Q429='לוח בקרה'!$B$2,R429='לוח בקרה'!$B$2,S429='לוח בקרה'!$B$2,T429='לוח בקרה'!$B$2)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E430">
        <f>IFERROR(INDEX('הגדרות'!$D$104:$D$123,MATCH(B430&amp;G430&amp;C430,'הגדרות'!$A$104:$A$123&amp;'הגדרות'!$B$104:$B$123&amp;'הגדרות'!$C$104:$C$123,0)),"")</f>
        <v/>
      </c>
      <c r="F430" s="6" t="n"/>
      <c r="Q430">
        <f>IFERROR(VLOOKUP(M430,'הגדרות'!$A$11:$D$25,2,FALSE),"")</f>
        <v/>
      </c>
      <c r="R430">
        <f>IFERROR(VLOOKUP(M430,'הגדרות'!$A$11:$D$25,3,FALSE),"")</f>
        <v/>
      </c>
      <c r="S430">
        <f>IFERROR(VLOOKUP(N430,'הגדרות'!$A$11:$D$25,2,FALSE),"")</f>
        <v/>
      </c>
      <c r="T430">
        <f>IFERROR(VLOOKUP(N430,'הגדרות'!$A$11:$D$25,3,FALSE),"")</f>
        <v/>
      </c>
      <c r="AB430" s="6" t="n"/>
      <c r="AE430">
        <f>OR(Q430='לוח בקרה'!$B$2,R430='לוח בקרה'!$B$2,S430='לוח בקרה'!$B$2,T430='לוח בקרה'!$B$2)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E431">
        <f>IFERROR(INDEX('הגדרות'!$D$104:$D$123,MATCH(B431&amp;G431&amp;C431,'הגדרות'!$A$104:$A$123&amp;'הגדרות'!$B$104:$B$123&amp;'הגדרות'!$C$104:$C$123,0)),"")</f>
        <v/>
      </c>
      <c r="F431" s="6" t="n"/>
      <c r="Q431">
        <f>IFERROR(VLOOKUP(M431,'הגדרות'!$A$11:$D$25,2,FALSE),"")</f>
        <v/>
      </c>
      <c r="R431">
        <f>IFERROR(VLOOKUP(M431,'הגדרות'!$A$11:$D$25,3,FALSE),"")</f>
        <v/>
      </c>
      <c r="S431">
        <f>IFERROR(VLOOKUP(N431,'הגדרות'!$A$11:$D$25,2,FALSE),"")</f>
        <v/>
      </c>
      <c r="T431">
        <f>IFERROR(VLOOKUP(N431,'הגדרות'!$A$11:$D$25,3,FALSE),"")</f>
        <v/>
      </c>
      <c r="AB431" s="6" t="n"/>
      <c r="AE431">
        <f>OR(Q431='לוח בקרה'!$B$2,R431='לוח בקרה'!$B$2,S431='לוח בקרה'!$B$2,T431='לוח בקרה'!$B$2)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E432">
        <f>IFERROR(INDEX('הגדרות'!$D$104:$D$123,MATCH(B432&amp;G432&amp;C432,'הגדרות'!$A$104:$A$123&amp;'הגדרות'!$B$104:$B$123&amp;'הגדרות'!$C$104:$C$123,0)),"")</f>
        <v/>
      </c>
      <c r="F432" s="6" t="n"/>
      <c r="Q432">
        <f>IFERROR(VLOOKUP(M432,'הגדרות'!$A$11:$D$25,2,FALSE),"")</f>
        <v/>
      </c>
      <c r="R432">
        <f>IFERROR(VLOOKUP(M432,'הגדרות'!$A$11:$D$25,3,FALSE),"")</f>
        <v/>
      </c>
      <c r="S432">
        <f>IFERROR(VLOOKUP(N432,'הגדרות'!$A$11:$D$25,2,FALSE),"")</f>
        <v/>
      </c>
      <c r="T432">
        <f>IFERROR(VLOOKUP(N432,'הגדרות'!$A$11:$D$25,3,FALSE),"")</f>
        <v/>
      </c>
      <c r="AB432" s="6" t="n"/>
      <c r="AE432">
        <f>OR(Q432='לוח בקרה'!$B$2,R432='לוח בקרה'!$B$2,S432='לוח בקרה'!$B$2,T432='לוח בקרה'!$B$2)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E433">
        <f>IFERROR(INDEX('הגדרות'!$D$104:$D$123,MATCH(B433&amp;G433&amp;C433,'הגדרות'!$A$104:$A$123&amp;'הגדרות'!$B$104:$B$123&amp;'הגדרות'!$C$104:$C$123,0)),"")</f>
        <v/>
      </c>
      <c r="F433" s="6" t="n"/>
      <c r="Q433">
        <f>IFERROR(VLOOKUP(M433,'הגדרות'!$A$11:$D$25,2,FALSE),"")</f>
        <v/>
      </c>
      <c r="R433">
        <f>IFERROR(VLOOKUP(M433,'הגדרות'!$A$11:$D$25,3,FALSE),"")</f>
        <v/>
      </c>
      <c r="S433">
        <f>IFERROR(VLOOKUP(N433,'הגדרות'!$A$11:$D$25,2,FALSE),"")</f>
        <v/>
      </c>
      <c r="T433">
        <f>IFERROR(VLOOKUP(N433,'הגדרות'!$A$11:$D$25,3,FALSE),"")</f>
        <v/>
      </c>
      <c r="AB433" s="6" t="n"/>
      <c r="AE433">
        <f>OR(Q433='לוח בקרה'!$B$2,R433='לוח בקרה'!$B$2,S433='לוח בקרה'!$B$2,T433='לוח בקרה'!$B$2)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E434">
        <f>IFERROR(INDEX('הגדרות'!$D$104:$D$123,MATCH(B434&amp;G434&amp;C434,'הגדרות'!$A$104:$A$123&amp;'הגדרות'!$B$104:$B$123&amp;'הגדרות'!$C$104:$C$123,0)),"")</f>
        <v/>
      </c>
      <c r="F434" s="6" t="n"/>
      <c r="Q434">
        <f>IFERROR(VLOOKUP(M434,'הגדרות'!$A$11:$D$25,2,FALSE),"")</f>
        <v/>
      </c>
      <c r="R434">
        <f>IFERROR(VLOOKUP(M434,'הגדרות'!$A$11:$D$25,3,FALSE),"")</f>
        <v/>
      </c>
      <c r="S434">
        <f>IFERROR(VLOOKUP(N434,'הגדרות'!$A$11:$D$25,2,FALSE),"")</f>
        <v/>
      </c>
      <c r="T434">
        <f>IFERROR(VLOOKUP(N434,'הגדרות'!$A$11:$D$25,3,FALSE),"")</f>
        <v/>
      </c>
      <c r="AB434" s="6" t="n"/>
      <c r="AE434">
        <f>OR(Q434='לוח בקרה'!$B$2,R434='לוח בקרה'!$B$2,S434='לוח בקרה'!$B$2,T434='לוח בקרה'!$B$2)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E435">
        <f>IFERROR(INDEX('הגדרות'!$D$104:$D$123,MATCH(B435&amp;G435&amp;C435,'הגדרות'!$A$104:$A$123&amp;'הגדרות'!$B$104:$B$123&amp;'הגדרות'!$C$104:$C$123,0)),"")</f>
        <v/>
      </c>
      <c r="F435" s="6" t="n"/>
      <c r="Q435">
        <f>IFERROR(VLOOKUP(M435,'הגדרות'!$A$11:$D$25,2,FALSE),"")</f>
        <v/>
      </c>
      <c r="R435">
        <f>IFERROR(VLOOKUP(M435,'הגדרות'!$A$11:$D$25,3,FALSE),"")</f>
        <v/>
      </c>
      <c r="S435">
        <f>IFERROR(VLOOKUP(N435,'הגדרות'!$A$11:$D$25,2,FALSE),"")</f>
        <v/>
      </c>
      <c r="T435">
        <f>IFERROR(VLOOKUP(N435,'הגדרות'!$A$11:$D$25,3,FALSE),"")</f>
        <v/>
      </c>
      <c r="AB435" s="6" t="n"/>
      <c r="AE435">
        <f>OR(Q435='לוח בקרה'!$B$2,R435='לוח בקרה'!$B$2,S435='לוח בקרה'!$B$2,T435='לוח בקרה'!$B$2)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E436">
        <f>IFERROR(INDEX('הגדרות'!$D$104:$D$123,MATCH(B436&amp;G436&amp;C436,'הגדרות'!$A$104:$A$123&amp;'הגדרות'!$B$104:$B$123&amp;'הגדרות'!$C$104:$C$123,0)),"")</f>
        <v/>
      </c>
      <c r="F436" s="6" t="n"/>
      <c r="Q436">
        <f>IFERROR(VLOOKUP(M436,'הגדרות'!$A$11:$D$25,2,FALSE),"")</f>
        <v/>
      </c>
      <c r="R436">
        <f>IFERROR(VLOOKUP(M436,'הגדרות'!$A$11:$D$25,3,FALSE),"")</f>
        <v/>
      </c>
      <c r="S436">
        <f>IFERROR(VLOOKUP(N436,'הגדרות'!$A$11:$D$25,2,FALSE),"")</f>
        <v/>
      </c>
      <c r="T436">
        <f>IFERROR(VLOOKUP(N436,'הגדרות'!$A$11:$D$25,3,FALSE),"")</f>
        <v/>
      </c>
      <c r="AB436" s="6" t="n"/>
      <c r="AE436">
        <f>OR(Q436='לוח בקרה'!$B$2,R436='לוח בקרה'!$B$2,S436='לוח בקרה'!$B$2,T436='לוח בקרה'!$B$2)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E437">
        <f>IFERROR(INDEX('הגדרות'!$D$104:$D$123,MATCH(B437&amp;G437&amp;C437,'הגדרות'!$A$104:$A$123&amp;'הגדרות'!$B$104:$B$123&amp;'הגדרות'!$C$104:$C$123,0)),"")</f>
        <v/>
      </c>
      <c r="F437" s="6" t="n"/>
      <c r="Q437">
        <f>IFERROR(VLOOKUP(M437,'הגדרות'!$A$11:$D$25,2,FALSE),"")</f>
        <v/>
      </c>
      <c r="R437">
        <f>IFERROR(VLOOKUP(M437,'הגדרות'!$A$11:$D$25,3,FALSE),"")</f>
        <v/>
      </c>
      <c r="S437">
        <f>IFERROR(VLOOKUP(N437,'הגדרות'!$A$11:$D$25,2,FALSE),"")</f>
        <v/>
      </c>
      <c r="T437">
        <f>IFERROR(VLOOKUP(N437,'הגדרות'!$A$11:$D$25,3,FALSE),"")</f>
        <v/>
      </c>
      <c r="AB437" s="6" t="n"/>
      <c r="AE437">
        <f>OR(Q437='לוח בקרה'!$B$2,R437='לוח בקרה'!$B$2,S437='לוח בקרה'!$B$2,T437='לוח בקרה'!$B$2)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E438">
        <f>IFERROR(INDEX('הגדרות'!$D$104:$D$123,MATCH(B438&amp;G438&amp;C438,'הגדרות'!$A$104:$A$123&amp;'הגדרות'!$B$104:$B$123&amp;'הגדרות'!$C$104:$C$123,0)),"")</f>
        <v/>
      </c>
      <c r="F438" s="6" t="n"/>
      <c r="Q438">
        <f>IFERROR(VLOOKUP(M438,'הגדרות'!$A$11:$D$25,2,FALSE),"")</f>
        <v/>
      </c>
      <c r="R438">
        <f>IFERROR(VLOOKUP(M438,'הגדרות'!$A$11:$D$25,3,FALSE),"")</f>
        <v/>
      </c>
      <c r="S438">
        <f>IFERROR(VLOOKUP(N438,'הגדרות'!$A$11:$D$25,2,FALSE),"")</f>
        <v/>
      </c>
      <c r="T438">
        <f>IFERROR(VLOOKUP(N438,'הגדרות'!$A$11:$D$25,3,FALSE),"")</f>
        <v/>
      </c>
      <c r="AB438" s="6" t="n"/>
      <c r="AE438">
        <f>OR(Q438='לוח בקרה'!$B$2,R438='לוח בקרה'!$B$2,S438='לוח בקרה'!$B$2,T438='לוח בקרה'!$B$2)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E439">
        <f>IFERROR(INDEX('הגדרות'!$D$104:$D$123,MATCH(B439&amp;G439&amp;C439,'הגדרות'!$A$104:$A$123&amp;'הגדרות'!$B$104:$B$123&amp;'הגדרות'!$C$104:$C$123,0)),"")</f>
        <v/>
      </c>
      <c r="F439" s="6" t="n"/>
      <c r="Q439">
        <f>IFERROR(VLOOKUP(M439,'הגדרות'!$A$11:$D$25,2,FALSE),"")</f>
        <v/>
      </c>
      <c r="R439">
        <f>IFERROR(VLOOKUP(M439,'הגדרות'!$A$11:$D$25,3,FALSE),"")</f>
        <v/>
      </c>
      <c r="S439">
        <f>IFERROR(VLOOKUP(N439,'הגדרות'!$A$11:$D$25,2,FALSE),"")</f>
        <v/>
      </c>
      <c r="T439">
        <f>IFERROR(VLOOKUP(N439,'הגדרות'!$A$11:$D$25,3,FALSE),"")</f>
        <v/>
      </c>
      <c r="AB439" s="6" t="n"/>
      <c r="AE439">
        <f>OR(Q439='לוח בקרה'!$B$2,R439='לוח בקרה'!$B$2,S439='לוח בקרה'!$B$2,T439='לוח בקרה'!$B$2)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E440">
        <f>IFERROR(INDEX('הגדרות'!$D$104:$D$123,MATCH(B440&amp;G440&amp;C440,'הגדרות'!$A$104:$A$123&amp;'הגדרות'!$B$104:$B$123&amp;'הגדרות'!$C$104:$C$123,0)),"")</f>
        <v/>
      </c>
      <c r="F440" s="6" t="n"/>
      <c r="Q440">
        <f>IFERROR(VLOOKUP(M440,'הגדרות'!$A$11:$D$25,2,FALSE),"")</f>
        <v/>
      </c>
      <c r="R440">
        <f>IFERROR(VLOOKUP(M440,'הגדרות'!$A$11:$D$25,3,FALSE),"")</f>
        <v/>
      </c>
      <c r="S440">
        <f>IFERROR(VLOOKUP(N440,'הגדרות'!$A$11:$D$25,2,FALSE),"")</f>
        <v/>
      </c>
      <c r="T440">
        <f>IFERROR(VLOOKUP(N440,'הגדרות'!$A$11:$D$25,3,FALSE),"")</f>
        <v/>
      </c>
      <c r="AB440" s="6" t="n"/>
      <c r="AE440">
        <f>OR(Q440='לוח בקרה'!$B$2,R440='לוח בקרה'!$B$2,S440='לוח בקרה'!$B$2,T440='לוח בקרה'!$B$2)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E441">
        <f>IFERROR(INDEX('הגדרות'!$D$104:$D$123,MATCH(B441&amp;G441&amp;C441,'הגדרות'!$A$104:$A$123&amp;'הגדרות'!$B$104:$B$123&amp;'הגדרות'!$C$104:$C$123,0)),"")</f>
        <v/>
      </c>
      <c r="F441" s="6" t="n"/>
      <c r="Q441">
        <f>IFERROR(VLOOKUP(M441,'הגדרות'!$A$11:$D$25,2,FALSE),"")</f>
        <v/>
      </c>
      <c r="R441">
        <f>IFERROR(VLOOKUP(M441,'הגדרות'!$A$11:$D$25,3,FALSE),"")</f>
        <v/>
      </c>
      <c r="S441">
        <f>IFERROR(VLOOKUP(N441,'הגדרות'!$A$11:$D$25,2,FALSE),"")</f>
        <v/>
      </c>
      <c r="T441">
        <f>IFERROR(VLOOKUP(N441,'הגדרות'!$A$11:$D$25,3,FALSE),"")</f>
        <v/>
      </c>
      <c r="AB441" s="6" t="n"/>
      <c r="AE441">
        <f>OR(Q441='לוח בקרה'!$B$2,R441='לוח בקרה'!$B$2,S441='לוח בקרה'!$B$2,T441='לוח בקרה'!$B$2)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E442">
        <f>IFERROR(INDEX('הגדרות'!$D$104:$D$123,MATCH(B442&amp;G442&amp;C442,'הגדרות'!$A$104:$A$123&amp;'הגדרות'!$B$104:$B$123&amp;'הגדרות'!$C$104:$C$123,0)),"")</f>
        <v/>
      </c>
      <c r="F442" s="6" t="n"/>
      <c r="Q442">
        <f>IFERROR(VLOOKUP(M442,'הגדרות'!$A$11:$D$25,2,FALSE),"")</f>
        <v/>
      </c>
      <c r="R442">
        <f>IFERROR(VLOOKUP(M442,'הגדרות'!$A$11:$D$25,3,FALSE),"")</f>
        <v/>
      </c>
      <c r="S442">
        <f>IFERROR(VLOOKUP(N442,'הגדרות'!$A$11:$D$25,2,FALSE),"")</f>
        <v/>
      </c>
      <c r="T442">
        <f>IFERROR(VLOOKUP(N442,'הגדרות'!$A$11:$D$25,3,FALSE),"")</f>
        <v/>
      </c>
      <c r="AB442" s="6" t="n"/>
      <c r="AE442">
        <f>OR(Q442='לוח בקרה'!$B$2,R442='לוח בקרה'!$B$2,S442='לוח בקרה'!$B$2,T442='לוח בקרה'!$B$2)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E443">
        <f>IFERROR(INDEX('הגדרות'!$D$104:$D$123,MATCH(B443&amp;G443&amp;C443,'הגדרות'!$A$104:$A$123&amp;'הגדרות'!$B$104:$B$123&amp;'הגדרות'!$C$104:$C$123,0)),"")</f>
        <v/>
      </c>
      <c r="F443" s="6" t="n"/>
      <c r="Q443">
        <f>IFERROR(VLOOKUP(M443,'הגדרות'!$A$11:$D$25,2,FALSE),"")</f>
        <v/>
      </c>
      <c r="R443">
        <f>IFERROR(VLOOKUP(M443,'הגדרות'!$A$11:$D$25,3,FALSE),"")</f>
        <v/>
      </c>
      <c r="S443">
        <f>IFERROR(VLOOKUP(N443,'הגדרות'!$A$11:$D$25,2,FALSE),"")</f>
        <v/>
      </c>
      <c r="T443">
        <f>IFERROR(VLOOKUP(N443,'הגדרות'!$A$11:$D$25,3,FALSE),"")</f>
        <v/>
      </c>
      <c r="AB443" s="6" t="n"/>
      <c r="AE443">
        <f>OR(Q443='לוח בקרה'!$B$2,R443='לוח בקרה'!$B$2,S443='לוח בקרה'!$B$2,T443='לוח בקרה'!$B$2)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E444">
        <f>IFERROR(INDEX('הגדרות'!$D$104:$D$123,MATCH(B444&amp;G444&amp;C444,'הגדרות'!$A$104:$A$123&amp;'הגדרות'!$B$104:$B$123&amp;'הגדרות'!$C$104:$C$123,0)),"")</f>
        <v/>
      </c>
      <c r="F444" s="6" t="n"/>
      <c r="Q444">
        <f>IFERROR(VLOOKUP(M444,'הגדרות'!$A$11:$D$25,2,FALSE),"")</f>
        <v/>
      </c>
      <c r="R444">
        <f>IFERROR(VLOOKUP(M444,'הגדרות'!$A$11:$D$25,3,FALSE),"")</f>
        <v/>
      </c>
      <c r="S444">
        <f>IFERROR(VLOOKUP(N444,'הגדרות'!$A$11:$D$25,2,FALSE),"")</f>
        <v/>
      </c>
      <c r="T444">
        <f>IFERROR(VLOOKUP(N444,'הגדרות'!$A$11:$D$25,3,FALSE),"")</f>
        <v/>
      </c>
      <c r="AB444" s="6" t="n"/>
      <c r="AE444">
        <f>OR(Q444='לוח בקרה'!$B$2,R444='לוח בקרה'!$B$2,S444='לוח בקרה'!$B$2,T444='לוח בקרה'!$B$2)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E445">
        <f>IFERROR(INDEX('הגדרות'!$D$104:$D$123,MATCH(B445&amp;G445&amp;C445,'הגדרות'!$A$104:$A$123&amp;'הגדרות'!$B$104:$B$123&amp;'הגדרות'!$C$104:$C$123,0)),"")</f>
        <v/>
      </c>
      <c r="F445" s="6" t="n"/>
      <c r="Q445">
        <f>IFERROR(VLOOKUP(M445,'הגדרות'!$A$11:$D$25,2,FALSE),"")</f>
        <v/>
      </c>
      <c r="R445">
        <f>IFERROR(VLOOKUP(M445,'הגדרות'!$A$11:$D$25,3,FALSE),"")</f>
        <v/>
      </c>
      <c r="S445">
        <f>IFERROR(VLOOKUP(N445,'הגדרות'!$A$11:$D$25,2,FALSE),"")</f>
        <v/>
      </c>
      <c r="T445">
        <f>IFERROR(VLOOKUP(N445,'הגדרות'!$A$11:$D$25,3,FALSE),"")</f>
        <v/>
      </c>
      <c r="AB445" s="6" t="n"/>
      <c r="AE445">
        <f>OR(Q445='לוח בקרה'!$B$2,R445='לוח בקרה'!$B$2,S445='לוח בקרה'!$B$2,T445='לוח בקרה'!$B$2)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E446">
        <f>IFERROR(INDEX('הגדרות'!$D$104:$D$123,MATCH(B446&amp;G446&amp;C446,'הגדרות'!$A$104:$A$123&amp;'הגדרות'!$B$104:$B$123&amp;'הגדרות'!$C$104:$C$123,0)),"")</f>
        <v/>
      </c>
      <c r="F446" s="6" t="n"/>
      <c r="Q446">
        <f>IFERROR(VLOOKUP(M446,'הגדרות'!$A$11:$D$25,2,FALSE),"")</f>
        <v/>
      </c>
      <c r="R446">
        <f>IFERROR(VLOOKUP(M446,'הגדרות'!$A$11:$D$25,3,FALSE),"")</f>
        <v/>
      </c>
      <c r="S446">
        <f>IFERROR(VLOOKUP(N446,'הגדרות'!$A$11:$D$25,2,FALSE),"")</f>
        <v/>
      </c>
      <c r="T446">
        <f>IFERROR(VLOOKUP(N446,'הגדרות'!$A$11:$D$25,3,FALSE),"")</f>
        <v/>
      </c>
      <c r="AB446" s="6" t="n"/>
      <c r="AE446">
        <f>OR(Q446='לוח בקרה'!$B$2,R446='לוח בקרה'!$B$2,S446='לוח בקרה'!$B$2,T446='לוח בקרה'!$B$2)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E447">
        <f>IFERROR(INDEX('הגדרות'!$D$104:$D$123,MATCH(B447&amp;G447&amp;C447,'הגדרות'!$A$104:$A$123&amp;'הגדרות'!$B$104:$B$123&amp;'הגדרות'!$C$104:$C$123,0)),"")</f>
        <v/>
      </c>
      <c r="F447" s="6" t="n"/>
      <c r="Q447">
        <f>IFERROR(VLOOKUP(M447,'הגדרות'!$A$11:$D$25,2,FALSE),"")</f>
        <v/>
      </c>
      <c r="R447">
        <f>IFERROR(VLOOKUP(M447,'הגדרות'!$A$11:$D$25,3,FALSE),"")</f>
        <v/>
      </c>
      <c r="S447">
        <f>IFERROR(VLOOKUP(N447,'הגדרות'!$A$11:$D$25,2,FALSE),"")</f>
        <v/>
      </c>
      <c r="T447">
        <f>IFERROR(VLOOKUP(N447,'הגדרות'!$A$11:$D$25,3,FALSE),"")</f>
        <v/>
      </c>
      <c r="AB447" s="6" t="n"/>
      <c r="AE447">
        <f>OR(Q447='לוח בקרה'!$B$2,R447='לוח בקרה'!$B$2,S447='לוח בקרה'!$B$2,T447='לוח בקרה'!$B$2)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E448">
        <f>IFERROR(INDEX('הגדרות'!$D$104:$D$123,MATCH(B448&amp;G448&amp;C448,'הגדרות'!$A$104:$A$123&amp;'הגדרות'!$B$104:$B$123&amp;'הגדרות'!$C$104:$C$123,0)),"")</f>
        <v/>
      </c>
      <c r="F448" s="6" t="n"/>
      <c r="Q448">
        <f>IFERROR(VLOOKUP(M448,'הגדרות'!$A$11:$D$25,2,FALSE),"")</f>
        <v/>
      </c>
      <c r="R448">
        <f>IFERROR(VLOOKUP(M448,'הגדרות'!$A$11:$D$25,3,FALSE),"")</f>
        <v/>
      </c>
      <c r="S448">
        <f>IFERROR(VLOOKUP(N448,'הגדרות'!$A$11:$D$25,2,FALSE),"")</f>
        <v/>
      </c>
      <c r="T448">
        <f>IFERROR(VLOOKUP(N448,'הגדרות'!$A$11:$D$25,3,FALSE),"")</f>
        <v/>
      </c>
      <c r="AB448" s="6" t="n"/>
      <c r="AE448">
        <f>OR(Q448='לוח בקרה'!$B$2,R448='לוח בקרה'!$B$2,S448='לוח בקרה'!$B$2,T448='לוח בקרה'!$B$2)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E449">
        <f>IFERROR(INDEX('הגדרות'!$D$104:$D$123,MATCH(B449&amp;G449&amp;C449,'הגדרות'!$A$104:$A$123&amp;'הגדרות'!$B$104:$B$123&amp;'הגדרות'!$C$104:$C$123,0)),"")</f>
        <v/>
      </c>
      <c r="F449" s="6" t="n"/>
      <c r="Q449">
        <f>IFERROR(VLOOKUP(M449,'הגדרות'!$A$11:$D$25,2,FALSE),"")</f>
        <v/>
      </c>
      <c r="R449">
        <f>IFERROR(VLOOKUP(M449,'הגדרות'!$A$11:$D$25,3,FALSE),"")</f>
        <v/>
      </c>
      <c r="S449">
        <f>IFERROR(VLOOKUP(N449,'הגדרות'!$A$11:$D$25,2,FALSE),"")</f>
        <v/>
      </c>
      <c r="T449">
        <f>IFERROR(VLOOKUP(N449,'הגדרות'!$A$11:$D$25,3,FALSE),"")</f>
        <v/>
      </c>
      <c r="AB449" s="6" t="n"/>
      <c r="AE449">
        <f>OR(Q449='לוח בקרה'!$B$2,R449='לוח בקרה'!$B$2,S449='לוח בקרה'!$B$2,T449='לוח בקרה'!$B$2)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E450">
        <f>IFERROR(INDEX('הגדרות'!$D$104:$D$123,MATCH(B450&amp;G450&amp;C450,'הגדרות'!$A$104:$A$123&amp;'הגדרות'!$B$104:$B$123&amp;'הגדרות'!$C$104:$C$123,0)),"")</f>
        <v/>
      </c>
      <c r="F450" s="6" t="n"/>
      <c r="Q450">
        <f>IFERROR(VLOOKUP(M450,'הגדרות'!$A$11:$D$25,2,FALSE),"")</f>
        <v/>
      </c>
      <c r="R450">
        <f>IFERROR(VLOOKUP(M450,'הגדרות'!$A$11:$D$25,3,FALSE),"")</f>
        <v/>
      </c>
      <c r="S450">
        <f>IFERROR(VLOOKUP(N450,'הגדרות'!$A$11:$D$25,2,FALSE),"")</f>
        <v/>
      </c>
      <c r="T450">
        <f>IFERROR(VLOOKUP(N450,'הגדרות'!$A$11:$D$25,3,FALSE),"")</f>
        <v/>
      </c>
      <c r="AB450" s="6" t="n"/>
      <c r="AE450">
        <f>OR(Q450='לוח בקרה'!$B$2,R450='לוח בקרה'!$B$2,S450='לוח בקרה'!$B$2,T450='לוח בקרה'!$B$2)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E451">
        <f>IFERROR(INDEX('הגדרות'!$D$104:$D$123,MATCH(B451&amp;G451&amp;C451,'הגדרות'!$A$104:$A$123&amp;'הגדרות'!$B$104:$B$123&amp;'הגדרות'!$C$104:$C$123,0)),"")</f>
        <v/>
      </c>
      <c r="F451" s="6" t="n"/>
      <c r="Q451">
        <f>IFERROR(VLOOKUP(M451,'הגדרות'!$A$11:$D$25,2,FALSE),"")</f>
        <v/>
      </c>
      <c r="R451">
        <f>IFERROR(VLOOKUP(M451,'הגדרות'!$A$11:$D$25,3,FALSE),"")</f>
        <v/>
      </c>
      <c r="S451">
        <f>IFERROR(VLOOKUP(N451,'הגדרות'!$A$11:$D$25,2,FALSE),"")</f>
        <v/>
      </c>
      <c r="T451">
        <f>IFERROR(VLOOKUP(N451,'הגדרות'!$A$11:$D$25,3,FALSE),"")</f>
        <v/>
      </c>
      <c r="AB451" s="6" t="n"/>
      <c r="AE451">
        <f>OR(Q451='לוח בקרה'!$B$2,R451='לוח בקרה'!$B$2,S451='לוח בקרה'!$B$2,T451='לוח בקרה'!$B$2)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E452">
        <f>IFERROR(INDEX('הגדרות'!$D$104:$D$123,MATCH(B452&amp;G452&amp;C452,'הגדרות'!$A$104:$A$123&amp;'הגדרות'!$B$104:$B$123&amp;'הגדרות'!$C$104:$C$123,0)),"")</f>
        <v/>
      </c>
      <c r="F452" s="6" t="n"/>
      <c r="Q452">
        <f>IFERROR(VLOOKUP(M452,'הגדרות'!$A$11:$D$25,2,FALSE),"")</f>
        <v/>
      </c>
      <c r="R452">
        <f>IFERROR(VLOOKUP(M452,'הגדרות'!$A$11:$D$25,3,FALSE),"")</f>
        <v/>
      </c>
      <c r="S452">
        <f>IFERROR(VLOOKUP(N452,'הגדרות'!$A$11:$D$25,2,FALSE),"")</f>
        <v/>
      </c>
      <c r="T452">
        <f>IFERROR(VLOOKUP(N452,'הגדרות'!$A$11:$D$25,3,FALSE),"")</f>
        <v/>
      </c>
      <c r="AB452" s="6" t="n"/>
      <c r="AE452">
        <f>OR(Q452='לוח בקרה'!$B$2,R452='לוח בקרה'!$B$2,S452='לוח בקרה'!$B$2,T452='לוח בקרה'!$B$2)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E453">
        <f>IFERROR(INDEX('הגדרות'!$D$104:$D$123,MATCH(B453&amp;G453&amp;C453,'הגדרות'!$A$104:$A$123&amp;'הגדרות'!$B$104:$B$123&amp;'הגדרות'!$C$104:$C$123,0)),"")</f>
        <v/>
      </c>
      <c r="F453" s="6" t="n"/>
      <c r="Q453">
        <f>IFERROR(VLOOKUP(M453,'הגדרות'!$A$11:$D$25,2,FALSE),"")</f>
        <v/>
      </c>
      <c r="R453">
        <f>IFERROR(VLOOKUP(M453,'הגדרות'!$A$11:$D$25,3,FALSE),"")</f>
        <v/>
      </c>
      <c r="S453">
        <f>IFERROR(VLOOKUP(N453,'הגדרות'!$A$11:$D$25,2,FALSE),"")</f>
        <v/>
      </c>
      <c r="T453">
        <f>IFERROR(VLOOKUP(N453,'הגדרות'!$A$11:$D$25,3,FALSE),"")</f>
        <v/>
      </c>
      <c r="AB453" s="6" t="n"/>
      <c r="AE453">
        <f>OR(Q453='לוח בקרה'!$B$2,R453='לוח בקרה'!$B$2,S453='לוח בקרה'!$B$2,T453='לוח בקרה'!$B$2)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E454">
        <f>IFERROR(INDEX('הגדרות'!$D$104:$D$123,MATCH(B454&amp;G454&amp;C454,'הגדרות'!$A$104:$A$123&amp;'הגדרות'!$B$104:$B$123&amp;'הגדרות'!$C$104:$C$123,0)),"")</f>
        <v/>
      </c>
      <c r="F454" s="6" t="n"/>
      <c r="Q454">
        <f>IFERROR(VLOOKUP(M454,'הגדרות'!$A$11:$D$25,2,FALSE),"")</f>
        <v/>
      </c>
      <c r="R454">
        <f>IFERROR(VLOOKUP(M454,'הגדרות'!$A$11:$D$25,3,FALSE),"")</f>
        <v/>
      </c>
      <c r="S454">
        <f>IFERROR(VLOOKUP(N454,'הגדרות'!$A$11:$D$25,2,FALSE),"")</f>
        <v/>
      </c>
      <c r="T454">
        <f>IFERROR(VLOOKUP(N454,'הגדרות'!$A$11:$D$25,3,FALSE),"")</f>
        <v/>
      </c>
      <c r="AB454" s="6" t="n"/>
      <c r="AE454">
        <f>OR(Q454='לוח בקרה'!$B$2,R454='לוח בקרה'!$B$2,S454='לוח בקרה'!$B$2,T454='לוח בקרה'!$B$2)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E455">
        <f>IFERROR(INDEX('הגדרות'!$D$104:$D$123,MATCH(B455&amp;G455&amp;C455,'הגדרות'!$A$104:$A$123&amp;'הגדרות'!$B$104:$B$123&amp;'הגדרות'!$C$104:$C$123,0)),"")</f>
        <v/>
      </c>
      <c r="F455" s="6" t="n"/>
      <c r="Q455">
        <f>IFERROR(VLOOKUP(M455,'הגדרות'!$A$11:$D$25,2,FALSE),"")</f>
        <v/>
      </c>
      <c r="R455">
        <f>IFERROR(VLOOKUP(M455,'הגדרות'!$A$11:$D$25,3,FALSE),"")</f>
        <v/>
      </c>
      <c r="S455">
        <f>IFERROR(VLOOKUP(N455,'הגדרות'!$A$11:$D$25,2,FALSE),"")</f>
        <v/>
      </c>
      <c r="T455">
        <f>IFERROR(VLOOKUP(N455,'הגדרות'!$A$11:$D$25,3,FALSE),"")</f>
        <v/>
      </c>
      <c r="AB455" s="6" t="n"/>
      <c r="AE455">
        <f>OR(Q455='לוח בקרה'!$B$2,R455='לוח בקרה'!$B$2,S455='לוח בקרה'!$B$2,T455='לוח בקרה'!$B$2)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E456">
        <f>IFERROR(INDEX('הגדרות'!$D$104:$D$123,MATCH(B456&amp;G456&amp;C456,'הגדרות'!$A$104:$A$123&amp;'הגדרות'!$B$104:$B$123&amp;'הגדרות'!$C$104:$C$123,0)),"")</f>
        <v/>
      </c>
      <c r="F456" s="6" t="n"/>
      <c r="Q456">
        <f>IFERROR(VLOOKUP(M456,'הגדרות'!$A$11:$D$25,2,FALSE),"")</f>
        <v/>
      </c>
      <c r="R456">
        <f>IFERROR(VLOOKUP(M456,'הגדרות'!$A$11:$D$25,3,FALSE),"")</f>
        <v/>
      </c>
      <c r="S456">
        <f>IFERROR(VLOOKUP(N456,'הגדרות'!$A$11:$D$25,2,FALSE),"")</f>
        <v/>
      </c>
      <c r="T456">
        <f>IFERROR(VLOOKUP(N456,'הגדרות'!$A$11:$D$25,3,FALSE),"")</f>
        <v/>
      </c>
      <c r="AB456" s="6" t="n"/>
      <c r="AE456">
        <f>OR(Q456='לוח בקרה'!$B$2,R456='לוח בקרה'!$B$2,S456='לוח בקרה'!$B$2,T456='לוח בקרה'!$B$2)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E457">
        <f>IFERROR(INDEX('הגדרות'!$D$104:$D$123,MATCH(B457&amp;G457&amp;C457,'הגדרות'!$A$104:$A$123&amp;'הגדרות'!$B$104:$B$123&amp;'הגדרות'!$C$104:$C$123,0)),"")</f>
        <v/>
      </c>
      <c r="F457" s="6" t="n"/>
      <c r="Q457">
        <f>IFERROR(VLOOKUP(M457,'הגדרות'!$A$11:$D$25,2,FALSE),"")</f>
        <v/>
      </c>
      <c r="R457">
        <f>IFERROR(VLOOKUP(M457,'הגדרות'!$A$11:$D$25,3,FALSE),"")</f>
        <v/>
      </c>
      <c r="S457">
        <f>IFERROR(VLOOKUP(N457,'הגדרות'!$A$11:$D$25,2,FALSE),"")</f>
        <v/>
      </c>
      <c r="T457">
        <f>IFERROR(VLOOKUP(N457,'הגדרות'!$A$11:$D$25,3,FALSE),"")</f>
        <v/>
      </c>
      <c r="AB457" s="6" t="n"/>
      <c r="AE457">
        <f>OR(Q457='לוח בקרה'!$B$2,R457='לוח בקרה'!$B$2,S457='לוח בקרה'!$B$2,T457='לוח בקרה'!$B$2)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E458">
        <f>IFERROR(INDEX('הגדרות'!$D$104:$D$123,MATCH(B458&amp;G458&amp;C458,'הגדרות'!$A$104:$A$123&amp;'הגדרות'!$B$104:$B$123&amp;'הגדרות'!$C$104:$C$123,0)),"")</f>
        <v/>
      </c>
      <c r="F458" s="6" t="n"/>
      <c r="Q458">
        <f>IFERROR(VLOOKUP(M458,'הגדרות'!$A$11:$D$25,2,FALSE),"")</f>
        <v/>
      </c>
      <c r="R458">
        <f>IFERROR(VLOOKUP(M458,'הגדרות'!$A$11:$D$25,3,FALSE),"")</f>
        <v/>
      </c>
      <c r="S458">
        <f>IFERROR(VLOOKUP(N458,'הגדרות'!$A$11:$D$25,2,FALSE),"")</f>
        <v/>
      </c>
      <c r="T458">
        <f>IFERROR(VLOOKUP(N458,'הגדרות'!$A$11:$D$25,3,FALSE),"")</f>
        <v/>
      </c>
      <c r="AB458" s="6" t="n"/>
      <c r="AE458">
        <f>OR(Q458='לוח בקרה'!$B$2,R458='לוח בקרה'!$B$2,S458='לוח בקרה'!$B$2,T458='לוח בקרה'!$B$2)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E459">
        <f>IFERROR(INDEX('הגדרות'!$D$104:$D$123,MATCH(B459&amp;G459&amp;C459,'הגדרות'!$A$104:$A$123&amp;'הגדרות'!$B$104:$B$123&amp;'הגדרות'!$C$104:$C$123,0)),"")</f>
        <v/>
      </c>
      <c r="F459" s="6" t="n"/>
      <c r="Q459">
        <f>IFERROR(VLOOKUP(M459,'הגדרות'!$A$11:$D$25,2,FALSE),"")</f>
        <v/>
      </c>
      <c r="R459">
        <f>IFERROR(VLOOKUP(M459,'הגדרות'!$A$11:$D$25,3,FALSE),"")</f>
        <v/>
      </c>
      <c r="S459">
        <f>IFERROR(VLOOKUP(N459,'הגדרות'!$A$11:$D$25,2,FALSE),"")</f>
        <v/>
      </c>
      <c r="T459">
        <f>IFERROR(VLOOKUP(N459,'הגדרות'!$A$11:$D$25,3,FALSE),"")</f>
        <v/>
      </c>
      <c r="AB459" s="6" t="n"/>
      <c r="AE459">
        <f>OR(Q459='לוח בקרה'!$B$2,R459='לוח בקרה'!$B$2,S459='לוח בקרה'!$B$2,T459='לוח בקרה'!$B$2)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E460">
        <f>IFERROR(INDEX('הגדרות'!$D$104:$D$123,MATCH(B460&amp;G460&amp;C460,'הגדרות'!$A$104:$A$123&amp;'הגדרות'!$B$104:$B$123&amp;'הגדרות'!$C$104:$C$123,0)),"")</f>
        <v/>
      </c>
      <c r="F460" s="6" t="n"/>
      <c r="Q460">
        <f>IFERROR(VLOOKUP(M460,'הגדרות'!$A$11:$D$25,2,FALSE),"")</f>
        <v/>
      </c>
      <c r="R460">
        <f>IFERROR(VLOOKUP(M460,'הגדרות'!$A$11:$D$25,3,FALSE),"")</f>
        <v/>
      </c>
      <c r="S460">
        <f>IFERROR(VLOOKUP(N460,'הגדרות'!$A$11:$D$25,2,FALSE),"")</f>
        <v/>
      </c>
      <c r="T460">
        <f>IFERROR(VLOOKUP(N460,'הגדרות'!$A$11:$D$25,3,FALSE),"")</f>
        <v/>
      </c>
      <c r="AB460" s="6" t="n"/>
      <c r="AE460">
        <f>OR(Q460='לוח בקרה'!$B$2,R460='לוח בקרה'!$B$2,S460='לוח בקרה'!$B$2,T460='לוח בקרה'!$B$2)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E461">
        <f>IFERROR(INDEX('הגדרות'!$D$104:$D$123,MATCH(B461&amp;G461&amp;C461,'הגדרות'!$A$104:$A$123&amp;'הגדרות'!$B$104:$B$123&amp;'הגדרות'!$C$104:$C$123,0)),"")</f>
        <v/>
      </c>
      <c r="F461" s="6" t="n"/>
      <c r="Q461">
        <f>IFERROR(VLOOKUP(M461,'הגדרות'!$A$11:$D$25,2,FALSE),"")</f>
        <v/>
      </c>
      <c r="R461">
        <f>IFERROR(VLOOKUP(M461,'הגדרות'!$A$11:$D$25,3,FALSE),"")</f>
        <v/>
      </c>
      <c r="S461">
        <f>IFERROR(VLOOKUP(N461,'הגדרות'!$A$11:$D$25,2,FALSE),"")</f>
        <v/>
      </c>
      <c r="T461">
        <f>IFERROR(VLOOKUP(N461,'הגדרות'!$A$11:$D$25,3,FALSE),"")</f>
        <v/>
      </c>
      <c r="AB461" s="6" t="n"/>
      <c r="AE461">
        <f>OR(Q461='לוח בקרה'!$B$2,R461='לוח בקרה'!$B$2,S461='לוח בקרה'!$B$2,T461='לוח בקרה'!$B$2)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E462">
        <f>IFERROR(INDEX('הגדרות'!$D$104:$D$123,MATCH(B462&amp;G462&amp;C462,'הגדרות'!$A$104:$A$123&amp;'הגדרות'!$B$104:$B$123&amp;'הגדרות'!$C$104:$C$123,0)),"")</f>
        <v/>
      </c>
      <c r="F462" s="6" t="n"/>
      <c r="Q462">
        <f>IFERROR(VLOOKUP(M462,'הגדרות'!$A$11:$D$25,2,FALSE),"")</f>
        <v/>
      </c>
      <c r="R462">
        <f>IFERROR(VLOOKUP(M462,'הגדרות'!$A$11:$D$25,3,FALSE),"")</f>
        <v/>
      </c>
      <c r="S462">
        <f>IFERROR(VLOOKUP(N462,'הגדרות'!$A$11:$D$25,2,FALSE),"")</f>
        <v/>
      </c>
      <c r="T462">
        <f>IFERROR(VLOOKUP(N462,'הגדרות'!$A$11:$D$25,3,FALSE),"")</f>
        <v/>
      </c>
      <c r="AB462" s="6" t="n"/>
      <c r="AE462">
        <f>OR(Q462='לוח בקרה'!$B$2,R462='לוח בקרה'!$B$2,S462='לוח בקרה'!$B$2,T462='לוח בקרה'!$B$2)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E463">
        <f>IFERROR(INDEX('הגדרות'!$D$104:$D$123,MATCH(B463&amp;G463&amp;C463,'הגדרות'!$A$104:$A$123&amp;'הגדרות'!$B$104:$B$123&amp;'הגדרות'!$C$104:$C$123,0)),"")</f>
        <v/>
      </c>
      <c r="F463" s="6" t="n"/>
      <c r="Q463">
        <f>IFERROR(VLOOKUP(M463,'הגדרות'!$A$11:$D$25,2,FALSE),"")</f>
        <v/>
      </c>
      <c r="R463">
        <f>IFERROR(VLOOKUP(M463,'הגדרות'!$A$11:$D$25,3,FALSE),"")</f>
        <v/>
      </c>
      <c r="S463">
        <f>IFERROR(VLOOKUP(N463,'הגדרות'!$A$11:$D$25,2,FALSE),"")</f>
        <v/>
      </c>
      <c r="T463">
        <f>IFERROR(VLOOKUP(N463,'הגדרות'!$A$11:$D$25,3,FALSE),"")</f>
        <v/>
      </c>
      <c r="AB463" s="6" t="n"/>
      <c r="AE463">
        <f>OR(Q463='לוח בקרה'!$B$2,R463='לוח בקרה'!$B$2,S463='לוח בקרה'!$B$2,T463='לוח בקרה'!$B$2)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E464">
        <f>IFERROR(INDEX('הגדרות'!$D$104:$D$123,MATCH(B464&amp;G464&amp;C464,'הגדרות'!$A$104:$A$123&amp;'הגדרות'!$B$104:$B$123&amp;'הגדרות'!$C$104:$C$123,0)),"")</f>
        <v/>
      </c>
      <c r="F464" s="6" t="n"/>
      <c r="Q464">
        <f>IFERROR(VLOOKUP(M464,'הגדרות'!$A$11:$D$25,2,FALSE),"")</f>
        <v/>
      </c>
      <c r="R464">
        <f>IFERROR(VLOOKUP(M464,'הגדרות'!$A$11:$D$25,3,FALSE),"")</f>
        <v/>
      </c>
      <c r="S464">
        <f>IFERROR(VLOOKUP(N464,'הגדרות'!$A$11:$D$25,2,FALSE),"")</f>
        <v/>
      </c>
      <c r="T464">
        <f>IFERROR(VLOOKUP(N464,'הגדרות'!$A$11:$D$25,3,FALSE),"")</f>
        <v/>
      </c>
      <c r="AB464" s="6" t="n"/>
      <c r="AE464">
        <f>OR(Q464='לוח בקרה'!$B$2,R464='לוח בקרה'!$B$2,S464='לוח בקרה'!$B$2,T464='לוח בקרה'!$B$2)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E465">
        <f>IFERROR(INDEX('הגדרות'!$D$104:$D$123,MATCH(B465&amp;G465&amp;C465,'הגדרות'!$A$104:$A$123&amp;'הגדרות'!$B$104:$B$123&amp;'הגדרות'!$C$104:$C$123,0)),"")</f>
        <v/>
      </c>
      <c r="F465" s="6" t="n"/>
      <c r="Q465">
        <f>IFERROR(VLOOKUP(M465,'הגדרות'!$A$11:$D$25,2,FALSE),"")</f>
        <v/>
      </c>
      <c r="R465">
        <f>IFERROR(VLOOKUP(M465,'הגדרות'!$A$11:$D$25,3,FALSE),"")</f>
        <v/>
      </c>
      <c r="S465">
        <f>IFERROR(VLOOKUP(N465,'הגדרות'!$A$11:$D$25,2,FALSE),"")</f>
        <v/>
      </c>
      <c r="T465">
        <f>IFERROR(VLOOKUP(N465,'הגדרות'!$A$11:$D$25,3,FALSE),"")</f>
        <v/>
      </c>
      <c r="AB465" s="6" t="n"/>
      <c r="AE465">
        <f>OR(Q465='לוח בקרה'!$B$2,R465='לוח בקרה'!$B$2,S465='לוח בקרה'!$B$2,T465='לוח בקרה'!$B$2)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E466">
        <f>IFERROR(INDEX('הגדרות'!$D$104:$D$123,MATCH(B466&amp;G466&amp;C466,'הגדרות'!$A$104:$A$123&amp;'הגדרות'!$B$104:$B$123&amp;'הגדרות'!$C$104:$C$123,0)),"")</f>
        <v/>
      </c>
      <c r="F466" s="6" t="n"/>
      <c r="Q466">
        <f>IFERROR(VLOOKUP(M466,'הגדרות'!$A$11:$D$25,2,FALSE),"")</f>
        <v/>
      </c>
      <c r="R466">
        <f>IFERROR(VLOOKUP(M466,'הגדרות'!$A$11:$D$25,3,FALSE),"")</f>
        <v/>
      </c>
      <c r="S466">
        <f>IFERROR(VLOOKUP(N466,'הגדרות'!$A$11:$D$25,2,FALSE),"")</f>
        <v/>
      </c>
      <c r="T466">
        <f>IFERROR(VLOOKUP(N466,'הגדרות'!$A$11:$D$25,3,FALSE),"")</f>
        <v/>
      </c>
      <c r="AB466" s="6" t="n"/>
      <c r="AE466">
        <f>OR(Q466='לוח בקרה'!$B$2,R466='לוח בקרה'!$B$2,S466='לוח בקרה'!$B$2,T466='לוח בקרה'!$B$2)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E467">
        <f>IFERROR(INDEX('הגדרות'!$D$104:$D$123,MATCH(B467&amp;G467&amp;C467,'הגדרות'!$A$104:$A$123&amp;'הגדרות'!$B$104:$B$123&amp;'הגדרות'!$C$104:$C$123,0)),"")</f>
        <v/>
      </c>
      <c r="F467" s="6" t="n"/>
      <c r="Q467">
        <f>IFERROR(VLOOKUP(M467,'הגדרות'!$A$11:$D$25,2,FALSE),"")</f>
        <v/>
      </c>
      <c r="R467">
        <f>IFERROR(VLOOKUP(M467,'הגדרות'!$A$11:$D$25,3,FALSE),"")</f>
        <v/>
      </c>
      <c r="S467">
        <f>IFERROR(VLOOKUP(N467,'הגדרות'!$A$11:$D$25,2,FALSE),"")</f>
        <v/>
      </c>
      <c r="T467">
        <f>IFERROR(VLOOKUP(N467,'הגדרות'!$A$11:$D$25,3,FALSE),"")</f>
        <v/>
      </c>
      <c r="AB467" s="6" t="n"/>
      <c r="AE467">
        <f>OR(Q467='לוח בקרה'!$B$2,R467='לוח בקרה'!$B$2,S467='לוח בקרה'!$B$2,T467='לוח בקרה'!$B$2)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E468">
        <f>IFERROR(INDEX('הגדרות'!$D$104:$D$123,MATCH(B468&amp;G468&amp;C468,'הגדרות'!$A$104:$A$123&amp;'הגדרות'!$B$104:$B$123&amp;'הגדרות'!$C$104:$C$123,0)),"")</f>
        <v/>
      </c>
      <c r="F468" s="6" t="n"/>
      <c r="Q468">
        <f>IFERROR(VLOOKUP(M468,'הגדרות'!$A$11:$D$25,2,FALSE),"")</f>
        <v/>
      </c>
      <c r="R468">
        <f>IFERROR(VLOOKUP(M468,'הגדרות'!$A$11:$D$25,3,FALSE),"")</f>
        <v/>
      </c>
      <c r="S468">
        <f>IFERROR(VLOOKUP(N468,'הגדרות'!$A$11:$D$25,2,FALSE),"")</f>
        <v/>
      </c>
      <c r="T468">
        <f>IFERROR(VLOOKUP(N468,'הגדרות'!$A$11:$D$25,3,FALSE),"")</f>
        <v/>
      </c>
      <c r="AB468" s="6" t="n"/>
      <c r="AE468">
        <f>OR(Q468='לוח בקרה'!$B$2,R468='לוח בקרה'!$B$2,S468='לוח בקרה'!$B$2,T468='לוח בקרה'!$B$2)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E469">
        <f>IFERROR(INDEX('הגדרות'!$D$104:$D$123,MATCH(B469&amp;G469&amp;C469,'הגדרות'!$A$104:$A$123&amp;'הגדרות'!$B$104:$B$123&amp;'הגדרות'!$C$104:$C$123,0)),"")</f>
        <v/>
      </c>
      <c r="F469" s="6" t="n"/>
      <c r="Q469">
        <f>IFERROR(VLOOKUP(M469,'הגדרות'!$A$11:$D$25,2,FALSE),"")</f>
        <v/>
      </c>
      <c r="R469">
        <f>IFERROR(VLOOKUP(M469,'הגדרות'!$A$11:$D$25,3,FALSE),"")</f>
        <v/>
      </c>
      <c r="S469">
        <f>IFERROR(VLOOKUP(N469,'הגדרות'!$A$11:$D$25,2,FALSE),"")</f>
        <v/>
      </c>
      <c r="T469">
        <f>IFERROR(VLOOKUP(N469,'הגדרות'!$A$11:$D$25,3,FALSE),"")</f>
        <v/>
      </c>
      <c r="AB469" s="6" t="n"/>
      <c r="AE469">
        <f>OR(Q469='לוח בקרה'!$B$2,R469='לוח בקרה'!$B$2,S469='לוח בקרה'!$B$2,T469='לוח בקרה'!$B$2)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E470">
        <f>IFERROR(INDEX('הגדרות'!$D$104:$D$123,MATCH(B470&amp;G470&amp;C470,'הגדרות'!$A$104:$A$123&amp;'הגדרות'!$B$104:$B$123&amp;'הגדרות'!$C$104:$C$123,0)),"")</f>
        <v/>
      </c>
      <c r="F470" s="6" t="n"/>
      <c r="Q470">
        <f>IFERROR(VLOOKUP(M470,'הגדרות'!$A$11:$D$25,2,FALSE),"")</f>
        <v/>
      </c>
      <c r="R470">
        <f>IFERROR(VLOOKUP(M470,'הגדרות'!$A$11:$D$25,3,FALSE),"")</f>
        <v/>
      </c>
      <c r="S470">
        <f>IFERROR(VLOOKUP(N470,'הגדרות'!$A$11:$D$25,2,FALSE),"")</f>
        <v/>
      </c>
      <c r="T470">
        <f>IFERROR(VLOOKUP(N470,'הגדרות'!$A$11:$D$25,3,FALSE),"")</f>
        <v/>
      </c>
      <c r="AB470" s="6" t="n"/>
      <c r="AE470">
        <f>OR(Q470='לוח בקרה'!$B$2,R470='לוח בקרה'!$B$2,S470='לוח בקרה'!$B$2,T470='לוח בקרה'!$B$2)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E471">
        <f>IFERROR(INDEX('הגדרות'!$D$104:$D$123,MATCH(B471&amp;G471&amp;C471,'הגדרות'!$A$104:$A$123&amp;'הגדרות'!$B$104:$B$123&amp;'הגדרות'!$C$104:$C$123,0)),"")</f>
        <v/>
      </c>
      <c r="F471" s="6" t="n"/>
      <c r="Q471">
        <f>IFERROR(VLOOKUP(M471,'הגדרות'!$A$11:$D$25,2,FALSE),"")</f>
        <v/>
      </c>
      <c r="R471">
        <f>IFERROR(VLOOKUP(M471,'הגדרות'!$A$11:$D$25,3,FALSE),"")</f>
        <v/>
      </c>
      <c r="S471">
        <f>IFERROR(VLOOKUP(N471,'הגדרות'!$A$11:$D$25,2,FALSE),"")</f>
        <v/>
      </c>
      <c r="T471">
        <f>IFERROR(VLOOKUP(N471,'הגדרות'!$A$11:$D$25,3,FALSE),"")</f>
        <v/>
      </c>
      <c r="AB471" s="6" t="n"/>
      <c r="AE471">
        <f>OR(Q471='לוח בקרה'!$B$2,R471='לוח בקרה'!$B$2,S471='לוח בקרה'!$B$2,T471='לוח בקרה'!$B$2)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E472">
        <f>IFERROR(INDEX('הגדרות'!$D$104:$D$123,MATCH(B472&amp;G472&amp;C472,'הגדרות'!$A$104:$A$123&amp;'הגדרות'!$B$104:$B$123&amp;'הגדרות'!$C$104:$C$123,0)),"")</f>
        <v/>
      </c>
      <c r="F472" s="6" t="n"/>
      <c r="Q472">
        <f>IFERROR(VLOOKUP(M472,'הגדרות'!$A$11:$D$25,2,FALSE),"")</f>
        <v/>
      </c>
      <c r="R472">
        <f>IFERROR(VLOOKUP(M472,'הגדרות'!$A$11:$D$25,3,FALSE),"")</f>
        <v/>
      </c>
      <c r="S472">
        <f>IFERROR(VLOOKUP(N472,'הגדרות'!$A$11:$D$25,2,FALSE),"")</f>
        <v/>
      </c>
      <c r="T472">
        <f>IFERROR(VLOOKUP(N472,'הגדרות'!$A$11:$D$25,3,FALSE),"")</f>
        <v/>
      </c>
      <c r="AB472" s="6" t="n"/>
      <c r="AE472">
        <f>OR(Q472='לוח בקרה'!$B$2,R472='לוח בקרה'!$B$2,S472='לוח בקרה'!$B$2,T472='לוח בקרה'!$B$2)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E473">
        <f>IFERROR(INDEX('הגדרות'!$D$104:$D$123,MATCH(B473&amp;G473&amp;C473,'הגדרות'!$A$104:$A$123&amp;'הגדרות'!$B$104:$B$123&amp;'הגדרות'!$C$104:$C$123,0)),"")</f>
        <v/>
      </c>
      <c r="F473" s="6" t="n"/>
      <c r="Q473">
        <f>IFERROR(VLOOKUP(M473,'הגדרות'!$A$11:$D$25,2,FALSE),"")</f>
        <v/>
      </c>
      <c r="R473">
        <f>IFERROR(VLOOKUP(M473,'הגדרות'!$A$11:$D$25,3,FALSE),"")</f>
        <v/>
      </c>
      <c r="S473">
        <f>IFERROR(VLOOKUP(N473,'הגדרות'!$A$11:$D$25,2,FALSE),"")</f>
        <v/>
      </c>
      <c r="T473">
        <f>IFERROR(VLOOKUP(N473,'הגדרות'!$A$11:$D$25,3,FALSE),"")</f>
        <v/>
      </c>
      <c r="AB473" s="6" t="n"/>
      <c r="AE473">
        <f>OR(Q473='לוח בקרה'!$B$2,R473='לוח בקרה'!$B$2,S473='לוח בקרה'!$B$2,T473='לוח בקרה'!$B$2)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E474">
        <f>IFERROR(INDEX('הגדרות'!$D$104:$D$123,MATCH(B474&amp;G474&amp;C474,'הגדרות'!$A$104:$A$123&amp;'הגדרות'!$B$104:$B$123&amp;'הגדרות'!$C$104:$C$123,0)),"")</f>
        <v/>
      </c>
      <c r="F474" s="6" t="n"/>
      <c r="Q474">
        <f>IFERROR(VLOOKUP(M474,'הגדרות'!$A$11:$D$25,2,FALSE),"")</f>
        <v/>
      </c>
      <c r="R474">
        <f>IFERROR(VLOOKUP(M474,'הגדרות'!$A$11:$D$25,3,FALSE),"")</f>
        <v/>
      </c>
      <c r="S474">
        <f>IFERROR(VLOOKUP(N474,'הגדרות'!$A$11:$D$25,2,FALSE),"")</f>
        <v/>
      </c>
      <c r="T474">
        <f>IFERROR(VLOOKUP(N474,'הגדרות'!$A$11:$D$25,3,FALSE),"")</f>
        <v/>
      </c>
      <c r="AB474" s="6" t="n"/>
      <c r="AE474">
        <f>OR(Q474='לוח בקרה'!$B$2,R474='לוח בקרה'!$B$2,S474='לוח בקרה'!$B$2,T474='לוח בקרה'!$B$2)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E475">
        <f>IFERROR(INDEX('הגדרות'!$D$104:$D$123,MATCH(B475&amp;G475&amp;C475,'הגדרות'!$A$104:$A$123&amp;'הגדרות'!$B$104:$B$123&amp;'הגדרות'!$C$104:$C$123,0)),"")</f>
        <v/>
      </c>
      <c r="F475" s="6" t="n"/>
      <c r="Q475">
        <f>IFERROR(VLOOKUP(M475,'הגדרות'!$A$11:$D$25,2,FALSE),"")</f>
        <v/>
      </c>
      <c r="R475">
        <f>IFERROR(VLOOKUP(M475,'הגדרות'!$A$11:$D$25,3,FALSE),"")</f>
        <v/>
      </c>
      <c r="S475">
        <f>IFERROR(VLOOKUP(N475,'הגדרות'!$A$11:$D$25,2,FALSE),"")</f>
        <v/>
      </c>
      <c r="T475">
        <f>IFERROR(VLOOKUP(N475,'הגדרות'!$A$11:$D$25,3,FALSE),"")</f>
        <v/>
      </c>
      <c r="AB475" s="6" t="n"/>
      <c r="AE475">
        <f>OR(Q475='לוח בקרה'!$B$2,R475='לוח בקרה'!$B$2,S475='לוח בקרה'!$B$2,T475='לוח בקרה'!$B$2)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E476">
        <f>IFERROR(INDEX('הגדרות'!$D$104:$D$123,MATCH(B476&amp;G476&amp;C476,'הגדרות'!$A$104:$A$123&amp;'הגדרות'!$B$104:$B$123&amp;'הגדרות'!$C$104:$C$123,0)),"")</f>
        <v/>
      </c>
      <c r="F476" s="6" t="n"/>
      <c r="Q476">
        <f>IFERROR(VLOOKUP(M476,'הגדרות'!$A$11:$D$25,2,FALSE),"")</f>
        <v/>
      </c>
      <c r="R476">
        <f>IFERROR(VLOOKUP(M476,'הגדרות'!$A$11:$D$25,3,FALSE),"")</f>
        <v/>
      </c>
      <c r="S476">
        <f>IFERROR(VLOOKUP(N476,'הגדרות'!$A$11:$D$25,2,FALSE),"")</f>
        <v/>
      </c>
      <c r="T476">
        <f>IFERROR(VLOOKUP(N476,'הגדרות'!$A$11:$D$25,3,FALSE),"")</f>
        <v/>
      </c>
      <c r="AB476" s="6" t="n"/>
      <c r="AE476">
        <f>OR(Q476='לוח בקרה'!$B$2,R476='לוח בקרה'!$B$2,S476='לוח בקרה'!$B$2,T476='לוח בקרה'!$B$2)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E477">
        <f>IFERROR(INDEX('הגדרות'!$D$104:$D$123,MATCH(B477&amp;G477&amp;C477,'הגדרות'!$A$104:$A$123&amp;'הגדרות'!$B$104:$B$123&amp;'הגדרות'!$C$104:$C$123,0)),"")</f>
        <v/>
      </c>
      <c r="F477" s="6" t="n"/>
      <c r="Q477">
        <f>IFERROR(VLOOKUP(M477,'הגדרות'!$A$11:$D$25,2,FALSE),"")</f>
        <v/>
      </c>
      <c r="R477">
        <f>IFERROR(VLOOKUP(M477,'הגדרות'!$A$11:$D$25,3,FALSE),"")</f>
        <v/>
      </c>
      <c r="S477">
        <f>IFERROR(VLOOKUP(N477,'הגדרות'!$A$11:$D$25,2,FALSE),"")</f>
        <v/>
      </c>
      <c r="T477">
        <f>IFERROR(VLOOKUP(N477,'הגדרות'!$A$11:$D$25,3,FALSE),"")</f>
        <v/>
      </c>
      <c r="AB477" s="6" t="n"/>
      <c r="AE477">
        <f>OR(Q477='לוח בקרה'!$B$2,R477='לוח בקרה'!$B$2,S477='לוח בקרה'!$B$2,T477='לוח בקרה'!$B$2)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E478">
        <f>IFERROR(INDEX('הגדרות'!$D$104:$D$123,MATCH(B478&amp;G478&amp;C478,'הגדרות'!$A$104:$A$123&amp;'הגדרות'!$B$104:$B$123&amp;'הגדרות'!$C$104:$C$123,0)),"")</f>
        <v/>
      </c>
      <c r="F478" s="6" t="n"/>
      <c r="Q478">
        <f>IFERROR(VLOOKUP(M478,'הגדרות'!$A$11:$D$25,2,FALSE),"")</f>
        <v/>
      </c>
      <c r="R478">
        <f>IFERROR(VLOOKUP(M478,'הגדרות'!$A$11:$D$25,3,FALSE),"")</f>
        <v/>
      </c>
      <c r="S478">
        <f>IFERROR(VLOOKUP(N478,'הגדרות'!$A$11:$D$25,2,FALSE),"")</f>
        <v/>
      </c>
      <c r="T478">
        <f>IFERROR(VLOOKUP(N478,'הגדרות'!$A$11:$D$25,3,FALSE),"")</f>
        <v/>
      </c>
      <c r="AB478" s="6" t="n"/>
      <c r="AE478">
        <f>OR(Q478='לוח בקרה'!$B$2,R478='לוח בקרה'!$B$2,S478='לוח בקרה'!$B$2,T478='לוח בקרה'!$B$2)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E479">
        <f>IFERROR(INDEX('הגדרות'!$D$104:$D$123,MATCH(B479&amp;G479&amp;C479,'הגדרות'!$A$104:$A$123&amp;'הגדרות'!$B$104:$B$123&amp;'הגדרות'!$C$104:$C$123,0)),"")</f>
        <v/>
      </c>
      <c r="F479" s="6" t="n"/>
      <c r="Q479">
        <f>IFERROR(VLOOKUP(M479,'הגדרות'!$A$11:$D$25,2,FALSE),"")</f>
        <v/>
      </c>
      <c r="R479">
        <f>IFERROR(VLOOKUP(M479,'הגדרות'!$A$11:$D$25,3,FALSE),"")</f>
        <v/>
      </c>
      <c r="S479">
        <f>IFERROR(VLOOKUP(N479,'הגדרות'!$A$11:$D$25,2,FALSE),"")</f>
        <v/>
      </c>
      <c r="T479">
        <f>IFERROR(VLOOKUP(N479,'הגדרות'!$A$11:$D$25,3,FALSE),"")</f>
        <v/>
      </c>
      <c r="AB479" s="6" t="n"/>
      <c r="AE479">
        <f>OR(Q479='לוח בקרה'!$B$2,R479='לוח בקרה'!$B$2,S479='לוח בקרה'!$B$2,T479='לוח בקרה'!$B$2)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E480">
        <f>IFERROR(INDEX('הגדרות'!$D$104:$D$123,MATCH(B480&amp;G480&amp;C480,'הגדרות'!$A$104:$A$123&amp;'הגדרות'!$B$104:$B$123&amp;'הגדרות'!$C$104:$C$123,0)),"")</f>
        <v/>
      </c>
      <c r="F480" s="6" t="n"/>
      <c r="Q480">
        <f>IFERROR(VLOOKUP(M480,'הגדרות'!$A$11:$D$25,2,FALSE),"")</f>
        <v/>
      </c>
      <c r="R480">
        <f>IFERROR(VLOOKUP(M480,'הגדרות'!$A$11:$D$25,3,FALSE),"")</f>
        <v/>
      </c>
      <c r="S480">
        <f>IFERROR(VLOOKUP(N480,'הגדרות'!$A$11:$D$25,2,FALSE),"")</f>
        <v/>
      </c>
      <c r="T480">
        <f>IFERROR(VLOOKUP(N480,'הגדרות'!$A$11:$D$25,3,FALSE),"")</f>
        <v/>
      </c>
      <c r="AB480" s="6" t="n"/>
      <c r="AE480">
        <f>OR(Q480='לוח בקרה'!$B$2,R480='לוח בקרה'!$B$2,S480='לוח בקרה'!$B$2,T480='לוח בקרה'!$B$2)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E481">
        <f>IFERROR(INDEX('הגדרות'!$D$104:$D$123,MATCH(B481&amp;G481&amp;C481,'הגדרות'!$A$104:$A$123&amp;'הגדרות'!$B$104:$B$123&amp;'הגדרות'!$C$104:$C$123,0)),"")</f>
        <v/>
      </c>
      <c r="F481" s="6" t="n"/>
      <c r="Q481">
        <f>IFERROR(VLOOKUP(M481,'הגדרות'!$A$11:$D$25,2,FALSE),"")</f>
        <v/>
      </c>
      <c r="R481">
        <f>IFERROR(VLOOKUP(M481,'הגדרות'!$A$11:$D$25,3,FALSE),"")</f>
        <v/>
      </c>
      <c r="S481">
        <f>IFERROR(VLOOKUP(N481,'הגדרות'!$A$11:$D$25,2,FALSE),"")</f>
        <v/>
      </c>
      <c r="T481">
        <f>IFERROR(VLOOKUP(N481,'הגדרות'!$A$11:$D$25,3,FALSE),"")</f>
        <v/>
      </c>
      <c r="AB481" s="6" t="n"/>
      <c r="AE481">
        <f>OR(Q481='לוח בקרה'!$B$2,R481='לוח בקרה'!$B$2,S481='לוח בקרה'!$B$2,T481='לוח בקרה'!$B$2)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E482">
        <f>IFERROR(INDEX('הגדרות'!$D$104:$D$123,MATCH(B482&amp;G482&amp;C482,'הגדרות'!$A$104:$A$123&amp;'הגדרות'!$B$104:$B$123&amp;'הגדרות'!$C$104:$C$123,0)),"")</f>
        <v/>
      </c>
      <c r="F482" s="6" t="n"/>
      <c r="Q482">
        <f>IFERROR(VLOOKUP(M482,'הגדרות'!$A$11:$D$25,2,FALSE),"")</f>
        <v/>
      </c>
      <c r="R482">
        <f>IFERROR(VLOOKUP(M482,'הגדרות'!$A$11:$D$25,3,FALSE),"")</f>
        <v/>
      </c>
      <c r="S482">
        <f>IFERROR(VLOOKUP(N482,'הגדרות'!$A$11:$D$25,2,FALSE),"")</f>
        <v/>
      </c>
      <c r="T482">
        <f>IFERROR(VLOOKUP(N482,'הגדרות'!$A$11:$D$25,3,FALSE),"")</f>
        <v/>
      </c>
      <c r="AB482" s="6" t="n"/>
      <c r="AE482">
        <f>OR(Q482='לוח בקרה'!$B$2,R482='לוח בקרה'!$B$2,S482='לוח בקרה'!$B$2,T482='לוח בקרה'!$B$2)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E483">
        <f>IFERROR(INDEX('הגדרות'!$D$104:$D$123,MATCH(B483&amp;G483&amp;C483,'הגדרות'!$A$104:$A$123&amp;'הגדרות'!$B$104:$B$123&amp;'הגדרות'!$C$104:$C$123,0)),"")</f>
        <v/>
      </c>
      <c r="F483" s="6" t="n"/>
      <c r="Q483">
        <f>IFERROR(VLOOKUP(M483,'הגדרות'!$A$11:$D$25,2,FALSE),"")</f>
        <v/>
      </c>
      <c r="R483">
        <f>IFERROR(VLOOKUP(M483,'הגדרות'!$A$11:$D$25,3,FALSE),"")</f>
        <v/>
      </c>
      <c r="S483">
        <f>IFERROR(VLOOKUP(N483,'הגדרות'!$A$11:$D$25,2,FALSE),"")</f>
        <v/>
      </c>
      <c r="T483">
        <f>IFERROR(VLOOKUP(N483,'הגדרות'!$A$11:$D$25,3,FALSE),"")</f>
        <v/>
      </c>
      <c r="AB483" s="6" t="n"/>
      <c r="AE483">
        <f>OR(Q483='לוח בקרה'!$B$2,R483='לוח בקרה'!$B$2,S483='לוח בקרה'!$B$2,T483='לוח בקרה'!$B$2)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E484">
        <f>IFERROR(INDEX('הגדרות'!$D$104:$D$123,MATCH(B484&amp;G484&amp;C484,'הגדרות'!$A$104:$A$123&amp;'הגדרות'!$B$104:$B$123&amp;'הגדרות'!$C$104:$C$123,0)),"")</f>
        <v/>
      </c>
      <c r="F484" s="6" t="n"/>
      <c r="Q484">
        <f>IFERROR(VLOOKUP(M484,'הגדרות'!$A$11:$D$25,2,FALSE),"")</f>
        <v/>
      </c>
      <c r="R484">
        <f>IFERROR(VLOOKUP(M484,'הגדרות'!$A$11:$D$25,3,FALSE),"")</f>
        <v/>
      </c>
      <c r="S484">
        <f>IFERROR(VLOOKUP(N484,'הגדרות'!$A$11:$D$25,2,FALSE),"")</f>
        <v/>
      </c>
      <c r="T484">
        <f>IFERROR(VLOOKUP(N484,'הגדרות'!$A$11:$D$25,3,FALSE),"")</f>
        <v/>
      </c>
      <c r="AB484" s="6" t="n"/>
      <c r="AE484">
        <f>OR(Q484='לוח בקרה'!$B$2,R484='לוח בקרה'!$B$2,S484='לוח בקרה'!$B$2,T484='לוח בקרה'!$B$2)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E485">
        <f>IFERROR(INDEX('הגדרות'!$D$104:$D$123,MATCH(B485&amp;G485&amp;C485,'הגדרות'!$A$104:$A$123&amp;'הגדרות'!$B$104:$B$123&amp;'הגדרות'!$C$104:$C$123,0)),"")</f>
        <v/>
      </c>
      <c r="F485" s="6" t="n"/>
      <c r="Q485">
        <f>IFERROR(VLOOKUP(M485,'הגדרות'!$A$11:$D$25,2,FALSE),"")</f>
        <v/>
      </c>
      <c r="R485">
        <f>IFERROR(VLOOKUP(M485,'הגדרות'!$A$11:$D$25,3,FALSE),"")</f>
        <v/>
      </c>
      <c r="S485">
        <f>IFERROR(VLOOKUP(N485,'הגדרות'!$A$11:$D$25,2,FALSE),"")</f>
        <v/>
      </c>
      <c r="T485">
        <f>IFERROR(VLOOKUP(N485,'הגדרות'!$A$11:$D$25,3,FALSE),"")</f>
        <v/>
      </c>
      <c r="AB485" s="6" t="n"/>
      <c r="AE485">
        <f>OR(Q485='לוח בקרה'!$B$2,R485='לוח בקרה'!$B$2,S485='לוח בקרה'!$B$2,T485='לוח בקרה'!$B$2)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E486">
        <f>IFERROR(INDEX('הגדרות'!$D$104:$D$123,MATCH(B486&amp;G486&amp;C486,'הגדרות'!$A$104:$A$123&amp;'הגדרות'!$B$104:$B$123&amp;'הגדרות'!$C$104:$C$123,0)),"")</f>
        <v/>
      </c>
      <c r="F486" s="6" t="n"/>
      <c r="Q486">
        <f>IFERROR(VLOOKUP(M486,'הגדרות'!$A$11:$D$25,2,FALSE),"")</f>
        <v/>
      </c>
      <c r="R486">
        <f>IFERROR(VLOOKUP(M486,'הגדרות'!$A$11:$D$25,3,FALSE),"")</f>
        <v/>
      </c>
      <c r="S486">
        <f>IFERROR(VLOOKUP(N486,'הגדרות'!$A$11:$D$25,2,FALSE),"")</f>
        <v/>
      </c>
      <c r="T486">
        <f>IFERROR(VLOOKUP(N486,'הגדרות'!$A$11:$D$25,3,FALSE),"")</f>
        <v/>
      </c>
      <c r="AB486" s="6" t="n"/>
      <c r="AE486">
        <f>OR(Q486='לוח בקרה'!$B$2,R486='לוח בקרה'!$B$2,S486='לוח בקרה'!$B$2,T486='לוח בקרה'!$B$2)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E487">
        <f>IFERROR(INDEX('הגדרות'!$D$104:$D$123,MATCH(B487&amp;G487&amp;C487,'הגדרות'!$A$104:$A$123&amp;'הגדרות'!$B$104:$B$123&amp;'הגדרות'!$C$104:$C$123,0)),"")</f>
        <v/>
      </c>
      <c r="F487" s="6" t="n"/>
      <c r="Q487">
        <f>IFERROR(VLOOKUP(M487,'הגדרות'!$A$11:$D$25,2,FALSE),"")</f>
        <v/>
      </c>
      <c r="R487">
        <f>IFERROR(VLOOKUP(M487,'הגדרות'!$A$11:$D$25,3,FALSE),"")</f>
        <v/>
      </c>
      <c r="S487">
        <f>IFERROR(VLOOKUP(N487,'הגדרות'!$A$11:$D$25,2,FALSE),"")</f>
        <v/>
      </c>
      <c r="T487">
        <f>IFERROR(VLOOKUP(N487,'הגדרות'!$A$11:$D$25,3,FALSE),"")</f>
        <v/>
      </c>
      <c r="AB487" s="6" t="n"/>
      <c r="AE487">
        <f>OR(Q487='לוח בקרה'!$B$2,R487='לוח בקרה'!$B$2,S487='לוח בקרה'!$B$2,T487='לוח בקרה'!$B$2)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E488">
        <f>IFERROR(INDEX('הגדרות'!$D$104:$D$123,MATCH(B488&amp;G488&amp;C488,'הגדרות'!$A$104:$A$123&amp;'הגדרות'!$B$104:$B$123&amp;'הגדרות'!$C$104:$C$123,0)),"")</f>
        <v/>
      </c>
      <c r="F488" s="6" t="n"/>
      <c r="Q488">
        <f>IFERROR(VLOOKUP(M488,'הגדרות'!$A$11:$D$25,2,FALSE),"")</f>
        <v/>
      </c>
      <c r="R488">
        <f>IFERROR(VLOOKUP(M488,'הגדרות'!$A$11:$D$25,3,FALSE),"")</f>
        <v/>
      </c>
      <c r="S488">
        <f>IFERROR(VLOOKUP(N488,'הגדרות'!$A$11:$D$25,2,FALSE),"")</f>
        <v/>
      </c>
      <c r="T488">
        <f>IFERROR(VLOOKUP(N488,'הגדרות'!$A$11:$D$25,3,FALSE),"")</f>
        <v/>
      </c>
      <c r="AB488" s="6" t="n"/>
      <c r="AE488">
        <f>OR(Q488='לוח בקרה'!$B$2,R488='לוח בקרה'!$B$2,S488='לוח בקרה'!$B$2,T488='לוח בקרה'!$B$2)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E489">
        <f>IFERROR(INDEX('הגדרות'!$D$104:$D$123,MATCH(B489&amp;G489&amp;C489,'הגדרות'!$A$104:$A$123&amp;'הגדרות'!$B$104:$B$123&amp;'הגדרות'!$C$104:$C$123,0)),"")</f>
        <v/>
      </c>
      <c r="F489" s="6" t="n"/>
      <c r="Q489">
        <f>IFERROR(VLOOKUP(M489,'הגדרות'!$A$11:$D$25,2,FALSE),"")</f>
        <v/>
      </c>
      <c r="R489">
        <f>IFERROR(VLOOKUP(M489,'הגדרות'!$A$11:$D$25,3,FALSE),"")</f>
        <v/>
      </c>
      <c r="S489">
        <f>IFERROR(VLOOKUP(N489,'הגדרות'!$A$11:$D$25,2,FALSE),"")</f>
        <v/>
      </c>
      <c r="T489">
        <f>IFERROR(VLOOKUP(N489,'הגדרות'!$A$11:$D$25,3,FALSE),"")</f>
        <v/>
      </c>
      <c r="AB489" s="6" t="n"/>
      <c r="AE489">
        <f>OR(Q489='לוח בקרה'!$B$2,R489='לוח בקרה'!$B$2,S489='לוח בקרה'!$B$2,T489='לוח בקרה'!$B$2)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E490">
        <f>IFERROR(INDEX('הגדרות'!$D$104:$D$123,MATCH(B490&amp;G490&amp;C490,'הגדרות'!$A$104:$A$123&amp;'הגדרות'!$B$104:$B$123&amp;'הגדרות'!$C$104:$C$123,0)),"")</f>
        <v/>
      </c>
      <c r="F490" s="6" t="n"/>
      <c r="Q490">
        <f>IFERROR(VLOOKUP(M490,'הגדרות'!$A$11:$D$25,2,FALSE),"")</f>
        <v/>
      </c>
      <c r="R490">
        <f>IFERROR(VLOOKUP(M490,'הגדרות'!$A$11:$D$25,3,FALSE),"")</f>
        <v/>
      </c>
      <c r="S490">
        <f>IFERROR(VLOOKUP(N490,'הגדרות'!$A$11:$D$25,2,FALSE),"")</f>
        <v/>
      </c>
      <c r="T490">
        <f>IFERROR(VLOOKUP(N490,'הגדרות'!$A$11:$D$25,3,FALSE),"")</f>
        <v/>
      </c>
      <c r="AB490" s="6" t="n"/>
      <c r="AE490">
        <f>OR(Q490='לוח בקרה'!$B$2,R490='לוח בקרה'!$B$2,S490='לוח בקרה'!$B$2,T490='לוח בקרה'!$B$2)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E491">
        <f>IFERROR(INDEX('הגדרות'!$D$104:$D$123,MATCH(B491&amp;G491&amp;C491,'הגדרות'!$A$104:$A$123&amp;'הגדרות'!$B$104:$B$123&amp;'הגדרות'!$C$104:$C$123,0)),"")</f>
        <v/>
      </c>
      <c r="F491" s="6" t="n"/>
      <c r="Q491">
        <f>IFERROR(VLOOKUP(M491,'הגדרות'!$A$11:$D$25,2,FALSE),"")</f>
        <v/>
      </c>
      <c r="R491">
        <f>IFERROR(VLOOKUP(M491,'הגדרות'!$A$11:$D$25,3,FALSE),"")</f>
        <v/>
      </c>
      <c r="S491">
        <f>IFERROR(VLOOKUP(N491,'הגדרות'!$A$11:$D$25,2,FALSE),"")</f>
        <v/>
      </c>
      <c r="T491">
        <f>IFERROR(VLOOKUP(N491,'הגדרות'!$A$11:$D$25,3,FALSE),"")</f>
        <v/>
      </c>
      <c r="AB491" s="6" t="n"/>
      <c r="AE491">
        <f>OR(Q491='לוח בקרה'!$B$2,R491='לוח בקרה'!$B$2,S491='לוח בקרה'!$B$2,T491='לוח בקרה'!$B$2)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E492">
        <f>IFERROR(INDEX('הגדרות'!$D$104:$D$123,MATCH(B492&amp;G492&amp;C492,'הגדרות'!$A$104:$A$123&amp;'הגדרות'!$B$104:$B$123&amp;'הגדרות'!$C$104:$C$123,0)),"")</f>
        <v/>
      </c>
      <c r="F492" s="6" t="n"/>
      <c r="Q492">
        <f>IFERROR(VLOOKUP(M492,'הגדרות'!$A$11:$D$25,2,FALSE),"")</f>
        <v/>
      </c>
      <c r="R492">
        <f>IFERROR(VLOOKUP(M492,'הגדרות'!$A$11:$D$25,3,FALSE),"")</f>
        <v/>
      </c>
      <c r="S492">
        <f>IFERROR(VLOOKUP(N492,'הגדרות'!$A$11:$D$25,2,FALSE),"")</f>
        <v/>
      </c>
      <c r="T492">
        <f>IFERROR(VLOOKUP(N492,'הגדרות'!$A$11:$D$25,3,FALSE),"")</f>
        <v/>
      </c>
      <c r="AB492" s="6" t="n"/>
      <c r="AE492">
        <f>OR(Q492='לוח בקרה'!$B$2,R492='לוח בקרה'!$B$2,S492='לוח בקרה'!$B$2,T492='לוח בקרה'!$B$2)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E493">
        <f>IFERROR(INDEX('הגדרות'!$D$104:$D$123,MATCH(B493&amp;G493&amp;C493,'הגדרות'!$A$104:$A$123&amp;'הגדרות'!$B$104:$B$123&amp;'הגדרות'!$C$104:$C$123,0)),"")</f>
        <v/>
      </c>
      <c r="F493" s="6" t="n"/>
      <c r="Q493">
        <f>IFERROR(VLOOKUP(M493,'הגדרות'!$A$11:$D$25,2,FALSE),"")</f>
        <v/>
      </c>
      <c r="R493">
        <f>IFERROR(VLOOKUP(M493,'הגדרות'!$A$11:$D$25,3,FALSE),"")</f>
        <v/>
      </c>
      <c r="S493">
        <f>IFERROR(VLOOKUP(N493,'הגדרות'!$A$11:$D$25,2,FALSE),"")</f>
        <v/>
      </c>
      <c r="T493">
        <f>IFERROR(VLOOKUP(N493,'הגדרות'!$A$11:$D$25,3,FALSE),"")</f>
        <v/>
      </c>
      <c r="AB493" s="6" t="n"/>
      <c r="AE493">
        <f>OR(Q493='לוח בקרה'!$B$2,R493='לוח בקרה'!$B$2,S493='לוח בקרה'!$B$2,T493='לוח בקרה'!$B$2)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E494">
        <f>IFERROR(INDEX('הגדרות'!$D$104:$D$123,MATCH(B494&amp;G494&amp;C494,'הגדרות'!$A$104:$A$123&amp;'הגדרות'!$B$104:$B$123&amp;'הגדרות'!$C$104:$C$123,0)),"")</f>
        <v/>
      </c>
      <c r="F494" s="6" t="n"/>
      <c r="Q494">
        <f>IFERROR(VLOOKUP(M494,'הגדרות'!$A$11:$D$25,2,FALSE),"")</f>
        <v/>
      </c>
      <c r="R494">
        <f>IFERROR(VLOOKUP(M494,'הגדרות'!$A$11:$D$25,3,FALSE),"")</f>
        <v/>
      </c>
      <c r="S494">
        <f>IFERROR(VLOOKUP(N494,'הגדרות'!$A$11:$D$25,2,FALSE),"")</f>
        <v/>
      </c>
      <c r="T494">
        <f>IFERROR(VLOOKUP(N494,'הגדרות'!$A$11:$D$25,3,FALSE),"")</f>
        <v/>
      </c>
      <c r="AB494" s="6" t="n"/>
      <c r="AE494">
        <f>OR(Q494='לוח בקרה'!$B$2,R494='לוח בקרה'!$B$2,S494='לוח בקרה'!$B$2,T494='לוח בקרה'!$B$2)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E495">
        <f>IFERROR(INDEX('הגדרות'!$D$104:$D$123,MATCH(B495&amp;G495&amp;C495,'הגדרות'!$A$104:$A$123&amp;'הגדרות'!$B$104:$B$123&amp;'הגדרות'!$C$104:$C$123,0)),"")</f>
        <v/>
      </c>
      <c r="F495" s="6" t="n"/>
      <c r="Q495">
        <f>IFERROR(VLOOKUP(M495,'הגדרות'!$A$11:$D$25,2,FALSE),"")</f>
        <v/>
      </c>
      <c r="R495">
        <f>IFERROR(VLOOKUP(M495,'הגדרות'!$A$11:$D$25,3,FALSE),"")</f>
        <v/>
      </c>
      <c r="S495">
        <f>IFERROR(VLOOKUP(N495,'הגדרות'!$A$11:$D$25,2,FALSE),"")</f>
        <v/>
      </c>
      <c r="T495">
        <f>IFERROR(VLOOKUP(N495,'הגדרות'!$A$11:$D$25,3,FALSE),"")</f>
        <v/>
      </c>
      <c r="AB495" s="6" t="n"/>
      <c r="AE495">
        <f>OR(Q495='לוח בקרה'!$B$2,R495='לוח בקרה'!$B$2,S495='לוח בקרה'!$B$2,T495='לוח בקרה'!$B$2)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E496">
        <f>IFERROR(INDEX('הגדרות'!$D$104:$D$123,MATCH(B496&amp;G496&amp;C496,'הגדרות'!$A$104:$A$123&amp;'הגדרות'!$B$104:$B$123&amp;'הגדרות'!$C$104:$C$123,0)),"")</f>
        <v/>
      </c>
      <c r="F496" s="6" t="n"/>
      <c r="Q496">
        <f>IFERROR(VLOOKUP(M496,'הגדרות'!$A$11:$D$25,2,FALSE),"")</f>
        <v/>
      </c>
      <c r="R496">
        <f>IFERROR(VLOOKUP(M496,'הגדרות'!$A$11:$D$25,3,FALSE),"")</f>
        <v/>
      </c>
      <c r="S496">
        <f>IFERROR(VLOOKUP(N496,'הגדרות'!$A$11:$D$25,2,FALSE),"")</f>
        <v/>
      </c>
      <c r="T496">
        <f>IFERROR(VLOOKUP(N496,'הגדרות'!$A$11:$D$25,3,FALSE),"")</f>
        <v/>
      </c>
      <c r="AB496" s="6" t="n"/>
      <c r="AE496">
        <f>OR(Q496='לוח בקרה'!$B$2,R496='לוח בקרה'!$B$2,S496='לוח בקרה'!$B$2,T496='לוח בקרה'!$B$2)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E497">
        <f>IFERROR(INDEX('הגדרות'!$D$104:$D$123,MATCH(B497&amp;G497&amp;C497,'הגדרות'!$A$104:$A$123&amp;'הגדרות'!$B$104:$B$123&amp;'הגדרות'!$C$104:$C$123,0)),"")</f>
        <v/>
      </c>
      <c r="F497" s="6" t="n"/>
      <c r="Q497">
        <f>IFERROR(VLOOKUP(M497,'הגדרות'!$A$11:$D$25,2,FALSE),"")</f>
        <v/>
      </c>
      <c r="R497">
        <f>IFERROR(VLOOKUP(M497,'הגדרות'!$A$11:$D$25,3,FALSE),"")</f>
        <v/>
      </c>
      <c r="S497">
        <f>IFERROR(VLOOKUP(N497,'הגדרות'!$A$11:$D$25,2,FALSE),"")</f>
        <v/>
      </c>
      <c r="T497">
        <f>IFERROR(VLOOKUP(N497,'הגדרות'!$A$11:$D$25,3,FALSE),"")</f>
        <v/>
      </c>
      <c r="AB497" s="6" t="n"/>
      <c r="AE497">
        <f>OR(Q497='לוח בקרה'!$B$2,R497='לוח בקרה'!$B$2,S497='לוח בקרה'!$B$2,T497='לוח בקרה'!$B$2)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E498">
        <f>IFERROR(INDEX('הגדרות'!$D$104:$D$123,MATCH(B498&amp;G498&amp;C498,'הגדרות'!$A$104:$A$123&amp;'הגדרות'!$B$104:$B$123&amp;'הגדרות'!$C$104:$C$123,0)),"")</f>
        <v/>
      </c>
      <c r="F498" s="6" t="n"/>
      <c r="Q498">
        <f>IFERROR(VLOOKUP(M498,'הגדרות'!$A$11:$D$25,2,FALSE),"")</f>
        <v/>
      </c>
      <c r="R498">
        <f>IFERROR(VLOOKUP(M498,'הגדרות'!$A$11:$D$25,3,FALSE),"")</f>
        <v/>
      </c>
      <c r="S498">
        <f>IFERROR(VLOOKUP(N498,'הגדרות'!$A$11:$D$25,2,FALSE),"")</f>
        <v/>
      </c>
      <c r="T498">
        <f>IFERROR(VLOOKUP(N498,'הגדרות'!$A$11:$D$25,3,FALSE),"")</f>
        <v/>
      </c>
      <c r="AB498" s="6" t="n"/>
      <c r="AE498">
        <f>OR(Q498='לוח בקרה'!$B$2,R498='לוח בקרה'!$B$2,S498='לוח בקרה'!$B$2,T498='לוח בקרה'!$B$2)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E499">
        <f>IFERROR(INDEX('הגדרות'!$D$104:$D$123,MATCH(B499&amp;G499&amp;C499,'הגדרות'!$A$104:$A$123&amp;'הגדרות'!$B$104:$B$123&amp;'הגדרות'!$C$104:$C$123,0)),"")</f>
        <v/>
      </c>
      <c r="F499" s="6" t="n"/>
      <c r="Q499">
        <f>IFERROR(VLOOKUP(M499,'הגדרות'!$A$11:$D$25,2,FALSE),"")</f>
        <v/>
      </c>
      <c r="R499">
        <f>IFERROR(VLOOKUP(M499,'הגדרות'!$A$11:$D$25,3,FALSE),"")</f>
        <v/>
      </c>
      <c r="S499">
        <f>IFERROR(VLOOKUP(N499,'הגדרות'!$A$11:$D$25,2,FALSE),"")</f>
        <v/>
      </c>
      <c r="T499">
        <f>IFERROR(VLOOKUP(N499,'הגדרות'!$A$11:$D$25,3,FALSE),"")</f>
        <v/>
      </c>
      <c r="AB499" s="6" t="n"/>
      <c r="AE499">
        <f>OR(Q499='לוח בקרה'!$B$2,R499='לוח בקרה'!$B$2,S499='לוח בקרה'!$B$2,T499='לוח בקרה'!$B$2)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E500">
        <f>IFERROR(INDEX('הגדרות'!$D$104:$D$123,MATCH(B500&amp;G500&amp;C500,'הגדרות'!$A$104:$A$123&amp;'הגדרות'!$B$104:$B$123&amp;'הגדרות'!$C$104:$C$123,0)),"")</f>
        <v/>
      </c>
      <c r="F500" s="6" t="n"/>
      <c r="Q500">
        <f>IFERROR(VLOOKUP(M500,'הגדרות'!$A$11:$D$25,2,FALSE),"")</f>
        <v/>
      </c>
      <c r="R500">
        <f>IFERROR(VLOOKUP(M500,'הגדרות'!$A$11:$D$25,3,FALSE),"")</f>
        <v/>
      </c>
      <c r="S500">
        <f>IFERROR(VLOOKUP(N500,'הגדרות'!$A$11:$D$25,2,FALSE),"")</f>
        <v/>
      </c>
      <c r="T500">
        <f>IFERROR(VLOOKUP(N500,'הגדרות'!$A$11:$D$25,3,FALSE),"")</f>
        <v/>
      </c>
      <c r="AB500" s="6" t="n"/>
      <c r="AE500">
        <f>OR(Q500='לוח בקרה'!$B$2,R500='לוח בקרה'!$B$2,S500='לוח בקרה'!$B$2,T500='לוח בקרה'!$B$2)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conditionalFormatting sqref="AC2:AC500">
    <cfRule type="expression" priority="1" dxfId="0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סביבה</t>
        </is>
      </c>
    </row>
    <row r="2">
      <c r="A2" s="2" t="inlineStr">
        <is>
          <t>מדברי</t>
        </is>
      </c>
    </row>
    <row r="3">
      <c r="A3" s="4" t="inlineStr">
        <is>
          <t>מיוער</t>
        </is>
      </c>
    </row>
    <row r="4">
      <c r="A4" s="2" t="inlineStr">
        <is>
          <t>שלג</t>
        </is>
      </c>
    </row>
    <row r="5">
      <c r="A5" s="4" t="inlineStr">
        <is>
          <t>ימי</t>
        </is>
      </c>
    </row>
    <row r="6">
      <c r="A6" s="2" t="inlineStr">
        <is>
          <t>מבולדר/שטח בנוי</t>
        </is>
      </c>
    </row>
    <row r="7">
      <c r="A7" s="4" t="inlineStr">
        <is>
          <t>אחר</t>
        </is>
      </c>
    </row>
    <row r="10">
      <c r="A10" s="1" t="inlineStr">
        <is>
          <t>הדפס</t>
        </is>
      </c>
      <c r="B10" s="1" t="inlineStr">
        <is>
          <t>סביבה ראשית</t>
        </is>
      </c>
      <c r="C10" s="1" t="inlineStr">
        <is>
          <t>סביבה משנית</t>
        </is>
      </c>
      <c r="D10" s="1" t="inlineStr">
        <is>
          <t>תמונה</t>
        </is>
      </c>
    </row>
    <row r="11">
      <c r="A11" s="2" t="inlineStr">
        <is>
          <t>Desert</t>
        </is>
      </c>
      <c r="B11" s="2" t="inlineStr">
        <is>
          <t>מדברי</t>
        </is>
      </c>
      <c r="C11" s="2" t="n"/>
      <c r="D11" s="2" t="n"/>
    </row>
    <row r="12">
      <c r="A12" s="4" t="inlineStr">
        <is>
          <t>Desert-Green</t>
        </is>
      </c>
      <c r="B12" s="4" t="inlineStr">
        <is>
          <t>מדברי</t>
        </is>
      </c>
      <c r="C12" s="4" t="n"/>
      <c r="D12" s="4" t="n"/>
    </row>
    <row r="13">
      <c r="A13" s="2" t="inlineStr">
        <is>
          <t>Desert Coyote</t>
        </is>
      </c>
      <c r="B13" s="2" t="inlineStr">
        <is>
          <t>מדברי</t>
        </is>
      </c>
      <c r="C13" s="2" t="n"/>
      <c r="D13" s="2" t="n"/>
    </row>
    <row r="14">
      <c r="A14" s="4" t="inlineStr">
        <is>
          <t>Sand</t>
        </is>
      </c>
      <c r="B14" s="4" t="inlineStr">
        <is>
          <t>מדברי</t>
        </is>
      </c>
      <c r="C14" s="4" t="n"/>
      <c r="D14" s="4" t="n"/>
    </row>
    <row r="15">
      <c r="A15" s="2" t="inlineStr">
        <is>
          <t>Ever-Green</t>
        </is>
      </c>
      <c r="B15" s="2" t="inlineStr">
        <is>
          <t>מיוער</t>
        </is>
      </c>
      <c r="C15" s="2" t="n"/>
      <c r="D15" s="2" t="n"/>
    </row>
    <row r="16">
      <c r="A16" s="4" t="inlineStr">
        <is>
          <t>Forest Green</t>
        </is>
      </c>
      <c r="B16" s="4" t="inlineStr">
        <is>
          <t>מיוער</t>
        </is>
      </c>
      <c r="C16" s="4" t="n"/>
      <c r="D16" s="4" t="n"/>
    </row>
    <row r="17">
      <c r="A17" s="2" t="inlineStr">
        <is>
          <t>Kestrel</t>
        </is>
      </c>
      <c r="B17" s="2" t="inlineStr">
        <is>
          <t>מיוער</t>
        </is>
      </c>
      <c r="C17" s="2" t="n"/>
      <c r="D17" s="2" t="n"/>
    </row>
    <row r="18">
      <c r="A18" s="4" t="inlineStr">
        <is>
          <t>Woodland</t>
        </is>
      </c>
      <c r="B18" s="4" t="inlineStr">
        <is>
          <t>מיוער</t>
        </is>
      </c>
      <c r="C18" s="4" t="n"/>
      <c r="D18" s="4" t="n"/>
    </row>
    <row r="19">
      <c r="A19" s="2" t="inlineStr">
        <is>
          <t>Woodland Brown</t>
        </is>
      </c>
      <c r="B19" s="2" t="inlineStr">
        <is>
          <t>מיוער</t>
        </is>
      </c>
      <c r="C19" s="2" t="n"/>
      <c r="D19" s="2" t="n"/>
    </row>
    <row r="20">
      <c r="A20" s="4" t="inlineStr">
        <is>
          <t>Urban Green</t>
        </is>
      </c>
      <c r="B20" s="4" t="inlineStr">
        <is>
          <t>מיוער</t>
        </is>
      </c>
      <c r="C20" s="4" t="inlineStr">
        <is>
          <t>מבולדר/שטח בנוי</t>
        </is>
      </c>
      <c r="D20" s="4" t="n"/>
    </row>
    <row r="21">
      <c r="A21" s="2" t="inlineStr">
        <is>
          <t>Snirt Snow</t>
        </is>
      </c>
      <c r="B21" s="2" t="inlineStr">
        <is>
          <t>שלג</t>
        </is>
      </c>
      <c r="C21" s="2" t="n"/>
      <c r="D21" s="2" t="n"/>
    </row>
    <row r="22">
      <c r="A22" s="4" t="inlineStr">
        <is>
          <t>Fresh Snow</t>
        </is>
      </c>
      <c r="B22" s="4" t="inlineStr">
        <is>
          <t>שלג</t>
        </is>
      </c>
      <c r="C22" s="4" t="n"/>
      <c r="D22" s="4" t="n"/>
    </row>
    <row r="23">
      <c r="A23" s="2" t="inlineStr">
        <is>
          <t>Marine</t>
        </is>
      </c>
      <c r="B23" s="2" t="inlineStr">
        <is>
          <t>ימי</t>
        </is>
      </c>
      <c r="C23" s="2" t="n"/>
      <c r="D23" s="2" t="n"/>
    </row>
    <row r="24">
      <c r="A24" s="4" t="inlineStr">
        <is>
          <t>Urban</t>
        </is>
      </c>
      <c r="B24" s="4" t="inlineStr">
        <is>
          <t>מבולדר/שטח בנוי</t>
        </is>
      </c>
      <c r="C24" s="4" t="n"/>
      <c r="D24" s="4" t="n"/>
    </row>
    <row r="25">
      <c r="A25" s="2" t="inlineStr">
        <is>
          <t>Boulder</t>
        </is>
      </c>
      <c r="B25" s="2" t="inlineStr">
        <is>
          <t>מבולדר/שטח בנוי</t>
        </is>
      </c>
      <c r="C25" s="2" t="n"/>
      <c r="D25" s="2" t="n"/>
    </row>
    <row r="28">
      <c r="A28" s="1" t="inlineStr">
        <is>
          <t>קו מוצר</t>
        </is>
      </c>
    </row>
    <row r="29">
      <c r="A29" s="2" t="inlineStr">
        <is>
          <t>OverGarment</t>
        </is>
      </c>
    </row>
    <row r="30">
      <c r="A30" s="4" t="inlineStr">
        <is>
          <t>Hide Site</t>
        </is>
      </c>
    </row>
    <row r="31">
      <c r="A31" s="2" t="inlineStr">
        <is>
          <t>Platform Hide Site</t>
        </is>
      </c>
    </row>
    <row r="32">
      <c r="A32" s="4" t="inlineStr">
        <is>
          <t>Uniform</t>
        </is>
      </c>
    </row>
    <row r="33">
      <c r="A33" s="2" t="inlineStr">
        <is>
          <t>Blankets</t>
        </is>
      </c>
    </row>
    <row r="34">
      <c r="A34" s="4" t="inlineStr">
        <is>
          <t>Urban</t>
        </is>
      </c>
    </row>
    <row r="35">
      <c r="A35" s="2" t="inlineStr">
        <is>
          <t>Platform On-The-Move</t>
        </is>
      </c>
    </row>
    <row r="36">
      <c r="A36" s="4" t="inlineStr">
        <is>
          <t>Accessories</t>
        </is>
      </c>
    </row>
    <row r="39">
      <c r="A39" s="1" t="inlineStr">
        <is>
          <t>קו מוצר</t>
        </is>
      </c>
      <c r="B39" s="1" t="inlineStr">
        <is>
          <t>שם מוצר</t>
        </is>
      </c>
      <c r="C39" s="1" t="inlineStr">
        <is>
          <t>גרסאות זמינות</t>
        </is>
      </c>
    </row>
    <row r="40">
      <c r="A40" s="2" t="inlineStr">
        <is>
          <t>OverGarment</t>
        </is>
      </c>
      <c r="B40" s="2" t="inlineStr">
        <is>
          <t>Hobey Elite</t>
        </is>
      </c>
      <c r="C40" s="2" t="inlineStr"/>
    </row>
    <row r="41">
      <c r="A41" s="4" t="inlineStr">
        <is>
          <t>OverGarment</t>
        </is>
      </c>
      <c r="B41" s="4" t="inlineStr">
        <is>
          <t>Gal Suit</t>
        </is>
      </c>
      <c r="C41" s="4" t="inlineStr"/>
    </row>
    <row r="42">
      <c r="A42" s="2" t="inlineStr">
        <is>
          <t>OverGarment</t>
        </is>
      </c>
      <c r="B42" s="2" t="inlineStr">
        <is>
          <t>Sniper Assault</t>
        </is>
      </c>
      <c r="C42" s="2" t="inlineStr"/>
    </row>
    <row r="43">
      <c r="A43" s="4" t="inlineStr">
        <is>
          <t>OverGarment</t>
        </is>
      </c>
      <c r="B43" s="4" t="inlineStr">
        <is>
          <t>SWAT 3-Part Suit</t>
        </is>
      </c>
      <c r="C43" s="4" t="inlineStr"/>
    </row>
    <row r="44">
      <c r="A44" s="2" t="inlineStr">
        <is>
          <t>OverGarment</t>
        </is>
      </c>
      <c r="B44" s="2" t="inlineStr">
        <is>
          <t>May Suit</t>
        </is>
      </c>
      <c r="C44" s="2" t="inlineStr"/>
    </row>
    <row r="45">
      <c r="A45" s="4" t="inlineStr">
        <is>
          <t>OverGarment</t>
        </is>
      </c>
      <c r="B45" s="4" t="inlineStr">
        <is>
          <t>May Long Shirt</t>
        </is>
      </c>
      <c r="C45" s="4" t="inlineStr"/>
    </row>
    <row r="46">
      <c r="A46" s="2" t="inlineStr">
        <is>
          <t>OverGarment</t>
        </is>
      </c>
      <c r="B46" s="2" t="inlineStr">
        <is>
          <t>Arctic Suit</t>
        </is>
      </c>
      <c r="C46" s="2" t="inlineStr"/>
    </row>
    <row r="47">
      <c r="A47" s="4" t="inlineStr">
        <is>
          <t>OverGarment</t>
        </is>
      </c>
      <c r="B47" s="4" t="inlineStr">
        <is>
          <t>Poncho SRV</t>
        </is>
      </c>
      <c r="C47" s="4" t="inlineStr"/>
    </row>
    <row r="48">
      <c r="A48" s="2" t="inlineStr">
        <is>
          <t>OverGarment</t>
        </is>
      </c>
      <c r="B48" s="2" t="inlineStr">
        <is>
          <t>Poncho Inbar</t>
        </is>
      </c>
      <c r="C48" s="2" t="inlineStr"/>
    </row>
    <row r="49">
      <c r="A49" s="4" t="inlineStr">
        <is>
          <t>OverGarment</t>
        </is>
      </c>
      <c r="B49" s="4" t="inlineStr">
        <is>
          <t>Poncho Inbar 3D</t>
        </is>
      </c>
      <c r="C49" s="4" t="inlineStr"/>
    </row>
    <row r="50">
      <c r="A50" s="2" t="inlineStr">
        <is>
          <t>OverGarment</t>
        </is>
      </c>
      <c r="B50" s="2" t="inlineStr">
        <is>
          <t>Poncho Sahar</t>
        </is>
      </c>
      <c r="C50" s="2" t="inlineStr"/>
    </row>
    <row r="51">
      <c r="A51" s="4" t="inlineStr">
        <is>
          <t>OverGarment</t>
        </is>
      </c>
      <c r="B51" s="4" t="inlineStr">
        <is>
          <t>Poncho Sahar 3D</t>
        </is>
      </c>
      <c r="C51" s="4" t="inlineStr"/>
    </row>
    <row r="52">
      <c r="A52" s="2" t="inlineStr">
        <is>
          <t>Hide Site</t>
        </is>
      </c>
      <c r="B52" s="2" t="inlineStr">
        <is>
          <t>Hide Site Standard</t>
        </is>
      </c>
      <c r="C52" s="2" t="inlineStr"/>
    </row>
    <row r="53">
      <c r="A53" s="4" t="inlineStr">
        <is>
          <t>Hide Site</t>
        </is>
      </c>
      <c r="B53" s="4" t="inlineStr">
        <is>
          <t>HS Floor</t>
        </is>
      </c>
      <c r="C53" s="4" t="inlineStr"/>
    </row>
    <row r="54">
      <c r="A54" s="2" t="inlineStr">
        <is>
          <t>Hide Site</t>
        </is>
      </c>
      <c r="B54" s="2" t="inlineStr">
        <is>
          <t>Window Kit</t>
        </is>
      </c>
      <c r="C54" s="2" t="inlineStr"/>
    </row>
    <row r="55">
      <c r="A55" s="4" t="inlineStr">
        <is>
          <t>Platform Hide Site</t>
        </is>
      </c>
      <c r="B55" s="4" t="inlineStr">
        <is>
          <t>Platform HS (including parts)</t>
        </is>
      </c>
      <c r="C55" s="4" t="inlineStr"/>
    </row>
    <row r="56">
      <c r="A56" s="2" t="inlineStr">
        <is>
          <t>Uniform</t>
        </is>
      </c>
      <c r="B56" s="2" t="inlineStr">
        <is>
          <t>Shirt</t>
        </is>
      </c>
      <c r="C56" s="2" t="inlineStr"/>
    </row>
    <row r="57">
      <c r="A57" s="4" t="inlineStr">
        <is>
          <t>Uniform</t>
        </is>
      </c>
      <c r="B57" s="4" t="inlineStr">
        <is>
          <t>Pants</t>
        </is>
      </c>
      <c r="C57" s="4" t="inlineStr"/>
    </row>
    <row r="58">
      <c r="A58" s="2" t="inlineStr">
        <is>
          <t>Blankets</t>
        </is>
      </c>
      <c r="B58" s="2" t="inlineStr">
        <is>
          <t>Survival Blanket</t>
        </is>
      </c>
      <c r="C58" s="2" t="inlineStr"/>
    </row>
    <row r="59">
      <c r="A59" s="4" t="inlineStr">
        <is>
          <t>Blankets</t>
        </is>
      </c>
      <c r="B59" s="4" t="inlineStr">
        <is>
          <t>יריעת החשכה</t>
        </is>
      </c>
      <c r="C59" s="4" t="inlineStr"/>
    </row>
    <row r="60">
      <c r="A60" s="2" t="inlineStr">
        <is>
          <t>Urban</t>
        </is>
      </c>
      <c r="B60" s="2" t="inlineStr">
        <is>
          <t>Loki</t>
        </is>
      </c>
      <c r="C60" s="2" t="inlineStr"/>
    </row>
    <row r="61">
      <c r="A61" s="4" t="inlineStr">
        <is>
          <t>Platform On-The-Move</t>
        </is>
      </c>
      <c r="B61" s="4" t="inlineStr">
        <is>
          <t>GMV</t>
        </is>
      </c>
      <c r="C61" s="4" t="inlineStr"/>
    </row>
    <row r="62">
      <c r="A62" s="2" t="inlineStr">
        <is>
          <t>Platform On-The-Move</t>
        </is>
      </c>
      <c r="B62" s="2" t="inlineStr">
        <is>
          <t>רשת הצללה</t>
        </is>
      </c>
      <c r="C62" s="2" t="inlineStr"/>
    </row>
    <row r="63">
      <c r="A63" s="4" t="inlineStr">
        <is>
          <t>Accessories</t>
        </is>
      </c>
      <c r="B63" s="4" t="inlineStr">
        <is>
          <t>Accessories</t>
        </is>
      </c>
      <c r="C63" s="4" t="inlineStr"/>
    </row>
    <row r="66">
      <c r="A66" s="1" t="inlineStr">
        <is>
          <t>סוג בד</t>
        </is>
      </c>
    </row>
    <row r="67">
      <c r="A67" s="2" t="inlineStr">
        <is>
          <t>Sahar</t>
        </is>
      </c>
    </row>
    <row r="68">
      <c r="A68" s="4" t="inlineStr">
        <is>
          <t>Inbar</t>
        </is>
      </c>
    </row>
    <row r="69">
      <c r="A69" s="2" t="inlineStr">
        <is>
          <t>SRV</t>
        </is>
      </c>
    </row>
    <row r="70">
      <c r="A70" s="4" t="inlineStr">
        <is>
          <t>Gabardine</t>
        </is>
      </c>
    </row>
    <row r="71">
      <c r="A71" s="2" t="inlineStr">
        <is>
          <t>Meron</t>
        </is>
      </c>
    </row>
    <row r="72">
      <c r="A72" s="4" t="inlineStr">
        <is>
          <t>Arber</t>
        </is>
      </c>
    </row>
    <row r="73">
      <c r="A73" s="2" t="inlineStr">
        <is>
          <t>IRR</t>
        </is>
      </c>
    </row>
    <row r="74">
      <c r="A74" s="4" t="inlineStr">
        <is>
          <t>Polar</t>
        </is>
      </c>
    </row>
    <row r="75">
      <c r="A75" s="2" t="inlineStr">
        <is>
          <t>Nylon</t>
        </is>
      </c>
    </row>
    <row r="76">
      <c r="A76" s="4" t="inlineStr">
        <is>
          <t>Mesh</t>
        </is>
      </c>
    </row>
    <row r="77">
      <c r="A77" s="2" t="inlineStr">
        <is>
          <t>PVC</t>
        </is>
      </c>
    </row>
    <row r="78">
      <c r="A78" s="4" t="inlineStr">
        <is>
          <t>Other</t>
        </is>
      </c>
    </row>
    <row r="81">
      <c r="A81" s="1" t="inlineStr">
        <is>
          <t>סטטוס</t>
        </is>
      </c>
    </row>
    <row r="82">
      <c r="A82" s="2" t="inlineStr">
        <is>
          <t>במלאי</t>
        </is>
      </c>
    </row>
    <row r="83">
      <c r="A83" s="4" t="inlineStr">
        <is>
          <t>מושאל</t>
        </is>
      </c>
    </row>
    <row r="84">
      <c r="A84" s="2" t="inlineStr">
        <is>
          <t>בחדר תצוגה</t>
        </is>
      </c>
    </row>
    <row r="85">
      <c r="A85" s="4" t="inlineStr">
        <is>
          <t>בתיק הדגמה</t>
        </is>
      </c>
    </row>
    <row r="88">
      <c r="A88" s="1" t="inlineStr">
        <is>
          <t>ערך</t>
        </is>
      </c>
    </row>
    <row r="89">
      <c r="A89" s="2" t="inlineStr">
        <is>
          <t>כן</t>
        </is>
      </c>
    </row>
    <row r="90">
      <c r="A90" s="4" t="inlineStr">
        <is>
          <t>לא</t>
        </is>
      </c>
    </row>
    <row r="93">
      <c r="A93" s="1" t="inlineStr">
        <is>
          <t>מידה</t>
        </is>
      </c>
    </row>
    <row r="94">
      <c r="A94" s="2" t="inlineStr">
        <is>
          <t>S</t>
        </is>
      </c>
    </row>
    <row r="95">
      <c r="A95" s="4" t="inlineStr">
        <is>
          <t>M</t>
        </is>
      </c>
    </row>
    <row r="96">
      <c r="A96" s="2" t="inlineStr">
        <is>
          <t>L</t>
        </is>
      </c>
    </row>
    <row r="97">
      <c r="A97" s="4" t="inlineStr">
        <is>
          <t>XL</t>
        </is>
      </c>
    </row>
    <row r="98">
      <c r="A98" s="2" t="inlineStr">
        <is>
          <t>XXL</t>
        </is>
      </c>
    </row>
    <row r="99">
      <c r="A99" s="4" t="inlineStr">
        <is>
          <t>One Size</t>
        </is>
      </c>
    </row>
    <row r="100">
      <c r="A100" s="2" t="inlineStr">
        <is>
          <t>N/A</t>
        </is>
      </c>
    </row>
    <row r="103">
      <c r="A103" s="1" t="inlineStr">
        <is>
          <t>מוצר</t>
        </is>
      </c>
      <c r="B103" s="1" t="inlineStr">
        <is>
          <t>סוג בד</t>
        </is>
      </c>
      <c r="C103" s="1" t="inlineStr">
        <is>
          <t>גרסה</t>
        </is>
      </c>
      <c r="D103" s="1" t="inlineStr">
        <is>
          <t>מק"ט</t>
        </is>
      </c>
    </row>
    <row r="104">
      <c r="A104" s="2" t="inlineStr"/>
      <c r="B104" s="2" t="inlineStr"/>
      <c r="C104" s="2" t="inlineStr"/>
      <c r="D104" s="2" t="inlineStr"/>
    </row>
    <row r="105">
      <c r="A105" s="4" t="inlineStr"/>
      <c r="B105" s="4" t="inlineStr"/>
      <c r="C105" s="4" t="inlineStr"/>
      <c r="D105" s="4" t="inlineStr"/>
    </row>
    <row r="106">
      <c r="A106" s="2" t="inlineStr"/>
      <c r="B106" s="2" t="inlineStr"/>
      <c r="C106" s="2" t="inlineStr"/>
      <c r="D106" s="2" t="inlineStr"/>
    </row>
    <row r="107">
      <c r="A107" s="4" t="inlineStr"/>
      <c r="B107" s="4" t="inlineStr"/>
      <c r="C107" s="4" t="inlineStr"/>
      <c r="D107" s="4" t="inlineStr"/>
    </row>
    <row r="108">
      <c r="A108" s="2" t="inlineStr"/>
      <c r="B108" s="2" t="inlineStr"/>
      <c r="C108" s="2" t="inlineStr"/>
      <c r="D108" s="2" t="inlineStr"/>
    </row>
    <row r="109">
      <c r="A109" s="4" t="inlineStr"/>
      <c r="B109" s="4" t="inlineStr"/>
      <c r="C109" s="4" t="inlineStr"/>
      <c r="D109" s="4" t="inlineStr"/>
    </row>
    <row r="110">
      <c r="A110" s="2" t="inlineStr"/>
      <c r="B110" s="2" t="inlineStr"/>
      <c r="C110" s="2" t="inlineStr"/>
      <c r="D110" s="2" t="inlineStr"/>
    </row>
    <row r="111">
      <c r="A111" s="4" t="inlineStr"/>
      <c r="B111" s="4" t="inlineStr"/>
      <c r="C111" s="4" t="inlineStr"/>
      <c r="D111" s="4" t="inlineStr"/>
    </row>
    <row r="112">
      <c r="A112" s="2" t="inlineStr"/>
      <c r="B112" s="2" t="inlineStr"/>
      <c r="C112" s="2" t="inlineStr"/>
      <c r="D112" s="2" t="inlineStr"/>
    </row>
    <row r="113">
      <c r="A113" s="4" t="inlineStr"/>
      <c r="B113" s="4" t="inlineStr"/>
      <c r="C113" s="4" t="inlineStr"/>
      <c r="D113" s="4" t="inlineStr"/>
    </row>
    <row r="114">
      <c r="A114" s="2" t="inlineStr"/>
      <c r="B114" s="2" t="inlineStr"/>
      <c r="C114" s="2" t="inlineStr"/>
      <c r="D114" s="2" t="inlineStr"/>
    </row>
    <row r="115">
      <c r="A115" s="4" t="inlineStr"/>
      <c r="B115" s="4" t="inlineStr"/>
      <c r="C115" s="4" t="inlineStr"/>
      <c r="D115" s="4" t="inlineStr"/>
    </row>
    <row r="116">
      <c r="A116" s="2" t="inlineStr"/>
      <c r="B116" s="2" t="inlineStr"/>
      <c r="C116" s="2" t="inlineStr"/>
      <c r="D116" s="2" t="inlineStr"/>
    </row>
    <row r="117">
      <c r="A117" s="4" t="inlineStr"/>
      <c r="B117" s="4" t="inlineStr"/>
      <c r="C117" s="4" t="inlineStr"/>
      <c r="D117" s="4" t="inlineStr"/>
    </row>
    <row r="118">
      <c r="A118" s="2" t="inlineStr"/>
      <c r="B118" s="2" t="inlineStr"/>
      <c r="C118" s="2" t="inlineStr"/>
      <c r="D118" s="2" t="inlineStr"/>
    </row>
    <row r="119">
      <c r="A119" s="4" t="inlineStr"/>
      <c r="B119" s="4" t="inlineStr"/>
      <c r="C119" s="4" t="inlineStr"/>
      <c r="D119" s="4" t="inlineStr"/>
    </row>
    <row r="120">
      <c r="A120" s="2" t="inlineStr"/>
      <c r="B120" s="2" t="inlineStr"/>
      <c r="C120" s="2" t="inlineStr"/>
      <c r="D120" s="2" t="inlineStr"/>
    </row>
    <row r="121">
      <c r="A121" s="4" t="inlineStr"/>
      <c r="B121" s="4" t="inlineStr"/>
      <c r="C121" s="4" t="inlineStr"/>
      <c r="D121" s="4" t="inlineStr"/>
    </row>
    <row r="122">
      <c r="A122" s="2" t="inlineStr"/>
      <c r="B122" s="2" t="inlineStr"/>
      <c r="C122" s="2" t="inlineStr"/>
      <c r="D122" s="2" t="inlineStr"/>
    </row>
    <row r="123">
      <c r="A123" s="4" t="inlineStr"/>
      <c r="B123" s="4" t="inlineStr"/>
      <c r="C123" s="4" t="inlineStr"/>
      <c r="D123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2026-03-31T11:52:19Z</dcterms:created>
  <dcterms:modified xsi:type="dcterms:W3CDTF">2026-03-31T11:52:19Z</dcterms:modified>
</cp:coreProperties>
</file>
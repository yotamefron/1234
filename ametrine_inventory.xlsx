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מלאי" sheetId="2" state="visible" r:id="rId2"/>
    <sheet name="השאלות" sheetId="3" state="visible" r:id="rId3"/>
    <sheet name="תכולה" sheetId="4" state="visible" r:id="rId4"/>
    <sheet name="לוח בקרה טכנו-מבצעי" sheetId="5" state="visible" r:id="rId5"/>
    <sheet name="ערכים טכנולוגיים" sheetId="6" state="visible" r:id="rId6"/>
    <sheet name="הגדרות" sheetId="7" state="visible" r:id="rId7"/>
    <sheet name="מלאי רצוי" sheetId="8" state="visible" r:id="rId8"/>
  </sheets>
  <definedNames>
    <definedName name="סביבות">'הגדרות'!$A$2:$A$7</definedName>
    <definedName name="הדפסים">'הגדרות'!$A$11:$D$25</definedName>
    <definedName name="שמות_הדפסים">'הגדרות'!$A$11:$A$25</definedName>
    <definedName name="קווי_מוצר">'הגדרות'!$A$29:$A$36</definedName>
    <definedName name="מוצרים">'הגדרות'!$A$40:$C$63</definedName>
    <definedName name="OverGarment">'הגדרות'!$B$40:$B$51</definedName>
    <definedName name="Hide_Site">'הגדרות'!$B$52:$B$54</definedName>
    <definedName name="Platform_Hide_Site">'הגדרות'!$B$55:$B$55</definedName>
    <definedName name="Uniform">'הגדרות'!$B$56:$B$57</definedName>
    <definedName name="Blankets">'הגדרות'!$B$58:$B$59</definedName>
    <definedName name="Urban">'הגדרות'!$B$60:$B$60</definedName>
    <definedName name="Platform_On_The_Move">'הגדרות'!$B$61:$B$62</definedName>
    <definedName name="Accessories">'הגדרות'!$B$63:$B$63</definedName>
    <definedName name="סוגי_בד">'הגדרות'!$A$67:$A$78</definedName>
    <definedName name="סטטוסים">'הגדרות'!$A$82:$A$85</definedName>
    <definedName name="כן_לא">'הגדרות'!$A$89:$A$90</definedName>
    <definedName name="מידות">'הגדרות'!$A$94:$A$100</definedName>
    <definedName name="מקטים">'הגדרות'!$A$104:$D$123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D6E4F0"/>
        <bgColor rgb="00D6E4F0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right" vertical="center" wrapText="1"/>
    </xf>
    <xf numFmtId="0" fontId="0" fillId="3" borderId="1" applyAlignment="1" pivotButton="0" quotePrefix="0" xfId="0">
      <alignment horizontal="right" vertical="center"/>
    </xf>
    <xf numFmtId="164" fontId="0" fillId="3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right" vertical="center"/>
    </xf>
    <xf numFmtId="164" fontId="0" fillId="0" borderId="0" pivotButton="0" quotePrefix="0" xfId="0"/>
    <xf numFmtId="0" fontId="0" fillId="0" borderId="1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ill>
        <patternFill patternType="solid">
          <fgColor rgb="00FFFF00"/>
          <bgColor rgb="00FFFF00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24" customWidth="1" min="10" max="10"/>
    <col width="14" customWidth="1" min="11" max="11"/>
    <col width="26" customWidth="1" min="12" max="12"/>
    <col width="18" customWidth="1" min="13" max="13"/>
    <col width="18" customWidth="1" min="14" max="14"/>
    <col width="22" customWidth="1" min="15" max="15"/>
    <col width="22" customWidth="1" min="16" max="16"/>
    <col width="14" customWidth="1" min="17" max="17"/>
    <col width="18" customWidth="1" min="18" max="18"/>
    <col width="14" customWidth="1" min="19" max="19"/>
    <col width="18" customWidth="1" min="20" max="20"/>
    <col width="22" customWidth="1" min="21" max="21"/>
    <col width="22" customWidth="1" min="22" max="22"/>
    <col width="18" customWidth="1" min="23" max="23"/>
    <col width="12" customWidth="1" min="24" max="24"/>
    <col width="16" customWidth="1" min="25" max="25"/>
    <col width="12" customWidth="1" min="26" max="26"/>
    <col width="18" customWidth="1" min="27" max="27"/>
    <col width="18" customWidth="1" min="28" max="28"/>
    <col width="28" customWidth="1" min="29" max="29"/>
    <col width="16" customWidth="1" min="30" max="30"/>
    <col hidden="1" width="16" customWidth="1" min="31" max="31"/>
    <col hidden="1" width="16" customWidth="1" min="32" max="32"/>
    <col hidden="1" width="22" customWidth="1" min="33" max="33"/>
    <col hidden="1" width="22" customWidth="1" min="34" max="34"/>
    <col hidden="1" width="14" customWidth="1" min="35" max="35"/>
  </cols>
  <sheetData>
    <row r="1">
      <c r="A1" s="1" t="inlineStr">
        <is>
          <t>קו מוצר</t>
        </is>
      </c>
      <c r="B1" s="1" t="inlineStr">
        <is>
          <t>שם מוצר</t>
        </is>
      </c>
      <c r="C1" s="1" t="inlineStr">
        <is>
          <t>גרסה</t>
        </is>
      </c>
      <c r="D1" s="1" t="inlineStr">
        <is>
          <t>מזהה ייחודי</t>
        </is>
      </c>
      <c r="E1" s="1" t="inlineStr">
        <is>
          <t>מק"ט</t>
        </is>
      </c>
      <c r="F1" s="1" t="inlineStr">
        <is>
          <t>תאריך השאלה</t>
        </is>
      </c>
      <c r="G1" s="1" t="inlineStr">
        <is>
          <t>סוג בד 1</t>
        </is>
      </c>
      <c r="H1" s="1" t="inlineStr">
        <is>
          <t>סוג בד 2</t>
        </is>
      </c>
      <c r="I1" s="1" t="inlineStr">
        <is>
          <t>מידה</t>
        </is>
      </c>
      <c r="J1" s="1" t="inlineStr">
        <is>
          <t>גרסה מיוחדת - פיתוח</t>
        </is>
      </c>
      <c r="K1" s="1" t="inlineStr">
        <is>
          <t>גרסה סופית</t>
        </is>
      </c>
      <c r="L1" s="1" t="inlineStr">
        <is>
          <t>הערות גרסה/פיצ׳רים</t>
        </is>
      </c>
      <c r="M1" s="1" t="inlineStr">
        <is>
          <t>הדפס צד A</t>
        </is>
      </c>
      <c r="N1" s="1" t="inlineStr">
        <is>
          <t>הדפס צד B</t>
        </is>
      </c>
      <c r="O1" s="1" t="inlineStr">
        <is>
          <t>תקין ויזואלית צד A</t>
        </is>
      </c>
      <c r="P1" s="1" t="inlineStr">
        <is>
          <t>תקין ויזואלית צד B</t>
        </is>
      </c>
      <c r="Q1" s="1" t="inlineStr">
        <is>
          <t>סביבה A</t>
        </is>
      </c>
      <c r="R1" s="1" t="inlineStr">
        <is>
          <t>סביבה משנית A</t>
        </is>
      </c>
      <c r="S1" s="1" t="inlineStr">
        <is>
          <t>סביבה B</t>
        </is>
      </c>
      <c r="T1" s="1" t="inlineStr">
        <is>
          <t>סביבה משנית B</t>
        </is>
      </c>
      <c r="U1" s="1" t="inlineStr">
        <is>
          <t>תקין תרמית צד A</t>
        </is>
      </c>
      <c r="V1" s="1" t="inlineStr">
        <is>
          <t>תקין תרמית צד B</t>
        </is>
      </c>
      <c r="W1" s="1" t="inlineStr">
        <is>
          <t>פיצ׳רים תקינים</t>
        </is>
      </c>
      <c r="X1" s="1" t="inlineStr">
        <is>
          <t>סטטוס</t>
        </is>
      </c>
      <c r="Y1" s="1" t="inlineStr">
        <is>
          <t>מושאל ל</t>
        </is>
      </c>
      <c r="Z1" s="1" t="inlineStr">
        <is>
          <t>מדינה</t>
        </is>
      </c>
      <c r="AA1" s="1" t="inlineStr">
        <is>
          <t>אחראי מהחברה</t>
        </is>
      </c>
      <c r="AB1" s="1" t="inlineStr">
        <is>
          <t>החזרה משוערת</t>
        </is>
      </c>
      <c r="AC1" s="1" t="inlineStr">
        <is>
          <t>הערות</t>
        </is>
      </c>
      <c r="AD1" s="1" t="inlineStr">
        <is>
          <t>פער בתכולה</t>
        </is>
      </c>
      <c r="AE1" s="1" t="inlineStr">
        <is>
          <t>מתאים_סביבה</t>
        </is>
      </c>
      <c r="AF1" s="1" t="inlineStr">
        <is>
          <t>תקין_לגמרי</t>
        </is>
      </c>
      <c r="AG1" s="1" t="inlineStr">
        <is>
          <t>תקין_ויזואלי_בלבד</t>
        </is>
      </c>
      <c r="AH1" s="1" t="inlineStr">
        <is>
          <t>תקין_תרמי_בלבד</t>
        </is>
      </c>
      <c r="AI1" s="1" t="inlineStr">
        <is>
          <t>באיחור</t>
        </is>
      </c>
    </row>
    <row r="2">
      <c r="A2" s="2" t="inlineStr">
        <is>
          <t>OverGarment</t>
        </is>
      </c>
      <c r="B2" s="2" t="inlineStr">
        <is>
          <t>Poncho Inbar</t>
        </is>
      </c>
      <c r="C2" s="2" t="n"/>
      <c r="D2" s="2" t="inlineStr">
        <is>
          <t>INV-001</t>
        </is>
      </c>
      <c r="E2" s="2">
        <f>IFERROR(INDEX('הגדרות'!$D$104:$D$123,MATCH(B2&amp;G2&amp;C2,'הגדרות'!$A$104:$A$123&amp;'הגדרות'!$B$104:$B$123&amp;'הגדרות'!$C$104:$C$123,0)),"")</f>
        <v/>
      </c>
      <c r="F2" s="3" t="n">
        <v>45971</v>
      </c>
      <c r="G2" s="2" t="inlineStr">
        <is>
          <t>Inbar</t>
        </is>
      </c>
      <c r="H2" s="2" t="n"/>
      <c r="I2" s="2" t="inlineStr">
        <is>
          <t>L</t>
        </is>
      </c>
      <c r="J2" s="2" t="inlineStr">
        <is>
          <t>לא</t>
        </is>
      </c>
      <c r="K2" s="2" t="inlineStr">
        <is>
          <t>כן</t>
        </is>
      </c>
      <c r="L2" s="2" t="n"/>
      <c r="M2" s="2" t="inlineStr">
        <is>
          <t>Desert</t>
        </is>
      </c>
      <c r="N2" s="2" t="inlineStr">
        <is>
          <t>Forest Green</t>
        </is>
      </c>
      <c r="O2" s="2" t="inlineStr">
        <is>
          <t>לא</t>
        </is>
      </c>
      <c r="P2" s="2" t="inlineStr">
        <is>
          <t>כן</t>
        </is>
      </c>
      <c r="Q2" s="2">
        <f>IFERROR(VLOOKUP(M2,'הגדרות'!$A$11:$D$25,2,FALSE),"")</f>
        <v/>
      </c>
      <c r="R2" s="2">
        <f>IFERROR(VLOOKUP(M2,'הגדרות'!$A$11:$D$25,3,FALSE),"")</f>
        <v/>
      </c>
      <c r="S2" s="2">
        <f>IFERROR(VLOOKUP(N2,'הגדרות'!$A$11:$D$25,2,FALSE),"")</f>
        <v/>
      </c>
      <c r="T2" s="2">
        <f>IFERROR(VLOOKUP(N2,'הגדרות'!$A$11:$D$25,3,FALSE),"")</f>
        <v/>
      </c>
      <c r="U2" s="2" t="inlineStr">
        <is>
          <t>כן</t>
        </is>
      </c>
      <c r="V2" s="2" t="inlineStr">
        <is>
          <t>כן</t>
        </is>
      </c>
      <c r="W2" s="2" t="inlineStr">
        <is>
          <t>כן</t>
        </is>
      </c>
      <c r="X2" s="2" t="inlineStr">
        <is>
          <t>במלאי</t>
        </is>
      </c>
      <c r="Y2" s="2" t="n"/>
      <c r="Z2" s="2" t="inlineStr">
        <is>
          <t>ישראל</t>
        </is>
      </c>
      <c r="AA2" s="2" t="n"/>
      <c r="AB2" s="3" t="n"/>
      <c r="AC2" s="2" t="inlineStr">
        <is>
          <t>הדפס Desert ישן — אינו תקין ויזואלית</t>
        </is>
      </c>
      <c r="AD2" s="2" t="inlineStr">
        <is>
          <t>לא</t>
        </is>
      </c>
      <c r="AE2" s="2">
        <f>OR(Q2='לוח בקרה'!$B$2,R2='לוח בקרה'!$B$2,S2='לוח בקרה'!$B$2,T2='לוח בקרה'!$B$2)</f>
        <v/>
      </c>
      <c r="AF2" s="2">
        <f>AND(AE2,OR(AND(O2="כן",U2="כן"),AND(P2="כן",V2="כן")))</f>
        <v/>
      </c>
      <c r="AG2" s="2">
        <f>AND(AE2,OR(O2="כן",P2="כן"),NOT(OR(AND(O2="כן",U2="כן"),AND(P2="כן",V2="כן"))))</f>
        <v/>
      </c>
      <c r="AH2" s="2">
        <f>AND(AE2,OR(U2="כן",V2="כן"),NOT(OR(O2="כן",P2="כן")))</f>
        <v/>
      </c>
      <c r="AI2" s="2">
        <f>AND(X2="מושאל",AB2&lt;&gt;"",AB2&lt;TODAY())</f>
        <v/>
      </c>
    </row>
    <row r="3">
      <c r="A3" s="4" t="inlineStr">
        <is>
          <t>Hide Site</t>
        </is>
      </c>
      <c r="B3" s="4" t="inlineStr">
        <is>
          <t>Hide Site Standard</t>
        </is>
      </c>
      <c r="C3" s="4" t="n"/>
      <c r="D3" s="4" t="inlineStr">
        <is>
          <t>INV-002</t>
        </is>
      </c>
      <c r="E3" s="4">
        <f>IFERROR(INDEX('הגדרות'!$D$104:$D$123,MATCH(B3&amp;G3&amp;C3,'הגדרות'!$A$104:$A$123&amp;'הגדרות'!$B$104:$B$123&amp;'הגדרות'!$C$104:$C$123,0)),"")</f>
        <v/>
      </c>
      <c r="F3" s="5" t="n">
        <v>45870</v>
      </c>
      <c r="G3" s="4" t="inlineStr">
        <is>
          <t>Sahar</t>
        </is>
      </c>
      <c r="H3" s="4" t="inlineStr">
        <is>
          <t>Gabardine</t>
        </is>
      </c>
      <c r="I3" s="4" t="inlineStr">
        <is>
          <t>One Size</t>
        </is>
      </c>
      <c r="J3" s="4" t="inlineStr">
        <is>
          <t>לא</t>
        </is>
      </c>
      <c r="K3" s="4" t="inlineStr">
        <is>
          <t>כן</t>
        </is>
      </c>
      <c r="L3" s="4" t="n"/>
      <c r="M3" s="4" t="inlineStr">
        <is>
          <t>Woodland</t>
        </is>
      </c>
      <c r="N3" s="4" t="n"/>
      <c r="O3" s="4" t="inlineStr">
        <is>
          <t>כן</t>
        </is>
      </c>
      <c r="P3" s="4" t="n"/>
      <c r="Q3" s="4">
        <f>IFERROR(VLOOKUP(M3,'הגדרות'!$A$11:$D$25,2,FALSE),"")</f>
        <v/>
      </c>
      <c r="R3" s="4">
        <f>IFERROR(VLOOKUP(M3,'הגדרות'!$A$11:$D$25,3,FALSE),"")</f>
        <v/>
      </c>
      <c r="S3" s="4">
        <f>IFERROR(VLOOKUP(N3,'הגדרות'!$A$11:$D$25,2,FALSE),"")</f>
        <v/>
      </c>
      <c r="T3" s="4">
        <f>IFERROR(VLOOKUP(N3,'הגדרות'!$A$11:$D$25,3,FALSE),"")</f>
        <v/>
      </c>
      <c r="U3" s="4" t="inlineStr">
        <is>
          <t>כן</t>
        </is>
      </c>
      <c r="V3" s="4" t="n"/>
      <c r="W3" s="4" t="inlineStr">
        <is>
          <t>כן</t>
        </is>
      </c>
      <c r="X3" s="4" t="inlineStr">
        <is>
          <t>מושאל</t>
        </is>
      </c>
      <c r="Y3" s="4" t="inlineStr">
        <is>
          <t>צה"ל</t>
        </is>
      </c>
      <c r="Z3" s="4" t="inlineStr">
        <is>
          <t>ישראל</t>
        </is>
      </c>
      <c r="AA3" s="4" t="inlineStr">
        <is>
          <t>יוסי כהן</t>
        </is>
      </c>
      <c r="AB3" s="5" t="n">
        <v>46068</v>
      </c>
      <c r="AC3" s="4" t="n"/>
      <c r="AD3" s="4" t="inlineStr">
        <is>
          <t>לא</t>
        </is>
      </c>
      <c r="AE3" s="4">
        <f>OR(Q3='לוח בקרה'!$B$2,R3='לוח בקרה'!$B$2,S3='לוח בקרה'!$B$2,T3='לוח בקרה'!$B$2)</f>
        <v/>
      </c>
      <c r="AF3" s="4">
        <f>AND(AE3,OR(AND(O3="כן",U3="כן"),AND(P3="כן",V3="כן")))</f>
        <v/>
      </c>
      <c r="AG3" s="4">
        <f>AND(AE3,OR(O3="כן",P3="כן"),NOT(OR(AND(O3="כן",U3="כן"),AND(P3="כן",V3="כן"))))</f>
        <v/>
      </c>
      <c r="AH3" s="4">
        <f>AND(AE3,OR(U3="כן",V3="כן"),NOT(OR(O3="כן",P3="כן")))</f>
        <v/>
      </c>
      <c r="AI3" s="4">
        <f>AND(X3="מושאל",AB3&lt;&gt;"",AB3&lt;TODAY())</f>
        <v/>
      </c>
    </row>
    <row r="4">
      <c r="A4" s="2" t="inlineStr">
        <is>
          <t>Uniform</t>
        </is>
      </c>
      <c r="B4" s="2" t="inlineStr">
        <is>
          <t>Shirt</t>
        </is>
      </c>
      <c r="C4" s="2" t="n"/>
      <c r="D4" s="2" t="inlineStr">
        <is>
          <t>INV-003</t>
        </is>
      </c>
      <c r="E4" s="2">
        <f>IFERROR(INDEX('הגדרות'!$D$104:$D$123,MATCH(B4&amp;G4&amp;C4,'הגדרות'!$A$104:$A$123&amp;'הגדרות'!$B$104:$B$123&amp;'הגדרות'!$C$104:$C$123,0)),"")</f>
        <v/>
      </c>
      <c r="F4" s="3" t="n"/>
      <c r="G4" s="2" t="inlineStr">
        <is>
          <t>Meron</t>
        </is>
      </c>
      <c r="H4" s="2" t="n"/>
      <c r="I4" s="2" t="inlineStr">
        <is>
          <t>M</t>
        </is>
      </c>
      <c r="J4" s="2" t="inlineStr">
        <is>
          <t>לא</t>
        </is>
      </c>
      <c r="K4" s="2" t="inlineStr">
        <is>
          <t>לא</t>
        </is>
      </c>
      <c r="L4" s="2" t="inlineStr">
        <is>
          <t>דורש בדיקה נוספת</t>
        </is>
      </c>
      <c r="M4" s="2" t="inlineStr">
        <is>
          <t>Urban Green</t>
        </is>
      </c>
      <c r="N4" s="2" t="inlineStr">
        <is>
          <t>Urban</t>
        </is>
      </c>
      <c r="O4" s="2" t="inlineStr">
        <is>
          <t>כן</t>
        </is>
      </c>
      <c r="P4" s="2" t="inlineStr">
        <is>
          <t>כן</t>
        </is>
      </c>
      <c r="Q4" s="2">
        <f>IFERROR(VLOOKUP(M4,'הגדרות'!$A$11:$D$25,2,FALSE),"")</f>
        <v/>
      </c>
      <c r="R4" s="2">
        <f>IFERROR(VLOOKUP(M4,'הגדרות'!$A$11:$D$25,3,FALSE),"")</f>
        <v/>
      </c>
      <c r="S4" s="2">
        <f>IFERROR(VLOOKUP(N4,'הגדרות'!$A$11:$D$25,2,FALSE),"")</f>
        <v/>
      </c>
      <c r="T4" s="2">
        <f>IFERROR(VLOOKUP(N4,'הגדרות'!$A$11:$D$25,3,FALSE),"")</f>
        <v/>
      </c>
      <c r="U4" s="2" t="inlineStr">
        <is>
          <t>כן</t>
        </is>
      </c>
      <c r="V4" s="2" t="inlineStr">
        <is>
          <t>כן</t>
        </is>
      </c>
      <c r="W4" s="2" t="inlineStr">
        <is>
          <t>כן</t>
        </is>
      </c>
      <c r="X4" s="2" t="inlineStr">
        <is>
          <t>בחדר תצוגה</t>
        </is>
      </c>
      <c r="Y4" s="2" t="n"/>
      <c r="Z4" s="2" t="inlineStr">
        <is>
          <t>ישראל</t>
        </is>
      </c>
      <c r="AA4" s="2" t="n"/>
      <c r="AB4" s="3" t="n"/>
      <c r="AC4" s="2" t="inlineStr">
        <is>
          <t>גרסת ביניים — ממתין לאישור סופי</t>
        </is>
      </c>
      <c r="AD4" s="2" t="inlineStr">
        <is>
          <t>לא</t>
        </is>
      </c>
      <c r="AE4" s="2">
        <f>OR(Q4='לוח בקרה'!$B$2,R4='לוח בקרה'!$B$2,S4='לוח בקרה'!$B$2,T4='לוח בקרה'!$B$2)</f>
        <v/>
      </c>
      <c r="AF4" s="2">
        <f>AND(AE4,OR(AND(O4="כן",U4="כן"),AND(P4="כן",V4="כן")))</f>
        <v/>
      </c>
      <c r="AG4" s="2">
        <f>AND(AE4,OR(O4="כן",P4="כן"),NOT(OR(AND(O4="כן",U4="כן"),AND(P4="כן",V4="כן"))))</f>
        <v/>
      </c>
      <c r="AH4" s="2">
        <f>AND(AE4,OR(U4="כן",V4="כן"),NOT(OR(O4="כן",P4="כן")))</f>
        <v/>
      </c>
      <c r="AI4" s="2">
        <f>AND(X4="מושאל",AB4&lt;&gt;"",AB4&lt;TODAY())</f>
        <v/>
      </c>
    </row>
    <row r="5">
      <c r="A5" s="4" t="inlineStr">
        <is>
          <t>Blankets</t>
        </is>
      </c>
      <c r="B5" s="4" t="inlineStr">
        <is>
          <t>Survival Blanket</t>
        </is>
      </c>
      <c r="C5" s="4" t="n"/>
      <c r="D5" s="4" t="inlineStr">
        <is>
          <t>INV-004</t>
        </is>
      </c>
      <c r="E5" s="4">
        <f>IFERROR(INDEX('הגדרות'!$D$104:$D$123,MATCH(B5&amp;G5&amp;C5,'הגדרות'!$A$104:$A$123&amp;'הגדרות'!$B$104:$B$123&amp;'הגדרות'!$C$104:$C$123,0)),"")</f>
        <v/>
      </c>
      <c r="F5" s="5" t="n"/>
      <c r="G5" s="4" t="inlineStr">
        <is>
          <t>IRR</t>
        </is>
      </c>
      <c r="H5" s="4" t="n"/>
      <c r="I5" s="4" t="inlineStr">
        <is>
          <t>One Size</t>
        </is>
      </c>
      <c r="J5" s="4" t="inlineStr">
        <is>
          <t>כן</t>
        </is>
      </c>
      <c r="K5" s="4" t="inlineStr">
        <is>
          <t>לא</t>
        </is>
      </c>
      <c r="L5" s="4" t="inlineStr">
        <is>
          <t>פרוטוטייפ</t>
        </is>
      </c>
      <c r="M5" s="4" t="inlineStr">
        <is>
          <t>Fresh Snow</t>
        </is>
      </c>
      <c r="N5" s="4" t="n"/>
      <c r="O5" s="4" t="inlineStr">
        <is>
          <t>כן</t>
        </is>
      </c>
      <c r="P5" s="4" t="n"/>
      <c r="Q5" s="4">
        <f>IFERROR(VLOOKUP(M5,'הגדרות'!$A$11:$D$25,2,FALSE),"")</f>
        <v/>
      </c>
      <c r="R5" s="4">
        <f>IFERROR(VLOOKUP(M5,'הגדרות'!$A$11:$D$25,3,FALSE),"")</f>
        <v/>
      </c>
      <c r="S5" s="4">
        <f>IFERROR(VLOOKUP(N5,'הגדרות'!$A$11:$D$25,2,FALSE),"")</f>
        <v/>
      </c>
      <c r="T5" s="4">
        <f>IFERROR(VLOOKUP(N5,'הגדרות'!$A$11:$D$25,3,FALSE),"")</f>
        <v/>
      </c>
      <c r="U5" s="4" t="inlineStr">
        <is>
          <t>לא</t>
        </is>
      </c>
      <c r="V5" s="4" t="n"/>
      <c r="W5" s="4" t="inlineStr">
        <is>
          <t>כן</t>
        </is>
      </c>
      <c r="X5" s="4" t="inlineStr">
        <is>
          <t>במלאי</t>
        </is>
      </c>
      <c r="Y5" s="4" t="n"/>
      <c r="Z5" s="4" t="inlineStr">
        <is>
          <t>ישראל</t>
        </is>
      </c>
      <c r="AA5" s="4" t="n"/>
      <c r="AB5" s="5" t="n"/>
      <c r="AC5" s="4" t="inlineStr">
        <is>
          <t>דגם ניסיוני — לא לשלוח ללקוח</t>
        </is>
      </c>
      <c r="AD5" s="4" t="inlineStr">
        <is>
          <t>לא</t>
        </is>
      </c>
      <c r="AE5" s="4">
        <f>OR(Q5='לוח בקרה'!$B$2,R5='לוח בקרה'!$B$2,S5='לוח בקרה'!$B$2,T5='לוח בקרה'!$B$2)</f>
        <v/>
      </c>
      <c r="AF5" s="4">
        <f>AND(AE5,OR(AND(O5="כן",U5="כן"),AND(P5="כן",V5="כן")))</f>
        <v/>
      </c>
      <c r="AG5" s="4">
        <f>AND(AE5,OR(O5="כן",P5="כן"),NOT(OR(AND(O5="כן",U5="כן"),AND(P5="כן",V5="כן"))))</f>
        <v/>
      </c>
      <c r="AH5" s="4">
        <f>AND(AE5,OR(U5="כן",V5="כן"),NOT(OR(O5="כן",P5="כן")))</f>
        <v/>
      </c>
      <c r="AI5" s="4">
        <f>AND(X5="מושאל",AB5&lt;&gt;"",AB5&lt;TODAY())</f>
        <v/>
      </c>
    </row>
    <row r="6">
      <c r="A6" s="2" t="inlineStr">
        <is>
          <t>OverGarment</t>
        </is>
      </c>
      <c r="B6" s="2" t="inlineStr">
        <is>
          <t>Hobey Elite</t>
        </is>
      </c>
      <c r="C6" s="2" t="n"/>
      <c r="D6" s="2" t="inlineStr">
        <is>
          <t>INV-005</t>
        </is>
      </c>
      <c r="E6" s="2">
        <f>IFERROR(INDEX('הגדרות'!$D$104:$D$123,MATCH(B6&amp;G6&amp;C6,'הגדרות'!$A$104:$A$123&amp;'הגדרות'!$B$104:$B$123&amp;'הגדרות'!$C$104:$C$123,0)),"")</f>
        <v/>
      </c>
      <c r="F6" s="3" t="n">
        <v>45992</v>
      </c>
      <c r="G6" s="2" t="inlineStr">
        <is>
          <t>SRV</t>
        </is>
      </c>
      <c r="H6" s="2" t="inlineStr">
        <is>
          <t>Arber</t>
        </is>
      </c>
      <c r="I6" s="2" t="inlineStr">
        <is>
          <t>XL</t>
        </is>
      </c>
      <c r="J6" s="2" t="inlineStr">
        <is>
          <t>לא</t>
        </is>
      </c>
      <c r="K6" s="2" t="inlineStr">
        <is>
          <t>כן</t>
        </is>
      </c>
      <c r="L6" s="2" t="n"/>
      <c r="M6" s="2" t="inlineStr">
        <is>
          <t>Sand</t>
        </is>
      </c>
      <c r="N6" s="2" t="inlineStr">
        <is>
          <t>Ever-Green</t>
        </is>
      </c>
      <c r="O6" s="2" t="inlineStr">
        <is>
          <t>כן</t>
        </is>
      </c>
      <c r="P6" s="2" t="inlineStr">
        <is>
          <t>כן</t>
        </is>
      </c>
      <c r="Q6" s="2">
        <f>IFERROR(VLOOKUP(M6,'הגדרות'!$A$11:$D$25,2,FALSE),"")</f>
        <v/>
      </c>
      <c r="R6" s="2">
        <f>IFERROR(VLOOKUP(M6,'הגדרות'!$A$11:$D$25,3,FALSE),"")</f>
        <v/>
      </c>
      <c r="S6" s="2">
        <f>IFERROR(VLOOKUP(N6,'הגדרות'!$A$11:$D$25,2,FALSE),"")</f>
        <v/>
      </c>
      <c r="T6" s="2">
        <f>IFERROR(VLOOKUP(N6,'הגדרות'!$A$11:$D$25,3,FALSE),"")</f>
        <v/>
      </c>
      <c r="U6" s="2" t="inlineStr">
        <is>
          <t>כן</t>
        </is>
      </c>
      <c r="V6" s="2" t="inlineStr">
        <is>
          <t>כן</t>
        </is>
      </c>
      <c r="W6" s="2" t="inlineStr">
        <is>
          <t>כן</t>
        </is>
      </c>
      <c r="X6" s="2" t="inlineStr">
        <is>
          <t>מושאל</t>
        </is>
      </c>
      <c r="Y6" s="2" t="inlineStr">
        <is>
          <t>לוקהיד מרטין</t>
        </is>
      </c>
      <c r="Z6" s="2" t="inlineStr">
        <is>
          <t>ארה"ב</t>
        </is>
      </c>
      <c r="AA6" s="2" t="inlineStr">
        <is>
          <t>דני לוי</t>
        </is>
      </c>
      <c r="AB6" s="3" t="n">
        <v>46032</v>
      </c>
      <c r="AC6" s="2" t="n"/>
      <c r="AD6" s="2" t="inlineStr">
        <is>
          <t>לא</t>
        </is>
      </c>
      <c r="AE6" s="2">
        <f>OR(Q6='לוח בקרה'!$B$2,R6='לוח בקרה'!$B$2,S6='לוח בקרה'!$B$2,T6='לוח בקרה'!$B$2)</f>
        <v/>
      </c>
      <c r="AF6" s="2">
        <f>AND(AE6,OR(AND(O6="כן",U6="כן"),AND(P6="כן",V6="כן")))</f>
        <v/>
      </c>
      <c r="AG6" s="2">
        <f>AND(AE6,OR(O6="כן",P6="כן"),NOT(OR(AND(O6="כן",U6="כן"),AND(P6="כן",V6="כן"))))</f>
        <v/>
      </c>
      <c r="AH6" s="2">
        <f>AND(AE6,OR(U6="כן",V6="כן"),NOT(OR(O6="כן",P6="כן")))</f>
        <v/>
      </c>
      <c r="AI6" s="2">
        <f>AND(X6="מושאל",AB6&lt;&gt;"",AB6&lt;TODAY())</f>
        <v/>
      </c>
    </row>
    <row r="7">
      <c r="E7">
        <f>IFERROR(INDEX('הגדרות'!$D$104:$D$123,MATCH(B7&amp;G7&amp;C7,'הגדרות'!$A$104:$A$123&amp;'הגדרות'!$B$104:$B$123&amp;'הגדרות'!$C$104:$C$123,0)),"")</f>
        <v/>
      </c>
      <c r="F7" s="6" t="n"/>
      <c r="Q7">
        <f>IFERROR(VLOOKUP(M7,'הגדרות'!$A$11:$D$25,2,FALSE),"")</f>
        <v/>
      </c>
      <c r="R7">
        <f>IFERROR(VLOOKUP(M7,'הגדרות'!$A$11:$D$25,3,FALSE),"")</f>
        <v/>
      </c>
      <c r="S7">
        <f>IFERROR(VLOOKUP(N7,'הגדרות'!$A$11:$D$25,2,FALSE),"")</f>
        <v/>
      </c>
      <c r="T7">
        <f>IFERROR(VLOOKUP(N7,'הגדרות'!$A$11:$D$25,3,FALSE),"")</f>
        <v/>
      </c>
      <c r="AB7" s="6" t="n"/>
      <c r="AE7">
        <f>OR(Q7='לוח בקרה'!$B$2,R7='לוח בקרה'!$B$2,S7='לוח בקרה'!$B$2,T7='לוח בקרה'!$B$2)</f>
        <v/>
      </c>
      <c r="AF7">
        <f>AND(AE7,OR(AND(O7="כן",U7="כן"),AND(P7="כן",V7="כן")))</f>
        <v/>
      </c>
      <c r="AG7">
        <f>AND(AE7,OR(O7="כן",P7="כן"),NOT(OR(AND(O7="כן",U7="כן"),AND(P7="כן",V7="כן"))))</f>
        <v/>
      </c>
      <c r="AH7">
        <f>AND(AE7,OR(U7="כן",V7="כן"),NOT(OR(O7="כן",P7="כן")))</f>
        <v/>
      </c>
      <c r="AI7">
        <f>AND(X7="מושאל",AB7&lt;&gt;"",AB7&lt;TODAY())</f>
        <v/>
      </c>
    </row>
    <row r="8">
      <c r="E8">
        <f>IFERROR(INDEX('הגדרות'!$D$104:$D$123,MATCH(B8&amp;G8&amp;C8,'הגדרות'!$A$104:$A$123&amp;'הגדרות'!$B$104:$B$123&amp;'הגדרות'!$C$104:$C$123,0)),"")</f>
        <v/>
      </c>
      <c r="F8" s="6" t="n"/>
      <c r="Q8">
        <f>IFERROR(VLOOKUP(M8,'הגדרות'!$A$11:$D$25,2,FALSE),"")</f>
        <v/>
      </c>
      <c r="R8">
        <f>IFERROR(VLOOKUP(M8,'הגדרות'!$A$11:$D$25,3,FALSE),"")</f>
        <v/>
      </c>
      <c r="S8">
        <f>IFERROR(VLOOKUP(N8,'הגדרות'!$A$11:$D$25,2,FALSE),"")</f>
        <v/>
      </c>
      <c r="T8">
        <f>IFERROR(VLOOKUP(N8,'הגדרות'!$A$11:$D$25,3,FALSE),"")</f>
        <v/>
      </c>
      <c r="AB8" s="6" t="n"/>
      <c r="AE8">
        <f>OR(Q8='לוח בקרה'!$B$2,R8='לוח בקרה'!$B$2,S8='לוח בקרה'!$B$2,T8='לוח בקרה'!$B$2)</f>
        <v/>
      </c>
      <c r="AF8">
        <f>AND(AE8,OR(AND(O8="כן",U8="כן"),AND(P8="כן",V8="כן")))</f>
        <v/>
      </c>
      <c r="AG8">
        <f>AND(AE8,OR(O8="כן",P8="כן"),NOT(OR(AND(O8="כן",U8="כן"),AND(P8="כן",V8="כן"))))</f>
        <v/>
      </c>
      <c r="AH8">
        <f>AND(AE8,OR(U8="כן",V8="כן"),NOT(OR(O8="כן",P8="כן")))</f>
        <v/>
      </c>
      <c r="AI8">
        <f>AND(X8="מושאל",AB8&lt;&gt;"",AB8&lt;TODAY())</f>
        <v/>
      </c>
    </row>
    <row r="9">
      <c r="E9">
        <f>IFERROR(INDEX('הגדרות'!$D$104:$D$123,MATCH(B9&amp;G9&amp;C9,'הגדרות'!$A$104:$A$123&amp;'הגדרות'!$B$104:$B$123&amp;'הגדרות'!$C$104:$C$123,0)),"")</f>
        <v/>
      </c>
      <c r="F9" s="6" t="n"/>
      <c r="Q9">
        <f>IFERROR(VLOOKUP(M9,'הגדרות'!$A$11:$D$25,2,FALSE),"")</f>
        <v/>
      </c>
      <c r="R9">
        <f>IFERROR(VLOOKUP(M9,'הגדרות'!$A$11:$D$25,3,FALSE),"")</f>
        <v/>
      </c>
      <c r="S9">
        <f>IFERROR(VLOOKUP(N9,'הגדרות'!$A$11:$D$25,2,FALSE),"")</f>
        <v/>
      </c>
      <c r="T9">
        <f>IFERROR(VLOOKUP(N9,'הגדרות'!$A$11:$D$25,3,FALSE),"")</f>
        <v/>
      </c>
      <c r="AB9" s="6" t="n"/>
      <c r="AE9">
        <f>OR(Q9='לוח בקרה'!$B$2,R9='לוח בקרה'!$B$2,S9='לוח בקרה'!$B$2,T9='לוח בקרה'!$B$2)</f>
        <v/>
      </c>
      <c r="AF9">
        <f>AND(AE9,OR(AND(O9="כן",U9="כן"),AND(P9="כן",V9="כן")))</f>
        <v/>
      </c>
      <c r="AG9">
        <f>AND(AE9,OR(O9="כן",P9="כן"),NOT(OR(AND(O9="כן",U9="כן"),AND(P9="כן",V9="כן"))))</f>
        <v/>
      </c>
      <c r="AH9">
        <f>AND(AE9,OR(U9="כן",V9="כן"),NOT(OR(O9="כן",P9="כן")))</f>
        <v/>
      </c>
      <c r="AI9">
        <f>AND(X9="מושאל",AB9&lt;&gt;"",AB9&lt;TODAY())</f>
        <v/>
      </c>
    </row>
    <row r="10">
      <c r="E10">
        <f>IFERROR(INDEX('הגדרות'!$D$104:$D$123,MATCH(B10&amp;G10&amp;C10,'הגדרות'!$A$104:$A$123&amp;'הגדרות'!$B$104:$B$123&amp;'הגדרות'!$C$104:$C$123,0)),"")</f>
        <v/>
      </c>
      <c r="F10" s="6" t="n"/>
      <c r="Q10">
        <f>IFERROR(VLOOKUP(M10,'הגדרות'!$A$11:$D$25,2,FALSE),"")</f>
        <v/>
      </c>
      <c r="R10">
        <f>IFERROR(VLOOKUP(M10,'הגדרות'!$A$11:$D$25,3,FALSE),"")</f>
        <v/>
      </c>
      <c r="S10">
        <f>IFERROR(VLOOKUP(N10,'הגדרות'!$A$11:$D$25,2,FALSE),"")</f>
        <v/>
      </c>
      <c r="T10">
        <f>IFERROR(VLOOKUP(N10,'הגדרות'!$A$11:$D$25,3,FALSE),"")</f>
        <v/>
      </c>
      <c r="AB10" s="6" t="n"/>
      <c r="AE10">
        <f>OR(Q10='לוח בקרה'!$B$2,R10='לוח בקרה'!$B$2,S10='לוח בקרה'!$B$2,T10='לוח בקרה'!$B$2)</f>
        <v/>
      </c>
      <c r="AF10">
        <f>AND(AE10,OR(AND(O10="כן",U10="כן"),AND(P10="כן",V10="כן")))</f>
        <v/>
      </c>
      <c r="AG10">
        <f>AND(AE10,OR(O10="כן",P10="כן"),NOT(OR(AND(O10="כן",U10="כן"),AND(P10="כן",V10="כן"))))</f>
        <v/>
      </c>
      <c r="AH10">
        <f>AND(AE10,OR(U10="כן",V10="כן"),NOT(OR(O10="כן",P10="כן")))</f>
        <v/>
      </c>
      <c r="AI10">
        <f>AND(X10="מושאל",AB10&lt;&gt;"",AB10&lt;TODAY())</f>
        <v/>
      </c>
    </row>
    <row r="11">
      <c r="E11">
        <f>IFERROR(INDEX('הגדרות'!$D$104:$D$123,MATCH(B11&amp;G11&amp;C11,'הגדרות'!$A$104:$A$123&amp;'הגדרות'!$B$104:$B$123&amp;'הגדרות'!$C$104:$C$123,0)),"")</f>
        <v/>
      </c>
      <c r="F11" s="6" t="n"/>
      <c r="Q11">
        <f>IFERROR(VLOOKUP(M11,'הגדרות'!$A$11:$D$25,2,FALSE),"")</f>
        <v/>
      </c>
      <c r="R11">
        <f>IFERROR(VLOOKUP(M11,'הגדרות'!$A$11:$D$25,3,FALSE),"")</f>
        <v/>
      </c>
      <c r="S11">
        <f>IFERROR(VLOOKUP(N11,'הגדרות'!$A$11:$D$25,2,FALSE),"")</f>
        <v/>
      </c>
      <c r="T11">
        <f>IFERROR(VLOOKUP(N11,'הגדרות'!$A$11:$D$25,3,FALSE),"")</f>
        <v/>
      </c>
      <c r="AB11" s="6" t="n"/>
      <c r="AE11">
        <f>OR(Q11='לוח בקרה'!$B$2,R11='לוח בקרה'!$B$2,S11='לוח בקרה'!$B$2,T11='לוח בקרה'!$B$2)</f>
        <v/>
      </c>
      <c r="AF11">
        <f>AND(AE11,OR(AND(O11="כן",U11="כן"),AND(P11="כן",V11="כן")))</f>
        <v/>
      </c>
      <c r="AG11">
        <f>AND(AE11,OR(O11="כן",P11="כן"),NOT(OR(AND(O11="כן",U11="כן"),AND(P11="כן",V11="כן"))))</f>
        <v/>
      </c>
      <c r="AH11">
        <f>AND(AE11,OR(U11="כן",V11="כן"),NOT(OR(O11="כן",P11="כן")))</f>
        <v/>
      </c>
      <c r="AI11">
        <f>AND(X11="מושאל",AB11&lt;&gt;"",AB11&lt;TODAY())</f>
        <v/>
      </c>
    </row>
    <row r="12">
      <c r="E12">
        <f>IFERROR(INDEX('הגדרות'!$D$104:$D$123,MATCH(B12&amp;G12&amp;C12,'הגדרות'!$A$104:$A$123&amp;'הגדרות'!$B$104:$B$123&amp;'הגדרות'!$C$104:$C$123,0)),"")</f>
        <v/>
      </c>
      <c r="F12" s="6" t="n"/>
      <c r="Q12">
        <f>IFERROR(VLOOKUP(M12,'הגדרות'!$A$11:$D$25,2,FALSE),"")</f>
        <v/>
      </c>
      <c r="R12">
        <f>IFERROR(VLOOKUP(M12,'הגדרות'!$A$11:$D$25,3,FALSE),"")</f>
        <v/>
      </c>
      <c r="S12">
        <f>IFERROR(VLOOKUP(N12,'הגדרות'!$A$11:$D$25,2,FALSE),"")</f>
        <v/>
      </c>
      <c r="T12">
        <f>IFERROR(VLOOKUP(N12,'הגדרות'!$A$11:$D$25,3,FALSE),"")</f>
        <v/>
      </c>
      <c r="AB12" s="6" t="n"/>
      <c r="AE12">
        <f>OR(Q12='לוח בקרה'!$B$2,R12='לוח בקרה'!$B$2,S12='לוח בקרה'!$B$2,T12='לוח בקרה'!$B$2)</f>
        <v/>
      </c>
      <c r="AF12">
        <f>AND(AE12,OR(AND(O12="כן",U12="כן"),AND(P12="כן",V12="כן")))</f>
        <v/>
      </c>
      <c r="AG12">
        <f>AND(AE12,OR(O12="כן",P12="כן"),NOT(OR(AND(O12="כן",U12="כן"),AND(P12="כן",V12="כן"))))</f>
        <v/>
      </c>
      <c r="AH12">
        <f>AND(AE12,OR(U12="כן",V12="כן"),NOT(OR(O12="כן",P12="כן")))</f>
        <v/>
      </c>
      <c r="AI12">
        <f>AND(X12="מושאל",AB12&lt;&gt;"",AB12&lt;TODAY())</f>
        <v/>
      </c>
    </row>
    <row r="13">
      <c r="E13">
        <f>IFERROR(INDEX('הגדרות'!$D$104:$D$123,MATCH(B13&amp;G13&amp;C13,'הגדרות'!$A$104:$A$123&amp;'הגדרות'!$B$104:$B$123&amp;'הגדרות'!$C$104:$C$123,0)),"")</f>
        <v/>
      </c>
      <c r="F13" s="6" t="n"/>
      <c r="Q13">
        <f>IFERROR(VLOOKUP(M13,'הגדרות'!$A$11:$D$25,2,FALSE),"")</f>
        <v/>
      </c>
      <c r="R13">
        <f>IFERROR(VLOOKUP(M13,'הגדרות'!$A$11:$D$25,3,FALSE),"")</f>
        <v/>
      </c>
      <c r="S13">
        <f>IFERROR(VLOOKUP(N13,'הגדרות'!$A$11:$D$25,2,FALSE),"")</f>
        <v/>
      </c>
      <c r="T13">
        <f>IFERROR(VLOOKUP(N13,'הגדרות'!$A$11:$D$25,3,FALSE),"")</f>
        <v/>
      </c>
      <c r="AB13" s="6" t="n"/>
      <c r="AE13">
        <f>OR(Q13='לוח בקרה'!$B$2,R13='לוח בקרה'!$B$2,S13='לוח בקרה'!$B$2,T13='לוח בקרה'!$B$2)</f>
        <v/>
      </c>
      <c r="AF13">
        <f>AND(AE13,OR(AND(O13="כן",U13="כן"),AND(P13="כן",V13="כן")))</f>
        <v/>
      </c>
      <c r="AG13">
        <f>AND(AE13,OR(O13="כן",P13="כן"),NOT(OR(AND(O13="כן",U13="כן"),AND(P13="כן",V13="כן"))))</f>
        <v/>
      </c>
      <c r="AH13">
        <f>AND(AE13,OR(U13="כן",V13="כן"),NOT(OR(O13="כן",P13="כן")))</f>
        <v/>
      </c>
      <c r="AI13">
        <f>AND(X13="מושאל",AB13&lt;&gt;"",AB13&lt;TODAY())</f>
        <v/>
      </c>
    </row>
    <row r="14">
      <c r="E14">
        <f>IFERROR(INDEX('הגדרות'!$D$104:$D$123,MATCH(B14&amp;G14&amp;C14,'הגדרות'!$A$104:$A$123&amp;'הגדרות'!$B$104:$B$123&amp;'הגדרות'!$C$104:$C$123,0)),"")</f>
        <v/>
      </c>
      <c r="F14" s="6" t="n"/>
      <c r="Q14">
        <f>IFERROR(VLOOKUP(M14,'הגדרות'!$A$11:$D$25,2,FALSE),"")</f>
        <v/>
      </c>
      <c r="R14">
        <f>IFERROR(VLOOKUP(M14,'הגדרות'!$A$11:$D$25,3,FALSE),"")</f>
        <v/>
      </c>
      <c r="S14">
        <f>IFERROR(VLOOKUP(N14,'הגדרות'!$A$11:$D$25,2,FALSE),"")</f>
        <v/>
      </c>
      <c r="T14">
        <f>IFERROR(VLOOKUP(N14,'הגדרות'!$A$11:$D$25,3,FALSE),"")</f>
        <v/>
      </c>
      <c r="AB14" s="6" t="n"/>
      <c r="AE14">
        <f>OR(Q14='לוח בקרה'!$B$2,R14='לוח בקרה'!$B$2,S14='לוח בקרה'!$B$2,T14='לוח בקרה'!$B$2)</f>
        <v/>
      </c>
      <c r="AF14">
        <f>AND(AE14,OR(AND(O14="כן",U14="כן"),AND(P14="כן",V14="כן")))</f>
        <v/>
      </c>
      <c r="AG14">
        <f>AND(AE14,OR(O14="כן",P14="כן"),NOT(OR(AND(O14="כן",U14="כן"),AND(P14="כן",V14="כן"))))</f>
        <v/>
      </c>
      <c r="AH14">
        <f>AND(AE14,OR(U14="כן",V14="כן"),NOT(OR(O14="כן",P14="כן")))</f>
        <v/>
      </c>
      <c r="AI14">
        <f>AND(X14="מושאל",AB14&lt;&gt;"",AB14&lt;TODAY())</f>
        <v/>
      </c>
    </row>
    <row r="15">
      <c r="E15">
        <f>IFERROR(INDEX('הגדרות'!$D$104:$D$123,MATCH(B15&amp;G15&amp;C15,'הגדרות'!$A$104:$A$123&amp;'הגדרות'!$B$104:$B$123&amp;'הגדרות'!$C$104:$C$123,0)),"")</f>
        <v/>
      </c>
      <c r="F15" s="6" t="n"/>
      <c r="Q15">
        <f>IFERROR(VLOOKUP(M15,'הגדרות'!$A$11:$D$25,2,FALSE),"")</f>
        <v/>
      </c>
      <c r="R15">
        <f>IFERROR(VLOOKUP(M15,'הגדרות'!$A$11:$D$25,3,FALSE),"")</f>
        <v/>
      </c>
      <c r="S15">
        <f>IFERROR(VLOOKUP(N15,'הגדרות'!$A$11:$D$25,2,FALSE),"")</f>
        <v/>
      </c>
      <c r="T15">
        <f>IFERROR(VLOOKUP(N15,'הגדרות'!$A$11:$D$25,3,FALSE),"")</f>
        <v/>
      </c>
      <c r="AB15" s="6" t="n"/>
      <c r="AE15">
        <f>OR(Q15='לוח בקרה'!$B$2,R15='לוח בקרה'!$B$2,S15='לוח בקרה'!$B$2,T15='לוח בקרה'!$B$2)</f>
        <v/>
      </c>
      <c r="AF15">
        <f>AND(AE15,OR(AND(O15="כן",U15="כן"),AND(P15="כן",V15="כן")))</f>
        <v/>
      </c>
      <c r="AG15">
        <f>AND(AE15,OR(O15="כן",P15="כן"),NOT(OR(AND(O15="כן",U15="כן"),AND(P15="כן",V15="כן"))))</f>
        <v/>
      </c>
      <c r="AH15">
        <f>AND(AE15,OR(U15="כן",V15="כן"),NOT(OR(O15="כן",P15="כן")))</f>
        <v/>
      </c>
      <c r="AI15">
        <f>AND(X15="מושאל",AB15&lt;&gt;"",AB15&lt;TODAY())</f>
        <v/>
      </c>
    </row>
    <row r="16">
      <c r="E16">
        <f>IFERROR(INDEX('הגדרות'!$D$104:$D$123,MATCH(B16&amp;G16&amp;C16,'הגדרות'!$A$104:$A$123&amp;'הגדרות'!$B$104:$B$123&amp;'הגדרות'!$C$104:$C$123,0)),"")</f>
        <v/>
      </c>
      <c r="F16" s="6" t="n"/>
      <c r="Q16">
        <f>IFERROR(VLOOKUP(M16,'הגדרות'!$A$11:$D$25,2,FALSE),"")</f>
        <v/>
      </c>
      <c r="R16">
        <f>IFERROR(VLOOKUP(M16,'הגדרות'!$A$11:$D$25,3,FALSE),"")</f>
        <v/>
      </c>
      <c r="S16">
        <f>IFERROR(VLOOKUP(N16,'הגדרות'!$A$11:$D$25,2,FALSE),"")</f>
        <v/>
      </c>
      <c r="T16">
        <f>IFERROR(VLOOKUP(N16,'הגדרות'!$A$11:$D$25,3,FALSE),"")</f>
        <v/>
      </c>
      <c r="AB16" s="6" t="n"/>
      <c r="AE16">
        <f>OR(Q16='לוח בקרה'!$B$2,R16='לוח בקרה'!$B$2,S16='לוח בקרה'!$B$2,T16='לוח בקרה'!$B$2)</f>
        <v/>
      </c>
      <c r="AF16">
        <f>AND(AE16,OR(AND(O16="כן",U16="כן"),AND(P16="כן",V16="כן")))</f>
        <v/>
      </c>
      <c r="AG16">
        <f>AND(AE16,OR(O16="כן",P16="כן"),NOT(OR(AND(O16="כן",U16="כן"),AND(P16="כן",V16="כן"))))</f>
        <v/>
      </c>
      <c r="AH16">
        <f>AND(AE16,OR(U16="כן",V16="כן"),NOT(OR(O16="כן",P16="כן")))</f>
        <v/>
      </c>
      <c r="AI16">
        <f>AND(X16="מושאל",AB16&lt;&gt;"",AB16&lt;TODAY())</f>
        <v/>
      </c>
    </row>
    <row r="17">
      <c r="E17">
        <f>IFERROR(INDEX('הגדרות'!$D$104:$D$123,MATCH(B17&amp;G17&amp;C17,'הגדרות'!$A$104:$A$123&amp;'הגדרות'!$B$104:$B$123&amp;'הגדרות'!$C$104:$C$123,0)),"")</f>
        <v/>
      </c>
      <c r="F17" s="6" t="n"/>
      <c r="Q17">
        <f>IFERROR(VLOOKUP(M17,'הגדרות'!$A$11:$D$25,2,FALSE),"")</f>
        <v/>
      </c>
      <c r="R17">
        <f>IFERROR(VLOOKUP(M17,'הגדרות'!$A$11:$D$25,3,FALSE),"")</f>
        <v/>
      </c>
      <c r="S17">
        <f>IFERROR(VLOOKUP(N17,'הגדרות'!$A$11:$D$25,2,FALSE),"")</f>
        <v/>
      </c>
      <c r="T17">
        <f>IFERROR(VLOOKUP(N17,'הגדרות'!$A$11:$D$25,3,FALSE),"")</f>
        <v/>
      </c>
      <c r="AB17" s="6" t="n"/>
      <c r="AE17">
        <f>OR(Q17='לוח בקרה'!$B$2,R17='לוח בקרה'!$B$2,S17='לוח בקרה'!$B$2,T17='לוח בקרה'!$B$2)</f>
        <v/>
      </c>
      <c r="AF17">
        <f>AND(AE17,OR(AND(O17="כן",U17="כן"),AND(P17="כן",V17="כן")))</f>
        <v/>
      </c>
      <c r="AG17">
        <f>AND(AE17,OR(O17="כן",P17="כן"),NOT(OR(AND(O17="כן",U17="כן"),AND(P17="כן",V17="כן"))))</f>
        <v/>
      </c>
      <c r="AH17">
        <f>AND(AE17,OR(U17="כן",V17="כן"),NOT(OR(O17="כן",P17="כן")))</f>
        <v/>
      </c>
      <c r="AI17">
        <f>AND(X17="מושאל",AB17&lt;&gt;"",AB17&lt;TODAY())</f>
        <v/>
      </c>
    </row>
    <row r="18">
      <c r="E18">
        <f>IFERROR(INDEX('הגדרות'!$D$104:$D$123,MATCH(B18&amp;G18&amp;C18,'הגדרות'!$A$104:$A$123&amp;'הגדרות'!$B$104:$B$123&amp;'הגדרות'!$C$104:$C$123,0)),"")</f>
        <v/>
      </c>
      <c r="F18" s="6" t="n"/>
      <c r="Q18">
        <f>IFERROR(VLOOKUP(M18,'הגדרות'!$A$11:$D$25,2,FALSE),"")</f>
        <v/>
      </c>
      <c r="R18">
        <f>IFERROR(VLOOKUP(M18,'הגדרות'!$A$11:$D$25,3,FALSE),"")</f>
        <v/>
      </c>
      <c r="S18">
        <f>IFERROR(VLOOKUP(N18,'הגדרות'!$A$11:$D$25,2,FALSE),"")</f>
        <v/>
      </c>
      <c r="T18">
        <f>IFERROR(VLOOKUP(N18,'הגדרות'!$A$11:$D$25,3,FALSE),"")</f>
        <v/>
      </c>
      <c r="AB18" s="6" t="n"/>
      <c r="AE18">
        <f>OR(Q18='לוח בקרה'!$B$2,R18='לוח בקרה'!$B$2,S18='לוח בקרה'!$B$2,T18='לוח בקרה'!$B$2)</f>
        <v/>
      </c>
      <c r="AF18">
        <f>AND(AE18,OR(AND(O18="כן",U18="כן"),AND(P18="כן",V18="כן")))</f>
        <v/>
      </c>
      <c r="AG18">
        <f>AND(AE18,OR(O18="כן",P18="כן"),NOT(OR(AND(O18="כן",U18="כן"),AND(P18="כן",V18="כן"))))</f>
        <v/>
      </c>
      <c r="AH18">
        <f>AND(AE18,OR(U18="כן",V18="כן"),NOT(OR(O18="כן",P18="כן")))</f>
        <v/>
      </c>
      <c r="AI18">
        <f>AND(X18="מושאל",AB18&lt;&gt;"",AB18&lt;TODAY())</f>
        <v/>
      </c>
    </row>
    <row r="19">
      <c r="E19">
        <f>IFERROR(INDEX('הגדרות'!$D$104:$D$123,MATCH(B19&amp;G19&amp;C19,'הגדרות'!$A$104:$A$123&amp;'הגדרות'!$B$104:$B$123&amp;'הגדרות'!$C$104:$C$123,0)),"")</f>
        <v/>
      </c>
      <c r="F19" s="6" t="n"/>
      <c r="Q19">
        <f>IFERROR(VLOOKUP(M19,'הגדרות'!$A$11:$D$25,2,FALSE),"")</f>
        <v/>
      </c>
      <c r="R19">
        <f>IFERROR(VLOOKUP(M19,'הגדרות'!$A$11:$D$25,3,FALSE),"")</f>
        <v/>
      </c>
      <c r="S19">
        <f>IFERROR(VLOOKUP(N19,'הגדרות'!$A$11:$D$25,2,FALSE),"")</f>
        <v/>
      </c>
      <c r="T19">
        <f>IFERROR(VLOOKUP(N19,'הגדרות'!$A$11:$D$25,3,FALSE),"")</f>
        <v/>
      </c>
      <c r="AB19" s="6" t="n"/>
      <c r="AE19">
        <f>OR(Q19='לוח בקרה'!$B$2,R19='לוח בקרה'!$B$2,S19='לוח בקרה'!$B$2,T19='לוח בקרה'!$B$2)</f>
        <v/>
      </c>
      <c r="AF19">
        <f>AND(AE19,OR(AND(O19="כן",U19="כן"),AND(P19="כן",V19="כן")))</f>
        <v/>
      </c>
      <c r="AG19">
        <f>AND(AE19,OR(O19="כן",P19="כן"),NOT(OR(AND(O19="כן",U19="כן"),AND(P19="כן",V19="כן"))))</f>
        <v/>
      </c>
      <c r="AH19">
        <f>AND(AE19,OR(U19="כן",V19="כן"),NOT(OR(O19="כן",P19="כן")))</f>
        <v/>
      </c>
      <c r="AI19">
        <f>AND(X19="מושאל",AB19&lt;&gt;"",AB19&lt;TODAY())</f>
        <v/>
      </c>
    </row>
    <row r="20">
      <c r="E20">
        <f>IFERROR(INDEX('הגדרות'!$D$104:$D$123,MATCH(B20&amp;G20&amp;C20,'הגדרות'!$A$104:$A$123&amp;'הגדרות'!$B$104:$B$123&amp;'הגדרות'!$C$104:$C$123,0)),"")</f>
        <v/>
      </c>
      <c r="F20" s="6" t="n"/>
      <c r="Q20">
        <f>IFERROR(VLOOKUP(M20,'הגדרות'!$A$11:$D$25,2,FALSE),"")</f>
        <v/>
      </c>
      <c r="R20">
        <f>IFERROR(VLOOKUP(M20,'הגדרות'!$A$11:$D$25,3,FALSE),"")</f>
        <v/>
      </c>
      <c r="S20">
        <f>IFERROR(VLOOKUP(N20,'הגדרות'!$A$11:$D$25,2,FALSE),"")</f>
        <v/>
      </c>
      <c r="T20">
        <f>IFERROR(VLOOKUP(N20,'הגדרות'!$A$11:$D$25,3,FALSE),"")</f>
        <v/>
      </c>
      <c r="AB20" s="6" t="n"/>
      <c r="AE20">
        <f>OR(Q20='לוח בקרה'!$B$2,R20='לוח בקרה'!$B$2,S20='לוח בקרה'!$B$2,T20='לוח בקרה'!$B$2)</f>
        <v/>
      </c>
      <c r="AF20">
        <f>AND(AE20,OR(AND(O20="כן",U20="כן"),AND(P20="כן",V20="כן")))</f>
        <v/>
      </c>
      <c r="AG20">
        <f>AND(AE20,OR(O20="כן",P20="כן"),NOT(OR(AND(O20="כן",U20="כן"),AND(P20="כן",V20="כן"))))</f>
        <v/>
      </c>
      <c r="AH20">
        <f>AND(AE20,OR(U20="כן",V20="כן"),NOT(OR(O20="כן",P20="כן")))</f>
        <v/>
      </c>
      <c r="AI20">
        <f>AND(X20="מושאל",AB20&lt;&gt;"",AB20&lt;TODAY())</f>
        <v/>
      </c>
    </row>
    <row r="21">
      <c r="E21">
        <f>IFERROR(INDEX('הגדרות'!$D$104:$D$123,MATCH(B21&amp;G21&amp;C21,'הגדרות'!$A$104:$A$123&amp;'הגדרות'!$B$104:$B$123&amp;'הגדרות'!$C$104:$C$123,0)),"")</f>
        <v/>
      </c>
      <c r="F21" s="6" t="n"/>
      <c r="Q21">
        <f>IFERROR(VLOOKUP(M21,'הגדרות'!$A$11:$D$25,2,FALSE),"")</f>
        <v/>
      </c>
      <c r="R21">
        <f>IFERROR(VLOOKUP(M21,'הגדרות'!$A$11:$D$25,3,FALSE),"")</f>
        <v/>
      </c>
      <c r="S21">
        <f>IFERROR(VLOOKUP(N21,'הגדרות'!$A$11:$D$25,2,FALSE),"")</f>
        <v/>
      </c>
      <c r="T21">
        <f>IFERROR(VLOOKUP(N21,'הגדרות'!$A$11:$D$25,3,FALSE),"")</f>
        <v/>
      </c>
      <c r="AB21" s="6" t="n"/>
      <c r="AE21">
        <f>OR(Q21='לוח בקרה'!$B$2,R21='לוח בקרה'!$B$2,S21='לוח בקרה'!$B$2,T21='לוח בקרה'!$B$2)</f>
        <v/>
      </c>
      <c r="AF21">
        <f>AND(AE21,OR(AND(O21="כן",U21="כן"),AND(P21="כן",V21="כן")))</f>
        <v/>
      </c>
      <c r="AG21">
        <f>AND(AE21,OR(O21="כן",P21="כן"),NOT(OR(AND(O21="כן",U21="כן"),AND(P21="כן",V21="כן"))))</f>
        <v/>
      </c>
      <c r="AH21">
        <f>AND(AE21,OR(U21="כן",V21="כן"),NOT(OR(O21="כן",P21="כן")))</f>
        <v/>
      </c>
      <c r="AI21">
        <f>AND(X21="מושאל",AB21&lt;&gt;"",AB21&lt;TODAY())</f>
        <v/>
      </c>
    </row>
    <row r="22">
      <c r="E22">
        <f>IFERROR(INDEX('הגדרות'!$D$104:$D$123,MATCH(B22&amp;G22&amp;C22,'הגדרות'!$A$104:$A$123&amp;'הגדרות'!$B$104:$B$123&amp;'הגדרות'!$C$104:$C$123,0)),"")</f>
        <v/>
      </c>
      <c r="F22" s="6" t="n"/>
      <c r="Q22">
        <f>IFERROR(VLOOKUP(M22,'הגדרות'!$A$11:$D$25,2,FALSE),"")</f>
        <v/>
      </c>
      <c r="R22">
        <f>IFERROR(VLOOKUP(M22,'הגדרות'!$A$11:$D$25,3,FALSE),"")</f>
        <v/>
      </c>
      <c r="S22">
        <f>IFERROR(VLOOKUP(N22,'הגדרות'!$A$11:$D$25,2,FALSE),"")</f>
        <v/>
      </c>
      <c r="T22">
        <f>IFERROR(VLOOKUP(N22,'הגדרות'!$A$11:$D$25,3,FALSE),"")</f>
        <v/>
      </c>
      <c r="AB22" s="6" t="n"/>
      <c r="AE22">
        <f>OR(Q22='לוח בקרה'!$B$2,R22='לוח בקרה'!$B$2,S22='לוח בקרה'!$B$2,T22='לוח בקרה'!$B$2)</f>
        <v/>
      </c>
      <c r="AF22">
        <f>AND(AE22,OR(AND(O22="כן",U22="כן"),AND(P22="כן",V22="כן")))</f>
        <v/>
      </c>
      <c r="AG22">
        <f>AND(AE22,OR(O22="כן",P22="כן"),NOT(OR(AND(O22="כן",U22="כן"),AND(P22="כן",V22="כן"))))</f>
        <v/>
      </c>
      <c r="AH22">
        <f>AND(AE22,OR(U22="כן",V22="כן"),NOT(OR(O22="כן",P22="כן")))</f>
        <v/>
      </c>
      <c r="AI22">
        <f>AND(X22="מושאל",AB22&lt;&gt;"",AB22&lt;TODAY())</f>
        <v/>
      </c>
    </row>
    <row r="23">
      <c r="E23">
        <f>IFERROR(INDEX('הגדרות'!$D$104:$D$123,MATCH(B23&amp;G23&amp;C23,'הגדרות'!$A$104:$A$123&amp;'הגדרות'!$B$104:$B$123&amp;'הגדרות'!$C$104:$C$123,0)),"")</f>
        <v/>
      </c>
      <c r="F23" s="6" t="n"/>
      <c r="Q23">
        <f>IFERROR(VLOOKUP(M23,'הגדרות'!$A$11:$D$25,2,FALSE),"")</f>
        <v/>
      </c>
      <c r="R23">
        <f>IFERROR(VLOOKUP(M23,'הגדרות'!$A$11:$D$25,3,FALSE),"")</f>
        <v/>
      </c>
      <c r="S23">
        <f>IFERROR(VLOOKUP(N23,'הגדרות'!$A$11:$D$25,2,FALSE),"")</f>
        <v/>
      </c>
      <c r="T23">
        <f>IFERROR(VLOOKUP(N23,'הגדרות'!$A$11:$D$25,3,FALSE),"")</f>
        <v/>
      </c>
      <c r="AB23" s="6" t="n"/>
      <c r="AE23">
        <f>OR(Q23='לוח בקרה'!$B$2,R23='לוח בקרה'!$B$2,S23='לוח בקרה'!$B$2,T23='לוח בקרה'!$B$2)</f>
        <v/>
      </c>
      <c r="AF23">
        <f>AND(AE23,OR(AND(O23="כן",U23="כן"),AND(P23="כן",V23="כן")))</f>
        <v/>
      </c>
      <c r="AG23">
        <f>AND(AE23,OR(O23="כן",P23="כן"),NOT(OR(AND(O23="כן",U23="כן"),AND(P23="כן",V23="כן"))))</f>
        <v/>
      </c>
      <c r="AH23">
        <f>AND(AE23,OR(U23="כן",V23="כן"),NOT(OR(O23="כן",P23="כן")))</f>
        <v/>
      </c>
      <c r="AI23">
        <f>AND(X23="מושאל",AB23&lt;&gt;"",AB23&lt;TODAY())</f>
        <v/>
      </c>
    </row>
    <row r="24">
      <c r="E24">
        <f>IFERROR(INDEX('הגדרות'!$D$104:$D$123,MATCH(B24&amp;G24&amp;C24,'הגדרות'!$A$104:$A$123&amp;'הגדרות'!$B$104:$B$123&amp;'הגדרות'!$C$104:$C$123,0)),"")</f>
        <v/>
      </c>
      <c r="F24" s="6" t="n"/>
      <c r="Q24">
        <f>IFERROR(VLOOKUP(M24,'הגדרות'!$A$11:$D$25,2,FALSE),"")</f>
        <v/>
      </c>
      <c r="R24">
        <f>IFERROR(VLOOKUP(M24,'הגדרות'!$A$11:$D$25,3,FALSE),"")</f>
        <v/>
      </c>
      <c r="S24">
        <f>IFERROR(VLOOKUP(N24,'הגדרות'!$A$11:$D$25,2,FALSE),"")</f>
        <v/>
      </c>
      <c r="T24">
        <f>IFERROR(VLOOKUP(N24,'הגדרות'!$A$11:$D$25,3,FALSE),"")</f>
        <v/>
      </c>
      <c r="AB24" s="6" t="n"/>
      <c r="AE24">
        <f>OR(Q24='לוח בקרה'!$B$2,R24='לוח בקרה'!$B$2,S24='לוח בקרה'!$B$2,T24='לוח בקרה'!$B$2)</f>
        <v/>
      </c>
      <c r="AF24">
        <f>AND(AE24,OR(AND(O24="כן",U24="כן"),AND(P24="כן",V24="כן")))</f>
        <v/>
      </c>
      <c r="AG24">
        <f>AND(AE24,OR(O24="כן",P24="כן"),NOT(OR(AND(O24="כן",U24="כן"),AND(P24="כן",V24="כן"))))</f>
        <v/>
      </c>
      <c r="AH24">
        <f>AND(AE24,OR(U24="כן",V24="כן"),NOT(OR(O24="כן",P24="כן")))</f>
        <v/>
      </c>
      <c r="AI24">
        <f>AND(X24="מושאל",AB24&lt;&gt;"",AB24&lt;TODAY())</f>
        <v/>
      </c>
    </row>
    <row r="25">
      <c r="E25">
        <f>IFERROR(INDEX('הגדרות'!$D$104:$D$123,MATCH(B25&amp;G25&amp;C25,'הגדרות'!$A$104:$A$123&amp;'הגדרות'!$B$104:$B$123&amp;'הגדרות'!$C$104:$C$123,0)),"")</f>
        <v/>
      </c>
      <c r="F25" s="6" t="n"/>
      <c r="Q25">
        <f>IFERROR(VLOOKUP(M25,'הגדרות'!$A$11:$D$25,2,FALSE),"")</f>
        <v/>
      </c>
      <c r="R25">
        <f>IFERROR(VLOOKUP(M25,'הגדרות'!$A$11:$D$25,3,FALSE),"")</f>
        <v/>
      </c>
      <c r="S25">
        <f>IFERROR(VLOOKUP(N25,'הגדרות'!$A$11:$D$25,2,FALSE),"")</f>
        <v/>
      </c>
      <c r="T25">
        <f>IFERROR(VLOOKUP(N25,'הגדרות'!$A$11:$D$25,3,FALSE),"")</f>
        <v/>
      </c>
      <c r="AB25" s="6" t="n"/>
      <c r="AE25">
        <f>OR(Q25='לוח בקרה'!$B$2,R25='לוח בקרה'!$B$2,S25='לוח בקרה'!$B$2,T25='לוח בקרה'!$B$2)</f>
        <v/>
      </c>
      <c r="AF25">
        <f>AND(AE25,OR(AND(O25="כן",U25="כן"),AND(P25="כן",V25="כן")))</f>
        <v/>
      </c>
      <c r="AG25">
        <f>AND(AE25,OR(O25="כן",P25="כן"),NOT(OR(AND(O25="כן",U25="כן"),AND(P25="כן",V25="כן"))))</f>
        <v/>
      </c>
      <c r="AH25">
        <f>AND(AE25,OR(U25="כן",V25="כן"),NOT(OR(O25="כן",P25="כן")))</f>
        <v/>
      </c>
      <c r="AI25">
        <f>AND(X25="מושאל",AB25&lt;&gt;"",AB25&lt;TODAY())</f>
        <v/>
      </c>
    </row>
    <row r="26">
      <c r="E26">
        <f>IFERROR(INDEX('הגדרות'!$D$104:$D$123,MATCH(B26&amp;G26&amp;C26,'הגדרות'!$A$104:$A$123&amp;'הגדרות'!$B$104:$B$123&amp;'הגדרות'!$C$104:$C$123,0)),"")</f>
        <v/>
      </c>
      <c r="F26" s="6" t="n"/>
      <c r="Q26">
        <f>IFERROR(VLOOKUP(M26,'הגדרות'!$A$11:$D$25,2,FALSE),"")</f>
        <v/>
      </c>
      <c r="R26">
        <f>IFERROR(VLOOKUP(M26,'הגדרות'!$A$11:$D$25,3,FALSE),"")</f>
        <v/>
      </c>
      <c r="S26">
        <f>IFERROR(VLOOKUP(N26,'הגדרות'!$A$11:$D$25,2,FALSE),"")</f>
        <v/>
      </c>
      <c r="T26">
        <f>IFERROR(VLOOKUP(N26,'הגדרות'!$A$11:$D$25,3,FALSE),"")</f>
        <v/>
      </c>
      <c r="AB26" s="6" t="n"/>
      <c r="AE26">
        <f>OR(Q26='לוח בקרה'!$B$2,R26='לוח בקרה'!$B$2,S26='לוח בקרה'!$B$2,T26='לוח בקרה'!$B$2)</f>
        <v/>
      </c>
      <c r="AF26">
        <f>AND(AE26,OR(AND(O26="כן",U26="כן"),AND(P26="כן",V26="כן")))</f>
        <v/>
      </c>
      <c r="AG26">
        <f>AND(AE26,OR(O26="כן",P26="כן"),NOT(OR(AND(O26="כן",U26="כן"),AND(P26="כן",V26="כן"))))</f>
        <v/>
      </c>
      <c r="AH26">
        <f>AND(AE26,OR(U26="כן",V26="כן"),NOT(OR(O26="כן",P26="כן")))</f>
        <v/>
      </c>
      <c r="AI26">
        <f>AND(X26="מושאל",AB26&lt;&gt;"",AB26&lt;TODAY())</f>
        <v/>
      </c>
    </row>
    <row r="27">
      <c r="E27">
        <f>IFERROR(INDEX('הגדרות'!$D$104:$D$123,MATCH(B27&amp;G27&amp;C27,'הגדרות'!$A$104:$A$123&amp;'הגדרות'!$B$104:$B$123&amp;'הגדרות'!$C$104:$C$123,0)),"")</f>
        <v/>
      </c>
      <c r="F27" s="6" t="n"/>
      <c r="Q27">
        <f>IFERROR(VLOOKUP(M27,'הגדרות'!$A$11:$D$25,2,FALSE),"")</f>
        <v/>
      </c>
      <c r="R27">
        <f>IFERROR(VLOOKUP(M27,'הגדרות'!$A$11:$D$25,3,FALSE),"")</f>
        <v/>
      </c>
      <c r="S27">
        <f>IFERROR(VLOOKUP(N27,'הגדרות'!$A$11:$D$25,2,FALSE),"")</f>
        <v/>
      </c>
      <c r="T27">
        <f>IFERROR(VLOOKUP(N27,'הגדרות'!$A$11:$D$25,3,FALSE),"")</f>
        <v/>
      </c>
      <c r="AB27" s="6" t="n"/>
      <c r="AE27">
        <f>OR(Q27='לוח בקרה'!$B$2,R27='לוח בקרה'!$B$2,S27='לוח בקרה'!$B$2,T27='לוח בקרה'!$B$2)</f>
        <v/>
      </c>
      <c r="AF27">
        <f>AND(AE27,OR(AND(O27="כן",U27="כן"),AND(P27="כן",V27="כן")))</f>
        <v/>
      </c>
      <c r="AG27">
        <f>AND(AE27,OR(O27="כן",P27="כן"),NOT(OR(AND(O27="כן",U27="כן"),AND(P27="כן",V27="כן"))))</f>
        <v/>
      </c>
      <c r="AH27">
        <f>AND(AE27,OR(U27="כן",V27="כן"),NOT(OR(O27="כן",P27="כן")))</f>
        <v/>
      </c>
      <c r="AI27">
        <f>AND(X27="מושאל",AB27&lt;&gt;"",AB27&lt;TODAY())</f>
        <v/>
      </c>
    </row>
    <row r="28">
      <c r="E28">
        <f>IFERROR(INDEX('הגדרות'!$D$104:$D$123,MATCH(B28&amp;G28&amp;C28,'הגדרות'!$A$104:$A$123&amp;'הגדרות'!$B$104:$B$123&amp;'הגדרות'!$C$104:$C$123,0)),"")</f>
        <v/>
      </c>
      <c r="F28" s="6" t="n"/>
      <c r="Q28">
        <f>IFERROR(VLOOKUP(M28,'הגדרות'!$A$11:$D$25,2,FALSE),"")</f>
        <v/>
      </c>
      <c r="R28">
        <f>IFERROR(VLOOKUP(M28,'הגדרות'!$A$11:$D$25,3,FALSE),"")</f>
        <v/>
      </c>
      <c r="S28">
        <f>IFERROR(VLOOKUP(N28,'הגדרות'!$A$11:$D$25,2,FALSE),"")</f>
        <v/>
      </c>
      <c r="T28">
        <f>IFERROR(VLOOKUP(N28,'הגדרות'!$A$11:$D$25,3,FALSE),"")</f>
        <v/>
      </c>
      <c r="AB28" s="6" t="n"/>
      <c r="AE28">
        <f>OR(Q28='לוח בקרה'!$B$2,R28='לוח בקרה'!$B$2,S28='לוח בקרה'!$B$2,T28='לוח בקרה'!$B$2)</f>
        <v/>
      </c>
      <c r="AF28">
        <f>AND(AE28,OR(AND(O28="כן",U28="כן"),AND(P28="כן",V28="כן")))</f>
        <v/>
      </c>
      <c r="AG28">
        <f>AND(AE28,OR(O28="כן",P28="כן"),NOT(OR(AND(O28="כן",U28="כן"),AND(P28="כן",V28="כן"))))</f>
        <v/>
      </c>
      <c r="AH28">
        <f>AND(AE28,OR(U28="כן",V28="כן"),NOT(OR(O28="כן",P28="כן")))</f>
        <v/>
      </c>
      <c r="AI28">
        <f>AND(X28="מושאל",AB28&lt;&gt;"",AB28&lt;TODAY())</f>
        <v/>
      </c>
    </row>
    <row r="29">
      <c r="E29">
        <f>IFERROR(INDEX('הגדרות'!$D$104:$D$123,MATCH(B29&amp;G29&amp;C29,'הגדרות'!$A$104:$A$123&amp;'הגדרות'!$B$104:$B$123&amp;'הגדרות'!$C$104:$C$123,0)),"")</f>
        <v/>
      </c>
      <c r="F29" s="6" t="n"/>
      <c r="Q29">
        <f>IFERROR(VLOOKUP(M29,'הגדרות'!$A$11:$D$25,2,FALSE),"")</f>
        <v/>
      </c>
      <c r="R29">
        <f>IFERROR(VLOOKUP(M29,'הגדרות'!$A$11:$D$25,3,FALSE),"")</f>
        <v/>
      </c>
      <c r="S29">
        <f>IFERROR(VLOOKUP(N29,'הגדרות'!$A$11:$D$25,2,FALSE),"")</f>
        <v/>
      </c>
      <c r="T29">
        <f>IFERROR(VLOOKUP(N29,'הגדרות'!$A$11:$D$25,3,FALSE),"")</f>
        <v/>
      </c>
      <c r="AB29" s="6" t="n"/>
      <c r="AE29">
        <f>OR(Q29='לוח בקרה'!$B$2,R29='לוח בקרה'!$B$2,S29='לוח בקרה'!$B$2,T29='לוח בקרה'!$B$2)</f>
        <v/>
      </c>
      <c r="AF29">
        <f>AND(AE29,OR(AND(O29="כן",U29="כן"),AND(P29="כן",V29="כן")))</f>
        <v/>
      </c>
      <c r="AG29">
        <f>AND(AE29,OR(O29="כן",P29="כן"),NOT(OR(AND(O29="כן",U29="כן"),AND(P29="כן",V29="כן"))))</f>
        <v/>
      </c>
      <c r="AH29">
        <f>AND(AE29,OR(U29="כן",V29="כן"),NOT(OR(O29="כן",P29="כן")))</f>
        <v/>
      </c>
      <c r="AI29">
        <f>AND(X29="מושאל",AB29&lt;&gt;"",AB29&lt;TODAY())</f>
        <v/>
      </c>
    </row>
    <row r="30">
      <c r="E30">
        <f>IFERROR(INDEX('הגדרות'!$D$104:$D$123,MATCH(B30&amp;G30&amp;C30,'הגדרות'!$A$104:$A$123&amp;'הגדרות'!$B$104:$B$123&amp;'הגדרות'!$C$104:$C$123,0)),"")</f>
        <v/>
      </c>
      <c r="F30" s="6" t="n"/>
      <c r="Q30">
        <f>IFERROR(VLOOKUP(M30,'הגדרות'!$A$11:$D$25,2,FALSE),"")</f>
        <v/>
      </c>
      <c r="R30">
        <f>IFERROR(VLOOKUP(M30,'הגדרות'!$A$11:$D$25,3,FALSE),"")</f>
        <v/>
      </c>
      <c r="S30">
        <f>IFERROR(VLOOKUP(N30,'הגדרות'!$A$11:$D$25,2,FALSE),"")</f>
        <v/>
      </c>
      <c r="T30">
        <f>IFERROR(VLOOKUP(N30,'הגדרות'!$A$11:$D$25,3,FALSE),"")</f>
        <v/>
      </c>
      <c r="AB30" s="6" t="n"/>
      <c r="AE30">
        <f>OR(Q30='לוח בקרה'!$B$2,R30='לוח בקרה'!$B$2,S30='לוח בקרה'!$B$2,T30='לוח בקרה'!$B$2)</f>
        <v/>
      </c>
      <c r="AF30">
        <f>AND(AE30,OR(AND(O30="כן",U30="כן"),AND(P30="כן",V30="כן")))</f>
        <v/>
      </c>
      <c r="AG30">
        <f>AND(AE30,OR(O30="כן",P30="כן"),NOT(OR(AND(O30="כן",U30="כן"),AND(P30="כן",V30="כן"))))</f>
        <v/>
      </c>
      <c r="AH30">
        <f>AND(AE30,OR(U30="כן",V30="כן"),NOT(OR(O30="כן",P30="כן")))</f>
        <v/>
      </c>
      <c r="AI30">
        <f>AND(X30="מושאל",AB30&lt;&gt;"",AB30&lt;TODAY())</f>
        <v/>
      </c>
    </row>
    <row r="31">
      <c r="E31">
        <f>IFERROR(INDEX('הגדרות'!$D$104:$D$123,MATCH(B31&amp;G31&amp;C31,'הגדרות'!$A$104:$A$123&amp;'הגדרות'!$B$104:$B$123&amp;'הגדרות'!$C$104:$C$123,0)),"")</f>
        <v/>
      </c>
      <c r="F31" s="6" t="n"/>
      <c r="Q31">
        <f>IFERROR(VLOOKUP(M31,'הגדרות'!$A$11:$D$25,2,FALSE),"")</f>
        <v/>
      </c>
      <c r="R31">
        <f>IFERROR(VLOOKUP(M31,'הגדרות'!$A$11:$D$25,3,FALSE),"")</f>
        <v/>
      </c>
      <c r="S31">
        <f>IFERROR(VLOOKUP(N31,'הגדרות'!$A$11:$D$25,2,FALSE),"")</f>
        <v/>
      </c>
      <c r="T31">
        <f>IFERROR(VLOOKUP(N31,'הגדרות'!$A$11:$D$25,3,FALSE),"")</f>
        <v/>
      </c>
      <c r="AB31" s="6" t="n"/>
      <c r="AE31">
        <f>OR(Q31='לוח בקרה'!$B$2,R31='לוח בקרה'!$B$2,S31='לוח בקרה'!$B$2,T31='לוח בקרה'!$B$2)</f>
        <v/>
      </c>
      <c r="AF31">
        <f>AND(AE31,OR(AND(O31="כן",U31="כן"),AND(P31="כן",V31="כן")))</f>
        <v/>
      </c>
      <c r="AG31">
        <f>AND(AE31,OR(O31="כן",P31="כן"),NOT(OR(AND(O31="כן",U31="כן"),AND(P31="כן",V31="כן"))))</f>
        <v/>
      </c>
      <c r="AH31">
        <f>AND(AE31,OR(U31="כן",V31="כן"),NOT(OR(O31="כן",P31="כן")))</f>
        <v/>
      </c>
      <c r="AI31">
        <f>AND(X31="מושאל",AB31&lt;&gt;"",AB31&lt;TODAY())</f>
        <v/>
      </c>
    </row>
    <row r="32">
      <c r="E32">
        <f>IFERROR(INDEX('הגדרות'!$D$104:$D$123,MATCH(B32&amp;G32&amp;C32,'הגדרות'!$A$104:$A$123&amp;'הגדרות'!$B$104:$B$123&amp;'הגדרות'!$C$104:$C$123,0)),"")</f>
        <v/>
      </c>
      <c r="F32" s="6" t="n"/>
      <c r="Q32">
        <f>IFERROR(VLOOKUP(M32,'הגדרות'!$A$11:$D$25,2,FALSE),"")</f>
        <v/>
      </c>
      <c r="R32">
        <f>IFERROR(VLOOKUP(M32,'הגדרות'!$A$11:$D$25,3,FALSE),"")</f>
        <v/>
      </c>
      <c r="S32">
        <f>IFERROR(VLOOKUP(N32,'הגדרות'!$A$11:$D$25,2,FALSE),"")</f>
        <v/>
      </c>
      <c r="T32">
        <f>IFERROR(VLOOKUP(N32,'הגדרות'!$A$11:$D$25,3,FALSE),"")</f>
        <v/>
      </c>
      <c r="AB32" s="6" t="n"/>
      <c r="AE32">
        <f>OR(Q32='לוח בקרה'!$B$2,R32='לוח בקרה'!$B$2,S32='לוח בקרה'!$B$2,T32='לוח בקרה'!$B$2)</f>
        <v/>
      </c>
      <c r="AF32">
        <f>AND(AE32,OR(AND(O32="כן",U32="כן"),AND(P32="כן",V32="כן")))</f>
        <v/>
      </c>
      <c r="AG32">
        <f>AND(AE32,OR(O32="כן",P32="כן"),NOT(OR(AND(O32="כן",U32="כן"),AND(P32="כן",V32="כן"))))</f>
        <v/>
      </c>
      <c r="AH32">
        <f>AND(AE32,OR(U32="כן",V32="כן"),NOT(OR(O32="כן",P32="כן")))</f>
        <v/>
      </c>
      <c r="AI32">
        <f>AND(X32="מושאל",AB32&lt;&gt;"",AB32&lt;TODAY())</f>
        <v/>
      </c>
    </row>
    <row r="33">
      <c r="E33">
        <f>IFERROR(INDEX('הגדרות'!$D$104:$D$123,MATCH(B33&amp;G33&amp;C33,'הגדרות'!$A$104:$A$123&amp;'הגדרות'!$B$104:$B$123&amp;'הגדרות'!$C$104:$C$123,0)),"")</f>
        <v/>
      </c>
      <c r="F33" s="6" t="n"/>
      <c r="Q33">
        <f>IFERROR(VLOOKUP(M33,'הגדרות'!$A$11:$D$25,2,FALSE),"")</f>
        <v/>
      </c>
      <c r="R33">
        <f>IFERROR(VLOOKUP(M33,'הגדרות'!$A$11:$D$25,3,FALSE),"")</f>
        <v/>
      </c>
      <c r="S33">
        <f>IFERROR(VLOOKUP(N33,'הגדרות'!$A$11:$D$25,2,FALSE),"")</f>
        <v/>
      </c>
      <c r="T33">
        <f>IFERROR(VLOOKUP(N33,'הגדרות'!$A$11:$D$25,3,FALSE),"")</f>
        <v/>
      </c>
      <c r="AB33" s="6" t="n"/>
      <c r="AE33">
        <f>OR(Q33='לוח בקרה'!$B$2,R33='לוח בקרה'!$B$2,S33='לוח בקרה'!$B$2,T33='לוח בקרה'!$B$2)</f>
        <v/>
      </c>
      <c r="AF33">
        <f>AND(AE33,OR(AND(O33="כן",U33="כן"),AND(P33="כן",V33="כן")))</f>
        <v/>
      </c>
      <c r="AG33">
        <f>AND(AE33,OR(O33="כן",P33="כן"),NOT(OR(AND(O33="כן",U33="כן"),AND(P33="כן",V33="כן"))))</f>
        <v/>
      </c>
      <c r="AH33">
        <f>AND(AE33,OR(U33="כן",V33="כן"),NOT(OR(O33="כן",P33="כן")))</f>
        <v/>
      </c>
      <c r="AI33">
        <f>AND(X33="מושאל",AB33&lt;&gt;"",AB33&lt;TODAY())</f>
        <v/>
      </c>
    </row>
    <row r="34">
      <c r="E34">
        <f>IFERROR(INDEX('הגדרות'!$D$104:$D$123,MATCH(B34&amp;G34&amp;C34,'הגדרות'!$A$104:$A$123&amp;'הגדרות'!$B$104:$B$123&amp;'הגדרות'!$C$104:$C$123,0)),"")</f>
        <v/>
      </c>
      <c r="F34" s="6" t="n"/>
      <c r="Q34">
        <f>IFERROR(VLOOKUP(M34,'הגדרות'!$A$11:$D$25,2,FALSE),"")</f>
        <v/>
      </c>
      <c r="R34">
        <f>IFERROR(VLOOKUP(M34,'הגדרות'!$A$11:$D$25,3,FALSE),"")</f>
        <v/>
      </c>
      <c r="S34">
        <f>IFERROR(VLOOKUP(N34,'הגדרות'!$A$11:$D$25,2,FALSE),"")</f>
        <v/>
      </c>
      <c r="T34">
        <f>IFERROR(VLOOKUP(N34,'הגדרות'!$A$11:$D$25,3,FALSE),"")</f>
        <v/>
      </c>
      <c r="AB34" s="6" t="n"/>
      <c r="AE34">
        <f>OR(Q34='לוח בקרה'!$B$2,R34='לוח בקרה'!$B$2,S34='לוח בקרה'!$B$2,T34='לוח בקרה'!$B$2)</f>
        <v/>
      </c>
      <c r="AF34">
        <f>AND(AE34,OR(AND(O34="כן",U34="כן"),AND(P34="כן",V34="כן")))</f>
        <v/>
      </c>
      <c r="AG34">
        <f>AND(AE34,OR(O34="כן",P34="כן"),NOT(OR(AND(O34="כן",U34="כן"),AND(P34="כן",V34="כן"))))</f>
        <v/>
      </c>
      <c r="AH34">
        <f>AND(AE34,OR(U34="כן",V34="כן"),NOT(OR(O34="כן",P34="כן")))</f>
        <v/>
      </c>
      <c r="AI34">
        <f>AND(X34="מושאל",AB34&lt;&gt;"",AB34&lt;TODAY())</f>
        <v/>
      </c>
    </row>
    <row r="35">
      <c r="E35">
        <f>IFERROR(INDEX('הגדרות'!$D$104:$D$123,MATCH(B35&amp;G35&amp;C35,'הגדרות'!$A$104:$A$123&amp;'הגדרות'!$B$104:$B$123&amp;'הגדרות'!$C$104:$C$123,0)),"")</f>
        <v/>
      </c>
      <c r="F35" s="6" t="n"/>
      <c r="Q35">
        <f>IFERROR(VLOOKUP(M35,'הגדרות'!$A$11:$D$25,2,FALSE),"")</f>
        <v/>
      </c>
      <c r="R35">
        <f>IFERROR(VLOOKUP(M35,'הגדרות'!$A$11:$D$25,3,FALSE),"")</f>
        <v/>
      </c>
      <c r="S35">
        <f>IFERROR(VLOOKUP(N35,'הגדרות'!$A$11:$D$25,2,FALSE),"")</f>
        <v/>
      </c>
      <c r="T35">
        <f>IFERROR(VLOOKUP(N35,'הגדרות'!$A$11:$D$25,3,FALSE),"")</f>
        <v/>
      </c>
      <c r="AB35" s="6" t="n"/>
      <c r="AE35">
        <f>OR(Q35='לוח בקרה'!$B$2,R35='לוח בקרה'!$B$2,S35='לוח בקרה'!$B$2,T35='לוח בקרה'!$B$2)</f>
        <v/>
      </c>
      <c r="AF35">
        <f>AND(AE35,OR(AND(O35="כן",U35="כן"),AND(P35="כן",V35="כן")))</f>
        <v/>
      </c>
      <c r="AG35">
        <f>AND(AE35,OR(O35="כן",P35="כן"),NOT(OR(AND(O35="כן",U35="כן"),AND(P35="כן",V35="כן"))))</f>
        <v/>
      </c>
      <c r="AH35">
        <f>AND(AE35,OR(U35="כן",V35="כן"),NOT(OR(O35="כן",P35="כן")))</f>
        <v/>
      </c>
      <c r="AI35">
        <f>AND(X35="מושאל",AB35&lt;&gt;"",AB35&lt;TODAY())</f>
        <v/>
      </c>
    </row>
    <row r="36">
      <c r="E36">
        <f>IFERROR(INDEX('הגדרות'!$D$104:$D$123,MATCH(B36&amp;G36&amp;C36,'הגדרות'!$A$104:$A$123&amp;'הגדרות'!$B$104:$B$123&amp;'הגדרות'!$C$104:$C$123,0)),"")</f>
        <v/>
      </c>
      <c r="F36" s="6" t="n"/>
      <c r="Q36">
        <f>IFERROR(VLOOKUP(M36,'הגדרות'!$A$11:$D$25,2,FALSE),"")</f>
        <v/>
      </c>
      <c r="R36">
        <f>IFERROR(VLOOKUP(M36,'הגדרות'!$A$11:$D$25,3,FALSE),"")</f>
        <v/>
      </c>
      <c r="S36">
        <f>IFERROR(VLOOKUP(N36,'הגדרות'!$A$11:$D$25,2,FALSE),"")</f>
        <v/>
      </c>
      <c r="T36">
        <f>IFERROR(VLOOKUP(N36,'הגדרות'!$A$11:$D$25,3,FALSE),"")</f>
        <v/>
      </c>
      <c r="AB36" s="6" t="n"/>
      <c r="AE36">
        <f>OR(Q36='לוח בקרה'!$B$2,R36='לוח בקרה'!$B$2,S36='לוח בקרה'!$B$2,T36='לוח בקרה'!$B$2)</f>
        <v/>
      </c>
      <c r="AF36">
        <f>AND(AE36,OR(AND(O36="כן",U36="כן"),AND(P36="כן",V36="כן")))</f>
        <v/>
      </c>
      <c r="AG36">
        <f>AND(AE36,OR(O36="כן",P36="כן"),NOT(OR(AND(O36="כן",U36="כן"),AND(P36="כן",V36="כן"))))</f>
        <v/>
      </c>
      <c r="AH36">
        <f>AND(AE36,OR(U36="כן",V36="כן"),NOT(OR(O36="כן",P36="כן")))</f>
        <v/>
      </c>
      <c r="AI36">
        <f>AND(X36="מושאל",AB36&lt;&gt;"",AB36&lt;TODAY())</f>
        <v/>
      </c>
    </row>
    <row r="37">
      <c r="E37">
        <f>IFERROR(INDEX('הגדרות'!$D$104:$D$123,MATCH(B37&amp;G37&amp;C37,'הגדרות'!$A$104:$A$123&amp;'הגדרות'!$B$104:$B$123&amp;'הגדרות'!$C$104:$C$123,0)),"")</f>
        <v/>
      </c>
      <c r="F37" s="6" t="n"/>
      <c r="Q37">
        <f>IFERROR(VLOOKUP(M37,'הגדרות'!$A$11:$D$25,2,FALSE),"")</f>
        <v/>
      </c>
      <c r="R37">
        <f>IFERROR(VLOOKUP(M37,'הגדרות'!$A$11:$D$25,3,FALSE),"")</f>
        <v/>
      </c>
      <c r="S37">
        <f>IFERROR(VLOOKUP(N37,'הגדרות'!$A$11:$D$25,2,FALSE),"")</f>
        <v/>
      </c>
      <c r="T37">
        <f>IFERROR(VLOOKUP(N37,'הגדרות'!$A$11:$D$25,3,FALSE),"")</f>
        <v/>
      </c>
      <c r="AB37" s="6" t="n"/>
      <c r="AE37">
        <f>OR(Q37='לוח בקרה'!$B$2,R37='לוח בקרה'!$B$2,S37='לוח בקרה'!$B$2,T37='לוח בקרה'!$B$2)</f>
        <v/>
      </c>
      <c r="AF37">
        <f>AND(AE37,OR(AND(O37="כן",U37="כן"),AND(P37="כן",V37="כן")))</f>
        <v/>
      </c>
      <c r="AG37">
        <f>AND(AE37,OR(O37="כן",P37="כן"),NOT(OR(AND(O37="כן",U37="כן"),AND(P37="כן",V37="כן"))))</f>
        <v/>
      </c>
      <c r="AH37">
        <f>AND(AE37,OR(U37="כן",V37="כן"),NOT(OR(O37="כן",P37="כן")))</f>
        <v/>
      </c>
      <c r="AI37">
        <f>AND(X37="מושאל",AB37&lt;&gt;"",AB37&lt;TODAY())</f>
        <v/>
      </c>
    </row>
    <row r="38">
      <c r="E38">
        <f>IFERROR(INDEX('הגדרות'!$D$104:$D$123,MATCH(B38&amp;G38&amp;C38,'הגדרות'!$A$104:$A$123&amp;'הגדרות'!$B$104:$B$123&amp;'הגדרות'!$C$104:$C$123,0)),"")</f>
        <v/>
      </c>
      <c r="F38" s="6" t="n"/>
      <c r="Q38">
        <f>IFERROR(VLOOKUP(M38,'הגדרות'!$A$11:$D$25,2,FALSE),"")</f>
        <v/>
      </c>
      <c r="R38">
        <f>IFERROR(VLOOKUP(M38,'הגדרות'!$A$11:$D$25,3,FALSE),"")</f>
        <v/>
      </c>
      <c r="S38">
        <f>IFERROR(VLOOKUP(N38,'הגדרות'!$A$11:$D$25,2,FALSE),"")</f>
        <v/>
      </c>
      <c r="T38">
        <f>IFERROR(VLOOKUP(N38,'הגדרות'!$A$11:$D$25,3,FALSE),"")</f>
        <v/>
      </c>
      <c r="AB38" s="6" t="n"/>
      <c r="AE38">
        <f>OR(Q38='לוח בקרה'!$B$2,R38='לוח בקרה'!$B$2,S38='לוח בקרה'!$B$2,T38='לוח בקרה'!$B$2)</f>
        <v/>
      </c>
      <c r="AF38">
        <f>AND(AE38,OR(AND(O38="כן",U38="כן"),AND(P38="כן",V38="כן")))</f>
        <v/>
      </c>
      <c r="AG38">
        <f>AND(AE38,OR(O38="כן",P38="כן"),NOT(OR(AND(O38="כן",U38="כן"),AND(P38="כן",V38="כן"))))</f>
        <v/>
      </c>
      <c r="AH38">
        <f>AND(AE38,OR(U38="כן",V38="כן"),NOT(OR(O38="כן",P38="כן")))</f>
        <v/>
      </c>
      <c r="AI38">
        <f>AND(X38="מושאל",AB38&lt;&gt;"",AB38&lt;TODAY())</f>
        <v/>
      </c>
    </row>
    <row r="39">
      <c r="E39">
        <f>IFERROR(INDEX('הגדרות'!$D$104:$D$123,MATCH(B39&amp;G39&amp;C39,'הגדרות'!$A$104:$A$123&amp;'הגדרות'!$B$104:$B$123&amp;'הגדרות'!$C$104:$C$123,0)),"")</f>
        <v/>
      </c>
      <c r="F39" s="6" t="n"/>
      <c r="Q39">
        <f>IFERROR(VLOOKUP(M39,'הגדרות'!$A$11:$D$25,2,FALSE),"")</f>
        <v/>
      </c>
      <c r="R39">
        <f>IFERROR(VLOOKUP(M39,'הגדרות'!$A$11:$D$25,3,FALSE),"")</f>
        <v/>
      </c>
      <c r="S39">
        <f>IFERROR(VLOOKUP(N39,'הגדרות'!$A$11:$D$25,2,FALSE),"")</f>
        <v/>
      </c>
      <c r="T39">
        <f>IFERROR(VLOOKUP(N39,'הגדרות'!$A$11:$D$25,3,FALSE),"")</f>
        <v/>
      </c>
      <c r="AB39" s="6" t="n"/>
      <c r="AE39">
        <f>OR(Q39='לוח בקרה'!$B$2,R39='לוח בקרה'!$B$2,S39='לוח בקרה'!$B$2,T39='לוח בקרה'!$B$2)</f>
        <v/>
      </c>
      <c r="AF39">
        <f>AND(AE39,OR(AND(O39="כן",U39="כן"),AND(P39="כן",V39="כן")))</f>
        <v/>
      </c>
      <c r="AG39">
        <f>AND(AE39,OR(O39="כן",P39="כן"),NOT(OR(AND(O39="כן",U39="כן"),AND(P39="כן",V39="כן"))))</f>
        <v/>
      </c>
      <c r="AH39">
        <f>AND(AE39,OR(U39="כן",V39="כן"),NOT(OR(O39="כן",P39="כן")))</f>
        <v/>
      </c>
      <c r="AI39">
        <f>AND(X39="מושאל",AB39&lt;&gt;"",AB39&lt;TODAY())</f>
        <v/>
      </c>
    </row>
    <row r="40">
      <c r="E40">
        <f>IFERROR(INDEX('הגדרות'!$D$104:$D$123,MATCH(B40&amp;G40&amp;C40,'הגדרות'!$A$104:$A$123&amp;'הגדרות'!$B$104:$B$123&amp;'הגדרות'!$C$104:$C$123,0)),"")</f>
        <v/>
      </c>
      <c r="F40" s="6" t="n"/>
      <c r="Q40">
        <f>IFERROR(VLOOKUP(M40,'הגדרות'!$A$11:$D$25,2,FALSE),"")</f>
        <v/>
      </c>
      <c r="R40">
        <f>IFERROR(VLOOKUP(M40,'הגדרות'!$A$11:$D$25,3,FALSE),"")</f>
        <v/>
      </c>
      <c r="S40">
        <f>IFERROR(VLOOKUP(N40,'הגדרות'!$A$11:$D$25,2,FALSE),"")</f>
        <v/>
      </c>
      <c r="T40">
        <f>IFERROR(VLOOKUP(N40,'הגדרות'!$A$11:$D$25,3,FALSE),"")</f>
        <v/>
      </c>
      <c r="AB40" s="6" t="n"/>
      <c r="AE40">
        <f>OR(Q40='לוח בקרה'!$B$2,R40='לוח בקרה'!$B$2,S40='לוח בקרה'!$B$2,T40='לוח בקרה'!$B$2)</f>
        <v/>
      </c>
      <c r="AF40">
        <f>AND(AE40,OR(AND(O40="כן",U40="כן"),AND(P40="כן",V40="כן")))</f>
        <v/>
      </c>
      <c r="AG40">
        <f>AND(AE40,OR(O40="כן",P40="כן"),NOT(OR(AND(O40="כן",U40="כן"),AND(P40="כן",V40="כן"))))</f>
        <v/>
      </c>
      <c r="AH40">
        <f>AND(AE40,OR(U40="כן",V40="כן"),NOT(OR(O40="כן",P40="כן")))</f>
        <v/>
      </c>
      <c r="AI40">
        <f>AND(X40="מושאל",AB40&lt;&gt;"",AB40&lt;TODAY())</f>
        <v/>
      </c>
    </row>
    <row r="41">
      <c r="E41">
        <f>IFERROR(INDEX('הגדרות'!$D$104:$D$123,MATCH(B41&amp;G41&amp;C41,'הגדרות'!$A$104:$A$123&amp;'הגדרות'!$B$104:$B$123&amp;'הגדרות'!$C$104:$C$123,0)),"")</f>
        <v/>
      </c>
      <c r="F41" s="6" t="n"/>
      <c r="Q41">
        <f>IFERROR(VLOOKUP(M41,'הגדרות'!$A$11:$D$25,2,FALSE),"")</f>
        <v/>
      </c>
      <c r="R41">
        <f>IFERROR(VLOOKUP(M41,'הגדרות'!$A$11:$D$25,3,FALSE),"")</f>
        <v/>
      </c>
      <c r="S41">
        <f>IFERROR(VLOOKUP(N41,'הגדרות'!$A$11:$D$25,2,FALSE),"")</f>
        <v/>
      </c>
      <c r="T41">
        <f>IFERROR(VLOOKUP(N41,'הגדרות'!$A$11:$D$25,3,FALSE),"")</f>
        <v/>
      </c>
      <c r="AB41" s="6" t="n"/>
      <c r="AE41">
        <f>OR(Q41='לוח בקרה'!$B$2,R41='לוח בקרה'!$B$2,S41='לוח בקרה'!$B$2,T41='לוח בקרה'!$B$2)</f>
        <v/>
      </c>
      <c r="AF41">
        <f>AND(AE41,OR(AND(O41="כן",U41="כן"),AND(P41="כן",V41="כן")))</f>
        <v/>
      </c>
      <c r="AG41">
        <f>AND(AE41,OR(O41="כן",P41="כן"),NOT(OR(AND(O41="כן",U41="כן"),AND(P41="כן",V41="כן"))))</f>
        <v/>
      </c>
      <c r="AH41">
        <f>AND(AE41,OR(U41="כן",V41="כן"),NOT(OR(O41="כן",P41="כן")))</f>
        <v/>
      </c>
      <c r="AI41">
        <f>AND(X41="מושאל",AB41&lt;&gt;"",AB41&lt;TODAY())</f>
        <v/>
      </c>
    </row>
    <row r="42">
      <c r="E42">
        <f>IFERROR(INDEX('הגדרות'!$D$104:$D$123,MATCH(B42&amp;G42&amp;C42,'הגדרות'!$A$104:$A$123&amp;'הגדרות'!$B$104:$B$123&amp;'הגדרות'!$C$104:$C$123,0)),"")</f>
        <v/>
      </c>
      <c r="F42" s="6" t="n"/>
      <c r="Q42">
        <f>IFERROR(VLOOKUP(M42,'הגדרות'!$A$11:$D$25,2,FALSE),"")</f>
        <v/>
      </c>
      <c r="R42">
        <f>IFERROR(VLOOKUP(M42,'הגדרות'!$A$11:$D$25,3,FALSE),"")</f>
        <v/>
      </c>
      <c r="S42">
        <f>IFERROR(VLOOKUP(N42,'הגדרות'!$A$11:$D$25,2,FALSE),"")</f>
        <v/>
      </c>
      <c r="T42">
        <f>IFERROR(VLOOKUP(N42,'הגדרות'!$A$11:$D$25,3,FALSE),"")</f>
        <v/>
      </c>
      <c r="AB42" s="6" t="n"/>
      <c r="AE42">
        <f>OR(Q42='לוח בקרה'!$B$2,R42='לוח בקרה'!$B$2,S42='לוח בקרה'!$B$2,T42='לוח בקרה'!$B$2)</f>
        <v/>
      </c>
      <c r="AF42">
        <f>AND(AE42,OR(AND(O42="כן",U42="כן"),AND(P42="כן",V42="כן")))</f>
        <v/>
      </c>
      <c r="AG42">
        <f>AND(AE42,OR(O42="כן",P42="כן"),NOT(OR(AND(O42="כן",U42="כן"),AND(P42="כן",V42="כן"))))</f>
        <v/>
      </c>
      <c r="AH42">
        <f>AND(AE42,OR(U42="כן",V42="כן"),NOT(OR(O42="כן",P42="כן")))</f>
        <v/>
      </c>
      <c r="AI42">
        <f>AND(X42="מושאל",AB42&lt;&gt;"",AB42&lt;TODAY())</f>
        <v/>
      </c>
    </row>
    <row r="43">
      <c r="E43">
        <f>IFERROR(INDEX('הגדרות'!$D$104:$D$123,MATCH(B43&amp;G43&amp;C43,'הגדרות'!$A$104:$A$123&amp;'הגדרות'!$B$104:$B$123&amp;'הגדרות'!$C$104:$C$123,0)),"")</f>
        <v/>
      </c>
      <c r="F43" s="6" t="n"/>
      <c r="Q43">
        <f>IFERROR(VLOOKUP(M43,'הגדרות'!$A$11:$D$25,2,FALSE),"")</f>
        <v/>
      </c>
      <c r="R43">
        <f>IFERROR(VLOOKUP(M43,'הגדרות'!$A$11:$D$25,3,FALSE),"")</f>
        <v/>
      </c>
      <c r="S43">
        <f>IFERROR(VLOOKUP(N43,'הגדרות'!$A$11:$D$25,2,FALSE),"")</f>
        <v/>
      </c>
      <c r="T43">
        <f>IFERROR(VLOOKUP(N43,'הגדרות'!$A$11:$D$25,3,FALSE),"")</f>
        <v/>
      </c>
      <c r="AB43" s="6" t="n"/>
      <c r="AE43">
        <f>OR(Q43='לוח בקרה'!$B$2,R43='לוח בקרה'!$B$2,S43='לוח בקרה'!$B$2,T43='לוח בקרה'!$B$2)</f>
        <v/>
      </c>
      <c r="AF43">
        <f>AND(AE43,OR(AND(O43="כן",U43="כן"),AND(P43="כן",V43="כן")))</f>
        <v/>
      </c>
      <c r="AG43">
        <f>AND(AE43,OR(O43="כן",P43="כן"),NOT(OR(AND(O43="כן",U43="כן"),AND(P43="כן",V43="כן"))))</f>
        <v/>
      </c>
      <c r="AH43">
        <f>AND(AE43,OR(U43="כן",V43="כן"),NOT(OR(O43="כן",P43="כן")))</f>
        <v/>
      </c>
      <c r="AI43">
        <f>AND(X43="מושאל",AB43&lt;&gt;"",AB43&lt;TODAY())</f>
        <v/>
      </c>
    </row>
    <row r="44">
      <c r="E44">
        <f>IFERROR(INDEX('הגדרות'!$D$104:$D$123,MATCH(B44&amp;G44&amp;C44,'הגדרות'!$A$104:$A$123&amp;'הגדרות'!$B$104:$B$123&amp;'הגדרות'!$C$104:$C$123,0)),"")</f>
        <v/>
      </c>
      <c r="F44" s="6" t="n"/>
      <c r="Q44">
        <f>IFERROR(VLOOKUP(M44,'הגדרות'!$A$11:$D$25,2,FALSE),"")</f>
        <v/>
      </c>
      <c r="R44">
        <f>IFERROR(VLOOKUP(M44,'הגדרות'!$A$11:$D$25,3,FALSE),"")</f>
        <v/>
      </c>
      <c r="S44">
        <f>IFERROR(VLOOKUP(N44,'הגדרות'!$A$11:$D$25,2,FALSE),"")</f>
        <v/>
      </c>
      <c r="T44">
        <f>IFERROR(VLOOKUP(N44,'הגדרות'!$A$11:$D$25,3,FALSE),"")</f>
        <v/>
      </c>
      <c r="AB44" s="6" t="n"/>
      <c r="AE44">
        <f>OR(Q44='לוח בקרה'!$B$2,R44='לוח בקרה'!$B$2,S44='לוח בקרה'!$B$2,T44='לוח בקרה'!$B$2)</f>
        <v/>
      </c>
      <c r="AF44">
        <f>AND(AE44,OR(AND(O44="כן",U44="כן"),AND(P44="כן",V44="כן")))</f>
        <v/>
      </c>
      <c r="AG44">
        <f>AND(AE44,OR(O44="כן",P44="כן"),NOT(OR(AND(O44="כן",U44="כן"),AND(P44="כן",V44="כן"))))</f>
        <v/>
      </c>
      <c r="AH44">
        <f>AND(AE44,OR(U44="כן",V44="כן"),NOT(OR(O44="כן",P44="כן")))</f>
        <v/>
      </c>
      <c r="AI44">
        <f>AND(X44="מושאל",AB44&lt;&gt;"",AB44&lt;TODAY())</f>
        <v/>
      </c>
    </row>
    <row r="45">
      <c r="E45">
        <f>IFERROR(INDEX('הגדרות'!$D$104:$D$123,MATCH(B45&amp;G45&amp;C45,'הגדרות'!$A$104:$A$123&amp;'הגדרות'!$B$104:$B$123&amp;'הגדרות'!$C$104:$C$123,0)),"")</f>
        <v/>
      </c>
      <c r="F45" s="6" t="n"/>
      <c r="Q45">
        <f>IFERROR(VLOOKUP(M45,'הגדרות'!$A$11:$D$25,2,FALSE),"")</f>
        <v/>
      </c>
      <c r="R45">
        <f>IFERROR(VLOOKUP(M45,'הגדרות'!$A$11:$D$25,3,FALSE),"")</f>
        <v/>
      </c>
      <c r="S45">
        <f>IFERROR(VLOOKUP(N45,'הגדרות'!$A$11:$D$25,2,FALSE),"")</f>
        <v/>
      </c>
      <c r="T45">
        <f>IFERROR(VLOOKUP(N45,'הגדרות'!$A$11:$D$25,3,FALSE),"")</f>
        <v/>
      </c>
      <c r="AB45" s="6" t="n"/>
      <c r="AE45">
        <f>OR(Q45='לוח בקרה'!$B$2,R45='לוח בקרה'!$B$2,S45='לוח בקרה'!$B$2,T45='לוח בקרה'!$B$2)</f>
        <v/>
      </c>
      <c r="AF45">
        <f>AND(AE45,OR(AND(O45="כן",U45="כן"),AND(P45="כן",V45="כן")))</f>
        <v/>
      </c>
      <c r="AG45">
        <f>AND(AE45,OR(O45="כן",P45="כן"),NOT(OR(AND(O45="כן",U45="כן"),AND(P45="כן",V45="כן"))))</f>
        <v/>
      </c>
      <c r="AH45">
        <f>AND(AE45,OR(U45="כן",V45="כן"),NOT(OR(O45="כן",P45="כן")))</f>
        <v/>
      </c>
      <c r="AI45">
        <f>AND(X45="מושאל",AB45&lt;&gt;"",AB45&lt;TODAY())</f>
        <v/>
      </c>
    </row>
    <row r="46">
      <c r="E46">
        <f>IFERROR(INDEX('הגדרות'!$D$104:$D$123,MATCH(B46&amp;G46&amp;C46,'הגדרות'!$A$104:$A$123&amp;'הגדרות'!$B$104:$B$123&amp;'הגדרות'!$C$104:$C$123,0)),"")</f>
        <v/>
      </c>
      <c r="F46" s="6" t="n"/>
      <c r="Q46">
        <f>IFERROR(VLOOKUP(M46,'הגדרות'!$A$11:$D$25,2,FALSE),"")</f>
        <v/>
      </c>
      <c r="R46">
        <f>IFERROR(VLOOKUP(M46,'הגדרות'!$A$11:$D$25,3,FALSE),"")</f>
        <v/>
      </c>
      <c r="S46">
        <f>IFERROR(VLOOKUP(N46,'הגדרות'!$A$11:$D$25,2,FALSE),"")</f>
        <v/>
      </c>
      <c r="T46">
        <f>IFERROR(VLOOKUP(N46,'הגדרות'!$A$11:$D$25,3,FALSE),"")</f>
        <v/>
      </c>
      <c r="AB46" s="6" t="n"/>
      <c r="AE46">
        <f>OR(Q46='לוח בקרה'!$B$2,R46='לוח בקרה'!$B$2,S46='לוח בקרה'!$B$2,T46='לוח בקרה'!$B$2)</f>
        <v/>
      </c>
      <c r="AF46">
        <f>AND(AE46,OR(AND(O46="כן",U46="כן"),AND(P46="כן",V46="כן")))</f>
        <v/>
      </c>
      <c r="AG46">
        <f>AND(AE46,OR(O46="כן",P46="כן"),NOT(OR(AND(O46="כן",U46="כן"),AND(P46="כן",V46="כן"))))</f>
        <v/>
      </c>
      <c r="AH46">
        <f>AND(AE46,OR(U46="כן",V46="כן"),NOT(OR(O46="כן",P46="כן")))</f>
        <v/>
      </c>
      <c r="AI46">
        <f>AND(X46="מושאל",AB46&lt;&gt;"",AB46&lt;TODAY())</f>
        <v/>
      </c>
    </row>
    <row r="47">
      <c r="E47">
        <f>IFERROR(INDEX('הגדרות'!$D$104:$D$123,MATCH(B47&amp;G47&amp;C47,'הגדרות'!$A$104:$A$123&amp;'הגדרות'!$B$104:$B$123&amp;'הגדרות'!$C$104:$C$123,0)),"")</f>
        <v/>
      </c>
      <c r="F47" s="6" t="n"/>
      <c r="Q47">
        <f>IFERROR(VLOOKUP(M47,'הגדרות'!$A$11:$D$25,2,FALSE),"")</f>
        <v/>
      </c>
      <c r="R47">
        <f>IFERROR(VLOOKUP(M47,'הגדרות'!$A$11:$D$25,3,FALSE),"")</f>
        <v/>
      </c>
      <c r="S47">
        <f>IFERROR(VLOOKUP(N47,'הגדרות'!$A$11:$D$25,2,FALSE),"")</f>
        <v/>
      </c>
      <c r="T47">
        <f>IFERROR(VLOOKUP(N47,'הגדרות'!$A$11:$D$25,3,FALSE),"")</f>
        <v/>
      </c>
      <c r="AB47" s="6" t="n"/>
      <c r="AE47">
        <f>OR(Q47='לוח בקרה'!$B$2,R47='לוח בקרה'!$B$2,S47='לוח בקרה'!$B$2,T47='לוח בקרה'!$B$2)</f>
        <v/>
      </c>
      <c r="AF47">
        <f>AND(AE47,OR(AND(O47="כן",U47="כן"),AND(P47="כן",V47="כן")))</f>
        <v/>
      </c>
      <c r="AG47">
        <f>AND(AE47,OR(O47="כן",P47="כן"),NOT(OR(AND(O47="כן",U47="כן"),AND(P47="כן",V47="כן"))))</f>
        <v/>
      </c>
      <c r="AH47">
        <f>AND(AE47,OR(U47="כן",V47="כן"),NOT(OR(O47="כן",P47="כן")))</f>
        <v/>
      </c>
      <c r="AI47">
        <f>AND(X47="מושאל",AB47&lt;&gt;"",AB47&lt;TODAY())</f>
        <v/>
      </c>
    </row>
    <row r="48">
      <c r="E48">
        <f>IFERROR(INDEX('הגדרות'!$D$104:$D$123,MATCH(B48&amp;G48&amp;C48,'הגדרות'!$A$104:$A$123&amp;'הגדרות'!$B$104:$B$123&amp;'הגדרות'!$C$104:$C$123,0)),"")</f>
        <v/>
      </c>
      <c r="F48" s="6" t="n"/>
      <c r="Q48">
        <f>IFERROR(VLOOKUP(M48,'הגדרות'!$A$11:$D$25,2,FALSE),"")</f>
        <v/>
      </c>
      <c r="R48">
        <f>IFERROR(VLOOKUP(M48,'הגדרות'!$A$11:$D$25,3,FALSE),"")</f>
        <v/>
      </c>
      <c r="S48">
        <f>IFERROR(VLOOKUP(N48,'הגדרות'!$A$11:$D$25,2,FALSE),"")</f>
        <v/>
      </c>
      <c r="T48">
        <f>IFERROR(VLOOKUP(N48,'הגדרות'!$A$11:$D$25,3,FALSE),"")</f>
        <v/>
      </c>
      <c r="AB48" s="6" t="n"/>
      <c r="AE48">
        <f>OR(Q48='לוח בקרה'!$B$2,R48='לוח בקרה'!$B$2,S48='לוח בקרה'!$B$2,T48='לוח בקרה'!$B$2)</f>
        <v/>
      </c>
      <c r="AF48">
        <f>AND(AE48,OR(AND(O48="כן",U48="כן"),AND(P48="כן",V48="כן")))</f>
        <v/>
      </c>
      <c r="AG48">
        <f>AND(AE48,OR(O48="כן",P48="כן"),NOT(OR(AND(O48="כן",U48="כן"),AND(P48="כן",V48="כן"))))</f>
        <v/>
      </c>
      <c r="AH48">
        <f>AND(AE48,OR(U48="כן",V48="כן"),NOT(OR(O48="כן",P48="כן")))</f>
        <v/>
      </c>
      <c r="AI48">
        <f>AND(X48="מושאל",AB48&lt;&gt;"",AB48&lt;TODAY())</f>
        <v/>
      </c>
    </row>
    <row r="49">
      <c r="E49">
        <f>IFERROR(INDEX('הגדרות'!$D$104:$D$123,MATCH(B49&amp;G49&amp;C49,'הגדרות'!$A$104:$A$123&amp;'הגדרות'!$B$104:$B$123&amp;'הגדרות'!$C$104:$C$123,0)),"")</f>
        <v/>
      </c>
      <c r="F49" s="6" t="n"/>
      <c r="Q49">
        <f>IFERROR(VLOOKUP(M49,'הגדרות'!$A$11:$D$25,2,FALSE),"")</f>
        <v/>
      </c>
      <c r="R49">
        <f>IFERROR(VLOOKUP(M49,'הגדרות'!$A$11:$D$25,3,FALSE),"")</f>
        <v/>
      </c>
      <c r="S49">
        <f>IFERROR(VLOOKUP(N49,'הגדרות'!$A$11:$D$25,2,FALSE),"")</f>
        <v/>
      </c>
      <c r="T49">
        <f>IFERROR(VLOOKUP(N49,'הגדרות'!$A$11:$D$25,3,FALSE),"")</f>
        <v/>
      </c>
      <c r="AB49" s="6" t="n"/>
      <c r="AE49">
        <f>OR(Q49='לוח בקרה'!$B$2,R49='לוח בקרה'!$B$2,S49='לוח בקרה'!$B$2,T49='לוח בקרה'!$B$2)</f>
        <v/>
      </c>
      <c r="AF49">
        <f>AND(AE49,OR(AND(O49="כן",U49="כן"),AND(P49="כן",V49="כן")))</f>
        <v/>
      </c>
      <c r="AG49">
        <f>AND(AE49,OR(O49="כן",P49="כן"),NOT(OR(AND(O49="כן",U49="כן"),AND(P49="כן",V49="כן"))))</f>
        <v/>
      </c>
      <c r="AH49">
        <f>AND(AE49,OR(U49="כן",V49="כן"),NOT(OR(O49="כן",P49="כן")))</f>
        <v/>
      </c>
      <c r="AI49">
        <f>AND(X49="מושאל",AB49&lt;&gt;"",AB49&lt;TODAY())</f>
        <v/>
      </c>
    </row>
    <row r="50">
      <c r="E50">
        <f>IFERROR(INDEX('הגדרות'!$D$104:$D$123,MATCH(B50&amp;G50&amp;C50,'הגדרות'!$A$104:$A$123&amp;'הגדרות'!$B$104:$B$123&amp;'הגדרות'!$C$104:$C$123,0)),"")</f>
        <v/>
      </c>
      <c r="F50" s="6" t="n"/>
      <c r="Q50">
        <f>IFERROR(VLOOKUP(M50,'הגדרות'!$A$11:$D$25,2,FALSE),"")</f>
        <v/>
      </c>
      <c r="R50">
        <f>IFERROR(VLOOKUP(M50,'הגדרות'!$A$11:$D$25,3,FALSE),"")</f>
        <v/>
      </c>
      <c r="S50">
        <f>IFERROR(VLOOKUP(N50,'הגדרות'!$A$11:$D$25,2,FALSE),"")</f>
        <v/>
      </c>
      <c r="T50">
        <f>IFERROR(VLOOKUP(N50,'הגדרות'!$A$11:$D$25,3,FALSE),"")</f>
        <v/>
      </c>
      <c r="AB50" s="6" t="n"/>
      <c r="AE50">
        <f>OR(Q50='לוח בקרה'!$B$2,R50='לוח בקרה'!$B$2,S50='לוח בקרה'!$B$2,T50='לוח בקרה'!$B$2)</f>
        <v/>
      </c>
      <c r="AF50">
        <f>AND(AE50,OR(AND(O50="כן",U50="כן"),AND(P50="כן",V50="כן")))</f>
        <v/>
      </c>
      <c r="AG50">
        <f>AND(AE50,OR(O50="כן",P50="כן"),NOT(OR(AND(O50="כן",U50="כן"),AND(P50="כן",V50="כן"))))</f>
        <v/>
      </c>
      <c r="AH50">
        <f>AND(AE50,OR(U50="כן",V50="כן"),NOT(OR(O50="כן",P50="כן")))</f>
        <v/>
      </c>
      <c r="AI50">
        <f>AND(X50="מושאל",AB50&lt;&gt;"",AB50&lt;TODAY())</f>
        <v/>
      </c>
    </row>
    <row r="51">
      <c r="E51">
        <f>IFERROR(INDEX('הגדרות'!$D$104:$D$123,MATCH(B51&amp;G51&amp;C51,'הגדרות'!$A$104:$A$123&amp;'הגדרות'!$B$104:$B$123&amp;'הגדרות'!$C$104:$C$123,0)),"")</f>
        <v/>
      </c>
      <c r="F51" s="6" t="n"/>
      <c r="Q51">
        <f>IFERROR(VLOOKUP(M51,'הגדרות'!$A$11:$D$25,2,FALSE),"")</f>
        <v/>
      </c>
      <c r="R51">
        <f>IFERROR(VLOOKUP(M51,'הגדרות'!$A$11:$D$25,3,FALSE),"")</f>
        <v/>
      </c>
      <c r="S51">
        <f>IFERROR(VLOOKUP(N51,'הגדרות'!$A$11:$D$25,2,FALSE),"")</f>
        <v/>
      </c>
      <c r="T51">
        <f>IFERROR(VLOOKUP(N51,'הגדרות'!$A$11:$D$25,3,FALSE),"")</f>
        <v/>
      </c>
      <c r="AB51" s="6" t="n"/>
      <c r="AE51">
        <f>OR(Q51='לוח בקרה'!$B$2,R51='לוח בקרה'!$B$2,S51='לוח בקרה'!$B$2,T51='לוח בקרה'!$B$2)</f>
        <v/>
      </c>
      <c r="AF51">
        <f>AND(AE51,OR(AND(O51="כן",U51="כן"),AND(P51="כן",V51="כן")))</f>
        <v/>
      </c>
      <c r="AG51">
        <f>AND(AE51,OR(O51="כן",P51="כן"),NOT(OR(AND(O51="כן",U51="כן"),AND(P51="כן",V51="כן"))))</f>
        <v/>
      </c>
      <c r="AH51">
        <f>AND(AE51,OR(U51="כן",V51="כן"),NOT(OR(O51="כן",P51="כן")))</f>
        <v/>
      </c>
      <c r="AI51">
        <f>AND(X51="מושאל",AB51&lt;&gt;"",AB51&lt;TODAY())</f>
        <v/>
      </c>
    </row>
    <row r="52">
      <c r="E52">
        <f>IFERROR(INDEX('הגדרות'!$D$104:$D$123,MATCH(B52&amp;G52&amp;C52,'הגדרות'!$A$104:$A$123&amp;'הגדרות'!$B$104:$B$123&amp;'הגדרות'!$C$104:$C$123,0)),"")</f>
        <v/>
      </c>
      <c r="F52" s="6" t="n"/>
      <c r="Q52">
        <f>IFERROR(VLOOKUP(M52,'הגדרות'!$A$11:$D$25,2,FALSE),"")</f>
        <v/>
      </c>
      <c r="R52">
        <f>IFERROR(VLOOKUP(M52,'הגדרות'!$A$11:$D$25,3,FALSE),"")</f>
        <v/>
      </c>
      <c r="S52">
        <f>IFERROR(VLOOKUP(N52,'הגדרות'!$A$11:$D$25,2,FALSE),"")</f>
        <v/>
      </c>
      <c r="T52">
        <f>IFERROR(VLOOKUP(N52,'הגדרות'!$A$11:$D$25,3,FALSE),"")</f>
        <v/>
      </c>
      <c r="AB52" s="6" t="n"/>
      <c r="AE52">
        <f>OR(Q52='לוח בקרה'!$B$2,R52='לוח בקרה'!$B$2,S52='לוח בקרה'!$B$2,T52='לוח בקרה'!$B$2)</f>
        <v/>
      </c>
      <c r="AF52">
        <f>AND(AE52,OR(AND(O52="כן",U52="כן"),AND(P52="כן",V52="כן")))</f>
        <v/>
      </c>
      <c r="AG52">
        <f>AND(AE52,OR(O52="כן",P52="כן"),NOT(OR(AND(O52="כן",U52="כן"),AND(P52="כן",V52="כן"))))</f>
        <v/>
      </c>
      <c r="AH52">
        <f>AND(AE52,OR(U52="כן",V52="כן"),NOT(OR(O52="כן",P52="כן")))</f>
        <v/>
      </c>
      <c r="AI52">
        <f>AND(X52="מושאל",AB52&lt;&gt;"",AB52&lt;TODAY())</f>
        <v/>
      </c>
    </row>
    <row r="53">
      <c r="E53">
        <f>IFERROR(INDEX('הגדרות'!$D$104:$D$123,MATCH(B53&amp;G53&amp;C53,'הגדרות'!$A$104:$A$123&amp;'הגדרות'!$B$104:$B$123&amp;'הגדרות'!$C$104:$C$123,0)),"")</f>
        <v/>
      </c>
      <c r="F53" s="6" t="n"/>
      <c r="Q53">
        <f>IFERROR(VLOOKUP(M53,'הגדרות'!$A$11:$D$25,2,FALSE),"")</f>
        <v/>
      </c>
      <c r="R53">
        <f>IFERROR(VLOOKUP(M53,'הגדרות'!$A$11:$D$25,3,FALSE),"")</f>
        <v/>
      </c>
      <c r="S53">
        <f>IFERROR(VLOOKUP(N53,'הגדרות'!$A$11:$D$25,2,FALSE),"")</f>
        <v/>
      </c>
      <c r="T53">
        <f>IFERROR(VLOOKUP(N53,'הגדרות'!$A$11:$D$25,3,FALSE),"")</f>
        <v/>
      </c>
      <c r="AB53" s="6" t="n"/>
      <c r="AE53">
        <f>OR(Q53='לוח בקרה'!$B$2,R53='לוח בקרה'!$B$2,S53='לוח בקרה'!$B$2,T53='לוח בקרה'!$B$2)</f>
        <v/>
      </c>
      <c r="AF53">
        <f>AND(AE53,OR(AND(O53="כן",U53="כן"),AND(P53="כן",V53="כן")))</f>
        <v/>
      </c>
      <c r="AG53">
        <f>AND(AE53,OR(O53="כן",P53="כן"),NOT(OR(AND(O53="כן",U53="כן"),AND(P53="כן",V53="כן"))))</f>
        <v/>
      </c>
      <c r="AH53">
        <f>AND(AE53,OR(U53="כן",V53="כן"),NOT(OR(O53="כן",P53="כן")))</f>
        <v/>
      </c>
      <c r="AI53">
        <f>AND(X53="מושאל",AB53&lt;&gt;"",AB53&lt;TODAY())</f>
        <v/>
      </c>
    </row>
    <row r="54">
      <c r="E54">
        <f>IFERROR(INDEX('הגדרות'!$D$104:$D$123,MATCH(B54&amp;G54&amp;C54,'הגדרות'!$A$104:$A$123&amp;'הגדרות'!$B$104:$B$123&amp;'הגדרות'!$C$104:$C$123,0)),"")</f>
        <v/>
      </c>
      <c r="F54" s="6" t="n"/>
      <c r="Q54">
        <f>IFERROR(VLOOKUP(M54,'הגדרות'!$A$11:$D$25,2,FALSE),"")</f>
        <v/>
      </c>
      <c r="R54">
        <f>IFERROR(VLOOKUP(M54,'הגדרות'!$A$11:$D$25,3,FALSE),"")</f>
        <v/>
      </c>
      <c r="S54">
        <f>IFERROR(VLOOKUP(N54,'הגדרות'!$A$11:$D$25,2,FALSE),"")</f>
        <v/>
      </c>
      <c r="T54">
        <f>IFERROR(VLOOKUP(N54,'הגדרות'!$A$11:$D$25,3,FALSE),"")</f>
        <v/>
      </c>
      <c r="AB54" s="6" t="n"/>
      <c r="AE54">
        <f>OR(Q54='לוח בקרה'!$B$2,R54='לוח בקרה'!$B$2,S54='לוח בקרה'!$B$2,T54='לוח בקרה'!$B$2)</f>
        <v/>
      </c>
      <c r="AF54">
        <f>AND(AE54,OR(AND(O54="כן",U54="כן"),AND(P54="כן",V54="כן")))</f>
        <v/>
      </c>
      <c r="AG54">
        <f>AND(AE54,OR(O54="כן",P54="כן"),NOT(OR(AND(O54="כן",U54="כן"),AND(P54="כן",V54="כן"))))</f>
        <v/>
      </c>
      <c r="AH54">
        <f>AND(AE54,OR(U54="כן",V54="כן"),NOT(OR(O54="כן",P54="כן")))</f>
        <v/>
      </c>
      <c r="AI54">
        <f>AND(X54="מושאל",AB54&lt;&gt;"",AB54&lt;TODAY())</f>
        <v/>
      </c>
    </row>
    <row r="55">
      <c r="E55">
        <f>IFERROR(INDEX('הגדרות'!$D$104:$D$123,MATCH(B55&amp;G55&amp;C55,'הגדרות'!$A$104:$A$123&amp;'הגדרות'!$B$104:$B$123&amp;'הגדרות'!$C$104:$C$123,0)),"")</f>
        <v/>
      </c>
      <c r="F55" s="6" t="n"/>
      <c r="Q55">
        <f>IFERROR(VLOOKUP(M55,'הגדרות'!$A$11:$D$25,2,FALSE),"")</f>
        <v/>
      </c>
      <c r="R55">
        <f>IFERROR(VLOOKUP(M55,'הגדרות'!$A$11:$D$25,3,FALSE),"")</f>
        <v/>
      </c>
      <c r="S55">
        <f>IFERROR(VLOOKUP(N55,'הגדרות'!$A$11:$D$25,2,FALSE),"")</f>
        <v/>
      </c>
      <c r="T55">
        <f>IFERROR(VLOOKUP(N55,'הגדרות'!$A$11:$D$25,3,FALSE),"")</f>
        <v/>
      </c>
      <c r="AB55" s="6" t="n"/>
      <c r="AE55">
        <f>OR(Q55='לוח בקרה'!$B$2,R55='לוח בקרה'!$B$2,S55='לוח בקרה'!$B$2,T55='לוח בקרה'!$B$2)</f>
        <v/>
      </c>
      <c r="AF55">
        <f>AND(AE55,OR(AND(O55="כן",U55="כן"),AND(P55="כן",V55="כן")))</f>
        <v/>
      </c>
      <c r="AG55">
        <f>AND(AE55,OR(O55="כן",P55="כן"),NOT(OR(AND(O55="כן",U55="כן"),AND(P55="כן",V55="כן"))))</f>
        <v/>
      </c>
      <c r="AH55">
        <f>AND(AE55,OR(U55="כן",V55="כן"),NOT(OR(O55="כן",P55="כן")))</f>
        <v/>
      </c>
      <c r="AI55">
        <f>AND(X55="מושאל",AB55&lt;&gt;"",AB55&lt;TODAY())</f>
        <v/>
      </c>
    </row>
    <row r="56">
      <c r="E56">
        <f>IFERROR(INDEX('הגדרות'!$D$104:$D$123,MATCH(B56&amp;G56&amp;C56,'הגדרות'!$A$104:$A$123&amp;'הגדרות'!$B$104:$B$123&amp;'הגדרות'!$C$104:$C$123,0)),"")</f>
        <v/>
      </c>
      <c r="F56" s="6" t="n"/>
      <c r="Q56">
        <f>IFERROR(VLOOKUP(M56,'הגדרות'!$A$11:$D$25,2,FALSE),"")</f>
        <v/>
      </c>
      <c r="R56">
        <f>IFERROR(VLOOKUP(M56,'הגדרות'!$A$11:$D$25,3,FALSE),"")</f>
        <v/>
      </c>
      <c r="S56">
        <f>IFERROR(VLOOKUP(N56,'הגדרות'!$A$11:$D$25,2,FALSE),"")</f>
        <v/>
      </c>
      <c r="T56">
        <f>IFERROR(VLOOKUP(N56,'הגדרות'!$A$11:$D$25,3,FALSE),"")</f>
        <v/>
      </c>
      <c r="AB56" s="6" t="n"/>
      <c r="AE56">
        <f>OR(Q56='לוח בקרה'!$B$2,R56='לוח בקרה'!$B$2,S56='לוח בקרה'!$B$2,T56='לוח בקרה'!$B$2)</f>
        <v/>
      </c>
      <c r="AF56">
        <f>AND(AE56,OR(AND(O56="כן",U56="כן"),AND(P56="כן",V56="כן")))</f>
        <v/>
      </c>
      <c r="AG56">
        <f>AND(AE56,OR(O56="כן",P56="כן"),NOT(OR(AND(O56="כן",U56="כן"),AND(P56="כן",V56="כן"))))</f>
        <v/>
      </c>
      <c r="AH56">
        <f>AND(AE56,OR(U56="כן",V56="כן"),NOT(OR(O56="כן",P56="כן")))</f>
        <v/>
      </c>
      <c r="AI56">
        <f>AND(X56="מושאל",AB56&lt;&gt;"",AB56&lt;TODAY())</f>
        <v/>
      </c>
    </row>
    <row r="57">
      <c r="E57">
        <f>IFERROR(INDEX('הגדרות'!$D$104:$D$123,MATCH(B57&amp;G57&amp;C57,'הגדרות'!$A$104:$A$123&amp;'הגדרות'!$B$104:$B$123&amp;'הגדרות'!$C$104:$C$123,0)),"")</f>
        <v/>
      </c>
      <c r="F57" s="6" t="n"/>
      <c r="Q57">
        <f>IFERROR(VLOOKUP(M57,'הגדרות'!$A$11:$D$25,2,FALSE),"")</f>
        <v/>
      </c>
      <c r="R57">
        <f>IFERROR(VLOOKUP(M57,'הגדרות'!$A$11:$D$25,3,FALSE),"")</f>
        <v/>
      </c>
      <c r="S57">
        <f>IFERROR(VLOOKUP(N57,'הגדרות'!$A$11:$D$25,2,FALSE),"")</f>
        <v/>
      </c>
      <c r="T57">
        <f>IFERROR(VLOOKUP(N57,'הגדרות'!$A$11:$D$25,3,FALSE),"")</f>
        <v/>
      </c>
      <c r="AB57" s="6" t="n"/>
      <c r="AE57">
        <f>OR(Q57='לוח בקרה'!$B$2,R57='לוח בקרה'!$B$2,S57='לוח בקרה'!$B$2,T57='לוח בקרה'!$B$2)</f>
        <v/>
      </c>
      <c r="AF57">
        <f>AND(AE57,OR(AND(O57="כן",U57="כן"),AND(P57="כן",V57="כן")))</f>
        <v/>
      </c>
      <c r="AG57">
        <f>AND(AE57,OR(O57="כן",P57="כן"),NOT(OR(AND(O57="כן",U57="כן"),AND(P57="כן",V57="כן"))))</f>
        <v/>
      </c>
      <c r="AH57">
        <f>AND(AE57,OR(U57="כן",V57="כן"),NOT(OR(O57="כן",P57="כן")))</f>
        <v/>
      </c>
      <c r="AI57">
        <f>AND(X57="מושאל",AB57&lt;&gt;"",AB57&lt;TODAY())</f>
        <v/>
      </c>
    </row>
    <row r="58">
      <c r="E58">
        <f>IFERROR(INDEX('הגדרות'!$D$104:$D$123,MATCH(B58&amp;G58&amp;C58,'הגדרות'!$A$104:$A$123&amp;'הגדרות'!$B$104:$B$123&amp;'הגדרות'!$C$104:$C$123,0)),"")</f>
        <v/>
      </c>
      <c r="F58" s="6" t="n"/>
      <c r="Q58">
        <f>IFERROR(VLOOKUP(M58,'הגדרות'!$A$11:$D$25,2,FALSE),"")</f>
        <v/>
      </c>
      <c r="R58">
        <f>IFERROR(VLOOKUP(M58,'הגדרות'!$A$11:$D$25,3,FALSE),"")</f>
        <v/>
      </c>
      <c r="S58">
        <f>IFERROR(VLOOKUP(N58,'הגדרות'!$A$11:$D$25,2,FALSE),"")</f>
        <v/>
      </c>
      <c r="T58">
        <f>IFERROR(VLOOKUP(N58,'הגדרות'!$A$11:$D$25,3,FALSE),"")</f>
        <v/>
      </c>
      <c r="AB58" s="6" t="n"/>
      <c r="AE58">
        <f>OR(Q58='לוח בקרה'!$B$2,R58='לוח בקרה'!$B$2,S58='לוח בקרה'!$B$2,T58='לוח בקרה'!$B$2)</f>
        <v/>
      </c>
      <c r="AF58">
        <f>AND(AE58,OR(AND(O58="כן",U58="כן"),AND(P58="כן",V58="כן")))</f>
        <v/>
      </c>
      <c r="AG58">
        <f>AND(AE58,OR(O58="כן",P58="כן"),NOT(OR(AND(O58="כן",U58="כן"),AND(P58="כן",V58="כן"))))</f>
        <v/>
      </c>
      <c r="AH58">
        <f>AND(AE58,OR(U58="כן",V58="כן"),NOT(OR(O58="כן",P58="כן")))</f>
        <v/>
      </c>
      <c r="AI58">
        <f>AND(X58="מושאל",AB58&lt;&gt;"",AB58&lt;TODAY())</f>
        <v/>
      </c>
    </row>
    <row r="59">
      <c r="E59">
        <f>IFERROR(INDEX('הגדרות'!$D$104:$D$123,MATCH(B59&amp;G59&amp;C59,'הגדרות'!$A$104:$A$123&amp;'הגדרות'!$B$104:$B$123&amp;'הגדרות'!$C$104:$C$123,0)),"")</f>
        <v/>
      </c>
      <c r="F59" s="6" t="n"/>
      <c r="Q59">
        <f>IFERROR(VLOOKUP(M59,'הגדרות'!$A$11:$D$25,2,FALSE),"")</f>
        <v/>
      </c>
      <c r="R59">
        <f>IFERROR(VLOOKUP(M59,'הגדרות'!$A$11:$D$25,3,FALSE),"")</f>
        <v/>
      </c>
      <c r="S59">
        <f>IFERROR(VLOOKUP(N59,'הגדרות'!$A$11:$D$25,2,FALSE),"")</f>
        <v/>
      </c>
      <c r="T59">
        <f>IFERROR(VLOOKUP(N59,'הגדרות'!$A$11:$D$25,3,FALSE),"")</f>
        <v/>
      </c>
      <c r="AB59" s="6" t="n"/>
      <c r="AE59">
        <f>OR(Q59='לוח בקרה'!$B$2,R59='לוח בקרה'!$B$2,S59='לוח בקרה'!$B$2,T59='לוח בקרה'!$B$2)</f>
        <v/>
      </c>
      <c r="AF59">
        <f>AND(AE59,OR(AND(O59="כן",U59="כן"),AND(P59="כן",V59="כן")))</f>
        <v/>
      </c>
      <c r="AG59">
        <f>AND(AE59,OR(O59="כן",P59="כן"),NOT(OR(AND(O59="כן",U59="כן"),AND(P59="כן",V59="כן"))))</f>
        <v/>
      </c>
      <c r="AH59">
        <f>AND(AE59,OR(U59="כן",V59="כן"),NOT(OR(O59="כן",P59="כן")))</f>
        <v/>
      </c>
      <c r="AI59">
        <f>AND(X59="מושאל",AB59&lt;&gt;"",AB59&lt;TODAY())</f>
        <v/>
      </c>
    </row>
    <row r="60">
      <c r="E60">
        <f>IFERROR(INDEX('הגדרות'!$D$104:$D$123,MATCH(B60&amp;G60&amp;C60,'הגדרות'!$A$104:$A$123&amp;'הגדרות'!$B$104:$B$123&amp;'הגדרות'!$C$104:$C$123,0)),"")</f>
        <v/>
      </c>
      <c r="F60" s="6" t="n"/>
      <c r="Q60">
        <f>IFERROR(VLOOKUP(M60,'הגדרות'!$A$11:$D$25,2,FALSE),"")</f>
        <v/>
      </c>
      <c r="R60">
        <f>IFERROR(VLOOKUP(M60,'הגדרות'!$A$11:$D$25,3,FALSE),"")</f>
        <v/>
      </c>
      <c r="S60">
        <f>IFERROR(VLOOKUP(N60,'הגדרות'!$A$11:$D$25,2,FALSE),"")</f>
        <v/>
      </c>
      <c r="T60">
        <f>IFERROR(VLOOKUP(N60,'הגדרות'!$A$11:$D$25,3,FALSE),"")</f>
        <v/>
      </c>
      <c r="AB60" s="6" t="n"/>
      <c r="AE60">
        <f>OR(Q60='לוח בקרה'!$B$2,R60='לוח בקרה'!$B$2,S60='לוח בקרה'!$B$2,T60='לוח בקרה'!$B$2)</f>
        <v/>
      </c>
      <c r="AF60">
        <f>AND(AE60,OR(AND(O60="כן",U60="כן"),AND(P60="כן",V60="כן")))</f>
        <v/>
      </c>
      <c r="AG60">
        <f>AND(AE60,OR(O60="כן",P60="כן"),NOT(OR(AND(O60="כן",U60="כן"),AND(P60="כן",V60="כן"))))</f>
        <v/>
      </c>
      <c r="AH60">
        <f>AND(AE60,OR(U60="כן",V60="כן"),NOT(OR(O60="כן",P60="כן")))</f>
        <v/>
      </c>
      <c r="AI60">
        <f>AND(X60="מושאל",AB60&lt;&gt;"",AB60&lt;TODAY())</f>
        <v/>
      </c>
    </row>
    <row r="61">
      <c r="E61">
        <f>IFERROR(INDEX('הגדרות'!$D$104:$D$123,MATCH(B61&amp;G61&amp;C61,'הגדרות'!$A$104:$A$123&amp;'הגדרות'!$B$104:$B$123&amp;'הגדרות'!$C$104:$C$123,0)),"")</f>
        <v/>
      </c>
      <c r="F61" s="6" t="n"/>
      <c r="Q61">
        <f>IFERROR(VLOOKUP(M61,'הגדרות'!$A$11:$D$25,2,FALSE),"")</f>
        <v/>
      </c>
      <c r="R61">
        <f>IFERROR(VLOOKUP(M61,'הגדרות'!$A$11:$D$25,3,FALSE),"")</f>
        <v/>
      </c>
      <c r="S61">
        <f>IFERROR(VLOOKUP(N61,'הגדרות'!$A$11:$D$25,2,FALSE),"")</f>
        <v/>
      </c>
      <c r="T61">
        <f>IFERROR(VLOOKUP(N61,'הגדרות'!$A$11:$D$25,3,FALSE),"")</f>
        <v/>
      </c>
      <c r="AB61" s="6" t="n"/>
      <c r="AE61">
        <f>OR(Q61='לוח בקרה'!$B$2,R61='לוח בקרה'!$B$2,S61='לוח בקרה'!$B$2,T61='לוח בקרה'!$B$2)</f>
        <v/>
      </c>
      <c r="AF61">
        <f>AND(AE61,OR(AND(O61="כן",U61="כן"),AND(P61="כן",V61="כן")))</f>
        <v/>
      </c>
      <c r="AG61">
        <f>AND(AE61,OR(O61="כן",P61="כן"),NOT(OR(AND(O61="כן",U61="כן"),AND(P61="כן",V61="כן"))))</f>
        <v/>
      </c>
      <c r="AH61">
        <f>AND(AE61,OR(U61="כן",V61="כן"),NOT(OR(O61="כן",P61="כן")))</f>
        <v/>
      </c>
      <c r="AI61">
        <f>AND(X61="מושאל",AB61&lt;&gt;"",AB61&lt;TODAY())</f>
        <v/>
      </c>
    </row>
    <row r="62">
      <c r="E62">
        <f>IFERROR(INDEX('הגדרות'!$D$104:$D$123,MATCH(B62&amp;G62&amp;C62,'הגדרות'!$A$104:$A$123&amp;'הגדרות'!$B$104:$B$123&amp;'הגדרות'!$C$104:$C$123,0)),"")</f>
        <v/>
      </c>
      <c r="F62" s="6" t="n"/>
      <c r="Q62">
        <f>IFERROR(VLOOKUP(M62,'הגדרות'!$A$11:$D$25,2,FALSE),"")</f>
        <v/>
      </c>
      <c r="R62">
        <f>IFERROR(VLOOKUP(M62,'הגדרות'!$A$11:$D$25,3,FALSE),"")</f>
        <v/>
      </c>
      <c r="S62">
        <f>IFERROR(VLOOKUP(N62,'הגדרות'!$A$11:$D$25,2,FALSE),"")</f>
        <v/>
      </c>
      <c r="T62">
        <f>IFERROR(VLOOKUP(N62,'הגדרות'!$A$11:$D$25,3,FALSE),"")</f>
        <v/>
      </c>
      <c r="AB62" s="6" t="n"/>
      <c r="AE62">
        <f>OR(Q62='לוח בקרה'!$B$2,R62='לוח בקרה'!$B$2,S62='לוח בקרה'!$B$2,T62='לוח בקרה'!$B$2)</f>
        <v/>
      </c>
      <c r="AF62">
        <f>AND(AE62,OR(AND(O62="כן",U62="כן"),AND(P62="כן",V62="כן")))</f>
        <v/>
      </c>
      <c r="AG62">
        <f>AND(AE62,OR(O62="כן",P62="כן"),NOT(OR(AND(O62="כן",U62="כן"),AND(P62="כן",V62="כן"))))</f>
        <v/>
      </c>
      <c r="AH62">
        <f>AND(AE62,OR(U62="כן",V62="כן"),NOT(OR(O62="כן",P62="כן")))</f>
        <v/>
      </c>
      <c r="AI62">
        <f>AND(X62="מושאל",AB62&lt;&gt;"",AB62&lt;TODAY())</f>
        <v/>
      </c>
    </row>
    <row r="63">
      <c r="E63">
        <f>IFERROR(INDEX('הגדרות'!$D$104:$D$123,MATCH(B63&amp;G63&amp;C63,'הגדרות'!$A$104:$A$123&amp;'הגדרות'!$B$104:$B$123&amp;'הגדרות'!$C$104:$C$123,0)),"")</f>
        <v/>
      </c>
      <c r="F63" s="6" t="n"/>
      <c r="Q63">
        <f>IFERROR(VLOOKUP(M63,'הגדרות'!$A$11:$D$25,2,FALSE),"")</f>
        <v/>
      </c>
      <c r="R63">
        <f>IFERROR(VLOOKUP(M63,'הגדרות'!$A$11:$D$25,3,FALSE),"")</f>
        <v/>
      </c>
      <c r="S63">
        <f>IFERROR(VLOOKUP(N63,'הגדרות'!$A$11:$D$25,2,FALSE),"")</f>
        <v/>
      </c>
      <c r="T63">
        <f>IFERROR(VLOOKUP(N63,'הגדרות'!$A$11:$D$25,3,FALSE),"")</f>
        <v/>
      </c>
      <c r="AB63" s="6" t="n"/>
      <c r="AE63">
        <f>OR(Q63='לוח בקרה'!$B$2,R63='לוח בקרה'!$B$2,S63='לוח בקרה'!$B$2,T63='לוח בקרה'!$B$2)</f>
        <v/>
      </c>
      <c r="AF63">
        <f>AND(AE63,OR(AND(O63="כן",U63="כן"),AND(P63="כן",V63="כן")))</f>
        <v/>
      </c>
      <c r="AG63">
        <f>AND(AE63,OR(O63="כן",P63="כן"),NOT(OR(AND(O63="כן",U63="כן"),AND(P63="כן",V63="כן"))))</f>
        <v/>
      </c>
      <c r="AH63">
        <f>AND(AE63,OR(U63="כן",V63="כן"),NOT(OR(O63="כן",P63="כן")))</f>
        <v/>
      </c>
      <c r="AI63">
        <f>AND(X63="מושאל",AB63&lt;&gt;"",AB63&lt;TODAY())</f>
        <v/>
      </c>
    </row>
    <row r="64">
      <c r="E64">
        <f>IFERROR(INDEX('הגדרות'!$D$104:$D$123,MATCH(B64&amp;G64&amp;C64,'הגדרות'!$A$104:$A$123&amp;'הגדרות'!$B$104:$B$123&amp;'הגדרות'!$C$104:$C$123,0)),"")</f>
        <v/>
      </c>
      <c r="F64" s="6" t="n"/>
      <c r="Q64">
        <f>IFERROR(VLOOKUP(M64,'הגדרות'!$A$11:$D$25,2,FALSE),"")</f>
        <v/>
      </c>
      <c r="R64">
        <f>IFERROR(VLOOKUP(M64,'הגדרות'!$A$11:$D$25,3,FALSE),"")</f>
        <v/>
      </c>
      <c r="S64">
        <f>IFERROR(VLOOKUP(N64,'הגדרות'!$A$11:$D$25,2,FALSE),"")</f>
        <v/>
      </c>
      <c r="T64">
        <f>IFERROR(VLOOKUP(N64,'הגדרות'!$A$11:$D$25,3,FALSE),"")</f>
        <v/>
      </c>
      <c r="AB64" s="6" t="n"/>
      <c r="AE64">
        <f>OR(Q64='לוח בקרה'!$B$2,R64='לוח בקרה'!$B$2,S64='לוח בקרה'!$B$2,T64='לוח בקרה'!$B$2)</f>
        <v/>
      </c>
      <c r="AF64">
        <f>AND(AE64,OR(AND(O64="כן",U64="כן"),AND(P64="כן",V64="כן")))</f>
        <v/>
      </c>
      <c r="AG64">
        <f>AND(AE64,OR(O64="כן",P64="כן"),NOT(OR(AND(O64="כן",U64="כן"),AND(P64="כן",V64="כן"))))</f>
        <v/>
      </c>
      <c r="AH64">
        <f>AND(AE64,OR(U64="כן",V64="כן"),NOT(OR(O64="כן",P64="כן")))</f>
        <v/>
      </c>
      <c r="AI64">
        <f>AND(X64="מושאל",AB64&lt;&gt;"",AB64&lt;TODAY())</f>
        <v/>
      </c>
    </row>
    <row r="65">
      <c r="E65">
        <f>IFERROR(INDEX('הגדרות'!$D$104:$D$123,MATCH(B65&amp;G65&amp;C65,'הגדרות'!$A$104:$A$123&amp;'הגדרות'!$B$104:$B$123&amp;'הגדרות'!$C$104:$C$123,0)),"")</f>
        <v/>
      </c>
      <c r="F65" s="6" t="n"/>
      <c r="Q65">
        <f>IFERROR(VLOOKUP(M65,'הגדרות'!$A$11:$D$25,2,FALSE),"")</f>
        <v/>
      </c>
      <c r="R65">
        <f>IFERROR(VLOOKUP(M65,'הגדרות'!$A$11:$D$25,3,FALSE),"")</f>
        <v/>
      </c>
      <c r="S65">
        <f>IFERROR(VLOOKUP(N65,'הגדרות'!$A$11:$D$25,2,FALSE),"")</f>
        <v/>
      </c>
      <c r="T65">
        <f>IFERROR(VLOOKUP(N65,'הגדרות'!$A$11:$D$25,3,FALSE),"")</f>
        <v/>
      </c>
      <c r="AB65" s="6" t="n"/>
      <c r="AE65">
        <f>OR(Q65='לוח בקרה'!$B$2,R65='לוח בקרה'!$B$2,S65='לוח בקרה'!$B$2,T65='לוח בקרה'!$B$2)</f>
        <v/>
      </c>
      <c r="AF65">
        <f>AND(AE65,OR(AND(O65="כן",U65="כן"),AND(P65="כן",V65="כן")))</f>
        <v/>
      </c>
      <c r="AG65">
        <f>AND(AE65,OR(O65="כן",P65="כן"),NOT(OR(AND(O65="כן",U65="כן"),AND(P65="כן",V65="כן"))))</f>
        <v/>
      </c>
      <c r="AH65">
        <f>AND(AE65,OR(U65="כן",V65="כן"),NOT(OR(O65="כן",P65="כן")))</f>
        <v/>
      </c>
      <c r="AI65">
        <f>AND(X65="מושאל",AB65&lt;&gt;"",AB65&lt;TODAY())</f>
        <v/>
      </c>
    </row>
    <row r="66">
      <c r="E66">
        <f>IFERROR(INDEX('הגדרות'!$D$104:$D$123,MATCH(B66&amp;G66&amp;C66,'הגדרות'!$A$104:$A$123&amp;'הגדרות'!$B$104:$B$123&amp;'הגדרות'!$C$104:$C$123,0)),"")</f>
        <v/>
      </c>
      <c r="F66" s="6" t="n"/>
      <c r="Q66">
        <f>IFERROR(VLOOKUP(M66,'הגדרות'!$A$11:$D$25,2,FALSE),"")</f>
        <v/>
      </c>
      <c r="R66">
        <f>IFERROR(VLOOKUP(M66,'הגדרות'!$A$11:$D$25,3,FALSE),"")</f>
        <v/>
      </c>
      <c r="S66">
        <f>IFERROR(VLOOKUP(N66,'הגדרות'!$A$11:$D$25,2,FALSE),"")</f>
        <v/>
      </c>
      <c r="T66">
        <f>IFERROR(VLOOKUP(N66,'הגדרות'!$A$11:$D$25,3,FALSE),"")</f>
        <v/>
      </c>
      <c r="AB66" s="6" t="n"/>
      <c r="AE66">
        <f>OR(Q66='לוח בקרה'!$B$2,R66='לוח בקרה'!$B$2,S66='לוח בקרה'!$B$2,T66='לוח בקרה'!$B$2)</f>
        <v/>
      </c>
      <c r="AF66">
        <f>AND(AE66,OR(AND(O66="כן",U66="כן"),AND(P66="כן",V66="כן")))</f>
        <v/>
      </c>
      <c r="AG66">
        <f>AND(AE66,OR(O66="כן",P66="כן"),NOT(OR(AND(O66="כן",U66="כן"),AND(P66="כן",V66="כן"))))</f>
        <v/>
      </c>
      <c r="AH66">
        <f>AND(AE66,OR(U66="כן",V66="כן"),NOT(OR(O66="כן",P66="כן")))</f>
        <v/>
      </c>
      <c r="AI66">
        <f>AND(X66="מושאל",AB66&lt;&gt;"",AB66&lt;TODAY())</f>
        <v/>
      </c>
    </row>
    <row r="67">
      <c r="E67">
        <f>IFERROR(INDEX('הגדרות'!$D$104:$D$123,MATCH(B67&amp;G67&amp;C67,'הגדרות'!$A$104:$A$123&amp;'הגדרות'!$B$104:$B$123&amp;'הגדרות'!$C$104:$C$123,0)),"")</f>
        <v/>
      </c>
      <c r="F67" s="6" t="n"/>
      <c r="Q67">
        <f>IFERROR(VLOOKUP(M67,'הגדרות'!$A$11:$D$25,2,FALSE),"")</f>
        <v/>
      </c>
      <c r="R67">
        <f>IFERROR(VLOOKUP(M67,'הגדרות'!$A$11:$D$25,3,FALSE),"")</f>
        <v/>
      </c>
      <c r="S67">
        <f>IFERROR(VLOOKUP(N67,'הגדרות'!$A$11:$D$25,2,FALSE),"")</f>
        <v/>
      </c>
      <c r="T67">
        <f>IFERROR(VLOOKUP(N67,'הגדרות'!$A$11:$D$25,3,FALSE),"")</f>
        <v/>
      </c>
      <c r="AB67" s="6" t="n"/>
      <c r="AE67">
        <f>OR(Q67='לוח בקרה'!$B$2,R67='לוח בקרה'!$B$2,S67='לוח בקרה'!$B$2,T67='לוח בקרה'!$B$2)</f>
        <v/>
      </c>
      <c r="AF67">
        <f>AND(AE67,OR(AND(O67="כן",U67="כן"),AND(P67="כן",V67="כן")))</f>
        <v/>
      </c>
      <c r="AG67">
        <f>AND(AE67,OR(O67="כן",P67="כן"),NOT(OR(AND(O67="כן",U67="כן"),AND(P67="כן",V67="כן"))))</f>
        <v/>
      </c>
      <c r="AH67">
        <f>AND(AE67,OR(U67="כן",V67="כן"),NOT(OR(O67="כן",P67="כן")))</f>
        <v/>
      </c>
      <c r="AI67">
        <f>AND(X67="מושאל",AB67&lt;&gt;"",AB67&lt;TODAY())</f>
        <v/>
      </c>
    </row>
    <row r="68">
      <c r="E68">
        <f>IFERROR(INDEX('הגדרות'!$D$104:$D$123,MATCH(B68&amp;G68&amp;C68,'הגדרות'!$A$104:$A$123&amp;'הגדרות'!$B$104:$B$123&amp;'הגדרות'!$C$104:$C$123,0)),"")</f>
        <v/>
      </c>
      <c r="F68" s="6" t="n"/>
      <c r="Q68">
        <f>IFERROR(VLOOKUP(M68,'הגדרות'!$A$11:$D$25,2,FALSE),"")</f>
        <v/>
      </c>
      <c r="R68">
        <f>IFERROR(VLOOKUP(M68,'הגדרות'!$A$11:$D$25,3,FALSE),"")</f>
        <v/>
      </c>
      <c r="S68">
        <f>IFERROR(VLOOKUP(N68,'הגדרות'!$A$11:$D$25,2,FALSE),"")</f>
        <v/>
      </c>
      <c r="T68">
        <f>IFERROR(VLOOKUP(N68,'הגדרות'!$A$11:$D$25,3,FALSE),"")</f>
        <v/>
      </c>
      <c r="AB68" s="6" t="n"/>
      <c r="AE68">
        <f>OR(Q68='לוח בקרה'!$B$2,R68='לוח בקרה'!$B$2,S68='לוח בקרה'!$B$2,T68='לוח בקרה'!$B$2)</f>
        <v/>
      </c>
      <c r="AF68">
        <f>AND(AE68,OR(AND(O68="כן",U68="כן"),AND(P68="כן",V68="כן")))</f>
        <v/>
      </c>
      <c r="AG68">
        <f>AND(AE68,OR(O68="כן",P68="כן"),NOT(OR(AND(O68="כן",U68="כן"),AND(P68="כן",V68="כן"))))</f>
        <v/>
      </c>
      <c r="AH68">
        <f>AND(AE68,OR(U68="כן",V68="כן"),NOT(OR(O68="כן",P68="כן")))</f>
        <v/>
      </c>
      <c r="AI68">
        <f>AND(X68="מושאל",AB68&lt;&gt;"",AB68&lt;TODAY())</f>
        <v/>
      </c>
    </row>
    <row r="69">
      <c r="E69">
        <f>IFERROR(INDEX('הגדרות'!$D$104:$D$123,MATCH(B69&amp;G69&amp;C69,'הגדרות'!$A$104:$A$123&amp;'הגדרות'!$B$104:$B$123&amp;'הגדרות'!$C$104:$C$123,0)),"")</f>
        <v/>
      </c>
      <c r="F69" s="6" t="n"/>
      <c r="Q69">
        <f>IFERROR(VLOOKUP(M69,'הגדרות'!$A$11:$D$25,2,FALSE),"")</f>
        <v/>
      </c>
      <c r="R69">
        <f>IFERROR(VLOOKUP(M69,'הגדרות'!$A$11:$D$25,3,FALSE),"")</f>
        <v/>
      </c>
      <c r="S69">
        <f>IFERROR(VLOOKUP(N69,'הגדרות'!$A$11:$D$25,2,FALSE),"")</f>
        <v/>
      </c>
      <c r="T69">
        <f>IFERROR(VLOOKUP(N69,'הגדרות'!$A$11:$D$25,3,FALSE),"")</f>
        <v/>
      </c>
      <c r="AB69" s="6" t="n"/>
      <c r="AE69">
        <f>OR(Q69='לוח בקרה'!$B$2,R69='לוח בקרה'!$B$2,S69='לוח בקרה'!$B$2,T69='לוח בקרה'!$B$2)</f>
        <v/>
      </c>
      <c r="AF69">
        <f>AND(AE69,OR(AND(O69="כן",U69="כן"),AND(P69="כן",V69="כן")))</f>
        <v/>
      </c>
      <c r="AG69">
        <f>AND(AE69,OR(O69="כן",P69="כן"),NOT(OR(AND(O69="כן",U69="כן"),AND(P69="כן",V69="כן"))))</f>
        <v/>
      </c>
      <c r="AH69">
        <f>AND(AE69,OR(U69="כן",V69="כן"),NOT(OR(O69="כן",P69="כן")))</f>
        <v/>
      </c>
      <c r="AI69">
        <f>AND(X69="מושאל",AB69&lt;&gt;"",AB69&lt;TODAY())</f>
        <v/>
      </c>
    </row>
    <row r="70">
      <c r="E70">
        <f>IFERROR(INDEX('הגדרות'!$D$104:$D$123,MATCH(B70&amp;G70&amp;C70,'הגדרות'!$A$104:$A$123&amp;'הגדרות'!$B$104:$B$123&amp;'הגדרות'!$C$104:$C$123,0)),"")</f>
        <v/>
      </c>
      <c r="F70" s="6" t="n"/>
      <c r="Q70">
        <f>IFERROR(VLOOKUP(M70,'הגדרות'!$A$11:$D$25,2,FALSE),"")</f>
        <v/>
      </c>
      <c r="R70">
        <f>IFERROR(VLOOKUP(M70,'הגדרות'!$A$11:$D$25,3,FALSE),"")</f>
        <v/>
      </c>
      <c r="S70">
        <f>IFERROR(VLOOKUP(N70,'הגדרות'!$A$11:$D$25,2,FALSE),"")</f>
        <v/>
      </c>
      <c r="T70">
        <f>IFERROR(VLOOKUP(N70,'הגדרות'!$A$11:$D$25,3,FALSE),"")</f>
        <v/>
      </c>
      <c r="AB70" s="6" t="n"/>
      <c r="AE70">
        <f>OR(Q70='לוח בקרה'!$B$2,R70='לוח בקרה'!$B$2,S70='לוח בקרה'!$B$2,T70='לוח בקרה'!$B$2)</f>
        <v/>
      </c>
      <c r="AF70">
        <f>AND(AE70,OR(AND(O70="כן",U70="כן"),AND(P70="כן",V70="כן")))</f>
        <v/>
      </c>
      <c r="AG70">
        <f>AND(AE70,OR(O70="כן",P70="כן"),NOT(OR(AND(O70="כן",U70="כן"),AND(P70="כן",V70="כן"))))</f>
        <v/>
      </c>
      <c r="AH70">
        <f>AND(AE70,OR(U70="כן",V70="כן"),NOT(OR(O70="כן",P70="כן")))</f>
        <v/>
      </c>
      <c r="AI70">
        <f>AND(X70="מושאל",AB70&lt;&gt;"",AB70&lt;TODAY())</f>
        <v/>
      </c>
    </row>
    <row r="71">
      <c r="E71">
        <f>IFERROR(INDEX('הגדרות'!$D$104:$D$123,MATCH(B71&amp;G71&amp;C71,'הגדרות'!$A$104:$A$123&amp;'הגדרות'!$B$104:$B$123&amp;'הגדרות'!$C$104:$C$123,0)),"")</f>
        <v/>
      </c>
      <c r="F71" s="6" t="n"/>
      <c r="Q71">
        <f>IFERROR(VLOOKUP(M71,'הגדרות'!$A$11:$D$25,2,FALSE),"")</f>
        <v/>
      </c>
      <c r="R71">
        <f>IFERROR(VLOOKUP(M71,'הגדרות'!$A$11:$D$25,3,FALSE),"")</f>
        <v/>
      </c>
      <c r="S71">
        <f>IFERROR(VLOOKUP(N71,'הגדרות'!$A$11:$D$25,2,FALSE),"")</f>
        <v/>
      </c>
      <c r="T71">
        <f>IFERROR(VLOOKUP(N71,'הגדרות'!$A$11:$D$25,3,FALSE),"")</f>
        <v/>
      </c>
      <c r="AB71" s="6" t="n"/>
      <c r="AE71">
        <f>OR(Q71='לוח בקרה'!$B$2,R71='לוח בקרה'!$B$2,S71='לוח בקרה'!$B$2,T71='לוח בקרה'!$B$2)</f>
        <v/>
      </c>
      <c r="AF71">
        <f>AND(AE71,OR(AND(O71="כן",U71="כן"),AND(P71="כן",V71="כן")))</f>
        <v/>
      </c>
      <c r="AG71">
        <f>AND(AE71,OR(O71="כן",P71="כן"),NOT(OR(AND(O71="כן",U71="כן"),AND(P71="כן",V71="כן"))))</f>
        <v/>
      </c>
      <c r="AH71">
        <f>AND(AE71,OR(U71="כן",V71="כן"),NOT(OR(O71="כן",P71="כן")))</f>
        <v/>
      </c>
      <c r="AI71">
        <f>AND(X71="מושאל",AB71&lt;&gt;"",AB71&lt;TODAY())</f>
        <v/>
      </c>
    </row>
    <row r="72">
      <c r="E72">
        <f>IFERROR(INDEX('הגדרות'!$D$104:$D$123,MATCH(B72&amp;G72&amp;C72,'הגדרות'!$A$104:$A$123&amp;'הגדרות'!$B$104:$B$123&amp;'הגדרות'!$C$104:$C$123,0)),"")</f>
        <v/>
      </c>
      <c r="F72" s="6" t="n"/>
      <c r="Q72">
        <f>IFERROR(VLOOKUP(M72,'הגדרות'!$A$11:$D$25,2,FALSE),"")</f>
        <v/>
      </c>
      <c r="R72">
        <f>IFERROR(VLOOKUP(M72,'הגדרות'!$A$11:$D$25,3,FALSE),"")</f>
        <v/>
      </c>
      <c r="S72">
        <f>IFERROR(VLOOKUP(N72,'הגדרות'!$A$11:$D$25,2,FALSE),"")</f>
        <v/>
      </c>
      <c r="T72">
        <f>IFERROR(VLOOKUP(N72,'הגדרות'!$A$11:$D$25,3,FALSE),"")</f>
        <v/>
      </c>
      <c r="AB72" s="6" t="n"/>
      <c r="AE72">
        <f>OR(Q72='לוח בקרה'!$B$2,R72='לוח בקרה'!$B$2,S72='לוח בקרה'!$B$2,T72='לוח בקרה'!$B$2)</f>
        <v/>
      </c>
      <c r="AF72">
        <f>AND(AE72,OR(AND(O72="כן",U72="כן"),AND(P72="כן",V72="כן")))</f>
        <v/>
      </c>
      <c r="AG72">
        <f>AND(AE72,OR(O72="כן",P72="כן"),NOT(OR(AND(O72="כן",U72="כן"),AND(P72="כן",V72="כן"))))</f>
        <v/>
      </c>
      <c r="AH72">
        <f>AND(AE72,OR(U72="כן",V72="כן"),NOT(OR(O72="כן",P72="כן")))</f>
        <v/>
      </c>
      <c r="AI72">
        <f>AND(X72="מושאל",AB72&lt;&gt;"",AB72&lt;TODAY())</f>
        <v/>
      </c>
    </row>
    <row r="73">
      <c r="E73">
        <f>IFERROR(INDEX('הגדרות'!$D$104:$D$123,MATCH(B73&amp;G73&amp;C73,'הגדרות'!$A$104:$A$123&amp;'הגדרות'!$B$104:$B$123&amp;'הגדרות'!$C$104:$C$123,0)),"")</f>
        <v/>
      </c>
      <c r="F73" s="6" t="n"/>
      <c r="Q73">
        <f>IFERROR(VLOOKUP(M73,'הגדרות'!$A$11:$D$25,2,FALSE),"")</f>
        <v/>
      </c>
      <c r="R73">
        <f>IFERROR(VLOOKUP(M73,'הגדרות'!$A$11:$D$25,3,FALSE),"")</f>
        <v/>
      </c>
      <c r="S73">
        <f>IFERROR(VLOOKUP(N73,'הגדרות'!$A$11:$D$25,2,FALSE),"")</f>
        <v/>
      </c>
      <c r="T73">
        <f>IFERROR(VLOOKUP(N73,'הגדרות'!$A$11:$D$25,3,FALSE),"")</f>
        <v/>
      </c>
      <c r="AB73" s="6" t="n"/>
      <c r="AE73">
        <f>OR(Q73='לוח בקרה'!$B$2,R73='לוח בקרה'!$B$2,S73='לוח בקרה'!$B$2,T73='לוח בקרה'!$B$2)</f>
        <v/>
      </c>
      <c r="AF73">
        <f>AND(AE73,OR(AND(O73="כן",U73="כן"),AND(P73="כן",V73="כן")))</f>
        <v/>
      </c>
      <c r="AG73">
        <f>AND(AE73,OR(O73="כן",P73="כן"),NOT(OR(AND(O73="כן",U73="כן"),AND(P73="כן",V73="כן"))))</f>
        <v/>
      </c>
      <c r="AH73">
        <f>AND(AE73,OR(U73="כן",V73="כן"),NOT(OR(O73="כן",P73="כן")))</f>
        <v/>
      </c>
      <c r="AI73">
        <f>AND(X73="מושאל",AB73&lt;&gt;"",AB73&lt;TODAY())</f>
        <v/>
      </c>
    </row>
    <row r="74">
      <c r="E74">
        <f>IFERROR(INDEX('הגדרות'!$D$104:$D$123,MATCH(B74&amp;G74&amp;C74,'הגדרות'!$A$104:$A$123&amp;'הגדרות'!$B$104:$B$123&amp;'הגדרות'!$C$104:$C$123,0)),"")</f>
        <v/>
      </c>
      <c r="F74" s="6" t="n"/>
      <c r="Q74">
        <f>IFERROR(VLOOKUP(M74,'הגדרות'!$A$11:$D$25,2,FALSE),"")</f>
        <v/>
      </c>
      <c r="R74">
        <f>IFERROR(VLOOKUP(M74,'הגדרות'!$A$11:$D$25,3,FALSE),"")</f>
        <v/>
      </c>
      <c r="S74">
        <f>IFERROR(VLOOKUP(N74,'הגדרות'!$A$11:$D$25,2,FALSE),"")</f>
        <v/>
      </c>
      <c r="T74">
        <f>IFERROR(VLOOKUP(N74,'הגדרות'!$A$11:$D$25,3,FALSE),"")</f>
        <v/>
      </c>
      <c r="AB74" s="6" t="n"/>
      <c r="AE74">
        <f>OR(Q74='לוח בקרה'!$B$2,R74='לוח בקרה'!$B$2,S74='לוח בקרה'!$B$2,T74='לוח בקרה'!$B$2)</f>
        <v/>
      </c>
      <c r="AF74">
        <f>AND(AE74,OR(AND(O74="כן",U74="כן"),AND(P74="כן",V74="כן")))</f>
        <v/>
      </c>
      <c r="AG74">
        <f>AND(AE74,OR(O74="כן",P74="כן"),NOT(OR(AND(O74="כן",U74="כן"),AND(P74="כן",V74="כן"))))</f>
        <v/>
      </c>
      <c r="AH74">
        <f>AND(AE74,OR(U74="כן",V74="כן"),NOT(OR(O74="כן",P74="כן")))</f>
        <v/>
      </c>
      <c r="AI74">
        <f>AND(X74="מושאל",AB74&lt;&gt;"",AB74&lt;TODAY())</f>
        <v/>
      </c>
    </row>
    <row r="75">
      <c r="E75">
        <f>IFERROR(INDEX('הגדרות'!$D$104:$D$123,MATCH(B75&amp;G75&amp;C75,'הגדרות'!$A$104:$A$123&amp;'הגדרות'!$B$104:$B$123&amp;'הגדרות'!$C$104:$C$123,0)),"")</f>
        <v/>
      </c>
      <c r="F75" s="6" t="n"/>
      <c r="Q75">
        <f>IFERROR(VLOOKUP(M75,'הגדרות'!$A$11:$D$25,2,FALSE),"")</f>
        <v/>
      </c>
      <c r="R75">
        <f>IFERROR(VLOOKUP(M75,'הגדרות'!$A$11:$D$25,3,FALSE),"")</f>
        <v/>
      </c>
      <c r="S75">
        <f>IFERROR(VLOOKUP(N75,'הגדרות'!$A$11:$D$25,2,FALSE),"")</f>
        <v/>
      </c>
      <c r="T75">
        <f>IFERROR(VLOOKUP(N75,'הגדרות'!$A$11:$D$25,3,FALSE),"")</f>
        <v/>
      </c>
      <c r="AB75" s="6" t="n"/>
      <c r="AE75">
        <f>OR(Q75='לוח בקרה'!$B$2,R75='לוח בקרה'!$B$2,S75='לוח בקרה'!$B$2,T75='לוח בקרה'!$B$2)</f>
        <v/>
      </c>
      <c r="AF75">
        <f>AND(AE75,OR(AND(O75="כן",U75="כן"),AND(P75="כן",V75="כן")))</f>
        <v/>
      </c>
      <c r="AG75">
        <f>AND(AE75,OR(O75="כן",P75="כן"),NOT(OR(AND(O75="כן",U75="כן"),AND(P75="כן",V75="כן"))))</f>
        <v/>
      </c>
      <c r="AH75">
        <f>AND(AE75,OR(U75="כן",V75="כן"),NOT(OR(O75="כן",P75="כן")))</f>
        <v/>
      </c>
      <c r="AI75">
        <f>AND(X75="מושאל",AB75&lt;&gt;"",AB75&lt;TODAY())</f>
        <v/>
      </c>
    </row>
    <row r="76">
      <c r="E76">
        <f>IFERROR(INDEX('הגדרות'!$D$104:$D$123,MATCH(B76&amp;G76&amp;C76,'הגדרות'!$A$104:$A$123&amp;'הגדרות'!$B$104:$B$123&amp;'הגדרות'!$C$104:$C$123,0)),"")</f>
        <v/>
      </c>
      <c r="F76" s="6" t="n"/>
      <c r="Q76">
        <f>IFERROR(VLOOKUP(M76,'הגדרות'!$A$11:$D$25,2,FALSE),"")</f>
        <v/>
      </c>
      <c r="R76">
        <f>IFERROR(VLOOKUP(M76,'הגדרות'!$A$11:$D$25,3,FALSE),"")</f>
        <v/>
      </c>
      <c r="S76">
        <f>IFERROR(VLOOKUP(N76,'הגדרות'!$A$11:$D$25,2,FALSE),"")</f>
        <v/>
      </c>
      <c r="T76">
        <f>IFERROR(VLOOKUP(N76,'הגדרות'!$A$11:$D$25,3,FALSE),"")</f>
        <v/>
      </c>
      <c r="AB76" s="6" t="n"/>
      <c r="AE76">
        <f>OR(Q76='לוח בקרה'!$B$2,R76='לוח בקרה'!$B$2,S76='לוח בקרה'!$B$2,T76='לוח בקרה'!$B$2)</f>
        <v/>
      </c>
      <c r="AF76">
        <f>AND(AE76,OR(AND(O76="כן",U76="כן"),AND(P76="כן",V76="כן")))</f>
        <v/>
      </c>
      <c r="AG76">
        <f>AND(AE76,OR(O76="כן",P76="כן"),NOT(OR(AND(O76="כן",U76="כן"),AND(P76="כן",V76="כן"))))</f>
        <v/>
      </c>
      <c r="AH76">
        <f>AND(AE76,OR(U76="כן",V76="כן"),NOT(OR(O76="כן",P76="כן")))</f>
        <v/>
      </c>
      <c r="AI76">
        <f>AND(X76="מושאל",AB76&lt;&gt;"",AB76&lt;TODAY())</f>
        <v/>
      </c>
    </row>
    <row r="77">
      <c r="E77">
        <f>IFERROR(INDEX('הגדרות'!$D$104:$D$123,MATCH(B77&amp;G77&amp;C77,'הגדרות'!$A$104:$A$123&amp;'הגדרות'!$B$104:$B$123&amp;'הגדרות'!$C$104:$C$123,0)),"")</f>
        <v/>
      </c>
      <c r="F77" s="6" t="n"/>
      <c r="Q77">
        <f>IFERROR(VLOOKUP(M77,'הגדרות'!$A$11:$D$25,2,FALSE),"")</f>
        <v/>
      </c>
      <c r="R77">
        <f>IFERROR(VLOOKUP(M77,'הגדרות'!$A$11:$D$25,3,FALSE),"")</f>
        <v/>
      </c>
      <c r="S77">
        <f>IFERROR(VLOOKUP(N77,'הגדרות'!$A$11:$D$25,2,FALSE),"")</f>
        <v/>
      </c>
      <c r="T77">
        <f>IFERROR(VLOOKUP(N77,'הגדרות'!$A$11:$D$25,3,FALSE),"")</f>
        <v/>
      </c>
      <c r="AB77" s="6" t="n"/>
      <c r="AE77">
        <f>OR(Q77='לוח בקרה'!$B$2,R77='לוח בקרה'!$B$2,S77='לוח בקרה'!$B$2,T77='לוח בקרה'!$B$2)</f>
        <v/>
      </c>
      <c r="AF77">
        <f>AND(AE77,OR(AND(O77="כן",U77="כן"),AND(P77="כן",V77="כן")))</f>
        <v/>
      </c>
      <c r="AG77">
        <f>AND(AE77,OR(O77="כן",P77="כן"),NOT(OR(AND(O77="כן",U77="כן"),AND(P77="כן",V77="כן"))))</f>
        <v/>
      </c>
      <c r="AH77">
        <f>AND(AE77,OR(U77="כן",V77="כן"),NOT(OR(O77="כן",P77="כן")))</f>
        <v/>
      </c>
      <c r="AI77">
        <f>AND(X77="מושאל",AB77&lt;&gt;"",AB77&lt;TODAY())</f>
        <v/>
      </c>
    </row>
    <row r="78">
      <c r="E78">
        <f>IFERROR(INDEX('הגדרות'!$D$104:$D$123,MATCH(B78&amp;G78&amp;C78,'הגדרות'!$A$104:$A$123&amp;'הגדרות'!$B$104:$B$123&amp;'הגדרות'!$C$104:$C$123,0)),"")</f>
        <v/>
      </c>
      <c r="F78" s="6" t="n"/>
      <c r="Q78">
        <f>IFERROR(VLOOKUP(M78,'הגדרות'!$A$11:$D$25,2,FALSE),"")</f>
        <v/>
      </c>
      <c r="R78">
        <f>IFERROR(VLOOKUP(M78,'הגדרות'!$A$11:$D$25,3,FALSE),"")</f>
        <v/>
      </c>
      <c r="S78">
        <f>IFERROR(VLOOKUP(N78,'הגדרות'!$A$11:$D$25,2,FALSE),"")</f>
        <v/>
      </c>
      <c r="T78">
        <f>IFERROR(VLOOKUP(N78,'הגדרות'!$A$11:$D$25,3,FALSE),"")</f>
        <v/>
      </c>
      <c r="AB78" s="6" t="n"/>
      <c r="AE78">
        <f>OR(Q78='לוח בקרה'!$B$2,R78='לוח בקרה'!$B$2,S78='לוח בקרה'!$B$2,T78='לוח בקרה'!$B$2)</f>
        <v/>
      </c>
      <c r="AF78">
        <f>AND(AE78,OR(AND(O78="כן",U78="כן"),AND(P78="כן",V78="כן")))</f>
        <v/>
      </c>
      <c r="AG78">
        <f>AND(AE78,OR(O78="כן",P78="כן"),NOT(OR(AND(O78="כן",U78="כן"),AND(P78="כן",V78="כן"))))</f>
        <v/>
      </c>
      <c r="AH78">
        <f>AND(AE78,OR(U78="כן",V78="כן"),NOT(OR(O78="כן",P78="כן")))</f>
        <v/>
      </c>
      <c r="AI78">
        <f>AND(X78="מושאל",AB78&lt;&gt;"",AB78&lt;TODAY())</f>
        <v/>
      </c>
    </row>
    <row r="79">
      <c r="E79">
        <f>IFERROR(INDEX('הגדרות'!$D$104:$D$123,MATCH(B79&amp;G79&amp;C79,'הגדרות'!$A$104:$A$123&amp;'הגדרות'!$B$104:$B$123&amp;'הגדרות'!$C$104:$C$123,0)),"")</f>
        <v/>
      </c>
      <c r="F79" s="6" t="n"/>
      <c r="Q79">
        <f>IFERROR(VLOOKUP(M79,'הגדרות'!$A$11:$D$25,2,FALSE),"")</f>
        <v/>
      </c>
      <c r="R79">
        <f>IFERROR(VLOOKUP(M79,'הגדרות'!$A$11:$D$25,3,FALSE),"")</f>
        <v/>
      </c>
      <c r="S79">
        <f>IFERROR(VLOOKUP(N79,'הגדרות'!$A$11:$D$25,2,FALSE),"")</f>
        <v/>
      </c>
      <c r="T79">
        <f>IFERROR(VLOOKUP(N79,'הגדרות'!$A$11:$D$25,3,FALSE),"")</f>
        <v/>
      </c>
      <c r="AB79" s="6" t="n"/>
      <c r="AE79">
        <f>OR(Q79='לוח בקרה'!$B$2,R79='לוח בקרה'!$B$2,S79='לוח בקרה'!$B$2,T79='לוח בקרה'!$B$2)</f>
        <v/>
      </c>
      <c r="AF79">
        <f>AND(AE79,OR(AND(O79="כן",U79="כן"),AND(P79="כן",V79="כן")))</f>
        <v/>
      </c>
      <c r="AG79">
        <f>AND(AE79,OR(O79="כן",P79="כן"),NOT(OR(AND(O79="כן",U79="כן"),AND(P79="כן",V79="כן"))))</f>
        <v/>
      </c>
      <c r="AH79">
        <f>AND(AE79,OR(U79="כן",V79="כן"),NOT(OR(O79="כן",P79="כן")))</f>
        <v/>
      </c>
      <c r="AI79">
        <f>AND(X79="מושאל",AB79&lt;&gt;"",AB79&lt;TODAY())</f>
        <v/>
      </c>
    </row>
    <row r="80">
      <c r="E80">
        <f>IFERROR(INDEX('הגדרות'!$D$104:$D$123,MATCH(B80&amp;G80&amp;C80,'הגדרות'!$A$104:$A$123&amp;'הגדרות'!$B$104:$B$123&amp;'הגדרות'!$C$104:$C$123,0)),"")</f>
        <v/>
      </c>
      <c r="F80" s="6" t="n"/>
      <c r="Q80">
        <f>IFERROR(VLOOKUP(M80,'הגדרות'!$A$11:$D$25,2,FALSE),"")</f>
        <v/>
      </c>
      <c r="R80">
        <f>IFERROR(VLOOKUP(M80,'הגדרות'!$A$11:$D$25,3,FALSE),"")</f>
        <v/>
      </c>
      <c r="S80">
        <f>IFERROR(VLOOKUP(N80,'הגדרות'!$A$11:$D$25,2,FALSE),"")</f>
        <v/>
      </c>
      <c r="T80">
        <f>IFERROR(VLOOKUP(N80,'הגדרות'!$A$11:$D$25,3,FALSE),"")</f>
        <v/>
      </c>
      <c r="AB80" s="6" t="n"/>
      <c r="AE80">
        <f>OR(Q80='לוח בקרה'!$B$2,R80='לוח בקרה'!$B$2,S80='לוח בקרה'!$B$2,T80='לוח בקרה'!$B$2)</f>
        <v/>
      </c>
      <c r="AF80">
        <f>AND(AE80,OR(AND(O80="כן",U80="כן"),AND(P80="כן",V80="כן")))</f>
        <v/>
      </c>
      <c r="AG80">
        <f>AND(AE80,OR(O80="כן",P80="כן"),NOT(OR(AND(O80="כן",U80="כן"),AND(P80="כן",V80="כן"))))</f>
        <v/>
      </c>
      <c r="AH80">
        <f>AND(AE80,OR(U80="כן",V80="כן"),NOT(OR(O80="כן",P80="כן")))</f>
        <v/>
      </c>
      <c r="AI80">
        <f>AND(X80="מושאל",AB80&lt;&gt;"",AB80&lt;TODAY())</f>
        <v/>
      </c>
    </row>
    <row r="81">
      <c r="E81">
        <f>IFERROR(INDEX('הגדרות'!$D$104:$D$123,MATCH(B81&amp;G81&amp;C81,'הגדרות'!$A$104:$A$123&amp;'הגדרות'!$B$104:$B$123&amp;'הגדרות'!$C$104:$C$123,0)),"")</f>
        <v/>
      </c>
      <c r="F81" s="6" t="n"/>
      <c r="Q81">
        <f>IFERROR(VLOOKUP(M81,'הגדרות'!$A$11:$D$25,2,FALSE),"")</f>
        <v/>
      </c>
      <c r="R81">
        <f>IFERROR(VLOOKUP(M81,'הגדרות'!$A$11:$D$25,3,FALSE),"")</f>
        <v/>
      </c>
      <c r="S81">
        <f>IFERROR(VLOOKUP(N81,'הגדרות'!$A$11:$D$25,2,FALSE),"")</f>
        <v/>
      </c>
      <c r="T81">
        <f>IFERROR(VLOOKUP(N81,'הגדרות'!$A$11:$D$25,3,FALSE),"")</f>
        <v/>
      </c>
      <c r="AB81" s="6" t="n"/>
      <c r="AE81">
        <f>OR(Q81='לוח בקרה'!$B$2,R81='לוח בקרה'!$B$2,S81='לוח בקרה'!$B$2,T81='לוח בקרה'!$B$2)</f>
        <v/>
      </c>
      <c r="AF81">
        <f>AND(AE81,OR(AND(O81="כן",U81="כן"),AND(P81="כן",V81="כן")))</f>
        <v/>
      </c>
      <c r="AG81">
        <f>AND(AE81,OR(O81="כן",P81="כן"),NOT(OR(AND(O81="כן",U81="כן"),AND(P81="כן",V81="כן"))))</f>
        <v/>
      </c>
      <c r="AH81">
        <f>AND(AE81,OR(U81="כן",V81="כן"),NOT(OR(O81="כן",P81="כן")))</f>
        <v/>
      </c>
      <c r="AI81">
        <f>AND(X81="מושאל",AB81&lt;&gt;"",AB81&lt;TODAY())</f>
        <v/>
      </c>
    </row>
    <row r="82">
      <c r="E82">
        <f>IFERROR(INDEX('הגדרות'!$D$104:$D$123,MATCH(B82&amp;G82&amp;C82,'הגדרות'!$A$104:$A$123&amp;'הגדרות'!$B$104:$B$123&amp;'הגדרות'!$C$104:$C$123,0)),"")</f>
        <v/>
      </c>
      <c r="F82" s="6" t="n"/>
      <c r="Q82">
        <f>IFERROR(VLOOKUP(M82,'הגדרות'!$A$11:$D$25,2,FALSE),"")</f>
        <v/>
      </c>
      <c r="R82">
        <f>IFERROR(VLOOKUP(M82,'הגדרות'!$A$11:$D$25,3,FALSE),"")</f>
        <v/>
      </c>
      <c r="S82">
        <f>IFERROR(VLOOKUP(N82,'הגדרות'!$A$11:$D$25,2,FALSE),"")</f>
        <v/>
      </c>
      <c r="T82">
        <f>IFERROR(VLOOKUP(N82,'הגדרות'!$A$11:$D$25,3,FALSE),"")</f>
        <v/>
      </c>
      <c r="AB82" s="6" t="n"/>
      <c r="AE82">
        <f>OR(Q82='לוח בקרה'!$B$2,R82='לוח בקרה'!$B$2,S82='לוח בקרה'!$B$2,T82='לוח בקרה'!$B$2)</f>
        <v/>
      </c>
      <c r="AF82">
        <f>AND(AE82,OR(AND(O82="כן",U82="כן"),AND(P82="כן",V82="כן")))</f>
        <v/>
      </c>
      <c r="AG82">
        <f>AND(AE82,OR(O82="כן",P82="כן"),NOT(OR(AND(O82="כן",U82="כן"),AND(P82="כן",V82="כן"))))</f>
        <v/>
      </c>
      <c r="AH82">
        <f>AND(AE82,OR(U82="כן",V82="כן"),NOT(OR(O82="כן",P82="כן")))</f>
        <v/>
      </c>
      <c r="AI82">
        <f>AND(X82="מושאל",AB82&lt;&gt;"",AB82&lt;TODAY())</f>
        <v/>
      </c>
    </row>
    <row r="83">
      <c r="E83">
        <f>IFERROR(INDEX('הגדרות'!$D$104:$D$123,MATCH(B83&amp;G83&amp;C83,'הגדרות'!$A$104:$A$123&amp;'הגדרות'!$B$104:$B$123&amp;'הגדרות'!$C$104:$C$123,0)),"")</f>
        <v/>
      </c>
      <c r="F83" s="6" t="n"/>
      <c r="Q83">
        <f>IFERROR(VLOOKUP(M83,'הגדרות'!$A$11:$D$25,2,FALSE),"")</f>
        <v/>
      </c>
      <c r="R83">
        <f>IFERROR(VLOOKUP(M83,'הגדרות'!$A$11:$D$25,3,FALSE),"")</f>
        <v/>
      </c>
      <c r="S83">
        <f>IFERROR(VLOOKUP(N83,'הגדרות'!$A$11:$D$25,2,FALSE),"")</f>
        <v/>
      </c>
      <c r="T83">
        <f>IFERROR(VLOOKUP(N83,'הגדרות'!$A$11:$D$25,3,FALSE),"")</f>
        <v/>
      </c>
      <c r="AB83" s="6" t="n"/>
      <c r="AE83">
        <f>OR(Q83='לוח בקרה'!$B$2,R83='לוח בקרה'!$B$2,S83='לוח בקרה'!$B$2,T83='לוח בקרה'!$B$2)</f>
        <v/>
      </c>
      <c r="AF83">
        <f>AND(AE83,OR(AND(O83="כן",U83="כן"),AND(P83="כן",V83="כן")))</f>
        <v/>
      </c>
      <c r="AG83">
        <f>AND(AE83,OR(O83="כן",P83="כן"),NOT(OR(AND(O83="כן",U83="כן"),AND(P83="כן",V83="כן"))))</f>
        <v/>
      </c>
      <c r="AH83">
        <f>AND(AE83,OR(U83="כן",V83="כן"),NOT(OR(O83="כן",P83="כן")))</f>
        <v/>
      </c>
      <c r="AI83">
        <f>AND(X83="מושאל",AB83&lt;&gt;"",AB83&lt;TODAY())</f>
        <v/>
      </c>
    </row>
    <row r="84">
      <c r="E84">
        <f>IFERROR(INDEX('הגדרות'!$D$104:$D$123,MATCH(B84&amp;G84&amp;C84,'הגדרות'!$A$104:$A$123&amp;'הגדרות'!$B$104:$B$123&amp;'הגדרות'!$C$104:$C$123,0)),"")</f>
        <v/>
      </c>
      <c r="F84" s="6" t="n"/>
      <c r="Q84">
        <f>IFERROR(VLOOKUP(M84,'הגדרות'!$A$11:$D$25,2,FALSE),"")</f>
        <v/>
      </c>
      <c r="R84">
        <f>IFERROR(VLOOKUP(M84,'הגדרות'!$A$11:$D$25,3,FALSE),"")</f>
        <v/>
      </c>
      <c r="S84">
        <f>IFERROR(VLOOKUP(N84,'הגדרות'!$A$11:$D$25,2,FALSE),"")</f>
        <v/>
      </c>
      <c r="T84">
        <f>IFERROR(VLOOKUP(N84,'הגדרות'!$A$11:$D$25,3,FALSE),"")</f>
        <v/>
      </c>
      <c r="AB84" s="6" t="n"/>
      <c r="AE84">
        <f>OR(Q84='לוח בקרה'!$B$2,R84='לוח בקרה'!$B$2,S84='לוח בקרה'!$B$2,T84='לוח בקרה'!$B$2)</f>
        <v/>
      </c>
      <c r="AF84">
        <f>AND(AE84,OR(AND(O84="כן",U84="כן"),AND(P84="כן",V84="כן")))</f>
        <v/>
      </c>
      <c r="AG84">
        <f>AND(AE84,OR(O84="כן",P84="כן"),NOT(OR(AND(O84="כן",U84="כן"),AND(P84="כן",V84="כן"))))</f>
        <v/>
      </c>
      <c r="AH84">
        <f>AND(AE84,OR(U84="כן",V84="כן"),NOT(OR(O84="כן",P84="כן")))</f>
        <v/>
      </c>
      <c r="AI84">
        <f>AND(X84="מושאל",AB84&lt;&gt;"",AB84&lt;TODAY())</f>
        <v/>
      </c>
    </row>
    <row r="85">
      <c r="E85">
        <f>IFERROR(INDEX('הגדרות'!$D$104:$D$123,MATCH(B85&amp;G85&amp;C85,'הגדרות'!$A$104:$A$123&amp;'הגדרות'!$B$104:$B$123&amp;'הגדרות'!$C$104:$C$123,0)),"")</f>
        <v/>
      </c>
      <c r="F85" s="6" t="n"/>
      <c r="Q85">
        <f>IFERROR(VLOOKUP(M85,'הגדרות'!$A$11:$D$25,2,FALSE),"")</f>
        <v/>
      </c>
      <c r="R85">
        <f>IFERROR(VLOOKUP(M85,'הגדרות'!$A$11:$D$25,3,FALSE),"")</f>
        <v/>
      </c>
      <c r="S85">
        <f>IFERROR(VLOOKUP(N85,'הגדרות'!$A$11:$D$25,2,FALSE),"")</f>
        <v/>
      </c>
      <c r="T85">
        <f>IFERROR(VLOOKUP(N85,'הגדרות'!$A$11:$D$25,3,FALSE),"")</f>
        <v/>
      </c>
      <c r="AB85" s="6" t="n"/>
      <c r="AE85">
        <f>OR(Q85='לוח בקרה'!$B$2,R85='לוח בקרה'!$B$2,S85='לוח בקרה'!$B$2,T85='לוח בקרה'!$B$2)</f>
        <v/>
      </c>
      <c r="AF85">
        <f>AND(AE85,OR(AND(O85="כן",U85="כן"),AND(P85="כן",V85="כן")))</f>
        <v/>
      </c>
      <c r="AG85">
        <f>AND(AE85,OR(O85="כן",P85="כן"),NOT(OR(AND(O85="כן",U85="כן"),AND(P85="כן",V85="כן"))))</f>
        <v/>
      </c>
      <c r="AH85">
        <f>AND(AE85,OR(U85="כן",V85="כן"),NOT(OR(O85="כן",P85="כן")))</f>
        <v/>
      </c>
      <c r="AI85">
        <f>AND(X85="מושאל",AB85&lt;&gt;"",AB85&lt;TODAY())</f>
        <v/>
      </c>
    </row>
    <row r="86">
      <c r="E86">
        <f>IFERROR(INDEX('הגדרות'!$D$104:$D$123,MATCH(B86&amp;G86&amp;C86,'הגדרות'!$A$104:$A$123&amp;'הגדרות'!$B$104:$B$123&amp;'הגדרות'!$C$104:$C$123,0)),"")</f>
        <v/>
      </c>
      <c r="F86" s="6" t="n"/>
      <c r="Q86">
        <f>IFERROR(VLOOKUP(M86,'הגדרות'!$A$11:$D$25,2,FALSE),"")</f>
        <v/>
      </c>
      <c r="R86">
        <f>IFERROR(VLOOKUP(M86,'הגדרות'!$A$11:$D$25,3,FALSE),"")</f>
        <v/>
      </c>
      <c r="S86">
        <f>IFERROR(VLOOKUP(N86,'הגדרות'!$A$11:$D$25,2,FALSE),"")</f>
        <v/>
      </c>
      <c r="T86">
        <f>IFERROR(VLOOKUP(N86,'הגדרות'!$A$11:$D$25,3,FALSE),"")</f>
        <v/>
      </c>
      <c r="AB86" s="6" t="n"/>
      <c r="AE86">
        <f>OR(Q86='לוח בקרה'!$B$2,R86='לוח בקרה'!$B$2,S86='לוח בקרה'!$B$2,T86='לוח בקרה'!$B$2)</f>
        <v/>
      </c>
      <c r="AF86">
        <f>AND(AE86,OR(AND(O86="כן",U86="כן"),AND(P86="כן",V86="כן")))</f>
        <v/>
      </c>
      <c r="AG86">
        <f>AND(AE86,OR(O86="כן",P86="כן"),NOT(OR(AND(O86="כן",U86="כן"),AND(P86="כן",V86="כן"))))</f>
        <v/>
      </c>
      <c r="AH86">
        <f>AND(AE86,OR(U86="כן",V86="כן"),NOT(OR(O86="כן",P86="כן")))</f>
        <v/>
      </c>
      <c r="AI86">
        <f>AND(X86="מושאל",AB86&lt;&gt;"",AB86&lt;TODAY())</f>
        <v/>
      </c>
    </row>
    <row r="87">
      <c r="E87">
        <f>IFERROR(INDEX('הגדרות'!$D$104:$D$123,MATCH(B87&amp;G87&amp;C87,'הגדרות'!$A$104:$A$123&amp;'הגדרות'!$B$104:$B$123&amp;'הגדרות'!$C$104:$C$123,0)),"")</f>
        <v/>
      </c>
      <c r="F87" s="6" t="n"/>
      <c r="Q87">
        <f>IFERROR(VLOOKUP(M87,'הגדרות'!$A$11:$D$25,2,FALSE),"")</f>
        <v/>
      </c>
      <c r="R87">
        <f>IFERROR(VLOOKUP(M87,'הגדרות'!$A$11:$D$25,3,FALSE),"")</f>
        <v/>
      </c>
      <c r="S87">
        <f>IFERROR(VLOOKUP(N87,'הגדרות'!$A$11:$D$25,2,FALSE),"")</f>
        <v/>
      </c>
      <c r="T87">
        <f>IFERROR(VLOOKUP(N87,'הגדרות'!$A$11:$D$25,3,FALSE),"")</f>
        <v/>
      </c>
      <c r="AB87" s="6" t="n"/>
      <c r="AE87">
        <f>OR(Q87='לוח בקרה'!$B$2,R87='לוח בקרה'!$B$2,S87='לוח בקרה'!$B$2,T87='לוח בקרה'!$B$2)</f>
        <v/>
      </c>
      <c r="AF87">
        <f>AND(AE87,OR(AND(O87="כן",U87="כן"),AND(P87="כן",V87="כן")))</f>
        <v/>
      </c>
      <c r="AG87">
        <f>AND(AE87,OR(O87="כן",P87="כן"),NOT(OR(AND(O87="כן",U87="כן"),AND(P87="כן",V87="כן"))))</f>
        <v/>
      </c>
      <c r="AH87">
        <f>AND(AE87,OR(U87="כן",V87="כן"),NOT(OR(O87="כן",P87="כן")))</f>
        <v/>
      </c>
      <c r="AI87">
        <f>AND(X87="מושאל",AB87&lt;&gt;"",AB87&lt;TODAY())</f>
        <v/>
      </c>
    </row>
    <row r="88">
      <c r="E88">
        <f>IFERROR(INDEX('הגדרות'!$D$104:$D$123,MATCH(B88&amp;G88&amp;C88,'הגדרות'!$A$104:$A$123&amp;'הגדרות'!$B$104:$B$123&amp;'הגדרות'!$C$104:$C$123,0)),"")</f>
        <v/>
      </c>
      <c r="F88" s="6" t="n"/>
      <c r="Q88">
        <f>IFERROR(VLOOKUP(M88,'הגדרות'!$A$11:$D$25,2,FALSE),"")</f>
        <v/>
      </c>
      <c r="R88">
        <f>IFERROR(VLOOKUP(M88,'הגדרות'!$A$11:$D$25,3,FALSE),"")</f>
        <v/>
      </c>
      <c r="S88">
        <f>IFERROR(VLOOKUP(N88,'הגדרות'!$A$11:$D$25,2,FALSE),"")</f>
        <v/>
      </c>
      <c r="T88">
        <f>IFERROR(VLOOKUP(N88,'הגדרות'!$A$11:$D$25,3,FALSE),"")</f>
        <v/>
      </c>
      <c r="AB88" s="6" t="n"/>
      <c r="AE88">
        <f>OR(Q88='לוח בקרה'!$B$2,R88='לוח בקרה'!$B$2,S88='לוח בקרה'!$B$2,T88='לוח בקרה'!$B$2)</f>
        <v/>
      </c>
      <c r="AF88">
        <f>AND(AE88,OR(AND(O88="כן",U88="כן"),AND(P88="כן",V88="כן")))</f>
        <v/>
      </c>
      <c r="AG88">
        <f>AND(AE88,OR(O88="כן",P88="כן"),NOT(OR(AND(O88="כן",U88="כן"),AND(P88="כן",V88="כן"))))</f>
        <v/>
      </c>
      <c r="AH88">
        <f>AND(AE88,OR(U88="כן",V88="כן"),NOT(OR(O88="כן",P88="כן")))</f>
        <v/>
      </c>
      <c r="AI88">
        <f>AND(X88="מושאל",AB88&lt;&gt;"",AB88&lt;TODAY())</f>
        <v/>
      </c>
    </row>
    <row r="89">
      <c r="E89">
        <f>IFERROR(INDEX('הגדרות'!$D$104:$D$123,MATCH(B89&amp;G89&amp;C89,'הגדרות'!$A$104:$A$123&amp;'הגדרות'!$B$104:$B$123&amp;'הגדרות'!$C$104:$C$123,0)),"")</f>
        <v/>
      </c>
      <c r="F89" s="6" t="n"/>
      <c r="Q89">
        <f>IFERROR(VLOOKUP(M89,'הגדרות'!$A$11:$D$25,2,FALSE),"")</f>
        <v/>
      </c>
      <c r="R89">
        <f>IFERROR(VLOOKUP(M89,'הגדרות'!$A$11:$D$25,3,FALSE),"")</f>
        <v/>
      </c>
      <c r="S89">
        <f>IFERROR(VLOOKUP(N89,'הגדרות'!$A$11:$D$25,2,FALSE),"")</f>
        <v/>
      </c>
      <c r="T89">
        <f>IFERROR(VLOOKUP(N89,'הגדרות'!$A$11:$D$25,3,FALSE),"")</f>
        <v/>
      </c>
      <c r="AB89" s="6" t="n"/>
      <c r="AE89">
        <f>OR(Q89='לוח בקרה'!$B$2,R89='לוח בקרה'!$B$2,S89='לוח בקרה'!$B$2,T89='לוח בקרה'!$B$2)</f>
        <v/>
      </c>
      <c r="AF89">
        <f>AND(AE89,OR(AND(O89="כן",U89="כן"),AND(P89="כן",V89="כן")))</f>
        <v/>
      </c>
      <c r="AG89">
        <f>AND(AE89,OR(O89="כן",P89="כן"),NOT(OR(AND(O89="כן",U89="כן"),AND(P89="כן",V89="כן"))))</f>
        <v/>
      </c>
      <c r="AH89">
        <f>AND(AE89,OR(U89="כן",V89="כן"),NOT(OR(O89="כן",P89="כן")))</f>
        <v/>
      </c>
      <c r="AI89">
        <f>AND(X89="מושאל",AB89&lt;&gt;"",AB89&lt;TODAY())</f>
        <v/>
      </c>
    </row>
    <row r="90">
      <c r="E90">
        <f>IFERROR(INDEX('הגדרות'!$D$104:$D$123,MATCH(B90&amp;G90&amp;C90,'הגדרות'!$A$104:$A$123&amp;'הגדרות'!$B$104:$B$123&amp;'הגדרות'!$C$104:$C$123,0)),"")</f>
        <v/>
      </c>
      <c r="F90" s="6" t="n"/>
      <c r="Q90">
        <f>IFERROR(VLOOKUP(M90,'הגדרות'!$A$11:$D$25,2,FALSE),"")</f>
        <v/>
      </c>
      <c r="R90">
        <f>IFERROR(VLOOKUP(M90,'הגדרות'!$A$11:$D$25,3,FALSE),"")</f>
        <v/>
      </c>
      <c r="S90">
        <f>IFERROR(VLOOKUP(N90,'הגדרות'!$A$11:$D$25,2,FALSE),"")</f>
        <v/>
      </c>
      <c r="T90">
        <f>IFERROR(VLOOKUP(N90,'הגדרות'!$A$11:$D$25,3,FALSE),"")</f>
        <v/>
      </c>
      <c r="AB90" s="6" t="n"/>
      <c r="AE90">
        <f>OR(Q90='לוח בקרה'!$B$2,R90='לוח בקרה'!$B$2,S90='לוח בקרה'!$B$2,T90='לוח בקרה'!$B$2)</f>
        <v/>
      </c>
      <c r="AF90">
        <f>AND(AE90,OR(AND(O90="כן",U90="כן"),AND(P90="כן",V90="כן")))</f>
        <v/>
      </c>
      <c r="AG90">
        <f>AND(AE90,OR(O90="כן",P90="כן"),NOT(OR(AND(O90="כן",U90="כן"),AND(P90="כן",V90="כן"))))</f>
        <v/>
      </c>
      <c r="AH90">
        <f>AND(AE90,OR(U90="כן",V90="כן"),NOT(OR(O90="כן",P90="כן")))</f>
        <v/>
      </c>
      <c r="AI90">
        <f>AND(X90="מושאל",AB90&lt;&gt;"",AB90&lt;TODAY())</f>
        <v/>
      </c>
    </row>
    <row r="91">
      <c r="E91">
        <f>IFERROR(INDEX('הגדרות'!$D$104:$D$123,MATCH(B91&amp;G91&amp;C91,'הגדרות'!$A$104:$A$123&amp;'הגדרות'!$B$104:$B$123&amp;'הגדרות'!$C$104:$C$123,0)),"")</f>
        <v/>
      </c>
      <c r="F91" s="6" t="n"/>
      <c r="Q91">
        <f>IFERROR(VLOOKUP(M91,'הגדרות'!$A$11:$D$25,2,FALSE),"")</f>
        <v/>
      </c>
      <c r="R91">
        <f>IFERROR(VLOOKUP(M91,'הגדרות'!$A$11:$D$25,3,FALSE),"")</f>
        <v/>
      </c>
      <c r="S91">
        <f>IFERROR(VLOOKUP(N91,'הגדרות'!$A$11:$D$25,2,FALSE),"")</f>
        <v/>
      </c>
      <c r="T91">
        <f>IFERROR(VLOOKUP(N91,'הגדרות'!$A$11:$D$25,3,FALSE),"")</f>
        <v/>
      </c>
      <c r="AB91" s="6" t="n"/>
      <c r="AE91">
        <f>OR(Q91='לוח בקרה'!$B$2,R91='לוח בקרה'!$B$2,S91='לוח בקרה'!$B$2,T91='לוח בקרה'!$B$2)</f>
        <v/>
      </c>
      <c r="AF91">
        <f>AND(AE91,OR(AND(O91="כן",U91="כן"),AND(P91="כן",V91="כן")))</f>
        <v/>
      </c>
      <c r="AG91">
        <f>AND(AE91,OR(O91="כן",P91="כן"),NOT(OR(AND(O91="כן",U91="כן"),AND(P91="כן",V91="כן"))))</f>
        <v/>
      </c>
      <c r="AH91">
        <f>AND(AE91,OR(U91="כן",V91="כן"),NOT(OR(O91="כן",P91="כן")))</f>
        <v/>
      </c>
      <c r="AI91">
        <f>AND(X91="מושאל",AB91&lt;&gt;"",AB91&lt;TODAY())</f>
        <v/>
      </c>
    </row>
    <row r="92">
      <c r="E92">
        <f>IFERROR(INDEX('הגדרות'!$D$104:$D$123,MATCH(B92&amp;G92&amp;C92,'הגדרות'!$A$104:$A$123&amp;'הגדרות'!$B$104:$B$123&amp;'הגדרות'!$C$104:$C$123,0)),"")</f>
        <v/>
      </c>
      <c r="F92" s="6" t="n"/>
      <c r="Q92">
        <f>IFERROR(VLOOKUP(M92,'הגדרות'!$A$11:$D$25,2,FALSE),"")</f>
        <v/>
      </c>
      <c r="R92">
        <f>IFERROR(VLOOKUP(M92,'הגדרות'!$A$11:$D$25,3,FALSE),"")</f>
        <v/>
      </c>
      <c r="S92">
        <f>IFERROR(VLOOKUP(N92,'הגדרות'!$A$11:$D$25,2,FALSE),"")</f>
        <v/>
      </c>
      <c r="T92">
        <f>IFERROR(VLOOKUP(N92,'הגדרות'!$A$11:$D$25,3,FALSE),"")</f>
        <v/>
      </c>
      <c r="AB92" s="6" t="n"/>
      <c r="AE92">
        <f>OR(Q92='לוח בקרה'!$B$2,R92='לוח בקרה'!$B$2,S92='לוח בקרה'!$B$2,T92='לוח בקרה'!$B$2)</f>
        <v/>
      </c>
      <c r="AF92">
        <f>AND(AE92,OR(AND(O92="כן",U92="כן"),AND(P92="כן",V92="כן")))</f>
        <v/>
      </c>
      <c r="AG92">
        <f>AND(AE92,OR(O92="כן",P92="כן"),NOT(OR(AND(O92="כן",U92="כן"),AND(P92="כן",V92="כן"))))</f>
        <v/>
      </c>
      <c r="AH92">
        <f>AND(AE92,OR(U92="כן",V92="כן"),NOT(OR(O92="כן",P92="כן")))</f>
        <v/>
      </c>
      <c r="AI92">
        <f>AND(X92="מושאל",AB92&lt;&gt;"",AB92&lt;TODAY())</f>
        <v/>
      </c>
    </row>
    <row r="93">
      <c r="E93">
        <f>IFERROR(INDEX('הגדרות'!$D$104:$D$123,MATCH(B93&amp;G93&amp;C93,'הגדרות'!$A$104:$A$123&amp;'הגדרות'!$B$104:$B$123&amp;'הגדרות'!$C$104:$C$123,0)),"")</f>
        <v/>
      </c>
      <c r="F93" s="6" t="n"/>
      <c r="Q93">
        <f>IFERROR(VLOOKUP(M93,'הגדרות'!$A$11:$D$25,2,FALSE),"")</f>
        <v/>
      </c>
      <c r="R93">
        <f>IFERROR(VLOOKUP(M93,'הגדרות'!$A$11:$D$25,3,FALSE),"")</f>
        <v/>
      </c>
      <c r="S93">
        <f>IFERROR(VLOOKUP(N93,'הגדרות'!$A$11:$D$25,2,FALSE),"")</f>
        <v/>
      </c>
      <c r="T93">
        <f>IFERROR(VLOOKUP(N93,'הגדרות'!$A$11:$D$25,3,FALSE),"")</f>
        <v/>
      </c>
      <c r="AB93" s="6" t="n"/>
      <c r="AE93">
        <f>OR(Q93='לוח בקרה'!$B$2,R93='לוח בקרה'!$B$2,S93='לוח בקרה'!$B$2,T93='לוח בקרה'!$B$2)</f>
        <v/>
      </c>
      <c r="AF93">
        <f>AND(AE93,OR(AND(O93="כן",U93="כן"),AND(P93="כן",V93="כן")))</f>
        <v/>
      </c>
      <c r="AG93">
        <f>AND(AE93,OR(O93="כן",P93="כן"),NOT(OR(AND(O93="כן",U93="כן"),AND(P93="כן",V93="כן"))))</f>
        <v/>
      </c>
      <c r="AH93">
        <f>AND(AE93,OR(U93="כן",V93="כן"),NOT(OR(O93="כן",P93="כן")))</f>
        <v/>
      </c>
      <c r="AI93">
        <f>AND(X93="מושאל",AB93&lt;&gt;"",AB93&lt;TODAY())</f>
        <v/>
      </c>
    </row>
    <row r="94">
      <c r="E94">
        <f>IFERROR(INDEX('הגדרות'!$D$104:$D$123,MATCH(B94&amp;G94&amp;C94,'הגדרות'!$A$104:$A$123&amp;'הגדרות'!$B$104:$B$123&amp;'הגדרות'!$C$104:$C$123,0)),"")</f>
        <v/>
      </c>
      <c r="F94" s="6" t="n"/>
      <c r="Q94">
        <f>IFERROR(VLOOKUP(M94,'הגדרות'!$A$11:$D$25,2,FALSE),"")</f>
        <v/>
      </c>
      <c r="R94">
        <f>IFERROR(VLOOKUP(M94,'הגדרות'!$A$11:$D$25,3,FALSE),"")</f>
        <v/>
      </c>
      <c r="S94">
        <f>IFERROR(VLOOKUP(N94,'הגדרות'!$A$11:$D$25,2,FALSE),"")</f>
        <v/>
      </c>
      <c r="T94">
        <f>IFERROR(VLOOKUP(N94,'הגדרות'!$A$11:$D$25,3,FALSE),"")</f>
        <v/>
      </c>
      <c r="AB94" s="6" t="n"/>
      <c r="AE94">
        <f>OR(Q94='לוח בקרה'!$B$2,R94='לוח בקרה'!$B$2,S94='לוח בקרה'!$B$2,T94='לוח בקרה'!$B$2)</f>
        <v/>
      </c>
      <c r="AF94">
        <f>AND(AE94,OR(AND(O94="כן",U94="כן"),AND(P94="כן",V94="כן")))</f>
        <v/>
      </c>
      <c r="AG94">
        <f>AND(AE94,OR(O94="כן",P94="כן"),NOT(OR(AND(O94="כן",U94="כן"),AND(P94="כן",V94="כן"))))</f>
        <v/>
      </c>
      <c r="AH94">
        <f>AND(AE94,OR(U94="כן",V94="כן"),NOT(OR(O94="כן",P94="כן")))</f>
        <v/>
      </c>
      <c r="AI94">
        <f>AND(X94="מושאל",AB94&lt;&gt;"",AB94&lt;TODAY())</f>
        <v/>
      </c>
    </row>
    <row r="95">
      <c r="E95">
        <f>IFERROR(INDEX('הגדרות'!$D$104:$D$123,MATCH(B95&amp;G95&amp;C95,'הגדרות'!$A$104:$A$123&amp;'הגדרות'!$B$104:$B$123&amp;'הגדרות'!$C$104:$C$123,0)),"")</f>
        <v/>
      </c>
      <c r="F95" s="6" t="n"/>
      <c r="Q95">
        <f>IFERROR(VLOOKUP(M95,'הגדרות'!$A$11:$D$25,2,FALSE),"")</f>
        <v/>
      </c>
      <c r="R95">
        <f>IFERROR(VLOOKUP(M95,'הגדרות'!$A$11:$D$25,3,FALSE),"")</f>
        <v/>
      </c>
      <c r="S95">
        <f>IFERROR(VLOOKUP(N95,'הגדרות'!$A$11:$D$25,2,FALSE),"")</f>
        <v/>
      </c>
      <c r="T95">
        <f>IFERROR(VLOOKUP(N95,'הגדרות'!$A$11:$D$25,3,FALSE),"")</f>
        <v/>
      </c>
      <c r="AB95" s="6" t="n"/>
      <c r="AE95">
        <f>OR(Q95='לוח בקרה'!$B$2,R95='לוח בקרה'!$B$2,S95='לוח בקרה'!$B$2,T95='לוח בקרה'!$B$2)</f>
        <v/>
      </c>
      <c r="AF95">
        <f>AND(AE95,OR(AND(O95="כן",U95="כן"),AND(P95="כן",V95="כן")))</f>
        <v/>
      </c>
      <c r="AG95">
        <f>AND(AE95,OR(O95="כן",P95="כן"),NOT(OR(AND(O95="כן",U95="כן"),AND(P95="כן",V95="כן"))))</f>
        <v/>
      </c>
      <c r="AH95">
        <f>AND(AE95,OR(U95="כן",V95="כן"),NOT(OR(O95="כן",P95="כן")))</f>
        <v/>
      </c>
      <c r="AI95">
        <f>AND(X95="מושאל",AB95&lt;&gt;"",AB95&lt;TODAY())</f>
        <v/>
      </c>
    </row>
    <row r="96">
      <c r="E96">
        <f>IFERROR(INDEX('הגדרות'!$D$104:$D$123,MATCH(B96&amp;G96&amp;C96,'הגדרות'!$A$104:$A$123&amp;'הגדרות'!$B$104:$B$123&amp;'הגדרות'!$C$104:$C$123,0)),"")</f>
        <v/>
      </c>
      <c r="F96" s="6" t="n"/>
      <c r="Q96">
        <f>IFERROR(VLOOKUP(M96,'הגדרות'!$A$11:$D$25,2,FALSE),"")</f>
        <v/>
      </c>
      <c r="R96">
        <f>IFERROR(VLOOKUP(M96,'הגדרות'!$A$11:$D$25,3,FALSE),"")</f>
        <v/>
      </c>
      <c r="S96">
        <f>IFERROR(VLOOKUP(N96,'הגדרות'!$A$11:$D$25,2,FALSE),"")</f>
        <v/>
      </c>
      <c r="T96">
        <f>IFERROR(VLOOKUP(N96,'הגדרות'!$A$11:$D$25,3,FALSE),"")</f>
        <v/>
      </c>
      <c r="AB96" s="6" t="n"/>
      <c r="AE96">
        <f>OR(Q96='לוח בקרה'!$B$2,R96='לוח בקרה'!$B$2,S96='לוח בקרה'!$B$2,T96='לוח בקרה'!$B$2)</f>
        <v/>
      </c>
      <c r="AF96">
        <f>AND(AE96,OR(AND(O96="כן",U96="כן"),AND(P96="כן",V96="כן")))</f>
        <v/>
      </c>
      <c r="AG96">
        <f>AND(AE96,OR(O96="כן",P96="כן"),NOT(OR(AND(O96="כן",U96="כן"),AND(P96="כן",V96="כן"))))</f>
        <v/>
      </c>
      <c r="AH96">
        <f>AND(AE96,OR(U96="כן",V96="כן"),NOT(OR(O96="כן",P96="כן")))</f>
        <v/>
      </c>
      <c r="AI96">
        <f>AND(X96="מושאל",AB96&lt;&gt;"",AB96&lt;TODAY())</f>
        <v/>
      </c>
    </row>
    <row r="97">
      <c r="E97">
        <f>IFERROR(INDEX('הגדרות'!$D$104:$D$123,MATCH(B97&amp;G97&amp;C97,'הגדרות'!$A$104:$A$123&amp;'הגדרות'!$B$104:$B$123&amp;'הגדרות'!$C$104:$C$123,0)),"")</f>
        <v/>
      </c>
      <c r="F97" s="6" t="n"/>
      <c r="Q97">
        <f>IFERROR(VLOOKUP(M97,'הגדרות'!$A$11:$D$25,2,FALSE),"")</f>
        <v/>
      </c>
      <c r="R97">
        <f>IFERROR(VLOOKUP(M97,'הגדרות'!$A$11:$D$25,3,FALSE),"")</f>
        <v/>
      </c>
      <c r="S97">
        <f>IFERROR(VLOOKUP(N97,'הגדרות'!$A$11:$D$25,2,FALSE),"")</f>
        <v/>
      </c>
      <c r="T97">
        <f>IFERROR(VLOOKUP(N97,'הגדרות'!$A$11:$D$25,3,FALSE),"")</f>
        <v/>
      </c>
      <c r="AB97" s="6" t="n"/>
      <c r="AE97">
        <f>OR(Q97='לוח בקרה'!$B$2,R97='לוח בקרה'!$B$2,S97='לוח בקרה'!$B$2,T97='לוח בקרה'!$B$2)</f>
        <v/>
      </c>
      <c r="AF97">
        <f>AND(AE97,OR(AND(O97="כן",U97="כן"),AND(P97="כן",V97="כן")))</f>
        <v/>
      </c>
      <c r="AG97">
        <f>AND(AE97,OR(O97="כן",P97="כן"),NOT(OR(AND(O97="כן",U97="כן"),AND(P97="כן",V97="כן"))))</f>
        <v/>
      </c>
      <c r="AH97">
        <f>AND(AE97,OR(U97="כן",V97="כן"),NOT(OR(O97="כן",P97="כן")))</f>
        <v/>
      </c>
      <c r="AI97">
        <f>AND(X97="מושאל",AB97&lt;&gt;"",AB97&lt;TODAY())</f>
        <v/>
      </c>
    </row>
    <row r="98">
      <c r="E98">
        <f>IFERROR(INDEX('הגדרות'!$D$104:$D$123,MATCH(B98&amp;G98&amp;C98,'הגדרות'!$A$104:$A$123&amp;'הגדרות'!$B$104:$B$123&amp;'הגדרות'!$C$104:$C$123,0)),"")</f>
        <v/>
      </c>
      <c r="F98" s="6" t="n"/>
      <c r="Q98">
        <f>IFERROR(VLOOKUP(M98,'הגדרות'!$A$11:$D$25,2,FALSE),"")</f>
        <v/>
      </c>
      <c r="R98">
        <f>IFERROR(VLOOKUP(M98,'הגדרות'!$A$11:$D$25,3,FALSE),"")</f>
        <v/>
      </c>
      <c r="S98">
        <f>IFERROR(VLOOKUP(N98,'הגדרות'!$A$11:$D$25,2,FALSE),"")</f>
        <v/>
      </c>
      <c r="T98">
        <f>IFERROR(VLOOKUP(N98,'הגדרות'!$A$11:$D$25,3,FALSE),"")</f>
        <v/>
      </c>
      <c r="AB98" s="6" t="n"/>
      <c r="AE98">
        <f>OR(Q98='לוח בקרה'!$B$2,R98='לוח בקרה'!$B$2,S98='לוח בקרה'!$B$2,T98='לוח בקרה'!$B$2)</f>
        <v/>
      </c>
      <c r="AF98">
        <f>AND(AE98,OR(AND(O98="כן",U98="כן"),AND(P98="כן",V98="כן")))</f>
        <v/>
      </c>
      <c r="AG98">
        <f>AND(AE98,OR(O98="כן",P98="כן"),NOT(OR(AND(O98="כן",U98="כן"),AND(P98="כן",V98="כן"))))</f>
        <v/>
      </c>
      <c r="AH98">
        <f>AND(AE98,OR(U98="כן",V98="כן"),NOT(OR(O98="כן",P98="כן")))</f>
        <v/>
      </c>
      <c r="AI98">
        <f>AND(X98="מושאל",AB98&lt;&gt;"",AB98&lt;TODAY())</f>
        <v/>
      </c>
    </row>
    <row r="99">
      <c r="E99">
        <f>IFERROR(INDEX('הגדרות'!$D$104:$D$123,MATCH(B99&amp;G99&amp;C99,'הגדרות'!$A$104:$A$123&amp;'הגדרות'!$B$104:$B$123&amp;'הגדרות'!$C$104:$C$123,0)),"")</f>
        <v/>
      </c>
      <c r="F99" s="6" t="n"/>
      <c r="Q99">
        <f>IFERROR(VLOOKUP(M99,'הגדרות'!$A$11:$D$25,2,FALSE),"")</f>
        <v/>
      </c>
      <c r="R99">
        <f>IFERROR(VLOOKUP(M99,'הגדרות'!$A$11:$D$25,3,FALSE),"")</f>
        <v/>
      </c>
      <c r="S99">
        <f>IFERROR(VLOOKUP(N99,'הגדרות'!$A$11:$D$25,2,FALSE),"")</f>
        <v/>
      </c>
      <c r="T99">
        <f>IFERROR(VLOOKUP(N99,'הגדרות'!$A$11:$D$25,3,FALSE),"")</f>
        <v/>
      </c>
      <c r="AB99" s="6" t="n"/>
      <c r="AE99">
        <f>OR(Q99='לוח בקרה'!$B$2,R99='לוח בקרה'!$B$2,S99='לוח בקרה'!$B$2,T99='לוח בקרה'!$B$2)</f>
        <v/>
      </c>
      <c r="AF99">
        <f>AND(AE99,OR(AND(O99="כן",U99="כן"),AND(P99="כן",V99="כן")))</f>
        <v/>
      </c>
      <c r="AG99">
        <f>AND(AE99,OR(O99="כן",P99="כן"),NOT(OR(AND(O99="כן",U99="כן"),AND(P99="כן",V99="כן"))))</f>
        <v/>
      </c>
      <c r="AH99">
        <f>AND(AE99,OR(U99="כן",V99="כן"),NOT(OR(O99="כן",P99="כן")))</f>
        <v/>
      </c>
      <c r="AI99">
        <f>AND(X99="מושאל",AB99&lt;&gt;"",AB99&lt;TODAY())</f>
        <v/>
      </c>
    </row>
    <row r="100">
      <c r="E100">
        <f>IFERROR(INDEX('הגדרות'!$D$104:$D$123,MATCH(B100&amp;G100&amp;C100,'הגדרות'!$A$104:$A$123&amp;'הגדרות'!$B$104:$B$123&amp;'הגדרות'!$C$104:$C$123,0)),"")</f>
        <v/>
      </c>
      <c r="F100" s="6" t="n"/>
      <c r="Q100">
        <f>IFERROR(VLOOKUP(M100,'הגדרות'!$A$11:$D$25,2,FALSE),"")</f>
        <v/>
      </c>
      <c r="R100">
        <f>IFERROR(VLOOKUP(M100,'הגדרות'!$A$11:$D$25,3,FALSE),"")</f>
        <v/>
      </c>
      <c r="S100">
        <f>IFERROR(VLOOKUP(N100,'הגדרות'!$A$11:$D$25,2,FALSE),"")</f>
        <v/>
      </c>
      <c r="T100">
        <f>IFERROR(VLOOKUP(N100,'הגדרות'!$A$11:$D$25,3,FALSE),"")</f>
        <v/>
      </c>
      <c r="AB100" s="6" t="n"/>
      <c r="AE100">
        <f>OR(Q100='לוח בקרה'!$B$2,R100='לוח בקרה'!$B$2,S100='לוח בקרה'!$B$2,T100='לוח בקרה'!$B$2)</f>
        <v/>
      </c>
      <c r="AF100">
        <f>AND(AE100,OR(AND(O100="כן",U100="כן"),AND(P100="כן",V100="כן")))</f>
        <v/>
      </c>
      <c r="AG100">
        <f>AND(AE100,OR(O100="כן",P100="כן"),NOT(OR(AND(O100="כן",U100="כן"),AND(P100="כן",V100="כן"))))</f>
        <v/>
      </c>
      <c r="AH100">
        <f>AND(AE100,OR(U100="כן",V100="כן"),NOT(OR(O100="כן",P100="כן")))</f>
        <v/>
      </c>
      <c r="AI100">
        <f>AND(X100="מושאל",AB100&lt;&gt;"",AB100&lt;TODAY())</f>
        <v/>
      </c>
    </row>
    <row r="101">
      <c r="E101">
        <f>IFERROR(INDEX('הגדרות'!$D$104:$D$123,MATCH(B101&amp;G101&amp;C101,'הגדרות'!$A$104:$A$123&amp;'הגדרות'!$B$104:$B$123&amp;'הגדרות'!$C$104:$C$123,0)),"")</f>
        <v/>
      </c>
      <c r="F101" s="6" t="n"/>
      <c r="Q101">
        <f>IFERROR(VLOOKUP(M101,'הגדרות'!$A$11:$D$25,2,FALSE),"")</f>
        <v/>
      </c>
      <c r="R101">
        <f>IFERROR(VLOOKUP(M101,'הגדרות'!$A$11:$D$25,3,FALSE),"")</f>
        <v/>
      </c>
      <c r="S101">
        <f>IFERROR(VLOOKUP(N101,'הגדרות'!$A$11:$D$25,2,FALSE),"")</f>
        <v/>
      </c>
      <c r="T101">
        <f>IFERROR(VLOOKUP(N101,'הגדרות'!$A$11:$D$25,3,FALSE),"")</f>
        <v/>
      </c>
      <c r="AB101" s="6" t="n"/>
      <c r="AE101">
        <f>OR(Q101='לוח בקרה'!$B$2,R101='לוח בקרה'!$B$2,S101='לוח בקרה'!$B$2,T101='לוח בקרה'!$B$2)</f>
        <v/>
      </c>
      <c r="AF101">
        <f>AND(AE101,OR(AND(O101="כן",U101="כן"),AND(P101="כן",V101="כן")))</f>
        <v/>
      </c>
      <c r="AG101">
        <f>AND(AE101,OR(O101="כן",P101="כן"),NOT(OR(AND(O101="כן",U101="כן"),AND(P101="כן",V101="כן"))))</f>
        <v/>
      </c>
      <c r="AH101">
        <f>AND(AE101,OR(U101="כן",V101="כן"),NOT(OR(O101="כן",P101="כן")))</f>
        <v/>
      </c>
      <c r="AI101">
        <f>AND(X101="מושאל",AB101&lt;&gt;"",AB101&lt;TODAY())</f>
        <v/>
      </c>
    </row>
    <row r="102">
      <c r="E102">
        <f>IFERROR(INDEX('הגדרות'!$D$104:$D$123,MATCH(B102&amp;G102&amp;C102,'הגדרות'!$A$104:$A$123&amp;'הגדרות'!$B$104:$B$123&amp;'הגדרות'!$C$104:$C$123,0)),"")</f>
        <v/>
      </c>
      <c r="F102" s="6" t="n"/>
      <c r="Q102">
        <f>IFERROR(VLOOKUP(M102,'הגדרות'!$A$11:$D$25,2,FALSE),"")</f>
        <v/>
      </c>
      <c r="R102">
        <f>IFERROR(VLOOKUP(M102,'הגדרות'!$A$11:$D$25,3,FALSE),"")</f>
        <v/>
      </c>
      <c r="S102">
        <f>IFERROR(VLOOKUP(N102,'הגדרות'!$A$11:$D$25,2,FALSE),"")</f>
        <v/>
      </c>
      <c r="T102">
        <f>IFERROR(VLOOKUP(N102,'הגדרות'!$A$11:$D$25,3,FALSE),"")</f>
        <v/>
      </c>
      <c r="AB102" s="6" t="n"/>
      <c r="AE102">
        <f>OR(Q102='לוח בקרה'!$B$2,R102='לוח בקרה'!$B$2,S102='לוח בקרה'!$B$2,T102='לוח בקרה'!$B$2)</f>
        <v/>
      </c>
      <c r="AF102">
        <f>AND(AE102,OR(AND(O102="כן",U102="כן"),AND(P102="כן",V102="כן")))</f>
        <v/>
      </c>
      <c r="AG102">
        <f>AND(AE102,OR(O102="כן",P102="כן"),NOT(OR(AND(O102="כן",U102="כן"),AND(P102="כן",V102="כן"))))</f>
        <v/>
      </c>
      <c r="AH102">
        <f>AND(AE102,OR(U102="כן",V102="כן"),NOT(OR(O102="כן",P102="כן")))</f>
        <v/>
      </c>
      <c r="AI102">
        <f>AND(X102="מושאל",AB102&lt;&gt;"",AB102&lt;TODAY())</f>
        <v/>
      </c>
    </row>
    <row r="103">
      <c r="E103">
        <f>IFERROR(INDEX('הגדרות'!$D$104:$D$123,MATCH(B103&amp;G103&amp;C103,'הגדרות'!$A$104:$A$123&amp;'הגדרות'!$B$104:$B$123&amp;'הגדרות'!$C$104:$C$123,0)),"")</f>
        <v/>
      </c>
      <c r="F103" s="6" t="n"/>
      <c r="Q103">
        <f>IFERROR(VLOOKUP(M103,'הגדרות'!$A$11:$D$25,2,FALSE),"")</f>
        <v/>
      </c>
      <c r="R103">
        <f>IFERROR(VLOOKUP(M103,'הגדרות'!$A$11:$D$25,3,FALSE),"")</f>
        <v/>
      </c>
      <c r="S103">
        <f>IFERROR(VLOOKUP(N103,'הגדרות'!$A$11:$D$25,2,FALSE),"")</f>
        <v/>
      </c>
      <c r="T103">
        <f>IFERROR(VLOOKUP(N103,'הגדרות'!$A$11:$D$25,3,FALSE),"")</f>
        <v/>
      </c>
      <c r="AB103" s="6" t="n"/>
      <c r="AE103">
        <f>OR(Q103='לוח בקרה'!$B$2,R103='לוח בקרה'!$B$2,S103='לוח בקרה'!$B$2,T103='לוח בקרה'!$B$2)</f>
        <v/>
      </c>
      <c r="AF103">
        <f>AND(AE103,OR(AND(O103="כן",U103="כן"),AND(P103="כן",V103="כן")))</f>
        <v/>
      </c>
      <c r="AG103">
        <f>AND(AE103,OR(O103="כן",P103="כן"),NOT(OR(AND(O103="כן",U103="כן"),AND(P103="כן",V103="כן"))))</f>
        <v/>
      </c>
      <c r="AH103">
        <f>AND(AE103,OR(U103="כן",V103="כן"),NOT(OR(O103="כן",P103="כן")))</f>
        <v/>
      </c>
      <c r="AI103">
        <f>AND(X103="מושאל",AB103&lt;&gt;"",AB103&lt;TODAY())</f>
        <v/>
      </c>
    </row>
    <row r="104">
      <c r="E104">
        <f>IFERROR(INDEX('הגדרות'!$D$104:$D$123,MATCH(B104&amp;G104&amp;C104,'הגדרות'!$A$104:$A$123&amp;'הגדרות'!$B$104:$B$123&amp;'הגדרות'!$C$104:$C$123,0)),"")</f>
        <v/>
      </c>
      <c r="F104" s="6" t="n"/>
      <c r="Q104">
        <f>IFERROR(VLOOKUP(M104,'הגדרות'!$A$11:$D$25,2,FALSE),"")</f>
        <v/>
      </c>
      <c r="R104">
        <f>IFERROR(VLOOKUP(M104,'הגדרות'!$A$11:$D$25,3,FALSE),"")</f>
        <v/>
      </c>
      <c r="S104">
        <f>IFERROR(VLOOKUP(N104,'הגדרות'!$A$11:$D$25,2,FALSE),"")</f>
        <v/>
      </c>
      <c r="T104">
        <f>IFERROR(VLOOKUP(N104,'הגדרות'!$A$11:$D$25,3,FALSE),"")</f>
        <v/>
      </c>
      <c r="AB104" s="6" t="n"/>
      <c r="AE104">
        <f>OR(Q104='לוח בקרה'!$B$2,R104='לוח בקרה'!$B$2,S104='לוח בקרה'!$B$2,T104='לוח בקרה'!$B$2)</f>
        <v/>
      </c>
      <c r="AF104">
        <f>AND(AE104,OR(AND(O104="כן",U104="כן"),AND(P104="כן",V104="כן")))</f>
        <v/>
      </c>
      <c r="AG104">
        <f>AND(AE104,OR(O104="כן",P104="כן"),NOT(OR(AND(O104="כן",U104="כן"),AND(P104="כן",V104="כן"))))</f>
        <v/>
      </c>
      <c r="AH104">
        <f>AND(AE104,OR(U104="כן",V104="כן"),NOT(OR(O104="כן",P104="כן")))</f>
        <v/>
      </c>
      <c r="AI104">
        <f>AND(X104="מושאל",AB104&lt;&gt;"",AB104&lt;TODAY())</f>
        <v/>
      </c>
    </row>
    <row r="105">
      <c r="E105">
        <f>IFERROR(INDEX('הגדרות'!$D$104:$D$123,MATCH(B105&amp;G105&amp;C105,'הגדרות'!$A$104:$A$123&amp;'הגדרות'!$B$104:$B$123&amp;'הגדרות'!$C$104:$C$123,0)),"")</f>
        <v/>
      </c>
      <c r="F105" s="6" t="n"/>
      <c r="Q105">
        <f>IFERROR(VLOOKUP(M105,'הגדרות'!$A$11:$D$25,2,FALSE),"")</f>
        <v/>
      </c>
      <c r="R105">
        <f>IFERROR(VLOOKUP(M105,'הגדרות'!$A$11:$D$25,3,FALSE),"")</f>
        <v/>
      </c>
      <c r="S105">
        <f>IFERROR(VLOOKUP(N105,'הגדרות'!$A$11:$D$25,2,FALSE),"")</f>
        <v/>
      </c>
      <c r="T105">
        <f>IFERROR(VLOOKUP(N105,'הגדרות'!$A$11:$D$25,3,FALSE),"")</f>
        <v/>
      </c>
      <c r="AB105" s="6" t="n"/>
      <c r="AE105">
        <f>OR(Q105='לוח בקרה'!$B$2,R105='לוח בקרה'!$B$2,S105='לוח בקרה'!$B$2,T105='לוח בקרה'!$B$2)</f>
        <v/>
      </c>
      <c r="AF105">
        <f>AND(AE105,OR(AND(O105="כן",U105="כן"),AND(P105="כן",V105="כן")))</f>
        <v/>
      </c>
      <c r="AG105">
        <f>AND(AE105,OR(O105="כן",P105="כן"),NOT(OR(AND(O105="כן",U105="כן"),AND(P105="כן",V105="כן"))))</f>
        <v/>
      </c>
      <c r="AH105">
        <f>AND(AE105,OR(U105="כן",V105="כן"),NOT(OR(O105="כן",P105="כן")))</f>
        <v/>
      </c>
      <c r="AI105">
        <f>AND(X105="מושאל",AB105&lt;&gt;"",AB105&lt;TODAY())</f>
        <v/>
      </c>
    </row>
    <row r="106">
      <c r="E106">
        <f>IFERROR(INDEX('הגדרות'!$D$104:$D$123,MATCH(B106&amp;G106&amp;C106,'הגדרות'!$A$104:$A$123&amp;'הגדרות'!$B$104:$B$123&amp;'הגדרות'!$C$104:$C$123,0)),"")</f>
        <v/>
      </c>
      <c r="F106" s="6" t="n"/>
      <c r="Q106">
        <f>IFERROR(VLOOKUP(M106,'הגדרות'!$A$11:$D$25,2,FALSE),"")</f>
        <v/>
      </c>
      <c r="R106">
        <f>IFERROR(VLOOKUP(M106,'הגדרות'!$A$11:$D$25,3,FALSE),"")</f>
        <v/>
      </c>
      <c r="S106">
        <f>IFERROR(VLOOKUP(N106,'הגדרות'!$A$11:$D$25,2,FALSE),"")</f>
        <v/>
      </c>
      <c r="T106">
        <f>IFERROR(VLOOKUP(N106,'הגדרות'!$A$11:$D$25,3,FALSE),"")</f>
        <v/>
      </c>
      <c r="AB106" s="6" t="n"/>
      <c r="AE106">
        <f>OR(Q106='לוח בקרה'!$B$2,R106='לוח בקרה'!$B$2,S106='לוח בקרה'!$B$2,T106='לוח בקרה'!$B$2)</f>
        <v/>
      </c>
      <c r="AF106">
        <f>AND(AE106,OR(AND(O106="כן",U106="כן"),AND(P106="כן",V106="כן")))</f>
        <v/>
      </c>
      <c r="AG106">
        <f>AND(AE106,OR(O106="כן",P106="כן"),NOT(OR(AND(O106="כן",U106="כן"),AND(P106="כן",V106="כן"))))</f>
        <v/>
      </c>
      <c r="AH106">
        <f>AND(AE106,OR(U106="כן",V106="כן"),NOT(OR(O106="כן",P106="כן")))</f>
        <v/>
      </c>
      <c r="AI106">
        <f>AND(X106="מושאל",AB106&lt;&gt;"",AB106&lt;TODAY())</f>
        <v/>
      </c>
    </row>
    <row r="107">
      <c r="E107">
        <f>IFERROR(INDEX('הגדרות'!$D$104:$D$123,MATCH(B107&amp;G107&amp;C107,'הגדרות'!$A$104:$A$123&amp;'הגדרות'!$B$104:$B$123&amp;'הגדרות'!$C$104:$C$123,0)),"")</f>
        <v/>
      </c>
      <c r="F107" s="6" t="n"/>
      <c r="Q107">
        <f>IFERROR(VLOOKUP(M107,'הגדרות'!$A$11:$D$25,2,FALSE),"")</f>
        <v/>
      </c>
      <c r="R107">
        <f>IFERROR(VLOOKUP(M107,'הגדרות'!$A$11:$D$25,3,FALSE),"")</f>
        <v/>
      </c>
      <c r="S107">
        <f>IFERROR(VLOOKUP(N107,'הגדרות'!$A$11:$D$25,2,FALSE),"")</f>
        <v/>
      </c>
      <c r="T107">
        <f>IFERROR(VLOOKUP(N107,'הגדרות'!$A$11:$D$25,3,FALSE),"")</f>
        <v/>
      </c>
      <c r="AB107" s="6" t="n"/>
      <c r="AE107">
        <f>OR(Q107='לוח בקרה'!$B$2,R107='לוח בקרה'!$B$2,S107='לוח בקרה'!$B$2,T107='לוח בקרה'!$B$2)</f>
        <v/>
      </c>
      <c r="AF107">
        <f>AND(AE107,OR(AND(O107="כן",U107="כן"),AND(P107="כן",V107="כן")))</f>
        <v/>
      </c>
      <c r="AG107">
        <f>AND(AE107,OR(O107="כן",P107="כן"),NOT(OR(AND(O107="כן",U107="כן"),AND(P107="כן",V107="כן"))))</f>
        <v/>
      </c>
      <c r="AH107">
        <f>AND(AE107,OR(U107="כן",V107="כן"),NOT(OR(O107="כן",P107="כן")))</f>
        <v/>
      </c>
      <c r="AI107">
        <f>AND(X107="מושאל",AB107&lt;&gt;"",AB107&lt;TODAY())</f>
        <v/>
      </c>
    </row>
    <row r="108">
      <c r="E108">
        <f>IFERROR(INDEX('הגדרות'!$D$104:$D$123,MATCH(B108&amp;G108&amp;C108,'הגדרות'!$A$104:$A$123&amp;'הגדרות'!$B$104:$B$123&amp;'הגדרות'!$C$104:$C$123,0)),"")</f>
        <v/>
      </c>
      <c r="F108" s="6" t="n"/>
      <c r="Q108">
        <f>IFERROR(VLOOKUP(M108,'הגדרות'!$A$11:$D$25,2,FALSE),"")</f>
        <v/>
      </c>
      <c r="R108">
        <f>IFERROR(VLOOKUP(M108,'הגדרות'!$A$11:$D$25,3,FALSE),"")</f>
        <v/>
      </c>
      <c r="S108">
        <f>IFERROR(VLOOKUP(N108,'הגדרות'!$A$11:$D$25,2,FALSE),"")</f>
        <v/>
      </c>
      <c r="T108">
        <f>IFERROR(VLOOKUP(N108,'הגדרות'!$A$11:$D$25,3,FALSE),"")</f>
        <v/>
      </c>
      <c r="AB108" s="6" t="n"/>
      <c r="AE108">
        <f>OR(Q108='לוח בקרה'!$B$2,R108='לוח בקרה'!$B$2,S108='לוח בקרה'!$B$2,T108='לוח בקרה'!$B$2)</f>
        <v/>
      </c>
      <c r="AF108">
        <f>AND(AE108,OR(AND(O108="כן",U108="כן"),AND(P108="כן",V108="כן")))</f>
        <v/>
      </c>
      <c r="AG108">
        <f>AND(AE108,OR(O108="כן",P108="כן"),NOT(OR(AND(O108="כן",U108="כן"),AND(P108="כן",V108="כן"))))</f>
        <v/>
      </c>
      <c r="AH108">
        <f>AND(AE108,OR(U108="כן",V108="כן"),NOT(OR(O108="כן",P108="כן")))</f>
        <v/>
      </c>
      <c r="AI108">
        <f>AND(X108="מושאל",AB108&lt;&gt;"",AB108&lt;TODAY())</f>
        <v/>
      </c>
    </row>
    <row r="109">
      <c r="E109">
        <f>IFERROR(INDEX('הגדרות'!$D$104:$D$123,MATCH(B109&amp;G109&amp;C109,'הגדרות'!$A$104:$A$123&amp;'הגדרות'!$B$104:$B$123&amp;'הגדרות'!$C$104:$C$123,0)),"")</f>
        <v/>
      </c>
      <c r="F109" s="6" t="n"/>
      <c r="Q109">
        <f>IFERROR(VLOOKUP(M109,'הגדרות'!$A$11:$D$25,2,FALSE),"")</f>
        <v/>
      </c>
      <c r="R109">
        <f>IFERROR(VLOOKUP(M109,'הגדרות'!$A$11:$D$25,3,FALSE),"")</f>
        <v/>
      </c>
      <c r="S109">
        <f>IFERROR(VLOOKUP(N109,'הגדרות'!$A$11:$D$25,2,FALSE),"")</f>
        <v/>
      </c>
      <c r="T109">
        <f>IFERROR(VLOOKUP(N109,'הגדרות'!$A$11:$D$25,3,FALSE),"")</f>
        <v/>
      </c>
      <c r="AB109" s="6" t="n"/>
      <c r="AE109">
        <f>OR(Q109='לוח בקרה'!$B$2,R109='לוח בקרה'!$B$2,S109='לוח בקרה'!$B$2,T109='לוח בקרה'!$B$2)</f>
        <v/>
      </c>
      <c r="AF109">
        <f>AND(AE109,OR(AND(O109="כן",U109="כן"),AND(P109="כן",V109="כן")))</f>
        <v/>
      </c>
      <c r="AG109">
        <f>AND(AE109,OR(O109="כן",P109="כן"),NOT(OR(AND(O109="כן",U109="כן"),AND(P109="כן",V109="כן"))))</f>
        <v/>
      </c>
      <c r="AH109">
        <f>AND(AE109,OR(U109="כן",V109="כן"),NOT(OR(O109="כן",P109="כן")))</f>
        <v/>
      </c>
      <c r="AI109">
        <f>AND(X109="מושאל",AB109&lt;&gt;"",AB109&lt;TODAY())</f>
        <v/>
      </c>
    </row>
    <row r="110">
      <c r="E110">
        <f>IFERROR(INDEX('הגדרות'!$D$104:$D$123,MATCH(B110&amp;G110&amp;C110,'הגדרות'!$A$104:$A$123&amp;'הגדרות'!$B$104:$B$123&amp;'הגדרות'!$C$104:$C$123,0)),"")</f>
        <v/>
      </c>
      <c r="F110" s="6" t="n"/>
      <c r="Q110">
        <f>IFERROR(VLOOKUP(M110,'הגדרות'!$A$11:$D$25,2,FALSE),"")</f>
        <v/>
      </c>
      <c r="R110">
        <f>IFERROR(VLOOKUP(M110,'הגדרות'!$A$11:$D$25,3,FALSE),"")</f>
        <v/>
      </c>
      <c r="S110">
        <f>IFERROR(VLOOKUP(N110,'הגדרות'!$A$11:$D$25,2,FALSE),"")</f>
        <v/>
      </c>
      <c r="T110">
        <f>IFERROR(VLOOKUP(N110,'הגדרות'!$A$11:$D$25,3,FALSE),"")</f>
        <v/>
      </c>
      <c r="AB110" s="6" t="n"/>
      <c r="AE110">
        <f>OR(Q110='לוח בקרה'!$B$2,R110='לוח בקרה'!$B$2,S110='לוח בקרה'!$B$2,T110='לוח בקרה'!$B$2)</f>
        <v/>
      </c>
      <c r="AF110">
        <f>AND(AE110,OR(AND(O110="כן",U110="כן"),AND(P110="כן",V110="כן")))</f>
        <v/>
      </c>
      <c r="AG110">
        <f>AND(AE110,OR(O110="כן",P110="כן"),NOT(OR(AND(O110="כן",U110="כן"),AND(P110="כן",V110="כן"))))</f>
        <v/>
      </c>
      <c r="AH110">
        <f>AND(AE110,OR(U110="כן",V110="כן"),NOT(OR(O110="כן",P110="כן")))</f>
        <v/>
      </c>
      <c r="AI110">
        <f>AND(X110="מושאל",AB110&lt;&gt;"",AB110&lt;TODAY())</f>
        <v/>
      </c>
    </row>
    <row r="111">
      <c r="E111">
        <f>IFERROR(INDEX('הגדרות'!$D$104:$D$123,MATCH(B111&amp;G111&amp;C111,'הגדרות'!$A$104:$A$123&amp;'הגדרות'!$B$104:$B$123&amp;'הגדרות'!$C$104:$C$123,0)),"")</f>
        <v/>
      </c>
      <c r="F111" s="6" t="n"/>
      <c r="Q111">
        <f>IFERROR(VLOOKUP(M111,'הגדרות'!$A$11:$D$25,2,FALSE),"")</f>
        <v/>
      </c>
      <c r="R111">
        <f>IFERROR(VLOOKUP(M111,'הגדרות'!$A$11:$D$25,3,FALSE),"")</f>
        <v/>
      </c>
      <c r="S111">
        <f>IFERROR(VLOOKUP(N111,'הגדרות'!$A$11:$D$25,2,FALSE),"")</f>
        <v/>
      </c>
      <c r="T111">
        <f>IFERROR(VLOOKUP(N111,'הגדרות'!$A$11:$D$25,3,FALSE),"")</f>
        <v/>
      </c>
      <c r="AB111" s="6" t="n"/>
      <c r="AE111">
        <f>OR(Q111='לוח בקרה'!$B$2,R111='לוח בקרה'!$B$2,S111='לוח בקרה'!$B$2,T111='לוח בקרה'!$B$2)</f>
        <v/>
      </c>
      <c r="AF111">
        <f>AND(AE111,OR(AND(O111="כן",U111="כן"),AND(P111="כן",V111="כן")))</f>
        <v/>
      </c>
      <c r="AG111">
        <f>AND(AE111,OR(O111="כן",P111="כן"),NOT(OR(AND(O111="כן",U111="כן"),AND(P111="כן",V111="כן"))))</f>
        <v/>
      </c>
      <c r="AH111">
        <f>AND(AE111,OR(U111="כן",V111="כן"),NOT(OR(O111="כן",P111="כן")))</f>
        <v/>
      </c>
      <c r="AI111">
        <f>AND(X111="מושאל",AB111&lt;&gt;"",AB111&lt;TODAY())</f>
        <v/>
      </c>
    </row>
    <row r="112">
      <c r="E112">
        <f>IFERROR(INDEX('הגדרות'!$D$104:$D$123,MATCH(B112&amp;G112&amp;C112,'הגדרות'!$A$104:$A$123&amp;'הגדרות'!$B$104:$B$123&amp;'הגדרות'!$C$104:$C$123,0)),"")</f>
        <v/>
      </c>
      <c r="F112" s="6" t="n"/>
      <c r="Q112">
        <f>IFERROR(VLOOKUP(M112,'הגדרות'!$A$11:$D$25,2,FALSE),"")</f>
        <v/>
      </c>
      <c r="R112">
        <f>IFERROR(VLOOKUP(M112,'הגדרות'!$A$11:$D$25,3,FALSE),"")</f>
        <v/>
      </c>
      <c r="S112">
        <f>IFERROR(VLOOKUP(N112,'הגדרות'!$A$11:$D$25,2,FALSE),"")</f>
        <v/>
      </c>
      <c r="T112">
        <f>IFERROR(VLOOKUP(N112,'הגדרות'!$A$11:$D$25,3,FALSE),"")</f>
        <v/>
      </c>
      <c r="AB112" s="6" t="n"/>
      <c r="AE112">
        <f>OR(Q112='לוח בקרה'!$B$2,R112='לוח בקרה'!$B$2,S112='לוח בקרה'!$B$2,T112='לוח בקרה'!$B$2)</f>
        <v/>
      </c>
      <c r="AF112">
        <f>AND(AE112,OR(AND(O112="כן",U112="כן"),AND(P112="כן",V112="כן")))</f>
        <v/>
      </c>
      <c r="AG112">
        <f>AND(AE112,OR(O112="כן",P112="כן"),NOT(OR(AND(O112="כן",U112="כן"),AND(P112="כן",V112="כן"))))</f>
        <v/>
      </c>
      <c r="AH112">
        <f>AND(AE112,OR(U112="כן",V112="כן"),NOT(OR(O112="כן",P112="כן")))</f>
        <v/>
      </c>
      <c r="AI112">
        <f>AND(X112="מושאל",AB112&lt;&gt;"",AB112&lt;TODAY())</f>
        <v/>
      </c>
    </row>
    <row r="113">
      <c r="E113">
        <f>IFERROR(INDEX('הגדרות'!$D$104:$D$123,MATCH(B113&amp;G113&amp;C113,'הגדרות'!$A$104:$A$123&amp;'הגדרות'!$B$104:$B$123&amp;'הגדרות'!$C$104:$C$123,0)),"")</f>
        <v/>
      </c>
      <c r="F113" s="6" t="n"/>
      <c r="Q113">
        <f>IFERROR(VLOOKUP(M113,'הגדרות'!$A$11:$D$25,2,FALSE),"")</f>
        <v/>
      </c>
      <c r="R113">
        <f>IFERROR(VLOOKUP(M113,'הגדרות'!$A$11:$D$25,3,FALSE),"")</f>
        <v/>
      </c>
      <c r="S113">
        <f>IFERROR(VLOOKUP(N113,'הגדרות'!$A$11:$D$25,2,FALSE),"")</f>
        <v/>
      </c>
      <c r="T113">
        <f>IFERROR(VLOOKUP(N113,'הגדרות'!$A$11:$D$25,3,FALSE),"")</f>
        <v/>
      </c>
      <c r="AB113" s="6" t="n"/>
      <c r="AE113">
        <f>OR(Q113='לוח בקרה'!$B$2,R113='לוח בקרה'!$B$2,S113='לוח בקרה'!$B$2,T113='לוח בקרה'!$B$2)</f>
        <v/>
      </c>
      <c r="AF113">
        <f>AND(AE113,OR(AND(O113="כן",U113="כן"),AND(P113="כן",V113="כן")))</f>
        <v/>
      </c>
      <c r="AG113">
        <f>AND(AE113,OR(O113="כן",P113="כן"),NOT(OR(AND(O113="כן",U113="כן"),AND(P113="כן",V113="כן"))))</f>
        <v/>
      </c>
      <c r="AH113">
        <f>AND(AE113,OR(U113="כן",V113="כן"),NOT(OR(O113="כן",P113="כן")))</f>
        <v/>
      </c>
      <c r="AI113">
        <f>AND(X113="מושאל",AB113&lt;&gt;"",AB113&lt;TODAY())</f>
        <v/>
      </c>
    </row>
    <row r="114">
      <c r="E114">
        <f>IFERROR(INDEX('הגדרות'!$D$104:$D$123,MATCH(B114&amp;G114&amp;C114,'הגדרות'!$A$104:$A$123&amp;'הגדרות'!$B$104:$B$123&amp;'הגדרות'!$C$104:$C$123,0)),"")</f>
        <v/>
      </c>
      <c r="F114" s="6" t="n"/>
      <c r="Q114">
        <f>IFERROR(VLOOKUP(M114,'הגדרות'!$A$11:$D$25,2,FALSE),"")</f>
        <v/>
      </c>
      <c r="R114">
        <f>IFERROR(VLOOKUP(M114,'הגדרות'!$A$11:$D$25,3,FALSE),"")</f>
        <v/>
      </c>
      <c r="S114">
        <f>IFERROR(VLOOKUP(N114,'הגדרות'!$A$11:$D$25,2,FALSE),"")</f>
        <v/>
      </c>
      <c r="T114">
        <f>IFERROR(VLOOKUP(N114,'הגדרות'!$A$11:$D$25,3,FALSE),"")</f>
        <v/>
      </c>
      <c r="AB114" s="6" t="n"/>
      <c r="AE114">
        <f>OR(Q114='לוח בקרה'!$B$2,R114='לוח בקרה'!$B$2,S114='לוח בקרה'!$B$2,T114='לוח בקרה'!$B$2)</f>
        <v/>
      </c>
      <c r="AF114">
        <f>AND(AE114,OR(AND(O114="כן",U114="כן"),AND(P114="כן",V114="כן")))</f>
        <v/>
      </c>
      <c r="AG114">
        <f>AND(AE114,OR(O114="כן",P114="כן"),NOT(OR(AND(O114="כן",U114="כן"),AND(P114="כן",V114="כן"))))</f>
        <v/>
      </c>
      <c r="AH114">
        <f>AND(AE114,OR(U114="כן",V114="כן"),NOT(OR(O114="כן",P114="כן")))</f>
        <v/>
      </c>
      <c r="AI114">
        <f>AND(X114="מושאל",AB114&lt;&gt;"",AB114&lt;TODAY())</f>
        <v/>
      </c>
    </row>
    <row r="115">
      <c r="E115">
        <f>IFERROR(INDEX('הגדרות'!$D$104:$D$123,MATCH(B115&amp;G115&amp;C115,'הגדרות'!$A$104:$A$123&amp;'הגדרות'!$B$104:$B$123&amp;'הגדרות'!$C$104:$C$123,0)),"")</f>
        <v/>
      </c>
      <c r="F115" s="6" t="n"/>
      <c r="Q115">
        <f>IFERROR(VLOOKUP(M115,'הגדרות'!$A$11:$D$25,2,FALSE),"")</f>
        <v/>
      </c>
      <c r="R115">
        <f>IFERROR(VLOOKUP(M115,'הגדרות'!$A$11:$D$25,3,FALSE),"")</f>
        <v/>
      </c>
      <c r="S115">
        <f>IFERROR(VLOOKUP(N115,'הגדרות'!$A$11:$D$25,2,FALSE),"")</f>
        <v/>
      </c>
      <c r="T115">
        <f>IFERROR(VLOOKUP(N115,'הגדרות'!$A$11:$D$25,3,FALSE),"")</f>
        <v/>
      </c>
      <c r="AB115" s="6" t="n"/>
      <c r="AE115">
        <f>OR(Q115='לוח בקרה'!$B$2,R115='לוח בקרה'!$B$2,S115='לוח בקרה'!$B$2,T115='לוח בקרה'!$B$2)</f>
        <v/>
      </c>
      <c r="AF115">
        <f>AND(AE115,OR(AND(O115="כן",U115="כן"),AND(P115="כן",V115="כן")))</f>
        <v/>
      </c>
      <c r="AG115">
        <f>AND(AE115,OR(O115="כן",P115="כן"),NOT(OR(AND(O115="כן",U115="כן"),AND(P115="כן",V115="כן"))))</f>
        <v/>
      </c>
      <c r="AH115">
        <f>AND(AE115,OR(U115="כן",V115="כן"),NOT(OR(O115="כן",P115="כן")))</f>
        <v/>
      </c>
      <c r="AI115">
        <f>AND(X115="מושאל",AB115&lt;&gt;"",AB115&lt;TODAY())</f>
        <v/>
      </c>
    </row>
    <row r="116">
      <c r="E116">
        <f>IFERROR(INDEX('הגדרות'!$D$104:$D$123,MATCH(B116&amp;G116&amp;C116,'הגדרות'!$A$104:$A$123&amp;'הגדרות'!$B$104:$B$123&amp;'הגדרות'!$C$104:$C$123,0)),"")</f>
        <v/>
      </c>
      <c r="F116" s="6" t="n"/>
      <c r="Q116">
        <f>IFERROR(VLOOKUP(M116,'הגדרות'!$A$11:$D$25,2,FALSE),"")</f>
        <v/>
      </c>
      <c r="R116">
        <f>IFERROR(VLOOKUP(M116,'הגדרות'!$A$11:$D$25,3,FALSE),"")</f>
        <v/>
      </c>
      <c r="S116">
        <f>IFERROR(VLOOKUP(N116,'הגדרות'!$A$11:$D$25,2,FALSE),"")</f>
        <v/>
      </c>
      <c r="T116">
        <f>IFERROR(VLOOKUP(N116,'הגדרות'!$A$11:$D$25,3,FALSE),"")</f>
        <v/>
      </c>
      <c r="AB116" s="6" t="n"/>
      <c r="AE116">
        <f>OR(Q116='לוח בקרה'!$B$2,R116='לוח בקרה'!$B$2,S116='לוח בקרה'!$B$2,T116='לוח בקרה'!$B$2)</f>
        <v/>
      </c>
      <c r="AF116">
        <f>AND(AE116,OR(AND(O116="כן",U116="כן"),AND(P116="כן",V116="כן")))</f>
        <v/>
      </c>
      <c r="AG116">
        <f>AND(AE116,OR(O116="כן",P116="כן"),NOT(OR(AND(O116="כן",U116="כן"),AND(P116="כן",V116="כן"))))</f>
        <v/>
      </c>
      <c r="AH116">
        <f>AND(AE116,OR(U116="כן",V116="כן"),NOT(OR(O116="כן",P116="כן")))</f>
        <v/>
      </c>
      <c r="AI116">
        <f>AND(X116="מושאל",AB116&lt;&gt;"",AB116&lt;TODAY())</f>
        <v/>
      </c>
    </row>
    <row r="117">
      <c r="E117">
        <f>IFERROR(INDEX('הגדרות'!$D$104:$D$123,MATCH(B117&amp;G117&amp;C117,'הגדרות'!$A$104:$A$123&amp;'הגדרות'!$B$104:$B$123&amp;'הגדרות'!$C$104:$C$123,0)),"")</f>
        <v/>
      </c>
      <c r="F117" s="6" t="n"/>
      <c r="Q117">
        <f>IFERROR(VLOOKUP(M117,'הגדרות'!$A$11:$D$25,2,FALSE),"")</f>
        <v/>
      </c>
      <c r="R117">
        <f>IFERROR(VLOOKUP(M117,'הגדרות'!$A$11:$D$25,3,FALSE),"")</f>
        <v/>
      </c>
      <c r="S117">
        <f>IFERROR(VLOOKUP(N117,'הגדרות'!$A$11:$D$25,2,FALSE),"")</f>
        <v/>
      </c>
      <c r="T117">
        <f>IFERROR(VLOOKUP(N117,'הגדרות'!$A$11:$D$25,3,FALSE),"")</f>
        <v/>
      </c>
      <c r="AB117" s="6" t="n"/>
      <c r="AE117">
        <f>OR(Q117='לוח בקרה'!$B$2,R117='לוח בקרה'!$B$2,S117='לוח בקרה'!$B$2,T117='לוח בקרה'!$B$2)</f>
        <v/>
      </c>
      <c r="AF117">
        <f>AND(AE117,OR(AND(O117="כן",U117="כן"),AND(P117="כן",V117="כן")))</f>
        <v/>
      </c>
      <c r="AG117">
        <f>AND(AE117,OR(O117="כן",P117="כן"),NOT(OR(AND(O117="כן",U117="כן"),AND(P117="כן",V117="כן"))))</f>
        <v/>
      </c>
      <c r="AH117">
        <f>AND(AE117,OR(U117="כן",V117="כן"),NOT(OR(O117="כן",P117="כן")))</f>
        <v/>
      </c>
      <c r="AI117">
        <f>AND(X117="מושאל",AB117&lt;&gt;"",AB117&lt;TODAY())</f>
        <v/>
      </c>
    </row>
    <row r="118">
      <c r="E118">
        <f>IFERROR(INDEX('הגדרות'!$D$104:$D$123,MATCH(B118&amp;G118&amp;C118,'הגדרות'!$A$104:$A$123&amp;'הגדרות'!$B$104:$B$123&amp;'הגדרות'!$C$104:$C$123,0)),"")</f>
        <v/>
      </c>
      <c r="F118" s="6" t="n"/>
      <c r="Q118">
        <f>IFERROR(VLOOKUP(M118,'הגדרות'!$A$11:$D$25,2,FALSE),"")</f>
        <v/>
      </c>
      <c r="R118">
        <f>IFERROR(VLOOKUP(M118,'הגדרות'!$A$11:$D$25,3,FALSE),"")</f>
        <v/>
      </c>
      <c r="S118">
        <f>IFERROR(VLOOKUP(N118,'הגדרות'!$A$11:$D$25,2,FALSE),"")</f>
        <v/>
      </c>
      <c r="T118">
        <f>IFERROR(VLOOKUP(N118,'הגדרות'!$A$11:$D$25,3,FALSE),"")</f>
        <v/>
      </c>
      <c r="AB118" s="6" t="n"/>
      <c r="AE118">
        <f>OR(Q118='לוח בקרה'!$B$2,R118='לוח בקרה'!$B$2,S118='לוח בקרה'!$B$2,T118='לוח בקרה'!$B$2)</f>
        <v/>
      </c>
      <c r="AF118">
        <f>AND(AE118,OR(AND(O118="כן",U118="כן"),AND(P118="כן",V118="כן")))</f>
        <v/>
      </c>
      <c r="AG118">
        <f>AND(AE118,OR(O118="כן",P118="כן"),NOT(OR(AND(O118="כן",U118="כן"),AND(P118="כן",V118="כן"))))</f>
        <v/>
      </c>
      <c r="AH118">
        <f>AND(AE118,OR(U118="כן",V118="כן"),NOT(OR(O118="כן",P118="כן")))</f>
        <v/>
      </c>
      <c r="AI118">
        <f>AND(X118="מושאל",AB118&lt;&gt;"",AB118&lt;TODAY())</f>
        <v/>
      </c>
    </row>
    <row r="119">
      <c r="E119">
        <f>IFERROR(INDEX('הגדרות'!$D$104:$D$123,MATCH(B119&amp;G119&amp;C119,'הגדרות'!$A$104:$A$123&amp;'הגדרות'!$B$104:$B$123&amp;'הגדרות'!$C$104:$C$123,0)),"")</f>
        <v/>
      </c>
      <c r="F119" s="6" t="n"/>
      <c r="Q119">
        <f>IFERROR(VLOOKUP(M119,'הגדרות'!$A$11:$D$25,2,FALSE),"")</f>
        <v/>
      </c>
      <c r="R119">
        <f>IFERROR(VLOOKUP(M119,'הגדרות'!$A$11:$D$25,3,FALSE),"")</f>
        <v/>
      </c>
      <c r="S119">
        <f>IFERROR(VLOOKUP(N119,'הגדרות'!$A$11:$D$25,2,FALSE),"")</f>
        <v/>
      </c>
      <c r="T119">
        <f>IFERROR(VLOOKUP(N119,'הגדרות'!$A$11:$D$25,3,FALSE),"")</f>
        <v/>
      </c>
      <c r="AB119" s="6" t="n"/>
      <c r="AE119">
        <f>OR(Q119='לוח בקרה'!$B$2,R119='לוח בקרה'!$B$2,S119='לוח בקרה'!$B$2,T119='לוח בקרה'!$B$2)</f>
        <v/>
      </c>
      <c r="AF119">
        <f>AND(AE119,OR(AND(O119="כן",U119="כן"),AND(P119="כן",V119="כן")))</f>
        <v/>
      </c>
      <c r="AG119">
        <f>AND(AE119,OR(O119="כן",P119="כן"),NOT(OR(AND(O119="כן",U119="כן"),AND(P119="כן",V119="כן"))))</f>
        <v/>
      </c>
      <c r="AH119">
        <f>AND(AE119,OR(U119="כן",V119="כן"),NOT(OR(O119="כן",P119="כן")))</f>
        <v/>
      </c>
      <c r="AI119">
        <f>AND(X119="מושאל",AB119&lt;&gt;"",AB119&lt;TODAY())</f>
        <v/>
      </c>
    </row>
    <row r="120">
      <c r="E120">
        <f>IFERROR(INDEX('הגדרות'!$D$104:$D$123,MATCH(B120&amp;G120&amp;C120,'הגדרות'!$A$104:$A$123&amp;'הגדרות'!$B$104:$B$123&amp;'הגדרות'!$C$104:$C$123,0)),"")</f>
        <v/>
      </c>
      <c r="F120" s="6" t="n"/>
      <c r="Q120">
        <f>IFERROR(VLOOKUP(M120,'הגדרות'!$A$11:$D$25,2,FALSE),"")</f>
        <v/>
      </c>
      <c r="R120">
        <f>IFERROR(VLOOKUP(M120,'הגדרות'!$A$11:$D$25,3,FALSE),"")</f>
        <v/>
      </c>
      <c r="S120">
        <f>IFERROR(VLOOKUP(N120,'הגדרות'!$A$11:$D$25,2,FALSE),"")</f>
        <v/>
      </c>
      <c r="T120">
        <f>IFERROR(VLOOKUP(N120,'הגדרות'!$A$11:$D$25,3,FALSE),"")</f>
        <v/>
      </c>
      <c r="AB120" s="6" t="n"/>
      <c r="AE120">
        <f>OR(Q120='לוח בקרה'!$B$2,R120='לוח בקרה'!$B$2,S120='לוח בקרה'!$B$2,T120='לוח בקרה'!$B$2)</f>
        <v/>
      </c>
      <c r="AF120">
        <f>AND(AE120,OR(AND(O120="כן",U120="כן"),AND(P120="כן",V120="כן")))</f>
        <v/>
      </c>
      <c r="AG120">
        <f>AND(AE120,OR(O120="כן",P120="כן"),NOT(OR(AND(O120="כן",U120="כן"),AND(P120="כן",V120="כן"))))</f>
        <v/>
      </c>
      <c r="AH120">
        <f>AND(AE120,OR(U120="כן",V120="כן"),NOT(OR(O120="כן",P120="כן")))</f>
        <v/>
      </c>
      <c r="AI120">
        <f>AND(X120="מושאל",AB120&lt;&gt;"",AB120&lt;TODAY())</f>
        <v/>
      </c>
    </row>
    <row r="121">
      <c r="E121">
        <f>IFERROR(INDEX('הגדרות'!$D$104:$D$123,MATCH(B121&amp;G121&amp;C121,'הגדרות'!$A$104:$A$123&amp;'הגדרות'!$B$104:$B$123&amp;'הגדרות'!$C$104:$C$123,0)),"")</f>
        <v/>
      </c>
      <c r="F121" s="6" t="n"/>
      <c r="Q121">
        <f>IFERROR(VLOOKUP(M121,'הגדרות'!$A$11:$D$25,2,FALSE),"")</f>
        <v/>
      </c>
      <c r="R121">
        <f>IFERROR(VLOOKUP(M121,'הגדרות'!$A$11:$D$25,3,FALSE),"")</f>
        <v/>
      </c>
      <c r="S121">
        <f>IFERROR(VLOOKUP(N121,'הגדרות'!$A$11:$D$25,2,FALSE),"")</f>
        <v/>
      </c>
      <c r="T121">
        <f>IFERROR(VLOOKUP(N121,'הגדרות'!$A$11:$D$25,3,FALSE),"")</f>
        <v/>
      </c>
      <c r="AB121" s="6" t="n"/>
      <c r="AE121">
        <f>OR(Q121='לוח בקרה'!$B$2,R121='לוח בקרה'!$B$2,S121='לוח בקרה'!$B$2,T121='לוח בקרה'!$B$2)</f>
        <v/>
      </c>
      <c r="AF121">
        <f>AND(AE121,OR(AND(O121="כן",U121="כן"),AND(P121="כן",V121="כן")))</f>
        <v/>
      </c>
      <c r="AG121">
        <f>AND(AE121,OR(O121="כן",P121="כן"),NOT(OR(AND(O121="כן",U121="כן"),AND(P121="כן",V121="כן"))))</f>
        <v/>
      </c>
      <c r="AH121">
        <f>AND(AE121,OR(U121="כן",V121="כן"),NOT(OR(O121="כן",P121="כן")))</f>
        <v/>
      </c>
      <c r="AI121">
        <f>AND(X121="מושאל",AB121&lt;&gt;"",AB121&lt;TODAY())</f>
        <v/>
      </c>
    </row>
    <row r="122">
      <c r="E122">
        <f>IFERROR(INDEX('הגדרות'!$D$104:$D$123,MATCH(B122&amp;G122&amp;C122,'הגדרות'!$A$104:$A$123&amp;'הגדרות'!$B$104:$B$123&amp;'הגדרות'!$C$104:$C$123,0)),"")</f>
        <v/>
      </c>
      <c r="F122" s="6" t="n"/>
      <c r="Q122">
        <f>IFERROR(VLOOKUP(M122,'הגדרות'!$A$11:$D$25,2,FALSE),"")</f>
        <v/>
      </c>
      <c r="R122">
        <f>IFERROR(VLOOKUP(M122,'הגדרות'!$A$11:$D$25,3,FALSE),"")</f>
        <v/>
      </c>
      <c r="S122">
        <f>IFERROR(VLOOKUP(N122,'הגדרות'!$A$11:$D$25,2,FALSE),"")</f>
        <v/>
      </c>
      <c r="T122">
        <f>IFERROR(VLOOKUP(N122,'הגדרות'!$A$11:$D$25,3,FALSE),"")</f>
        <v/>
      </c>
      <c r="AB122" s="6" t="n"/>
      <c r="AE122">
        <f>OR(Q122='לוח בקרה'!$B$2,R122='לוח בקרה'!$B$2,S122='לוח בקרה'!$B$2,T122='לוח בקרה'!$B$2)</f>
        <v/>
      </c>
      <c r="AF122">
        <f>AND(AE122,OR(AND(O122="כן",U122="כן"),AND(P122="כן",V122="כן")))</f>
        <v/>
      </c>
      <c r="AG122">
        <f>AND(AE122,OR(O122="כן",P122="כן"),NOT(OR(AND(O122="כן",U122="כן"),AND(P122="כן",V122="כן"))))</f>
        <v/>
      </c>
      <c r="AH122">
        <f>AND(AE122,OR(U122="כן",V122="כן"),NOT(OR(O122="כן",P122="כן")))</f>
        <v/>
      </c>
      <c r="AI122">
        <f>AND(X122="מושאל",AB122&lt;&gt;"",AB122&lt;TODAY())</f>
        <v/>
      </c>
    </row>
    <row r="123">
      <c r="E123">
        <f>IFERROR(INDEX('הגדרות'!$D$104:$D$123,MATCH(B123&amp;G123&amp;C123,'הגדרות'!$A$104:$A$123&amp;'הגדרות'!$B$104:$B$123&amp;'הגדרות'!$C$104:$C$123,0)),"")</f>
        <v/>
      </c>
      <c r="F123" s="6" t="n"/>
      <c r="Q123">
        <f>IFERROR(VLOOKUP(M123,'הגדרות'!$A$11:$D$25,2,FALSE),"")</f>
        <v/>
      </c>
      <c r="R123">
        <f>IFERROR(VLOOKUP(M123,'הגדרות'!$A$11:$D$25,3,FALSE),"")</f>
        <v/>
      </c>
      <c r="S123">
        <f>IFERROR(VLOOKUP(N123,'הגדרות'!$A$11:$D$25,2,FALSE),"")</f>
        <v/>
      </c>
      <c r="T123">
        <f>IFERROR(VLOOKUP(N123,'הגדרות'!$A$11:$D$25,3,FALSE),"")</f>
        <v/>
      </c>
      <c r="AB123" s="6" t="n"/>
      <c r="AE123">
        <f>OR(Q123='לוח בקרה'!$B$2,R123='לוח בקרה'!$B$2,S123='לוח בקרה'!$B$2,T123='לוח בקרה'!$B$2)</f>
        <v/>
      </c>
      <c r="AF123">
        <f>AND(AE123,OR(AND(O123="כן",U123="כן"),AND(P123="כן",V123="כן")))</f>
        <v/>
      </c>
      <c r="AG123">
        <f>AND(AE123,OR(O123="כן",P123="כן"),NOT(OR(AND(O123="כן",U123="כן"),AND(P123="כן",V123="כן"))))</f>
        <v/>
      </c>
      <c r="AH123">
        <f>AND(AE123,OR(U123="כן",V123="כן"),NOT(OR(O123="כן",P123="כן")))</f>
        <v/>
      </c>
      <c r="AI123">
        <f>AND(X123="מושאל",AB123&lt;&gt;"",AB123&lt;TODAY())</f>
        <v/>
      </c>
    </row>
    <row r="124">
      <c r="E124">
        <f>IFERROR(INDEX('הגדרות'!$D$104:$D$123,MATCH(B124&amp;G124&amp;C124,'הגדרות'!$A$104:$A$123&amp;'הגדרות'!$B$104:$B$123&amp;'הגדרות'!$C$104:$C$123,0)),"")</f>
        <v/>
      </c>
      <c r="F124" s="6" t="n"/>
      <c r="Q124">
        <f>IFERROR(VLOOKUP(M124,'הגדרות'!$A$11:$D$25,2,FALSE),"")</f>
        <v/>
      </c>
      <c r="R124">
        <f>IFERROR(VLOOKUP(M124,'הגדרות'!$A$11:$D$25,3,FALSE),"")</f>
        <v/>
      </c>
      <c r="S124">
        <f>IFERROR(VLOOKUP(N124,'הגדרות'!$A$11:$D$25,2,FALSE),"")</f>
        <v/>
      </c>
      <c r="T124">
        <f>IFERROR(VLOOKUP(N124,'הגדרות'!$A$11:$D$25,3,FALSE),"")</f>
        <v/>
      </c>
      <c r="AB124" s="6" t="n"/>
      <c r="AE124">
        <f>OR(Q124='לוח בקרה'!$B$2,R124='לוח בקרה'!$B$2,S124='לוח בקרה'!$B$2,T124='לוח בקרה'!$B$2)</f>
        <v/>
      </c>
      <c r="AF124">
        <f>AND(AE124,OR(AND(O124="כן",U124="כן"),AND(P124="כן",V124="כן")))</f>
        <v/>
      </c>
      <c r="AG124">
        <f>AND(AE124,OR(O124="כן",P124="כן"),NOT(OR(AND(O124="כן",U124="כן"),AND(P124="כן",V124="כן"))))</f>
        <v/>
      </c>
      <c r="AH124">
        <f>AND(AE124,OR(U124="כן",V124="כן"),NOT(OR(O124="כן",P124="כן")))</f>
        <v/>
      </c>
      <c r="AI124">
        <f>AND(X124="מושאל",AB124&lt;&gt;"",AB124&lt;TODAY())</f>
        <v/>
      </c>
    </row>
    <row r="125">
      <c r="E125">
        <f>IFERROR(INDEX('הגדרות'!$D$104:$D$123,MATCH(B125&amp;G125&amp;C125,'הגדרות'!$A$104:$A$123&amp;'הגדרות'!$B$104:$B$123&amp;'הגדרות'!$C$104:$C$123,0)),"")</f>
        <v/>
      </c>
      <c r="F125" s="6" t="n"/>
      <c r="Q125">
        <f>IFERROR(VLOOKUP(M125,'הגדרות'!$A$11:$D$25,2,FALSE),"")</f>
        <v/>
      </c>
      <c r="R125">
        <f>IFERROR(VLOOKUP(M125,'הגדרות'!$A$11:$D$25,3,FALSE),"")</f>
        <v/>
      </c>
      <c r="S125">
        <f>IFERROR(VLOOKUP(N125,'הגדרות'!$A$11:$D$25,2,FALSE),"")</f>
        <v/>
      </c>
      <c r="T125">
        <f>IFERROR(VLOOKUP(N125,'הגדרות'!$A$11:$D$25,3,FALSE),"")</f>
        <v/>
      </c>
      <c r="AB125" s="6" t="n"/>
      <c r="AE125">
        <f>OR(Q125='לוח בקרה'!$B$2,R125='לוח בקרה'!$B$2,S125='לוח בקרה'!$B$2,T125='לוח בקרה'!$B$2)</f>
        <v/>
      </c>
      <c r="AF125">
        <f>AND(AE125,OR(AND(O125="כן",U125="כן"),AND(P125="כן",V125="כן")))</f>
        <v/>
      </c>
      <c r="AG125">
        <f>AND(AE125,OR(O125="כן",P125="כן"),NOT(OR(AND(O125="כן",U125="כן"),AND(P125="כן",V125="כן"))))</f>
        <v/>
      </c>
      <c r="AH125">
        <f>AND(AE125,OR(U125="כן",V125="כן"),NOT(OR(O125="כן",P125="כן")))</f>
        <v/>
      </c>
      <c r="AI125">
        <f>AND(X125="מושאל",AB125&lt;&gt;"",AB125&lt;TODAY())</f>
        <v/>
      </c>
    </row>
    <row r="126">
      <c r="E126">
        <f>IFERROR(INDEX('הגדרות'!$D$104:$D$123,MATCH(B126&amp;G126&amp;C126,'הגדרות'!$A$104:$A$123&amp;'הגדרות'!$B$104:$B$123&amp;'הגדרות'!$C$104:$C$123,0)),"")</f>
        <v/>
      </c>
      <c r="F126" s="6" t="n"/>
      <c r="Q126">
        <f>IFERROR(VLOOKUP(M126,'הגדרות'!$A$11:$D$25,2,FALSE),"")</f>
        <v/>
      </c>
      <c r="R126">
        <f>IFERROR(VLOOKUP(M126,'הגדרות'!$A$11:$D$25,3,FALSE),"")</f>
        <v/>
      </c>
      <c r="S126">
        <f>IFERROR(VLOOKUP(N126,'הגדרות'!$A$11:$D$25,2,FALSE),"")</f>
        <v/>
      </c>
      <c r="T126">
        <f>IFERROR(VLOOKUP(N126,'הגדרות'!$A$11:$D$25,3,FALSE),"")</f>
        <v/>
      </c>
      <c r="AB126" s="6" t="n"/>
      <c r="AE126">
        <f>OR(Q126='לוח בקרה'!$B$2,R126='לוח בקרה'!$B$2,S126='לוח בקרה'!$B$2,T126='לוח בקרה'!$B$2)</f>
        <v/>
      </c>
      <c r="AF126">
        <f>AND(AE126,OR(AND(O126="כן",U126="כן"),AND(P126="כן",V126="כן")))</f>
        <v/>
      </c>
      <c r="AG126">
        <f>AND(AE126,OR(O126="כן",P126="כן"),NOT(OR(AND(O126="כן",U126="כן"),AND(P126="כן",V126="כן"))))</f>
        <v/>
      </c>
      <c r="AH126">
        <f>AND(AE126,OR(U126="כן",V126="כן"),NOT(OR(O126="כן",P126="כן")))</f>
        <v/>
      </c>
      <c r="AI126">
        <f>AND(X126="מושאל",AB126&lt;&gt;"",AB126&lt;TODAY())</f>
        <v/>
      </c>
    </row>
    <row r="127">
      <c r="E127">
        <f>IFERROR(INDEX('הגדרות'!$D$104:$D$123,MATCH(B127&amp;G127&amp;C127,'הגדרות'!$A$104:$A$123&amp;'הגדרות'!$B$104:$B$123&amp;'הגדרות'!$C$104:$C$123,0)),"")</f>
        <v/>
      </c>
      <c r="F127" s="6" t="n"/>
      <c r="Q127">
        <f>IFERROR(VLOOKUP(M127,'הגדרות'!$A$11:$D$25,2,FALSE),"")</f>
        <v/>
      </c>
      <c r="R127">
        <f>IFERROR(VLOOKUP(M127,'הגדרות'!$A$11:$D$25,3,FALSE),"")</f>
        <v/>
      </c>
      <c r="S127">
        <f>IFERROR(VLOOKUP(N127,'הגדרות'!$A$11:$D$25,2,FALSE),"")</f>
        <v/>
      </c>
      <c r="T127">
        <f>IFERROR(VLOOKUP(N127,'הגדרות'!$A$11:$D$25,3,FALSE),"")</f>
        <v/>
      </c>
      <c r="AB127" s="6" t="n"/>
      <c r="AE127">
        <f>OR(Q127='לוח בקרה'!$B$2,R127='לוח בקרה'!$B$2,S127='לוח בקרה'!$B$2,T127='לוח בקרה'!$B$2)</f>
        <v/>
      </c>
      <c r="AF127">
        <f>AND(AE127,OR(AND(O127="כן",U127="כן"),AND(P127="כן",V127="כן")))</f>
        <v/>
      </c>
      <c r="AG127">
        <f>AND(AE127,OR(O127="כן",P127="כן"),NOT(OR(AND(O127="כן",U127="כן"),AND(P127="כן",V127="כן"))))</f>
        <v/>
      </c>
      <c r="AH127">
        <f>AND(AE127,OR(U127="כן",V127="כן"),NOT(OR(O127="כן",P127="כן")))</f>
        <v/>
      </c>
      <c r="AI127">
        <f>AND(X127="מושאל",AB127&lt;&gt;"",AB127&lt;TODAY())</f>
        <v/>
      </c>
    </row>
    <row r="128">
      <c r="E128">
        <f>IFERROR(INDEX('הגדרות'!$D$104:$D$123,MATCH(B128&amp;G128&amp;C128,'הגדרות'!$A$104:$A$123&amp;'הגדרות'!$B$104:$B$123&amp;'הגדרות'!$C$104:$C$123,0)),"")</f>
        <v/>
      </c>
      <c r="F128" s="6" t="n"/>
      <c r="Q128">
        <f>IFERROR(VLOOKUP(M128,'הגדרות'!$A$11:$D$25,2,FALSE),"")</f>
        <v/>
      </c>
      <c r="R128">
        <f>IFERROR(VLOOKUP(M128,'הגדרות'!$A$11:$D$25,3,FALSE),"")</f>
        <v/>
      </c>
      <c r="S128">
        <f>IFERROR(VLOOKUP(N128,'הגדרות'!$A$11:$D$25,2,FALSE),"")</f>
        <v/>
      </c>
      <c r="T128">
        <f>IFERROR(VLOOKUP(N128,'הגדרות'!$A$11:$D$25,3,FALSE),"")</f>
        <v/>
      </c>
      <c r="AB128" s="6" t="n"/>
      <c r="AE128">
        <f>OR(Q128='לוח בקרה'!$B$2,R128='לוח בקרה'!$B$2,S128='לוח בקרה'!$B$2,T128='לוח בקרה'!$B$2)</f>
        <v/>
      </c>
      <c r="AF128">
        <f>AND(AE128,OR(AND(O128="כן",U128="כן"),AND(P128="כן",V128="כן")))</f>
        <v/>
      </c>
      <c r="AG128">
        <f>AND(AE128,OR(O128="כן",P128="כן"),NOT(OR(AND(O128="כן",U128="כן"),AND(P128="כן",V128="כן"))))</f>
        <v/>
      </c>
      <c r="AH128">
        <f>AND(AE128,OR(U128="כן",V128="כן"),NOT(OR(O128="כן",P128="כן")))</f>
        <v/>
      </c>
      <c r="AI128">
        <f>AND(X128="מושאל",AB128&lt;&gt;"",AB128&lt;TODAY())</f>
        <v/>
      </c>
    </row>
    <row r="129">
      <c r="E129">
        <f>IFERROR(INDEX('הגדרות'!$D$104:$D$123,MATCH(B129&amp;G129&amp;C129,'הגדרות'!$A$104:$A$123&amp;'הגדרות'!$B$104:$B$123&amp;'הגדרות'!$C$104:$C$123,0)),"")</f>
        <v/>
      </c>
      <c r="F129" s="6" t="n"/>
      <c r="Q129">
        <f>IFERROR(VLOOKUP(M129,'הגדרות'!$A$11:$D$25,2,FALSE),"")</f>
        <v/>
      </c>
      <c r="R129">
        <f>IFERROR(VLOOKUP(M129,'הגדרות'!$A$11:$D$25,3,FALSE),"")</f>
        <v/>
      </c>
      <c r="S129">
        <f>IFERROR(VLOOKUP(N129,'הגדרות'!$A$11:$D$25,2,FALSE),"")</f>
        <v/>
      </c>
      <c r="T129">
        <f>IFERROR(VLOOKUP(N129,'הגדרות'!$A$11:$D$25,3,FALSE),"")</f>
        <v/>
      </c>
      <c r="AB129" s="6" t="n"/>
      <c r="AE129">
        <f>OR(Q129='לוח בקרה'!$B$2,R129='לוח בקרה'!$B$2,S129='לוח בקרה'!$B$2,T129='לוח בקרה'!$B$2)</f>
        <v/>
      </c>
      <c r="AF129">
        <f>AND(AE129,OR(AND(O129="כן",U129="כן"),AND(P129="כן",V129="כן")))</f>
        <v/>
      </c>
      <c r="AG129">
        <f>AND(AE129,OR(O129="כן",P129="כן"),NOT(OR(AND(O129="כן",U129="כן"),AND(P129="כן",V129="כן"))))</f>
        <v/>
      </c>
      <c r="AH129">
        <f>AND(AE129,OR(U129="כן",V129="כן"),NOT(OR(O129="כן",P129="כן")))</f>
        <v/>
      </c>
      <c r="AI129">
        <f>AND(X129="מושאל",AB129&lt;&gt;"",AB129&lt;TODAY())</f>
        <v/>
      </c>
    </row>
    <row r="130">
      <c r="E130">
        <f>IFERROR(INDEX('הגדרות'!$D$104:$D$123,MATCH(B130&amp;G130&amp;C130,'הגדרות'!$A$104:$A$123&amp;'הגדרות'!$B$104:$B$123&amp;'הגדרות'!$C$104:$C$123,0)),"")</f>
        <v/>
      </c>
      <c r="F130" s="6" t="n"/>
      <c r="Q130">
        <f>IFERROR(VLOOKUP(M130,'הגדרות'!$A$11:$D$25,2,FALSE),"")</f>
        <v/>
      </c>
      <c r="R130">
        <f>IFERROR(VLOOKUP(M130,'הגדרות'!$A$11:$D$25,3,FALSE),"")</f>
        <v/>
      </c>
      <c r="S130">
        <f>IFERROR(VLOOKUP(N130,'הגדרות'!$A$11:$D$25,2,FALSE),"")</f>
        <v/>
      </c>
      <c r="T130">
        <f>IFERROR(VLOOKUP(N130,'הגדרות'!$A$11:$D$25,3,FALSE),"")</f>
        <v/>
      </c>
      <c r="AB130" s="6" t="n"/>
      <c r="AE130">
        <f>OR(Q130='לוח בקרה'!$B$2,R130='לוח בקרה'!$B$2,S130='לוח בקרה'!$B$2,T130='לוח בקרה'!$B$2)</f>
        <v/>
      </c>
      <c r="AF130">
        <f>AND(AE130,OR(AND(O130="כן",U130="כן"),AND(P130="כן",V130="כן")))</f>
        <v/>
      </c>
      <c r="AG130">
        <f>AND(AE130,OR(O130="כן",P130="כן"),NOT(OR(AND(O130="כן",U130="כן"),AND(P130="כן",V130="כן"))))</f>
        <v/>
      </c>
      <c r="AH130">
        <f>AND(AE130,OR(U130="כן",V130="כן"),NOT(OR(O130="כן",P130="כן")))</f>
        <v/>
      </c>
      <c r="AI130">
        <f>AND(X130="מושאל",AB130&lt;&gt;"",AB130&lt;TODAY())</f>
        <v/>
      </c>
    </row>
    <row r="131">
      <c r="E131">
        <f>IFERROR(INDEX('הגדרות'!$D$104:$D$123,MATCH(B131&amp;G131&amp;C131,'הגדרות'!$A$104:$A$123&amp;'הגדרות'!$B$104:$B$123&amp;'הגדרות'!$C$104:$C$123,0)),"")</f>
        <v/>
      </c>
      <c r="F131" s="6" t="n"/>
      <c r="Q131">
        <f>IFERROR(VLOOKUP(M131,'הגדרות'!$A$11:$D$25,2,FALSE),"")</f>
        <v/>
      </c>
      <c r="R131">
        <f>IFERROR(VLOOKUP(M131,'הגדרות'!$A$11:$D$25,3,FALSE),"")</f>
        <v/>
      </c>
      <c r="S131">
        <f>IFERROR(VLOOKUP(N131,'הגדרות'!$A$11:$D$25,2,FALSE),"")</f>
        <v/>
      </c>
      <c r="T131">
        <f>IFERROR(VLOOKUP(N131,'הגדרות'!$A$11:$D$25,3,FALSE),"")</f>
        <v/>
      </c>
      <c r="AB131" s="6" t="n"/>
      <c r="AE131">
        <f>OR(Q131='לוח בקרה'!$B$2,R131='לוח בקרה'!$B$2,S131='לוח בקרה'!$B$2,T131='לוח בקרה'!$B$2)</f>
        <v/>
      </c>
      <c r="AF131">
        <f>AND(AE131,OR(AND(O131="כן",U131="כן"),AND(P131="כן",V131="כן")))</f>
        <v/>
      </c>
      <c r="AG131">
        <f>AND(AE131,OR(O131="כן",P131="כן"),NOT(OR(AND(O131="כן",U131="כן"),AND(P131="כן",V131="כן"))))</f>
        <v/>
      </c>
      <c r="AH131">
        <f>AND(AE131,OR(U131="כן",V131="כן"),NOT(OR(O131="כן",P131="כן")))</f>
        <v/>
      </c>
      <c r="AI131">
        <f>AND(X131="מושאל",AB131&lt;&gt;"",AB131&lt;TODAY())</f>
        <v/>
      </c>
    </row>
    <row r="132">
      <c r="E132">
        <f>IFERROR(INDEX('הגדרות'!$D$104:$D$123,MATCH(B132&amp;G132&amp;C132,'הגדרות'!$A$104:$A$123&amp;'הגדרות'!$B$104:$B$123&amp;'הגדרות'!$C$104:$C$123,0)),"")</f>
        <v/>
      </c>
      <c r="F132" s="6" t="n"/>
      <c r="Q132">
        <f>IFERROR(VLOOKUP(M132,'הגדרות'!$A$11:$D$25,2,FALSE),"")</f>
        <v/>
      </c>
      <c r="R132">
        <f>IFERROR(VLOOKUP(M132,'הגדרות'!$A$11:$D$25,3,FALSE),"")</f>
        <v/>
      </c>
      <c r="S132">
        <f>IFERROR(VLOOKUP(N132,'הגדרות'!$A$11:$D$25,2,FALSE),"")</f>
        <v/>
      </c>
      <c r="T132">
        <f>IFERROR(VLOOKUP(N132,'הגדרות'!$A$11:$D$25,3,FALSE),"")</f>
        <v/>
      </c>
      <c r="AB132" s="6" t="n"/>
      <c r="AE132">
        <f>OR(Q132='לוח בקרה'!$B$2,R132='לוח בקרה'!$B$2,S132='לוח בקרה'!$B$2,T132='לוח בקרה'!$B$2)</f>
        <v/>
      </c>
      <c r="AF132">
        <f>AND(AE132,OR(AND(O132="כן",U132="כן"),AND(P132="כן",V132="כן")))</f>
        <v/>
      </c>
      <c r="AG132">
        <f>AND(AE132,OR(O132="כן",P132="כן"),NOT(OR(AND(O132="כן",U132="כן"),AND(P132="כן",V132="כן"))))</f>
        <v/>
      </c>
      <c r="AH132">
        <f>AND(AE132,OR(U132="כן",V132="כן"),NOT(OR(O132="כן",P132="כן")))</f>
        <v/>
      </c>
      <c r="AI132">
        <f>AND(X132="מושאל",AB132&lt;&gt;"",AB132&lt;TODAY())</f>
        <v/>
      </c>
    </row>
    <row r="133">
      <c r="E133">
        <f>IFERROR(INDEX('הגדרות'!$D$104:$D$123,MATCH(B133&amp;G133&amp;C133,'הגדרות'!$A$104:$A$123&amp;'הגדרות'!$B$104:$B$123&amp;'הגדרות'!$C$104:$C$123,0)),"")</f>
        <v/>
      </c>
      <c r="F133" s="6" t="n"/>
      <c r="Q133">
        <f>IFERROR(VLOOKUP(M133,'הגדרות'!$A$11:$D$25,2,FALSE),"")</f>
        <v/>
      </c>
      <c r="R133">
        <f>IFERROR(VLOOKUP(M133,'הגדרות'!$A$11:$D$25,3,FALSE),"")</f>
        <v/>
      </c>
      <c r="S133">
        <f>IFERROR(VLOOKUP(N133,'הגדרות'!$A$11:$D$25,2,FALSE),"")</f>
        <v/>
      </c>
      <c r="T133">
        <f>IFERROR(VLOOKUP(N133,'הגדרות'!$A$11:$D$25,3,FALSE),"")</f>
        <v/>
      </c>
      <c r="AB133" s="6" t="n"/>
      <c r="AE133">
        <f>OR(Q133='לוח בקרה'!$B$2,R133='לוח בקרה'!$B$2,S133='לוח בקרה'!$B$2,T133='לוח בקרה'!$B$2)</f>
        <v/>
      </c>
      <c r="AF133">
        <f>AND(AE133,OR(AND(O133="כן",U133="כן"),AND(P133="כן",V133="כן")))</f>
        <v/>
      </c>
      <c r="AG133">
        <f>AND(AE133,OR(O133="כן",P133="כן"),NOT(OR(AND(O133="כן",U133="כן"),AND(P133="כן",V133="כן"))))</f>
        <v/>
      </c>
      <c r="AH133">
        <f>AND(AE133,OR(U133="כן",V133="כן"),NOT(OR(O133="כן",P133="כן")))</f>
        <v/>
      </c>
      <c r="AI133">
        <f>AND(X133="מושאל",AB133&lt;&gt;"",AB133&lt;TODAY())</f>
        <v/>
      </c>
    </row>
    <row r="134">
      <c r="E134">
        <f>IFERROR(INDEX('הגדרות'!$D$104:$D$123,MATCH(B134&amp;G134&amp;C134,'הגדרות'!$A$104:$A$123&amp;'הגדרות'!$B$104:$B$123&amp;'הגדרות'!$C$104:$C$123,0)),"")</f>
        <v/>
      </c>
      <c r="F134" s="6" t="n"/>
      <c r="Q134">
        <f>IFERROR(VLOOKUP(M134,'הגדרות'!$A$11:$D$25,2,FALSE),"")</f>
        <v/>
      </c>
      <c r="R134">
        <f>IFERROR(VLOOKUP(M134,'הגדרות'!$A$11:$D$25,3,FALSE),"")</f>
        <v/>
      </c>
      <c r="S134">
        <f>IFERROR(VLOOKUP(N134,'הגדרות'!$A$11:$D$25,2,FALSE),"")</f>
        <v/>
      </c>
      <c r="T134">
        <f>IFERROR(VLOOKUP(N134,'הגדרות'!$A$11:$D$25,3,FALSE),"")</f>
        <v/>
      </c>
      <c r="AB134" s="6" t="n"/>
      <c r="AE134">
        <f>OR(Q134='לוח בקרה'!$B$2,R134='לוח בקרה'!$B$2,S134='לוח בקרה'!$B$2,T134='לוח בקרה'!$B$2)</f>
        <v/>
      </c>
      <c r="AF134">
        <f>AND(AE134,OR(AND(O134="כן",U134="כן"),AND(P134="כן",V134="כן")))</f>
        <v/>
      </c>
      <c r="AG134">
        <f>AND(AE134,OR(O134="כן",P134="כן"),NOT(OR(AND(O134="כן",U134="כן"),AND(P134="כן",V134="כן"))))</f>
        <v/>
      </c>
      <c r="AH134">
        <f>AND(AE134,OR(U134="כן",V134="כן"),NOT(OR(O134="כן",P134="כן")))</f>
        <v/>
      </c>
      <c r="AI134">
        <f>AND(X134="מושאל",AB134&lt;&gt;"",AB134&lt;TODAY())</f>
        <v/>
      </c>
    </row>
    <row r="135">
      <c r="E135">
        <f>IFERROR(INDEX('הגדרות'!$D$104:$D$123,MATCH(B135&amp;G135&amp;C135,'הגדרות'!$A$104:$A$123&amp;'הגדרות'!$B$104:$B$123&amp;'הגדרות'!$C$104:$C$123,0)),"")</f>
        <v/>
      </c>
      <c r="F135" s="6" t="n"/>
      <c r="Q135">
        <f>IFERROR(VLOOKUP(M135,'הגדרות'!$A$11:$D$25,2,FALSE),"")</f>
        <v/>
      </c>
      <c r="R135">
        <f>IFERROR(VLOOKUP(M135,'הגדרות'!$A$11:$D$25,3,FALSE),"")</f>
        <v/>
      </c>
      <c r="S135">
        <f>IFERROR(VLOOKUP(N135,'הגדרות'!$A$11:$D$25,2,FALSE),"")</f>
        <v/>
      </c>
      <c r="T135">
        <f>IFERROR(VLOOKUP(N135,'הגדרות'!$A$11:$D$25,3,FALSE),"")</f>
        <v/>
      </c>
      <c r="AB135" s="6" t="n"/>
      <c r="AE135">
        <f>OR(Q135='לוח בקרה'!$B$2,R135='לוח בקרה'!$B$2,S135='לוח בקרה'!$B$2,T135='לוח בקרה'!$B$2)</f>
        <v/>
      </c>
      <c r="AF135">
        <f>AND(AE135,OR(AND(O135="כן",U135="כן"),AND(P135="כן",V135="כן")))</f>
        <v/>
      </c>
      <c r="AG135">
        <f>AND(AE135,OR(O135="כן",P135="כן"),NOT(OR(AND(O135="כן",U135="כן"),AND(P135="כן",V135="כן"))))</f>
        <v/>
      </c>
      <c r="AH135">
        <f>AND(AE135,OR(U135="כן",V135="כן"),NOT(OR(O135="כן",P135="כן")))</f>
        <v/>
      </c>
      <c r="AI135">
        <f>AND(X135="מושאל",AB135&lt;&gt;"",AB135&lt;TODAY())</f>
        <v/>
      </c>
    </row>
    <row r="136">
      <c r="E136">
        <f>IFERROR(INDEX('הגדרות'!$D$104:$D$123,MATCH(B136&amp;G136&amp;C136,'הגדרות'!$A$104:$A$123&amp;'הגדרות'!$B$104:$B$123&amp;'הגדרות'!$C$104:$C$123,0)),"")</f>
        <v/>
      </c>
      <c r="F136" s="6" t="n"/>
      <c r="Q136">
        <f>IFERROR(VLOOKUP(M136,'הגדרות'!$A$11:$D$25,2,FALSE),"")</f>
        <v/>
      </c>
      <c r="R136">
        <f>IFERROR(VLOOKUP(M136,'הגדרות'!$A$11:$D$25,3,FALSE),"")</f>
        <v/>
      </c>
      <c r="S136">
        <f>IFERROR(VLOOKUP(N136,'הגדרות'!$A$11:$D$25,2,FALSE),"")</f>
        <v/>
      </c>
      <c r="T136">
        <f>IFERROR(VLOOKUP(N136,'הגדרות'!$A$11:$D$25,3,FALSE),"")</f>
        <v/>
      </c>
      <c r="AB136" s="6" t="n"/>
      <c r="AE136">
        <f>OR(Q136='לוח בקרה'!$B$2,R136='לוח בקרה'!$B$2,S136='לוח בקרה'!$B$2,T136='לוח בקרה'!$B$2)</f>
        <v/>
      </c>
      <c r="AF136">
        <f>AND(AE136,OR(AND(O136="כן",U136="כן"),AND(P136="כן",V136="כן")))</f>
        <v/>
      </c>
      <c r="AG136">
        <f>AND(AE136,OR(O136="כן",P136="כן"),NOT(OR(AND(O136="כן",U136="כן"),AND(P136="כן",V136="כן"))))</f>
        <v/>
      </c>
      <c r="AH136">
        <f>AND(AE136,OR(U136="כן",V136="כן"),NOT(OR(O136="כן",P136="כן")))</f>
        <v/>
      </c>
      <c r="AI136">
        <f>AND(X136="מושאל",AB136&lt;&gt;"",AB136&lt;TODAY())</f>
        <v/>
      </c>
    </row>
    <row r="137">
      <c r="E137">
        <f>IFERROR(INDEX('הגדרות'!$D$104:$D$123,MATCH(B137&amp;G137&amp;C137,'הגדרות'!$A$104:$A$123&amp;'הגדרות'!$B$104:$B$123&amp;'הגדרות'!$C$104:$C$123,0)),"")</f>
        <v/>
      </c>
      <c r="F137" s="6" t="n"/>
      <c r="Q137">
        <f>IFERROR(VLOOKUP(M137,'הגדרות'!$A$11:$D$25,2,FALSE),"")</f>
        <v/>
      </c>
      <c r="R137">
        <f>IFERROR(VLOOKUP(M137,'הגדרות'!$A$11:$D$25,3,FALSE),"")</f>
        <v/>
      </c>
      <c r="S137">
        <f>IFERROR(VLOOKUP(N137,'הגדרות'!$A$11:$D$25,2,FALSE),"")</f>
        <v/>
      </c>
      <c r="T137">
        <f>IFERROR(VLOOKUP(N137,'הגדרות'!$A$11:$D$25,3,FALSE),"")</f>
        <v/>
      </c>
      <c r="AB137" s="6" t="n"/>
      <c r="AE137">
        <f>OR(Q137='לוח בקרה'!$B$2,R137='לוח בקרה'!$B$2,S137='לוח בקרה'!$B$2,T137='לוח בקרה'!$B$2)</f>
        <v/>
      </c>
      <c r="AF137">
        <f>AND(AE137,OR(AND(O137="כן",U137="כן"),AND(P137="כן",V137="כן")))</f>
        <v/>
      </c>
      <c r="AG137">
        <f>AND(AE137,OR(O137="כן",P137="כן"),NOT(OR(AND(O137="כן",U137="כן"),AND(P137="כן",V137="כן"))))</f>
        <v/>
      </c>
      <c r="AH137">
        <f>AND(AE137,OR(U137="כן",V137="כן"),NOT(OR(O137="כן",P137="כן")))</f>
        <v/>
      </c>
      <c r="AI137">
        <f>AND(X137="מושאל",AB137&lt;&gt;"",AB137&lt;TODAY())</f>
        <v/>
      </c>
    </row>
    <row r="138">
      <c r="E138">
        <f>IFERROR(INDEX('הגדרות'!$D$104:$D$123,MATCH(B138&amp;G138&amp;C138,'הגדרות'!$A$104:$A$123&amp;'הגדרות'!$B$104:$B$123&amp;'הגדרות'!$C$104:$C$123,0)),"")</f>
        <v/>
      </c>
      <c r="F138" s="6" t="n"/>
      <c r="Q138">
        <f>IFERROR(VLOOKUP(M138,'הגדרות'!$A$11:$D$25,2,FALSE),"")</f>
        <v/>
      </c>
      <c r="R138">
        <f>IFERROR(VLOOKUP(M138,'הגדרות'!$A$11:$D$25,3,FALSE),"")</f>
        <v/>
      </c>
      <c r="S138">
        <f>IFERROR(VLOOKUP(N138,'הגדרות'!$A$11:$D$25,2,FALSE),"")</f>
        <v/>
      </c>
      <c r="T138">
        <f>IFERROR(VLOOKUP(N138,'הגדרות'!$A$11:$D$25,3,FALSE),"")</f>
        <v/>
      </c>
      <c r="AB138" s="6" t="n"/>
      <c r="AE138">
        <f>OR(Q138='לוח בקרה'!$B$2,R138='לוח בקרה'!$B$2,S138='לוח בקרה'!$B$2,T138='לוח בקרה'!$B$2)</f>
        <v/>
      </c>
      <c r="AF138">
        <f>AND(AE138,OR(AND(O138="כן",U138="כן"),AND(P138="כן",V138="כן")))</f>
        <v/>
      </c>
      <c r="AG138">
        <f>AND(AE138,OR(O138="כן",P138="כן"),NOT(OR(AND(O138="כן",U138="כן"),AND(P138="כן",V138="כן"))))</f>
        <v/>
      </c>
      <c r="AH138">
        <f>AND(AE138,OR(U138="כן",V138="כן"),NOT(OR(O138="כן",P138="כן")))</f>
        <v/>
      </c>
      <c r="AI138">
        <f>AND(X138="מושאל",AB138&lt;&gt;"",AB138&lt;TODAY())</f>
        <v/>
      </c>
    </row>
    <row r="139">
      <c r="E139">
        <f>IFERROR(INDEX('הגדרות'!$D$104:$D$123,MATCH(B139&amp;G139&amp;C139,'הגדרות'!$A$104:$A$123&amp;'הגדרות'!$B$104:$B$123&amp;'הגדרות'!$C$104:$C$123,0)),"")</f>
        <v/>
      </c>
      <c r="F139" s="6" t="n"/>
      <c r="Q139">
        <f>IFERROR(VLOOKUP(M139,'הגדרות'!$A$11:$D$25,2,FALSE),"")</f>
        <v/>
      </c>
      <c r="R139">
        <f>IFERROR(VLOOKUP(M139,'הגדרות'!$A$11:$D$25,3,FALSE),"")</f>
        <v/>
      </c>
      <c r="S139">
        <f>IFERROR(VLOOKUP(N139,'הגדרות'!$A$11:$D$25,2,FALSE),"")</f>
        <v/>
      </c>
      <c r="T139">
        <f>IFERROR(VLOOKUP(N139,'הגדרות'!$A$11:$D$25,3,FALSE),"")</f>
        <v/>
      </c>
      <c r="AB139" s="6" t="n"/>
      <c r="AE139">
        <f>OR(Q139='לוח בקרה'!$B$2,R139='לוח בקרה'!$B$2,S139='לוח בקרה'!$B$2,T139='לוח בקרה'!$B$2)</f>
        <v/>
      </c>
      <c r="AF139">
        <f>AND(AE139,OR(AND(O139="כן",U139="כן"),AND(P139="כן",V139="כן")))</f>
        <v/>
      </c>
      <c r="AG139">
        <f>AND(AE139,OR(O139="כן",P139="כן"),NOT(OR(AND(O139="כן",U139="כן"),AND(P139="כן",V139="כן"))))</f>
        <v/>
      </c>
      <c r="AH139">
        <f>AND(AE139,OR(U139="כן",V139="כן"),NOT(OR(O139="כן",P139="כן")))</f>
        <v/>
      </c>
      <c r="AI139">
        <f>AND(X139="מושאל",AB139&lt;&gt;"",AB139&lt;TODAY())</f>
        <v/>
      </c>
    </row>
    <row r="140">
      <c r="E140">
        <f>IFERROR(INDEX('הגדרות'!$D$104:$D$123,MATCH(B140&amp;G140&amp;C140,'הגדרות'!$A$104:$A$123&amp;'הגדרות'!$B$104:$B$123&amp;'הגדרות'!$C$104:$C$123,0)),"")</f>
        <v/>
      </c>
      <c r="F140" s="6" t="n"/>
      <c r="Q140">
        <f>IFERROR(VLOOKUP(M140,'הגדרות'!$A$11:$D$25,2,FALSE),"")</f>
        <v/>
      </c>
      <c r="R140">
        <f>IFERROR(VLOOKUP(M140,'הגדרות'!$A$11:$D$25,3,FALSE),"")</f>
        <v/>
      </c>
      <c r="S140">
        <f>IFERROR(VLOOKUP(N140,'הגדרות'!$A$11:$D$25,2,FALSE),"")</f>
        <v/>
      </c>
      <c r="T140">
        <f>IFERROR(VLOOKUP(N140,'הגדרות'!$A$11:$D$25,3,FALSE),"")</f>
        <v/>
      </c>
      <c r="AB140" s="6" t="n"/>
      <c r="AE140">
        <f>OR(Q140='לוח בקרה'!$B$2,R140='לוח בקרה'!$B$2,S140='לוח בקרה'!$B$2,T140='לוח בקרה'!$B$2)</f>
        <v/>
      </c>
      <c r="AF140">
        <f>AND(AE140,OR(AND(O140="כן",U140="כן"),AND(P140="כן",V140="כן")))</f>
        <v/>
      </c>
      <c r="AG140">
        <f>AND(AE140,OR(O140="כן",P140="כן"),NOT(OR(AND(O140="כן",U140="כן"),AND(P140="כן",V140="כן"))))</f>
        <v/>
      </c>
      <c r="AH140">
        <f>AND(AE140,OR(U140="כן",V140="כן"),NOT(OR(O140="כן",P140="כן")))</f>
        <v/>
      </c>
      <c r="AI140">
        <f>AND(X140="מושאל",AB140&lt;&gt;"",AB140&lt;TODAY())</f>
        <v/>
      </c>
    </row>
    <row r="141">
      <c r="E141">
        <f>IFERROR(INDEX('הגדרות'!$D$104:$D$123,MATCH(B141&amp;G141&amp;C141,'הגדרות'!$A$104:$A$123&amp;'הגדרות'!$B$104:$B$123&amp;'הגדרות'!$C$104:$C$123,0)),"")</f>
        <v/>
      </c>
      <c r="F141" s="6" t="n"/>
      <c r="Q141">
        <f>IFERROR(VLOOKUP(M141,'הגדרות'!$A$11:$D$25,2,FALSE),"")</f>
        <v/>
      </c>
      <c r="R141">
        <f>IFERROR(VLOOKUP(M141,'הגדרות'!$A$11:$D$25,3,FALSE),"")</f>
        <v/>
      </c>
      <c r="S141">
        <f>IFERROR(VLOOKUP(N141,'הגדרות'!$A$11:$D$25,2,FALSE),"")</f>
        <v/>
      </c>
      <c r="T141">
        <f>IFERROR(VLOOKUP(N141,'הגדרות'!$A$11:$D$25,3,FALSE),"")</f>
        <v/>
      </c>
      <c r="AB141" s="6" t="n"/>
      <c r="AE141">
        <f>OR(Q141='לוח בקרה'!$B$2,R141='לוח בקרה'!$B$2,S141='לוח בקרה'!$B$2,T141='לוח בקרה'!$B$2)</f>
        <v/>
      </c>
      <c r="AF141">
        <f>AND(AE141,OR(AND(O141="כן",U141="כן"),AND(P141="כן",V141="כן")))</f>
        <v/>
      </c>
      <c r="AG141">
        <f>AND(AE141,OR(O141="כן",P141="כן"),NOT(OR(AND(O141="כן",U141="כן"),AND(P141="כן",V141="כן"))))</f>
        <v/>
      </c>
      <c r="AH141">
        <f>AND(AE141,OR(U141="כן",V141="כן"),NOT(OR(O141="כן",P141="כן")))</f>
        <v/>
      </c>
      <c r="AI141">
        <f>AND(X141="מושאל",AB141&lt;&gt;"",AB141&lt;TODAY())</f>
        <v/>
      </c>
    </row>
    <row r="142">
      <c r="E142">
        <f>IFERROR(INDEX('הגדרות'!$D$104:$D$123,MATCH(B142&amp;G142&amp;C142,'הגדרות'!$A$104:$A$123&amp;'הגדרות'!$B$104:$B$123&amp;'הגדרות'!$C$104:$C$123,0)),"")</f>
        <v/>
      </c>
      <c r="F142" s="6" t="n"/>
      <c r="Q142">
        <f>IFERROR(VLOOKUP(M142,'הגדרות'!$A$11:$D$25,2,FALSE),"")</f>
        <v/>
      </c>
      <c r="R142">
        <f>IFERROR(VLOOKUP(M142,'הגדרות'!$A$11:$D$25,3,FALSE),"")</f>
        <v/>
      </c>
      <c r="S142">
        <f>IFERROR(VLOOKUP(N142,'הגדרות'!$A$11:$D$25,2,FALSE),"")</f>
        <v/>
      </c>
      <c r="T142">
        <f>IFERROR(VLOOKUP(N142,'הגדרות'!$A$11:$D$25,3,FALSE),"")</f>
        <v/>
      </c>
      <c r="AB142" s="6" t="n"/>
      <c r="AE142">
        <f>OR(Q142='לוח בקרה'!$B$2,R142='לוח בקרה'!$B$2,S142='לוח בקרה'!$B$2,T142='לוח בקרה'!$B$2)</f>
        <v/>
      </c>
      <c r="AF142">
        <f>AND(AE142,OR(AND(O142="כן",U142="כן"),AND(P142="כן",V142="כן")))</f>
        <v/>
      </c>
      <c r="AG142">
        <f>AND(AE142,OR(O142="כן",P142="כן"),NOT(OR(AND(O142="כן",U142="כן"),AND(P142="כן",V142="כן"))))</f>
        <v/>
      </c>
      <c r="AH142">
        <f>AND(AE142,OR(U142="כן",V142="כן"),NOT(OR(O142="כן",P142="כן")))</f>
        <v/>
      </c>
      <c r="AI142">
        <f>AND(X142="מושאל",AB142&lt;&gt;"",AB142&lt;TODAY())</f>
        <v/>
      </c>
    </row>
    <row r="143">
      <c r="E143">
        <f>IFERROR(INDEX('הגדרות'!$D$104:$D$123,MATCH(B143&amp;G143&amp;C143,'הגדרות'!$A$104:$A$123&amp;'הגדרות'!$B$104:$B$123&amp;'הגדרות'!$C$104:$C$123,0)),"")</f>
        <v/>
      </c>
      <c r="F143" s="6" t="n"/>
      <c r="Q143">
        <f>IFERROR(VLOOKUP(M143,'הגדרות'!$A$11:$D$25,2,FALSE),"")</f>
        <v/>
      </c>
      <c r="R143">
        <f>IFERROR(VLOOKUP(M143,'הגדרות'!$A$11:$D$25,3,FALSE),"")</f>
        <v/>
      </c>
      <c r="S143">
        <f>IFERROR(VLOOKUP(N143,'הגדרות'!$A$11:$D$25,2,FALSE),"")</f>
        <v/>
      </c>
      <c r="T143">
        <f>IFERROR(VLOOKUP(N143,'הגדרות'!$A$11:$D$25,3,FALSE),"")</f>
        <v/>
      </c>
      <c r="AB143" s="6" t="n"/>
      <c r="AE143">
        <f>OR(Q143='לוח בקרה'!$B$2,R143='לוח בקרה'!$B$2,S143='לוח בקרה'!$B$2,T143='לוח בקרה'!$B$2)</f>
        <v/>
      </c>
      <c r="AF143">
        <f>AND(AE143,OR(AND(O143="כן",U143="כן"),AND(P143="כן",V143="כן")))</f>
        <v/>
      </c>
      <c r="AG143">
        <f>AND(AE143,OR(O143="כן",P143="כן"),NOT(OR(AND(O143="כן",U143="כן"),AND(P143="כן",V143="כן"))))</f>
        <v/>
      </c>
      <c r="AH143">
        <f>AND(AE143,OR(U143="כן",V143="כן"),NOT(OR(O143="כן",P143="כן")))</f>
        <v/>
      </c>
      <c r="AI143">
        <f>AND(X143="מושאל",AB143&lt;&gt;"",AB143&lt;TODAY())</f>
        <v/>
      </c>
    </row>
    <row r="144">
      <c r="E144">
        <f>IFERROR(INDEX('הגדרות'!$D$104:$D$123,MATCH(B144&amp;G144&amp;C144,'הגדרות'!$A$104:$A$123&amp;'הגדרות'!$B$104:$B$123&amp;'הגדרות'!$C$104:$C$123,0)),"")</f>
        <v/>
      </c>
      <c r="F144" s="6" t="n"/>
      <c r="Q144">
        <f>IFERROR(VLOOKUP(M144,'הגדרות'!$A$11:$D$25,2,FALSE),"")</f>
        <v/>
      </c>
      <c r="R144">
        <f>IFERROR(VLOOKUP(M144,'הגדרות'!$A$11:$D$25,3,FALSE),"")</f>
        <v/>
      </c>
      <c r="S144">
        <f>IFERROR(VLOOKUP(N144,'הגדרות'!$A$11:$D$25,2,FALSE),"")</f>
        <v/>
      </c>
      <c r="T144">
        <f>IFERROR(VLOOKUP(N144,'הגדרות'!$A$11:$D$25,3,FALSE),"")</f>
        <v/>
      </c>
      <c r="AB144" s="6" t="n"/>
      <c r="AE144">
        <f>OR(Q144='לוח בקרה'!$B$2,R144='לוח בקרה'!$B$2,S144='לוח בקרה'!$B$2,T144='לוח בקרה'!$B$2)</f>
        <v/>
      </c>
      <c r="AF144">
        <f>AND(AE144,OR(AND(O144="כן",U144="כן"),AND(P144="כן",V144="כן")))</f>
        <v/>
      </c>
      <c r="AG144">
        <f>AND(AE144,OR(O144="כן",P144="כן"),NOT(OR(AND(O144="כן",U144="כן"),AND(P144="כן",V144="כן"))))</f>
        <v/>
      </c>
      <c r="AH144">
        <f>AND(AE144,OR(U144="כן",V144="כן"),NOT(OR(O144="כן",P144="כן")))</f>
        <v/>
      </c>
      <c r="AI144">
        <f>AND(X144="מושאל",AB144&lt;&gt;"",AB144&lt;TODAY())</f>
        <v/>
      </c>
    </row>
    <row r="145">
      <c r="E145">
        <f>IFERROR(INDEX('הגדרות'!$D$104:$D$123,MATCH(B145&amp;G145&amp;C145,'הגדרות'!$A$104:$A$123&amp;'הגדרות'!$B$104:$B$123&amp;'הגדרות'!$C$104:$C$123,0)),"")</f>
        <v/>
      </c>
      <c r="F145" s="6" t="n"/>
      <c r="Q145">
        <f>IFERROR(VLOOKUP(M145,'הגדרות'!$A$11:$D$25,2,FALSE),"")</f>
        <v/>
      </c>
      <c r="R145">
        <f>IFERROR(VLOOKUP(M145,'הגדרות'!$A$11:$D$25,3,FALSE),"")</f>
        <v/>
      </c>
      <c r="S145">
        <f>IFERROR(VLOOKUP(N145,'הגדרות'!$A$11:$D$25,2,FALSE),"")</f>
        <v/>
      </c>
      <c r="T145">
        <f>IFERROR(VLOOKUP(N145,'הגדרות'!$A$11:$D$25,3,FALSE),"")</f>
        <v/>
      </c>
      <c r="AB145" s="6" t="n"/>
      <c r="AE145">
        <f>OR(Q145='לוח בקרה'!$B$2,R145='לוח בקרה'!$B$2,S145='לוח בקרה'!$B$2,T145='לוח בקרה'!$B$2)</f>
        <v/>
      </c>
      <c r="AF145">
        <f>AND(AE145,OR(AND(O145="כן",U145="כן"),AND(P145="כן",V145="כן")))</f>
        <v/>
      </c>
      <c r="AG145">
        <f>AND(AE145,OR(O145="כן",P145="כן"),NOT(OR(AND(O145="כן",U145="כן"),AND(P145="כן",V145="כן"))))</f>
        <v/>
      </c>
      <c r="AH145">
        <f>AND(AE145,OR(U145="כן",V145="כן"),NOT(OR(O145="כן",P145="כן")))</f>
        <v/>
      </c>
      <c r="AI145">
        <f>AND(X145="מושאל",AB145&lt;&gt;"",AB145&lt;TODAY())</f>
        <v/>
      </c>
    </row>
    <row r="146">
      <c r="E146">
        <f>IFERROR(INDEX('הגדרות'!$D$104:$D$123,MATCH(B146&amp;G146&amp;C146,'הגדרות'!$A$104:$A$123&amp;'הגדרות'!$B$104:$B$123&amp;'הגדרות'!$C$104:$C$123,0)),"")</f>
        <v/>
      </c>
      <c r="F146" s="6" t="n"/>
      <c r="Q146">
        <f>IFERROR(VLOOKUP(M146,'הגדרות'!$A$11:$D$25,2,FALSE),"")</f>
        <v/>
      </c>
      <c r="R146">
        <f>IFERROR(VLOOKUP(M146,'הגדרות'!$A$11:$D$25,3,FALSE),"")</f>
        <v/>
      </c>
      <c r="S146">
        <f>IFERROR(VLOOKUP(N146,'הגדרות'!$A$11:$D$25,2,FALSE),"")</f>
        <v/>
      </c>
      <c r="T146">
        <f>IFERROR(VLOOKUP(N146,'הגדרות'!$A$11:$D$25,3,FALSE),"")</f>
        <v/>
      </c>
      <c r="AB146" s="6" t="n"/>
      <c r="AE146">
        <f>OR(Q146='לוח בקרה'!$B$2,R146='לוח בקרה'!$B$2,S146='לוח בקרה'!$B$2,T146='לוח בקרה'!$B$2)</f>
        <v/>
      </c>
      <c r="AF146">
        <f>AND(AE146,OR(AND(O146="כן",U146="כן"),AND(P146="כן",V146="כן")))</f>
        <v/>
      </c>
      <c r="AG146">
        <f>AND(AE146,OR(O146="כן",P146="כן"),NOT(OR(AND(O146="כן",U146="כן"),AND(P146="כן",V146="כן"))))</f>
        <v/>
      </c>
      <c r="AH146">
        <f>AND(AE146,OR(U146="כן",V146="כן"),NOT(OR(O146="כן",P146="כן")))</f>
        <v/>
      </c>
      <c r="AI146">
        <f>AND(X146="מושאל",AB146&lt;&gt;"",AB146&lt;TODAY())</f>
        <v/>
      </c>
    </row>
    <row r="147">
      <c r="E147">
        <f>IFERROR(INDEX('הגדרות'!$D$104:$D$123,MATCH(B147&amp;G147&amp;C147,'הגדרות'!$A$104:$A$123&amp;'הגדרות'!$B$104:$B$123&amp;'הגדרות'!$C$104:$C$123,0)),"")</f>
        <v/>
      </c>
      <c r="F147" s="6" t="n"/>
      <c r="Q147">
        <f>IFERROR(VLOOKUP(M147,'הגדרות'!$A$11:$D$25,2,FALSE),"")</f>
        <v/>
      </c>
      <c r="R147">
        <f>IFERROR(VLOOKUP(M147,'הגדרות'!$A$11:$D$25,3,FALSE),"")</f>
        <v/>
      </c>
      <c r="S147">
        <f>IFERROR(VLOOKUP(N147,'הגדרות'!$A$11:$D$25,2,FALSE),"")</f>
        <v/>
      </c>
      <c r="T147">
        <f>IFERROR(VLOOKUP(N147,'הגדרות'!$A$11:$D$25,3,FALSE),"")</f>
        <v/>
      </c>
      <c r="AB147" s="6" t="n"/>
      <c r="AE147">
        <f>OR(Q147='לוח בקרה'!$B$2,R147='לוח בקרה'!$B$2,S147='לוח בקרה'!$B$2,T147='לוח בקרה'!$B$2)</f>
        <v/>
      </c>
      <c r="AF147">
        <f>AND(AE147,OR(AND(O147="כן",U147="כן"),AND(P147="כן",V147="כן")))</f>
        <v/>
      </c>
      <c r="AG147">
        <f>AND(AE147,OR(O147="כן",P147="כן"),NOT(OR(AND(O147="כן",U147="כן"),AND(P147="כן",V147="כן"))))</f>
        <v/>
      </c>
      <c r="AH147">
        <f>AND(AE147,OR(U147="כן",V147="כן"),NOT(OR(O147="כן",P147="כן")))</f>
        <v/>
      </c>
      <c r="AI147">
        <f>AND(X147="מושאל",AB147&lt;&gt;"",AB147&lt;TODAY())</f>
        <v/>
      </c>
    </row>
    <row r="148">
      <c r="E148">
        <f>IFERROR(INDEX('הגדרות'!$D$104:$D$123,MATCH(B148&amp;G148&amp;C148,'הגדרות'!$A$104:$A$123&amp;'הגדרות'!$B$104:$B$123&amp;'הגדרות'!$C$104:$C$123,0)),"")</f>
        <v/>
      </c>
      <c r="F148" s="6" t="n"/>
      <c r="Q148">
        <f>IFERROR(VLOOKUP(M148,'הגדרות'!$A$11:$D$25,2,FALSE),"")</f>
        <v/>
      </c>
      <c r="R148">
        <f>IFERROR(VLOOKUP(M148,'הגדרות'!$A$11:$D$25,3,FALSE),"")</f>
        <v/>
      </c>
      <c r="S148">
        <f>IFERROR(VLOOKUP(N148,'הגדרות'!$A$11:$D$25,2,FALSE),"")</f>
        <v/>
      </c>
      <c r="T148">
        <f>IFERROR(VLOOKUP(N148,'הגדרות'!$A$11:$D$25,3,FALSE),"")</f>
        <v/>
      </c>
      <c r="AB148" s="6" t="n"/>
      <c r="AE148">
        <f>OR(Q148='לוח בקרה'!$B$2,R148='לוח בקרה'!$B$2,S148='לוח בקרה'!$B$2,T148='לוח בקרה'!$B$2)</f>
        <v/>
      </c>
      <c r="AF148">
        <f>AND(AE148,OR(AND(O148="כן",U148="כן"),AND(P148="כן",V148="כן")))</f>
        <v/>
      </c>
      <c r="AG148">
        <f>AND(AE148,OR(O148="כן",P148="כן"),NOT(OR(AND(O148="כן",U148="כן"),AND(P148="כן",V148="כן"))))</f>
        <v/>
      </c>
      <c r="AH148">
        <f>AND(AE148,OR(U148="כן",V148="כן"),NOT(OR(O148="כן",P148="כן")))</f>
        <v/>
      </c>
      <c r="AI148">
        <f>AND(X148="מושאל",AB148&lt;&gt;"",AB148&lt;TODAY())</f>
        <v/>
      </c>
    </row>
    <row r="149">
      <c r="E149">
        <f>IFERROR(INDEX('הגדרות'!$D$104:$D$123,MATCH(B149&amp;G149&amp;C149,'הגדרות'!$A$104:$A$123&amp;'הגדרות'!$B$104:$B$123&amp;'הגדרות'!$C$104:$C$123,0)),"")</f>
        <v/>
      </c>
      <c r="F149" s="6" t="n"/>
      <c r="Q149">
        <f>IFERROR(VLOOKUP(M149,'הגדרות'!$A$11:$D$25,2,FALSE),"")</f>
        <v/>
      </c>
      <c r="R149">
        <f>IFERROR(VLOOKUP(M149,'הגדרות'!$A$11:$D$25,3,FALSE),"")</f>
        <v/>
      </c>
      <c r="S149">
        <f>IFERROR(VLOOKUP(N149,'הגדרות'!$A$11:$D$25,2,FALSE),"")</f>
        <v/>
      </c>
      <c r="T149">
        <f>IFERROR(VLOOKUP(N149,'הגדרות'!$A$11:$D$25,3,FALSE),"")</f>
        <v/>
      </c>
      <c r="AB149" s="6" t="n"/>
      <c r="AE149">
        <f>OR(Q149='לוח בקרה'!$B$2,R149='לוח בקרה'!$B$2,S149='לוח בקרה'!$B$2,T149='לוח בקרה'!$B$2)</f>
        <v/>
      </c>
      <c r="AF149">
        <f>AND(AE149,OR(AND(O149="כן",U149="כן"),AND(P149="כן",V149="כן")))</f>
        <v/>
      </c>
      <c r="AG149">
        <f>AND(AE149,OR(O149="כן",P149="כן"),NOT(OR(AND(O149="כן",U149="כן"),AND(P149="כן",V149="כן"))))</f>
        <v/>
      </c>
      <c r="AH149">
        <f>AND(AE149,OR(U149="כן",V149="כן"),NOT(OR(O149="כן",P149="כן")))</f>
        <v/>
      </c>
      <c r="AI149">
        <f>AND(X149="מושאל",AB149&lt;&gt;"",AB149&lt;TODAY())</f>
        <v/>
      </c>
    </row>
    <row r="150">
      <c r="E150">
        <f>IFERROR(INDEX('הגדרות'!$D$104:$D$123,MATCH(B150&amp;G150&amp;C150,'הגדרות'!$A$104:$A$123&amp;'הגדרות'!$B$104:$B$123&amp;'הגדרות'!$C$104:$C$123,0)),"")</f>
        <v/>
      </c>
      <c r="F150" s="6" t="n"/>
      <c r="Q150">
        <f>IFERROR(VLOOKUP(M150,'הגדרות'!$A$11:$D$25,2,FALSE),"")</f>
        <v/>
      </c>
      <c r="R150">
        <f>IFERROR(VLOOKUP(M150,'הגדרות'!$A$11:$D$25,3,FALSE),"")</f>
        <v/>
      </c>
      <c r="S150">
        <f>IFERROR(VLOOKUP(N150,'הגדרות'!$A$11:$D$25,2,FALSE),"")</f>
        <v/>
      </c>
      <c r="T150">
        <f>IFERROR(VLOOKUP(N150,'הגדרות'!$A$11:$D$25,3,FALSE),"")</f>
        <v/>
      </c>
      <c r="AB150" s="6" t="n"/>
      <c r="AE150">
        <f>OR(Q150='לוח בקרה'!$B$2,R150='לוח בקרה'!$B$2,S150='לוח בקרה'!$B$2,T150='לוח בקרה'!$B$2)</f>
        <v/>
      </c>
      <c r="AF150">
        <f>AND(AE150,OR(AND(O150="כן",U150="כן"),AND(P150="כן",V150="כן")))</f>
        <v/>
      </c>
      <c r="AG150">
        <f>AND(AE150,OR(O150="כן",P150="כן"),NOT(OR(AND(O150="כן",U150="כן"),AND(P150="כן",V150="כן"))))</f>
        <v/>
      </c>
      <c r="AH150">
        <f>AND(AE150,OR(U150="כן",V150="כן"),NOT(OR(O150="כן",P150="כן")))</f>
        <v/>
      </c>
      <c r="AI150">
        <f>AND(X150="מושאל",AB150&lt;&gt;"",AB150&lt;TODAY())</f>
        <v/>
      </c>
    </row>
    <row r="151">
      <c r="E151">
        <f>IFERROR(INDEX('הגדרות'!$D$104:$D$123,MATCH(B151&amp;G151&amp;C151,'הגדרות'!$A$104:$A$123&amp;'הגדרות'!$B$104:$B$123&amp;'הגדרות'!$C$104:$C$123,0)),"")</f>
        <v/>
      </c>
      <c r="F151" s="6" t="n"/>
      <c r="Q151">
        <f>IFERROR(VLOOKUP(M151,'הגדרות'!$A$11:$D$25,2,FALSE),"")</f>
        <v/>
      </c>
      <c r="R151">
        <f>IFERROR(VLOOKUP(M151,'הגדרות'!$A$11:$D$25,3,FALSE),"")</f>
        <v/>
      </c>
      <c r="S151">
        <f>IFERROR(VLOOKUP(N151,'הגדרות'!$A$11:$D$25,2,FALSE),"")</f>
        <v/>
      </c>
      <c r="T151">
        <f>IFERROR(VLOOKUP(N151,'הגדרות'!$A$11:$D$25,3,FALSE),"")</f>
        <v/>
      </c>
      <c r="AB151" s="6" t="n"/>
      <c r="AE151">
        <f>OR(Q151='לוח בקרה'!$B$2,R151='לוח בקרה'!$B$2,S151='לוח בקרה'!$B$2,T151='לוח בקרה'!$B$2)</f>
        <v/>
      </c>
      <c r="AF151">
        <f>AND(AE151,OR(AND(O151="כן",U151="כן"),AND(P151="כן",V151="כן")))</f>
        <v/>
      </c>
      <c r="AG151">
        <f>AND(AE151,OR(O151="כן",P151="כן"),NOT(OR(AND(O151="כן",U151="כן"),AND(P151="כן",V151="כן"))))</f>
        <v/>
      </c>
      <c r="AH151">
        <f>AND(AE151,OR(U151="כן",V151="כן"),NOT(OR(O151="כן",P151="כן")))</f>
        <v/>
      </c>
      <c r="AI151">
        <f>AND(X151="מושאל",AB151&lt;&gt;"",AB151&lt;TODAY())</f>
        <v/>
      </c>
    </row>
    <row r="152">
      <c r="E152">
        <f>IFERROR(INDEX('הגדרות'!$D$104:$D$123,MATCH(B152&amp;G152&amp;C152,'הגדרות'!$A$104:$A$123&amp;'הגדרות'!$B$104:$B$123&amp;'הגדרות'!$C$104:$C$123,0)),"")</f>
        <v/>
      </c>
      <c r="F152" s="6" t="n"/>
      <c r="Q152">
        <f>IFERROR(VLOOKUP(M152,'הגדרות'!$A$11:$D$25,2,FALSE),"")</f>
        <v/>
      </c>
      <c r="R152">
        <f>IFERROR(VLOOKUP(M152,'הגדרות'!$A$11:$D$25,3,FALSE),"")</f>
        <v/>
      </c>
      <c r="S152">
        <f>IFERROR(VLOOKUP(N152,'הגדרות'!$A$11:$D$25,2,FALSE),"")</f>
        <v/>
      </c>
      <c r="T152">
        <f>IFERROR(VLOOKUP(N152,'הגדרות'!$A$11:$D$25,3,FALSE),"")</f>
        <v/>
      </c>
      <c r="AB152" s="6" t="n"/>
      <c r="AE152">
        <f>OR(Q152='לוח בקרה'!$B$2,R152='לוח בקרה'!$B$2,S152='לוח בקרה'!$B$2,T152='לוח בקרה'!$B$2)</f>
        <v/>
      </c>
      <c r="AF152">
        <f>AND(AE152,OR(AND(O152="כן",U152="כן"),AND(P152="כן",V152="כן")))</f>
        <v/>
      </c>
      <c r="AG152">
        <f>AND(AE152,OR(O152="כן",P152="כן"),NOT(OR(AND(O152="כן",U152="כן"),AND(P152="כן",V152="כן"))))</f>
        <v/>
      </c>
      <c r="AH152">
        <f>AND(AE152,OR(U152="כן",V152="כן"),NOT(OR(O152="כן",P152="כן")))</f>
        <v/>
      </c>
      <c r="AI152">
        <f>AND(X152="מושאל",AB152&lt;&gt;"",AB152&lt;TODAY())</f>
        <v/>
      </c>
    </row>
    <row r="153">
      <c r="E153">
        <f>IFERROR(INDEX('הגדרות'!$D$104:$D$123,MATCH(B153&amp;G153&amp;C153,'הגדרות'!$A$104:$A$123&amp;'הגדרות'!$B$104:$B$123&amp;'הגדרות'!$C$104:$C$123,0)),"")</f>
        <v/>
      </c>
      <c r="F153" s="6" t="n"/>
      <c r="Q153">
        <f>IFERROR(VLOOKUP(M153,'הגדרות'!$A$11:$D$25,2,FALSE),"")</f>
        <v/>
      </c>
      <c r="R153">
        <f>IFERROR(VLOOKUP(M153,'הגדרות'!$A$11:$D$25,3,FALSE),"")</f>
        <v/>
      </c>
      <c r="S153">
        <f>IFERROR(VLOOKUP(N153,'הגדרות'!$A$11:$D$25,2,FALSE),"")</f>
        <v/>
      </c>
      <c r="T153">
        <f>IFERROR(VLOOKUP(N153,'הגדרות'!$A$11:$D$25,3,FALSE),"")</f>
        <v/>
      </c>
      <c r="AB153" s="6" t="n"/>
      <c r="AE153">
        <f>OR(Q153='לוח בקרה'!$B$2,R153='לוח בקרה'!$B$2,S153='לוח בקרה'!$B$2,T153='לוח בקרה'!$B$2)</f>
        <v/>
      </c>
      <c r="AF153">
        <f>AND(AE153,OR(AND(O153="כן",U153="כן"),AND(P153="כן",V153="כן")))</f>
        <v/>
      </c>
      <c r="AG153">
        <f>AND(AE153,OR(O153="כן",P153="כן"),NOT(OR(AND(O153="כן",U153="כן"),AND(P153="כן",V153="כן"))))</f>
        <v/>
      </c>
      <c r="AH153">
        <f>AND(AE153,OR(U153="כן",V153="כן"),NOT(OR(O153="כן",P153="כן")))</f>
        <v/>
      </c>
      <c r="AI153">
        <f>AND(X153="מושאל",AB153&lt;&gt;"",AB153&lt;TODAY())</f>
        <v/>
      </c>
    </row>
    <row r="154">
      <c r="E154">
        <f>IFERROR(INDEX('הגדרות'!$D$104:$D$123,MATCH(B154&amp;G154&amp;C154,'הגדרות'!$A$104:$A$123&amp;'הגדרות'!$B$104:$B$123&amp;'הגדרות'!$C$104:$C$123,0)),"")</f>
        <v/>
      </c>
      <c r="F154" s="6" t="n"/>
      <c r="Q154">
        <f>IFERROR(VLOOKUP(M154,'הגדרות'!$A$11:$D$25,2,FALSE),"")</f>
        <v/>
      </c>
      <c r="R154">
        <f>IFERROR(VLOOKUP(M154,'הגדרות'!$A$11:$D$25,3,FALSE),"")</f>
        <v/>
      </c>
      <c r="S154">
        <f>IFERROR(VLOOKUP(N154,'הגדרות'!$A$11:$D$25,2,FALSE),"")</f>
        <v/>
      </c>
      <c r="T154">
        <f>IFERROR(VLOOKUP(N154,'הגדרות'!$A$11:$D$25,3,FALSE),"")</f>
        <v/>
      </c>
      <c r="AB154" s="6" t="n"/>
      <c r="AE154">
        <f>OR(Q154='לוח בקרה'!$B$2,R154='לוח בקרה'!$B$2,S154='לוח בקרה'!$B$2,T154='לוח בקרה'!$B$2)</f>
        <v/>
      </c>
      <c r="AF154">
        <f>AND(AE154,OR(AND(O154="כן",U154="כן"),AND(P154="כן",V154="כן")))</f>
        <v/>
      </c>
      <c r="AG154">
        <f>AND(AE154,OR(O154="כן",P154="כן"),NOT(OR(AND(O154="כן",U154="כן"),AND(P154="כן",V154="כן"))))</f>
        <v/>
      </c>
      <c r="AH154">
        <f>AND(AE154,OR(U154="כן",V154="כן"),NOT(OR(O154="כן",P154="כן")))</f>
        <v/>
      </c>
      <c r="AI154">
        <f>AND(X154="מושאל",AB154&lt;&gt;"",AB154&lt;TODAY())</f>
        <v/>
      </c>
    </row>
    <row r="155">
      <c r="E155">
        <f>IFERROR(INDEX('הגדרות'!$D$104:$D$123,MATCH(B155&amp;G155&amp;C155,'הגדרות'!$A$104:$A$123&amp;'הגדרות'!$B$104:$B$123&amp;'הגדרות'!$C$104:$C$123,0)),"")</f>
        <v/>
      </c>
      <c r="F155" s="6" t="n"/>
      <c r="Q155">
        <f>IFERROR(VLOOKUP(M155,'הגדרות'!$A$11:$D$25,2,FALSE),"")</f>
        <v/>
      </c>
      <c r="R155">
        <f>IFERROR(VLOOKUP(M155,'הגדרות'!$A$11:$D$25,3,FALSE),"")</f>
        <v/>
      </c>
      <c r="S155">
        <f>IFERROR(VLOOKUP(N155,'הגדרות'!$A$11:$D$25,2,FALSE),"")</f>
        <v/>
      </c>
      <c r="T155">
        <f>IFERROR(VLOOKUP(N155,'הגדרות'!$A$11:$D$25,3,FALSE),"")</f>
        <v/>
      </c>
      <c r="AB155" s="6" t="n"/>
      <c r="AE155">
        <f>OR(Q155='לוח בקרה'!$B$2,R155='לוח בקרה'!$B$2,S155='לוח בקרה'!$B$2,T155='לוח בקרה'!$B$2)</f>
        <v/>
      </c>
      <c r="AF155">
        <f>AND(AE155,OR(AND(O155="כן",U155="כן"),AND(P155="כן",V155="כן")))</f>
        <v/>
      </c>
      <c r="AG155">
        <f>AND(AE155,OR(O155="כן",P155="כן"),NOT(OR(AND(O155="כן",U155="כן"),AND(P155="כן",V155="כן"))))</f>
        <v/>
      </c>
      <c r="AH155">
        <f>AND(AE155,OR(U155="כן",V155="כן"),NOT(OR(O155="כן",P155="כן")))</f>
        <v/>
      </c>
      <c r="AI155">
        <f>AND(X155="מושאל",AB155&lt;&gt;"",AB155&lt;TODAY())</f>
        <v/>
      </c>
    </row>
    <row r="156">
      <c r="E156">
        <f>IFERROR(INDEX('הגדרות'!$D$104:$D$123,MATCH(B156&amp;G156&amp;C156,'הגדרות'!$A$104:$A$123&amp;'הגדרות'!$B$104:$B$123&amp;'הגדרות'!$C$104:$C$123,0)),"")</f>
        <v/>
      </c>
      <c r="F156" s="6" t="n"/>
      <c r="Q156">
        <f>IFERROR(VLOOKUP(M156,'הגדרות'!$A$11:$D$25,2,FALSE),"")</f>
        <v/>
      </c>
      <c r="R156">
        <f>IFERROR(VLOOKUP(M156,'הגדרות'!$A$11:$D$25,3,FALSE),"")</f>
        <v/>
      </c>
      <c r="S156">
        <f>IFERROR(VLOOKUP(N156,'הגדרות'!$A$11:$D$25,2,FALSE),"")</f>
        <v/>
      </c>
      <c r="T156">
        <f>IFERROR(VLOOKUP(N156,'הגדרות'!$A$11:$D$25,3,FALSE),"")</f>
        <v/>
      </c>
      <c r="AB156" s="6" t="n"/>
      <c r="AE156">
        <f>OR(Q156='לוח בקרה'!$B$2,R156='לוח בקרה'!$B$2,S156='לוח בקרה'!$B$2,T156='לוח בקרה'!$B$2)</f>
        <v/>
      </c>
      <c r="AF156">
        <f>AND(AE156,OR(AND(O156="כן",U156="כן"),AND(P156="כן",V156="כן")))</f>
        <v/>
      </c>
      <c r="AG156">
        <f>AND(AE156,OR(O156="כן",P156="כן"),NOT(OR(AND(O156="כן",U156="כן"),AND(P156="כן",V156="כן"))))</f>
        <v/>
      </c>
      <c r="AH156">
        <f>AND(AE156,OR(U156="כן",V156="כן"),NOT(OR(O156="כן",P156="כן")))</f>
        <v/>
      </c>
      <c r="AI156">
        <f>AND(X156="מושאל",AB156&lt;&gt;"",AB156&lt;TODAY())</f>
        <v/>
      </c>
    </row>
    <row r="157">
      <c r="E157">
        <f>IFERROR(INDEX('הגדרות'!$D$104:$D$123,MATCH(B157&amp;G157&amp;C157,'הגדרות'!$A$104:$A$123&amp;'הגדרות'!$B$104:$B$123&amp;'הגדרות'!$C$104:$C$123,0)),"")</f>
        <v/>
      </c>
      <c r="F157" s="6" t="n"/>
      <c r="Q157">
        <f>IFERROR(VLOOKUP(M157,'הגדרות'!$A$11:$D$25,2,FALSE),"")</f>
        <v/>
      </c>
      <c r="R157">
        <f>IFERROR(VLOOKUP(M157,'הגדרות'!$A$11:$D$25,3,FALSE),"")</f>
        <v/>
      </c>
      <c r="S157">
        <f>IFERROR(VLOOKUP(N157,'הגדרות'!$A$11:$D$25,2,FALSE),"")</f>
        <v/>
      </c>
      <c r="T157">
        <f>IFERROR(VLOOKUP(N157,'הגדרות'!$A$11:$D$25,3,FALSE),"")</f>
        <v/>
      </c>
      <c r="AB157" s="6" t="n"/>
      <c r="AE157">
        <f>OR(Q157='לוח בקרה'!$B$2,R157='לוח בקרה'!$B$2,S157='לוח בקרה'!$B$2,T157='לוח בקרה'!$B$2)</f>
        <v/>
      </c>
      <c r="AF157">
        <f>AND(AE157,OR(AND(O157="כן",U157="כן"),AND(P157="כן",V157="כן")))</f>
        <v/>
      </c>
      <c r="AG157">
        <f>AND(AE157,OR(O157="כן",P157="כן"),NOT(OR(AND(O157="כן",U157="כן"),AND(P157="כן",V157="כן"))))</f>
        <v/>
      </c>
      <c r="AH157">
        <f>AND(AE157,OR(U157="כן",V157="כן"),NOT(OR(O157="כן",P157="כן")))</f>
        <v/>
      </c>
      <c r="AI157">
        <f>AND(X157="מושאל",AB157&lt;&gt;"",AB157&lt;TODAY())</f>
        <v/>
      </c>
    </row>
    <row r="158">
      <c r="E158">
        <f>IFERROR(INDEX('הגדרות'!$D$104:$D$123,MATCH(B158&amp;G158&amp;C158,'הגדרות'!$A$104:$A$123&amp;'הגדרות'!$B$104:$B$123&amp;'הגדרות'!$C$104:$C$123,0)),"")</f>
        <v/>
      </c>
      <c r="F158" s="6" t="n"/>
      <c r="Q158">
        <f>IFERROR(VLOOKUP(M158,'הגדרות'!$A$11:$D$25,2,FALSE),"")</f>
        <v/>
      </c>
      <c r="R158">
        <f>IFERROR(VLOOKUP(M158,'הגדרות'!$A$11:$D$25,3,FALSE),"")</f>
        <v/>
      </c>
      <c r="S158">
        <f>IFERROR(VLOOKUP(N158,'הגדרות'!$A$11:$D$25,2,FALSE),"")</f>
        <v/>
      </c>
      <c r="T158">
        <f>IFERROR(VLOOKUP(N158,'הגדרות'!$A$11:$D$25,3,FALSE),"")</f>
        <v/>
      </c>
      <c r="AB158" s="6" t="n"/>
      <c r="AE158">
        <f>OR(Q158='לוח בקרה'!$B$2,R158='לוח בקרה'!$B$2,S158='לוח בקרה'!$B$2,T158='לוח בקרה'!$B$2)</f>
        <v/>
      </c>
      <c r="AF158">
        <f>AND(AE158,OR(AND(O158="כן",U158="כן"),AND(P158="כן",V158="כן")))</f>
        <v/>
      </c>
      <c r="AG158">
        <f>AND(AE158,OR(O158="כן",P158="כן"),NOT(OR(AND(O158="כן",U158="כן"),AND(P158="כן",V158="כן"))))</f>
        <v/>
      </c>
      <c r="AH158">
        <f>AND(AE158,OR(U158="כן",V158="כן"),NOT(OR(O158="כן",P158="כן")))</f>
        <v/>
      </c>
      <c r="AI158">
        <f>AND(X158="מושאל",AB158&lt;&gt;"",AB158&lt;TODAY())</f>
        <v/>
      </c>
    </row>
    <row r="159">
      <c r="E159">
        <f>IFERROR(INDEX('הגדרות'!$D$104:$D$123,MATCH(B159&amp;G159&amp;C159,'הגדרות'!$A$104:$A$123&amp;'הגדרות'!$B$104:$B$123&amp;'הגדרות'!$C$104:$C$123,0)),"")</f>
        <v/>
      </c>
      <c r="F159" s="6" t="n"/>
      <c r="Q159">
        <f>IFERROR(VLOOKUP(M159,'הגדרות'!$A$11:$D$25,2,FALSE),"")</f>
        <v/>
      </c>
      <c r="R159">
        <f>IFERROR(VLOOKUP(M159,'הגדרות'!$A$11:$D$25,3,FALSE),"")</f>
        <v/>
      </c>
      <c r="S159">
        <f>IFERROR(VLOOKUP(N159,'הגדרות'!$A$11:$D$25,2,FALSE),"")</f>
        <v/>
      </c>
      <c r="T159">
        <f>IFERROR(VLOOKUP(N159,'הגדרות'!$A$11:$D$25,3,FALSE),"")</f>
        <v/>
      </c>
      <c r="AB159" s="6" t="n"/>
      <c r="AE159">
        <f>OR(Q159='לוח בקרה'!$B$2,R159='לוח בקרה'!$B$2,S159='לוח בקרה'!$B$2,T159='לוח בקרה'!$B$2)</f>
        <v/>
      </c>
      <c r="AF159">
        <f>AND(AE159,OR(AND(O159="כן",U159="כן"),AND(P159="כן",V159="כן")))</f>
        <v/>
      </c>
      <c r="AG159">
        <f>AND(AE159,OR(O159="כן",P159="כן"),NOT(OR(AND(O159="כן",U159="כן"),AND(P159="כן",V159="כן"))))</f>
        <v/>
      </c>
      <c r="AH159">
        <f>AND(AE159,OR(U159="כן",V159="כן"),NOT(OR(O159="כן",P159="כן")))</f>
        <v/>
      </c>
      <c r="AI159">
        <f>AND(X159="מושאל",AB159&lt;&gt;"",AB159&lt;TODAY())</f>
        <v/>
      </c>
    </row>
    <row r="160">
      <c r="E160">
        <f>IFERROR(INDEX('הגדרות'!$D$104:$D$123,MATCH(B160&amp;G160&amp;C160,'הגדרות'!$A$104:$A$123&amp;'הגדרות'!$B$104:$B$123&amp;'הגדרות'!$C$104:$C$123,0)),"")</f>
        <v/>
      </c>
      <c r="F160" s="6" t="n"/>
      <c r="Q160">
        <f>IFERROR(VLOOKUP(M160,'הגדרות'!$A$11:$D$25,2,FALSE),"")</f>
        <v/>
      </c>
      <c r="R160">
        <f>IFERROR(VLOOKUP(M160,'הגדרות'!$A$11:$D$25,3,FALSE),"")</f>
        <v/>
      </c>
      <c r="S160">
        <f>IFERROR(VLOOKUP(N160,'הגדרות'!$A$11:$D$25,2,FALSE),"")</f>
        <v/>
      </c>
      <c r="T160">
        <f>IFERROR(VLOOKUP(N160,'הגדרות'!$A$11:$D$25,3,FALSE),"")</f>
        <v/>
      </c>
      <c r="AB160" s="6" t="n"/>
      <c r="AE160">
        <f>OR(Q160='לוח בקרה'!$B$2,R160='לוח בקרה'!$B$2,S160='לוח בקרה'!$B$2,T160='לוח בקרה'!$B$2)</f>
        <v/>
      </c>
      <c r="AF160">
        <f>AND(AE160,OR(AND(O160="כן",U160="כן"),AND(P160="כן",V160="כן")))</f>
        <v/>
      </c>
      <c r="AG160">
        <f>AND(AE160,OR(O160="כן",P160="כן"),NOT(OR(AND(O160="כן",U160="כן"),AND(P160="כן",V160="כן"))))</f>
        <v/>
      </c>
      <c r="AH160">
        <f>AND(AE160,OR(U160="כן",V160="כן"),NOT(OR(O160="כן",P160="כן")))</f>
        <v/>
      </c>
      <c r="AI160">
        <f>AND(X160="מושאל",AB160&lt;&gt;"",AB160&lt;TODAY())</f>
        <v/>
      </c>
    </row>
    <row r="161">
      <c r="E161">
        <f>IFERROR(INDEX('הגדרות'!$D$104:$D$123,MATCH(B161&amp;G161&amp;C161,'הגדרות'!$A$104:$A$123&amp;'הגדרות'!$B$104:$B$123&amp;'הגדרות'!$C$104:$C$123,0)),"")</f>
        <v/>
      </c>
      <c r="F161" s="6" t="n"/>
      <c r="Q161">
        <f>IFERROR(VLOOKUP(M161,'הגדרות'!$A$11:$D$25,2,FALSE),"")</f>
        <v/>
      </c>
      <c r="R161">
        <f>IFERROR(VLOOKUP(M161,'הגדרות'!$A$11:$D$25,3,FALSE),"")</f>
        <v/>
      </c>
      <c r="S161">
        <f>IFERROR(VLOOKUP(N161,'הגדרות'!$A$11:$D$25,2,FALSE),"")</f>
        <v/>
      </c>
      <c r="T161">
        <f>IFERROR(VLOOKUP(N161,'הגדרות'!$A$11:$D$25,3,FALSE),"")</f>
        <v/>
      </c>
      <c r="AB161" s="6" t="n"/>
      <c r="AE161">
        <f>OR(Q161='לוח בקרה'!$B$2,R161='לוח בקרה'!$B$2,S161='לוח בקרה'!$B$2,T161='לוח בקרה'!$B$2)</f>
        <v/>
      </c>
      <c r="AF161">
        <f>AND(AE161,OR(AND(O161="כן",U161="כן"),AND(P161="כן",V161="כן")))</f>
        <v/>
      </c>
      <c r="AG161">
        <f>AND(AE161,OR(O161="כן",P161="כן"),NOT(OR(AND(O161="כן",U161="כן"),AND(P161="כן",V161="כן"))))</f>
        <v/>
      </c>
      <c r="AH161">
        <f>AND(AE161,OR(U161="כן",V161="כן"),NOT(OR(O161="כן",P161="כן")))</f>
        <v/>
      </c>
      <c r="AI161">
        <f>AND(X161="מושאל",AB161&lt;&gt;"",AB161&lt;TODAY())</f>
        <v/>
      </c>
    </row>
    <row r="162">
      <c r="E162">
        <f>IFERROR(INDEX('הגדרות'!$D$104:$D$123,MATCH(B162&amp;G162&amp;C162,'הגדרות'!$A$104:$A$123&amp;'הגדרות'!$B$104:$B$123&amp;'הגדרות'!$C$104:$C$123,0)),"")</f>
        <v/>
      </c>
      <c r="F162" s="6" t="n"/>
      <c r="Q162">
        <f>IFERROR(VLOOKUP(M162,'הגדרות'!$A$11:$D$25,2,FALSE),"")</f>
        <v/>
      </c>
      <c r="R162">
        <f>IFERROR(VLOOKUP(M162,'הגדרות'!$A$11:$D$25,3,FALSE),"")</f>
        <v/>
      </c>
      <c r="S162">
        <f>IFERROR(VLOOKUP(N162,'הגדרות'!$A$11:$D$25,2,FALSE),"")</f>
        <v/>
      </c>
      <c r="T162">
        <f>IFERROR(VLOOKUP(N162,'הגדרות'!$A$11:$D$25,3,FALSE),"")</f>
        <v/>
      </c>
      <c r="AB162" s="6" t="n"/>
      <c r="AE162">
        <f>OR(Q162='לוח בקרה'!$B$2,R162='לוח בקרה'!$B$2,S162='לוח בקרה'!$B$2,T162='לוח בקרה'!$B$2)</f>
        <v/>
      </c>
      <c r="AF162">
        <f>AND(AE162,OR(AND(O162="כן",U162="כן"),AND(P162="כן",V162="כן")))</f>
        <v/>
      </c>
      <c r="AG162">
        <f>AND(AE162,OR(O162="כן",P162="כן"),NOT(OR(AND(O162="כן",U162="כן"),AND(P162="כן",V162="כן"))))</f>
        <v/>
      </c>
      <c r="AH162">
        <f>AND(AE162,OR(U162="כן",V162="כן"),NOT(OR(O162="כן",P162="כן")))</f>
        <v/>
      </c>
      <c r="AI162">
        <f>AND(X162="מושאל",AB162&lt;&gt;"",AB162&lt;TODAY())</f>
        <v/>
      </c>
    </row>
    <row r="163">
      <c r="E163">
        <f>IFERROR(INDEX('הגדרות'!$D$104:$D$123,MATCH(B163&amp;G163&amp;C163,'הגדרות'!$A$104:$A$123&amp;'הגדרות'!$B$104:$B$123&amp;'הגדרות'!$C$104:$C$123,0)),"")</f>
        <v/>
      </c>
      <c r="F163" s="6" t="n"/>
      <c r="Q163">
        <f>IFERROR(VLOOKUP(M163,'הגדרות'!$A$11:$D$25,2,FALSE),"")</f>
        <v/>
      </c>
      <c r="R163">
        <f>IFERROR(VLOOKUP(M163,'הגדרות'!$A$11:$D$25,3,FALSE),"")</f>
        <v/>
      </c>
      <c r="S163">
        <f>IFERROR(VLOOKUP(N163,'הגדרות'!$A$11:$D$25,2,FALSE),"")</f>
        <v/>
      </c>
      <c r="T163">
        <f>IFERROR(VLOOKUP(N163,'הגדרות'!$A$11:$D$25,3,FALSE),"")</f>
        <v/>
      </c>
      <c r="AB163" s="6" t="n"/>
      <c r="AE163">
        <f>OR(Q163='לוח בקרה'!$B$2,R163='לוח בקרה'!$B$2,S163='לוח בקרה'!$B$2,T163='לוח בקרה'!$B$2)</f>
        <v/>
      </c>
      <c r="AF163">
        <f>AND(AE163,OR(AND(O163="כן",U163="כן"),AND(P163="כן",V163="כן")))</f>
        <v/>
      </c>
      <c r="AG163">
        <f>AND(AE163,OR(O163="כן",P163="כן"),NOT(OR(AND(O163="כן",U163="כן"),AND(P163="כן",V163="כן"))))</f>
        <v/>
      </c>
      <c r="AH163">
        <f>AND(AE163,OR(U163="כן",V163="כן"),NOT(OR(O163="כן",P163="כן")))</f>
        <v/>
      </c>
      <c r="AI163">
        <f>AND(X163="מושאל",AB163&lt;&gt;"",AB163&lt;TODAY())</f>
        <v/>
      </c>
    </row>
    <row r="164">
      <c r="E164">
        <f>IFERROR(INDEX('הגדרות'!$D$104:$D$123,MATCH(B164&amp;G164&amp;C164,'הגדרות'!$A$104:$A$123&amp;'הגדרות'!$B$104:$B$123&amp;'הגדרות'!$C$104:$C$123,0)),"")</f>
        <v/>
      </c>
      <c r="F164" s="6" t="n"/>
      <c r="Q164">
        <f>IFERROR(VLOOKUP(M164,'הגדרות'!$A$11:$D$25,2,FALSE),"")</f>
        <v/>
      </c>
      <c r="R164">
        <f>IFERROR(VLOOKUP(M164,'הגדרות'!$A$11:$D$25,3,FALSE),"")</f>
        <v/>
      </c>
      <c r="S164">
        <f>IFERROR(VLOOKUP(N164,'הגדרות'!$A$11:$D$25,2,FALSE),"")</f>
        <v/>
      </c>
      <c r="T164">
        <f>IFERROR(VLOOKUP(N164,'הגדרות'!$A$11:$D$25,3,FALSE),"")</f>
        <v/>
      </c>
      <c r="AB164" s="6" t="n"/>
      <c r="AE164">
        <f>OR(Q164='לוח בקרה'!$B$2,R164='לוח בקרה'!$B$2,S164='לוח בקרה'!$B$2,T164='לוח בקרה'!$B$2)</f>
        <v/>
      </c>
      <c r="AF164">
        <f>AND(AE164,OR(AND(O164="כן",U164="כן"),AND(P164="כן",V164="כן")))</f>
        <v/>
      </c>
      <c r="AG164">
        <f>AND(AE164,OR(O164="כן",P164="כן"),NOT(OR(AND(O164="כן",U164="כן"),AND(P164="כן",V164="כן"))))</f>
        <v/>
      </c>
      <c r="AH164">
        <f>AND(AE164,OR(U164="כן",V164="כן"),NOT(OR(O164="כן",P164="כן")))</f>
        <v/>
      </c>
      <c r="AI164">
        <f>AND(X164="מושאל",AB164&lt;&gt;"",AB164&lt;TODAY())</f>
        <v/>
      </c>
    </row>
    <row r="165">
      <c r="E165">
        <f>IFERROR(INDEX('הגדרות'!$D$104:$D$123,MATCH(B165&amp;G165&amp;C165,'הגדרות'!$A$104:$A$123&amp;'הגדרות'!$B$104:$B$123&amp;'הגדרות'!$C$104:$C$123,0)),"")</f>
        <v/>
      </c>
      <c r="F165" s="6" t="n"/>
      <c r="Q165">
        <f>IFERROR(VLOOKUP(M165,'הגדרות'!$A$11:$D$25,2,FALSE),"")</f>
        <v/>
      </c>
      <c r="R165">
        <f>IFERROR(VLOOKUP(M165,'הגדרות'!$A$11:$D$25,3,FALSE),"")</f>
        <v/>
      </c>
      <c r="S165">
        <f>IFERROR(VLOOKUP(N165,'הגדרות'!$A$11:$D$25,2,FALSE),"")</f>
        <v/>
      </c>
      <c r="T165">
        <f>IFERROR(VLOOKUP(N165,'הגדרות'!$A$11:$D$25,3,FALSE),"")</f>
        <v/>
      </c>
      <c r="AB165" s="6" t="n"/>
      <c r="AE165">
        <f>OR(Q165='לוח בקרה'!$B$2,R165='לוח בקרה'!$B$2,S165='לוח בקרה'!$B$2,T165='לוח בקרה'!$B$2)</f>
        <v/>
      </c>
      <c r="AF165">
        <f>AND(AE165,OR(AND(O165="כן",U165="כן"),AND(P165="כן",V165="כן")))</f>
        <v/>
      </c>
      <c r="AG165">
        <f>AND(AE165,OR(O165="כן",P165="כן"),NOT(OR(AND(O165="כן",U165="כן"),AND(P165="כן",V165="כן"))))</f>
        <v/>
      </c>
      <c r="AH165">
        <f>AND(AE165,OR(U165="כן",V165="כן"),NOT(OR(O165="כן",P165="כן")))</f>
        <v/>
      </c>
      <c r="AI165">
        <f>AND(X165="מושאל",AB165&lt;&gt;"",AB165&lt;TODAY())</f>
        <v/>
      </c>
    </row>
    <row r="166">
      <c r="E166">
        <f>IFERROR(INDEX('הגדרות'!$D$104:$D$123,MATCH(B166&amp;G166&amp;C166,'הגדרות'!$A$104:$A$123&amp;'הגדרות'!$B$104:$B$123&amp;'הגדרות'!$C$104:$C$123,0)),"")</f>
        <v/>
      </c>
      <c r="F166" s="6" t="n"/>
      <c r="Q166">
        <f>IFERROR(VLOOKUP(M166,'הגדרות'!$A$11:$D$25,2,FALSE),"")</f>
        <v/>
      </c>
      <c r="R166">
        <f>IFERROR(VLOOKUP(M166,'הגדרות'!$A$11:$D$25,3,FALSE),"")</f>
        <v/>
      </c>
      <c r="S166">
        <f>IFERROR(VLOOKUP(N166,'הגדרות'!$A$11:$D$25,2,FALSE),"")</f>
        <v/>
      </c>
      <c r="T166">
        <f>IFERROR(VLOOKUP(N166,'הגדרות'!$A$11:$D$25,3,FALSE),"")</f>
        <v/>
      </c>
      <c r="AB166" s="6" t="n"/>
      <c r="AE166">
        <f>OR(Q166='לוח בקרה'!$B$2,R166='לוח בקרה'!$B$2,S166='לוח בקרה'!$B$2,T166='לוח בקרה'!$B$2)</f>
        <v/>
      </c>
      <c r="AF166">
        <f>AND(AE166,OR(AND(O166="כן",U166="כן"),AND(P166="כן",V166="כן")))</f>
        <v/>
      </c>
      <c r="AG166">
        <f>AND(AE166,OR(O166="כן",P166="כן"),NOT(OR(AND(O166="כן",U166="כן"),AND(P166="כן",V166="כן"))))</f>
        <v/>
      </c>
      <c r="AH166">
        <f>AND(AE166,OR(U166="כן",V166="כן"),NOT(OR(O166="כן",P166="כן")))</f>
        <v/>
      </c>
      <c r="AI166">
        <f>AND(X166="מושאל",AB166&lt;&gt;"",AB166&lt;TODAY())</f>
        <v/>
      </c>
    </row>
    <row r="167">
      <c r="E167">
        <f>IFERROR(INDEX('הגדרות'!$D$104:$D$123,MATCH(B167&amp;G167&amp;C167,'הגדרות'!$A$104:$A$123&amp;'הגדרות'!$B$104:$B$123&amp;'הגדרות'!$C$104:$C$123,0)),"")</f>
        <v/>
      </c>
      <c r="F167" s="6" t="n"/>
      <c r="Q167">
        <f>IFERROR(VLOOKUP(M167,'הגדרות'!$A$11:$D$25,2,FALSE),"")</f>
        <v/>
      </c>
      <c r="R167">
        <f>IFERROR(VLOOKUP(M167,'הגדרות'!$A$11:$D$25,3,FALSE),"")</f>
        <v/>
      </c>
      <c r="S167">
        <f>IFERROR(VLOOKUP(N167,'הגדרות'!$A$11:$D$25,2,FALSE),"")</f>
        <v/>
      </c>
      <c r="T167">
        <f>IFERROR(VLOOKUP(N167,'הגדרות'!$A$11:$D$25,3,FALSE),"")</f>
        <v/>
      </c>
      <c r="AB167" s="6" t="n"/>
      <c r="AE167">
        <f>OR(Q167='לוח בקרה'!$B$2,R167='לוח בקרה'!$B$2,S167='לוח בקרה'!$B$2,T167='לוח בקרה'!$B$2)</f>
        <v/>
      </c>
      <c r="AF167">
        <f>AND(AE167,OR(AND(O167="כן",U167="כן"),AND(P167="כן",V167="כן")))</f>
        <v/>
      </c>
      <c r="AG167">
        <f>AND(AE167,OR(O167="כן",P167="כן"),NOT(OR(AND(O167="כן",U167="כן"),AND(P167="כן",V167="כן"))))</f>
        <v/>
      </c>
      <c r="AH167">
        <f>AND(AE167,OR(U167="כן",V167="כן"),NOT(OR(O167="כן",P167="כן")))</f>
        <v/>
      </c>
      <c r="AI167">
        <f>AND(X167="מושאל",AB167&lt;&gt;"",AB167&lt;TODAY())</f>
        <v/>
      </c>
    </row>
    <row r="168">
      <c r="E168">
        <f>IFERROR(INDEX('הגדרות'!$D$104:$D$123,MATCH(B168&amp;G168&amp;C168,'הגדרות'!$A$104:$A$123&amp;'הגדרות'!$B$104:$B$123&amp;'הגדרות'!$C$104:$C$123,0)),"")</f>
        <v/>
      </c>
      <c r="F168" s="6" t="n"/>
      <c r="Q168">
        <f>IFERROR(VLOOKUP(M168,'הגדרות'!$A$11:$D$25,2,FALSE),"")</f>
        <v/>
      </c>
      <c r="R168">
        <f>IFERROR(VLOOKUP(M168,'הגדרות'!$A$11:$D$25,3,FALSE),"")</f>
        <v/>
      </c>
      <c r="S168">
        <f>IFERROR(VLOOKUP(N168,'הגדרות'!$A$11:$D$25,2,FALSE),"")</f>
        <v/>
      </c>
      <c r="T168">
        <f>IFERROR(VLOOKUP(N168,'הגדרות'!$A$11:$D$25,3,FALSE),"")</f>
        <v/>
      </c>
      <c r="AB168" s="6" t="n"/>
      <c r="AE168">
        <f>OR(Q168='לוח בקרה'!$B$2,R168='לוח בקרה'!$B$2,S168='לוח בקרה'!$B$2,T168='לוח בקרה'!$B$2)</f>
        <v/>
      </c>
      <c r="AF168">
        <f>AND(AE168,OR(AND(O168="כן",U168="כן"),AND(P168="כן",V168="כן")))</f>
        <v/>
      </c>
      <c r="AG168">
        <f>AND(AE168,OR(O168="כן",P168="כן"),NOT(OR(AND(O168="כן",U168="כן"),AND(P168="כן",V168="כן"))))</f>
        <v/>
      </c>
      <c r="AH168">
        <f>AND(AE168,OR(U168="כן",V168="כן"),NOT(OR(O168="כן",P168="כן")))</f>
        <v/>
      </c>
      <c r="AI168">
        <f>AND(X168="מושאל",AB168&lt;&gt;"",AB168&lt;TODAY())</f>
        <v/>
      </c>
    </row>
    <row r="169">
      <c r="E169">
        <f>IFERROR(INDEX('הגדרות'!$D$104:$D$123,MATCH(B169&amp;G169&amp;C169,'הגדרות'!$A$104:$A$123&amp;'הגדרות'!$B$104:$B$123&amp;'הגדרות'!$C$104:$C$123,0)),"")</f>
        <v/>
      </c>
      <c r="F169" s="6" t="n"/>
      <c r="Q169">
        <f>IFERROR(VLOOKUP(M169,'הגדרות'!$A$11:$D$25,2,FALSE),"")</f>
        <v/>
      </c>
      <c r="R169">
        <f>IFERROR(VLOOKUP(M169,'הגדרות'!$A$11:$D$25,3,FALSE),"")</f>
        <v/>
      </c>
      <c r="S169">
        <f>IFERROR(VLOOKUP(N169,'הגדרות'!$A$11:$D$25,2,FALSE),"")</f>
        <v/>
      </c>
      <c r="T169">
        <f>IFERROR(VLOOKUP(N169,'הגדרות'!$A$11:$D$25,3,FALSE),"")</f>
        <v/>
      </c>
      <c r="AB169" s="6" t="n"/>
      <c r="AE169">
        <f>OR(Q169='לוח בקרה'!$B$2,R169='לוח בקרה'!$B$2,S169='לוח בקרה'!$B$2,T169='לוח בקרה'!$B$2)</f>
        <v/>
      </c>
      <c r="AF169">
        <f>AND(AE169,OR(AND(O169="כן",U169="כן"),AND(P169="כן",V169="כן")))</f>
        <v/>
      </c>
      <c r="AG169">
        <f>AND(AE169,OR(O169="כן",P169="כן"),NOT(OR(AND(O169="כן",U169="כן"),AND(P169="כן",V169="כן"))))</f>
        <v/>
      </c>
      <c r="AH169">
        <f>AND(AE169,OR(U169="כן",V169="כן"),NOT(OR(O169="כן",P169="כן")))</f>
        <v/>
      </c>
      <c r="AI169">
        <f>AND(X169="מושאל",AB169&lt;&gt;"",AB169&lt;TODAY())</f>
        <v/>
      </c>
    </row>
    <row r="170">
      <c r="E170">
        <f>IFERROR(INDEX('הגדרות'!$D$104:$D$123,MATCH(B170&amp;G170&amp;C170,'הגדרות'!$A$104:$A$123&amp;'הגדרות'!$B$104:$B$123&amp;'הגדרות'!$C$104:$C$123,0)),"")</f>
        <v/>
      </c>
      <c r="F170" s="6" t="n"/>
      <c r="Q170">
        <f>IFERROR(VLOOKUP(M170,'הגדרות'!$A$11:$D$25,2,FALSE),"")</f>
        <v/>
      </c>
      <c r="R170">
        <f>IFERROR(VLOOKUP(M170,'הגדרות'!$A$11:$D$25,3,FALSE),"")</f>
        <v/>
      </c>
      <c r="S170">
        <f>IFERROR(VLOOKUP(N170,'הגדרות'!$A$11:$D$25,2,FALSE),"")</f>
        <v/>
      </c>
      <c r="T170">
        <f>IFERROR(VLOOKUP(N170,'הגדרות'!$A$11:$D$25,3,FALSE),"")</f>
        <v/>
      </c>
      <c r="AB170" s="6" t="n"/>
      <c r="AE170">
        <f>OR(Q170='לוח בקרה'!$B$2,R170='לוח בקרה'!$B$2,S170='לוח בקרה'!$B$2,T170='לוח בקרה'!$B$2)</f>
        <v/>
      </c>
      <c r="AF170">
        <f>AND(AE170,OR(AND(O170="כן",U170="כן"),AND(P170="כן",V170="כן")))</f>
        <v/>
      </c>
      <c r="AG170">
        <f>AND(AE170,OR(O170="כן",P170="כן"),NOT(OR(AND(O170="כן",U170="כן"),AND(P170="כן",V170="כן"))))</f>
        <v/>
      </c>
      <c r="AH170">
        <f>AND(AE170,OR(U170="כן",V170="כן"),NOT(OR(O170="כן",P170="כן")))</f>
        <v/>
      </c>
      <c r="AI170">
        <f>AND(X170="מושאל",AB170&lt;&gt;"",AB170&lt;TODAY())</f>
        <v/>
      </c>
    </row>
    <row r="171">
      <c r="E171">
        <f>IFERROR(INDEX('הגדרות'!$D$104:$D$123,MATCH(B171&amp;G171&amp;C171,'הגדרות'!$A$104:$A$123&amp;'הגדרות'!$B$104:$B$123&amp;'הגדרות'!$C$104:$C$123,0)),"")</f>
        <v/>
      </c>
      <c r="F171" s="6" t="n"/>
      <c r="Q171">
        <f>IFERROR(VLOOKUP(M171,'הגדרות'!$A$11:$D$25,2,FALSE),"")</f>
        <v/>
      </c>
      <c r="R171">
        <f>IFERROR(VLOOKUP(M171,'הגדרות'!$A$11:$D$25,3,FALSE),"")</f>
        <v/>
      </c>
      <c r="S171">
        <f>IFERROR(VLOOKUP(N171,'הגדרות'!$A$11:$D$25,2,FALSE),"")</f>
        <v/>
      </c>
      <c r="T171">
        <f>IFERROR(VLOOKUP(N171,'הגדרות'!$A$11:$D$25,3,FALSE),"")</f>
        <v/>
      </c>
      <c r="AB171" s="6" t="n"/>
      <c r="AE171">
        <f>OR(Q171='לוח בקרה'!$B$2,R171='לוח בקרה'!$B$2,S171='לוח בקרה'!$B$2,T171='לוח בקרה'!$B$2)</f>
        <v/>
      </c>
      <c r="AF171">
        <f>AND(AE171,OR(AND(O171="כן",U171="כן"),AND(P171="כן",V171="כן")))</f>
        <v/>
      </c>
      <c r="AG171">
        <f>AND(AE171,OR(O171="כן",P171="כן"),NOT(OR(AND(O171="כן",U171="כן"),AND(P171="כן",V171="כן"))))</f>
        <v/>
      </c>
      <c r="AH171">
        <f>AND(AE171,OR(U171="כן",V171="כן"),NOT(OR(O171="כן",P171="כן")))</f>
        <v/>
      </c>
      <c r="AI171">
        <f>AND(X171="מושאל",AB171&lt;&gt;"",AB171&lt;TODAY())</f>
        <v/>
      </c>
    </row>
    <row r="172">
      <c r="E172">
        <f>IFERROR(INDEX('הגדרות'!$D$104:$D$123,MATCH(B172&amp;G172&amp;C172,'הגדרות'!$A$104:$A$123&amp;'הגדרות'!$B$104:$B$123&amp;'הגדרות'!$C$104:$C$123,0)),"")</f>
        <v/>
      </c>
      <c r="F172" s="6" t="n"/>
      <c r="Q172">
        <f>IFERROR(VLOOKUP(M172,'הגדרות'!$A$11:$D$25,2,FALSE),"")</f>
        <v/>
      </c>
      <c r="R172">
        <f>IFERROR(VLOOKUP(M172,'הגדרות'!$A$11:$D$25,3,FALSE),"")</f>
        <v/>
      </c>
      <c r="S172">
        <f>IFERROR(VLOOKUP(N172,'הגדרות'!$A$11:$D$25,2,FALSE),"")</f>
        <v/>
      </c>
      <c r="T172">
        <f>IFERROR(VLOOKUP(N172,'הגדרות'!$A$11:$D$25,3,FALSE),"")</f>
        <v/>
      </c>
      <c r="AB172" s="6" t="n"/>
      <c r="AE172">
        <f>OR(Q172='לוח בקרה'!$B$2,R172='לוח בקרה'!$B$2,S172='לוח בקרה'!$B$2,T172='לוח בקרה'!$B$2)</f>
        <v/>
      </c>
      <c r="AF172">
        <f>AND(AE172,OR(AND(O172="כן",U172="כן"),AND(P172="כן",V172="כן")))</f>
        <v/>
      </c>
      <c r="AG172">
        <f>AND(AE172,OR(O172="כן",P172="כן"),NOT(OR(AND(O172="כן",U172="כן"),AND(P172="כן",V172="כן"))))</f>
        <v/>
      </c>
      <c r="AH172">
        <f>AND(AE172,OR(U172="כן",V172="כן"),NOT(OR(O172="כן",P172="כן")))</f>
        <v/>
      </c>
      <c r="AI172">
        <f>AND(X172="מושאל",AB172&lt;&gt;"",AB172&lt;TODAY())</f>
        <v/>
      </c>
    </row>
    <row r="173">
      <c r="E173">
        <f>IFERROR(INDEX('הגדרות'!$D$104:$D$123,MATCH(B173&amp;G173&amp;C173,'הגדרות'!$A$104:$A$123&amp;'הגדרות'!$B$104:$B$123&amp;'הגדרות'!$C$104:$C$123,0)),"")</f>
        <v/>
      </c>
      <c r="F173" s="6" t="n"/>
      <c r="Q173">
        <f>IFERROR(VLOOKUP(M173,'הגדרות'!$A$11:$D$25,2,FALSE),"")</f>
        <v/>
      </c>
      <c r="R173">
        <f>IFERROR(VLOOKUP(M173,'הגדרות'!$A$11:$D$25,3,FALSE),"")</f>
        <v/>
      </c>
      <c r="S173">
        <f>IFERROR(VLOOKUP(N173,'הגדרות'!$A$11:$D$25,2,FALSE),"")</f>
        <v/>
      </c>
      <c r="T173">
        <f>IFERROR(VLOOKUP(N173,'הגדרות'!$A$11:$D$25,3,FALSE),"")</f>
        <v/>
      </c>
      <c r="AB173" s="6" t="n"/>
      <c r="AE173">
        <f>OR(Q173='לוח בקרה'!$B$2,R173='לוח בקרה'!$B$2,S173='לוח בקרה'!$B$2,T173='לוח בקרה'!$B$2)</f>
        <v/>
      </c>
      <c r="AF173">
        <f>AND(AE173,OR(AND(O173="כן",U173="כן"),AND(P173="כן",V173="כן")))</f>
        <v/>
      </c>
      <c r="AG173">
        <f>AND(AE173,OR(O173="כן",P173="כן"),NOT(OR(AND(O173="כן",U173="כן"),AND(P173="כן",V173="כן"))))</f>
        <v/>
      </c>
      <c r="AH173">
        <f>AND(AE173,OR(U173="כן",V173="כן"),NOT(OR(O173="כן",P173="כן")))</f>
        <v/>
      </c>
      <c r="AI173">
        <f>AND(X173="מושאל",AB173&lt;&gt;"",AB173&lt;TODAY())</f>
        <v/>
      </c>
    </row>
    <row r="174">
      <c r="E174">
        <f>IFERROR(INDEX('הגדרות'!$D$104:$D$123,MATCH(B174&amp;G174&amp;C174,'הגדרות'!$A$104:$A$123&amp;'הגדרות'!$B$104:$B$123&amp;'הגדרות'!$C$104:$C$123,0)),"")</f>
        <v/>
      </c>
      <c r="F174" s="6" t="n"/>
      <c r="Q174">
        <f>IFERROR(VLOOKUP(M174,'הגדרות'!$A$11:$D$25,2,FALSE),"")</f>
        <v/>
      </c>
      <c r="R174">
        <f>IFERROR(VLOOKUP(M174,'הגדרות'!$A$11:$D$25,3,FALSE),"")</f>
        <v/>
      </c>
      <c r="S174">
        <f>IFERROR(VLOOKUP(N174,'הגדרות'!$A$11:$D$25,2,FALSE),"")</f>
        <v/>
      </c>
      <c r="T174">
        <f>IFERROR(VLOOKUP(N174,'הגדרות'!$A$11:$D$25,3,FALSE),"")</f>
        <v/>
      </c>
      <c r="AB174" s="6" t="n"/>
      <c r="AE174">
        <f>OR(Q174='לוח בקרה'!$B$2,R174='לוח בקרה'!$B$2,S174='לוח בקרה'!$B$2,T174='לוח בקרה'!$B$2)</f>
        <v/>
      </c>
      <c r="AF174">
        <f>AND(AE174,OR(AND(O174="כן",U174="כן"),AND(P174="כן",V174="כן")))</f>
        <v/>
      </c>
      <c r="AG174">
        <f>AND(AE174,OR(O174="כן",P174="כן"),NOT(OR(AND(O174="כן",U174="כן"),AND(P174="כן",V174="כן"))))</f>
        <v/>
      </c>
      <c r="AH174">
        <f>AND(AE174,OR(U174="כן",V174="כן"),NOT(OR(O174="כן",P174="כן")))</f>
        <v/>
      </c>
      <c r="AI174">
        <f>AND(X174="מושאל",AB174&lt;&gt;"",AB174&lt;TODAY())</f>
        <v/>
      </c>
    </row>
    <row r="175">
      <c r="E175">
        <f>IFERROR(INDEX('הגדרות'!$D$104:$D$123,MATCH(B175&amp;G175&amp;C175,'הגדרות'!$A$104:$A$123&amp;'הגדרות'!$B$104:$B$123&amp;'הגדרות'!$C$104:$C$123,0)),"")</f>
        <v/>
      </c>
      <c r="F175" s="6" t="n"/>
      <c r="Q175">
        <f>IFERROR(VLOOKUP(M175,'הגדרות'!$A$11:$D$25,2,FALSE),"")</f>
        <v/>
      </c>
      <c r="R175">
        <f>IFERROR(VLOOKUP(M175,'הגדרות'!$A$11:$D$25,3,FALSE),"")</f>
        <v/>
      </c>
      <c r="S175">
        <f>IFERROR(VLOOKUP(N175,'הגדרות'!$A$11:$D$25,2,FALSE),"")</f>
        <v/>
      </c>
      <c r="T175">
        <f>IFERROR(VLOOKUP(N175,'הגדרות'!$A$11:$D$25,3,FALSE),"")</f>
        <v/>
      </c>
      <c r="AB175" s="6" t="n"/>
      <c r="AE175">
        <f>OR(Q175='לוח בקרה'!$B$2,R175='לוח בקרה'!$B$2,S175='לוח בקרה'!$B$2,T175='לוח בקרה'!$B$2)</f>
        <v/>
      </c>
      <c r="AF175">
        <f>AND(AE175,OR(AND(O175="כן",U175="כן"),AND(P175="כן",V175="כן")))</f>
        <v/>
      </c>
      <c r="AG175">
        <f>AND(AE175,OR(O175="כן",P175="כן"),NOT(OR(AND(O175="כן",U175="כן"),AND(P175="כן",V175="כן"))))</f>
        <v/>
      </c>
      <c r="AH175">
        <f>AND(AE175,OR(U175="כן",V175="כן"),NOT(OR(O175="כן",P175="כן")))</f>
        <v/>
      </c>
      <c r="AI175">
        <f>AND(X175="מושאל",AB175&lt;&gt;"",AB175&lt;TODAY())</f>
        <v/>
      </c>
    </row>
    <row r="176">
      <c r="E176">
        <f>IFERROR(INDEX('הגדרות'!$D$104:$D$123,MATCH(B176&amp;G176&amp;C176,'הגדרות'!$A$104:$A$123&amp;'הגדרות'!$B$104:$B$123&amp;'הגדרות'!$C$104:$C$123,0)),"")</f>
        <v/>
      </c>
      <c r="F176" s="6" t="n"/>
      <c r="Q176">
        <f>IFERROR(VLOOKUP(M176,'הגדרות'!$A$11:$D$25,2,FALSE),"")</f>
        <v/>
      </c>
      <c r="R176">
        <f>IFERROR(VLOOKUP(M176,'הגדרות'!$A$11:$D$25,3,FALSE),"")</f>
        <v/>
      </c>
      <c r="S176">
        <f>IFERROR(VLOOKUP(N176,'הגדרות'!$A$11:$D$25,2,FALSE),"")</f>
        <v/>
      </c>
      <c r="T176">
        <f>IFERROR(VLOOKUP(N176,'הגדרות'!$A$11:$D$25,3,FALSE),"")</f>
        <v/>
      </c>
      <c r="AB176" s="6" t="n"/>
      <c r="AE176">
        <f>OR(Q176='לוח בקרה'!$B$2,R176='לוח בקרה'!$B$2,S176='לוח בקרה'!$B$2,T176='לוח בקרה'!$B$2)</f>
        <v/>
      </c>
      <c r="AF176">
        <f>AND(AE176,OR(AND(O176="כן",U176="כן"),AND(P176="כן",V176="כן")))</f>
        <v/>
      </c>
      <c r="AG176">
        <f>AND(AE176,OR(O176="כן",P176="כן"),NOT(OR(AND(O176="כן",U176="כן"),AND(P176="כן",V176="כן"))))</f>
        <v/>
      </c>
      <c r="AH176">
        <f>AND(AE176,OR(U176="כן",V176="כן"),NOT(OR(O176="כן",P176="כן")))</f>
        <v/>
      </c>
      <c r="AI176">
        <f>AND(X176="מושאל",AB176&lt;&gt;"",AB176&lt;TODAY())</f>
        <v/>
      </c>
    </row>
    <row r="177">
      <c r="E177">
        <f>IFERROR(INDEX('הגדרות'!$D$104:$D$123,MATCH(B177&amp;G177&amp;C177,'הגדרות'!$A$104:$A$123&amp;'הגדרות'!$B$104:$B$123&amp;'הגדרות'!$C$104:$C$123,0)),"")</f>
        <v/>
      </c>
      <c r="F177" s="6" t="n"/>
      <c r="Q177">
        <f>IFERROR(VLOOKUP(M177,'הגדרות'!$A$11:$D$25,2,FALSE),"")</f>
        <v/>
      </c>
      <c r="R177">
        <f>IFERROR(VLOOKUP(M177,'הגדרות'!$A$11:$D$25,3,FALSE),"")</f>
        <v/>
      </c>
      <c r="S177">
        <f>IFERROR(VLOOKUP(N177,'הגדרות'!$A$11:$D$25,2,FALSE),"")</f>
        <v/>
      </c>
      <c r="T177">
        <f>IFERROR(VLOOKUP(N177,'הגדרות'!$A$11:$D$25,3,FALSE),"")</f>
        <v/>
      </c>
      <c r="AB177" s="6" t="n"/>
      <c r="AE177">
        <f>OR(Q177='לוח בקרה'!$B$2,R177='לוח בקרה'!$B$2,S177='לוח בקרה'!$B$2,T177='לוח בקרה'!$B$2)</f>
        <v/>
      </c>
      <c r="AF177">
        <f>AND(AE177,OR(AND(O177="כן",U177="כן"),AND(P177="כן",V177="כן")))</f>
        <v/>
      </c>
      <c r="AG177">
        <f>AND(AE177,OR(O177="כן",P177="כן"),NOT(OR(AND(O177="כן",U177="כן"),AND(P177="כן",V177="כן"))))</f>
        <v/>
      </c>
      <c r="AH177">
        <f>AND(AE177,OR(U177="כן",V177="כן"),NOT(OR(O177="כן",P177="כן")))</f>
        <v/>
      </c>
      <c r="AI177">
        <f>AND(X177="מושאל",AB177&lt;&gt;"",AB177&lt;TODAY())</f>
        <v/>
      </c>
    </row>
    <row r="178">
      <c r="E178">
        <f>IFERROR(INDEX('הגדרות'!$D$104:$D$123,MATCH(B178&amp;G178&amp;C178,'הגדרות'!$A$104:$A$123&amp;'הגדרות'!$B$104:$B$123&amp;'הגדרות'!$C$104:$C$123,0)),"")</f>
        <v/>
      </c>
      <c r="F178" s="6" t="n"/>
      <c r="Q178">
        <f>IFERROR(VLOOKUP(M178,'הגדרות'!$A$11:$D$25,2,FALSE),"")</f>
        <v/>
      </c>
      <c r="R178">
        <f>IFERROR(VLOOKUP(M178,'הגדרות'!$A$11:$D$25,3,FALSE),"")</f>
        <v/>
      </c>
      <c r="S178">
        <f>IFERROR(VLOOKUP(N178,'הגדרות'!$A$11:$D$25,2,FALSE),"")</f>
        <v/>
      </c>
      <c r="T178">
        <f>IFERROR(VLOOKUP(N178,'הגדרות'!$A$11:$D$25,3,FALSE),"")</f>
        <v/>
      </c>
      <c r="AB178" s="6" t="n"/>
      <c r="AE178">
        <f>OR(Q178='לוח בקרה'!$B$2,R178='לוח בקרה'!$B$2,S178='לוח בקרה'!$B$2,T178='לוח בקרה'!$B$2)</f>
        <v/>
      </c>
      <c r="AF178">
        <f>AND(AE178,OR(AND(O178="כן",U178="כן"),AND(P178="כן",V178="כן")))</f>
        <v/>
      </c>
      <c r="AG178">
        <f>AND(AE178,OR(O178="כן",P178="כן"),NOT(OR(AND(O178="כן",U178="כן"),AND(P178="כן",V178="כן"))))</f>
        <v/>
      </c>
      <c r="AH178">
        <f>AND(AE178,OR(U178="כן",V178="כן"),NOT(OR(O178="כן",P178="כן")))</f>
        <v/>
      </c>
      <c r="AI178">
        <f>AND(X178="מושאל",AB178&lt;&gt;"",AB178&lt;TODAY())</f>
        <v/>
      </c>
    </row>
    <row r="179">
      <c r="E179">
        <f>IFERROR(INDEX('הגדרות'!$D$104:$D$123,MATCH(B179&amp;G179&amp;C179,'הגדרות'!$A$104:$A$123&amp;'הגדרות'!$B$104:$B$123&amp;'הגדרות'!$C$104:$C$123,0)),"")</f>
        <v/>
      </c>
      <c r="F179" s="6" t="n"/>
      <c r="Q179">
        <f>IFERROR(VLOOKUP(M179,'הגדרות'!$A$11:$D$25,2,FALSE),"")</f>
        <v/>
      </c>
      <c r="R179">
        <f>IFERROR(VLOOKUP(M179,'הגדרות'!$A$11:$D$25,3,FALSE),"")</f>
        <v/>
      </c>
      <c r="S179">
        <f>IFERROR(VLOOKUP(N179,'הגדרות'!$A$11:$D$25,2,FALSE),"")</f>
        <v/>
      </c>
      <c r="T179">
        <f>IFERROR(VLOOKUP(N179,'הגדרות'!$A$11:$D$25,3,FALSE),"")</f>
        <v/>
      </c>
      <c r="AB179" s="6" t="n"/>
      <c r="AE179">
        <f>OR(Q179='לוח בקרה'!$B$2,R179='לוח בקרה'!$B$2,S179='לוח בקרה'!$B$2,T179='לוח בקרה'!$B$2)</f>
        <v/>
      </c>
      <c r="AF179">
        <f>AND(AE179,OR(AND(O179="כן",U179="כן"),AND(P179="כן",V179="כן")))</f>
        <v/>
      </c>
      <c r="AG179">
        <f>AND(AE179,OR(O179="כן",P179="כן"),NOT(OR(AND(O179="כן",U179="כן"),AND(P179="כן",V179="כן"))))</f>
        <v/>
      </c>
      <c r="AH179">
        <f>AND(AE179,OR(U179="כן",V179="כן"),NOT(OR(O179="כן",P179="כן")))</f>
        <v/>
      </c>
      <c r="AI179">
        <f>AND(X179="מושאל",AB179&lt;&gt;"",AB179&lt;TODAY())</f>
        <v/>
      </c>
    </row>
    <row r="180">
      <c r="E180">
        <f>IFERROR(INDEX('הגדרות'!$D$104:$D$123,MATCH(B180&amp;G180&amp;C180,'הגדרות'!$A$104:$A$123&amp;'הגדרות'!$B$104:$B$123&amp;'הגדרות'!$C$104:$C$123,0)),"")</f>
        <v/>
      </c>
      <c r="F180" s="6" t="n"/>
      <c r="Q180">
        <f>IFERROR(VLOOKUP(M180,'הגדרות'!$A$11:$D$25,2,FALSE),"")</f>
        <v/>
      </c>
      <c r="R180">
        <f>IFERROR(VLOOKUP(M180,'הגדרות'!$A$11:$D$25,3,FALSE),"")</f>
        <v/>
      </c>
      <c r="S180">
        <f>IFERROR(VLOOKUP(N180,'הגדרות'!$A$11:$D$25,2,FALSE),"")</f>
        <v/>
      </c>
      <c r="T180">
        <f>IFERROR(VLOOKUP(N180,'הגדרות'!$A$11:$D$25,3,FALSE),"")</f>
        <v/>
      </c>
      <c r="AB180" s="6" t="n"/>
      <c r="AE180">
        <f>OR(Q180='לוח בקרה'!$B$2,R180='לוח בקרה'!$B$2,S180='לוח בקרה'!$B$2,T180='לוח בקרה'!$B$2)</f>
        <v/>
      </c>
      <c r="AF180">
        <f>AND(AE180,OR(AND(O180="כן",U180="כן"),AND(P180="כן",V180="כן")))</f>
        <v/>
      </c>
      <c r="AG180">
        <f>AND(AE180,OR(O180="כן",P180="כן"),NOT(OR(AND(O180="כן",U180="כן"),AND(P180="כן",V180="כן"))))</f>
        <v/>
      </c>
      <c r="AH180">
        <f>AND(AE180,OR(U180="כן",V180="כן"),NOT(OR(O180="כן",P180="כן")))</f>
        <v/>
      </c>
      <c r="AI180">
        <f>AND(X180="מושאל",AB180&lt;&gt;"",AB180&lt;TODAY())</f>
        <v/>
      </c>
    </row>
    <row r="181">
      <c r="E181">
        <f>IFERROR(INDEX('הגדרות'!$D$104:$D$123,MATCH(B181&amp;G181&amp;C181,'הגדרות'!$A$104:$A$123&amp;'הגדרות'!$B$104:$B$123&amp;'הגדרות'!$C$104:$C$123,0)),"")</f>
        <v/>
      </c>
      <c r="F181" s="6" t="n"/>
      <c r="Q181">
        <f>IFERROR(VLOOKUP(M181,'הגדרות'!$A$11:$D$25,2,FALSE),"")</f>
        <v/>
      </c>
      <c r="R181">
        <f>IFERROR(VLOOKUP(M181,'הגדרות'!$A$11:$D$25,3,FALSE),"")</f>
        <v/>
      </c>
      <c r="S181">
        <f>IFERROR(VLOOKUP(N181,'הגדרות'!$A$11:$D$25,2,FALSE),"")</f>
        <v/>
      </c>
      <c r="T181">
        <f>IFERROR(VLOOKUP(N181,'הגדרות'!$A$11:$D$25,3,FALSE),"")</f>
        <v/>
      </c>
      <c r="AB181" s="6" t="n"/>
      <c r="AE181">
        <f>OR(Q181='לוח בקרה'!$B$2,R181='לוח בקרה'!$B$2,S181='לוח בקרה'!$B$2,T181='לוח בקרה'!$B$2)</f>
        <v/>
      </c>
      <c r="AF181">
        <f>AND(AE181,OR(AND(O181="כן",U181="כן"),AND(P181="כן",V181="כן")))</f>
        <v/>
      </c>
      <c r="AG181">
        <f>AND(AE181,OR(O181="כן",P181="כן"),NOT(OR(AND(O181="כן",U181="כן"),AND(P181="כן",V181="כן"))))</f>
        <v/>
      </c>
      <c r="AH181">
        <f>AND(AE181,OR(U181="כן",V181="כן"),NOT(OR(O181="כן",P181="כן")))</f>
        <v/>
      </c>
      <c r="AI181">
        <f>AND(X181="מושאל",AB181&lt;&gt;"",AB181&lt;TODAY())</f>
        <v/>
      </c>
    </row>
    <row r="182">
      <c r="E182">
        <f>IFERROR(INDEX('הגדרות'!$D$104:$D$123,MATCH(B182&amp;G182&amp;C182,'הגדרות'!$A$104:$A$123&amp;'הגדרות'!$B$104:$B$123&amp;'הגדרות'!$C$104:$C$123,0)),"")</f>
        <v/>
      </c>
      <c r="F182" s="6" t="n"/>
      <c r="Q182">
        <f>IFERROR(VLOOKUP(M182,'הגדרות'!$A$11:$D$25,2,FALSE),"")</f>
        <v/>
      </c>
      <c r="R182">
        <f>IFERROR(VLOOKUP(M182,'הגדרות'!$A$11:$D$25,3,FALSE),"")</f>
        <v/>
      </c>
      <c r="S182">
        <f>IFERROR(VLOOKUP(N182,'הגדרות'!$A$11:$D$25,2,FALSE),"")</f>
        <v/>
      </c>
      <c r="T182">
        <f>IFERROR(VLOOKUP(N182,'הגדרות'!$A$11:$D$25,3,FALSE),"")</f>
        <v/>
      </c>
      <c r="AB182" s="6" t="n"/>
      <c r="AE182">
        <f>OR(Q182='לוח בקרה'!$B$2,R182='לוח בקרה'!$B$2,S182='לוח בקרה'!$B$2,T182='לוח בקרה'!$B$2)</f>
        <v/>
      </c>
      <c r="AF182">
        <f>AND(AE182,OR(AND(O182="כן",U182="כן"),AND(P182="כן",V182="כן")))</f>
        <v/>
      </c>
      <c r="AG182">
        <f>AND(AE182,OR(O182="כן",P182="כן"),NOT(OR(AND(O182="כן",U182="כן"),AND(P182="כן",V182="כן"))))</f>
        <v/>
      </c>
      <c r="AH182">
        <f>AND(AE182,OR(U182="כן",V182="כן"),NOT(OR(O182="כן",P182="כן")))</f>
        <v/>
      </c>
      <c r="AI182">
        <f>AND(X182="מושאל",AB182&lt;&gt;"",AB182&lt;TODAY())</f>
        <v/>
      </c>
    </row>
    <row r="183">
      <c r="E183">
        <f>IFERROR(INDEX('הגדרות'!$D$104:$D$123,MATCH(B183&amp;G183&amp;C183,'הגדרות'!$A$104:$A$123&amp;'הגדרות'!$B$104:$B$123&amp;'הגדרות'!$C$104:$C$123,0)),"")</f>
        <v/>
      </c>
      <c r="F183" s="6" t="n"/>
      <c r="Q183">
        <f>IFERROR(VLOOKUP(M183,'הגדרות'!$A$11:$D$25,2,FALSE),"")</f>
        <v/>
      </c>
      <c r="R183">
        <f>IFERROR(VLOOKUP(M183,'הגדרות'!$A$11:$D$25,3,FALSE),"")</f>
        <v/>
      </c>
      <c r="S183">
        <f>IFERROR(VLOOKUP(N183,'הגדרות'!$A$11:$D$25,2,FALSE),"")</f>
        <v/>
      </c>
      <c r="T183">
        <f>IFERROR(VLOOKUP(N183,'הגדרות'!$A$11:$D$25,3,FALSE),"")</f>
        <v/>
      </c>
      <c r="AB183" s="6" t="n"/>
      <c r="AE183">
        <f>OR(Q183='לוח בקרה'!$B$2,R183='לוח בקרה'!$B$2,S183='לוח בקרה'!$B$2,T183='לוח בקרה'!$B$2)</f>
        <v/>
      </c>
      <c r="AF183">
        <f>AND(AE183,OR(AND(O183="כן",U183="כן"),AND(P183="כן",V183="כן")))</f>
        <v/>
      </c>
      <c r="AG183">
        <f>AND(AE183,OR(O183="כן",P183="כן"),NOT(OR(AND(O183="כן",U183="כן"),AND(P183="כן",V183="כן"))))</f>
        <v/>
      </c>
      <c r="AH183">
        <f>AND(AE183,OR(U183="כן",V183="כן"),NOT(OR(O183="כן",P183="כן")))</f>
        <v/>
      </c>
      <c r="AI183">
        <f>AND(X183="מושאל",AB183&lt;&gt;"",AB183&lt;TODAY())</f>
        <v/>
      </c>
    </row>
    <row r="184">
      <c r="E184">
        <f>IFERROR(INDEX('הגדרות'!$D$104:$D$123,MATCH(B184&amp;G184&amp;C184,'הגדרות'!$A$104:$A$123&amp;'הגדרות'!$B$104:$B$123&amp;'הגדרות'!$C$104:$C$123,0)),"")</f>
        <v/>
      </c>
      <c r="F184" s="6" t="n"/>
      <c r="Q184">
        <f>IFERROR(VLOOKUP(M184,'הגדרות'!$A$11:$D$25,2,FALSE),"")</f>
        <v/>
      </c>
      <c r="R184">
        <f>IFERROR(VLOOKUP(M184,'הגדרות'!$A$11:$D$25,3,FALSE),"")</f>
        <v/>
      </c>
      <c r="S184">
        <f>IFERROR(VLOOKUP(N184,'הגדרות'!$A$11:$D$25,2,FALSE),"")</f>
        <v/>
      </c>
      <c r="T184">
        <f>IFERROR(VLOOKUP(N184,'הגדרות'!$A$11:$D$25,3,FALSE),"")</f>
        <v/>
      </c>
      <c r="AB184" s="6" t="n"/>
      <c r="AE184">
        <f>OR(Q184='לוח בקרה'!$B$2,R184='לוח בקרה'!$B$2,S184='לוח בקרה'!$B$2,T184='לוח בקרה'!$B$2)</f>
        <v/>
      </c>
      <c r="AF184">
        <f>AND(AE184,OR(AND(O184="כן",U184="כן"),AND(P184="כן",V184="כן")))</f>
        <v/>
      </c>
      <c r="AG184">
        <f>AND(AE184,OR(O184="כן",P184="כן"),NOT(OR(AND(O184="כן",U184="כן"),AND(P184="כן",V184="כן"))))</f>
        <v/>
      </c>
      <c r="AH184">
        <f>AND(AE184,OR(U184="כן",V184="כן"),NOT(OR(O184="כן",P184="כן")))</f>
        <v/>
      </c>
      <c r="AI184">
        <f>AND(X184="מושאל",AB184&lt;&gt;"",AB184&lt;TODAY())</f>
        <v/>
      </c>
    </row>
    <row r="185">
      <c r="E185">
        <f>IFERROR(INDEX('הגדרות'!$D$104:$D$123,MATCH(B185&amp;G185&amp;C185,'הגדרות'!$A$104:$A$123&amp;'הגדרות'!$B$104:$B$123&amp;'הגדרות'!$C$104:$C$123,0)),"")</f>
        <v/>
      </c>
      <c r="F185" s="6" t="n"/>
      <c r="Q185">
        <f>IFERROR(VLOOKUP(M185,'הגדרות'!$A$11:$D$25,2,FALSE),"")</f>
        <v/>
      </c>
      <c r="R185">
        <f>IFERROR(VLOOKUP(M185,'הגדרות'!$A$11:$D$25,3,FALSE),"")</f>
        <v/>
      </c>
      <c r="S185">
        <f>IFERROR(VLOOKUP(N185,'הגדרות'!$A$11:$D$25,2,FALSE),"")</f>
        <v/>
      </c>
      <c r="T185">
        <f>IFERROR(VLOOKUP(N185,'הגדרות'!$A$11:$D$25,3,FALSE),"")</f>
        <v/>
      </c>
      <c r="AB185" s="6" t="n"/>
      <c r="AE185">
        <f>OR(Q185='לוח בקרה'!$B$2,R185='לוח בקרה'!$B$2,S185='לוח בקרה'!$B$2,T185='לוח בקרה'!$B$2)</f>
        <v/>
      </c>
      <c r="AF185">
        <f>AND(AE185,OR(AND(O185="כן",U185="כן"),AND(P185="כן",V185="כן")))</f>
        <v/>
      </c>
      <c r="AG185">
        <f>AND(AE185,OR(O185="כן",P185="כן"),NOT(OR(AND(O185="כן",U185="כן"),AND(P185="כן",V185="כן"))))</f>
        <v/>
      </c>
      <c r="AH185">
        <f>AND(AE185,OR(U185="כן",V185="כן"),NOT(OR(O185="כן",P185="כן")))</f>
        <v/>
      </c>
      <c r="AI185">
        <f>AND(X185="מושאל",AB185&lt;&gt;"",AB185&lt;TODAY())</f>
        <v/>
      </c>
    </row>
    <row r="186">
      <c r="E186">
        <f>IFERROR(INDEX('הגדרות'!$D$104:$D$123,MATCH(B186&amp;G186&amp;C186,'הגדרות'!$A$104:$A$123&amp;'הגדרות'!$B$104:$B$123&amp;'הגדרות'!$C$104:$C$123,0)),"")</f>
        <v/>
      </c>
      <c r="F186" s="6" t="n"/>
      <c r="Q186">
        <f>IFERROR(VLOOKUP(M186,'הגדרות'!$A$11:$D$25,2,FALSE),"")</f>
        <v/>
      </c>
      <c r="R186">
        <f>IFERROR(VLOOKUP(M186,'הגדרות'!$A$11:$D$25,3,FALSE),"")</f>
        <v/>
      </c>
      <c r="S186">
        <f>IFERROR(VLOOKUP(N186,'הגדרות'!$A$11:$D$25,2,FALSE),"")</f>
        <v/>
      </c>
      <c r="T186">
        <f>IFERROR(VLOOKUP(N186,'הגדרות'!$A$11:$D$25,3,FALSE),"")</f>
        <v/>
      </c>
      <c r="AB186" s="6" t="n"/>
      <c r="AE186">
        <f>OR(Q186='לוח בקרה'!$B$2,R186='לוח בקרה'!$B$2,S186='לוח בקרה'!$B$2,T186='לוח בקרה'!$B$2)</f>
        <v/>
      </c>
      <c r="AF186">
        <f>AND(AE186,OR(AND(O186="כן",U186="כן"),AND(P186="כן",V186="כן")))</f>
        <v/>
      </c>
      <c r="AG186">
        <f>AND(AE186,OR(O186="כן",P186="כן"),NOT(OR(AND(O186="כן",U186="כן"),AND(P186="כן",V186="כן"))))</f>
        <v/>
      </c>
      <c r="AH186">
        <f>AND(AE186,OR(U186="כן",V186="כן"),NOT(OR(O186="כן",P186="כן")))</f>
        <v/>
      </c>
      <c r="AI186">
        <f>AND(X186="מושאל",AB186&lt;&gt;"",AB186&lt;TODAY())</f>
        <v/>
      </c>
    </row>
    <row r="187">
      <c r="E187">
        <f>IFERROR(INDEX('הגדרות'!$D$104:$D$123,MATCH(B187&amp;G187&amp;C187,'הגדרות'!$A$104:$A$123&amp;'הגדרות'!$B$104:$B$123&amp;'הגדרות'!$C$104:$C$123,0)),"")</f>
        <v/>
      </c>
      <c r="F187" s="6" t="n"/>
      <c r="Q187">
        <f>IFERROR(VLOOKUP(M187,'הגדרות'!$A$11:$D$25,2,FALSE),"")</f>
        <v/>
      </c>
      <c r="R187">
        <f>IFERROR(VLOOKUP(M187,'הגדרות'!$A$11:$D$25,3,FALSE),"")</f>
        <v/>
      </c>
      <c r="S187">
        <f>IFERROR(VLOOKUP(N187,'הגדרות'!$A$11:$D$25,2,FALSE),"")</f>
        <v/>
      </c>
      <c r="T187">
        <f>IFERROR(VLOOKUP(N187,'הגדרות'!$A$11:$D$25,3,FALSE),"")</f>
        <v/>
      </c>
      <c r="AB187" s="6" t="n"/>
      <c r="AE187">
        <f>OR(Q187='לוח בקרה'!$B$2,R187='לוח בקרה'!$B$2,S187='לוח בקרה'!$B$2,T187='לוח בקרה'!$B$2)</f>
        <v/>
      </c>
      <c r="AF187">
        <f>AND(AE187,OR(AND(O187="כן",U187="כן"),AND(P187="כן",V187="כן")))</f>
        <v/>
      </c>
      <c r="AG187">
        <f>AND(AE187,OR(O187="כן",P187="כן"),NOT(OR(AND(O187="כן",U187="כן"),AND(P187="כן",V187="כן"))))</f>
        <v/>
      </c>
      <c r="AH187">
        <f>AND(AE187,OR(U187="כן",V187="כן"),NOT(OR(O187="כן",P187="כן")))</f>
        <v/>
      </c>
      <c r="AI187">
        <f>AND(X187="מושאל",AB187&lt;&gt;"",AB187&lt;TODAY())</f>
        <v/>
      </c>
    </row>
    <row r="188">
      <c r="E188">
        <f>IFERROR(INDEX('הגדרות'!$D$104:$D$123,MATCH(B188&amp;G188&amp;C188,'הגדרות'!$A$104:$A$123&amp;'הגדרות'!$B$104:$B$123&amp;'הגדרות'!$C$104:$C$123,0)),"")</f>
        <v/>
      </c>
      <c r="F188" s="6" t="n"/>
      <c r="Q188">
        <f>IFERROR(VLOOKUP(M188,'הגדרות'!$A$11:$D$25,2,FALSE),"")</f>
        <v/>
      </c>
      <c r="R188">
        <f>IFERROR(VLOOKUP(M188,'הגדרות'!$A$11:$D$25,3,FALSE),"")</f>
        <v/>
      </c>
      <c r="S188">
        <f>IFERROR(VLOOKUP(N188,'הגדרות'!$A$11:$D$25,2,FALSE),"")</f>
        <v/>
      </c>
      <c r="T188">
        <f>IFERROR(VLOOKUP(N188,'הגדרות'!$A$11:$D$25,3,FALSE),"")</f>
        <v/>
      </c>
      <c r="AB188" s="6" t="n"/>
      <c r="AE188">
        <f>OR(Q188='לוח בקרה'!$B$2,R188='לוח בקרה'!$B$2,S188='לוח בקרה'!$B$2,T188='לוח בקרה'!$B$2)</f>
        <v/>
      </c>
      <c r="AF188">
        <f>AND(AE188,OR(AND(O188="כן",U188="כן"),AND(P188="כן",V188="כן")))</f>
        <v/>
      </c>
      <c r="AG188">
        <f>AND(AE188,OR(O188="כן",P188="כן"),NOT(OR(AND(O188="כן",U188="כן"),AND(P188="כן",V188="כן"))))</f>
        <v/>
      </c>
      <c r="AH188">
        <f>AND(AE188,OR(U188="כן",V188="כן"),NOT(OR(O188="כן",P188="כן")))</f>
        <v/>
      </c>
      <c r="AI188">
        <f>AND(X188="מושאל",AB188&lt;&gt;"",AB188&lt;TODAY())</f>
        <v/>
      </c>
    </row>
    <row r="189">
      <c r="E189">
        <f>IFERROR(INDEX('הגדרות'!$D$104:$D$123,MATCH(B189&amp;G189&amp;C189,'הגדרות'!$A$104:$A$123&amp;'הגדרות'!$B$104:$B$123&amp;'הגדרות'!$C$104:$C$123,0)),"")</f>
        <v/>
      </c>
      <c r="F189" s="6" t="n"/>
      <c r="Q189">
        <f>IFERROR(VLOOKUP(M189,'הגדרות'!$A$11:$D$25,2,FALSE),"")</f>
        <v/>
      </c>
      <c r="R189">
        <f>IFERROR(VLOOKUP(M189,'הגדרות'!$A$11:$D$25,3,FALSE),"")</f>
        <v/>
      </c>
      <c r="S189">
        <f>IFERROR(VLOOKUP(N189,'הגדרות'!$A$11:$D$25,2,FALSE),"")</f>
        <v/>
      </c>
      <c r="T189">
        <f>IFERROR(VLOOKUP(N189,'הגדרות'!$A$11:$D$25,3,FALSE),"")</f>
        <v/>
      </c>
      <c r="AB189" s="6" t="n"/>
      <c r="AE189">
        <f>OR(Q189='לוח בקרה'!$B$2,R189='לוח בקרה'!$B$2,S189='לוח בקרה'!$B$2,T189='לוח בקרה'!$B$2)</f>
        <v/>
      </c>
      <c r="AF189">
        <f>AND(AE189,OR(AND(O189="כן",U189="כן"),AND(P189="כן",V189="כן")))</f>
        <v/>
      </c>
      <c r="AG189">
        <f>AND(AE189,OR(O189="כן",P189="כן"),NOT(OR(AND(O189="כן",U189="כן"),AND(P189="כן",V189="כן"))))</f>
        <v/>
      </c>
      <c r="AH189">
        <f>AND(AE189,OR(U189="כן",V189="כן"),NOT(OR(O189="כן",P189="כן")))</f>
        <v/>
      </c>
      <c r="AI189">
        <f>AND(X189="מושאל",AB189&lt;&gt;"",AB189&lt;TODAY())</f>
        <v/>
      </c>
    </row>
    <row r="190">
      <c r="E190">
        <f>IFERROR(INDEX('הגדרות'!$D$104:$D$123,MATCH(B190&amp;G190&amp;C190,'הגדרות'!$A$104:$A$123&amp;'הגדרות'!$B$104:$B$123&amp;'הגדרות'!$C$104:$C$123,0)),"")</f>
        <v/>
      </c>
      <c r="F190" s="6" t="n"/>
      <c r="Q190">
        <f>IFERROR(VLOOKUP(M190,'הגדרות'!$A$11:$D$25,2,FALSE),"")</f>
        <v/>
      </c>
      <c r="R190">
        <f>IFERROR(VLOOKUP(M190,'הגדרות'!$A$11:$D$25,3,FALSE),"")</f>
        <v/>
      </c>
      <c r="S190">
        <f>IFERROR(VLOOKUP(N190,'הגדרות'!$A$11:$D$25,2,FALSE),"")</f>
        <v/>
      </c>
      <c r="T190">
        <f>IFERROR(VLOOKUP(N190,'הגדרות'!$A$11:$D$25,3,FALSE),"")</f>
        <v/>
      </c>
      <c r="AB190" s="6" t="n"/>
      <c r="AE190">
        <f>OR(Q190='לוח בקרה'!$B$2,R190='לוח בקרה'!$B$2,S190='לוח בקרה'!$B$2,T190='לוח בקרה'!$B$2)</f>
        <v/>
      </c>
      <c r="AF190">
        <f>AND(AE190,OR(AND(O190="כן",U190="כן"),AND(P190="כן",V190="כן")))</f>
        <v/>
      </c>
      <c r="AG190">
        <f>AND(AE190,OR(O190="כן",P190="כן"),NOT(OR(AND(O190="כן",U190="כן"),AND(P190="כן",V190="כן"))))</f>
        <v/>
      </c>
      <c r="AH190">
        <f>AND(AE190,OR(U190="כן",V190="כן"),NOT(OR(O190="כן",P190="כן")))</f>
        <v/>
      </c>
      <c r="AI190">
        <f>AND(X190="מושאל",AB190&lt;&gt;"",AB190&lt;TODAY())</f>
        <v/>
      </c>
    </row>
    <row r="191">
      <c r="E191">
        <f>IFERROR(INDEX('הגדרות'!$D$104:$D$123,MATCH(B191&amp;G191&amp;C191,'הגדרות'!$A$104:$A$123&amp;'הגדרות'!$B$104:$B$123&amp;'הגדרות'!$C$104:$C$123,0)),"")</f>
        <v/>
      </c>
      <c r="F191" s="6" t="n"/>
      <c r="Q191">
        <f>IFERROR(VLOOKUP(M191,'הגדרות'!$A$11:$D$25,2,FALSE),"")</f>
        <v/>
      </c>
      <c r="R191">
        <f>IFERROR(VLOOKUP(M191,'הגדרות'!$A$11:$D$25,3,FALSE),"")</f>
        <v/>
      </c>
      <c r="S191">
        <f>IFERROR(VLOOKUP(N191,'הגדרות'!$A$11:$D$25,2,FALSE),"")</f>
        <v/>
      </c>
      <c r="T191">
        <f>IFERROR(VLOOKUP(N191,'הגדרות'!$A$11:$D$25,3,FALSE),"")</f>
        <v/>
      </c>
      <c r="AB191" s="6" t="n"/>
      <c r="AE191">
        <f>OR(Q191='לוח בקרה'!$B$2,R191='לוח בקרה'!$B$2,S191='לוח בקרה'!$B$2,T191='לוח בקרה'!$B$2)</f>
        <v/>
      </c>
      <c r="AF191">
        <f>AND(AE191,OR(AND(O191="כן",U191="כן"),AND(P191="כן",V191="כן")))</f>
        <v/>
      </c>
      <c r="AG191">
        <f>AND(AE191,OR(O191="כן",P191="כן"),NOT(OR(AND(O191="כן",U191="כן"),AND(P191="כן",V191="כן"))))</f>
        <v/>
      </c>
      <c r="AH191">
        <f>AND(AE191,OR(U191="כן",V191="כן"),NOT(OR(O191="כן",P191="כן")))</f>
        <v/>
      </c>
      <c r="AI191">
        <f>AND(X191="מושאל",AB191&lt;&gt;"",AB191&lt;TODAY())</f>
        <v/>
      </c>
    </row>
    <row r="192">
      <c r="E192">
        <f>IFERROR(INDEX('הגדרות'!$D$104:$D$123,MATCH(B192&amp;G192&amp;C192,'הגדרות'!$A$104:$A$123&amp;'הגדרות'!$B$104:$B$123&amp;'הגדרות'!$C$104:$C$123,0)),"")</f>
        <v/>
      </c>
      <c r="F192" s="6" t="n"/>
      <c r="Q192">
        <f>IFERROR(VLOOKUP(M192,'הגדרות'!$A$11:$D$25,2,FALSE),"")</f>
        <v/>
      </c>
      <c r="R192">
        <f>IFERROR(VLOOKUP(M192,'הגדרות'!$A$11:$D$25,3,FALSE),"")</f>
        <v/>
      </c>
      <c r="S192">
        <f>IFERROR(VLOOKUP(N192,'הגדרות'!$A$11:$D$25,2,FALSE),"")</f>
        <v/>
      </c>
      <c r="T192">
        <f>IFERROR(VLOOKUP(N192,'הגדרות'!$A$11:$D$25,3,FALSE),"")</f>
        <v/>
      </c>
      <c r="AB192" s="6" t="n"/>
      <c r="AE192">
        <f>OR(Q192='לוח בקרה'!$B$2,R192='לוח בקרה'!$B$2,S192='לוח בקרה'!$B$2,T192='לוח בקרה'!$B$2)</f>
        <v/>
      </c>
      <c r="AF192">
        <f>AND(AE192,OR(AND(O192="כן",U192="כן"),AND(P192="כן",V192="כן")))</f>
        <v/>
      </c>
      <c r="AG192">
        <f>AND(AE192,OR(O192="כן",P192="כן"),NOT(OR(AND(O192="כן",U192="כן"),AND(P192="כן",V192="כן"))))</f>
        <v/>
      </c>
      <c r="AH192">
        <f>AND(AE192,OR(U192="כן",V192="כן"),NOT(OR(O192="כן",P192="כן")))</f>
        <v/>
      </c>
      <c r="AI192">
        <f>AND(X192="מושאל",AB192&lt;&gt;"",AB192&lt;TODAY())</f>
        <v/>
      </c>
    </row>
    <row r="193">
      <c r="E193">
        <f>IFERROR(INDEX('הגדרות'!$D$104:$D$123,MATCH(B193&amp;G193&amp;C193,'הגדרות'!$A$104:$A$123&amp;'הגדרות'!$B$104:$B$123&amp;'הגדרות'!$C$104:$C$123,0)),"")</f>
        <v/>
      </c>
      <c r="F193" s="6" t="n"/>
      <c r="Q193">
        <f>IFERROR(VLOOKUP(M193,'הגדרות'!$A$11:$D$25,2,FALSE),"")</f>
        <v/>
      </c>
      <c r="R193">
        <f>IFERROR(VLOOKUP(M193,'הגדרות'!$A$11:$D$25,3,FALSE),"")</f>
        <v/>
      </c>
      <c r="S193">
        <f>IFERROR(VLOOKUP(N193,'הגדרות'!$A$11:$D$25,2,FALSE),"")</f>
        <v/>
      </c>
      <c r="T193">
        <f>IFERROR(VLOOKUP(N193,'הגדרות'!$A$11:$D$25,3,FALSE),"")</f>
        <v/>
      </c>
      <c r="AB193" s="6" t="n"/>
      <c r="AE193">
        <f>OR(Q193='לוח בקרה'!$B$2,R193='לוח בקרה'!$B$2,S193='לוח בקרה'!$B$2,T193='לוח בקרה'!$B$2)</f>
        <v/>
      </c>
      <c r="AF193">
        <f>AND(AE193,OR(AND(O193="כן",U193="כן"),AND(P193="כן",V193="כן")))</f>
        <v/>
      </c>
      <c r="AG193">
        <f>AND(AE193,OR(O193="כן",P193="כן"),NOT(OR(AND(O193="כן",U193="כן"),AND(P193="כן",V193="כן"))))</f>
        <v/>
      </c>
      <c r="AH193">
        <f>AND(AE193,OR(U193="כן",V193="כן"),NOT(OR(O193="כן",P193="כן")))</f>
        <v/>
      </c>
      <c r="AI193">
        <f>AND(X193="מושאל",AB193&lt;&gt;"",AB193&lt;TODAY())</f>
        <v/>
      </c>
    </row>
    <row r="194">
      <c r="E194">
        <f>IFERROR(INDEX('הגדרות'!$D$104:$D$123,MATCH(B194&amp;G194&amp;C194,'הגדרות'!$A$104:$A$123&amp;'הגדרות'!$B$104:$B$123&amp;'הגדרות'!$C$104:$C$123,0)),"")</f>
        <v/>
      </c>
      <c r="F194" s="6" t="n"/>
      <c r="Q194">
        <f>IFERROR(VLOOKUP(M194,'הגדרות'!$A$11:$D$25,2,FALSE),"")</f>
        <v/>
      </c>
      <c r="R194">
        <f>IFERROR(VLOOKUP(M194,'הגדרות'!$A$11:$D$25,3,FALSE),"")</f>
        <v/>
      </c>
      <c r="S194">
        <f>IFERROR(VLOOKUP(N194,'הגדרות'!$A$11:$D$25,2,FALSE),"")</f>
        <v/>
      </c>
      <c r="T194">
        <f>IFERROR(VLOOKUP(N194,'הגדרות'!$A$11:$D$25,3,FALSE),"")</f>
        <v/>
      </c>
      <c r="AB194" s="6" t="n"/>
      <c r="AE194">
        <f>OR(Q194='לוח בקרה'!$B$2,R194='לוח בקרה'!$B$2,S194='לוח בקרה'!$B$2,T194='לוח בקרה'!$B$2)</f>
        <v/>
      </c>
      <c r="AF194">
        <f>AND(AE194,OR(AND(O194="כן",U194="כן"),AND(P194="כן",V194="כן")))</f>
        <v/>
      </c>
      <c r="AG194">
        <f>AND(AE194,OR(O194="כן",P194="כן"),NOT(OR(AND(O194="כן",U194="כן"),AND(P194="כן",V194="כן"))))</f>
        <v/>
      </c>
      <c r="AH194">
        <f>AND(AE194,OR(U194="כן",V194="כן"),NOT(OR(O194="כן",P194="כן")))</f>
        <v/>
      </c>
      <c r="AI194">
        <f>AND(X194="מושאל",AB194&lt;&gt;"",AB194&lt;TODAY())</f>
        <v/>
      </c>
    </row>
    <row r="195">
      <c r="E195">
        <f>IFERROR(INDEX('הגדרות'!$D$104:$D$123,MATCH(B195&amp;G195&amp;C195,'הגדרות'!$A$104:$A$123&amp;'הגדרות'!$B$104:$B$123&amp;'הגדרות'!$C$104:$C$123,0)),"")</f>
        <v/>
      </c>
      <c r="F195" s="6" t="n"/>
      <c r="Q195">
        <f>IFERROR(VLOOKUP(M195,'הגדרות'!$A$11:$D$25,2,FALSE),"")</f>
        <v/>
      </c>
      <c r="R195">
        <f>IFERROR(VLOOKUP(M195,'הגדרות'!$A$11:$D$25,3,FALSE),"")</f>
        <v/>
      </c>
      <c r="S195">
        <f>IFERROR(VLOOKUP(N195,'הגדרות'!$A$11:$D$25,2,FALSE),"")</f>
        <v/>
      </c>
      <c r="T195">
        <f>IFERROR(VLOOKUP(N195,'הגדרות'!$A$11:$D$25,3,FALSE),"")</f>
        <v/>
      </c>
      <c r="AB195" s="6" t="n"/>
      <c r="AE195">
        <f>OR(Q195='לוח בקרה'!$B$2,R195='לוח בקרה'!$B$2,S195='לוח בקרה'!$B$2,T195='לוח בקרה'!$B$2)</f>
        <v/>
      </c>
      <c r="AF195">
        <f>AND(AE195,OR(AND(O195="כן",U195="כן"),AND(P195="כן",V195="כן")))</f>
        <v/>
      </c>
      <c r="AG195">
        <f>AND(AE195,OR(O195="כן",P195="כן"),NOT(OR(AND(O195="כן",U195="כן"),AND(P195="כן",V195="כן"))))</f>
        <v/>
      </c>
      <c r="AH195">
        <f>AND(AE195,OR(U195="כן",V195="כן"),NOT(OR(O195="כן",P195="כן")))</f>
        <v/>
      </c>
      <c r="AI195">
        <f>AND(X195="מושאל",AB195&lt;&gt;"",AB195&lt;TODAY())</f>
        <v/>
      </c>
    </row>
    <row r="196">
      <c r="E196">
        <f>IFERROR(INDEX('הגדרות'!$D$104:$D$123,MATCH(B196&amp;G196&amp;C196,'הגדרות'!$A$104:$A$123&amp;'הגדרות'!$B$104:$B$123&amp;'הגדרות'!$C$104:$C$123,0)),"")</f>
        <v/>
      </c>
      <c r="F196" s="6" t="n"/>
      <c r="Q196">
        <f>IFERROR(VLOOKUP(M196,'הגדרות'!$A$11:$D$25,2,FALSE),"")</f>
        <v/>
      </c>
      <c r="R196">
        <f>IFERROR(VLOOKUP(M196,'הגדרות'!$A$11:$D$25,3,FALSE),"")</f>
        <v/>
      </c>
      <c r="S196">
        <f>IFERROR(VLOOKUP(N196,'הגדרות'!$A$11:$D$25,2,FALSE),"")</f>
        <v/>
      </c>
      <c r="T196">
        <f>IFERROR(VLOOKUP(N196,'הגדרות'!$A$11:$D$25,3,FALSE),"")</f>
        <v/>
      </c>
      <c r="AB196" s="6" t="n"/>
      <c r="AE196">
        <f>OR(Q196='לוח בקרה'!$B$2,R196='לוח בקרה'!$B$2,S196='לוח בקרה'!$B$2,T196='לוח בקרה'!$B$2)</f>
        <v/>
      </c>
      <c r="AF196">
        <f>AND(AE196,OR(AND(O196="כן",U196="כן"),AND(P196="כן",V196="כן")))</f>
        <v/>
      </c>
      <c r="AG196">
        <f>AND(AE196,OR(O196="כן",P196="כן"),NOT(OR(AND(O196="כן",U196="כן"),AND(P196="כן",V196="כן"))))</f>
        <v/>
      </c>
      <c r="AH196">
        <f>AND(AE196,OR(U196="כן",V196="כן"),NOT(OR(O196="כן",P196="כן")))</f>
        <v/>
      </c>
      <c r="AI196">
        <f>AND(X196="מושאל",AB196&lt;&gt;"",AB196&lt;TODAY())</f>
        <v/>
      </c>
    </row>
    <row r="197">
      <c r="E197">
        <f>IFERROR(INDEX('הגדרות'!$D$104:$D$123,MATCH(B197&amp;G197&amp;C197,'הגדרות'!$A$104:$A$123&amp;'הגדרות'!$B$104:$B$123&amp;'הגדרות'!$C$104:$C$123,0)),"")</f>
        <v/>
      </c>
      <c r="F197" s="6" t="n"/>
      <c r="Q197">
        <f>IFERROR(VLOOKUP(M197,'הגדרות'!$A$11:$D$25,2,FALSE),"")</f>
        <v/>
      </c>
      <c r="R197">
        <f>IFERROR(VLOOKUP(M197,'הגדרות'!$A$11:$D$25,3,FALSE),"")</f>
        <v/>
      </c>
      <c r="S197">
        <f>IFERROR(VLOOKUP(N197,'הגדרות'!$A$11:$D$25,2,FALSE),"")</f>
        <v/>
      </c>
      <c r="T197">
        <f>IFERROR(VLOOKUP(N197,'הגדרות'!$A$11:$D$25,3,FALSE),"")</f>
        <v/>
      </c>
      <c r="AB197" s="6" t="n"/>
      <c r="AE197">
        <f>OR(Q197='לוח בקרה'!$B$2,R197='לוח בקרה'!$B$2,S197='לוח בקרה'!$B$2,T197='לוח בקרה'!$B$2)</f>
        <v/>
      </c>
      <c r="AF197">
        <f>AND(AE197,OR(AND(O197="כן",U197="כן"),AND(P197="כן",V197="כן")))</f>
        <v/>
      </c>
      <c r="AG197">
        <f>AND(AE197,OR(O197="כן",P197="כן"),NOT(OR(AND(O197="כן",U197="כן"),AND(P197="כן",V197="כן"))))</f>
        <v/>
      </c>
      <c r="AH197">
        <f>AND(AE197,OR(U197="כן",V197="כן"),NOT(OR(O197="כן",P197="כן")))</f>
        <v/>
      </c>
      <c r="AI197">
        <f>AND(X197="מושאל",AB197&lt;&gt;"",AB197&lt;TODAY())</f>
        <v/>
      </c>
    </row>
    <row r="198">
      <c r="E198">
        <f>IFERROR(INDEX('הגדרות'!$D$104:$D$123,MATCH(B198&amp;G198&amp;C198,'הגדרות'!$A$104:$A$123&amp;'הגדרות'!$B$104:$B$123&amp;'הגדרות'!$C$104:$C$123,0)),"")</f>
        <v/>
      </c>
      <c r="F198" s="6" t="n"/>
      <c r="Q198">
        <f>IFERROR(VLOOKUP(M198,'הגדרות'!$A$11:$D$25,2,FALSE),"")</f>
        <v/>
      </c>
      <c r="R198">
        <f>IFERROR(VLOOKUP(M198,'הגדרות'!$A$11:$D$25,3,FALSE),"")</f>
        <v/>
      </c>
      <c r="S198">
        <f>IFERROR(VLOOKUP(N198,'הגדרות'!$A$11:$D$25,2,FALSE),"")</f>
        <v/>
      </c>
      <c r="T198">
        <f>IFERROR(VLOOKUP(N198,'הגדרות'!$A$11:$D$25,3,FALSE),"")</f>
        <v/>
      </c>
      <c r="AB198" s="6" t="n"/>
      <c r="AE198">
        <f>OR(Q198='לוח בקרה'!$B$2,R198='לוח בקרה'!$B$2,S198='לוח בקרה'!$B$2,T198='לוח בקרה'!$B$2)</f>
        <v/>
      </c>
      <c r="AF198">
        <f>AND(AE198,OR(AND(O198="כן",U198="כן"),AND(P198="כן",V198="כן")))</f>
        <v/>
      </c>
      <c r="AG198">
        <f>AND(AE198,OR(O198="כן",P198="כן"),NOT(OR(AND(O198="כן",U198="כן"),AND(P198="כן",V198="כן"))))</f>
        <v/>
      </c>
      <c r="AH198">
        <f>AND(AE198,OR(U198="כן",V198="כן"),NOT(OR(O198="כן",P198="כן")))</f>
        <v/>
      </c>
      <c r="AI198">
        <f>AND(X198="מושאל",AB198&lt;&gt;"",AB198&lt;TODAY())</f>
        <v/>
      </c>
    </row>
    <row r="199">
      <c r="E199">
        <f>IFERROR(INDEX('הגדרות'!$D$104:$D$123,MATCH(B199&amp;G199&amp;C199,'הגדרות'!$A$104:$A$123&amp;'הגדרות'!$B$104:$B$123&amp;'הגדרות'!$C$104:$C$123,0)),"")</f>
        <v/>
      </c>
      <c r="F199" s="6" t="n"/>
      <c r="Q199">
        <f>IFERROR(VLOOKUP(M199,'הגדרות'!$A$11:$D$25,2,FALSE),"")</f>
        <v/>
      </c>
      <c r="R199">
        <f>IFERROR(VLOOKUP(M199,'הגדרות'!$A$11:$D$25,3,FALSE),"")</f>
        <v/>
      </c>
      <c r="S199">
        <f>IFERROR(VLOOKUP(N199,'הגדרות'!$A$11:$D$25,2,FALSE),"")</f>
        <v/>
      </c>
      <c r="T199">
        <f>IFERROR(VLOOKUP(N199,'הגדרות'!$A$11:$D$25,3,FALSE),"")</f>
        <v/>
      </c>
      <c r="AB199" s="6" t="n"/>
      <c r="AE199">
        <f>OR(Q199='לוח בקרה'!$B$2,R199='לוח בקרה'!$B$2,S199='לוח בקרה'!$B$2,T199='לוח בקרה'!$B$2)</f>
        <v/>
      </c>
      <c r="AF199">
        <f>AND(AE199,OR(AND(O199="כן",U199="כן"),AND(P199="כן",V199="כן")))</f>
        <v/>
      </c>
      <c r="AG199">
        <f>AND(AE199,OR(O199="כן",P199="כן"),NOT(OR(AND(O199="כן",U199="כן"),AND(P199="כן",V199="כן"))))</f>
        <v/>
      </c>
      <c r="AH199">
        <f>AND(AE199,OR(U199="כן",V199="כן"),NOT(OR(O199="כן",P199="כן")))</f>
        <v/>
      </c>
      <c r="AI199">
        <f>AND(X199="מושאל",AB199&lt;&gt;"",AB199&lt;TODAY())</f>
        <v/>
      </c>
    </row>
    <row r="200">
      <c r="E200">
        <f>IFERROR(INDEX('הגדרות'!$D$104:$D$123,MATCH(B200&amp;G200&amp;C200,'הגדרות'!$A$104:$A$123&amp;'הגדרות'!$B$104:$B$123&amp;'הגדרות'!$C$104:$C$123,0)),"")</f>
        <v/>
      </c>
      <c r="F200" s="6" t="n"/>
      <c r="Q200">
        <f>IFERROR(VLOOKUP(M200,'הגדרות'!$A$11:$D$25,2,FALSE),"")</f>
        <v/>
      </c>
      <c r="R200">
        <f>IFERROR(VLOOKUP(M200,'הגדרות'!$A$11:$D$25,3,FALSE),"")</f>
        <v/>
      </c>
      <c r="S200">
        <f>IFERROR(VLOOKUP(N200,'הגדרות'!$A$11:$D$25,2,FALSE),"")</f>
        <v/>
      </c>
      <c r="T200">
        <f>IFERROR(VLOOKUP(N200,'הגדרות'!$A$11:$D$25,3,FALSE),"")</f>
        <v/>
      </c>
      <c r="AB200" s="6" t="n"/>
      <c r="AE200">
        <f>OR(Q200='לוח בקרה'!$B$2,R200='לוח בקרה'!$B$2,S200='לוח בקרה'!$B$2,T200='לוח בקרה'!$B$2)</f>
        <v/>
      </c>
      <c r="AF200">
        <f>AND(AE200,OR(AND(O200="כן",U200="כן"),AND(P200="כן",V200="כן")))</f>
        <v/>
      </c>
      <c r="AG200">
        <f>AND(AE200,OR(O200="כן",P200="כן"),NOT(OR(AND(O200="כן",U200="כן"),AND(P200="כן",V200="כן"))))</f>
        <v/>
      </c>
      <c r="AH200">
        <f>AND(AE200,OR(U200="כן",V200="כן"),NOT(OR(O200="כן",P200="כן")))</f>
        <v/>
      </c>
      <c r="AI200">
        <f>AND(X200="מושאל",AB200&lt;&gt;"",AB200&lt;TODAY())</f>
        <v/>
      </c>
    </row>
    <row r="201">
      <c r="E201">
        <f>IFERROR(INDEX('הגדרות'!$D$104:$D$123,MATCH(B201&amp;G201&amp;C201,'הגדרות'!$A$104:$A$123&amp;'הגדרות'!$B$104:$B$123&amp;'הגדרות'!$C$104:$C$123,0)),"")</f>
        <v/>
      </c>
      <c r="F201" s="6" t="n"/>
      <c r="Q201">
        <f>IFERROR(VLOOKUP(M201,'הגדרות'!$A$11:$D$25,2,FALSE),"")</f>
        <v/>
      </c>
      <c r="R201">
        <f>IFERROR(VLOOKUP(M201,'הגדרות'!$A$11:$D$25,3,FALSE),"")</f>
        <v/>
      </c>
      <c r="S201">
        <f>IFERROR(VLOOKUP(N201,'הגדרות'!$A$11:$D$25,2,FALSE),"")</f>
        <v/>
      </c>
      <c r="T201">
        <f>IFERROR(VLOOKUP(N201,'הגדרות'!$A$11:$D$25,3,FALSE),"")</f>
        <v/>
      </c>
      <c r="AB201" s="6" t="n"/>
      <c r="AE201">
        <f>OR(Q201='לוח בקרה'!$B$2,R201='לוח בקרה'!$B$2,S201='לוח בקרה'!$B$2,T201='לוח בקרה'!$B$2)</f>
        <v/>
      </c>
      <c r="AF201">
        <f>AND(AE201,OR(AND(O201="כן",U201="כן"),AND(P201="כן",V201="כן")))</f>
        <v/>
      </c>
      <c r="AG201">
        <f>AND(AE201,OR(O201="כן",P201="כן"),NOT(OR(AND(O201="כן",U201="כן"),AND(P201="כן",V201="כן"))))</f>
        <v/>
      </c>
      <c r="AH201">
        <f>AND(AE201,OR(U201="כן",V201="כן"),NOT(OR(O201="כן",P201="כן")))</f>
        <v/>
      </c>
      <c r="AI201">
        <f>AND(X201="מושאל",AB201&lt;&gt;"",AB201&lt;TODAY())</f>
        <v/>
      </c>
    </row>
    <row r="202">
      <c r="E202">
        <f>IFERROR(INDEX('הגדרות'!$D$104:$D$123,MATCH(B202&amp;G202&amp;C202,'הגדרות'!$A$104:$A$123&amp;'הגדרות'!$B$104:$B$123&amp;'הגדרות'!$C$104:$C$123,0)),"")</f>
        <v/>
      </c>
      <c r="F202" s="6" t="n"/>
      <c r="Q202">
        <f>IFERROR(VLOOKUP(M202,'הגדרות'!$A$11:$D$25,2,FALSE),"")</f>
        <v/>
      </c>
      <c r="R202">
        <f>IFERROR(VLOOKUP(M202,'הגדרות'!$A$11:$D$25,3,FALSE),"")</f>
        <v/>
      </c>
      <c r="S202">
        <f>IFERROR(VLOOKUP(N202,'הגדרות'!$A$11:$D$25,2,FALSE),"")</f>
        <v/>
      </c>
      <c r="T202">
        <f>IFERROR(VLOOKUP(N202,'הגדרות'!$A$11:$D$25,3,FALSE),"")</f>
        <v/>
      </c>
      <c r="AB202" s="6" t="n"/>
      <c r="AE202">
        <f>OR(Q202='לוח בקרה'!$B$2,R202='לוח בקרה'!$B$2,S202='לוח בקרה'!$B$2,T202='לוח בקרה'!$B$2)</f>
        <v/>
      </c>
      <c r="AF202">
        <f>AND(AE202,OR(AND(O202="כן",U202="כן"),AND(P202="כן",V202="כן")))</f>
        <v/>
      </c>
      <c r="AG202">
        <f>AND(AE202,OR(O202="כן",P202="כן"),NOT(OR(AND(O202="כן",U202="כן"),AND(P202="כן",V202="כן"))))</f>
        <v/>
      </c>
      <c r="AH202">
        <f>AND(AE202,OR(U202="כן",V202="כן"),NOT(OR(O202="כן",P202="כן")))</f>
        <v/>
      </c>
      <c r="AI202">
        <f>AND(X202="מושאל",AB202&lt;&gt;"",AB202&lt;TODAY())</f>
        <v/>
      </c>
    </row>
    <row r="203">
      <c r="E203">
        <f>IFERROR(INDEX('הגדרות'!$D$104:$D$123,MATCH(B203&amp;G203&amp;C203,'הגדרות'!$A$104:$A$123&amp;'הגדרות'!$B$104:$B$123&amp;'הגדרות'!$C$104:$C$123,0)),"")</f>
        <v/>
      </c>
      <c r="F203" s="6" t="n"/>
      <c r="Q203">
        <f>IFERROR(VLOOKUP(M203,'הגדרות'!$A$11:$D$25,2,FALSE),"")</f>
        <v/>
      </c>
      <c r="R203">
        <f>IFERROR(VLOOKUP(M203,'הגדרות'!$A$11:$D$25,3,FALSE),"")</f>
        <v/>
      </c>
      <c r="S203">
        <f>IFERROR(VLOOKUP(N203,'הגדרות'!$A$11:$D$25,2,FALSE),"")</f>
        <v/>
      </c>
      <c r="T203">
        <f>IFERROR(VLOOKUP(N203,'הגדרות'!$A$11:$D$25,3,FALSE),"")</f>
        <v/>
      </c>
      <c r="AB203" s="6" t="n"/>
      <c r="AE203">
        <f>OR(Q203='לוח בקרה'!$B$2,R203='לוח בקרה'!$B$2,S203='לוח בקרה'!$B$2,T203='לוח בקרה'!$B$2)</f>
        <v/>
      </c>
      <c r="AF203">
        <f>AND(AE203,OR(AND(O203="כן",U203="כן"),AND(P203="כן",V203="כן")))</f>
        <v/>
      </c>
      <c r="AG203">
        <f>AND(AE203,OR(O203="כן",P203="כן"),NOT(OR(AND(O203="כן",U203="כן"),AND(P203="כן",V203="כן"))))</f>
        <v/>
      </c>
      <c r="AH203">
        <f>AND(AE203,OR(U203="כן",V203="כן"),NOT(OR(O203="כן",P203="כן")))</f>
        <v/>
      </c>
      <c r="AI203">
        <f>AND(X203="מושאל",AB203&lt;&gt;"",AB203&lt;TODAY())</f>
        <v/>
      </c>
    </row>
    <row r="204">
      <c r="E204">
        <f>IFERROR(INDEX('הגדרות'!$D$104:$D$123,MATCH(B204&amp;G204&amp;C204,'הגדרות'!$A$104:$A$123&amp;'הגדרות'!$B$104:$B$123&amp;'הגדרות'!$C$104:$C$123,0)),"")</f>
        <v/>
      </c>
      <c r="F204" s="6" t="n"/>
      <c r="Q204">
        <f>IFERROR(VLOOKUP(M204,'הגדרות'!$A$11:$D$25,2,FALSE),"")</f>
        <v/>
      </c>
      <c r="R204">
        <f>IFERROR(VLOOKUP(M204,'הגדרות'!$A$11:$D$25,3,FALSE),"")</f>
        <v/>
      </c>
      <c r="S204">
        <f>IFERROR(VLOOKUP(N204,'הגדרות'!$A$11:$D$25,2,FALSE),"")</f>
        <v/>
      </c>
      <c r="T204">
        <f>IFERROR(VLOOKUP(N204,'הגדרות'!$A$11:$D$25,3,FALSE),"")</f>
        <v/>
      </c>
      <c r="AB204" s="6" t="n"/>
      <c r="AE204">
        <f>OR(Q204='לוח בקרה'!$B$2,R204='לוח בקרה'!$B$2,S204='לוח בקרה'!$B$2,T204='לוח בקרה'!$B$2)</f>
        <v/>
      </c>
      <c r="AF204">
        <f>AND(AE204,OR(AND(O204="כן",U204="כן"),AND(P204="כן",V204="כן")))</f>
        <v/>
      </c>
      <c r="AG204">
        <f>AND(AE204,OR(O204="כן",P204="כן"),NOT(OR(AND(O204="כן",U204="כן"),AND(P204="כן",V204="כן"))))</f>
        <v/>
      </c>
      <c r="AH204">
        <f>AND(AE204,OR(U204="כן",V204="כן"),NOT(OR(O204="כן",P204="כן")))</f>
        <v/>
      </c>
      <c r="AI204">
        <f>AND(X204="מושאל",AB204&lt;&gt;"",AB204&lt;TODAY())</f>
        <v/>
      </c>
    </row>
    <row r="205">
      <c r="E205">
        <f>IFERROR(INDEX('הגדרות'!$D$104:$D$123,MATCH(B205&amp;G205&amp;C205,'הגדרות'!$A$104:$A$123&amp;'הגדרות'!$B$104:$B$123&amp;'הגדרות'!$C$104:$C$123,0)),"")</f>
        <v/>
      </c>
      <c r="F205" s="6" t="n"/>
      <c r="Q205">
        <f>IFERROR(VLOOKUP(M205,'הגדרות'!$A$11:$D$25,2,FALSE),"")</f>
        <v/>
      </c>
      <c r="R205">
        <f>IFERROR(VLOOKUP(M205,'הגדרות'!$A$11:$D$25,3,FALSE),"")</f>
        <v/>
      </c>
      <c r="S205">
        <f>IFERROR(VLOOKUP(N205,'הגדרות'!$A$11:$D$25,2,FALSE),"")</f>
        <v/>
      </c>
      <c r="T205">
        <f>IFERROR(VLOOKUP(N205,'הגדרות'!$A$11:$D$25,3,FALSE),"")</f>
        <v/>
      </c>
      <c r="AB205" s="6" t="n"/>
      <c r="AE205">
        <f>OR(Q205='לוח בקרה'!$B$2,R205='לוח בקרה'!$B$2,S205='לוח בקרה'!$B$2,T205='לוח בקרה'!$B$2)</f>
        <v/>
      </c>
      <c r="AF205">
        <f>AND(AE205,OR(AND(O205="כן",U205="כן"),AND(P205="כן",V205="כן")))</f>
        <v/>
      </c>
      <c r="AG205">
        <f>AND(AE205,OR(O205="כן",P205="כן"),NOT(OR(AND(O205="כן",U205="כן"),AND(P205="כן",V205="כן"))))</f>
        <v/>
      </c>
      <c r="AH205">
        <f>AND(AE205,OR(U205="כן",V205="כן"),NOT(OR(O205="כן",P205="כן")))</f>
        <v/>
      </c>
      <c r="AI205">
        <f>AND(X205="מושאל",AB205&lt;&gt;"",AB205&lt;TODAY())</f>
        <v/>
      </c>
    </row>
    <row r="206">
      <c r="E206">
        <f>IFERROR(INDEX('הגדרות'!$D$104:$D$123,MATCH(B206&amp;G206&amp;C206,'הגדרות'!$A$104:$A$123&amp;'הגדרות'!$B$104:$B$123&amp;'הגדרות'!$C$104:$C$123,0)),"")</f>
        <v/>
      </c>
      <c r="F206" s="6" t="n"/>
      <c r="Q206">
        <f>IFERROR(VLOOKUP(M206,'הגדרות'!$A$11:$D$25,2,FALSE),"")</f>
        <v/>
      </c>
      <c r="R206">
        <f>IFERROR(VLOOKUP(M206,'הגדרות'!$A$11:$D$25,3,FALSE),"")</f>
        <v/>
      </c>
      <c r="S206">
        <f>IFERROR(VLOOKUP(N206,'הגדרות'!$A$11:$D$25,2,FALSE),"")</f>
        <v/>
      </c>
      <c r="T206">
        <f>IFERROR(VLOOKUP(N206,'הגדרות'!$A$11:$D$25,3,FALSE),"")</f>
        <v/>
      </c>
      <c r="AB206" s="6" t="n"/>
      <c r="AE206">
        <f>OR(Q206='לוח בקרה'!$B$2,R206='לוח בקרה'!$B$2,S206='לוח בקרה'!$B$2,T206='לוח בקרה'!$B$2)</f>
        <v/>
      </c>
      <c r="AF206">
        <f>AND(AE206,OR(AND(O206="כן",U206="כן"),AND(P206="כן",V206="כן")))</f>
        <v/>
      </c>
      <c r="AG206">
        <f>AND(AE206,OR(O206="כן",P206="כן"),NOT(OR(AND(O206="כן",U206="כן"),AND(P206="כן",V206="כן"))))</f>
        <v/>
      </c>
      <c r="AH206">
        <f>AND(AE206,OR(U206="כן",V206="כן"),NOT(OR(O206="כן",P206="כן")))</f>
        <v/>
      </c>
      <c r="AI206">
        <f>AND(X206="מושאל",AB206&lt;&gt;"",AB206&lt;TODAY())</f>
        <v/>
      </c>
    </row>
    <row r="207">
      <c r="E207">
        <f>IFERROR(INDEX('הגדרות'!$D$104:$D$123,MATCH(B207&amp;G207&amp;C207,'הגדרות'!$A$104:$A$123&amp;'הגדרות'!$B$104:$B$123&amp;'הגדרות'!$C$104:$C$123,0)),"")</f>
        <v/>
      </c>
      <c r="F207" s="6" t="n"/>
      <c r="Q207">
        <f>IFERROR(VLOOKUP(M207,'הגדרות'!$A$11:$D$25,2,FALSE),"")</f>
        <v/>
      </c>
      <c r="R207">
        <f>IFERROR(VLOOKUP(M207,'הגדרות'!$A$11:$D$25,3,FALSE),"")</f>
        <v/>
      </c>
      <c r="S207">
        <f>IFERROR(VLOOKUP(N207,'הגדרות'!$A$11:$D$25,2,FALSE),"")</f>
        <v/>
      </c>
      <c r="T207">
        <f>IFERROR(VLOOKUP(N207,'הגדרות'!$A$11:$D$25,3,FALSE),"")</f>
        <v/>
      </c>
      <c r="AB207" s="6" t="n"/>
      <c r="AE207">
        <f>OR(Q207='לוח בקרה'!$B$2,R207='לוח בקרה'!$B$2,S207='לוח בקרה'!$B$2,T207='לוח בקרה'!$B$2)</f>
        <v/>
      </c>
      <c r="AF207">
        <f>AND(AE207,OR(AND(O207="כן",U207="כן"),AND(P207="כן",V207="כן")))</f>
        <v/>
      </c>
      <c r="AG207">
        <f>AND(AE207,OR(O207="כן",P207="כן"),NOT(OR(AND(O207="כן",U207="כן"),AND(P207="כן",V207="כן"))))</f>
        <v/>
      </c>
      <c r="AH207">
        <f>AND(AE207,OR(U207="כן",V207="כן"),NOT(OR(O207="כן",P207="כן")))</f>
        <v/>
      </c>
      <c r="AI207">
        <f>AND(X207="מושאל",AB207&lt;&gt;"",AB207&lt;TODAY())</f>
        <v/>
      </c>
    </row>
    <row r="208">
      <c r="E208">
        <f>IFERROR(INDEX('הגדרות'!$D$104:$D$123,MATCH(B208&amp;G208&amp;C208,'הגדרות'!$A$104:$A$123&amp;'הגדרות'!$B$104:$B$123&amp;'הגדרות'!$C$104:$C$123,0)),"")</f>
        <v/>
      </c>
      <c r="F208" s="6" t="n"/>
      <c r="Q208">
        <f>IFERROR(VLOOKUP(M208,'הגדרות'!$A$11:$D$25,2,FALSE),"")</f>
        <v/>
      </c>
      <c r="R208">
        <f>IFERROR(VLOOKUP(M208,'הגדרות'!$A$11:$D$25,3,FALSE),"")</f>
        <v/>
      </c>
      <c r="S208">
        <f>IFERROR(VLOOKUP(N208,'הגדרות'!$A$11:$D$25,2,FALSE),"")</f>
        <v/>
      </c>
      <c r="T208">
        <f>IFERROR(VLOOKUP(N208,'הגדרות'!$A$11:$D$25,3,FALSE),"")</f>
        <v/>
      </c>
      <c r="AB208" s="6" t="n"/>
      <c r="AE208">
        <f>OR(Q208='לוח בקרה'!$B$2,R208='לוח בקרה'!$B$2,S208='לוח בקרה'!$B$2,T208='לוח בקרה'!$B$2)</f>
        <v/>
      </c>
      <c r="AF208">
        <f>AND(AE208,OR(AND(O208="כן",U208="כן"),AND(P208="כן",V208="כן")))</f>
        <v/>
      </c>
      <c r="AG208">
        <f>AND(AE208,OR(O208="כן",P208="כן"),NOT(OR(AND(O208="כן",U208="כן"),AND(P208="כן",V208="כן"))))</f>
        <v/>
      </c>
      <c r="AH208">
        <f>AND(AE208,OR(U208="כן",V208="כן"),NOT(OR(O208="כן",P208="כן")))</f>
        <v/>
      </c>
      <c r="AI208">
        <f>AND(X208="מושאל",AB208&lt;&gt;"",AB208&lt;TODAY())</f>
        <v/>
      </c>
    </row>
    <row r="209">
      <c r="E209">
        <f>IFERROR(INDEX('הגדרות'!$D$104:$D$123,MATCH(B209&amp;G209&amp;C209,'הגדרות'!$A$104:$A$123&amp;'הגדרות'!$B$104:$B$123&amp;'הגדרות'!$C$104:$C$123,0)),"")</f>
        <v/>
      </c>
      <c r="F209" s="6" t="n"/>
      <c r="Q209">
        <f>IFERROR(VLOOKUP(M209,'הגדרות'!$A$11:$D$25,2,FALSE),"")</f>
        <v/>
      </c>
      <c r="R209">
        <f>IFERROR(VLOOKUP(M209,'הגדרות'!$A$11:$D$25,3,FALSE),"")</f>
        <v/>
      </c>
      <c r="S209">
        <f>IFERROR(VLOOKUP(N209,'הגדרות'!$A$11:$D$25,2,FALSE),"")</f>
        <v/>
      </c>
      <c r="T209">
        <f>IFERROR(VLOOKUP(N209,'הגדרות'!$A$11:$D$25,3,FALSE),"")</f>
        <v/>
      </c>
      <c r="AB209" s="6" t="n"/>
      <c r="AE209">
        <f>OR(Q209='לוח בקרה'!$B$2,R209='לוח בקרה'!$B$2,S209='לוח בקרה'!$B$2,T209='לוח בקרה'!$B$2)</f>
        <v/>
      </c>
      <c r="AF209">
        <f>AND(AE209,OR(AND(O209="כן",U209="כן"),AND(P209="כן",V209="כן")))</f>
        <v/>
      </c>
      <c r="AG209">
        <f>AND(AE209,OR(O209="כן",P209="כן"),NOT(OR(AND(O209="כן",U209="כן"),AND(P209="כן",V209="כן"))))</f>
        <v/>
      </c>
      <c r="AH209">
        <f>AND(AE209,OR(U209="כן",V209="כן"),NOT(OR(O209="כן",P209="כן")))</f>
        <v/>
      </c>
      <c r="AI209">
        <f>AND(X209="מושאל",AB209&lt;&gt;"",AB209&lt;TODAY())</f>
        <v/>
      </c>
    </row>
    <row r="210">
      <c r="E210">
        <f>IFERROR(INDEX('הגדרות'!$D$104:$D$123,MATCH(B210&amp;G210&amp;C210,'הגדרות'!$A$104:$A$123&amp;'הגדרות'!$B$104:$B$123&amp;'הגדרות'!$C$104:$C$123,0)),"")</f>
        <v/>
      </c>
      <c r="F210" s="6" t="n"/>
      <c r="Q210">
        <f>IFERROR(VLOOKUP(M210,'הגדרות'!$A$11:$D$25,2,FALSE),"")</f>
        <v/>
      </c>
      <c r="R210">
        <f>IFERROR(VLOOKUP(M210,'הגדרות'!$A$11:$D$25,3,FALSE),"")</f>
        <v/>
      </c>
      <c r="S210">
        <f>IFERROR(VLOOKUP(N210,'הגדרות'!$A$11:$D$25,2,FALSE),"")</f>
        <v/>
      </c>
      <c r="T210">
        <f>IFERROR(VLOOKUP(N210,'הגדרות'!$A$11:$D$25,3,FALSE),"")</f>
        <v/>
      </c>
      <c r="AB210" s="6" t="n"/>
      <c r="AE210">
        <f>OR(Q210='לוח בקרה'!$B$2,R210='לוח בקרה'!$B$2,S210='לוח בקרה'!$B$2,T210='לוח בקרה'!$B$2)</f>
        <v/>
      </c>
      <c r="AF210">
        <f>AND(AE210,OR(AND(O210="כן",U210="כן"),AND(P210="כן",V210="כן")))</f>
        <v/>
      </c>
      <c r="AG210">
        <f>AND(AE210,OR(O210="כן",P210="כן"),NOT(OR(AND(O210="כן",U210="כן"),AND(P210="כן",V210="כן"))))</f>
        <v/>
      </c>
      <c r="AH210">
        <f>AND(AE210,OR(U210="כן",V210="כן"),NOT(OR(O210="כן",P210="כן")))</f>
        <v/>
      </c>
      <c r="AI210">
        <f>AND(X210="מושאל",AB210&lt;&gt;"",AB210&lt;TODAY())</f>
        <v/>
      </c>
    </row>
    <row r="211">
      <c r="E211">
        <f>IFERROR(INDEX('הגדרות'!$D$104:$D$123,MATCH(B211&amp;G211&amp;C211,'הגדרות'!$A$104:$A$123&amp;'הגדרות'!$B$104:$B$123&amp;'הגדרות'!$C$104:$C$123,0)),"")</f>
        <v/>
      </c>
      <c r="F211" s="6" t="n"/>
      <c r="Q211">
        <f>IFERROR(VLOOKUP(M211,'הגדרות'!$A$11:$D$25,2,FALSE),"")</f>
        <v/>
      </c>
      <c r="R211">
        <f>IFERROR(VLOOKUP(M211,'הגדרות'!$A$11:$D$25,3,FALSE),"")</f>
        <v/>
      </c>
      <c r="S211">
        <f>IFERROR(VLOOKUP(N211,'הגדרות'!$A$11:$D$25,2,FALSE),"")</f>
        <v/>
      </c>
      <c r="T211">
        <f>IFERROR(VLOOKUP(N211,'הגדרות'!$A$11:$D$25,3,FALSE),"")</f>
        <v/>
      </c>
      <c r="AB211" s="6" t="n"/>
      <c r="AE211">
        <f>OR(Q211='לוח בקרה'!$B$2,R211='לוח בקרה'!$B$2,S211='לוח בקרה'!$B$2,T211='לוח בקרה'!$B$2)</f>
        <v/>
      </c>
      <c r="AF211">
        <f>AND(AE211,OR(AND(O211="כן",U211="כן"),AND(P211="כן",V211="כן")))</f>
        <v/>
      </c>
      <c r="AG211">
        <f>AND(AE211,OR(O211="כן",P211="כן"),NOT(OR(AND(O211="כן",U211="כן"),AND(P211="כן",V211="כן"))))</f>
        <v/>
      </c>
      <c r="AH211">
        <f>AND(AE211,OR(U211="כן",V211="כן"),NOT(OR(O211="כן",P211="כן")))</f>
        <v/>
      </c>
      <c r="AI211">
        <f>AND(X211="מושאל",AB211&lt;&gt;"",AB211&lt;TODAY())</f>
        <v/>
      </c>
    </row>
    <row r="212">
      <c r="E212">
        <f>IFERROR(INDEX('הגדרות'!$D$104:$D$123,MATCH(B212&amp;G212&amp;C212,'הגדרות'!$A$104:$A$123&amp;'הגדרות'!$B$104:$B$123&amp;'הגדרות'!$C$104:$C$123,0)),"")</f>
        <v/>
      </c>
      <c r="F212" s="6" t="n"/>
      <c r="Q212">
        <f>IFERROR(VLOOKUP(M212,'הגדרות'!$A$11:$D$25,2,FALSE),"")</f>
        <v/>
      </c>
      <c r="R212">
        <f>IFERROR(VLOOKUP(M212,'הגדרות'!$A$11:$D$25,3,FALSE),"")</f>
        <v/>
      </c>
      <c r="S212">
        <f>IFERROR(VLOOKUP(N212,'הגדרות'!$A$11:$D$25,2,FALSE),"")</f>
        <v/>
      </c>
      <c r="T212">
        <f>IFERROR(VLOOKUP(N212,'הגדרות'!$A$11:$D$25,3,FALSE),"")</f>
        <v/>
      </c>
      <c r="AB212" s="6" t="n"/>
      <c r="AE212">
        <f>OR(Q212='לוח בקרה'!$B$2,R212='לוח בקרה'!$B$2,S212='לוח בקרה'!$B$2,T212='לוח בקרה'!$B$2)</f>
        <v/>
      </c>
      <c r="AF212">
        <f>AND(AE212,OR(AND(O212="כן",U212="כן"),AND(P212="כן",V212="כן")))</f>
        <v/>
      </c>
      <c r="AG212">
        <f>AND(AE212,OR(O212="כן",P212="כן"),NOT(OR(AND(O212="כן",U212="כן"),AND(P212="כן",V212="כן"))))</f>
        <v/>
      </c>
      <c r="AH212">
        <f>AND(AE212,OR(U212="כן",V212="כן"),NOT(OR(O212="כן",P212="כן")))</f>
        <v/>
      </c>
      <c r="AI212">
        <f>AND(X212="מושאל",AB212&lt;&gt;"",AB212&lt;TODAY())</f>
        <v/>
      </c>
    </row>
    <row r="213">
      <c r="E213">
        <f>IFERROR(INDEX('הגדרות'!$D$104:$D$123,MATCH(B213&amp;G213&amp;C213,'הגדרות'!$A$104:$A$123&amp;'הגדרות'!$B$104:$B$123&amp;'הגדרות'!$C$104:$C$123,0)),"")</f>
        <v/>
      </c>
      <c r="F213" s="6" t="n"/>
      <c r="Q213">
        <f>IFERROR(VLOOKUP(M213,'הגדרות'!$A$11:$D$25,2,FALSE),"")</f>
        <v/>
      </c>
      <c r="R213">
        <f>IFERROR(VLOOKUP(M213,'הגדרות'!$A$11:$D$25,3,FALSE),"")</f>
        <v/>
      </c>
      <c r="S213">
        <f>IFERROR(VLOOKUP(N213,'הגדרות'!$A$11:$D$25,2,FALSE),"")</f>
        <v/>
      </c>
      <c r="T213">
        <f>IFERROR(VLOOKUP(N213,'הגדרות'!$A$11:$D$25,3,FALSE),"")</f>
        <v/>
      </c>
      <c r="AB213" s="6" t="n"/>
      <c r="AE213">
        <f>OR(Q213='לוח בקרה'!$B$2,R213='לוח בקרה'!$B$2,S213='לוח בקרה'!$B$2,T213='לוח בקרה'!$B$2)</f>
        <v/>
      </c>
      <c r="AF213">
        <f>AND(AE213,OR(AND(O213="כן",U213="כן"),AND(P213="כן",V213="כן")))</f>
        <v/>
      </c>
      <c r="AG213">
        <f>AND(AE213,OR(O213="כן",P213="כן"),NOT(OR(AND(O213="כן",U213="כן"),AND(P213="כן",V213="כן"))))</f>
        <v/>
      </c>
      <c r="AH213">
        <f>AND(AE213,OR(U213="כן",V213="כן"),NOT(OR(O213="כן",P213="כן")))</f>
        <v/>
      </c>
      <c r="AI213">
        <f>AND(X213="מושאל",AB213&lt;&gt;"",AB213&lt;TODAY())</f>
        <v/>
      </c>
    </row>
    <row r="214">
      <c r="E214">
        <f>IFERROR(INDEX('הגדרות'!$D$104:$D$123,MATCH(B214&amp;G214&amp;C214,'הגדרות'!$A$104:$A$123&amp;'הגדרות'!$B$104:$B$123&amp;'הגדרות'!$C$104:$C$123,0)),"")</f>
        <v/>
      </c>
      <c r="F214" s="6" t="n"/>
      <c r="Q214">
        <f>IFERROR(VLOOKUP(M214,'הגדרות'!$A$11:$D$25,2,FALSE),"")</f>
        <v/>
      </c>
      <c r="R214">
        <f>IFERROR(VLOOKUP(M214,'הגדרות'!$A$11:$D$25,3,FALSE),"")</f>
        <v/>
      </c>
      <c r="S214">
        <f>IFERROR(VLOOKUP(N214,'הגדרות'!$A$11:$D$25,2,FALSE),"")</f>
        <v/>
      </c>
      <c r="T214">
        <f>IFERROR(VLOOKUP(N214,'הגדרות'!$A$11:$D$25,3,FALSE),"")</f>
        <v/>
      </c>
      <c r="AB214" s="6" t="n"/>
      <c r="AE214">
        <f>OR(Q214='לוח בקרה'!$B$2,R214='לוח בקרה'!$B$2,S214='לוח בקרה'!$B$2,T214='לוח בקרה'!$B$2)</f>
        <v/>
      </c>
      <c r="AF214">
        <f>AND(AE214,OR(AND(O214="כן",U214="כן"),AND(P214="כן",V214="כן")))</f>
        <v/>
      </c>
      <c r="AG214">
        <f>AND(AE214,OR(O214="כן",P214="כן"),NOT(OR(AND(O214="כן",U214="כן"),AND(P214="כן",V214="כן"))))</f>
        <v/>
      </c>
      <c r="AH214">
        <f>AND(AE214,OR(U214="כן",V214="כן"),NOT(OR(O214="כן",P214="כן")))</f>
        <v/>
      </c>
      <c r="AI214">
        <f>AND(X214="מושאל",AB214&lt;&gt;"",AB214&lt;TODAY())</f>
        <v/>
      </c>
    </row>
    <row r="215">
      <c r="E215">
        <f>IFERROR(INDEX('הגדרות'!$D$104:$D$123,MATCH(B215&amp;G215&amp;C215,'הגדרות'!$A$104:$A$123&amp;'הגדרות'!$B$104:$B$123&amp;'הגדרות'!$C$104:$C$123,0)),"")</f>
        <v/>
      </c>
      <c r="F215" s="6" t="n"/>
      <c r="Q215">
        <f>IFERROR(VLOOKUP(M215,'הגדרות'!$A$11:$D$25,2,FALSE),"")</f>
        <v/>
      </c>
      <c r="R215">
        <f>IFERROR(VLOOKUP(M215,'הגדרות'!$A$11:$D$25,3,FALSE),"")</f>
        <v/>
      </c>
      <c r="S215">
        <f>IFERROR(VLOOKUP(N215,'הגדרות'!$A$11:$D$25,2,FALSE),"")</f>
        <v/>
      </c>
      <c r="T215">
        <f>IFERROR(VLOOKUP(N215,'הגדרות'!$A$11:$D$25,3,FALSE),"")</f>
        <v/>
      </c>
      <c r="AB215" s="6" t="n"/>
      <c r="AE215">
        <f>OR(Q215='לוח בקרה'!$B$2,R215='לוח בקרה'!$B$2,S215='לוח בקרה'!$B$2,T215='לוח בקרה'!$B$2)</f>
        <v/>
      </c>
      <c r="AF215">
        <f>AND(AE215,OR(AND(O215="כן",U215="כן"),AND(P215="כן",V215="כן")))</f>
        <v/>
      </c>
      <c r="AG215">
        <f>AND(AE215,OR(O215="כן",P215="כן"),NOT(OR(AND(O215="כן",U215="כן"),AND(P215="כן",V215="כן"))))</f>
        <v/>
      </c>
      <c r="AH215">
        <f>AND(AE215,OR(U215="כן",V215="כן"),NOT(OR(O215="כן",P215="כן")))</f>
        <v/>
      </c>
      <c r="AI215">
        <f>AND(X215="מושאל",AB215&lt;&gt;"",AB215&lt;TODAY())</f>
        <v/>
      </c>
    </row>
    <row r="216">
      <c r="E216">
        <f>IFERROR(INDEX('הגדרות'!$D$104:$D$123,MATCH(B216&amp;G216&amp;C216,'הגדרות'!$A$104:$A$123&amp;'הגדרות'!$B$104:$B$123&amp;'הגדרות'!$C$104:$C$123,0)),"")</f>
        <v/>
      </c>
      <c r="F216" s="6" t="n"/>
      <c r="Q216">
        <f>IFERROR(VLOOKUP(M216,'הגדרות'!$A$11:$D$25,2,FALSE),"")</f>
        <v/>
      </c>
      <c r="R216">
        <f>IFERROR(VLOOKUP(M216,'הגדרות'!$A$11:$D$25,3,FALSE),"")</f>
        <v/>
      </c>
      <c r="S216">
        <f>IFERROR(VLOOKUP(N216,'הגדרות'!$A$11:$D$25,2,FALSE),"")</f>
        <v/>
      </c>
      <c r="T216">
        <f>IFERROR(VLOOKUP(N216,'הגדרות'!$A$11:$D$25,3,FALSE),"")</f>
        <v/>
      </c>
      <c r="AB216" s="6" t="n"/>
      <c r="AE216">
        <f>OR(Q216='לוח בקרה'!$B$2,R216='לוח בקרה'!$B$2,S216='לוח בקרה'!$B$2,T216='לוח בקרה'!$B$2)</f>
        <v/>
      </c>
      <c r="AF216">
        <f>AND(AE216,OR(AND(O216="כן",U216="כן"),AND(P216="כן",V216="כן")))</f>
        <v/>
      </c>
      <c r="AG216">
        <f>AND(AE216,OR(O216="כן",P216="כן"),NOT(OR(AND(O216="כן",U216="כן"),AND(P216="כן",V216="כן"))))</f>
        <v/>
      </c>
      <c r="AH216">
        <f>AND(AE216,OR(U216="כן",V216="כן"),NOT(OR(O216="כן",P216="כן")))</f>
        <v/>
      </c>
      <c r="AI216">
        <f>AND(X216="מושאל",AB216&lt;&gt;"",AB216&lt;TODAY())</f>
        <v/>
      </c>
    </row>
    <row r="217">
      <c r="E217">
        <f>IFERROR(INDEX('הגדרות'!$D$104:$D$123,MATCH(B217&amp;G217&amp;C217,'הגדרות'!$A$104:$A$123&amp;'הגדרות'!$B$104:$B$123&amp;'הגדרות'!$C$104:$C$123,0)),"")</f>
        <v/>
      </c>
      <c r="F217" s="6" t="n"/>
      <c r="Q217">
        <f>IFERROR(VLOOKUP(M217,'הגדרות'!$A$11:$D$25,2,FALSE),"")</f>
        <v/>
      </c>
      <c r="R217">
        <f>IFERROR(VLOOKUP(M217,'הגדרות'!$A$11:$D$25,3,FALSE),"")</f>
        <v/>
      </c>
      <c r="S217">
        <f>IFERROR(VLOOKUP(N217,'הגדרות'!$A$11:$D$25,2,FALSE),"")</f>
        <v/>
      </c>
      <c r="T217">
        <f>IFERROR(VLOOKUP(N217,'הגדרות'!$A$11:$D$25,3,FALSE),"")</f>
        <v/>
      </c>
      <c r="AB217" s="6" t="n"/>
      <c r="AE217">
        <f>OR(Q217='לוח בקרה'!$B$2,R217='לוח בקרה'!$B$2,S217='לוח בקרה'!$B$2,T217='לוח בקרה'!$B$2)</f>
        <v/>
      </c>
      <c r="AF217">
        <f>AND(AE217,OR(AND(O217="כן",U217="כן"),AND(P217="כן",V217="כן")))</f>
        <v/>
      </c>
      <c r="AG217">
        <f>AND(AE217,OR(O217="כן",P217="כן"),NOT(OR(AND(O217="כן",U217="כן"),AND(P217="כן",V217="כן"))))</f>
        <v/>
      </c>
      <c r="AH217">
        <f>AND(AE217,OR(U217="כן",V217="כן"),NOT(OR(O217="כן",P217="כן")))</f>
        <v/>
      </c>
      <c r="AI217">
        <f>AND(X217="מושאל",AB217&lt;&gt;"",AB217&lt;TODAY())</f>
        <v/>
      </c>
    </row>
    <row r="218">
      <c r="E218">
        <f>IFERROR(INDEX('הגדרות'!$D$104:$D$123,MATCH(B218&amp;G218&amp;C218,'הגדרות'!$A$104:$A$123&amp;'הגדרות'!$B$104:$B$123&amp;'הגדרות'!$C$104:$C$123,0)),"")</f>
        <v/>
      </c>
      <c r="F218" s="6" t="n"/>
      <c r="Q218">
        <f>IFERROR(VLOOKUP(M218,'הגדרות'!$A$11:$D$25,2,FALSE),"")</f>
        <v/>
      </c>
      <c r="R218">
        <f>IFERROR(VLOOKUP(M218,'הגדרות'!$A$11:$D$25,3,FALSE),"")</f>
        <v/>
      </c>
      <c r="S218">
        <f>IFERROR(VLOOKUP(N218,'הגדרות'!$A$11:$D$25,2,FALSE),"")</f>
        <v/>
      </c>
      <c r="T218">
        <f>IFERROR(VLOOKUP(N218,'הגדרות'!$A$11:$D$25,3,FALSE),"")</f>
        <v/>
      </c>
      <c r="AB218" s="6" t="n"/>
      <c r="AE218">
        <f>OR(Q218='לוח בקרה'!$B$2,R218='לוח בקרה'!$B$2,S218='לוח בקרה'!$B$2,T218='לוח בקרה'!$B$2)</f>
        <v/>
      </c>
      <c r="AF218">
        <f>AND(AE218,OR(AND(O218="כן",U218="כן"),AND(P218="כן",V218="כן")))</f>
        <v/>
      </c>
      <c r="AG218">
        <f>AND(AE218,OR(O218="כן",P218="כן"),NOT(OR(AND(O218="כן",U218="כן"),AND(P218="כן",V218="כן"))))</f>
        <v/>
      </c>
      <c r="AH218">
        <f>AND(AE218,OR(U218="כן",V218="כן"),NOT(OR(O218="כן",P218="כן")))</f>
        <v/>
      </c>
      <c r="AI218">
        <f>AND(X218="מושאל",AB218&lt;&gt;"",AB218&lt;TODAY())</f>
        <v/>
      </c>
    </row>
    <row r="219">
      <c r="E219">
        <f>IFERROR(INDEX('הגדרות'!$D$104:$D$123,MATCH(B219&amp;G219&amp;C219,'הגדרות'!$A$104:$A$123&amp;'הגדרות'!$B$104:$B$123&amp;'הגדרות'!$C$104:$C$123,0)),"")</f>
        <v/>
      </c>
      <c r="F219" s="6" t="n"/>
      <c r="Q219">
        <f>IFERROR(VLOOKUP(M219,'הגדרות'!$A$11:$D$25,2,FALSE),"")</f>
        <v/>
      </c>
      <c r="R219">
        <f>IFERROR(VLOOKUP(M219,'הגדרות'!$A$11:$D$25,3,FALSE),"")</f>
        <v/>
      </c>
      <c r="S219">
        <f>IFERROR(VLOOKUP(N219,'הגדרות'!$A$11:$D$25,2,FALSE),"")</f>
        <v/>
      </c>
      <c r="T219">
        <f>IFERROR(VLOOKUP(N219,'הגדרות'!$A$11:$D$25,3,FALSE),"")</f>
        <v/>
      </c>
      <c r="AB219" s="6" t="n"/>
      <c r="AE219">
        <f>OR(Q219='לוח בקרה'!$B$2,R219='לוח בקרה'!$B$2,S219='לוח בקרה'!$B$2,T219='לוח בקרה'!$B$2)</f>
        <v/>
      </c>
      <c r="AF219">
        <f>AND(AE219,OR(AND(O219="כן",U219="כן"),AND(P219="כן",V219="כן")))</f>
        <v/>
      </c>
      <c r="AG219">
        <f>AND(AE219,OR(O219="כן",P219="כן"),NOT(OR(AND(O219="כן",U219="כן"),AND(P219="כן",V219="כן"))))</f>
        <v/>
      </c>
      <c r="AH219">
        <f>AND(AE219,OR(U219="כן",V219="כן"),NOT(OR(O219="כן",P219="כן")))</f>
        <v/>
      </c>
      <c r="AI219">
        <f>AND(X219="מושאל",AB219&lt;&gt;"",AB219&lt;TODAY())</f>
        <v/>
      </c>
    </row>
    <row r="220">
      <c r="E220">
        <f>IFERROR(INDEX('הגדרות'!$D$104:$D$123,MATCH(B220&amp;G220&amp;C220,'הגדרות'!$A$104:$A$123&amp;'הגדרות'!$B$104:$B$123&amp;'הגדרות'!$C$104:$C$123,0)),"")</f>
        <v/>
      </c>
      <c r="F220" s="6" t="n"/>
      <c r="Q220">
        <f>IFERROR(VLOOKUP(M220,'הגדרות'!$A$11:$D$25,2,FALSE),"")</f>
        <v/>
      </c>
      <c r="R220">
        <f>IFERROR(VLOOKUP(M220,'הגדרות'!$A$11:$D$25,3,FALSE),"")</f>
        <v/>
      </c>
      <c r="S220">
        <f>IFERROR(VLOOKUP(N220,'הגדרות'!$A$11:$D$25,2,FALSE),"")</f>
        <v/>
      </c>
      <c r="T220">
        <f>IFERROR(VLOOKUP(N220,'הגדרות'!$A$11:$D$25,3,FALSE),"")</f>
        <v/>
      </c>
      <c r="AB220" s="6" t="n"/>
      <c r="AE220">
        <f>OR(Q220='לוח בקרה'!$B$2,R220='לוח בקרה'!$B$2,S220='לוח בקרה'!$B$2,T220='לוח בקרה'!$B$2)</f>
        <v/>
      </c>
      <c r="AF220">
        <f>AND(AE220,OR(AND(O220="כן",U220="כן"),AND(P220="כן",V220="כן")))</f>
        <v/>
      </c>
      <c r="AG220">
        <f>AND(AE220,OR(O220="כן",P220="כן"),NOT(OR(AND(O220="כן",U220="כן"),AND(P220="כן",V220="כן"))))</f>
        <v/>
      </c>
      <c r="AH220">
        <f>AND(AE220,OR(U220="כן",V220="כן"),NOT(OR(O220="כן",P220="כן")))</f>
        <v/>
      </c>
      <c r="AI220">
        <f>AND(X220="מושאל",AB220&lt;&gt;"",AB220&lt;TODAY())</f>
        <v/>
      </c>
    </row>
    <row r="221">
      <c r="E221">
        <f>IFERROR(INDEX('הגדרות'!$D$104:$D$123,MATCH(B221&amp;G221&amp;C221,'הגדרות'!$A$104:$A$123&amp;'הגדרות'!$B$104:$B$123&amp;'הגדרות'!$C$104:$C$123,0)),"")</f>
        <v/>
      </c>
      <c r="F221" s="6" t="n"/>
      <c r="Q221">
        <f>IFERROR(VLOOKUP(M221,'הגדרות'!$A$11:$D$25,2,FALSE),"")</f>
        <v/>
      </c>
      <c r="R221">
        <f>IFERROR(VLOOKUP(M221,'הגדרות'!$A$11:$D$25,3,FALSE),"")</f>
        <v/>
      </c>
      <c r="S221">
        <f>IFERROR(VLOOKUP(N221,'הגדרות'!$A$11:$D$25,2,FALSE),"")</f>
        <v/>
      </c>
      <c r="T221">
        <f>IFERROR(VLOOKUP(N221,'הגדרות'!$A$11:$D$25,3,FALSE),"")</f>
        <v/>
      </c>
      <c r="AB221" s="6" t="n"/>
      <c r="AE221">
        <f>OR(Q221='לוח בקרה'!$B$2,R221='לוח בקרה'!$B$2,S221='לוח בקרה'!$B$2,T221='לוח בקרה'!$B$2)</f>
        <v/>
      </c>
      <c r="AF221">
        <f>AND(AE221,OR(AND(O221="כן",U221="כן"),AND(P221="כן",V221="כן")))</f>
        <v/>
      </c>
      <c r="AG221">
        <f>AND(AE221,OR(O221="כן",P221="כן"),NOT(OR(AND(O221="כן",U221="כן"),AND(P221="כן",V221="כן"))))</f>
        <v/>
      </c>
      <c r="AH221">
        <f>AND(AE221,OR(U221="כן",V221="כן"),NOT(OR(O221="כן",P221="כן")))</f>
        <v/>
      </c>
      <c r="AI221">
        <f>AND(X221="מושאל",AB221&lt;&gt;"",AB221&lt;TODAY())</f>
        <v/>
      </c>
    </row>
    <row r="222">
      <c r="E222">
        <f>IFERROR(INDEX('הגדרות'!$D$104:$D$123,MATCH(B222&amp;G222&amp;C222,'הגדרות'!$A$104:$A$123&amp;'הגדרות'!$B$104:$B$123&amp;'הגדרות'!$C$104:$C$123,0)),"")</f>
        <v/>
      </c>
      <c r="F222" s="6" t="n"/>
      <c r="Q222">
        <f>IFERROR(VLOOKUP(M222,'הגדרות'!$A$11:$D$25,2,FALSE),"")</f>
        <v/>
      </c>
      <c r="R222">
        <f>IFERROR(VLOOKUP(M222,'הגדרות'!$A$11:$D$25,3,FALSE),"")</f>
        <v/>
      </c>
      <c r="S222">
        <f>IFERROR(VLOOKUP(N222,'הגדרות'!$A$11:$D$25,2,FALSE),"")</f>
        <v/>
      </c>
      <c r="T222">
        <f>IFERROR(VLOOKUP(N222,'הגדרות'!$A$11:$D$25,3,FALSE),"")</f>
        <v/>
      </c>
      <c r="AB222" s="6" t="n"/>
      <c r="AE222">
        <f>OR(Q222='לוח בקרה'!$B$2,R222='לוח בקרה'!$B$2,S222='לוח בקרה'!$B$2,T222='לוח בקרה'!$B$2)</f>
        <v/>
      </c>
      <c r="AF222">
        <f>AND(AE222,OR(AND(O222="כן",U222="כן"),AND(P222="כן",V222="כן")))</f>
        <v/>
      </c>
      <c r="AG222">
        <f>AND(AE222,OR(O222="כן",P222="כן"),NOT(OR(AND(O222="כן",U222="כן"),AND(P222="כן",V222="כן"))))</f>
        <v/>
      </c>
      <c r="AH222">
        <f>AND(AE222,OR(U222="כן",V222="כן"),NOT(OR(O222="כן",P222="כן")))</f>
        <v/>
      </c>
      <c r="AI222">
        <f>AND(X222="מושאל",AB222&lt;&gt;"",AB222&lt;TODAY())</f>
        <v/>
      </c>
    </row>
    <row r="223">
      <c r="E223">
        <f>IFERROR(INDEX('הגדרות'!$D$104:$D$123,MATCH(B223&amp;G223&amp;C223,'הגדרות'!$A$104:$A$123&amp;'הגדרות'!$B$104:$B$123&amp;'הגדרות'!$C$104:$C$123,0)),"")</f>
        <v/>
      </c>
      <c r="F223" s="6" t="n"/>
      <c r="Q223">
        <f>IFERROR(VLOOKUP(M223,'הגדרות'!$A$11:$D$25,2,FALSE),"")</f>
        <v/>
      </c>
      <c r="R223">
        <f>IFERROR(VLOOKUP(M223,'הגדרות'!$A$11:$D$25,3,FALSE),"")</f>
        <v/>
      </c>
      <c r="S223">
        <f>IFERROR(VLOOKUP(N223,'הגדרות'!$A$11:$D$25,2,FALSE),"")</f>
        <v/>
      </c>
      <c r="T223">
        <f>IFERROR(VLOOKUP(N223,'הגדרות'!$A$11:$D$25,3,FALSE),"")</f>
        <v/>
      </c>
      <c r="AB223" s="6" t="n"/>
      <c r="AE223">
        <f>OR(Q223='לוח בקרה'!$B$2,R223='לוח בקרה'!$B$2,S223='לוח בקרה'!$B$2,T223='לוח בקרה'!$B$2)</f>
        <v/>
      </c>
      <c r="AF223">
        <f>AND(AE223,OR(AND(O223="כן",U223="כן"),AND(P223="כן",V223="כן")))</f>
        <v/>
      </c>
      <c r="AG223">
        <f>AND(AE223,OR(O223="כן",P223="כן"),NOT(OR(AND(O223="כן",U223="כן"),AND(P223="כן",V223="כן"))))</f>
        <v/>
      </c>
      <c r="AH223">
        <f>AND(AE223,OR(U223="כן",V223="כן"),NOT(OR(O223="כן",P223="כן")))</f>
        <v/>
      </c>
      <c r="AI223">
        <f>AND(X223="מושאל",AB223&lt;&gt;"",AB223&lt;TODAY())</f>
        <v/>
      </c>
    </row>
    <row r="224">
      <c r="E224">
        <f>IFERROR(INDEX('הגדרות'!$D$104:$D$123,MATCH(B224&amp;G224&amp;C224,'הגדרות'!$A$104:$A$123&amp;'הגדרות'!$B$104:$B$123&amp;'הגדרות'!$C$104:$C$123,0)),"")</f>
        <v/>
      </c>
      <c r="F224" s="6" t="n"/>
      <c r="Q224">
        <f>IFERROR(VLOOKUP(M224,'הגדרות'!$A$11:$D$25,2,FALSE),"")</f>
        <v/>
      </c>
      <c r="R224">
        <f>IFERROR(VLOOKUP(M224,'הגדרות'!$A$11:$D$25,3,FALSE),"")</f>
        <v/>
      </c>
      <c r="S224">
        <f>IFERROR(VLOOKUP(N224,'הגדרות'!$A$11:$D$25,2,FALSE),"")</f>
        <v/>
      </c>
      <c r="T224">
        <f>IFERROR(VLOOKUP(N224,'הגדרות'!$A$11:$D$25,3,FALSE),"")</f>
        <v/>
      </c>
      <c r="AB224" s="6" t="n"/>
      <c r="AE224">
        <f>OR(Q224='לוח בקרה'!$B$2,R224='לוח בקרה'!$B$2,S224='לוח בקרה'!$B$2,T224='לוח בקרה'!$B$2)</f>
        <v/>
      </c>
      <c r="AF224">
        <f>AND(AE224,OR(AND(O224="כן",U224="כן"),AND(P224="כן",V224="כן")))</f>
        <v/>
      </c>
      <c r="AG224">
        <f>AND(AE224,OR(O224="כן",P224="כן"),NOT(OR(AND(O224="כן",U224="כן"),AND(P224="כן",V224="כן"))))</f>
        <v/>
      </c>
      <c r="AH224">
        <f>AND(AE224,OR(U224="כן",V224="כן"),NOT(OR(O224="כן",P224="כן")))</f>
        <v/>
      </c>
      <c r="AI224">
        <f>AND(X224="מושאל",AB224&lt;&gt;"",AB224&lt;TODAY())</f>
        <v/>
      </c>
    </row>
    <row r="225">
      <c r="E225">
        <f>IFERROR(INDEX('הגדרות'!$D$104:$D$123,MATCH(B225&amp;G225&amp;C225,'הגדרות'!$A$104:$A$123&amp;'הגדרות'!$B$104:$B$123&amp;'הגדרות'!$C$104:$C$123,0)),"")</f>
        <v/>
      </c>
      <c r="F225" s="6" t="n"/>
      <c r="Q225">
        <f>IFERROR(VLOOKUP(M225,'הגדרות'!$A$11:$D$25,2,FALSE),"")</f>
        <v/>
      </c>
      <c r="R225">
        <f>IFERROR(VLOOKUP(M225,'הגדרות'!$A$11:$D$25,3,FALSE),"")</f>
        <v/>
      </c>
      <c r="S225">
        <f>IFERROR(VLOOKUP(N225,'הגדרות'!$A$11:$D$25,2,FALSE),"")</f>
        <v/>
      </c>
      <c r="T225">
        <f>IFERROR(VLOOKUP(N225,'הגדרות'!$A$11:$D$25,3,FALSE),"")</f>
        <v/>
      </c>
      <c r="AB225" s="6" t="n"/>
      <c r="AE225">
        <f>OR(Q225='לוח בקרה'!$B$2,R225='לוח בקרה'!$B$2,S225='לוח בקרה'!$B$2,T225='לוח בקרה'!$B$2)</f>
        <v/>
      </c>
      <c r="AF225">
        <f>AND(AE225,OR(AND(O225="כן",U225="כן"),AND(P225="כן",V225="כן")))</f>
        <v/>
      </c>
      <c r="AG225">
        <f>AND(AE225,OR(O225="כן",P225="כן"),NOT(OR(AND(O225="כן",U225="כן"),AND(P225="כן",V225="כן"))))</f>
        <v/>
      </c>
      <c r="AH225">
        <f>AND(AE225,OR(U225="כן",V225="כן"),NOT(OR(O225="כן",P225="כן")))</f>
        <v/>
      </c>
      <c r="AI225">
        <f>AND(X225="מושאל",AB225&lt;&gt;"",AB225&lt;TODAY())</f>
        <v/>
      </c>
    </row>
    <row r="226">
      <c r="E226">
        <f>IFERROR(INDEX('הגדרות'!$D$104:$D$123,MATCH(B226&amp;G226&amp;C226,'הגדרות'!$A$104:$A$123&amp;'הגדרות'!$B$104:$B$123&amp;'הגדרות'!$C$104:$C$123,0)),"")</f>
        <v/>
      </c>
      <c r="F226" s="6" t="n"/>
      <c r="Q226">
        <f>IFERROR(VLOOKUP(M226,'הגדרות'!$A$11:$D$25,2,FALSE),"")</f>
        <v/>
      </c>
      <c r="R226">
        <f>IFERROR(VLOOKUP(M226,'הגדרות'!$A$11:$D$25,3,FALSE),"")</f>
        <v/>
      </c>
      <c r="S226">
        <f>IFERROR(VLOOKUP(N226,'הגדרות'!$A$11:$D$25,2,FALSE),"")</f>
        <v/>
      </c>
      <c r="T226">
        <f>IFERROR(VLOOKUP(N226,'הגדרות'!$A$11:$D$25,3,FALSE),"")</f>
        <v/>
      </c>
      <c r="AB226" s="6" t="n"/>
      <c r="AE226">
        <f>OR(Q226='לוח בקרה'!$B$2,R226='לוח בקרה'!$B$2,S226='לוח בקרה'!$B$2,T226='לוח בקרה'!$B$2)</f>
        <v/>
      </c>
      <c r="AF226">
        <f>AND(AE226,OR(AND(O226="כן",U226="כן"),AND(P226="כן",V226="כן")))</f>
        <v/>
      </c>
      <c r="AG226">
        <f>AND(AE226,OR(O226="כן",P226="כן"),NOT(OR(AND(O226="כן",U226="כן"),AND(P226="כן",V226="כן"))))</f>
        <v/>
      </c>
      <c r="AH226">
        <f>AND(AE226,OR(U226="כן",V226="כן"),NOT(OR(O226="כן",P226="כן")))</f>
        <v/>
      </c>
      <c r="AI226">
        <f>AND(X226="מושאל",AB226&lt;&gt;"",AB226&lt;TODAY())</f>
        <v/>
      </c>
    </row>
    <row r="227">
      <c r="E227">
        <f>IFERROR(INDEX('הגדרות'!$D$104:$D$123,MATCH(B227&amp;G227&amp;C227,'הגדרות'!$A$104:$A$123&amp;'הגדרות'!$B$104:$B$123&amp;'הגדרות'!$C$104:$C$123,0)),"")</f>
        <v/>
      </c>
      <c r="F227" s="6" t="n"/>
      <c r="Q227">
        <f>IFERROR(VLOOKUP(M227,'הגדרות'!$A$11:$D$25,2,FALSE),"")</f>
        <v/>
      </c>
      <c r="R227">
        <f>IFERROR(VLOOKUP(M227,'הגדרות'!$A$11:$D$25,3,FALSE),"")</f>
        <v/>
      </c>
      <c r="S227">
        <f>IFERROR(VLOOKUP(N227,'הגדרות'!$A$11:$D$25,2,FALSE),"")</f>
        <v/>
      </c>
      <c r="T227">
        <f>IFERROR(VLOOKUP(N227,'הגדרות'!$A$11:$D$25,3,FALSE),"")</f>
        <v/>
      </c>
      <c r="AB227" s="6" t="n"/>
      <c r="AE227">
        <f>OR(Q227='לוח בקרה'!$B$2,R227='לוח בקרה'!$B$2,S227='לוח בקרה'!$B$2,T227='לוח בקרה'!$B$2)</f>
        <v/>
      </c>
      <c r="AF227">
        <f>AND(AE227,OR(AND(O227="כן",U227="כן"),AND(P227="כן",V227="כן")))</f>
        <v/>
      </c>
      <c r="AG227">
        <f>AND(AE227,OR(O227="כן",P227="כן"),NOT(OR(AND(O227="כן",U227="כן"),AND(P227="כן",V227="כן"))))</f>
        <v/>
      </c>
      <c r="AH227">
        <f>AND(AE227,OR(U227="כן",V227="כן"),NOT(OR(O227="כן",P227="כן")))</f>
        <v/>
      </c>
      <c r="AI227">
        <f>AND(X227="מושאל",AB227&lt;&gt;"",AB227&lt;TODAY())</f>
        <v/>
      </c>
    </row>
    <row r="228">
      <c r="E228">
        <f>IFERROR(INDEX('הגדרות'!$D$104:$D$123,MATCH(B228&amp;G228&amp;C228,'הגדרות'!$A$104:$A$123&amp;'הגדרות'!$B$104:$B$123&amp;'הגדרות'!$C$104:$C$123,0)),"")</f>
        <v/>
      </c>
      <c r="F228" s="6" t="n"/>
      <c r="Q228">
        <f>IFERROR(VLOOKUP(M228,'הגדרות'!$A$11:$D$25,2,FALSE),"")</f>
        <v/>
      </c>
      <c r="R228">
        <f>IFERROR(VLOOKUP(M228,'הגדרות'!$A$11:$D$25,3,FALSE),"")</f>
        <v/>
      </c>
      <c r="S228">
        <f>IFERROR(VLOOKUP(N228,'הגדרות'!$A$11:$D$25,2,FALSE),"")</f>
        <v/>
      </c>
      <c r="T228">
        <f>IFERROR(VLOOKUP(N228,'הגדרות'!$A$11:$D$25,3,FALSE),"")</f>
        <v/>
      </c>
      <c r="AB228" s="6" t="n"/>
      <c r="AE228">
        <f>OR(Q228='לוח בקרה'!$B$2,R228='לוח בקרה'!$B$2,S228='לוח בקרה'!$B$2,T228='לוח בקרה'!$B$2)</f>
        <v/>
      </c>
      <c r="AF228">
        <f>AND(AE228,OR(AND(O228="כן",U228="כן"),AND(P228="כן",V228="כן")))</f>
        <v/>
      </c>
      <c r="AG228">
        <f>AND(AE228,OR(O228="כן",P228="כן"),NOT(OR(AND(O228="כן",U228="כן"),AND(P228="כן",V228="כן"))))</f>
        <v/>
      </c>
      <c r="AH228">
        <f>AND(AE228,OR(U228="כן",V228="כן"),NOT(OR(O228="כן",P228="כן")))</f>
        <v/>
      </c>
      <c r="AI228">
        <f>AND(X228="מושאל",AB228&lt;&gt;"",AB228&lt;TODAY())</f>
        <v/>
      </c>
    </row>
    <row r="229">
      <c r="E229">
        <f>IFERROR(INDEX('הגדרות'!$D$104:$D$123,MATCH(B229&amp;G229&amp;C229,'הגדרות'!$A$104:$A$123&amp;'הגדרות'!$B$104:$B$123&amp;'הגדרות'!$C$104:$C$123,0)),"")</f>
        <v/>
      </c>
      <c r="F229" s="6" t="n"/>
      <c r="Q229">
        <f>IFERROR(VLOOKUP(M229,'הגדרות'!$A$11:$D$25,2,FALSE),"")</f>
        <v/>
      </c>
      <c r="R229">
        <f>IFERROR(VLOOKUP(M229,'הגדרות'!$A$11:$D$25,3,FALSE),"")</f>
        <v/>
      </c>
      <c r="S229">
        <f>IFERROR(VLOOKUP(N229,'הגדרות'!$A$11:$D$25,2,FALSE),"")</f>
        <v/>
      </c>
      <c r="T229">
        <f>IFERROR(VLOOKUP(N229,'הגדרות'!$A$11:$D$25,3,FALSE),"")</f>
        <v/>
      </c>
      <c r="AB229" s="6" t="n"/>
      <c r="AE229">
        <f>OR(Q229='לוח בקרה'!$B$2,R229='לוח בקרה'!$B$2,S229='לוח בקרה'!$B$2,T229='לוח בקרה'!$B$2)</f>
        <v/>
      </c>
      <c r="AF229">
        <f>AND(AE229,OR(AND(O229="כן",U229="כן"),AND(P229="כן",V229="כן")))</f>
        <v/>
      </c>
      <c r="AG229">
        <f>AND(AE229,OR(O229="כן",P229="כן"),NOT(OR(AND(O229="כן",U229="כן"),AND(P229="כן",V229="כן"))))</f>
        <v/>
      </c>
      <c r="AH229">
        <f>AND(AE229,OR(U229="כן",V229="כן"),NOT(OR(O229="כן",P229="כן")))</f>
        <v/>
      </c>
      <c r="AI229">
        <f>AND(X229="מושאל",AB229&lt;&gt;"",AB229&lt;TODAY())</f>
        <v/>
      </c>
    </row>
    <row r="230">
      <c r="E230">
        <f>IFERROR(INDEX('הגדרות'!$D$104:$D$123,MATCH(B230&amp;G230&amp;C230,'הגדרות'!$A$104:$A$123&amp;'הגדרות'!$B$104:$B$123&amp;'הגדרות'!$C$104:$C$123,0)),"")</f>
        <v/>
      </c>
      <c r="F230" s="6" t="n"/>
      <c r="Q230">
        <f>IFERROR(VLOOKUP(M230,'הגדרות'!$A$11:$D$25,2,FALSE),"")</f>
        <v/>
      </c>
      <c r="R230">
        <f>IFERROR(VLOOKUP(M230,'הגדרות'!$A$11:$D$25,3,FALSE),"")</f>
        <v/>
      </c>
      <c r="S230">
        <f>IFERROR(VLOOKUP(N230,'הגדרות'!$A$11:$D$25,2,FALSE),"")</f>
        <v/>
      </c>
      <c r="T230">
        <f>IFERROR(VLOOKUP(N230,'הגדרות'!$A$11:$D$25,3,FALSE),"")</f>
        <v/>
      </c>
      <c r="AB230" s="6" t="n"/>
      <c r="AE230">
        <f>OR(Q230='לוח בקרה'!$B$2,R230='לוח בקרה'!$B$2,S230='לוח בקרה'!$B$2,T230='לוח בקרה'!$B$2)</f>
        <v/>
      </c>
      <c r="AF230">
        <f>AND(AE230,OR(AND(O230="כן",U230="כן"),AND(P230="כן",V230="כן")))</f>
        <v/>
      </c>
      <c r="AG230">
        <f>AND(AE230,OR(O230="כן",P230="כן"),NOT(OR(AND(O230="כן",U230="כן"),AND(P230="כן",V230="כן"))))</f>
        <v/>
      </c>
      <c r="AH230">
        <f>AND(AE230,OR(U230="כן",V230="כן"),NOT(OR(O230="כן",P230="כן")))</f>
        <v/>
      </c>
      <c r="AI230">
        <f>AND(X230="מושאל",AB230&lt;&gt;"",AB230&lt;TODAY())</f>
        <v/>
      </c>
    </row>
    <row r="231">
      <c r="E231">
        <f>IFERROR(INDEX('הגדרות'!$D$104:$D$123,MATCH(B231&amp;G231&amp;C231,'הגדרות'!$A$104:$A$123&amp;'הגדרות'!$B$104:$B$123&amp;'הגדרות'!$C$104:$C$123,0)),"")</f>
        <v/>
      </c>
      <c r="F231" s="6" t="n"/>
      <c r="Q231">
        <f>IFERROR(VLOOKUP(M231,'הגדרות'!$A$11:$D$25,2,FALSE),"")</f>
        <v/>
      </c>
      <c r="R231">
        <f>IFERROR(VLOOKUP(M231,'הגדרות'!$A$11:$D$25,3,FALSE),"")</f>
        <v/>
      </c>
      <c r="S231">
        <f>IFERROR(VLOOKUP(N231,'הגדרות'!$A$11:$D$25,2,FALSE),"")</f>
        <v/>
      </c>
      <c r="T231">
        <f>IFERROR(VLOOKUP(N231,'הגדרות'!$A$11:$D$25,3,FALSE),"")</f>
        <v/>
      </c>
      <c r="AB231" s="6" t="n"/>
      <c r="AE231">
        <f>OR(Q231='לוח בקרה'!$B$2,R231='לוח בקרה'!$B$2,S231='לוח בקרה'!$B$2,T231='לוח בקרה'!$B$2)</f>
        <v/>
      </c>
      <c r="AF231">
        <f>AND(AE231,OR(AND(O231="כן",U231="כן"),AND(P231="כן",V231="כן")))</f>
        <v/>
      </c>
      <c r="AG231">
        <f>AND(AE231,OR(O231="כן",P231="כן"),NOT(OR(AND(O231="כן",U231="כן"),AND(P231="כן",V231="כן"))))</f>
        <v/>
      </c>
      <c r="AH231">
        <f>AND(AE231,OR(U231="כן",V231="כן"),NOT(OR(O231="כן",P231="כן")))</f>
        <v/>
      </c>
      <c r="AI231">
        <f>AND(X231="מושאל",AB231&lt;&gt;"",AB231&lt;TODAY())</f>
        <v/>
      </c>
    </row>
    <row r="232">
      <c r="E232">
        <f>IFERROR(INDEX('הגדרות'!$D$104:$D$123,MATCH(B232&amp;G232&amp;C232,'הגדרות'!$A$104:$A$123&amp;'הגדרות'!$B$104:$B$123&amp;'הגדרות'!$C$104:$C$123,0)),"")</f>
        <v/>
      </c>
      <c r="F232" s="6" t="n"/>
      <c r="Q232">
        <f>IFERROR(VLOOKUP(M232,'הגדרות'!$A$11:$D$25,2,FALSE),"")</f>
        <v/>
      </c>
      <c r="R232">
        <f>IFERROR(VLOOKUP(M232,'הגדרות'!$A$11:$D$25,3,FALSE),"")</f>
        <v/>
      </c>
      <c r="S232">
        <f>IFERROR(VLOOKUP(N232,'הגדרות'!$A$11:$D$25,2,FALSE),"")</f>
        <v/>
      </c>
      <c r="T232">
        <f>IFERROR(VLOOKUP(N232,'הגדרות'!$A$11:$D$25,3,FALSE),"")</f>
        <v/>
      </c>
      <c r="AB232" s="6" t="n"/>
      <c r="AE232">
        <f>OR(Q232='לוח בקרה'!$B$2,R232='לוח בקרה'!$B$2,S232='לוח בקרה'!$B$2,T232='לוח בקרה'!$B$2)</f>
        <v/>
      </c>
      <c r="AF232">
        <f>AND(AE232,OR(AND(O232="כן",U232="כן"),AND(P232="כן",V232="כן")))</f>
        <v/>
      </c>
      <c r="AG232">
        <f>AND(AE232,OR(O232="כן",P232="כן"),NOT(OR(AND(O232="כן",U232="כן"),AND(P232="כן",V232="כן"))))</f>
        <v/>
      </c>
      <c r="AH232">
        <f>AND(AE232,OR(U232="כן",V232="כן"),NOT(OR(O232="כן",P232="כן")))</f>
        <v/>
      </c>
      <c r="AI232">
        <f>AND(X232="מושאל",AB232&lt;&gt;"",AB232&lt;TODAY())</f>
        <v/>
      </c>
    </row>
    <row r="233">
      <c r="E233">
        <f>IFERROR(INDEX('הגדרות'!$D$104:$D$123,MATCH(B233&amp;G233&amp;C233,'הגדרות'!$A$104:$A$123&amp;'הגדרות'!$B$104:$B$123&amp;'הגדרות'!$C$104:$C$123,0)),"")</f>
        <v/>
      </c>
      <c r="F233" s="6" t="n"/>
      <c r="Q233">
        <f>IFERROR(VLOOKUP(M233,'הגדרות'!$A$11:$D$25,2,FALSE),"")</f>
        <v/>
      </c>
      <c r="R233">
        <f>IFERROR(VLOOKUP(M233,'הגדרות'!$A$11:$D$25,3,FALSE),"")</f>
        <v/>
      </c>
      <c r="S233">
        <f>IFERROR(VLOOKUP(N233,'הגדרות'!$A$11:$D$25,2,FALSE),"")</f>
        <v/>
      </c>
      <c r="T233">
        <f>IFERROR(VLOOKUP(N233,'הגדרות'!$A$11:$D$25,3,FALSE),"")</f>
        <v/>
      </c>
      <c r="AB233" s="6" t="n"/>
      <c r="AE233">
        <f>OR(Q233='לוח בקרה'!$B$2,R233='לוח בקרה'!$B$2,S233='לוח בקרה'!$B$2,T233='לוח בקרה'!$B$2)</f>
        <v/>
      </c>
      <c r="AF233">
        <f>AND(AE233,OR(AND(O233="כן",U233="כן"),AND(P233="כן",V233="כן")))</f>
        <v/>
      </c>
      <c r="AG233">
        <f>AND(AE233,OR(O233="כן",P233="כן"),NOT(OR(AND(O233="כן",U233="כן"),AND(P233="כן",V233="כן"))))</f>
        <v/>
      </c>
      <c r="AH233">
        <f>AND(AE233,OR(U233="כן",V233="כן"),NOT(OR(O233="כן",P233="כן")))</f>
        <v/>
      </c>
      <c r="AI233">
        <f>AND(X233="מושאל",AB233&lt;&gt;"",AB233&lt;TODAY())</f>
        <v/>
      </c>
    </row>
    <row r="234">
      <c r="E234">
        <f>IFERROR(INDEX('הגדרות'!$D$104:$D$123,MATCH(B234&amp;G234&amp;C234,'הגדרות'!$A$104:$A$123&amp;'הגדרות'!$B$104:$B$123&amp;'הגדרות'!$C$104:$C$123,0)),"")</f>
        <v/>
      </c>
      <c r="F234" s="6" t="n"/>
      <c r="Q234">
        <f>IFERROR(VLOOKUP(M234,'הגדרות'!$A$11:$D$25,2,FALSE),"")</f>
        <v/>
      </c>
      <c r="R234">
        <f>IFERROR(VLOOKUP(M234,'הגדרות'!$A$11:$D$25,3,FALSE),"")</f>
        <v/>
      </c>
      <c r="S234">
        <f>IFERROR(VLOOKUP(N234,'הגדרות'!$A$11:$D$25,2,FALSE),"")</f>
        <v/>
      </c>
      <c r="T234">
        <f>IFERROR(VLOOKUP(N234,'הגדרות'!$A$11:$D$25,3,FALSE),"")</f>
        <v/>
      </c>
      <c r="AB234" s="6" t="n"/>
      <c r="AE234">
        <f>OR(Q234='לוח בקרה'!$B$2,R234='לוח בקרה'!$B$2,S234='לוח בקרה'!$B$2,T234='לוח בקרה'!$B$2)</f>
        <v/>
      </c>
      <c r="AF234">
        <f>AND(AE234,OR(AND(O234="כן",U234="כן"),AND(P234="כן",V234="כן")))</f>
        <v/>
      </c>
      <c r="AG234">
        <f>AND(AE234,OR(O234="כן",P234="כן"),NOT(OR(AND(O234="כן",U234="כן"),AND(P234="כן",V234="כן"))))</f>
        <v/>
      </c>
      <c r="AH234">
        <f>AND(AE234,OR(U234="כן",V234="כן"),NOT(OR(O234="כן",P234="כן")))</f>
        <v/>
      </c>
      <c r="AI234">
        <f>AND(X234="מושאל",AB234&lt;&gt;"",AB234&lt;TODAY())</f>
        <v/>
      </c>
    </row>
    <row r="235">
      <c r="E235">
        <f>IFERROR(INDEX('הגדרות'!$D$104:$D$123,MATCH(B235&amp;G235&amp;C235,'הגדרות'!$A$104:$A$123&amp;'הגדרות'!$B$104:$B$123&amp;'הגדרות'!$C$104:$C$123,0)),"")</f>
        <v/>
      </c>
      <c r="F235" s="6" t="n"/>
      <c r="Q235">
        <f>IFERROR(VLOOKUP(M235,'הגדרות'!$A$11:$D$25,2,FALSE),"")</f>
        <v/>
      </c>
      <c r="R235">
        <f>IFERROR(VLOOKUP(M235,'הגדרות'!$A$11:$D$25,3,FALSE),"")</f>
        <v/>
      </c>
      <c r="S235">
        <f>IFERROR(VLOOKUP(N235,'הגדרות'!$A$11:$D$25,2,FALSE),"")</f>
        <v/>
      </c>
      <c r="T235">
        <f>IFERROR(VLOOKUP(N235,'הגדרות'!$A$11:$D$25,3,FALSE),"")</f>
        <v/>
      </c>
      <c r="AB235" s="6" t="n"/>
      <c r="AE235">
        <f>OR(Q235='לוח בקרה'!$B$2,R235='לוח בקרה'!$B$2,S235='לוח בקרה'!$B$2,T235='לוח בקרה'!$B$2)</f>
        <v/>
      </c>
      <c r="AF235">
        <f>AND(AE235,OR(AND(O235="כן",U235="כן"),AND(P235="כן",V235="כן")))</f>
        <v/>
      </c>
      <c r="AG235">
        <f>AND(AE235,OR(O235="כן",P235="כן"),NOT(OR(AND(O235="כן",U235="כן"),AND(P235="כן",V235="כן"))))</f>
        <v/>
      </c>
      <c r="AH235">
        <f>AND(AE235,OR(U235="כן",V235="כן"),NOT(OR(O235="כן",P235="כן")))</f>
        <v/>
      </c>
      <c r="AI235">
        <f>AND(X235="מושאל",AB235&lt;&gt;"",AB235&lt;TODAY())</f>
        <v/>
      </c>
    </row>
    <row r="236">
      <c r="E236">
        <f>IFERROR(INDEX('הגדרות'!$D$104:$D$123,MATCH(B236&amp;G236&amp;C236,'הגדרות'!$A$104:$A$123&amp;'הגדרות'!$B$104:$B$123&amp;'הגדרות'!$C$104:$C$123,0)),"")</f>
        <v/>
      </c>
      <c r="F236" s="6" t="n"/>
      <c r="Q236">
        <f>IFERROR(VLOOKUP(M236,'הגדרות'!$A$11:$D$25,2,FALSE),"")</f>
        <v/>
      </c>
      <c r="R236">
        <f>IFERROR(VLOOKUP(M236,'הגדרות'!$A$11:$D$25,3,FALSE),"")</f>
        <v/>
      </c>
      <c r="S236">
        <f>IFERROR(VLOOKUP(N236,'הגדרות'!$A$11:$D$25,2,FALSE),"")</f>
        <v/>
      </c>
      <c r="T236">
        <f>IFERROR(VLOOKUP(N236,'הגדרות'!$A$11:$D$25,3,FALSE),"")</f>
        <v/>
      </c>
      <c r="AB236" s="6" t="n"/>
      <c r="AE236">
        <f>OR(Q236='לוח בקרה'!$B$2,R236='לוח בקרה'!$B$2,S236='לוח בקרה'!$B$2,T236='לוח בקרה'!$B$2)</f>
        <v/>
      </c>
      <c r="AF236">
        <f>AND(AE236,OR(AND(O236="כן",U236="כן"),AND(P236="כן",V236="כן")))</f>
        <v/>
      </c>
      <c r="AG236">
        <f>AND(AE236,OR(O236="כן",P236="כן"),NOT(OR(AND(O236="כן",U236="כן"),AND(P236="כן",V236="כן"))))</f>
        <v/>
      </c>
      <c r="AH236">
        <f>AND(AE236,OR(U236="כן",V236="כן"),NOT(OR(O236="כן",P236="כן")))</f>
        <v/>
      </c>
      <c r="AI236">
        <f>AND(X236="מושאל",AB236&lt;&gt;"",AB236&lt;TODAY())</f>
        <v/>
      </c>
    </row>
    <row r="237">
      <c r="E237">
        <f>IFERROR(INDEX('הגדרות'!$D$104:$D$123,MATCH(B237&amp;G237&amp;C237,'הגדרות'!$A$104:$A$123&amp;'הגדרות'!$B$104:$B$123&amp;'הגדרות'!$C$104:$C$123,0)),"")</f>
        <v/>
      </c>
      <c r="F237" s="6" t="n"/>
      <c r="Q237">
        <f>IFERROR(VLOOKUP(M237,'הגדרות'!$A$11:$D$25,2,FALSE),"")</f>
        <v/>
      </c>
      <c r="R237">
        <f>IFERROR(VLOOKUP(M237,'הגדרות'!$A$11:$D$25,3,FALSE),"")</f>
        <v/>
      </c>
      <c r="S237">
        <f>IFERROR(VLOOKUP(N237,'הגדרות'!$A$11:$D$25,2,FALSE),"")</f>
        <v/>
      </c>
      <c r="T237">
        <f>IFERROR(VLOOKUP(N237,'הגדרות'!$A$11:$D$25,3,FALSE),"")</f>
        <v/>
      </c>
      <c r="AB237" s="6" t="n"/>
      <c r="AE237">
        <f>OR(Q237='לוח בקרה'!$B$2,R237='לוח בקרה'!$B$2,S237='לוח בקרה'!$B$2,T237='לוח בקרה'!$B$2)</f>
        <v/>
      </c>
      <c r="AF237">
        <f>AND(AE237,OR(AND(O237="כן",U237="כן"),AND(P237="כן",V237="כן")))</f>
        <v/>
      </c>
      <c r="AG237">
        <f>AND(AE237,OR(O237="כן",P237="כן"),NOT(OR(AND(O237="כן",U237="כן"),AND(P237="כן",V237="כן"))))</f>
        <v/>
      </c>
      <c r="AH237">
        <f>AND(AE237,OR(U237="כן",V237="כן"),NOT(OR(O237="כן",P237="כן")))</f>
        <v/>
      </c>
      <c r="AI237">
        <f>AND(X237="מושאל",AB237&lt;&gt;"",AB237&lt;TODAY())</f>
        <v/>
      </c>
    </row>
    <row r="238">
      <c r="E238">
        <f>IFERROR(INDEX('הגדרות'!$D$104:$D$123,MATCH(B238&amp;G238&amp;C238,'הגדרות'!$A$104:$A$123&amp;'הגדרות'!$B$104:$B$123&amp;'הגדרות'!$C$104:$C$123,0)),"")</f>
        <v/>
      </c>
      <c r="F238" s="6" t="n"/>
      <c r="Q238">
        <f>IFERROR(VLOOKUP(M238,'הגדרות'!$A$11:$D$25,2,FALSE),"")</f>
        <v/>
      </c>
      <c r="R238">
        <f>IFERROR(VLOOKUP(M238,'הגדרות'!$A$11:$D$25,3,FALSE),"")</f>
        <v/>
      </c>
      <c r="S238">
        <f>IFERROR(VLOOKUP(N238,'הגדרות'!$A$11:$D$25,2,FALSE),"")</f>
        <v/>
      </c>
      <c r="T238">
        <f>IFERROR(VLOOKUP(N238,'הגדרות'!$A$11:$D$25,3,FALSE),"")</f>
        <v/>
      </c>
      <c r="AB238" s="6" t="n"/>
      <c r="AE238">
        <f>OR(Q238='לוח בקרה'!$B$2,R238='לוח בקרה'!$B$2,S238='לוח בקרה'!$B$2,T238='לוח בקרה'!$B$2)</f>
        <v/>
      </c>
      <c r="AF238">
        <f>AND(AE238,OR(AND(O238="כן",U238="כן"),AND(P238="כן",V238="כן")))</f>
        <v/>
      </c>
      <c r="AG238">
        <f>AND(AE238,OR(O238="כן",P238="כן"),NOT(OR(AND(O238="כן",U238="כן"),AND(P238="כן",V238="כן"))))</f>
        <v/>
      </c>
      <c r="AH238">
        <f>AND(AE238,OR(U238="כן",V238="כן"),NOT(OR(O238="כן",P238="כן")))</f>
        <v/>
      </c>
      <c r="AI238">
        <f>AND(X238="מושאל",AB238&lt;&gt;"",AB238&lt;TODAY())</f>
        <v/>
      </c>
    </row>
    <row r="239">
      <c r="E239">
        <f>IFERROR(INDEX('הגדרות'!$D$104:$D$123,MATCH(B239&amp;G239&amp;C239,'הגדרות'!$A$104:$A$123&amp;'הגדרות'!$B$104:$B$123&amp;'הגדרות'!$C$104:$C$123,0)),"")</f>
        <v/>
      </c>
      <c r="F239" s="6" t="n"/>
      <c r="Q239">
        <f>IFERROR(VLOOKUP(M239,'הגדרות'!$A$11:$D$25,2,FALSE),"")</f>
        <v/>
      </c>
      <c r="R239">
        <f>IFERROR(VLOOKUP(M239,'הגדרות'!$A$11:$D$25,3,FALSE),"")</f>
        <v/>
      </c>
      <c r="S239">
        <f>IFERROR(VLOOKUP(N239,'הגדרות'!$A$11:$D$25,2,FALSE),"")</f>
        <v/>
      </c>
      <c r="T239">
        <f>IFERROR(VLOOKUP(N239,'הגדרות'!$A$11:$D$25,3,FALSE),"")</f>
        <v/>
      </c>
      <c r="AB239" s="6" t="n"/>
      <c r="AE239">
        <f>OR(Q239='לוח בקרה'!$B$2,R239='לוח בקרה'!$B$2,S239='לוח בקרה'!$B$2,T239='לוח בקרה'!$B$2)</f>
        <v/>
      </c>
      <c r="AF239">
        <f>AND(AE239,OR(AND(O239="כן",U239="כן"),AND(P239="כן",V239="כן")))</f>
        <v/>
      </c>
      <c r="AG239">
        <f>AND(AE239,OR(O239="כן",P239="כן"),NOT(OR(AND(O239="כן",U239="כן"),AND(P239="כן",V239="כן"))))</f>
        <v/>
      </c>
      <c r="AH239">
        <f>AND(AE239,OR(U239="כן",V239="כן"),NOT(OR(O239="כן",P239="כן")))</f>
        <v/>
      </c>
      <c r="AI239">
        <f>AND(X239="מושאל",AB239&lt;&gt;"",AB239&lt;TODAY())</f>
        <v/>
      </c>
    </row>
    <row r="240">
      <c r="E240">
        <f>IFERROR(INDEX('הגדרות'!$D$104:$D$123,MATCH(B240&amp;G240&amp;C240,'הגדרות'!$A$104:$A$123&amp;'הגדרות'!$B$104:$B$123&amp;'הגדרות'!$C$104:$C$123,0)),"")</f>
        <v/>
      </c>
      <c r="F240" s="6" t="n"/>
      <c r="Q240">
        <f>IFERROR(VLOOKUP(M240,'הגדרות'!$A$11:$D$25,2,FALSE),"")</f>
        <v/>
      </c>
      <c r="R240">
        <f>IFERROR(VLOOKUP(M240,'הגדרות'!$A$11:$D$25,3,FALSE),"")</f>
        <v/>
      </c>
      <c r="S240">
        <f>IFERROR(VLOOKUP(N240,'הגדרות'!$A$11:$D$25,2,FALSE),"")</f>
        <v/>
      </c>
      <c r="T240">
        <f>IFERROR(VLOOKUP(N240,'הגדרות'!$A$11:$D$25,3,FALSE),"")</f>
        <v/>
      </c>
      <c r="AB240" s="6" t="n"/>
      <c r="AE240">
        <f>OR(Q240='לוח בקרה'!$B$2,R240='לוח בקרה'!$B$2,S240='לוח בקרה'!$B$2,T240='לוח בקרה'!$B$2)</f>
        <v/>
      </c>
      <c r="AF240">
        <f>AND(AE240,OR(AND(O240="כן",U240="כן"),AND(P240="כן",V240="כן")))</f>
        <v/>
      </c>
      <c r="AG240">
        <f>AND(AE240,OR(O240="כן",P240="כן"),NOT(OR(AND(O240="כן",U240="כן"),AND(P240="כן",V240="כן"))))</f>
        <v/>
      </c>
      <c r="AH240">
        <f>AND(AE240,OR(U240="כן",V240="כן"),NOT(OR(O240="כן",P240="כן")))</f>
        <v/>
      </c>
      <c r="AI240">
        <f>AND(X240="מושאל",AB240&lt;&gt;"",AB240&lt;TODAY())</f>
        <v/>
      </c>
    </row>
    <row r="241">
      <c r="E241">
        <f>IFERROR(INDEX('הגדרות'!$D$104:$D$123,MATCH(B241&amp;G241&amp;C241,'הגדרות'!$A$104:$A$123&amp;'הגדרות'!$B$104:$B$123&amp;'הגדרות'!$C$104:$C$123,0)),"")</f>
        <v/>
      </c>
      <c r="F241" s="6" t="n"/>
      <c r="Q241">
        <f>IFERROR(VLOOKUP(M241,'הגדרות'!$A$11:$D$25,2,FALSE),"")</f>
        <v/>
      </c>
      <c r="R241">
        <f>IFERROR(VLOOKUP(M241,'הגדרות'!$A$11:$D$25,3,FALSE),"")</f>
        <v/>
      </c>
      <c r="S241">
        <f>IFERROR(VLOOKUP(N241,'הגדרות'!$A$11:$D$25,2,FALSE),"")</f>
        <v/>
      </c>
      <c r="T241">
        <f>IFERROR(VLOOKUP(N241,'הגדרות'!$A$11:$D$25,3,FALSE),"")</f>
        <v/>
      </c>
      <c r="AB241" s="6" t="n"/>
      <c r="AE241">
        <f>OR(Q241='לוח בקרה'!$B$2,R241='לוח בקרה'!$B$2,S241='לוח בקרה'!$B$2,T241='לוח בקרה'!$B$2)</f>
        <v/>
      </c>
      <c r="AF241">
        <f>AND(AE241,OR(AND(O241="כן",U241="כן"),AND(P241="כן",V241="כן")))</f>
        <v/>
      </c>
      <c r="AG241">
        <f>AND(AE241,OR(O241="כן",P241="כן"),NOT(OR(AND(O241="כן",U241="כן"),AND(P241="כן",V241="כן"))))</f>
        <v/>
      </c>
      <c r="AH241">
        <f>AND(AE241,OR(U241="כן",V241="כן"),NOT(OR(O241="כן",P241="כן")))</f>
        <v/>
      </c>
      <c r="AI241">
        <f>AND(X241="מושאל",AB241&lt;&gt;"",AB241&lt;TODAY())</f>
        <v/>
      </c>
    </row>
    <row r="242">
      <c r="E242">
        <f>IFERROR(INDEX('הגדרות'!$D$104:$D$123,MATCH(B242&amp;G242&amp;C242,'הגדרות'!$A$104:$A$123&amp;'הגדרות'!$B$104:$B$123&amp;'הגדרות'!$C$104:$C$123,0)),"")</f>
        <v/>
      </c>
      <c r="F242" s="6" t="n"/>
      <c r="Q242">
        <f>IFERROR(VLOOKUP(M242,'הגדרות'!$A$11:$D$25,2,FALSE),"")</f>
        <v/>
      </c>
      <c r="R242">
        <f>IFERROR(VLOOKUP(M242,'הגדרות'!$A$11:$D$25,3,FALSE),"")</f>
        <v/>
      </c>
      <c r="S242">
        <f>IFERROR(VLOOKUP(N242,'הגדרות'!$A$11:$D$25,2,FALSE),"")</f>
        <v/>
      </c>
      <c r="T242">
        <f>IFERROR(VLOOKUP(N242,'הגדרות'!$A$11:$D$25,3,FALSE),"")</f>
        <v/>
      </c>
      <c r="AB242" s="6" t="n"/>
      <c r="AE242">
        <f>OR(Q242='לוח בקרה'!$B$2,R242='לוח בקרה'!$B$2,S242='לוח בקרה'!$B$2,T242='לוח בקרה'!$B$2)</f>
        <v/>
      </c>
      <c r="AF242">
        <f>AND(AE242,OR(AND(O242="כן",U242="כן"),AND(P242="כן",V242="כן")))</f>
        <v/>
      </c>
      <c r="AG242">
        <f>AND(AE242,OR(O242="כן",P242="כן"),NOT(OR(AND(O242="כן",U242="כן"),AND(P242="כן",V242="כן"))))</f>
        <v/>
      </c>
      <c r="AH242">
        <f>AND(AE242,OR(U242="כן",V242="כן"),NOT(OR(O242="כן",P242="כן")))</f>
        <v/>
      </c>
      <c r="AI242">
        <f>AND(X242="מושאל",AB242&lt;&gt;"",AB242&lt;TODAY())</f>
        <v/>
      </c>
    </row>
    <row r="243">
      <c r="E243">
        <f>IFERROR(INDEX('הגדרות'!$D$104:$D$123,MATCH(B243&amp;G243&amp;C243,'הגדרות'!$A$104:$A$123&amp;'הגדרות'!$B$104:$B$123&amp;'הגדרות'!$C$104:$C$123,0)),"")</f>
        <v/>
      </c>
      <c r="F243" s="6" t="n"/>
      <c r="Q243">
        <f>IFERROR(VLOOKUP(M243,'הגדרות'!$A$11:$D$25,2,FALSE),"")</f>
        <v/>
      </c>
      <c r="R243">
        <f>IFERROR(VLOOKUP(M243,'הגדרות'!$A$11:$D$25,3,FALSE),"")</f>
        <v/>
      </c>
      <c r="S243">
        <f>IFERROR(VLOOKUP(N243,'הגדרות'!$A$11:$D$25,2,FALSE),"")</f>
        <v/>
      </c>
      <c r="T243">
        <f>IFERROR(VLOOKUP(N243,'הגדרות'!$A$11:$D$25,3,FALSE),"")</f>
        <v/>
      </c>
      <c r="AB243" s="6" t="n"/>
      <c r="AE243">
        <f>OR(Q243='לוח בקרה'!$B$2,R243='לוח בקרה'!$B$2,S243='לוח בקרה'!$B$2,T243='לוח בקרה'!$B$2)</f>
        <v/>
      </c>
      <c r="AF243">
        <f>AND(AE243,OR(AND(O243="כן",U243="כן"),AND(P243="כן",V243="כן")))</f>
        <v/>
      </c>
      <c r="AG243">
        <f>AND(AE243,OR(O243="כן",P243="כן"),NOT(OR(AND(O243="כן",U243="כן"),AND(P243="כן",V243="כן"))))</f>
        <v/>
      </c>
      <c r="AH243">
        <f>AND(AE243,OR(U243="כן",V243="כן"),NOT(OR(O243="כן",P243="כן")))</f>
        <v/>
      </c>
      <c r="AI243">
        <f>AND(X243="מושאל",AB243&lt;&gt;"",AB243&lt;TODAY())</f>
        <v/>
      </c>
    </row>
    <row r="244">
      <c r="E244">
        <f>IFERROR(INDEX('הגדרות'!$D$104:$D$123,MATCH(B244&amp;G244&amp;C244,'הגדרות'!$A$104:$A$123&amp;'הגדרות'!$B$104:$B$123&amp;'הגדרות'!$C$104:$C$123,0)),"")</f>
        <v/>
      </c>
      <c r="F244" s="6" t="n"/>
      <c r="Q244">
        <f>IFERROR(VLOOKUP(M244,'הגדרות'!$A$11:$D$25,2,FALSE),"")</f>
        <v/>
      </c>
      <c r="R244">
        <f>IFERROR(VLOOKUP(M244,'הגדרות'!$A$11:$D$25,3,FALSE),"")</f>
        <v/>
      </c>
      <c r="S244">
        <f>IFERROR(VLOOKUP(N244,'הגדרות'!$A$11:$D$25,2,FALSE),"")</f>
        <v/>
      </c>
      <c r="T244">
        <f>IFERROR(VLOOKUP(N244,'הגדרות'!$A$11:$D$25,3,FALSE),"")</f>
        <v/>
      </c>
      <c r="AB244" s="6" t="n"/>
      <c r="AE244">
        <f>OR(Q244='לוח בקרה'!$B$2,R244='לוח בקרה'!$B$2,S244='לוח בקרה'!$B$2,T244='לוח בקרה'!$B$2)</f>
        <v/>
      </c>
      <c r="AF244">
        <f>AND(AE244,OR(AND(O244="כן",U244="כן"),AND(P244="כן",V244="כן")))</f>
        <v/>
      </c>
      <c r="AG244">
        <f>AND(AE244,OR(O244="כן",P244="כן"),NOT(OR(AND(O244="כן",U244="כן"),AND(P244="כן",V244="כן"))))</f>
        <v/>
      </c>
      <c r="AH244">
        <f>AND(AE244,OR(U244="כן",V244="כן"),NOT(OR(O244="כן",P244="כן")))</f>
        <v/>
      </c>
      <c r="AI244">
        <f>AND(X244="מושאל",AB244&lt;&gt;"",AB244&lt;TODAY())</f>
        <v/>
      </c>
    </row>
    <row r="245">
      <c r="E245">
        <f>IFERROR(INDEX('הגדרות'!$D$104:$D$123,MATCH(B245&amp;G245&amp;C245,'הגדרות'!$A$104:$A$123&amp;'הגדרות'!$B$104:$B$123&amp;'הגדרות'!$C$104:$C$123,0)),"")</f>
        <v/>
      </c>
      <c r="F245" s="6" t="n"/>
      <c r="Q245">
        <f>IFERROR(VLOOKUP(M245,'הגדרות'!$A$11:$D$25,2,FALSE),"")</f>
        <v/>
      </c>
      <c r="R245">
        <f>IFERROR(VLOOKUP(M245,'הגדרות'!$A$11:$D$25,3,FALSE),"")</f>
        <v/>
      </c>
      <c r="S245">
        <f>IFERROR(VLOOKUP(N245,'הגדרות'!$A$11:$D$25,2,FALSE),"")</f>
        <v/>
      </c>
      <c r="T245">
        <f>IFERROR(VLOOKUP(N245,'הגדרות'!$A$11:$D$25,3,FALSE),"")</f>
        <v/>
      </c>
      <c r="AB245" s="6" t="n"/>
      <c r="AE245">
        <f>OR(Q245='לוח בקרה'!$B$2,R245='לוח בקרה'!$B$2,S245='לוח בקרה'!$B$2,T245='לוח בקרה'!$B$2)</f>
        <v/>
      </c>
      <c r="AF245">
        <f>AND(AE245,OR(AND(O245="כן",U245="כן"),AND(P245="כן",V245="כן")))</f>
        <v/>
      </c>
      <c r="AG245">
        <f>AND(AE245,OR(O245="כן",P245="כן"),NOT(OR(AND(O245="כן",U245="כן"),AND(P245="כן",V245="כן"))))</f>
        <v/>
      </c>
      <c r="AH245">
        <f>AND(AE245,OR(U245="כן",V245="כן"),NOT(OR(O245="כן",P245="כן")))</f>
        <v/>
      </c>
      <c r="AI245">
        <f>AND(X245="מושאל",AB245&lt;&gt;"",AB245&lt;TODAY())</f>
        <v/>
      </c>
    </row>
    <row r="246">
      <c r="E246">
        <f>IFERROR(INDEX('הגדרות'!$D$104:$D$123,MATCH(B246&amp;G246&amp;C246,'הגדרות'!$A$104:$A$123&amp;'הגדרות'!$B$104:$B$123&amp;'הגדרות'!$C$104:$C$123,0)),"")</f>
        <v/>
      </c>
      <c r="F246" s="6" t="n"/>
      <c r="Q246">
        <f>IFERROR(VLOOKUP(M246,'הגדרות'!$A$11:$D$25,2,FALSE),"")</f>
        <v/>
      </c>
      <c r="R246">
        <f>IFERROR(VLOOKUP(M246,'הגדרות'!$A$11:$D$25,3,FALSE),"")</f>
        <v/>
      </c>
      <c r="S246">
        <f>IFERROR(VLOOKUP(N246,'הגדרות'!$A$11:$D$25,2,FALSE),"")</f>
        <v/>
      </c>
      <c r="T246">
        <f>IFERROR(VLOOKUP(N246,'הגדרות'!$A$11:$D$25,3,FALSE),"")</f>
        <v/>
      </c>
      <c r="AB246" s="6" t="n"/>
      <c r="AE246">
        <f>OR(Q246='לוח בקרה'!$B$2,R246='לוח בקרה'!$B$2,S246='לוח בקרה'!$B$2,T246='לוח בקרה'!$B$2)</f>
        <v/>
      </c>
      <c r="AF246">
        <f>AND(AE246,OR(AND(O246="כן",U246="כן"),AND(P246="כן",V246="כן")))</f>
        <v/>
      </c>
      <c r="AG246">
        <f>AND(AE246,OR(O246="כן",P246="כן"),NOT(OR(AND(O246="כן",U246="כן"),AND(P246="כן",V246="כן"))))</f>
        <v/>
      </c>
      <c r="AH246">
        <f>AND(AE246,OR(U246="כן",V246="כן"),NOT(OR(O246="כן",P246="כן")))</f>
        <v/>
      </c>
      <c r="AI246">
        <f>AND(X246="מושאל",AB246&lt;&gt;"",AB246&lt;TODAY())</f>
        <v/>
      </c>
    </row>
    <row r="247">
      <c r="E247">
        <f>IFERROR(INDEX('הגדרות'!$D$104:$D$123,MATCH(B247&amp;G247&amp;C247,'הגדרות'!$A$104:$A$123&amp;'הגדרות'!$B$104:$B$123&amp;'הגדרות'!$C$104:$C$123,0)),"")</f>
        <v/>
      </c>
      <c r="F247" s="6" t="n"/>
      <c r="Q247">
        <f>IFERROR(VLOOKUP(M247,'הגדרות'!$A$11:$D$25,2,FALSE),"")</f>
        <v/>
      </c>
      <c r="R247">
        <f>IFERROR(VLOOKUP(M247,'הגדרות'!$A$11:$D$25,3,FALSE),"")</f>
        <v/>
      </c>
      <c r="S247">
        <f>IFERROR(VLOOKUP(N247,'הגדרות'!$A$11:$D$25,2,FALSE),"")</f>
        <v/>
      </c>
      <c r="T247">
        <f>IFERROR(VLOOKUP(N247,'הגדרות'!$A$11:$D$25,3,FALSE),"")</f>
        <v/>
      </c>
      <c r="AB247" s="6" t="n"/>
      <c r="AE247">
        <f>OR(Q247='לוח בקרה'!$B$2,R247='לוח בקרה'!$B$2,S247='לוח בקרה'!$B$2,T247='לוח בקרה'!$B$2)</f>
        <v/>
      </c>
      <c r="AF247">
        <f>AND(AE247,OR(AND(O247="כן",U247="כן"),AND(P247="כן",V247="כן")))</f>
        <v/>
      </c>
      <c r="AG247">
        <f>AND(AE247,OR(O247="כן",P247="כן"),NOT(OR(AND(O247="כן",U247="כן"),AND(P247="כן",V247="כן"))))</f>
        <v/>
      </c>
      <c r="AH247">
        <f>AND(AE247,OR(U247="כן",V247="כן"),NOT(OR(O247="כן",P247="כן")))</f>
        <v/>
      </c>
      <c r="AI247">
        <f>AND(X247="מושאל",AB247&lt;&gt;"",AB247&lt;TODAY())</f>
        <v/>
      </c>
    </row>
    <row r="248">
      <c r="E248">
        <f>IFERROR(INDEX('הגדרות'!$D$104:$D$123,MATCH(B248&amp;G248&amp;C248,'הגדרות'!$A$104:$A$123&amp;'הגדרות'!$B$104:$B$123&amp;'הגדרות'!$C$104:$C$123,0)),"")</f>
        <v/>
      </c>
      <c r="F248" s="6" t="n"/>
      <c r="Q248">
        <f>IFERROR(VLOOKUP(M248,'הגדרות'!$A$11:$D$25,2,FALSE),"")</f>
        <v/>
      </c>
      <c r="R248">
        <f>IFERROR(VLOOKUP(M248,'הגדרות'!$A$11:$D$25,3,FALSE),"")</f>
        <v/>
      </c>
      <c r="S248">
        <f>IFERROR(VLOOKUP(N248,'הגדרות'!$A$11:$D$25,2,FALSE),"")</f>
        <v/>
      </c>
      <c r="T248">
        <f>IFERROR(VLOOKUP(N248,'הגדרות'!$A$11:$D$25,3,FALSE),"")</f>
        <v/>
      </c>
      <c r="AB248" s="6" t="n"/>
      <c r="AE248">
        <f>OR(Q248='לוח בקרה'!$B$2,R248='לוח בקרה'!$B$2,S248='לוח בקרה'!$B$2,T248='לוח בקרה'!$B$2)</f>
        <v/>
      </c>
      <c r="AF248">
        <f>AND(AE248,OR(AND(O248="כן",U248="כן"),AND(P248="כן",V248="כן")))</f>
        <v/>
      </c>
      <c r="AG248">
        <f>AND(AE248,OR(O248="כן",P248="כן"),NOT(OR(AND(O248="כן",U248="כן"),AND(P248="כן",V248="כן"))))</f>
        <v/>
      </c>
      <c r="AH248">
        <f>AND(AE248,OR(U248="כן",V248="כן"),NOT(OR(O248="כן",P248="כן")))</f>
        <v/>
      </c>
      <c r="AI248">
        <f>AND(X248="מושאל",AB248&lt;&gt;"",AB248&lt;TODAY())</f>
        <v/>
      </c>
    </row>
    <row r="249">
      <c r="E249">
        <f>IFERROR(INDEX('הגדרות'!$D$104:$D$123,MATCH(B249&amp;G249&amp;C249,'הגדרות'!$A$104:$A$123&amp;'הגדרות'!$B$104:$B$123&amp;'הגדרות'!$C$104:$C$123,0)),"")</f>
        <v/>
      </c>
      <c r="F249" s="6" t="n"/>
      <c r="Q249">
        <f>IFERROR(VLOOKUP(M249,'הגדרות'!$A$11:$D$25,2,FALSE),"")</f>
        <v/>
      </c>
      <c r="R249">
        <f>IFERROR(VLOOKUP(M249,'הגדרות'!$A$11:$D$25,3,FALSE),"")</f>
        <v/>
      </c>
      <c r="S249">
        <f>IFERROR(VLOOKUP(N249,'הגדרות'!$A$11:$D$25,2,FALSE),"")</f>
        <v/>
      </c>
      <c r="T249">
        <f>IFERROR(VLOOKUP(N249,'הגדרות'!$A$11:$D$25,3,FALSE),"")</f>
        <v/>
      </c>
      <c r="AB249" s="6" t="n"/>
      <c r="AE249">
        <f>OR(Q249='לוח בקרה'!$B$2,R249='לוח בקרה'!$B$2,S249='לוח בקרה'!$B$2,T249='לוח בקרה'!$B$2)</f>
        <v/>
      </c>
      <c r="AF249">
        <f>AND(AE249,OR(AND(O249="כן",U249="כן"),AND(P249="כן",V249="כן")))</f>
        <v/>
      </c>
      <c r="AG249">
        <f>AND(AE249,OR(O249="כן",P249="כן"),NOT(OR(AND(O249="כן",U249="כן"),AND(P249="כן",V249="כן"))))</f>
        <v/>
      </c>
      <c r="AH249">
        <f>AND(AE249,OR(U249="כן",V249="כן"),NOT(OR(O249="כן",P249="כן")))</f>
        <v/>
      </c>
      <c r="AI249">
        <f>AND(X249="מושאל",AB249&lt;&gt;"",AB249&lt;TODAY())</f>
        <v/>
      </c>
    </row>
    <row r="250">
      <c r="E250">
        <f>IFERROR(INDEX('הגדרות'!$D$104:$D$123,MATCH(B250&amp;G250&amp;C250,'הגדרות'!$A$104:$A$123&amp;'הגדרות'!$B$104:$B$123&amp;'הגדרות'!$C$104:$C$123,0)),"")</f>
        <v/>
      </c>
      <c r="F250" s="6" t="n"/>
      <c r="Q250">
        <f>IFERROR(VLOOKUP(M250,'הגדרות'!$A$11:$D$25,2,FALSE),"")</f>
        <v/>
      </c>
      <c r="R250">
        <f>IFERROR(VLOOKUP(M250,'הגדרות'!$A$11:$D$25,3,FALSE),"")</f>
        <v/>
      </c>
      <c r="S250">
        <f>IFERROR(VLOOKUP(N250,'הגדרות'!$A$11:$D$25,2,FALSE),"")</f>
        <v/>
      </c>
      <c r="T250">
        <f>IFERROR(VLOOKUP(N250,'הגדרות'!$A$11:$D$25,3,FALSE),"")</f>
        <v/>
      </c>
      <c r="AB250" s="6" t="n"/>
      <c r="AE250">
        <f>OR(Q250='לוח בקרה'!$B$2,R250='לוח בקרה'!$B$2,S250='לוח בקרה'!$B$2,T250='לוח בקרה'!$B$2)</f>
        <v/>
      </c>
      <c r="AF250">
        <f>AND(AE250,OR(AND(O250="כן",U250="כן"),AND(P250="כן",V250="כן")))</f>
        <v/>
      </c>
      <c r="AG250">
        <f>AND(AE250,OR(O250="כן",P250="כן"),NOT(OR(AND(O250="כן",U250="כן"),AND(P250="כן",V250="כן"))))</f>
        <v/>
      </c>
      <c r="AH250">
        <f>AND(AE250,OR(U250="כן",V250="כן"),NOT(OR(O250="כן",P250="כן")))</f>
        <v/>
      </c>
      <c r="AI250">
        <f>AND(X250="מושאל",AB250&lt;&gt;"",AB250&lt;TODAY())</f>
        <v/>
      </c>
    </row>
    <row r="251">
      <c r="E251">
        <f>IFERROR(INDEX('הגדרות'!$D$104:$D$123,MATCH(B251&amp;G251&amp;C251,'הגדרות'!$A$104:$A$123&amp;'הגדרות'!$B$104:$B$123&amp;'הגדרות'!$C$104:$C$123,0)),"")</f>
        <v/>
      </c>
      <c r="F251" s="6" t="n"/>
      <c r="Q251">
        <f>IFERROR(VLOOKUP(M251,'הגדרות'!$A$11:$D$25,2,FALSE),"")</f>
        <v/>
      </c>
      <c r="R251">
        <f>IFERROR(VLOOKUP(M251,'הגדרות'!$A$11:$D$25,3,FALSE),"")</f>
        <v/>
      </c>
      <c r="S251">
        <f>IFERROR(VLOOKUP(N251,'הגדרות'!$A$11:$D$25,2,FALSE),"")</f>
        <v/>
      </c>
      <c r="T251">
        <f>IFERROR(VLOOKUP(N251,'הגדרות'!$A$11:$D$25,3,FALSE),"")</f>
        <v/>
      </c>
      <c r="AB251" s="6" t="n"/>
      <c r="AE251">
        <f>OR(Q251='לוח בקרה'!$B$2,R251='לוח בקרה'!$B$2,S251='לוח בקרה'!$B$2,T251='לוח בקרה'!$B$2)</f>
        <v/>
      </c>
      <c r="AF251">
        <f>AND(AE251,OR(AND(O251="כן",U251="כן"),AND(P251="כן",V251="כן")))</f>
        <v/>
      </c>
      <c r="AG251">
        <f>AND(AE251,OR(O251="כן",P251="כן"),NOT(OR(AND(O251="כן",U251="כן"),AND(P251="כן",V251="כן"))))</f>
        <v/>
      </c>
      <c r="AH251">
        <f>AND(AE251,OR(U251="כן",V251="כן"),NOT(OR(O251="כן",P251="כן")))</f>
        <v/>
      </c>
      <c r="AI251">
        <f>AND(X251="מושאל",AB251&lt;&gt;"",AB251&lt;TODAY())</f>
        <v/>
      </c>
    </row>
    <row r="252">
      <c r="E252">
        <f>IFERROR(INDEX('הגדרות'!$D$104:$D$123,MATCH(B252&amp;G252&amp;C252,'הגדרות'!$A$104:$A$123&amp;'הגדרות'!$B$104:$B$123&amp;'הגדרות'!$C$104:$C$123,0)),"")</f>
        <v/>
      </c>
      <c r="F252" s="6" t="n"/>
      <c r="Q252">
        <f>IFERROR(VLOOKUP(M252,'הגדרות'!$A$11:$D$25,2,FALSE),"")</f>
        <v/>
      </c>
      <c r="R252">
        <f>IFERROR(VLOOKUP(M252,'הגדרות'!$A$11:$D$25,3,FALSE),"")</f>
        <v/>
      </c>
      <c r="S252">
        <f>IFERROR(VLOOKUP(N252,'הגדרות'!$A$11:$D$25,2,FALSE),"")</f>
        <v/>
      </c>
      <c r="T252">
        <f>IFERROR(VLOOKUP(N252,'הגדרות'!$A$11:$D$25,3,FALSE),"")</f>
        <v/>
      </c>
      <c r="AB252" s="6" t="n"/>
      <c r="AE252">
        <f>OR(Q252='לוח בקרה'!$B$2,R252='לוח בקרה'!$B$2,S252='לוח בקרה'!$B$2,T252='לוח בקרה'!$B$2)</f>
        <v/>
      </c>
      <c r="AF252">
        <f>AND(AE252,OR(AND(O252="כן",U252="כן"),AND(P252="כן",V252="כן")))</f>
        <v/>
      </c>
      <c r="AG252">
        <f>AND(AE252,OR(O252="כן",P252="כן"),NOT(OR(AND(O252="כן",U252="כן"),AND(P252="כן",V252="כן"))))</f>
        <v/>
      </c>
      <c r="AH252">
        <f>AND(AE252,OR(U252="כן",V252="כן"),NOT(OR(O252="כן",P252="כן")))</f>
        <v/>
      </c>
      <c r="AI252">
        <f>AND(X252="מושאל",AB252&lt;&gt;"",AB252&lt;TODAY())</f>
        <v/>
      </c>
    </row>
    <row r="253">
      <c r="E253">
        <f>IFERROR(INDEX('הגדרות'!$D$104:$D$123,MATCH(B253&amp;G253&amp;C253,'הגדרות'!$A$104:$A$123&amp;'הגדרות'!$B$104:$B$123&amp;'הגדרות'!$C$104:$C$123,0)),"")</f>
        <v/>
      </c>
      <c r="F253" s="6" t="n"/>
      <c r="Q253">
        <f>IFERROR(VLOOKUP(M253,'הגדרות'!$A$11:$D$25,2,FALSE),"")</f>
        <v/>
      </c>
      <c r="R253">
        <f>IFERROR(VLOOKUP(M253,'הגדרות'!$A$11:$D$25,3,FALSE),"")</f>
        <v/>
      </c>
      <c r="S253">
        <f>IFERROR(VLOOKUP(N253,'הגדרות'!$A$11:$D$25,2,FALSE),"")</f>
        <v/>
      </c>
      <c r="T253">
        <f>IFERROR(VLOOKUP(N253,'הגדרות'!$A$11:$D$25,3,FALSE),"")</f>
        <v/>
      </c>
      <c r="AB253" s="6" t="n"/>
      <c r="AE253">
        <f>OR(Q253='לוח בקרה'!$B$2,R253='לוח בקרה'!$B$2,S253='לוח בקרה'!$B$2,T253='לוח בקרה'!$B$2)</f>
        <v/>
      </c>
      <c r="AF253">
        <f>AND(AE253,OR(AND(O253="כן",U253="כן"),AND(P253="כן",V253="כן")))</f>
        <v/>
      </c>
      <c r="AG253">
        <f>AND(AE253,OR(O253="כן",P253="כן"),NOT(OR(AND(O253="כן",U253="כן"),AND(P253="כן",V253="כן"))))</f>
        <v/>
      </c>
      <c r="AH253">
        <f>AND(AE253,OR(U253="כן",V253="כן"),NOT(OR(O253="כן",P253="כן")))</f>
        <v/>
      </c>
      <c r="AI253">
        <f>AND(X253="מושאל",AB253&lt;&gt;"",AB253&lt;TODAY())</f>
        <v/>
      </c>
    </row>
    <row r="254">
      <c r="E254">
        <f>IFERROR(INDEX('הגדרות'!$D$104:$D$123,MATCH(B254&amp;G254&amp;C254,'הגדרות'!$A$104:$A$123&amp;'הגדרות'!$B$104:$B$123&amp;'הגדרות'!$C$104:$C$123,0)),"")</f>
        <v/>
      </c>
      <c r="F254" s="6" t="n"/>
      <c r="Q254">
        <f>IFERROR(VLOOKUP(M254,'הגדרות'!$A$11:$D$25,2,FALSE),"")</f>
        <v/>
      </c>
      <c r="R254">
        <f>IFERROR(VLOOKUP(M254,'הגדרות'!$A$11:$D$25,3,FALSE),"")</f>
        <v/>
      </c>
      <c r="S254">
        <f>IFERROR(VLOOKUP(N254,'הגדרות'!$A$11:$D$25,2,FALSE),"")</f>
        <v/>
      </c>
      <c r="T254">
        <f>IFERROR(VLOOKUP(N254,'הגדרות'!$A$11:$D$25,3,FALSE),"")</f>
        <v/>
      </c>
      <c r="AB254" s="6" t="n"/>
      <c r="AE254">
        <f>OR(Q254='לוח בקרה'!$B$2,R254='לוח בקרה'!$B$2,S254='לוח בקרה'!$B$2,T254='לוח בקרה'!$B$2)</f>
        <v/>
      </c>
      <c r="AF254">
        <f>AND(AE254,OR(AND(O254="כן",U254="כן"),AND(P254="כן",V254="כן")))</f>
        <v/>
      </c>
      <c r="AG254">
        <f>AND(AE254,OR(O254="כן",P254="כן"),NOT(OR(AND(O254="כן",U254="כן"),AND(P254="כן",V254="כן"))))</f>
        <v/>
      </c>
      <c r="AH254">
        <f>AND(AE254,OR(U254="כן",V254="כן"),NOT(OR(O254="כן",P254="כן")))</f>
        <v/>
      </c>
      <c r="AI254">
        <f>AND(X254="מושאל",AB254&lt;&gt;"",AB254&lt;TODAY())</f>
        <v/>
      </c>
    </row>
    <row r="255">
      <c r="E255">
        <f>IFERROR(INDEX('הגדרות'!$D$104:$D$123,MATCH(B255&amp;G255&amp;C255,'הגדרות'!$A$104:$A$123&amp;'הגדרות'!$B$104:$B$123&amp;'הגדרות'!$C$104:$C$123,0)),"")</f>
        <v/>
      </c>
      <c r="F255" s="6" t="n"/>
      <c r="Q255">
        <f>IFERROR(VLOOKUP(M255,'הגדרות'!$A$11:$D$25,2,FALSE),"")</f>
        <v/>
      </c>
      <c r="R255">
        <f>IFERROR(VLOOKUP(M255,'הגדרות'!$A$11:$D$25,3,FALSE),"")</f>
        <v/>
      </c>
      <c r="S255">
        <f>IFERROR(VLOOKUP(N255,'הגדרות'!$A$11:$D$25,2,FALSE),"")</f>
        <v/>
      </c>
      <c r="T255">
        <f>IFERROR(VLOOKUP(N255,'הגדרות'!$A$11:$D$25,3,FALSE),"")</f>
        <v/>
      </c>
      <c r="AB255" s="6" t="n"/>
      <c r="AE255">
        <f>OR(Q255='לוח בקרה'!$B$2,R255='לוח בקרה'!$B$2,S255='לוח בקרה'!$B$2,T255='לוח בקרה'!$B$2)</f>
        <v/>
      </c>
      <c r="AF255">
        <f>AND(AE255,OR(AND(O255="כן",U255="כן"),AND(P255="כן",V255="כן")))</f>
        <v/>
      </c>
      <c r="AG255">
        <f>AND(AE255,OR(O255="כן",P255="כן"),NOT(OR(AND(O255="כן",U255="כן"),AND(P255="כן",V255="כן"))))</f>
        <v/>
      </c>
      <c r="AH255">
        <f>AND(AE255,OR(U255="כן",V255="כן"),NOT(OR(O255="כן",P255="כן")))</f>
        <v/>
      </c>
      <c r="AI255">
        <f>AND(X255="מושאל",AB255&lt;&gt;"",AB255&lt;TODAY())</f>
        <v/>
      </c>
    </row>
    <row r="256">
      <c r="E256">
        <f>IFERROR(INDEX('הגדרות'!$D$104:$D$123,MATCH(B256&amp;G256&amp;C256,'הגדרות'!$A$104:$A$123&amp;'הגדרות'!$B$104:$B$123&amp;'הגדרות'!$C$104:$C$123,0)),"")</f>
        <v/>
      </c>
      <c r="F256" s="6" t="n"/>
      <c r="Q256">
        <f>IFERROR(VLOOKUP(M256,'הגדרות'!$A$11:$D$25,2,FALSE),"")</f>
        <v/>
      </c>
      <c r="R256">
        <f>IFERROR(VLOOKUP(M256,'הגדרות'!$A$11:$D$25,3,FALSE),"")</f>
        <v/>
      </c>
      <c r="S256">
        <f>IFERROR(VLOOKUP(N256,'הגדרות'!$A$11:$D$25,2,FALSE),"")</f>
        <v/>
      </c>
      <c r="T256">
        <f>IFERROR(VLOOKUP(N256,'הגדרות'!$A$11:$D$25,3,FALSE),"")</f>
        <v/>
      </c>
      <c r="AB256" s="6" t="n"/>
      <c r="AE256">
        <f>OR(Q256='לוח בקרה'!$B$2,R256='לוח בקרה'!$B$2,S256='לוח בקרה'!$B$2,T256='לוח בקרה'!$B$2)</f>
        <v/>
      </c>
      <c r="AF256">
        <f>AND(AE256,OR(AND(O256="כן",U256="כן"),AND(P256="כן",V256="כן")))</f>
        <v/>
      </c>
      <c r="AG256">
        <f>AND(AE256,OR(O256="כן",P256="כן"),NOT(OR(AND(O256="כן",U256="כן"),AND(P256="כן",V256="כן"))))</f>
        <v/>
      </c>
      <c r="AH256">
        <f>AND(AE256,OR(U256="כן",V256="כן"),NOT(OR(O256="כן",P256="כן")))</f>
        <v/>
      </c>
      <c r="AI256">
        <f>AND(X256="מושאל",AB256&lt;&gt;"",AB256&lt;TODAY())</f>
        <v/>
      </c>
    </row>
    <row r="257">
      <c r="E257">
        <f>IFERROR(INDEX('הגדרות'!$D$104:$D$123,MATCH(B257&amp;G257&amp;C257,'הגדרות'!$A$104:$A$123&amp;'הגדרות'!$B$104:$B$123&amp;'הגדרות'!$C$104:$C$123,0)),"")</f>
        <v/>
      </c>
      <c r="F257" s="6" t="n"/>
      <c r="Q257">
        <f>IFERROR(VLOOKUP(M257,'הגדרות'!$A$11:$D$25,2,FALSE),"")</f>
        <v/>
      </c>
      <c r="R257">
        <f>IFERROR(VLOOKUP(M257,'הגדרות'!$A$11:$D$25,3,FALSE),"")</f>
        <v/>
      </c>
      <c r="S257">
        <f>IFERROR(VLOOKUP(N257,'הגדרות'!$A$11:$D$25,2,FALSE),"")</f>
        <v/>
      </c>
      <c r="T257">
        <f>IFERROR(VLOOKUP(N257,'הגדרות'!$A$11:$D$25,3,FALSE),"")</f>
        <v/>
      </c>
      <c r="AB257" s="6" t="n"/>
      <c r="AE257">
        <f>OR(Q257='לוח בקרה'!$B$2,R257='לוח בקרה'!$B$2,S257='לוח בקרה'!$B$2,T257='לוח בקרה'!$B$2)</f>
        <v/>
      </c>
      <c r="AF257">
        <f>AND(AE257,OR(AND(O257="כן",U257="כן"),AND(P257="כן",V257="כן")))</f>
        <v/>
      </c>
      <c r="AG257">
        <f>AND(AE257,OR(O257="כן",P257="כן"),NOT(OR(AND(O257="כן",U257="כן"),AND(P257="כן",V257="כן"))))</f>
        <v/>
      </c>
      <c r="AH257">
        <f>AND(AE257,OR(U257="כן",V257="כן"),NOT(OR(O257="כן",P257="כן")))</f>
        <v/>
      </c>
      <c r="AI257">
        <f>AND(X257="מושאל",AB257&lt;&gt;"",AB257&lt;TODAY())</f>
        <v/>
      </c>
    </row>
    <row r="258">
      <c r="E258">
        <f>IFERROR(INDEX('הגדרות'!$D$104:$D$123,MATCH(B258&amp;G258&amp;C258,'הגדרות'!$A$104:$A$123&amp;'הגדרות'!$B$104:$B$123&amp;'הגדרות'!$C$104:$C$123,0)),"")</f>
        <v/>
      </c>
      <c r="F258" s="6" t="n"/>
      <c r="Q258">
        <f>IFERROR(VLOOKUP(M258,'הגדרות'!$A$11:$D$25,2,FALSE),"")</f>
        <v/>
      </c>
      <c r="R258">
        <f>IFERROR(VLOOKUP(M258,'הגדרות'!$A$11:$D$25,3,FALSE),"")</f>
        <v/>
      </c>
      <c r="S258">
        <f>IFERROR(VLOOKUP(N258,'הגדרות'!$A$11:$D$25,2,FALSE),"")</f>
        <v/>
      </c>
      <c r="T258">
        <f>IFERROR(VLOOKUP(N258,'הגדרות'!$A$11:$D$25,3,FALSE),"")</f>
        <v/>
      </c>
      <c r="AB258" s="6" t="n"/>
      <c r="AE258">
        <f>OR(Q258='לוח בקרה'!$B$2,R258='לוח בקרה'!$B$2,S258='לוח בקרה'!$B$2,T258='לוח בקרה'!$B$2)</f>
        <v/>
      </c>
      <c r="AF258">
        <f>AND(AE258,OR(AND(O258="כן",U258="כן"),AND(P258="כן",V258="כן")))</f>
        <v/>
      </c>
      <c r="AG258">
        <f>AND(AE258,OR(O258="כן",P258="כן"),NOT(OR(AND(O258="כן",U258="כן"),AND(P258="כן",V258="כן"))))</f>
        <v/>
      </c>
      <c r="AH258">
        <f>AND(AE258,OR(U258="כן",V258="כן"),NOT(OR(O258="כן",P258="כן")))</f>
        <v/>
      </c>
      <c r="AI258">
        <f>AND(X258="מושאל",AB258&lt;&gt;"",AB258&lt;TODAY())</f>
        <v/>
      </c>
    </row>
    <row r="259">
      <c r="E259">
        <f>IFERROR(INDEX('הגדרות'!$D$104:$D$123,MATCH(B259&amp;G259&amp;C259,'הגדרות'!$A$104:$A$123&amp;'הגדרות'!$B$104:$B$123&amp;'הגדרות'!$C$104:$C$123,0)),"")</f>
        <v/>
      </c>
      <c r="F259" s="6" t="n"/>
      <c r="Q259">
        <f>IFERROR(VLOOKUP(M259,'הגדרות'!$A$11:$D$25,2,FALSE),"")</f>
        <v/>
      </c>
      <c r="R259">
        <f>IFERROR(VLOOKUP(M259,'הגדרות'!$A$11:$D$25,3,FALSE),"")</f>
        <v/>
      </c>
      <c r="S259">
        <f>IFERROR(VLOOKUP(N259,'הגדרות'!$A$11:$D$25,2,FALSE),"")</f>
        <v/>
      </c>
      <c r="T259">
        <f>IFERROR(VLOOKUP(N259,'הגדרות'!$A$11:$D$25,3,FALSE),"")</f>
        <v/>
      </c>
      <c r="AB259" s="6" t="n"/>
      <c r="AE259">
        <f>OR(Q259='לוח בקרה'!$B$2,R259='לוח בקרה'!$B$2,S259='לוח בקרה'!$B$2,T259='לוח בקרה'!$B$2)</f>
        <v/>
      </c>
      <c r="AF259">
        <f>AND(AE259,OR(AND(O259="כן",U259="כן"),AND(P259="כן",V259="כן")))</f>
        <v/>
      </c>
      <c r="AG259">
        <f>AND(AE259,OR(O259="כן",P259="כן"),NOT(OR(AND(O259="כן",U259="כן"),AND(P259="כן",V259="כן"))))</f>
        <v/>
      </c>
      <c r="AH259">
        <f>AND(AE259,OR(U259="כן",V259="כן"),NOT(OR(O259="כן",P259="כן")))</f>
        <v/>
      </c>
      <c r="AI259">
        <f>AND(X259="מושאל",AB259&lt;&gt;"",AB259&lt;TODAY())</f>
        <v/>
      </c>
    </row>
    <row r="260">
      <c r="E260">
        <f>IFERROR(INDEX('הגדרות'!$D$104:$D$123,MATCH(B260&amp;G260&amp;C260,'הגדרות'!$A$104:$A$123&amp;'הגדרות'!$B$104:$B$123&amp;'הגדרות'!$C$104:$C$123,0)),"")</f>
        <v/>
      </c>
      <c r="F260" s="6" t="n"/>
      <c r="Q260">
        <f>IFERROR(VLOOKUP(M260,'הגדרות'!$A$11:$D$25,2,FALSE),"")</f>
        <v/>
      </c>
      <c r="R260">
        <f>IFERROR(VLOOKUP(M260,'הגדרות'!$A$11:$D$25,3,FALSE),"")</f>
        <v/>
      </c>
      <c r="S260">
        <f>IFERROR(VLOOKUP(N260,'הגדרות'!$A$11:$D$25,2,FALSE),"")</f>
        <v/>
      </c>
      <c r="T260">
        <f>IFERROR(VLOOKUP(N260,'הגדרות'!$A$11:$D$25,3,FALSE),"")</f>
        <v/>
      </c>
      <c r="AB260" s="6" t="n"/>
      <c r="AE260">
        <f>OR(Q260='לוח בקרה'!$B$2,R260='לוח בקרה'!$B$2,S260='לוח בקרה'!$B$2,T260='לוח בקרה'!$B$2)</f>
        <v/>
      </c>
      <c r="AF260">
        <f>AND(AE260,OR(AND(O260="כן",U260="כן"),AND(P260="כן",V260="כן")))</f>
        <v/>
      </c>
      <c r="AG260">
        <f>AND(AE260,OR(O260="כן",P260="כן"),NOT(OR(AND(O260="כן",U260="כן"),AND(P260="כן",V260="כן"))))</f>
        <v/>
      </c>
      <c r="AH260">
        <f>AND(AE260,OR(U260="כן",V260="כן"),NOT(OR(O260="כן",P260="כן")))</f>
        <v/>
      </c>
      <c r="AI260">
        <f>AND(X260="מושאל",AB260&lt;&gt;"",AB260&lt;TODAY())</f>
        <v/>
      </c>
    </row>
    <row r="261">
      <c r="E261">
        <f>IFERROR(INDEX('הגדרות'!$D$104:$D$123,MATCH(B261&amp;G261&amp;C261,'הגדרות'!$A$104:$A$123&amp;'הגדרות'!$B$104:$B$123&amp;'הגדרות'!$C$104:$C$123,0)),"")</f>
        <v/>
      </c>
      <c r="F261" s="6" t="n"/>
      <c r="Q261">
        <f>IFERROR(VLOOKUP(M261,'הגדרות'!$A$11:$D$25,2,FALSE),"")</f>
        <v/>
      </c>
      <c r="R261">
        <f>IFERROR(VLOOKUP(M261,'הגדרות'!$A$11:$D$25,3,FALSE),"")</f>
        <v/>
      </c>
      <c r="S261">
        <f>IFERROR(VLOOKUP(N261,'הגדרות'!$A$11:$D$25,2,FALSE),"")</f>
        <v/>
      </c>
      <c r="T261">
        <f>IFERROR(VLOOKUP(N261,'הגדרות'!$A$11:$D$25,3,FALSE),"")</f>
        <v/>
      </c>
      <c r="AB261" s="6" t="n"/>
      <c r="AE261">
        <f>OR(Q261='לוח בקרה'!$B$2,R261='לוח בקרה'!$B$2,S261='לוח בקרה'!$B$2,T261='לוח בקרה'!$B$2)</f>
        <v/>
      </c>
      <c r="AF261">
        <f>AND(AE261,OR(AND(O261="כן",U261="כן"),AND(P261="כן",V261="כן")))</f>
        <v/>
      </c>
      <c r="AG261">
        <f>AND(AE261,OR(O261="כן",P261="כן"),NOT(OR(AND(O261="כן",U261="כן"),AND(P261="כן",V261="כן"))))</f>
        <v/>
      </c>
      <c r="AH261">
        <f>AND(AE261,OR(U261="כן",V261="כן"),NOT(OR(O261="כן",P261="כן")))</f>
        <v/>
      </c>
      <c r="AI261">
        <f>AND(X261="מושאל",AB261&lt;&gt;"",AB261&lt;TODAY())</f>
        <v/>
      </c>
    </row>
    <row r="262">
      <c r="E262">
        <f>IFERROR(INDEX('הגדרות'!$D$104:$D$123,MATCH(B262&amp;G262&amp;C262,'הגדרות'!$A$104:$A$123&amp;'הגדרות'!$B$104:$B$123&amp;'הגדרות'!$C$104:$C$123,0)),"")</f>
        <v/>
      </c>
      <c r="F262" s="6" t="n"/>
      <c r="Q262">
        <f>IFERROR(VLOOKUP(M262,'הגדרות'!$A$11:$D$25,2,FALSE),"")</f>
        <v/>
      </c>
      <c r="R262">
        <f>IFERROR(VLOOKUP(M262,'הגדרות'!$A$11:$D$25,3,FALSE),"")</f>
        <v/>
      </c>
      <c r="S262">
        <f>IFERROR(VLOOKUP(N262,'הגדרות'!$A$11:$D$25,2,FALSE),"")</f>
        <v/>
      </c>
      <c r="T262">
        <f>IFERROR(VLOOKUP(N262,'הגדרות'!$A$11:$D$25,3,FALSE),"")</f>
        <v/>
      </c>
      <c r="AB262" s="6" t="n"/>
      <c r="AE262">
        <f>OR(Q262='לוח בקרה'!$B$2,R262='לוח בקרה'!$B$2,S262='לוח בקרה'!$B$2,T262='לוח בקרה'!$B$2)</f>
        <v/>
      </c>
      <c r="AF262">
        <f>AND(AE262,OR(AND(O262="כן",U262="כן"),AND(P262="כן",V262="כן")))</f>
        <v/>
      </c>
      <c r="AG262">
        <f>AND(AE262,OR(O262="כן",P262="כן"),NOT(OR(AND(O262="כן",U262="כן"),AND(P262="כן",V262="כן"))))</f>
        <v/>
      </c>
      <c r="AH262">
        <f>AND(AE262,OR(U262="כן",V262="כן"),NOT(OR(O262="כן",P262="כן")))</f>
        <v/>
      </c>
      <c r="AI262">
        <f>AND(X262="מושאל",AB262&lt;&gt;"",AB262&lt;TODAY())</f>
        <v/>
      </c>
    </row>
    <row r="263">
      <c r="E263">
        <f>IFERROR(INDEX('הגדרות'!$D$104:$D$123,MATCH(B263&amp;G263&amp;C263,'הגדרות'!$A$104:$A$123&amp;'הגדרות'!$B$104:$B$123&amp;'הגדרות'!$C$104:$C$123,0)),"")</f>
        <v/>
      </c>
      <c r="F263" s="6" t="n"/>
      <c r="Q263">
        <f>IFERROR(VLOOKUP(M263,'הגדרות'!$A$11:$D$25,2,FALSE),"")</f>
        <v/>
      </c>
      <c r="R263">
        <f>IFERROR(VLOOKUP(M263,'הגדרות'!$A$11:$D$25,3,FALSE),"")</f>
        <v/>
      </c>
      <c r="S263">
        <f>IFERROR(VLOOKUP(N263,'הגדרות'!$A$11:$D$25,2,FALSE),"")</f>
        <v/>
      </c>
      <c r="T263">
        <f>IFERROR(VLOOKUP(N263,'הגדרות'!$A$11:$D$25,3,FALSE),"")</f>
        <v/>
      </c>
      <c r="AB263" s="6" t="n"/>
      <c r="AE263">
        <f>OR(Q263='לוח בקרה'!$B$2,R263='לוח בקרה'!$B$2,S263='לוח בקרה'!$B$2,T263='לוח בקרה'!$B$2)</f>
        <v/>
      </c>
      <c r="AF263">
        <f>AND(AE263,OR(AND(O263="כן",U263="כן"),AND(P263="כן",V263="כן")))</f>
        <v/>
      </c>
      <c r="AG263">
        <f>AND(AE263,OR(O263="כן",P263="כן"),NOT(OR(AND(O263="כן",U263="כן"),AND(P263="כן",V263="כן"))))</f>
        <v/>
      </c>
      <c r="AH263">
        <f>AND(AE263,OR(U263="כן",V263="כן"),NOT(OR(O263="כן",P263="כן")))</f>
        <v/>
      </c>
      <c r="AI263">
        <f>AND(X263="מושאל",AB263&lt;&gt;"",AB263&lt;TODAY())</f>
        <v/>
      </c>
    </row>
    <row r="264">
      <c r="E264">
        <f>IFERROR(INDEX('הגדרות'!$D$104:$D$123,MATCH(B264&amp;G264&amp;C264,'הגדרות'!$A$104:$A$123&amp;'הגדרות'!$B$104:$B$123&amp;'הגדרות'!$C$104:$C$123,0)),"")</f>
        <v/>
      </c>
      <c r="F264" s="6" t="n"/>
      <c r="Q264">
        <f>IFERROR(VLOOKUP(M264,'הגדרות'!$A$11:$D$25,2,FALSE),"")</f>
        <v/>
      </c>
      <c r="R264">
        <f>IFERROR(VLOOKUP(M264,'הגדרות'!$A$11:$D$25,3,FALSE),"")</f>
        <v/>
      </c>
      <c r="S264">
        <f>IFERROR(VLOOKUP(N264,'הגדרות'!$A$11:$D$25,2,FALSE),"")</f>
        <v/>
      </c>
      <c r="T264">
        <f>IFERROR(VLOOKUP(N264,'הגדרות'!$A$11:$D$25,3,FALSE),"")</f>
        <v/>
      </c>
      <c r="AB264" s="6" t="n"/>
      <c r="AE264">
        <f>OR(Q264='לוח בקרה'!$B$2,R264='לוח בקרה'!$B$2,S264='לוח בקרה'!$B$2,T264='לוח בקרה'!$B$2)</f>
        <v/>
      </c>
      <c r="AF264">
        <f>AND(AE264,OR(AND(O264="כן",U264="כן"),AND(P264="כן",V264="כן")))</f>
        <v/>
      </c>
      <c r="AG264">
        <f>AND(AE264,OR(O264="כן",P264="כן"),NOT(OR(AND(O264="כן",U264="כן"),AND(P264="כן",V264="כן"))))</f>
        <v/>
      </c>
      <c r="AH264">
        <f>AND(AE264,OR(U264="כן",V264="כן"),NOT(OR(O264="כן",P264="כן")))</f>
        <v/>
      </c>
      <c r="AI264">
        <f>AND(X264="מושאל",AB264&lt;&gt;"",AB264&lt;TODAY())</f>
        <v/>
      </c>
    </row>
    <row r="265">
      <c r="E265">
        <f>IFERROR(INDEX('הגדרות'!$D$104:$D$123,MATCH(B265&amp;G265&amp;C265,'הגדרות'!$A$104:$A$123&amp;'הגדרות'!$B$104:$B$123&amp;'הגדרות'!$C$104:$C$123,0)),"")</f>
        <v/>
      </c>
      <c r="F265" s="6" t="n"/>
      <c r="Q265">
        <f>IFERROR(VLOOKUP(M265,'הגדרות'!$A$11:$D$25,2,FALSE),"")</f>
        <v/>
      </c>
      <c r="R265">
        <f>IFERROR(VLOOKUP(M265,'הגדרות'!$A$11:$D$25,3,FALSE),"")</f>
        <v/>
      </c>
      <c r="S265">
        <f>IFERROR(VLOOKUP(N265,'הגדרות'!$A$11:$D$25,2,FALSE),"")</f>
        <v/>
      </c>
      <c r="T265">
        <f>IFERROR(VLOOKUP(N265,'הגדרות'!$A$11:$D$25,3,FALSE),"")</f>
        <v/>
      </c>
      <c r="AB265" s="6" t="n"/>
      <c r="AE265">
        <f>OR(Q265='לוח בקרה'!$B$2,R265='לוח בקרה'!$B$2,S265='לוח בקרה'!$B$2,T265='לוח בקרה'!$B$2)</f>
        <v/>
      </c>
      <c r="AF265">
        <f>AND(AE265,OR(AND(O265="כן",U265="כן"),AND(P265="כן",V265="כן")))</f>
        <v/>
      </c>
      <c r="AG265">
        <f>AND(AE265,OR(O265="כן",P265="כן"),NOT(OR(AND(O265="כן",U265="כן"),AND(P265="כן",V265="כן"))))</f>
        <v/>
      </c>
      <c r="AH265">
        <f>AND(AE265,OR(U265="כן",V265="כן"),NOT(OR(O265="כן",P265="כן")))</f>
        <v/>
      </c>
      <c r="AI265">
        <f>AND(X265="מושאל",AB265&lt;&gt;"",AB265&lt;TODAY())</f>
        <v/>
      </c>
    </row>
    <row r="266">
      <c r="E266">
        <f>IFERROR(INDEX('הגדרות'!$D$104:$D$123,MATCH(B266&amp;G266&amp;C266,'הגדרות'!$A$104:$A$123&amp;'הגדרות'!$B$104:$B$123&amp;'הגדרות'!$C$104:$C$123,0)),"")</f>
        <v/>
      </c>
      <c r="F266" s="6" t="n"/>
      <c r="Q266">
        <f>IFERROR(VLOOKUP(M266,'הגדרות'!$A$11:$D$25,2,FALSE),"")</f>
        <v/>
      </c>
      <c r="R266">
        <f>IFERROR(VLOOKUP(M266,'הגדרות'!$A$11:$D$25,3,FALSE),"")</f>
        <v/>
      </c>
      <c r="S266">
        <f>IFERROR(VLOOKUP(N266,'הגדרות'!$A$11:$D$25,2,FALSE),"")</f>
        <v/>
      </c>
      <c r="T266">
        <f>IFERROR(VLOOKUP(N266,'הגדרות'!$A$11:$D$25,3,FALSE),"")</f>
        <v/>
      </c>
      <c r="AB266" s="6" t="n"/>
      <c r="AE266">
        <f>OR(Q266='לוח בקרה'!$B$2,R266='לוח בקרה'!$B$2,S266='לוח בקרה'!$B$2,T266='לוח בקרה'!$B$2)</f>
        <v/>
      </c>
      <c r="AF266">
        <f>AND(AE266,OR(AND(O266="כן",U266="כן"),AND(P266="כן",V266="כן")))</f>
        <v/>
      </c>
      <c r="AG266">
        <f>AND(AE266,OR(O266="כן",P266="כן"),NOT(OR(AND(O266="כן",U266="כן"),AND(P266="כן",V266="כן"))))</f>
        <v/>
      </c>
      <c r="AH266">
        <f>AND(AE266,OR(U266="כן",V266="כן"),NOT(OR(O266="כן",P266="כן")))</f>
        <v/>
      </c>
      <c r="AI266">
        <f>AND(X266="מושאל",AB266&lt;&gt;"",AB266&lt;TODAY())</f>
        <v/>
      </c>
    </row>
    <row r="267">
      <c r="E267">
        <f>IFERROR(INDEX('הגדרות'!$D$104:$D$123,MATCH(B267&amp;G267&amp;C267,'הגדרות'!$A$104:$A$123&amp;'הגדרות'!$B$104:$B$123&amp;'הגדרות'!$C$104:$C$123,0)),"")</f>
        <v/>
      </c>
      <c r="F267" s="6" t="n"/>
      <c r="Q267">
        <f>IFERROR(VLOOKUP(M267,'הגדרות'!$A$11:$D$25,2,FALSE),"")</f>
        <v/>
      </c>
      <c r="R267">
        <f>IFERROR(VLOOKUP(M267,'הגדרות'!$A$11:$D$25,3,FALSE),"")</f>
        <v/>
      </c>
      <c r="S267">
        <f>IFERROR(VLOOKUP(N267,'הגדרות'!$A$11:$D$25,2,FALSE),"")</f>
        <v/>
      </c>
      <c r="T267">
        <f>IFERROR(VLOOKUP(N267,'הגדרות'!$A$11:$D$25,3,FALSE),"")</f>
        <v/>
      </c>
      <c r="AB267" s="6" t="n"/>
      <c r="AE267">
        <f>OR(Q267='לוח בקרה'!$B$2,R267='לוח בקרה'!$B$2,S267='לוח בקרה'!$B$2,T267='לוח בקרה'!$B$2)</f>
        <v/>
      </c>
      <c r="AF267">
        <f>AND(AE267,OR(AND(O267="כן",U267="כן"),AND(P267="כן",V267="כן")))</f>
        <v/>
      </c>
      <c r="AG267">
        <f>AND(AE267,OR(O267="כן",P267="כן"),NOT(OR(AND(O267="כן",U267="כן"),AND(P267="כן",V267="כן"))))</f>
        <v/>
      </c>
      <c r="AH267">
        <f>AND(AE267,OR(U267="כן",V267="כן"),NOT(OR(O267="כן",P267="כן")))</f>
        <v/>
      </c>
      <c r="AI267">
        <f>AND(X267="מושאל",AB267&lt;&gt;"",AB267&lt;TODAY())</f>
        <v/>
      </c>
    </row>
    <row r="268">
      <c r="E268">
        <f>IFERROR(INDEX('הגדרות'!$D$104:$D$123,MATCH(B268&amp;G268&amp;C268,'הגדרות'!$A$104:$A$123&amp;'הגדרות'!$B$104:$B$123&amp;'הגדרות'!$C$104:$C$123,0)),"")</f>
        <v/>
      </c>
      <c r="F268" s="6" t="n"/>
      <c r="Q268">
        <f>IFERROR(VLOOKUP(M268,'הגדרות'!$A$11:$D$25,2,FALSE),"")</f>
        <v/>
      </c>
      <c r="R268">
        <f>IFERROR(VLOOKUP(M268,'הגדרות'!$A$11:$D$25,3,FALSE),"")</f>
        <v/>
      </c>
      <c r="S268">
        <f>IFERROR(VLOOKUP(N268,'הגדרות'!$A$11:$D$25,2,FALSE),"")</f>
        <v/>
      </c>
      <c r="T268">
        <f>IFERROR(VLOOKUP(N268,'הגדרות'!$A$11:$D$25,3,FALSE),"")</f>
        <v/>
      </c>
      <c r="AB268" s="6" t="n"/>
      <c r="AE268">
        <f>OR(Q268='לוח בקרה'!$B$2,R268='לוח בקרה'!$B$2,S268='לוח בקרה'!$B$2,T268='לוח בקרה'!$B$2)</f>
        <v/>
      </c>
      <c r="AF268">
        <f>AND(AE268,OR(AND(O268="כן",U268="כן"),AND(P268="כן",V268="כן")))</f>
        <v/>
      </c>
      <c r="AG268">
        <f>AND(AE268,OR(O268="כן",P268="כן"),NOT(OR(AND(O268="כן",U268="כן"),AND(P268="כן",V268="כן"))))</f>
        <v/>
      </c>
      <c r="AH268">
        <f>AND(AE268,OR(U268="כן",V268="כן"),NOT(OR(O268="כן",P268="כן")))</f>
        <v/>
      </c>
      <c r="AI268">
        <f>AND(X268="מושאל",AB268&lt;&gt;"",AB268&lt;TODAY())</f>
        <v/>
      </c>
    </row>
    <row r="269">
      <c r="E269">
        <f>IFERROR(INDEX('הגדרות'!$D$104:$D$123,MATCH(B269&amp;G269&amp;C269,'הגדרות'!$A$104:$A$123&amp;'הגדרות'!$B$104:$B$123&amp;'הגדרות'!$C$104:$C$123,0)),"")</f>
        <v/>
      </c>
      <c r="F269" s="6" t="n"/>
      <c r="Q269">
        <f>IFERROR(VLOOKUP(M269,'הגדרות'!$A$11:$D$25,2,FALSE),"")</f>
        <v/>
      </c>
      <c r="R269">
        <f>IFERROR(VLOOKUP(M269,'הגדרות'!$A$11:$D$25,3,FALSE),"")</f>
        <v/>
      </c>
      <c r="S269">
        <f>IFERROR(VLOOKUP(N269,'הגדרות'!$A$11:$D$25,2,FALSE),"")</f>
        <v/>
      </c>
      <c r="T269">
        <f>IFERROR(VLOOKUP(N269,'הגדרות'!$A$11:$D$25,3,FALSE),"")</f>
        <v/>
      </c>
      <c r="AB269" s="6" t="n"/>
      <c r="AE269">
        <f>OR(Q269='לוח בקרה'!$B$2,R269='לוח בקרה'!$B$2,S269='לוח בקרה'!$B$2,T269='לוח בקרה'!$B$2)</f>
        <v/>
      </c>
      <c r="AF269">
        <f>AND(AE269,OR(AND(O269="כן",U269="כן"),AND(P269="כן",V269="כן")))</f>
        <v/>
      </c>
      <c r="AG269">
        <f>AND(AE269,OR(O269="כן",P269="כן"),NOT(OR(AND(O269="כן",U269="כן"),AND(P269="כן",V269="כן"))))</f>
        <v/>
      </c>
      <c r="AH269">
        <f>AND(AE269,OR(U269="כן",V269="כן"),NOT(OR(O269="כן",P269="כן")))</f>
        <v/>
      </c>
      <c r="AI269">
        <f>AND(X269="מושאל",AB269&lt;&gt;"",AB269&lt;TODAY())</f>
        <v/>
      </c>
    </row>
    <row r="270">
      <c r="E270">
        <f>IFERROR(INDEX('הגדרות'!$D$104:$D$123,MATCH(B270&amp;G270&amp;C270,'הגדרות'!$A$104:$A$123&amp;'הגדרות'!$B$104:$B$123&amp;'הגדרות'!$C$104:$C$123,0)),"")</f>
        <v/>
      </c>
      <c r="F270" s="6" t="n"/>
      <c r="Q270">
        <f>IFERROR(VLOOKUP(M270,'הגדרות'!$A$11:$D$25,2,FALSE),"")</f>
        <v/>
      </c>
      <c r="R270">
        <f>IFERROR(VLOOKUP(M270,'הגדרות'!$A$11:$D$25,3,FALSE),"")</f>
        <v/>
      </c>
      <c r="S270">
        <f>IFERROR(VLOOKUP(N270,'הגדרות'!$A$11:$D$25,2,FALSE),"")</f>
        <v/>
      </c>
      <c r="T270">
        <f>IFERROR(VLOOKUP(N270,'הגדרות'!$A$11:$D$25,3,FALSE),"")</f>
        <v/>
      </c>
      <c r="AB270" s="6" t="n"/>
      <c r="AE270">
        <f>OR(Q270='לוח בקרה'!$B$2,R270='לוח בקרה'!$B$2,S270='לוח בקרה'!$B$2,T270='לוח בקרה'!$B$2)</f>
        <v/>
      </c>
      <c r="AF270">
        <f>AND(AE270,OR(AND(O270="כן",U270="כן"),AND(P270="כן",V270="כן")))</f>
        <v/>
      </c>
      <c r="AG270">
        <f>AND(AE270,OR(O270="כן",P270="כן"),NOT(OR(AND(O270="כן",U270="כן"),AND(P270="כן",V270="כן"))))</f>
        <v/>
      </c>
      <c r="AH270">
        <f>AND(AE270,OR(U270="כן",V270="כן"),NOT(OR(O270="כן",P270="כן")))</f>
        <v/>
      </c>
      <c r="AI270">
        <f>AND(X270="מושאל",AB270&lt;&gt;"",AB270&lt;TODAY())</f>
        <v/>
      </c>
    </row>
    <row r="271">
      <c r="E271">
        <f>IFERROR(INDEX('הגדרות'!$D$104:$D$123,MATCH(B271&amp;G271&amp;C271,'הגדרות'!$A$104:$A$123&amp;'הגדרות'!$B$104:$B$123&amp;'הגדרות'!$C$104:$C$123,0)),"")</f>
        <v/>
      </c>
      <c r="F271" s="6" t="n"/>
      <c r="Q271">
        <f>IFERROR(VLOOKUP(M271,'הגדרות'!$A$11:$D$25,2,FALSE),"")</f>
        <v/>
      </c>
      <c r="R271">
        <f>IFERROR(VLOOKUP(M271,'הגדרות'!$A$11:$D$25,3,FALSE),"")</f>
        <v/>
      </c>
      <c r="S271">
        <f>IFERROR(VLOOKUP(N271,'הגדרות'!$A$11:$D$25,2,FALSE),"")</f>
        <v/>
      </c>
      <c r="T271">
        <f>IFERROR(VLOOKUP(N271,'הגדרות'!$A$11:$D$25,3,FALSE),"")</f>
        <v/>
      </c>
      <c r="AB271" s="6" t="n"/>
      <c r="AE271">
        <f>OR(Q271='לוח בקרה'!$B$2,R271='לוח בקרה'!$B$2,S271='לוח בקרה'!$B$2,T271='לוח בקרה'!$B$2)</f>
        <v/>
      </c>
      <c r="AF271">
        <f>AND(AE271,OR(AND(O271="כן",U271="כן"),AND(P271="כן",V271="כן")))</f>
        <v/>
      </c>
      <c r="AG271">
        <f>AND(AE271,OR(O271="כן",P271="כן"),NOT(OR(AND(O271="כן",U271="כן"),AND(P271="כן",V271="כן"))))</f>
        <v/>
      </c>
      <c r="AH271">
        <f>AND(AE271,OR(U271="כן",V271="כן"),NOT(OR(O271="כן",P271="כן")))</f>
        <v/>
      </c>
      <c r="AI271">
        <f>AND(X271="מושאל",AB271&lt;&gt;"",AB271&lt;TODAY())</f>
        <v/>
      </c>
    </row>
    <row r="272">
      <c r="E272">
        <f>IFERROR(INDEX('הגדרות'!$D$104:$D$123,MATCH(B272&amp;G272&amp;C272,'הגדרות'!$A$104:$A$123&amp;'הגדרות'!$B$104:$B$123&amp;'הגדרות'!$C$104:$C$123,0)),"")</f>
        <v/>
      </c>
      <c r="F272" s="6" t="n"/>
      <c r="Q272">
        <f>IFERROR(VLOOKUP(M272,'הגדרות'!$A$11:$D$25,2,FALSE),"")</f>
        <v/>
      </c>
      <c r="R272">
        <f>IFERROR(VLOOKUP(M272,'הגדרות'!$A$11:$D$25,3,FALSE),"")</f>
        <v/>
      </c>
      <c r="S272">
        <f>IFERROR(VLOOKUP(N272,'הגדרות'!$A$11:$D$25,2,FALSE),"")</f>
        <v/>
      </c>
      <c r="T272">
        <f>IFERROR(VLOOKUP(N272,'הגדרות'!$A$11:$D$25,3,FALSE),"")</f>
        <v/>
      </c>
      <c r="AB272" s="6" t="n"/>
      <c r="AE272">
        <f>OR(Q272='לוח בקרה'!$B$2,R272='לוח בקרה'!$B$2,S272='לוח בקרה'!$B$2,T272='לוח בקרה'!$B$2)</f>
        <v/>
      </c>
      <c r="AF272">
        <f>AND(AE272,OR(AND(O272="כן",U272="כן"),AND(P272="כן",V272="כן")))</f>
        <v/>
      </c>
      <c r="AG272">
        <f>AND(AE272,OR(O272="כן",P272="כן"),NOT(OR(AND(O272="כן",U272="כן"),AND(P272="כן",V272="כן"))))</f>
        <v/>
      </c>
      <c r="AH272">
        <f>AND(AE272,OR(U272="כן",V272="כן"),NOT(OR(O272="כן",P272="כן")))</f>
        <v/>
      </c>
      <c r="AI272">
        <f>AND(X272="מושאל",AB272&lt;&gt;"",AB272&lt;TODAY())</f>
        <v/>
      </c>
    </row>
    <row r="273">
      <c r="E273">
        <f>IFERROR(INDEX('הגדרות'!$D$104:$D$123,MATCH(B273&amp;G273&amp;C273,'הגדרות'!$A$104:$A$123&amp;'הגדרות'!$B$104:$B$123&amp;'הגדרות'!$C$104:$C$123,0)),"")</f>
        <v/>
      </c>
      <c r="F273" s="6" t="n"/>
      <c r="Q273">
        <f>IFERROR(VLOOKUP(M273,'הגדרות'!$A$11:$D$25,2,FALSE),"")</f>
        <v/>
      </c>
      <c r="R273">
        <f>IFERROR(VLOOKUP(M273,'הגדרות'!$A$11:$D$25,3,FALSE),"")</f>
        <v/>
      </c>
      <c r="S273">
        <f>IFERROR(VLOOKUP(N273,'הגדרות'!$A$11:$D$25,2,FALSE),"")</f>
        <v/>
      </c>
      <c r="T273">
        <f>IFERROR(VLOOKUP(N273,'הגדרות'!$A$11:$D$25,3,FALSE),"")</f>
        <v/>
      </c>
      <c r="AB273" s="6" t="n"/>
      <c r="AE273">
        <f>OR(Q273='לוח בקרה'!$B$2,R273='לוח בקרה'!$B$2,S273='לוח בקרה'!$B$2,T273='לוח בקרה'!$B$2)</f>
        <v/>
      </c>
      <c r="AF273">
        <f>AND(AE273,OR(AND(O273="כן",U273="כן"),AND(P273="כן",V273="כן")))</f>
        <v/>
      </c>
      <c r="AG273">
        <f>AND(AE273,OR(O273="כן",P273="כן"),NOT(OR(AND(O273="כן",U273="כן"),AND(P273="כן",V273="כן"))))</f>
        <v/>
      </c>
      <c r="AH273">
        <f>AND(AE273,OR(U273="כן",V273="כן"),NOT(OR(O273="כן",P273="כן")))</f>
        <v/>
      </c>
      <c r="AI273">
        <f>AND(X273="מושאל",AB273&lt;&gt;"",AB273&lt;TODAY())</f>
        <v/>
      </c>
    </row>
    <row r="274">
      <c r="E274">
        <f>IFERROR(INDEX('הגדרות'!$D$104:$D$123,MATCH(B274&amp;G274&amp;C274,'הגדרות'!$A$104:$A$123&amp;'הגדרות'!$B$104:$B$123&amp;'הגדרות'!$C$104:$C$123,0)),"")</f>
        <v/>
      </c>
      <c r="F274" s="6" t="n"/>
      <c r="Q274">
        <f>IFERROR(VLOOKUP(M274,'הגדרות'!$A$11:$D$25,2,FALSE),"")</f>
        <v/>
      </c>
      <c r="R274">
        <f>IFERROR(VLOOKUP(M274,'הגדרות'!$A$11:$D$25,3,FALSE),"")</f>
        <v/>
      </c>
      <c r="S274">
        <f>IFERROR(VLOOKUP(N274,'הגדרות'!$A$11:$D$25,2,FALSE),"")</f>
        <v/>
      </c>
      <c r="T274">
        <f>IFERROR(VLOOKUP(N274,'הגדרות'!$A$11:$D$25,3,FALSE),"")</f>
        <v/>
      </c>
      <c r="AB274" s="6" t="n"/>
      <c r="AE274">
        <f>OR(Q274='לוח בקרה'!$B$2,R274='לוח בקרה'!$B$2,S274='לוח בקרה'!$B$2,T274='לוח בקרה'!$B$2)</f>
        <v/>
      </c>
      <c r="AF274">
        <f>AND(AE274,OR(AND(O274="כן",U274="כן"),AND(P274="כן",V274="כן")))</f>
        <v/>
      </c>
      <c r="AG274">
        <f>AND(AE274,OR(O274="כן",P274="כן"),NOT(OR(AND(O274="כן",U274="כן"),AND(P274="כן",V274="כן"))))</f>
        <v/>
      </c>
      <c r="AH274">
        <f>AND(AE274,OR(U274="כן",V274="כן"),NOT(OR(O274="כן",P274="כן")))</f>
        <v/>
      </c>
      <c r="AI274">
        <f>AND(X274="מושאל",AB274&lt;&gt;"",AB274&lt;TODAY())</f>
        <v/>
      </c>
    </row>
    <row r="275">
      <c r="E275">
        <f>IFERROR(INDEX('הגדרות'!$D$104:$D$123,MATCH(B275&amp;G275&amp;C275,'הגדרות'!$A$104:$A$123&amp;'הגדרות'!$B$104:$B$123&amp;'הגדרות'!$C$104:$C$123,0)),"")</f>
        <v/>
      </c>
      <c r="F275" s="6" t="n"/>
      <c r="Q275">
        <f>IFERROR(VLOOKUP(M275,'הגדרות'!$A$11:$D$25,2,FALSE),"")</f>
        <v/>
      </c>
      <c r="R275">
        <f>IFERROR(VLOOKUP(M275,'הגדרות'!$A$11:$D$25,3,FALSE),"")</f>
        <v/>
      </c>
      <c r="S275">
        <f>IFERROR(VLOOKUP(N275,'הגדרות'!$A$11:$D$25,2,FALSE),"")</f>
        <v/>
      </c>
      <c r="T275">
        <f>IFERROR(VLOOKUP(N275,'הגדרות'!$A$11:$D$25,3,FALSE),"")</f>
        <v/>
      </c>
      <c r="AB275" s="6" t="n"/>
      <c r="AE275">
        <f>OR(Q275='לוח בקרה'!$B$2,R275='לוח בקרה'!$B$2,S275='לוח בקרה'!$B$2,T275='לוח בקרה'!$B$2)</f>
        <v/>
      </c>
      <c r="AF275">
        <f>AND(AE275,OR(AND(O275="כן",U275="כן"),AND(P275="כן",V275="כן")))</f>
        <v/>
      </c>
      <c r="AG275">
        <f>AND(AE275,OR(O275="כן",P275="כן"),NOT(OR(AND(O275="כן",U275="כן"),AND(P275="כן",V275="כן"))))</f>
        <v/>
      </c>
      <c r="AH275">
        <f>AND(AE275,OR(U275="כן",V275="כן"),NOT(OR(O275="כן",P275="כן")))</f>
        <v/>
      </c>
      <c r="AI275">
        <f>AND(X275="מושאל",AB275&lt;&gt;"",AB275&lt;TODAY())</f>
        <v/>
      </c>
    </row>
    <row r="276">
      <c r="E276">
        <f>IFERROR(INDEX('הגדרות'!$D$104:$D$123,MATCH(B276&amp;G276&amp;C276,'הגדרות'!$A$104:$A$123&amp;'הגדרות'!$B$104:$B$123&amp;'הגדרות'!$C$104:$C$123,0)),"")</f>
        <v/>
      </c>
      <c r="F276" s="6" t="n"/>
      <c r="Q276">
        <f>IFERROR(VLOOKUP(M276,'הגדרות'!$A$11:$D$25,2,FALSE),"")</f>
        <v/>
      </c>
      <c r="R276">
        <f>IFERROR(VLOOKUP(M276,'הגדרות'!$A$11:$D$25,3,FALSE),"")</f>
        <v/>
      </c>
      <c r="S276">
        <f>IFERROR(VLOOKUP(N276,'הגדרות'!$A$11:$D$25,2,FALSE),"")</f>
        <v/>
      </c>
      <c r="T276">
        <f>IFERROR(VLOOKUP(N276,'הגדרות'!$A$11:$D$25,3,FALSE),"")</f>
        <v/>
      </c>
      <c r="AB276" s="6" t="n"/>
      <c r="AE276">
        <f>OR(Q276='לוח בקרה'!$B$2,R276='לוח בקרה'!$B$2,S276='לוח בקרה'!$B$2,T276='לוח בקרה'!$B$2)</f>
        <v/>
      </c>
      <c r="AF276">
        <f>AND(AE276,OR(AND(O276="כן",U276="כן"),AND(P276="כן",V276="כן")))</f>
        <v/>
      </c>
      <c r="AG276">
        <f>AND(AE276,OR(O276="כן",P276="כן"),NOT(OR(AND(O276="כן",U276="כן"),AND(P276="כן",V276="כן"))))</f>
        <v/>
      </c>
      <c r="AH276">
        <f>AND(AE276,OR(U276="כן",V276="כן"),NOT(OR(O276="כן",P276="כן")))</f>
        <v/>
      </c>
      <c r="AI276">
        <f>AND(X276="מושאל",AB276&lt;&gt;"",AB276&lt;TODAY())</f>
        <v/>
      </c>
    </row>
    <row r="277">
      <c r="E277">
        <f>IFERROR(INDEX('הגדרות'!$D$104:$D$123,MATCH(B277&amp;G277&amp;C277,'הגדרות'!$A$104:$A$123&amp;'הגדרות'!$B$104:$B$123&amp;'הגדרות'!$C$104:$C$123,0)),"")</f>
        <v/>
      </c>
      <c r="F277" s="6" t="n"/>
      <c r="Q277">
        <f>IFERROR(VLOOKUP(M277,'הגדרות'!$A$11:$D$25,2,FALSE),"")</f>
        <v/>
      </c>
      <c r="R277">
        <f>IFERROR(VLOOKUP(M277,'הגדרות'!$A$11:$D$25,3,FALSE),"")</f>
        <v/>
      </c>
      <c r="S277">
        <f>IFERROR(VLOOKUP(N277,'הגדרות'!$A$11:$D$25,2,FALSE),"")</f>
        <v/>
      </c>
      <c r="T277">
        <f>IFERROR(VLOOKUP(N277,'הגדרות'!$A$11:$D$25,3,FALSE),"")</f>
        <v/>
      </c>
      <c r="AB277" s="6" t="n"/>
      <c r="AE277">
        <f>OR(Q277='לוח בקרה'!$B$2,R277='לוח בקרה'!$B$2,S277='לוח בקרה'!$B$2,T277='לוח בקרה'!$B$2)</f>
        <v/>
      </c>
      <c r="AF277">
        <f>AND(AE277,OR(AND(O277="כן",U277="כן"),AND(P277="כן",V277="כן")))</f>
        <v/>
      </c>
      <c r="AG277">
        <f>AND(AE277,OR(O277="כן",P277="כן"),NOT(OR(AND(O277="כן",U277="כן"),AND(P277="כן",V277="כן"))))</f>
        <v/>
      </c>
      <c r="AH277">
        <f>AND(AE277,OR(U277="כן",V277="כן"),NOT(OR(O277="כן",P277="כן")))</f>
        <v/>
      </c>
      <c r="AI277">
        <f>AND(X277="מושאל",AB277&lt;&gt;"",AB277&lt;TODAY())</f>
        <v/>
      </c>
    </row>
    <row r="278">
      <c r="E278">
        <f>IFERROR(INDEX('הגדרות'!$D$104:$D$123,MATCH(B278&amp;G278&amp;C278,'הגדרות'!$A$104:$A$123&amp;'הגדרות'!$B$104:$B$123&amp;'הגדרות'!$C$104:$C$123,0)),"")</f>
        <v/>
      </c>
      <c r="F278" s="6" t="n"/>
      <c r="Q278">
        <f>IFERROR(VLOOKUP(M278,'הגדרות'!$A$11:$D$25,2,FALSE),"")</f>
        <v/>
      </c>
      <c r="R278">
        <f>IFERROR(VLOOKUP(M278,'הגדרות'!$A$11:$D$25,3,FALSE),"")</f>
        <v/>
      </c>
      <c r="S278">
        <f>IFERROR(VLOOKUP(N278,'הגדרות'!$A$11:$D$25,2,FALSE),"")</f>
        <v/>
      </c>
      <c r="T278">
        <f>IFERROR(VLOOKUP(N278,'הגדרות'!$A$11:$D$25,3,FALSE),"")</f>
        <v/>
      </c>
      <c r="AB278" s="6" t="n"/>
      <c r="AE278">
        <f>OR(Q278='לוח בקרה'!$B$2,R278='לוח בקרה'!$B$2,S278='לוח בקרה'!$B$2,T278='לוח בקרה'!$B$2)</f>
        <v/>
      </c>
      <c r="AF278">
        <f>AND(AE278,OR(AND(O278="כן",U278="כן"),AND(P278="כן",V278="כן")))</f>
        <v/>
      </c>
      <c r="AG278">
        <f>AND(AE278,OR(O278="כן",P278="כן"),NOT(OR(AND(O278="כן",U278="כן"),AND(P278="כן",V278="כן"))))</f>
        <v/>
      </c>
      <c r="AH278">
        <f>AND(AE278,OR(U278="כן",V278="כן"),NOT(OR(O278="כן",P278="כן")))</f>
        <v/>
      </c>
      <c r="AI278">
        <f>AND(X278="מושאל",AB278&lt;&gt;"",AB278&lt;TODAY())</f>
        <v/>
      </c>
    </row>
    <row r="279">
      <c r="E279">
        <f>IFERROR(INDEX('הגדרות'!$D$104:$D$123,MATCH(B279&amp;G279&amp;C279,'הגדרות'!$A$104:$A$123&amp;'הגדרות'!$B$104:$B$123&amp;'הגדרות'!$C$104:$C$123,0)),"")</f>
        <v/>
      </c>
      <c r="F279" s="6" t="n"/>
      <c r="Q279">
        <f>IFERROR(VLOOKUP(M279,'הגדרות'!$A$11:$D$25,2,FALSE),"")</f>
        <v/>
      </c>
      <c r="R279">
        <f>IFERROR(VLOOKUP(M279,'הגדרות'!$A$11:$D$25,3,FALSE),"")</f>
        <v/>
      </c>
      <c r="S279">
        <f>IFERROR(VLOOKUP(N279,'הגדרות'!$A$11:$D$25,2,FALSE),"")</f>
        <v/>
      </c>
      <c r="T279">
        <f>IFERROR(VLOOKUP(N279,'הגדרות'!$A$11:$D$25,3,FALSE),"")</f>
        <v/>
      </c>
      <c r="AB279" s="6" t="n"/>
      <c r="AE279">
        <f>OR(Q279='לוח בקרה'!$B$2,R279='לוח בקרה'!$B$2,S279='לוח בקרה'!$B$2,T279='לוח בקרה'!$B$2)</f>
        <v/>
      </c>
      <c r="AF279">
        <f>AND(AE279,OR(AND(O279="כן",U279="כן"),AND(P279="כן",V279="כן")))</f>
        <v/>
      </c>
      <c r="AG279">
        <f>AND(AE279,OR(O279="כן",P279="כן"),NOT(OR(AND(O279="כן",U279="כן"),AND(P279="כן",V279="כן"))))</f>
        <v/>
      </c>
      <c r="AH279">
        <f>AND(AE279,OR(U279="כן",V279="כן"),NOT(OR(O279="כן",P279="כן")))</f>
        <v/>
      </c>
      <c r="AI279">
        <f>AND(X279="מושאל",AB279&lt;&gt;"",AB279&lt;TODAY())</f>
        <v/>
      </c>
    </row>
    <row r="280">
      <c r="E280">
        <f>IFERROR(INDEX('הגדרות'!$D$104:$D$123,MATCH(B280&amp;G280&amp;C280,'הגדרות'!$A$104:$A$123&amp;'הגדרות'!$B$104:$B$123&amp;'הגדרות'!$C$104:$C$123,0)),"")</f>
        <v/>
      </c>
      <c r="F280" s="6" t="n"/>
      <c r="Q280">
        <f>IFERROR(VLOOKUP(M280,'הגדרות'!$A$11:$D$25,2,FALSE),"")</f>
        <v/>
      </c>
      <c r="R280">
        <f>IFERROR(VLOOKUP(M280,'הגדרות'!$A$11:$D$25,3,FALSE),"")</f>
        <v/>
      </c>
      <c r="S280">
        <f>IFERROR(VLOOKUP(N280,'הגדרות'!$A$11:$D$25,2,FALSE),"")</f>
        <v/>
      </c>
      <c r="T280">
        <f>IFERROR(VLOOKUP(N280,'הגדרות'!$A$11:$D$25,3,FALSE),"")</f>
        <v/>
      </c>
      <c r="AB280" s="6" t="n"/>
      <c r="AE280">
        <f>OR(Q280='לוח בקרה'!$B$2,R280='לוח בקרה'!$B$2,S280='לוח בקרה'!$B$2,T280='לוח בקרה'!$B$2)</f>
        <v/>
      </c>
      <c r="AF280">
        <f>AND(AE280,OR(AND(O280="כן",U280="כן"),AND(P280="כן",V280="כן")))</f>
        <v/>
      </c>
      <c r="AG280">
        <f>AND(AE280,OR(O280="כן",P280="כן"),NOT(OR(AND(O280="כן",U280="כן"),AND(P280="כן",V280="כן"))))</f>
        <v/>
      </c>
      <c r="AH280">
        <f>AND(AE280,OR(U280="כן",V280="כן"),NOT(OR(O280="כן",P280="כן")))</f>
        <v/>
      </c>
      <c r="AI280">
        <f>AND(X280="מושאל",AB280&lt;&gt;"",AB280&lt;TODAY())</f>
        <v/>
      </c>
    </row>
    <row r="281">
      <c r="E281">
        <f>IFERROR(INDEX('הגדרות'!$D$104:$D$123,MATCH(B281&amp;G281&amp;C281,'הגדרות'!$A$104:$A$123&amp;'הגדרות'!$B$104:$B$123&amp;'הגדרות'!$C$104:$C$123,0)),"")</f>
        <v/>
      </c>
      <c r="F281" s="6" t="n"/>
      <c r="Q281">
        <f>IFERROR(VLOOKUP(M281,'הגדרות'!$A$11:$D$25,2,FALSE),"")</f>
        <v/>
      </c>
      <c r="R281">
        <f>IFERROR(VLOOKUP(M281,'הגדרות'!$A$11:$D$25,3,FALSE),"")</f>
        <v/>
      </c>
      <c r="S281">
        <f>IFERROR(VLOOKUP(N281,'הגדרות'!$A$11:$D$25,2,FALSE),"")</f>
        <v/>
      </c>
      <c r="T281">
        <f>IFERROR(VLOOKUP(N281,'הגדרות'!$A$11:$D$25,3,FALSE),"")</f>
        <v/>
      </c>
      <c r="AB281" s="6" t="n"/>
      <c r="AE281">
        <f>OR(Q281='לוח בקרה'!$B$2,R281='לוח בקרה'!$B$2,S281='לוח בקרה'!$B$2,T281='לוח בקרה'!$B$2)</f>
        <v/>
      </c>
      <c r="AF281">
        <f>AND(AE281,OR(AND(O281="כן",U281="כן"),AND(P281="כן",V281="כן")))</f>
        <v/>
      </c>
      <c r="AG281">
        <f>AND(AE281,OR(O281="כן",P281="כן"),NOT(OR(AND(O281="כן",U281="כן"),AND(P281="כן",V281="כן"))))</f>
        <v/>
      </c>
      <c r="AH281">
        <f>AND(AE281,OR(U281="כן",V281="כן"),NOT(OR(O281="כן",P281="כן")))</f>
        <v/>
      </c>
      <c r="AI281">
        <f>AND(X281="מושאל",AB281&lt;&gt;"",AB281&lt;TODAY())</f>
        <v/>
      </c>
    </row>
    <row r="282">
      <c r="E282">
        <f>IFERROR(INDEX('הגדרות'!$D$104:$D$123,MATCH(B282&amp;G282&amp;C282,'הגדרות'!$A$104:$A$123&amp;'הגדרות'!$B$104:$B$123&amp;'הגדרות'!$C$104:$C$123,0)),"")</f>
        <v/>
      </c>
      <c r="F282" s="6" t="n"/>
      <c r="Q282">
        <f>IFERROR(VLOOKUP(M282,'הגדרות'!$A$11:$D$25,2,FALSE),"")</f>
        <v/>
      </c>
      <c r="R282">
        <f>IFERROR(VLOOKUP(M282,'הגדרות'!$A$11:$D$25,3,FALSE),"")</f>
        <v/>
      </c>
      <c r="S282">
        <f>IFERROR(VLOOKUP(N282,'הגדרות'!$A$11:$D$25,2,FALSE),"")</f>
        <v/>
      </c>
      <c r="T282">
        <f>IFERROR(VLOOKUP(N282,'הגדרות'!$A$11:$D$25,3,FALSE),"")</f>
        <v/>
      </c>
      <c r="AB282" s="6" t="n"/>
      <c r="AE282">
        <f>OR(Q282='לוח בקרה'!$B$2,R282='לוח בקרה'!$B$2,S282='לוח בקרה'!$B$2,T282='לוח בקרה'!$B$2)</f>
        <v/>
      </c>
      <c r="AF282">
        <f>AND(AE282,OR(AND(O282="כן",U282="כן"),AND(P282="כן",V282="כן")))</f>
        <v/>
      </c>
      <c r="AG282">
        <f>AND(AE282,OR(O282="כן",P282="כן"),NOT(OR(AND(O282="כן",U282="כן"),AND(P282="כן",V282="כן"))))</f>
        <v/>
      </c>
      <c r="AH282">
        <f>AND(AE282,OR(U282="כן",V282="כן"),NOT(OR(O282="כן",P282="כן")))</f>
        <v/>
      </c>
      <c r="AI282">
        <f>AND(X282="מושאל",AB282&lt;&gt;"",AB282&lt;TODAY())</f>
        <v/>
      </c>
    </row>
    <row r="283">
      <c r="E283">
        <f>IFERROR(INDEX('הגדרות'!$D$104:$D$123,MATCH(B283&amp;G283&amp;C283,'הגדרות'!$A$104:$A$123&amp;'הגדרות'!$B$104:$B$123&amp;'הגדרות'!$C$104:$C$123,0)),"")</f>
        <v/>
      </c>
      <c r="F283" s="6" t="n"/>
      <c r="Q283">
        <f>IFERROR(VLOOKUP(M283,'הגדרות'!$A$11:$D$25,2,FALSE),"")</f>
        <v/>
      </c>
      <c r="R283">
        <f>IFERROR(VLOOKUP(M283,'הגדרות'!$A$11:$D$25,3,FALSE),"")</f>
        <v/>
      </c>
      <c r="S283">
        <f>IFERROR(VLOOKUP(N283,'הגדרות'!$A$11:$D$25,2,FALSE),"")</f>
        <v/>
      </c>
      <c r="T283">
        <f>IFERROR(VLOOKUP(N283,'הגדרות'!$A$11:$D$25,3,FALSE),"")</f>
        <v/>
      </c>
      <c r="AB283" s="6" t="n"/>
      <c r="AE283">
        <f>OR(Q283='לוח בקרה'!$B$2,R283='לוח בקרה'!$B$2,S283='לוח בקרה'!$B$2,T283='לוח בקרה'!$B$2)</f>
        <v/>
      </c>
      <c r="AF283">
        <f>AND(AE283,OR(AND(O283="כן",U283="כן"),AND(P283="כן",V283="כן")))</f>
        <v/>
      </c>
      <c r="AG283">
        <f>AND(AE283,OR(O283="כן",P283="כן"),NOT(OR(AND(O283="כן",U283="כן"),AND(P283="כן",V283="כן"))))</f>
        <v/>
      </c>
      <c r="AH283">
        <f>AND(AE283,OR(U283="כן",V283="כן"),NOT(OR(O283="כן",P283="כן")))</f>
        <v/>
      </c>
      <c r="AI283">
        <f>AND(X283="מושאל",AB283&lt;&gt;"",AB283&lt;TODAY())</f>
        <v/>
      </c>
    </row>
    <row r="284">
      <c r="E284">
        <f>IFERROR(INDEX('הגדרות'!$D$104:$D$123,MATCH(B284&amp;G284&amp;C284,'הגדרות'!$A$104:$A$123&amp;'הגדרות'!$B$104:$B$123&amp;'הגדרות'!$C$104:$C$123,0)),"")</f>
        <v/>
      </c>
      <c r="F284" s="6" t="n"/>
      <c r="Q284">
        <f>IFERROR(VLOOKUP(M284,'הגדרות'!$A$11:$D$25,2,FALSE),"")</f>
        <v/>
      </c>
      <c r="R284">
        <f>IFERROR(VLOOKUP(M284,'הגדרות'!$A$11:$D$25,3,FALSE),"")</f>
        <v/>
      </c>
      <c r="S284">
        <f>IFERROR(VLOOKUP(N284,'הגדרות'!$A$11:$D$25,2,FALSE),"")</f>
        <v/>
      </c>
      <c r="T284">
        <f>IFERROR(VLOOKUP(N284,'הגדרות'!$A$11:$D$25,3,FALSE),"")</f>
        <v/>
      </c>
      <c r="AB284" s="6" t="n"/>
      <c r="AE284">
        <f>OR(Q284='לוח בקרה'!$B$2,R284='לוח בקרה'!$B$2,S284='לוח בקרה'!$B$2,T284='לוח בקרה'!$B$2)</f>
        <v/>
      </c>
      <c r="AF284">
        <f>AND(AE284,OR(AND(O284="כן",U284="כן"),AND(P284="כן",V284="כן")))</f>
        <v/>
      </c>
      <c r="AG284">
        <f>AND(AE284,OR(O284="כן",P284="כן"),NOT(OR(AND(O284="כן",U284="כן"),AND(P284="כן",V284="כן"))))</f>
        <v/>
      </c>
      <c r="AH284">
        <f>AND(AE284,OR(U284="כן",V284="כן"),NOT(OR(O284="כן",P284="כן")))</f>
        <v/>
      </c>
      <c r="AI284">
        <f>AND(X284="מושאל",AB284&lt;&gt;"",AB284&lt;TODAY())</f>
        <v/>
      </c>
    </row>
    <row r="285">
      <c r="E285">
        <f>IFERROR(INDEX('הגדרות'!$D$104:$D$123,MATCH(B285&amp;G285&amp;C285,'הגדרות'!$A$104:$A$123&amp;'הגדרות'!$B$104:$B$123&amp;'הגדרות'!$C$104:$C$123,0)),"")</f>
        <v/>
      </c>
      <c r="F285" s="6" t="n"/>
      <c r="Q285">
        <f>IFERROR(VLOOKUP(M285,'הגדרות'!$A$11:$D$25,2,FALSE),"")</f>
        <v/>
      </c>
      <c r="R285">
        <f>IFERROR(VLOOKUP(M285,'הגדרות'!$A$11:$D$25,3,FALSE),"")</f>
        <v/>
      </c>
      <c r="S285">
        <f>IFERROR(VLOOKUP(N285,'הגדרות'!$A$11:$D$25,2,FALSE),"")</f>
        <v/>
      </c>
      <c r="T285">
        <f>IFERROR(VLOOKUP(N285,'הגדרות'!$A$11:$D$25,3,FALSE),"")</f>
        <v/>
      </c>
      <c r="AB285" s="6" t="n"/>
      <c r="AE285">
        <f>OR(Q285='לוח בקרה'!$B$2,R285='לוח בקרה'!$B$2,S285='לוח בקרה'!$B$2,T285='לוח בקרה'!$B$2)</f>
        <v/>
      </c>
      <c r="AF285">
        <f>AND(AE285,OR(AND(O285="כן",U285="כן"),AND(P285="כן",V285="כן")))</f>
        <v/>
      </c>
      <c r="AG285">
        <f>AND(AE285,OR(O285="כן",P285="כן"),NOT(OR(AND(O285="כן",U285="כן"),AND(P285="כן",V285="כן"))))</f>
        <v/>
      </c>
      <c r="AH285">
        <f>AND(AE285,OR(U285="כן",V285="כן"),NOT(OR(O285="כן",P285="כן")))</f>
        <v/>
      </c>
      <c r="AI285">
        <f>AND(X285="מושאל",AB285&lt;&gt;"",AB285&lt;TODAY())</f>
        <v/>
      </c>
    </row>
    <row r="286">
      <c r="E286">
        <f>IFERROR(INDEX('הגדרות'!$D$104:$D$123,MATCH(B286&amp;G286&amp;C286,'הגדרות'!$A$104:$A$123&amp;'הגדרות'!$B$104:$B$123&amp;'הגדרות'!$C$104:$C$123,0)),"")</f>
        <v/>
      </c>
      <c r="F286" s="6" t="n"/>
      <c r="Q286">
        <f>IFERROR(VLOOKUP(M286,'הגדרות'!$A$11:$D$25,2,FALSE),"")</f>
        <v/>
      </c>
      <c r="R286">
        <f>IFERROR(VLOOKUP(M286,'הגדרות'!$A$11:$D$25,3,FALSE),"")</f>
        <v/>
      </c>
      <c r="S286">
        <f>IFERROR(VLOOKUP(N286,'הגדרות'!$A$11:$D$25,2,FALSE),"")</f>
        <v/>
      </c>
      <c r="T286">
        <f>IFERROR(VLOOKUP(N286,'הגדרות'!$A$11:$D$25,3,FALSE),"")</f>
        <v/>
      </c>
      <c r="AB286" s="6" t="n"/>
      <c r="AE286">
        <f>OR(Q286='לוח בקרה'!$B$2,R286='לוח בקרה'!$B$2,S286='לוח בקרה'!$B$2,T286='לוח בקרה'!$B$2)</f>
        <v/>
      </c>
      <c r="AF286">
        <f>AND(AE286,OR(AND(O286="כן",U286="כן"),AND(P286="כן",V286="כן")))</f>
        <v/>
      </c>
      <c r="AG286">
        <f>AND(AE286,OR(O286="כן",P286="כן"),NOT(OR(AND(O286="כן",U286="כן"),AND(P286="כן",V286="כן"))))</f>
        <v/>
      </c>
      <c r="AH286">
        <f>AND(AE286,OR(U286="כן",V286="כן"),NOT(OR(O286="כן",P286="כן")))</f>
        <v/>
      </c>
      <c r="AI286">
        <f>AND(X286="מושאל",AB286&lt;&gt;"",AB286&lt;TODAY())</f>
        <v/>
      </c>
    </row>
    <row r="287">
      <c r="E287">
        <f>IFERROR(INDEX('הגדרות'!$D$104:$D$123,MATCH(B287&amp;G287&amp;C287,'הגדרות'!$A$104:$A$123&amp;'הגדרות'!$B$104:$B$123&amp;'הגדרות'!$C$104:$C$123,0)),"")</f>
        <v/>
      </c>
      <c r="F287" s="6" t="n"/>
      <c r="Q287">
        <f>IFERROR(VLOOKUP(M287,'הגדרות'!$A$11:$D$25,2,FALSE),"")</f>
        <v/>
      </c>
      <c r="R287">
        <f>IFERROR(VLOOKUP(M287,'הגדרות'!$A$11:$D$25,3,FALSE),"")</f>
        <v/>
      </c>
      <c r="S287">
        <f>IFERROR(VLOOKUP(N287,'הגדרות'!$A$11:$D$25,2,FALSE),"")</f>
        <v/>
      </c>
      <c r="T287">
        <f>IFERROR(VLOOKUP(N287,'הגדרות'!$A$11:$D$25,3,FALSE),"")</f>
        <v/>
      </c>
      <c r="AB287" s="6" t="n"/>
      <c r="AE287">
        <f>OR(Q287='לוח בקרה'!$B$2,R287='לוח בקרה'!$B$2,S287='לוח בקרה'!$B$2,T287='לוח בקרה'!$B$2)</f>
        <v/>
      </c>
      <c r="AF287">
        <f>AND(AE287,OR(AND(O287="כן",U287="כן"),AND(P287="כן",V287="כן")))</f>
        <v/>
      </c>
      <c r="AG287">
        <f>AND(AE287,OR(O287="כן",P287="כן"),NOT(OR(AND(O287="כן",U287="כן"),AND(P287="כן",V287="כן"))))</f>
        <v/>
      </c>
      <c r="AH287">
        <f>AND(AE287,OR(U287="כן",V287="כן"),NOT(OR(O287="כן",P287="כן")))</f>
        <v/>
      </c>
      <c r="AI287">
        <f>AND(X287="מושאל",AB287&lt;&gt;"",AB287&lt;TODAY())</f>
        <v/>
      </c>
    </row>
    <row r="288">
      <c r="E288">
        <f>IFERROR(INDEX('הגדרות'!$D$104:$D$123,MATCH(B288&amp;G288&amp;C288,'הגדרות'!$A$104:$A$123&amp;'הגדרות'!$B$104:$B$123&amp;'הגדרות'!$C$104:$C$123,0)),"")</f>
        <v/>
      </c>
      <c r="F288" s="6" t="n"/>
      <c r="Q288">
        <f>IFERROR(VLOOKUP(M288,'הגדרות'!$A$11:$D$25,2,FALSE),"")</f>
        <v/>
      </c>
      <c r="R288">
        <f>IFERROR(VLOOKUP(M288,'הגדרות'!$A$11:$D$25,3,FALSE),"")</f>
        <v/>
      </c>
      <c r="S288">
        <f>IFERROR(VLOOKUP(N288,'הגדרות'!$A$11:$D$25,2,FALSE),"")</f>
        <v/>
      </c>
      <c r="T288">
        <f>IFERROR(VLOOKUP(N288,'הגדרות'!$A$11:$D$25,3,FALSE),"")</f>
        <v/>
      </c>
      <c r="AB288" s="6" t="n"/>
      <c r="AE288">
        <f>OR(Q288='לוח בקרה'!$B$2,R288='לוח בקרה'!$B$2,S288='לוח בקרה'!$B$2,T288='לוח בקרה'!$B$2)</f>
        <v/>
      </c>
      <c r="AF288">
        <f>AND(AE288,OR(AND(O288="כן",U288="כן"),AND(P288="כן",V288="כן")))</f>
        <v/>
      </c>
      <c r="AG288">
        <f>AND(AE288,OR(O288="כן",P288="כן"),NOT(OR(AND(O288="כן",U288="כן"),AND(P288="כן",V288="כן"))))</f>
        <v/>
      </c>
      <c r="AH288">
        <f>AND(AE288,OR(U288="כן",V288="כן"),NOT(OR(O288="כן",P288="כן")))</f>
        <v/>
      </c>
      <c r="AI288">
        <f>AND(X288="מושאל",AB288&lt;&gt;"",AB288&lt;TODAY())</f>
        <v/>
      </c>
    </row>
    <row r="289">
      <c r="E289">
        <f>IFERROR(INDEX('הגדרות'!$D$104:$D$123,MATCH(B289&amp;G289&amp;C289,'הגדרות'!$A$104:$A$123&amp;'הגדרות'!$B$104:$B$123&amp;'הגדרות'!$C$104:$C$123,0)),"")</f>
        <v/>
      </c>
      <c r="F289" s="6" t="n"/>
      <c r="Q289">
        <f>IFERROR(VLOOKUP(M289,'הגדרות'!$A$11:$D$25,2,FALSE),"")</f>
        <v/>
      </c>
      <c r="R289">
        <f>IFERROR(VLOOKUP(M289,'הגדרות'!$A$11:$D$25,3,FALSE),"")</f>
        <v/>
      </c>
      <c r="S289">
        <f>IFERROR(VLOOKUP(N289,'הגדרות'!$A$11:$D$25,2,FALSE),"")</f>
        <v/>
      </c>
      <c r="T289">
        <f>IFERROR(VLOOKUP(N289,'הגדרות'!$A$11:$D$25,3,FALSE),"")</f>
        <v/>
      </c>
      <c r="AB289" s="6" t="n"/>
      <c r="AE289">
        <f>OR(Q289='לוח בקרה'!$B$2,R289='לוח בקרה'!$B$2,S289='לוח בקרה'!$B$2,T289='לוח בקרה'!$B$2)</f>
        <v/>
      </c>
      <c r="AF289">
        <f>AND(AE289,OR(AND(O289="כן",U289="כן"),AND(P289="כן",V289="כן")))</f>
        <v/>
      </c>
      <c r="AG289">
        <f>AND(AE289,OR(O289="כן",P289="כן"),NOT(OR(AND(O289="כן",U289="כן"),AND(P289="כן",V289="כן"))))</f>
        <v/>
      </c>
      <c r="AH289">
        <f>AND(AE289,OR(U289="כן",V289="כן"),NOT(OR(O289="כן",P289="כן")))</f>
        <v/>
      </c>
      <c r="AI289">
        <f>AND(X289="מושאל",AB289&lt;&gt;"",AB289&lt;TODAY())</f>
        <v/>
      </c>
    </row>
    <row r="290">
      <c r="E290">
        <f>IFERROR(INDEX('הגדרות'!$D$104:$D$123,MATCH(B290&amp;G290&amp;C290,'הגדרות'!$A$104:$A$123&amp;'הגדרות'!$B$104:$B$123&amp;'הגדרות'!$C$104:$C$123,0)),"")</f>
        <v/>
      </c>
      <c r="F290" s="6" t="n"/>
      <c r="Q290">
        <f>IFERROR(VLOOKUP(M290,'הגדרות'!$A$11:$D$25,2,FALSE),"")</f>
        <v/>
      </c>
      <c r="R290">
        <f>IFERROR(VLOOKUP(M290,'הגדרות'!$A$11:$D$25,3,FALSE),"")</f>
        <v/>
      </c>
      <c r="S290">
        <f>IFERROR(VLOOKUP(N290,'הגדרות'!$A$11:$D$25,2,FALSE),"")</f>
        <v/>
      </c>
      <c r="T290">
        <f>IFERROR(VLOOKUP(N290,'הגדרות'!$A$11:$D$25,3,FALSE),"")</f>
        <v/>
      </c>
      <c r="AB290" s="6" t="n"/>
      <c r="AE290">
        <f>OR(Q290='לוח בקרה'!$B$2,R290='לוח בקרה'!$B$2,S290='לוח בקרה'!$B$2,T290='לוח בקרה'!$B$2)</f>
        <v/>
      </c>
      <c r="AF290">
        <f>AND(AE290,OR(AND(O290="כן",U290="כן"),AND(P290="כן",V290="כן")))</f>
        <v/>
      </c>
      <c r="AG290">
        <f>AND(AE290,OR(O290="כן",P290="כן"),NOT(OR(AND(O290="כן",U290="כן"),AND(P290="כן",V290="כן"))))</f>
        <v/>
      </c>
      <c r="AH290">
        <f>AND(AE290,OR(U290="כן",V290="כן"),NOT(OR(O290="כן",P290="כן")))</f>
        <v/>
      </c>
      <c r="AI290">
        <f>AND(X290="מושאל",AB290&lt;&gt;"",AB290&lt;TODAY())</f>
        <v/>
      </c>
    </row>
    <row r="291">
      <c r="E291">
        <f>IFERROR(INDEX('הגדרות'!$D$104:$D$123,MATCH(B291&amp;G291&amp;C291,'הגדרות'!$A$104:$A$123&amp;'הגדרות'!$B$104:$B$123&amp;'הגדרות'!$C$104:$C$123,0)),"")</f>
        <v/>
      </c>
      <c r="F291" s="6" t="n"/>
      <c r="Q291">
        <f>IFERROR(VLOOKUP(M291,'הגדרות'!$A$11:$D$25,2,FALSE),"")</f>
        <v/>
      </c>
      <c r="R291">
        <f>IFERROR(VLOOKUP(M291,'הגדרות'!$A$11:$D$25,3,FALSE),"")</f>
        <v/>
      </c>
      <c r="S291">
        <f>IFERROR(VLOOKUP(N291,'הגדרות'!$A$11:$D$25,2,FALSE),"")</f>
        <v/>
      </c>
      <c r="T291">
        <f>IFERROR(VLOOKUP(N291,'הגדרות'!$A$11:$D$25,3,FALSE),"")</f>
        <v/>
      </c>
      <c r="AB291" s="6" t="n"/>
      <c r="AE291">
        <f>OR(Q291='לוח בקרה'!$B$2,R291='לוח בקרה'!$B$2,S291='לוח בקרה'!$B$2,T291='לוח בקרה'!$B$2)</f>
        <v/>
      </c>
      <c r="AF291">
        <f>AND(AE291,OR(AND(O291="כן",U291="כן"),AND(P291="כן",V291="כן")))</f>
        <v/>
      </c>
      <c r="AG291">
        <f>AND(AE291,OR(O291="כן",P291="כן"),NOT(OR(AND(O291="כן",U291="כן"),AND(P291="כן",V291="כן"))))</f>
        <v/>
      </c>
      <c r="AH291">
        <f>AND(AE291,OR(U291="כן",V291="כן"),NOT(OR(O291="כן",P291="כן")))</f>
        <v/>
      </c>
      <c r="AI291">
        <f>AND(X291="מושאל",AB291&lt;&gt;"",AB291&lt;TODAY())</f>
        <v/>
      </c>
    </row>
    <row r="292">
      <c r="E292">
        <f>IFERROR(INDEX('הגדרות'!$D$104:$D$123,MATCH(B292&amp;G292&amp;C292,'הגדרות'!$A$104:$A$123&amp;'הגדרות'!$B$104:$B$123&amp;'הגדרות'!$C$104:$C$123,0)),"")</f>
        <v/>
      </c>
      <c r="F292" s="6" t="n"/>
      <c r="Q292">
        <f>IFERROR(VLOOKUP(M292,'הגדרות'!$A$11:$D$25,2,FALSE),"")</f>
        <v/>
      </c>
      <c r="R292">
        <f>IFERROR(VLOOKUP(M292,'הגדרות'!$A$11:$D$25,3,FALSE),"")</f>
        <v/>
      </c>
      <c r="S292">
        <f>IFERROR(VLOOKUP(N292,'הגדרות'!$A$11:$D$25,2,FALSE),"")</f>
        <v/>
      </c>
      <c r="T292">
        <f>IFERROR(VLOOKUP(N292,'הגדרות'!$A$11:$D$25,3,FALSE),"")</f>
        <v/>
      </c>
      <c r="AB292" s="6" t="n"/>
      <c r="AE292">
        <f>OR(Q292='לוח בקרה'!$B$2,R292='לוח בקרה'!$B$2,S292='לוח בקרה'!$B$2,T292='לוח בקרה'!$B$2)</f>
        <v/>
      </c>
      <c r="AF292">
        <f>AND(AE292,OR(AND(O292="כן",U292="כן"),AND(P292="כן",V292="כן")))</f>
        <v/>
      </c>
      <c r="AG292">
        <f>AND(AE292,OR(O292="כן",P292="כן"),NOT(OR(AND(O292="כן",U292="כן"),AND(P292="כן",V292="כן"))))</f>
        <v/>
      </c>
      <c r="AH292">
        <f>AND(AE292,OR(U292="כן",V292="כן"),NOT(OR(O292="כן",P292="כן")))</f>
        <v/>
      </c>
      <c r="AI292">
        <f>AND(X292="מושאל",AB292&lt;&gt;"",AB292&lt;TODAY())</f>
        <v/>
      </c>
    </row>
    <row r="293">
      <c r="E293">
        <f>IFERROR(INDEX('הגדרות'!$D$104:$D$123,MATCH(B293&amp;G293&amp;C293,'הגדרות'!$A$104:$A$123&amp;'הגדרות'!$B$104:$B$123&amp;'הגדרות'!$C$104:$C$123,0)),"")</f>
        <v/>
      </c>
      <c r="F293" s="6" t="n"/>
      <c r="Q293">
        <f>IFERROR(VLOOKUP(M293,'הגדרות'!$A$11:$D$25,2,FALSE),"")</f>
        <v/>
      </c>
      <c r="R293">
        <f>IFERROR(VLOOKUP(M293,'הגדרות'!$A$11:$D$25,3,FALSE),"")</f>
        <v/>
      </c>
      <c r="S293">
        <f>IFERROR(VLOOKUP(N293,'הגדרות'!$A$11:$D$25,2,FALSE),"")</f>
        <v/>
      </c>
      <c r="T293">
        <f>IFERROR(VLOOKUP(N293,'הגדרות'!$A$11:$D$25,3,FALSE),"")</f>
        <v/>
      </c>
      <c r="AB293" s="6" t="n"/>
      <c r="AE293">
        <f>OR(Q293='לוח בקרה'!$B$2,R293='לוח בקרה'!$B$2,S293='לוח בקרה'!$B$2,T293='לוח בקרה'!$B$2)</f>
        <v/>
      </c>
      <c r="AF293">
        <f>AND(AE293,OR(AND(O293="כן",U293="כן"),AND(P293="כן",V293="כן")))</f>
        <v/>
      </c>
      <c r="AG293">
        <f>AND(AE293,OR(O293="כן",P293="כן"),NOT(OR(AND(O293="כן",U293="כן"),AND(P293="כן",V293="כן"))))</f>
        <v/>
      </c>
      <c r="AH293">
        <f>AND(AE293,OR(U293="כן",V293="כן"),NOT(OR(O293="כן",P293="כן")))</f>
        <v/>
      </c>
      <c r="AI293">
        <f>AND(X293="מושאל",AB293&lt;&gt;"",AB293&lt;TODAY())</f>
        <v/>
      </c>
    </row>
    <row r="294">
      <c r="E294">
        <f>IFERROR(INDEX('הגדרות'!$D$104:$D$123,MATCH(B294&amp;G294&amp;C294,'הגדרות'!$A$104:$A$123&amp;'הגדרות'!$B$104:$B$123&amp;'הגדרות'!$C$104:$C$123,0)),"")</f>
        <v/>
      </c>
      <c r="F294" s="6" t="n"/>
      <c r="Q294">
        <f>IFERROR(VLOOKUP(M294,'הגדרות'!$A$11:$D$25,2,FALSE),"")</f>
        <v/>
      </c>
      <c r="R294">
        <f>IFERROR(VLOOKUP(M294,'הגדרות'!$A$11:$D$25,3,FALSE),"")</f>
        <v/>
      </c>
      <c r="S294">
        <f>IFERROR(VLOOKUP(N294,'הגדרות'!$A$11:$D$25,2,FALSE),"")</f>
        <v/>
      </c>
      <c r="T294">
        <f>IFERROR(VLOOKUP(N294,'הגדרות'!$A$11:$D$25,3,FALSE),"")</f>
        <v/>
      </c>
      <c r="AB294" s="6" t="n"/>
      <c r="AE294">
        <f>OR(Q294='לוח בקרה'!$B$2,R294='לוח בקרה'!$B$2,S294='לוח בקרה'!$B$2,T294='לוח בקרה'!$B$2)</f>
        <v/>
      </c>
      <c r="AF294">
        <f>AND(AE294,OR(AND(O294="כן",U294="כן"),AND(P294="כן",V294="כן")))</f>
        <v/>
      </c>
      <c r="AG294">
        <f>AND(AE294,OR(O294="כן",P294="כן"),NOT(OR(AND(O294="כן",U294="כן"),AND(P294="כן",V294="כן"))))</f>
        <v/>
      </c>
      <c r="AH294">
        <f>AND(AE294,OR(U294="כן",V294="כן"),NOT(OR(O294="כן",P294="כן")))</f>
        <v/>
      </c>
      <c r="AI294">
        <f>AND(X294="מושאל",AB294&lt;&gt;"",AB294&lt;TODAY())</f>
        <v/>
      </c>
    </row>
    <row r="295">
      <c r="E295">
        <f>IFERROR(INDEX('הגדרות'!$D$104:$D$123,MATCH(B295&amp;G295&amp;C295,'הגדרות'!$A$104:$A$123&amp;'הגדרות'!$B$104:$B$123&amp;'הגדרות'!$C$104:$C$123,0)),"")</f>
        <v/>
      </c>
      <c r="F295" s="6" t="n"/>
      <c r="Q295">
        <f>IFERROR(VLOOKUP(M295,'הגדרות'!$A$11:$D$25,2,FALSE),"")</f>
        <v/>
      </c>
      <c r="R295">
        <f>IFERROR(VLOOKUP(M295,'הגדרות'!$A$11:$D$25,3,FALSE),"")</f>
        <v/>
      </c>
      <c r="S295">
        <f>IFERROR(VLOOKUP(N295,'הגדרות'!$A$11:$D$25,2,FALSE),"")</f>
        <v/>
      </c>
      <c r="T295">
        <f>IFERROR(VLOOKUP(N295,'הגדרות'!$A$11:$D$25,3,FALSE),"")</f>
        <v/>
      </c>
      <c r="AB295" s="6" t="n"/>
      <c r="AE295">
        <f>OR(Q295='לוח בקרה'!$B$2,R295='לוח בקרה'!$B$2,S295='לוח בקרה'!$B$2,T295='לוח בקרה'!$B$2)</f>
        <v/>
      </c>
      <c r="AF295">
        <f>AND(AE295,OR(AND(O295="כן",U295="כן"),AND(P295="כן",V295="כן")))</f>
        <v/>
      </c>
      <c r="AG295">
        <f>AND(AE295,OR(O295="כן",P295="כן"),NOT(OR(AND(O295="כן",U295="כן"),AND(P295="כן",V295="כן"))))</f>
        <v/>
      </c>
      <c r="AH295">
        <f>AND(AE295,OR(U295="כן",V295="כן"),NOT(OR(O295="כן",P295="כן")))</f>
        <v/>
      </c>
      <c r="AI295">
        <f>AND(X295="מושאל",AB295&lt;&gt;"",AB295&lt;TODAY())</f>
        <v/>
      </c>
    </row>
    <row r="296">
      <c r="E296">
        <f>IFERROR(INDEX('הגדרות'!$D$104:$D$123,MATCH(B296&amp;G296&amp;C296,'הגדרות'!$A$104:$A$123&amp;'הגדרות'!$B$104:$B$123&amp;'הגדרות'!$C$104:$C$123,0)),"")</f>
        <v/>
      </c>
      <c r="F296" s="6" t="n"/>
      <c r="Q296">
        <f>IFERROR(VLOOKUP(M296,'הגדרות'!$A$11:$D$25,2,FALSE),"")</f>
        <v/>
      </c>
      <c r="R296">
        <f>IFERROR(VLOOKUP(M296,'הגדרות'!$A$11:$D$25,3,FALSE),"")</f>
        <v/>
      </c>
      <c r="S296">
        <f>IFERROR(VLOOKUP(N296,'הגדרות'!$A$11:$D$25,2,FALSE),"")</f>
        <v/>
      </c>
      <c r="T296">
        <f>IFERROR(VLOOKUP(N296,'הגדרות'!$A$11:$D$25,3,FALSE),"")</f>
        <v/>
      </c>
      <c r="AB296" s="6" t="n"/>
      <c r="AE296">
        <f>OR(Q296='לוח בקרה'!$B$2,R296='לוח בקרה'!$B$2,S296='לוח בקרה'!$B$2,T296='לוח בקרה'!$B$2)</f>
        <v/>
      </c>
      <c r="AF296">
        <f>AND(AE296,OR(AND(O296="כן",U296="כן"),AND(P296="כן",V296="כן")))</f>
        <v/>
      </c>
      <c r="AG296">
        <f>AND(AE296,OR(O296="כן",P296="כן"),NOT(OR(AND(O296="כן",U296="כן"),AND(P296="כן",V296="כן"))))</f>
        <v/>
      </c>
      <c r="AH296">
        <f>AND(AE296,OR(U296="כן",V296="כן"),NOT(OR(O296="כן",P296="כן")))</f>
        <v/>
      </c>
      <c r="AI296">
        <f>AND(X296="מושאל",AB296&lt;&gt;"",AB296&lt;TODAY())</f>
        <v/>
      </c>
    </row>
    <row r="297">
      <c r="E297">
        <f>IFERROR(INDEX('הגדרות'!$D$104:$D$123,MATCH(B297&amp;G297&amp;C297,'הגדרות'!$A$104:$A$123&amp;'הגדרות'!$B$104:$B$123&amp;'הגדרות'!$C$104:$C$123,0)),"")</f>
        <v/>
      </c>
      <c r="F297" s="6" t="n"/>
      <c r="Q297">
        <f>IFERROR(VLOOKUP(M297,'הגדרות'!$A$11:$D$25,2,FALSE),"")</f>
        <v/>
      </c>
      <c r="R297">
        <f>IFERROR(VLOOKUP(M297,'הגדרות'!$A$11:$D$25,3,FALSE),"")</f>
        <v/>
      </c>
      <c r="S297">
        <f>IFERROR(VLOOKUP(N297,'הגדרות'!$A$11:$D$25,2,FALSE),"")</f>
        <v/>
      </c>
      <c r="T297">
        <f>IFERROR(VLOOKUP(N297,'הגדרות'!$A$11:$D$25,3,FALSE),"")</f>
        <v/>
      </c>
      <c r="AB297" s="6" t="n"/>
      <c r="AE297">
        <f>OR(Q297='לוח בקרה'!$B$2,R297='לוח בקרה'!$B$2,S297='לוח בקרה'!$B$2,T297='לוח בקרה'!$B$2)</f>
        <v/>
      </c>
      <c r="AF297">
        <f>AND(AE297,OR(AND(O297="כן",U297="כן"),AND(P297="כן",V297="כן")))</f>
        <v/>
      </c>
      <c r="AG297">
        <f>AND(AE297,OR(O297="כן",P297="כן"),NOT(OR(AND(O297="כן",U297="כן"),AND(P297="כן",V297="כן"))))</f>
        <v/>
      </c>
      <c r="AH297">
        <f>AND(AE297,OR(U297="כן",V297="כן"),NOT(OR(O297="כן",P297="כן")))</f>
        <v/>
      </c>
      <c r="AI297">
        <f>AND(X297="מושאל",AB297&lt;&gt;"",AB297&lt;TODAY())</f>
        <v/>
      </c>
    </row>
    <row r="298">
      <c r="E298">
        <f>IFERROR(INDEX('הגדרות'!$D$104:$D$123,MATCH(B298&amp;G298&amp;C298,'הגדרות'!$A$104:$A$123&amp;'הגדרות'!$B$104:$B$123&amp;'הגדרות'!$C$104:$C$123,0)),"")</f>
        <v/>
      </c>
      <c r="F298" s="6" t="n"/>
      <c r="Q298">
        <f>IFERROR(VLOOKUP(M298,'הגדרות'!$A$11:$D$25,2,FALSE),"")</f>
        <v/>
      </c>
      <c r="R298">
        <f>IFERROR(VLOOKUP(M298,'הגדרות'!$A$11:$D$25,3,FALSE),"")</f>
        <v/>
      </c>
      <c r="S298">
        <f>IFERROR(VLOOKUP(N298,'הגדרות'!$A$11:$D$25,2,FALSE),"")</f>
        <v/>
      </c>
      <c r="T298">
        <f>IFERROR(VLOOKUP(N298,'הגדרות'!$A$11:$D$25,3,FALSE),"")</f>
        <v/>
      </c>
      <c r="AB298" s="6" t="n"/>
      <c r="AE298">
        <f>OR(Q298='לוח בקרה'!$B$2,R298='לוח בקרה'!$B$2,S298='לוח בקרה'!$B$2,T298='לוח בקרה'!$B$2)</f>
        <v/>
      </c>
      <c r="AF298">
        <f>AND(AE298,OR(AND(O298="כן",U298="כן"),AND(P298="כן",V298="כן")))</f>
        <v/>
      </c>
      <c r="AG298">
        <f>AND(AE298,OR(O298="כן",P298="כן"),NOT(OR(AND(O298="כן",U298="כן"),AND(P298="כן",V298="כן"))))</f>
        <v/>
      </c>
      <c r="AH298">
        <f>AND(AE298,OR(U298="כן",V298="כן"),NOT(OR(O298="כן",P298="כן")))</f>
        <v/>
      </c>
      <c r="AI298">
        <f>AND(X298="מושאל",AB298&lt;&gt;"",AB298&lt;TODAY())</f>
        <v/>
      </c>
    </row>
    <row r="299">
      <c r="E299">
        <f>IFERROR(INDEX('הגדרות'!$D$104:$D$123,MATCH(B299&amp;G299&amp;C299,'הגדרות'!$A$104:$A$123&amp;'הגדרות'!$B$104:$B$123&amp;'הגדרות'!$C$104:$C$123,0)),"")</f>
        <v/>
      </c>
      <c r="F299" s="6" t="n"/>
      <c r="Q299">
        <f>IFERROR(VLOOKUP(M299,'הגדרות'!$A$11:$D$25,2,FALSE),"")</f>
        <v/>
      </c>
      <c r="R299">
        <f>IFERROR(VLOOKUP(M299,'הגדרות'!$A$11:$D$25,3,FALSE),"")</f>
        <v/>
      </c>
      <c r="S299">
        <f>IFERROR(VLOOKUP(N299,'הגדרות'!$A$11:$D$25,2,FALSE),"")</f>
        <v/>
      </c>
      <c r="T299">
        <f>IFERROR(VLOOKUP(N299,'הגדרות'!$A$11:$D$25,3,FALSE),"")</f>
        <v/>
      </c>
      <c r="AB299" s="6" t="n"/>
      <c r="AE299">
        <f>OR(Q299='לוח בקרה'!$B$2,R299='לוח בקרה'!$B$2,S299='לוח בקרה'!$B$2,T299='לוח בקרה'!$B$2)</f>
        <v/>
      </c>
      <c r="AF299">
        <f>AND(AE299,OR(AND(O299="כן",U299="כן"),AND(P299="כן",V299="כן")))</f>
        <v/>
      </c>
      <c r="AG299">
        <f>AND(AE299,OR(O299="כן",P299="כן"),NOT(OR(AND(O299="כן",U299="כן"),AND(P299="כן",V299="כן"))))</f>
        <v/>
      </c>
      <c r="AH299">
        <f>AND(AE299,OR(U299="כן",V299="כן"),NOT(OR(O299="כן",P299="כן")))</f>
        <v/>
      </c>
      <c r="AI299">
        <f>AND(X299="מושאל",AB299&lt;&gt;"",AB299&lt;TODAY())</f>
        <v/>
      </c>
    </row>
    <row r="300">
      <c r="E300">
        <f>IFERROR(INDEX('הגדרות'!$D$104:$D$123,MATCH(B300&amp;G300&amp;C300,'הגדרות'!$A$104:$A$123&amp;'הגדרות'!$B$104:$B$123&amp;'הגדרות'!$C$104:$C$123,0)),"")</f>
        <v/>
      </c>
      <c r="F300" s="6" t="n"/>
      <c r="Q300">
        <f>IFERROR(VLOOKUP(M300,'הגדרות'!$A$11:$D$25,2,FALSE),"")</f>
        <v/>
      </c>
      <c r="R300">
        <f>IFERROR(VLOOKUP(M300,'הגדרות'!$A$11:$D$25,3,FALSE),"")</f>
        <v/>
      </c>
      <c r="S300">
        <f>IFERROR(VLOOKUP(N300,'הגדרות'!$A$11:$D$25,2,FALSE),"")</f>
        <v/>
      </c>
      <c r="T300">
        <f>IFERROR(VLOOKUP(N300,'הגדרות'!$A$11:$D$25,3,FALSE),"")</f>
        <v/>
      </c>
      <c r="AB300" s="6" t="n"/>
      <c r="AE300">
        <f>OR(Q300='לוח בקרה'!$B$2,R300='לוח בקרה'!$B$2,S300='לוח בקרה'!$B$2,T300='לוח בקרה'!$B$2)</f>
        <v/>
      </c>
      <c r="AF300">
        <f>AND(AE300,OR(AND(O300="כן",U300="כן"),AND(P300="כן",V300="כן")))</f>
        <v/>
      </c>
      <c r="AG300">
        <f>AND(AE300,OR(O300="כן",P300="כן"),NOT(OR(AND(O300="כן",U300="כן"),AND(P300="כן",V300="כן"))))</f>
        <v/>
      </c>
      <c r="AH300">
        <f>AND(AE300,OR(U300="כן",V300="כן"),NOT(OR(O300="כן",P300="כן")))</f>
        <v/>
      </c>
      <c r="AI300">
        <f>AND(X300="מושאל",AB300&lt;&gt;"",AB300&lt;TODAY())</f>
        <v/>
      </c>
    </row>
    <row r="301">
      <c r="E301">
        <f>IFERROR(INDEX('הגדרות'!$D$104:$D$123,MATCH(B301&amp;G301&amp;C301,'הגדרות'!$A$104:$A$123&amp;'הגדרות'!$B$104:$B$123&amp;'הגדרות'!$C$104:$C$123,0)),"")</f>
        <v/>
      </c>
      <c r="F301" s="6" t="n"/>
      <c r="Q301">
        <f>IFERROR(VLOOKUP(M301,'הגדרות'!$A$11:$D$25,2,FALSE),"")</f>
        <v/>
      </c>
      <c r="R301">
        <f>IFERROR(VLOOKUP(M301,'הגדרות'!$A$11:$D$25,3,FALSE),"")</f>
        <v/>
      </c>
      <c r="S301">
        <f>IFERROR(VLOOKUP(N301,'הגדרות'!$A$11:$D$25,2,FALSE),"")</f>
        <v/>
      </c>
      <c r="T301">
        <f>IFERROR(VLOOKUP(N301,'הגדרות'!$A$11:$D$25,3,FALSE),"")</f>
        <v/>
      </c>
      <c r="AB301" s="6" t="n"/>
      <c r="AE301">
        <f>OR(Q301='לוח בקרה'!$B$2,R301='לוח בקרה'!$B$2,S301='לוח בקרה'!$B$2,T301='לוח בקרה'!$B$2)</f>
        <v/>
      </c>
      <c r="AF301">
        <f>AND(AE301,OR(AND(O301="כן",U301="כן"),AND(P301="כן",V301="כן")))</f>
        <v/>
      </c>
      <c r="AG301">
        <f>AND(AE301,OR(O301="כן",P301="כן"),NOT(OR(AND(O301="כן",U301="כן"),AND(P301="כן",V301="כן"))))</f>
        <v/>
      </c>
      <c r="AH301">
        <f>AND(AE301,OR(U301="כן",V301="כן"),NOT(OR(O301="כן",P301="כן")))</f>
        <v/>
      </c>
      <c r="AI301">
        <f>AND(X301="מושאל",AB301&lt;&gt;"",AB301&lt;TODAY())</f>
        <v/>
      </c>
    </row>
    <row r="302">
      <c r="E302">
        <f>IFERROR(INDEX('הגדרות'!$D$104:$D$123,MATCH(B302&amp;G302&amp;C302,'הגדרות'!$A$104:$A$123&amp;'הגדרות'!$B$104:$B$123&amp;'הגדרות'!$C$104:$C$123,0)),"")</f>
        <v/>
      </c>
      <c r="F302" s="6" t="n"/>
      <c r="Q302">
        <f>IFERROR(VLOOKUP(M302,'הגדרות'!$A$11:$D$25,2,FALSE),"")</f>
        <v/>
      </c>
      <c r="R302">
        <f>IFERROR(VLOOKUP(M302,'הגדרות'!$A$11:$D$25,3,FALSE),"")</f>
        <v/>
      </c>
      <c r="S302">
        <f>IFERROR(VLOOKUP(N302,'הגדרות'!$A$11:$D$25,2,FALSE),"")</f>
        <v/>
      </c>
      <c r="T302">
        <f>IFERROR(VLOOKUP(N302,'הגדרות'!$A$11:$D$25,3,FALSE),"")</f>
        <v/>
      </c>
      <c r="AB302" s="6" t="n"/>
      <c r="AE302">
        <f>OR(Q302='לוח בקרה'!$B$2,R302='לוח בקרה'!$B$2,S302='לוח בקרה'!$B$2,T302='לוח בקרה'!$B$2)</f>
        <v/>
      </c>
      <c r="AF302">
        <f>AND(AE302,OR(AND(O302="כן",U302="כן"),AND(P302="כן",V302="כן")))</f>
        <v/>
      </c>
      <c r="AG302">
        <f>AND(AE302,OR(O302="כן",P302="כן"),NOT(OR(AND(O302="כן",U302="כן"),AND(P302="כן",V302="כן"))))</f>
        <v/>
      </c>
      <c r="AH302">
        <f>AND(AE302,OR(U302="כן",V302="כן"),NOT(OR(O302="כן",P302="כן")))</f>
        <v/>
      </c>
      <c r="AI302">
        <f>AND(X302="מושאל",AB302&lt;&gt;"",AB302&lt;TODAY())</f>
        <v/>
      </c>
    </row>
    <row r="303">
      <c r="E303">
        <f>IFERROR(INDEX('הגדרות'!$D$104:$D$123,MATCH(B303&amp;G303&amp;C303,'הגדרות'!$A$104:$A$123&amp;'הגדרות'!$B$104:$B$123&amp;'הגדרות'!$C$104:$C$123,0)),"")</f>
        <v/>
      </c>
      <c r="F303" s="6" t="n"/>
      <c r="Q303">
        <f>IFERROR(VLOOKUP(M303,'הגדרות'!$A$11:$D$25,2,FALSE),"")</f>
        <v/>
      </c>
      <c r="R303">
        <f>IFERROR(VLOOKUP(M303,'הגדרות'!$A$11:$D$25,3,FALSE),"")</f>
        <v/>
      </c>
      <c r="S303">
        <f>IFERROR(VLOOKUP(N303,'הגדרות'!$A$11:$D$25,2,FALSE),"")</f>
        <v/>
      </c>
      <c r="T303">
        <f>IFERROR(VLOOKUP(N303,'הגדרות'!$A$11:$D$25,3,FALSE),"")</f>
        <v/>
      </c>
      <c r="AB303" s="6" t="n"/>
      <c r="AE303">
        <f>OR(Q303='לוח בקרה'!$B$2,R303='לוח בקרה'!$B$2,S303='לוח בקרה'!$B$2,T303='לוח בקרה'!$B$2)</f>
        <v/>
      </c>
      <c r="AF303">
        <f>AND(AE303,OR(AND(O303="כן",U303="כן"),AND(P303="כן",V303="כן")))</f>
        <v/>
      </c>
      <c r="AG303">
        <f>AND(AE303,OR(O303="כן",P303="כן"),NOT(OR(AND(O303="כן",U303="כן"),AND(P303="כן",V303="כן"))))</f>
        <v/>
      </c>
      <c r="AH303">
        <f>AND(AE303,OR(U303="כן",V303="כן"),NOT(OR(O303="כן",P303="כן")))</f>
        <v/>
      </c>
      <c r="AI303">
        <f>AND(X303="מושאל",AB303&lt;&gt;"",AB303&lt;TODAY())</f>
        <v/>
      </c>
    </row>
    <row r="304">
      <c r="E304">
        <f>IFERROR(INDEX('הגדרות'!$D$104:$D$123,MATCH(B304&amp;G304&amp;C304,'הגדרות'!$A$104:$A$123&amp;'הגדרות'!$B$104:$B$123&amp;'הגדרות'!$C$104:$C$123,0)),"")</f>
        <v/>
      </c>
      <c r="F304" s="6" t="n"/>
      <c r="Q304">
        <f>IFERROR(VLOOKUP(M304,'הגדרות'!$A$11:$D$25,2,FALSE),"")</f>
        <v/>
      </c>
      <c r="R304">
        <f>IFERROR(VLOOKUP(M304,'הגדרות'!$A$11:$D$25,3,FALSE),"")</f>
        <v/>
      </c>
      <c r="S304">
        <f>IFERROR(VLOOKUP(N304,'הגדרות'!$A$11:$D$25,2,FALSE),"")</f>
        <v/>
      </c>
      <c r="T304">
        <f>IFERROR(VLOOKUP(N304,'הגדרות'!$A$11:$D$25,3,FALSE),"")</f>
        <v/>
      </c>
      <c r="AB304" s="6" t="n"/>
      <c r="AE304">
        <f>OR(Q304='לוח בקרה'!$B$2,R304='לוח בקרה'!$B$2,S304='לוח בקרה'!$B$2,T304='לוח בקרה'!$B$2)</f>
        <v/>
      </c>
      <c r="AF304">
        <f>AND(AE304,OR(AND(O304="כן",U304="כן"),AND(P304="כן",V304="כן")))</f>
        <v/>
      </c>
      <c r="AG304">
        <f>AND(AE304,OR(O304="כן",P304="כן"),NOT(OR(AND(O304="כן",U304="כן"),AND(P304="כן",V304="כן"))))</f>
        <v/>
      </c>
      <c r="AH304">
        <f>AND(AE304,OR(U304="כן",V304="כן"),NOT(OR(O304="כן",P304="כן")))</f>
        <v/>
      </c>
      <c r="AI304">
        <f>AND(X304="מושאל",AB304&lt;&gt;"",AB304&lt;TODAY())</f>
        <v/>
      </c>
    </row>
    <row r="305">
      <c r="E305">
        <f>IFERROR(INDEX('הגדרות'!$D$104:$D$123,MATCH(B305&amp;G305&amp;C305,'הגדרות'!$A$104:$A$123&amp;'הגדרות'!$B$104:$B$123&amp;'הגדרות'!$C$104:$C$123,0)),"")</f>
        <v/>
      </c>
      <c r="F305" s="6" t="n"/>
      <c r="Q305">
        <f>IFERROR(VLOOKUP(M305,'הגדרות'!$A$11:$D$25,2,FALSE),"")</f>
        <v/>
      </c>
      <c r="R305">
        <f>IFERROR(VLOOKUP(M305,'הגדרות'!$A$11:$D$25,3,FALSE),"")</f>
        <v/>
      </c>
      <c r="S305">
        <f>IFERROR(VLOOKUP(N305,'הגדרות'!$A$11:$D$25,2,FALSE),"")</f>
        <v/>
      </c>
      <c r="T305">
        <f>IFERROR(VLOOKUP(N305,'הגדרות'!$A$11:$D$25,3,FALSE),"")</f>
        <v/>
      </c>
      <c r="AB305" s="6" t="n"/>
      <c r="AE305">
        <f>OR(Q305='לוח בקרה'!$B$2,R305='לוח בקרה'!$B$2,S305='לוח בקרה'!$B$2,T305='לוח בקרה'!$B$2)</f>
        <v/>
      </c>
      <c r="AF305">
        <f>AND(AE305,OR(AND(O305="כן",U305="כן"),AND(P305="כן",V305="כן")))</f>
        <v/>
      </c>
      <c r="AG305">
        <f>AND(AE305,OR(O305="כן",P305="כן"),NOT(OR(AND(O305="כן",U305="כן"),AND(P305="כן",V305="כן"))))</f>
        <v/>
      </c>
      <c r="AH305">
        <f>AND(AE305,OR(U305="כן",V305="כן"),NOT(OR(O305="כן",P305="כן")))</f>
        <v/>
      </c>
      <c r="AI305">
        <f>AND(X305="מושאל",AB305&lt;&gt;"",AB305&lt;TODAY())</f>
        <v/>
      </c>
    </row>
    <row r="306">
      <c r="E306">
        <f>IFERROR(INDEX('הגדרות'!$D$104:$D$123,MATCH(B306&amp;G306&amp;C306,'הגדרות'!$A$104:$A$123&amp;'הגדרות'!$B$104:$B$123&amp;'הגדרות'!$C$104:$C$123,0)),"")</f>
        <v/>
      </c>
      <c r="F306" s="6" t="n"/>
      <c r="Q306">
        <f>IFERROR(VLOOKUP(M306,'הגדרות'!$A$11:$D$25,2,FALSE),"")</f>
        <v/>
      </c>
      <c r="R306">
        <f>IFERROR(VLOOKUP(M306,'הגדרות'!$A$11:$D$25,3,FALSE),"")</f>
        <v/>
      </c>
      <c r="S306">
        <f>IFERROR(VLOOKUP(N306,'הגדרות'!$A$11:$D$25,2,FALSE),"")</f>
        <v/>
      </c>
      <c r="T306">
        <f>IFERROR(VLOOKUP(N306,'הגדרות'!$A$11:$D$25,3,FALSE),"")</f>
        <v/>
      </c>
      <c r="AB306" s="6" t="n"/>
      <c r="AE306">
        <f>OR(Q306='לוח בקרה'!$B$2,R306='לוח בקרה'!$B$2,S306='לוח בקרה'!$B$2,T306='לוח בקרה'!$B$2)</f>
        <v/>
      </c>
      <c r="AF306">
        <f>AND(AE306,OR(AND(O306="כן",U306="כן"),AND(P306="כן",V306="כן")))</f>
        <v/>
      </c>
      <c r="AG306">
        <f>AND(AE306,OR(O306="כן",P306="כן"),NOT(OR(AND(O306="כן",U306="כן"),AND(P306="כן",V306="כן"))))</f>
        <v/>
      </c>
      <c r="AH306">
        <f>AND(AE306,OR(U306="כן",V306="כן"),NOT(OR(O306="כן",P306="כן")))</f>
        <v/>
      </c>
      <c r="AI306">
        <f>AND(X306="מושאל",AB306&lt;&gt;"",AB306&lt;TODAY())</f>
        <v/>
      </c>
    </row>
    <row r="307">
      <c r="E307">
        <f>IFERROR(INDEX('הגדרות'!$D$104:$D$123,MATCH(B307&amp;G307&amp;C307,'הגדרות'!$A$104:$A$123&amp;'הגדרות'!$B$104:$B$123&amp;'הגדרות'!$C$104:$C$123,0)),"")</f>
        <v/>
      </c>
      <c r="F307" s="6" t="n"/>
      <c r="Q307">
        <f>IFERROR(VLOOKUP(M307,'הגדרות'!$A$11:$D$25,2,FALSE),"")</f>
        <v/>
      </c>
      <c r="R307">
        <f>IFERROR(VLOOKUP(M307,'הגדרות'!$A$11:$D$25,3,FALSE),"")</f>
        <v/>
      </c>
      <c r="S307">
        <f>IFERROR(VLOOKUP(N307,'הגדרות'!$A$11:$D$25,2,FALSE),"")</f>
        <v/>
      </c>
      <c r="T307">
        <f>IFERROR(VLOOKUP(N307,'הגדרות'!$A$11:$D$25,3,FALSE),"")</f>
        <v/>
      </c>
      <c r="AB307" s="6" t="n"/>
      <c r="AE307">
        <f>OR(Q307='לוח בקרה'!$B$2,R307='לוח בקרה'!$B$2,S307='לוח בקרה'!$B$2,T307='לוח בקרה'!$B$2)</f>
        <v/>
      </c>
      <c r="AF307">
        <f>AND(AE307,OR(AND(O307="כן",U307="כן"),AND(P307="כן",V307="כן")))</f>
        <v/>
      </c>
      <c r="AG307">
        <f>AND(AE307,OR(O307="כן",P307="כן"),NOT(OR(AND(O307="כן",U307="כן"),AND(P307="כן",V307="כן"))))</f>
        <v/>
      </c>
      <c r="AH307">
        <f>AND(AE307,OR(U307="כן",V307="כן"),NOT(OR(O307="כן",P307="כן")))</f>
        <v/>
      </c>
      <c r="AI307">
        <f>AND(X307="מושאל",AB307&lt;&gt;"",AB307&lt;TODAY())</f>
        <v/>
      </c>
    </row>
    <row r="308">
      <c r="E308">
        <f>IFERROR(INDEX('הגדרות'!$D$104:$D$123,MATCH(B308&amp;G308&amp;C308,'הגדרות'!$A$104:$A$123&amp;'הגדרות'!$B$104:$B$123&amp;'הגדרות'!$C$104:$C$123,0)),"")</f>
        <v/>
      </c>
      <c r="F308" s="6" t="n"/>
      <c r="Q308">
        <f>IFERROR(VLOOKUP(M308,'הגדרות'!$A$11:$D$25,2,FALSE),"")</f>
        <v/>
      </c>
      <c r="R308">
        <f>IFERROR(VLOOKUP(M308,'הגדרות'!$A$11:$D$25,3,FALSE),"")</f>
        <v/>
      </c>
      <c r="S308">
        <f>IFERROR(VLOOKUP(N308,'הגדרות'!$A$11:$D$25,2,FALSE),"")</f>
        <v/>
      </c>
      <c r="T308">
        <f>IFERROR(VLOOKUP(N308,'הגדרות'!$A$11:$D$25,3,FALSE),"")</f>
        <v/>
      </c>
      <c r="AB308" s="6" t="n"/>
      <c r="AE308">
        <f>OR(Q308='לוח בקרה'!$B$2,R308='לוח בקרה'!$B$2,S308='לוח בקרה'!$B$2,T308='לוח בקרה'!$B$2)</f>
        <v/>
      </c>
      <c r="AF308">
        <f>AND(AE308,OR(AND(O308="כן",U308="כן"),AND(P308="כן",V308="כן")))</f>
        <v/>
      </c>
      <c r="AG308">
        <f>AND(AE308,OR(O308="כן",P308="כן"),NOT(OR(AND(O308="כן",U308="כן"),AND(P308="כן",V308="כן"))))</f>
        <v/>
      </c>
      <c r="AH308">
        <f>AND(AE308,OR(U308="כן",V308="כן"),NOT(OR(O308="כן",P308="כן")))</f>
        <v/>
      </c>
      <c r="AI308">
        <f>AND(X308="מושאל",AB308&lt;&gt;"",AB308&lt;TODAY())</f>
        <v/>
      </c>
    </row>
    <row r="309">
      <c r="E309">
        <f>IFERROR(INDEX('הגדרות'!$D$104:$D$123,MATCH(B309&amp;G309&amp;C309,'הגדרות'!$A$104:$A$123&amp;'הגדרות'!$B$104:$B$123&amp;'הגדרות'!$C$104:$C$123,0)),"")</f>
        <v/>
      </c>
      <c r="F309" s="6" t="n"/>
      <c r="Q309">
        <f>IFERROR(VLOOKUP(M309,'הגדרות'!$A$11:$D$25,2,FALSE),"")</f>
        <v/>
      </c>
      <c r="R309">
        <f>IFERROR(VLOOKUP(M309,'הגדרות'!$A$11:$D$25,3,FALSE),"")</f>
        <v/>
      </c>
      <c r="S309">
        <f>IFERROR(VLOOKUP(N309,'הגדרות'!$A$11:$D$25,2,FALSE),"")</f>
        <v/>
      </c>
      <c r="T309">
        <f>IFERROR(VLOOKUP(N309,'הגדרות'!$A$11:$D$25,3,FALSE),"")</f>
        <v/>
      </c>
      <c r="AB309" s="6" t="n"/>
      <c r="AE309">
        <f>OR(Q309='לוח בקרה'!$B$2,R309='לוח בקרה'!$B$2,S309='לוח בקרה'!$B$2,T309='לוח בקרה'!$B$2)</f>
        <v/>
      </c>
      <c r="AF309">
        <f>AND(AE309,OR(AND(O309="כן",U309="כן"),AND(P309="כן",V309="כן")))</f>
        <v/>
      </c>
      <c r="AG309">
        <f>AND(AE309,OR(O309="כן",P309="כן"),NOT(OR(AND(O309="כן",U309="כן"),AND(P309="כן",V309="כן"))))</f>
        <v/>
      </c>
      <c r="AH309">
        <f>AND(AE309,OR(U309="כן",V309="כן"),NOT(OR(O309="כן",P309="כן")))</f>
        <v/>
      </c>
      <c r="AI309">
        <f>AND(X309="מושאל",AB309&lt;&gt;"",AB309&lt;TODAY())</f>
        <v/>
      </c>
    </row>
    <row r="310">
      <c r="E310">
        <f>IFERROR(INDEX('הגדרות'!$D$104:$D$123,MATCH(B310&amp;G310&amp;C310,'הגדרות'!$A$104:$A$123&amp;'הגדרות'!$B$104:$B$123&amp;'הגדרות'!$C$104:$C$123,0)),"")</f>
        <v/>
      </c>
      <c r="F310" s="6" t="n"/>
      <c r="Q310">
        <f>IFERROR(VLOOKUP(M310,'הגדרות'!$A$11:$D$25,2,FALSE),"")</f>
        <v/>
      </c>
      <c r="R310">
        <f>IFERROR(VLOOKUP(M310,'הגדרות'!$A$11:$D$25,3,FALSE),"")</f>
        <v/>
      </c>
      <c r="S310">
        <f>IFERROR(VLOOKUP(N310,'הגדרות'!$A$11:$D$25,2,FALSE),"")</f>
        <v/>
      </c>
      <c r="T310">
        <f>IFERROR(VLOOKUP(N310,'הגדרות'!$A$11:$D$25,3,FALSE),"")</f>
        <v/>
      </c>
      <c r="AB310" s="6" t="n"/>
      <c r="AE310">
        <f>OR(Q310='לוח בקרה'!$B$2,R310='לוח בקרה'!$B$2,S310='לוח בקרה'!$B$2,T310='לוח בקרה'!$B$2)</f>
        <v/>
      </c>
      <c r="AF310">
        <f>AND(AE310,OR(AND(O310="כן",U310="כן"),AND(P310="כן",V310="כן")))</f>
        <v/>
      </c>
      <c r="AG310">
        <f>AND(AE310,OR(O310="כן",P310="כן"),NOT(OR(AND(O310="כן",U310="כן"),AND(P310="כן",V310="כן"))))</f>
        <v/>
      </c>
      <c r="AH310">
        <f>AND(AE310,OR(U310="כן",V310="כן"),NOT(OR(O310="כן",P310="כן")))</f>
        <v/>
      </c>
      <c r="AI310">
        <f>AND(X310="מושאל",AB310&lt;&gt;"",AB310&lt;TODAY())</f>
        <v/>
      </c>
    </row>
    <row r="311">
      <c r="E311">
        <f>IFERROR(INDEX('הגדרות'!$D$104:$D$123,MATCH(B311&amp;G311&amp;C311,'הגדרות'!$A$104:$A$123&amp;'הגדרות'!$B$104:$B$123&amp;'הגדרות'!$C$104:$C$123,0)),"")</f>
        <v/>
      </c>
      <c r="F311" s="6" t="n"/>
      <c r="Q311">
        <f>IFERROR(VLOOKUP(M311,'הגדרות'!$A$11:$D$25,2,FALSE),"")</f>
        <v/>
      </c>
      <c r="R311">
        <f>IFERROR(VLOOKUP(M311,'הגדרות'!$A$11:$D$25,3,FALSE),"")</f>
        <v/>
      </c>
      <c r="S311">
        <f>IFERROR(VLOOKUP(N311,'הגדרות'!$A$11:$D$25,2,FALSE),"")</f>
        <v/>
      </c>
      <c r="T311">
        <f>IFERROR(VLOOKUP(N311,'הגדרות'!$A$11:$D$25,3,FALSE),"")</f>
        <v/>
      </c>
      <c r="AB311" s="6" t="n"/>
      <c r="AE311">
        <f>OR(Q311='לוח בקרה'!$B$2,R311='לוח בקרה'!$B$2,S311='לוח בקרה'!$B$2,T311='לוח בקרה'!$B$2)</f>
        <v/>
      </c>
      <c r="AF311">
        <f>AND(AE311,OR(AND(O311="כן",U311="כן"),AND(P311="כן",V311="כן")))</f>
        <v/>
      </c>
      <c r="AG311">
        <f>AND(AE311,OR(O311="כן",P311="כן"),NOT(OR(AND(O311="כן",U311="כן"),AND(P311="כן",V311="כן"))))</f>
        <v/>
      </c>
      <c r="AH311">
        <f>AND(AE311,OR(U311="כן",V311="כן"),NOT(OR(O311="כן",P311="כן")))</f>
        <v/>
      </c>
      <c r="AI311">
        <f>AND(X311="מושאל",AB311&lt;&gt;"",AB311&lt;TODAY())</f>
        <v/>
      </c>
    </row>
    <row r="312">
      <c r="E312">
        <f>IFERROR(INDEX('הגדרות'!$D$104:$D$123,MATCH(B312&amp;G312&amp;C312,'הגדרות'!$A$104:$A$123&amp;'הגדרות'!$B$104:$B$123&amp;'הגדרות'!$C$104:$C$123,0)),"")</f>
        <v/>
      </c>
      <c r="F312" s="6" t="n"/>
      <c r="Q312">
        <f>IFERROR(VLOOKUP(M312,'הגדרות'!$A$11:$D$25,2,FALSE),"")</f>
        <v/>
      </c>
      <c r="R312">
        <f>IFERROR(VLOOKUP(M312,'הגדרות'!$A$11:$D$25,3,FALSE),"")</f>
        <v/>
      </c>
      <c r="S312">
        <f>IFERROR(VLOOKUP(N312,'הגדרות'!$A$11:$D$25,2,FALSE),"")</f>
        <v/>
      </c>
      <c r="T312">
        <f>IFERROR(VLOOKUP(N312,'הגדרות'!$A$11:$D$25,3,FALSE),"")</f>
        <v/>
      </c>
      <c r="AB312" s="6" t="n"/>
      <c r="AE312">
        <f>OR(Q312='לוח בקרה'!$B$2,R312='לוח בקרה'!$B$2,S312='לוח בקרה'!$B$2,T312='לוח בקרה'!$B$2)</f>
        <v/>
      </c>
      <c r="AF312">
        <f>AND(AE312,OR(AND(O312="כן",U312="כן"),AND(P312="כן",V312="כן")))</f>
        <v/>
      </c>
      <c r="AG312">
        <f>AND(AE312,OR(O312="כן",P312="כן"),NOT(OR(AND(O312="כן",U312="כן"),AND(P312="כן",V312="כן"))))</f>
        <v/>
      </c>
      <c r="AH312">
        <f>AND(AE312,OR(U312="כן",V312="כן"),NOT(OR(O312="כן",P312="כן")))</f>
        <v/>
      </c>
      <c r="AI312">
        <f>AND(X312="מושאל",AB312&lt;&gt;"",AB312&lt;TODAY())</f>
        <v/>
      </c>
    </row>
    <row r="313">
      <c r="E313">
        <f>IFERROR(INDEX('הגדרות'!$D$104:$D$123,MATCH(B313&amp;G313&amp;C313,'הגדרות'!$A$104:$A$123&amp;'הגדרות'!$B$104:$B$123&amp;'הגדרות'!$C$104:$C$123,0)),"")</f>
        <v/>
      </c>
      <c r="F313" s="6" t="n"/>
      <c r="Q313">
        <f>IFERROR(VLOOKUP(M313,'הגדרות'!$A$11:$D$25,2,FALSE),"")</f>
        <v/>
      </c>
      <c r="R313">
        <f>IFERROR(VLOOKUP(M313,'הגדרות'!$A$11:$D$25,3,FALSE),"")</f>
        <v/>
      </c>
      <c r="S313">
        <f>IFERROR(VLOOKUP(N313,'הגדרות'!$A$11:$D$25,2,FALSE),"")</f>
        <v/>
      </c>
      <c r="T313">
        <f>IFERROR(VLOOKUP(N313,'הגדרות'!$A$11:$D$25,3,FALSE),"")</f>
        <v/>
      </c>
      <c r="AB313" s="6" t="n"/>
      <c r="AE313">
        <f>OR(Q313='לוח בקרה'!$B$2,R313='לוח בקרה'!$B$2,S313='לוח בקרה'!$B$2,T313='לוח בקרה'!$B$2)</f>
        <v/>
      </c>
      <c r="AF313">
        <f>AND(AE313,OR(AND(O313="כן",U313="כן"),AND(P313="כן",V313="כן")))</f>
        <v/>
      </c>
      <c r="AG313">
        <f>AND(AE313,OR(O313="כן",P313="כן"),NOT(OR(AND(O313="כן",U313="כן"),AND(P313="כן",V313="כן"))))</f>
        <v/>
      </c>
      <c r="AH313">
        <f>AND(AE313,OR(U313="כן",V313="כן"),NOT(OR(O313="כן",P313="כן")))</f>
        <v/>
      </c>
      <c r="AI313">
        <f>AND(X313="מושאל",AB313&lt;&gt;"",AB313&lt;TODAY())</f>
        <v/>
      </c>
    </row>
    <row r="314">
      <c r="E314">
        <f>IFERROR(INDEX('הגדרות'!$D$104:$D$123,MATCH(B314&amp;G314&amp;C314,'הגדרות'!$A$104:$A$123&amp;'הגדרות'!$B$104:$B$123&amp;'הגדרות'!$C$104:$C$123,0)),"")</f>
        <v/>
      </c>
      <c r="F314" s="6" t="n"/>
      <c r="Q314">
        <f>IFERROR(VLOOKUP(M314,'הגדרות'!$A$11:$D$25,2,FALSE),"")</f>
        <v/>
      </c>
      <c r="R314">
        <f>IFERROR(VLOOKUP(M314,'הגדרות'!$A$11:$D$25,3,FALSE),"")</f>
        <v/>
      </c>
      <c r="S314">
        <f>IFERROR(VLOOKUP(N314,'הגדרות'!$A$11:$D$25,2,FALSE),"")</f>
        <v/>
      </c>
      <c r="T314">
        <f>IFERROR(VLOOKUP(N314,'הגדרות'!$A$11:$D$25,3,FALSE),"")</f>
        <v/>
      </c>
      <c r="AB314" s="6" t="n"/>
      <c r="AE314">
        <f>OR(Q314='לוח בקרה'!$B$2,R314='לוח בקרה'!$B$2,S314='לוח בקרה'!$B$2,T314='לוח בקרה'!$B$2)</f>
        <v/>
      </c>
      <c r="AF314">
        <f>AND(AE314,OR(AND(O314="כן",U314="כן"),AND(P314="כן",V314="כן")))</f>
        <v/>
      </c>
      <c r="AG314">
        <f>AND(AE314,OR(O314="כן",P314="כן"),NOT(OR(AND(O314="כן",U314="כן"),AND(P314="כן",V314="כן"))))</f>
        <v/>
      </c>
      <c r="AH314">
        <f>AND(AE314,OR(U314="כן",V314="כן"),NOT(OR(O314="כן",P314="כן")))</f>
        <v/>
      </c>
      <c r="AI314">
        <f>AND(X314="מושאל",AB314&lt;&gt;"",AB314&lt;TODAY())</f>
        <v/>
      </c>
    </row>
    <row r="315">
      <c r="E315">
        <f>IFERROR(INDEX('הגדרות'!$D$104:$D$123,MATCH(B315&amp;G315&amp;C315,'הגדרות'!$A$104:$A$123&amp;'הגדרות'!$B$104:$B$123&amp;'הגדרות'!$C$104:$C$123,0)),"")</f>
        <v/>
      </c>
      <c r="F315" s="6" t="n"/>
      <c r="Q315">
        <f>IFERROR(VLOOKUP(M315,'הגדרות'!$A$11:$D$25,2,FALSE),"")</f>
        <v/>
      </c>
      <c r="R315">
        <f>IFERROR(VLOOKUP(M315,'הגדרות'!$A$11:$D$25,3,FALSE),"")</f>
        <v/>
      </c>
      <c r="S315">
        <f>IFERROR(VLOOKUP(N315,'הגדרות'!$A$11:$D$25,2,FALSE),"")</f>
        <v/>
      </c>
      <c r="T315">
        <f>IFERROR(VLOOKUP(N315,'הגדרות'!$A$11:$D$25,3,FALSE),"")</f>
        <v/>
      </c>
      <c r="AB315" s="6" t="n"/>
      <c r="AE315">
        <f>OR(Q315='לוח בקרה'!$B$2,R315='לוח בקרה'!$B$2,S315='לוח בקרה'!$B$2,T315='לוח בקרה'!$B$2)</f>
        <v/>
      </c>
      <c r="AF315">
        <f>AND(AE315,OR(AND(O315="כן",U315="כן"),AND(P315="כן",V315="כן")))</f>
        <v/>
      </c>
      <c r="AG315">
        <f>AND(AE315,OR(O315="כן",P315="כן"),NOT(OR(AND(O315="כן",U315="כן"),AND(P315="כן",V315="כן"))))</f>
        <v/>
      </c>
      <c r="AH315">
        <f>AND(AE315,OR(U315="כן",V315="כן"),NOT(OR(O315="כן",P315="כן")))</f>
        <v/>
      </c>
      <c r="AI315">
        <f>AND(X315="מושאל",AB315&lt;&gt;"",AB315&lt;TODAY())</f>
        <v/>
      </c>
    </row>
    <row r="316">
      <c r="E316">
        <f>IFERROR(INDEX('הגדרות'!$D$104:$D$123,MATCH(B316&amp;G316&amp;C316,'הגדרות'!$A$104:$A$123&amp;'הגדרות'!$B$104:$B$123&amp;'הגדרות'!$C$104:$C$123,0)),"")</f>
        <v/>
      </c>
      <c r="F316" s="6" t="n"/>
      <c r="Q316">
        <f>IFERROR(VLOOKUP(M316,'הגדרות'!$A$11:$D$25,2,FALSE),"")</f>
        <v/>
      </c>
      <c r="R316">
        <f>IFERROR(VLOOKUP(M316,'הגדרות'!$A$11:$D$25,3,FALSE),"")</f>
        <v/>
      </c>
      <c r="S316">
        <f>IFERROR(VLOOKUP(N316,'הגדרות'!$A$11:$D$25,2,FALSE),"")</f>
        <v/>
      </c>
      <c r="T316">
        <f>IFERROR(VLOOKUP(N316,'הגדרות'!$A$11:$D$25,3,FALSE),"")</f>
        <v/>
      </c>
      <c r="AB316" s="6" t="n"/>
      <c r="AE316">
        <f>OR(Q316='לוח בקרה'!$B$2,R316='לוח בקרה'!$B$2,S316='לוח בקרה'!$B$2,T316='לוח בקרה'!$B$2)</f>
        <v/>
      </c>
      <c r="AF316">
        <f>AND(AE316,OR(AND(O316="כן",U316="כן"),AND(P316="כן",V316="כן")))</f>
        <v/>
      </c>
      <c r="AG316">
        <f>AND(AE316,OR(O316="כן",P316="כן"),NOT(OR(AND(O316="כן",U316="כן"),AND(P316="כן",V316="כן"))))</f>
        <v/>
      </c>
      <c r="AH316">
        <f>AND(AE316,OR(U316="כן",V316="כן"),NOT(OR(O316="כן",P316="כן")))</f>
        <v/>
      </c>
      <c r="AI316">
        <f>AND(X316="מושאל",AB316&lt;&gt;"",AB316&lt;TODAY())</f>
        <v/>
      </c>
    </row>
    <row r="317">
      <c r="E317">
        <f>IFERROR(INDEX('הגדרות'!$D$104:$D$123,MATCH(B317&amp;G317&amp;C317,'הגדרות'!$A$104:$A$123&amp;'הגדרות'!$B$104:$B$123&amp;'הגדרות'!$C$104:$C$123,0)),"")</f>
        <v/>
      </c>
      <c r="F317" s="6" t="n"/>
      <c r="Q317">
        <f>IFERROR(VLOOKUP(M317,'הגדרות'!$A$11:$D$25,2,FALSE),"")</f>
        <v/>
      </c>
      <c r="R317">
        <f>IFERROR(VLOOKUP(M317,'הגדרות'!$A$11:$D$25,3,FALSE),"")</f>
        <v/>
      </c>
      <c r="S317">
        <f>IFERROR(VLOOKUP(N317,'הגדרות'!$A$11:$D$25,2,FALSE),"")</f>
        <v/>
      </c>
      <c r="T317">
        <f>IFERROR(VLOOKUP(N317,'הגדרות'!$A$11:$D$25,3,FALSE),"")</f>
        <v/>
      </c>
      <c r="AB317" s="6" t="n"/>
      <c r="AE317">
        <f>OR(Q317='לוח בקרה'!$B$2,R317='לוח בקרה'!$B$2,S317='לוח בקרה'!$B$2,T317='לוח בקרה'!$B$2)</f>
        <v/>
      </c>
      <c r="AF317">
        <f>AND(AE317,OR(AND(O317="כן",U317="כן"),AND(P317="כן",V317="כן")))</f>
        <v/>
      </c>
      <c r="AG317">
        <f>AND(AE317,OR(O317="כן",P317="כן"),NOT(OR(AND(O317="כן",U317="כן"),AND(P317="כן",V317="כן"))))</f>
        <v/>
      </c>
      <c r="AH317">
        <f>AND(AE317,OR(U317="כן",V317="כן"),NOT(OR(O317="כן",P317="כן")))</f>
        <v/>
      </c>
      <c r="AI317">
        <f>AND(X317="מושאל",AB317&lt;&gt;"",AB317&lt;TODAY())</f>
        <v/>
      </c>
    </row>
    <row r="318">
      <c r="E318">
        <f>IFERROR(INDEX('הגדרות'!$D$104:$D$123,MATCH(B318&amp;G318&amp;C318,'הגדרות'!$A$104:$A$123&amp;'הגדרות'!$B$104:$B$123&amp;'הגדרות'!$C$104:$C$123,0)),"")</f>
        <v/>
      </c>
      <c r="F318" s="6" t="n"/>
      <c r="Q318">
        <f>IFERROR(VLOOKUP(M318,'הגדרות'!$A$11:$D$25,2,FALSE),"")</f>
        <v/>
      </c>
      <c r="R318">
        <f>IFERROR(VLOOKUP(M318,'הגדרות'!$A$11:$D$25,3,FALSE),"")</f>
        <v/>
      </c>
      <c r="S318">
        <f>IFERROR(VLOOKUP(N318,'הגדרות'!$A$11:$D$25,2,FALSE),"")</f>
        <v/>
      </c>
      <c r="T318">
        <f>IFERROR(VLOOKUP(N318,'הגדרות'!$A$11:$D$25,3,FALSE),"")</f>
        <v/>
      </c>
      <c r="AB318" s="6" t="n"/>
      <c r="AE318">
        <f>OR(Q318='לוח בקרה'!$B$2,R318='לוח בקרה'!$B$2,S318='לוח בקרה'!$B$2,T318='לוח בקרה'!$B$2)</f>
        <v/>
      </c>
      <c r="AF318">
        <f>AND(AE318,OR(AND(O318="כן",U318="כן"),AND(P318="כן",V318="כן")))</f>
        <v/>
      </c>
      <c r="AG318">
        <f>AND(AE318,OR(O318="כן",P318="כן"),NOT(OR(AND(O318="כן",U318="כן"),AND(P318="כן",V318="כן"))))</f>
        <v/>
      </c>
      <c r="AH318">
        <f>AND(AE318,OR(U318="כן",V318="כן"),NOT(OR(O318="כן",P318="כן")))</f>
        <v/>
      </c>
      <c r="AI318">
        <f>AND(X318="מושאל",AB318&lt;&gt;"",AB318&lt;TODAY())</f>
        <v/>
      </c>
    </row>
    <row r="319">
      <c r="E319">
        <f>IFERROR(INDEX('הגדרות'!$D$104:$D$123,MATCH(B319&amp;G319&amp;C319,'הגדרות'!$A$104:$A$123&amp;'הגדרות'!$B$104:$B$123&amp;'הגדרות'!$C$104:$C$123,0)),"")</f>
        <v/>
      </c>
      <c r="F319" s="6" t="n"/>
      <c r="Q319">
        <f>IFERROR(VLOOKUP(M319,'הגדרות'!$A$11:$D$25,2,FALSE),"")</f>
        <v/>
      </c>
      <c r="R319">
        <f>IFERROR(VLOOKUP(M319,'הגדרות'!$A$11:$D$25,3,FALSE),"")</f>
        <v/>
      </c>
      <c r="S319">
        <f>IFERROR(VLOOKUP(N319,'הגדרות'!$A$11:$D$25,2,FALSE),"")</f>
        <v/>
      </c>
      <c r="T319">
        <f>IFERROR(VLOOKUP(N319,'הגדרות'!$A$11:$D$25,3,FALSE),"")</f>
        <v/>
      </c>
      <c r="AB319" s="6" t="n"/>
      <c r="AE319">
        <f>OR(Q319='לוח בקרה'!$B$2,R319='לוח בקרה'!$B$2,S319='לוח בקרה'!$B$2,T319='לוח בקרה'!$B$2)</f>
        <v/>
      </c>
      <c r="AF319">
        <f>AND(AE319,OR(AND(O319="כן",U319="כן"),AND(P319="כן",V319="כן")))</f>
        <v/>
      </c>
      <c r="AG319">
        <f>AND(AE319,OR(O319="כן",P319="כן"),NOT(OR(AND(O319="כן",U319="כן"),AND(P319="כן",V319="כן"))))</f>
        <v/>
      </c>
      <c r="AH319">
        <f>AND(AE319,OR(U319="כן",V319="כן"),NOT(OR(O319="כן",P319="כן")))</f>
        <v/>
      </c>
      <c r="AI319">
        <f>AND(X319="מושאל",AB319&lt;&gt;"",AB319&lt;TODAY())</f>
        <v/>
      </c>
    </row>
    <row r="320">
      <c r="E320">
        <f>IFERROR(INDEX('הגדרות'!$D$104:$D$123,MATCH(B320&amp;G320&amp;C320,'הגדרות'!$A$104:$A$123&amp;'הגדרות'!$B$104:$B$123&amp;'הגדרות'!$C$104:$C$123,0)),"")</f>
        <v/>
      </c>
      <c r="F320" s="6" t="n"/>
      <c r="Q320">
        <f>IFERROR(VLOOKUP(M320,'הגדרות'!$A$11:$D$25,2,FALSE),"")</f>
        <v/>
      </c>
      <c r="R320">
        <f>IFERROR(VLOOKUP(M320,'הגדרות'!$A$11:$D$25,3,FALSE),"")</f>
        <v/>
      </c>
      <c r="S320">
        <f>IFERROR(VLOOKUP(N320,'הגדרות'!$A$11:$D$25,2,FALSE),"")</f>
        <v/>
      </c>
      <c r="T320">
        <f>IFERROR(VLOOKUP(N320,'הגדרות'!$A$11:$D$25,3,FALSE),"")</f>
        <v/>
      </c>
      <c r="AB320" s="6" t="n"/>
      <c r="AE320">
        <f>OR(Q320='לוח בקרה'!$B$2,R320='לוח בקרה'!$B$2,S320='לוח בקרה'!$B$2,T320='לוח בקרה'!$B$2)</f>
        <v/>
      </c>
      <c r="AF320">
        <f>AND(AE320,OR(AND(O320="כן",U320="כן"),AND(P320="כן",V320="כן")))</f>
        <v/>
      </c>
      <c r="AG320">
        <f>AND(AE320,OR(O320="כן",P320="כן"),NOT(OR(AND(O320="כן",U320="כן"),AND(P320="כן",V320="כן"))))</f>
        <v/>
      </c>
      <c r="AH320">
        <f>AND(AE320,OR(U320="כן",V320="כן"),NOT(OR(O320="כן",P320="כן")))</f>
        <v/>
      </c>
      <c r="AI320">
        <f>AND(X320="מושאל",AB320&lt;&gt;"",AB320&lt;TODAY())</f>
        <v/>
      </c>
    </row>
    <row r="321">
      <c r="E321">
        <f>IFERROR(INDEX('הגדרות'!$D$104:$D$123,MATCH(B321&amp;G321&amp;C321,'הגדרות'!$A$104:$A$123&amp;'הגדרות'!$B$104:$B$123&amp;'הגדרות'!$C$104:$C$123,0)),"")</f>
        <v/>
      </c>
      <c r="F321" s="6" t="n"/>
      <c r="Q321">
        <f>IFERROR(VLOOKUP(M321,'הגדרות'!$A$11:$D$25,2,FALSE),"")</f>
        <v/>
      </c>
      <c r="R321">
        <f>IFERROR(VLOOKUP(M321,'הגדרות'!$A$11:$D$25,3,FALSE),"")</f>
        <v/>
      </c>
      <c r="S321">
        <f>IFERROR(VLOOKUP(N321,'הגדרות'!$A$11:$D$25,2,FALSE),"")</f>
        <v/>
      </c>
      <c r="T321">
        <f>IFERROR(VLOOKUP(N321,'הגדרות'!$A$11:$D$25,3,FALSE),"")</f>
        <v/>
      </c>
      <c r="AB321" s="6" t="n"/>
      <c r="AE321">
        <f>OR(Q321='לוח בקרה'!$B$2,R321='לוח בקרה'!$B$2,S321='לוח בקרה'!$B$2,T321='לוח בקרה'!$B$2)</f>
        <v/>
      </c>
      <c r="AF321">
        <f>AND(AE321,OR(AND(O321="כן",U321="כן"),AND(P321="כן",V321="כן")))</f>
        <v/>
      </c>
      <c r="AG321">
        <f>AND(AE321,OR(O321="כן",P321="כן"),NOT(OR(AND(O321="כן",U321="כן"),AND(P321="כן",V321="כן"))))</f>
        <v/>
      </c>
      <c r="AH321">
        <f>AND(AE321,OR(U321="כן",V321="כן"),NOT(OR(O321="כן",P321="כן")))</f>
        <v/>
      </c>
      <c r="AI321">
        <f>AND(X321="מושאל",AB321&lt;&gt;"",AB321&lt;TODAY())</f>
        <v/>
      </c>
    </row>
    <row r="322">
      <c r="E322">
        <f>IFERROR(INDEX('הגדרות'!$D$104:$D$123,MATCH(B322&amp;G322&amp;C322,'הגדרות'!$A$104:$A$123&amp;'הגדרות'!$B$104:$B$123&amp;'הגדרות'!$C$104:$C$123,0)),"")</f>
        <v/>
      </c>
      <c r="F322" s="6" t="n"/>
      <c r="Q322">
        <f>IFERROR(VLOOKUP(M322,'הגדרות'!$A$11:$D$25,2,FALSE),"")</f>
        <v/>
      </c>
      <c r="R322">
        <f>IFERROR(VLOOKUP(M322,'הגדרות'!$A$11:$D$25,3,FALSE),"")</f>
        <v/>
      </c>
      <c r="S322">
        <f>IFERROR(VLOOKUP(N322,'הגדרות'!$A$11:$D$25,2,FALSE),"")</f>
        <v/>
      </c>
      <c r="T322">
        <f>IFERROR(VLOOKUP(N322,'הגדרות'!$A$11:$D$25,3,FALSE),"")</f>
        <v/>
      </c>
      <c r="AB322" s="6" t="n"/>
      <c r="AE322">
        <f>OR(Q322='לוח בקרה'!$B$2,R322='לוח בקרה'!$B$2,S322='לוח בקרה'!$B$2,T322='לוח בקרה'!$B$2)</f>
        <v/>
      </c>
      <c r="AF322">
        <f>AND(AE322,OR(AND(O322="כן",U322="כן"),AND(P322="כן",V322="כן")))</f>
        <v/>
      </c>
      <c r="AG322">
        <f>AND(AE322,OR(O322="כן",P322="כן"),NOT(OR(AND(O322="כן",U322="כן"),AND(P322="כן",V322="כן"))))</f>
        <v/>
      </c>
      <c r="AH322">
        <f>AND(AE322,OR(U322="כן",V322="כן"),NOT(OR(O322="כן",P322="כן")))</f>
        <v/>
      </c>
      <c r="AI322">
        <f>AND(X322="מושאל",AB322&lt;&gt;"",AB322&lt;TODAY())</f>
        <v/>
      </c>
    </row>
    <row r="323">
      <c r="E323">
        <f>IFERROR(INDEX('הגדרות'!$D$104:$D$123,MATCH(B323&amp;G323&amp;C323,'הגדרות'!$A$104:$A$123&amp;'הגדרות'!$B$104:$B$123&amp;'הגדרות'!$C$104:$C$123,0)),"")</f>
        <v/>
      </c>
      <c r="F323" s="6" t="n"/>
      <c r="Q323">
        <f>IFERROR(VLOOKUP(M323,'הגדרות'!$A$11:$D$25,2,FALSE),"")</f>
        <v/>
      </c>
      <c r="R323">
        <f>IFERROR(VLOOKUP(M323,'הגדרות'!$A$11:$D$25,3,FALSE),"")</f>
        <v/>
      </c>
      <c r="S323">
        <f>IFERROR(VLOOKUP(N323,'הגדרות'!$A$11:$D$25,2,FALSE),"")</f>
        <v/>
      </c>
      <c r="T323">
        <f>IFERROR(VLOOKUP(N323,'הגדרות'!$A$11:$D$25,3,FALSE),"")</f>
        <v/>
      </c>
      <c r="AB323" s="6" t="n"/>
      <c r="AE323">
        <f>OR(Q323='לוח בקרה'!$B$2,R323='לוח בקרה'!$B$2,S323='לוח בקרה'!$B$2,T323='לוח בקרה'!$B$2)</f>
        <v/>
      </c>
      <c r="AF323">
        <f>AND(AE323,OR(AND(O323="כן",U323="כן"),AND(P323="כן",V323="כן")))</f>
        <v/>
      </c>
      <c r="AG323">
        <f>AND(AE323,OR(O323="כן",P323="כן"),NOT(OR(AND(O323="כן",U323="כן"),AND(P323="כן",V323="כן"))))</f>
        <v/>
      </c>
      <c r="AH323">
        <f>AND(AE323,OR(U323="כן",V323="כן"),NOT(OR(O323="כן",P323="כן")))</f>
        <v/>
      </c>
      <c r="AI323">
        <f>AND(X323="מושאל",AB323&lt;&gt;"",AB323&lt;TODAY())</f>
        <v/>
      </c>
    </row>
    <row r="324">
      <c r="E324">
        <f>IFERROR(INDEX('הגדרות'!$D$104:$D$123,MATCH(B324&amp;G324&amp;C324,'הגדרות'!$A$104:$A$123&amp;'הגדרות'!$B$104:$B$123&amp;'הגדרות'!$C$104:$C$123,0)),"")</f>
        <v/>
      </c>
      <c r="F324" s="6" t="n"/>
      <c r="Q324">
        <f>IFERROR(VLOOKUP(M324,'הגדרות'!$A$11:$D$25,2,FALSE),"")</f>
        <v/>
      </c>
      <c r="R324">
        <f>IFERROR(VLOOKUP(M324,'הגדרות'!$A$11:$D$25,3,FALSE),"")</f>
        <v/>
      </c>
      <c r="S324">
        <f>IFERROR(VLOOKUP(N324,'הגדרות'!$A$11:$D$25,2,FALSE),"")</f>
        <v/>
      </c>
      <c r="T324">
        <f>IFERROR(VLOOKUP(N324,'הגדרות'!$A$11:$D$25,3,FALSE),"")</f>
        <v/>
      </c>
      <c r="AB324" s="6" t="n"/>
      <c r="AE324">
        <f>OR(Q324='לוח בקרה'!$B$2,R324='לוח בקרה'!$B$2,S324='לוח בקרה'!$B$2,T324='לוח בקרה'!$B$2)</f>
        <v/>
      </c>
      <c r="AF324">
        <f>AND(AE324,OR(AND(O324="כן",U324="כן"),AND(P324="כן",V324="כן")))</f>
        <v/>
      </c>
      <c r="AG324">
        <f>AND(AE324,OR(O324="כן",P324="כן"),NOT(OR(AND(O324="כן",U324="כן"),AND(P324="כן",V324="כן"))))</f>
        <v/>
      </c>
      <c r="AH324">
        <f>AND(AE324,OR(U324="כן",V324="כן"),NOT(OR(O324="כן",P324="כן")))</f>
        <v/>
      </c>
      <c r="AI324">
        <f>AND(X324="מושאל",AB324&lt;&gt;"",AB324&lt;TODAY())</f>
        <v/>
      </c>
    </row>
    <row r="325">
      <c r="E325">
        <f>IFERROR(INDEX('הגדרות'!$D$104:$D$123,MATCH(B325&amp;G325&amp;C325,'הגדרות'!$A$104:$A$123&amp;'הגדרות'!$B$104:$B$123&amp;'הגדרות'!$C$104:$C$123,0)),"")</f>
        <v/>
      </c>
      <c r="F325" s="6" t="n"/>
      <c r="Q325">
        <f>IFERROR(VLOOKUP(M325,'הגדרות'!$A$11:$D$25,2,FALSE),"")</f>
        <v/>
      </c>
      <c r="R325">
        <f>IFERROR(VLOOKUP(M325,'הגדרות'!$A$11:$D$25,3,FALSE),"")</f>
        <v/>
      </c>
      <c r="S325">
        <f>IFERROR(VLOOKUP(N325,'הגדרות'!$A$11:$D$25,2,FALSE),"")</f>
        <v/>
      </c>
      <c r="T325">
        <f>IFERROR(VLOOKUP(N325,'הגדרות'!$A$11:$D$25,3,FALSE),"")</f>
        <v/>
      </c>
      <c r="AB325" s="6" t="n"/>
      <c r="AE325">
        <f>OR(Q325='לוח בקרה'!$B$2,R325='לוח בקרה'!$B$2,S325='לוח בקרה'!$B$2,T325='לוח בקרה'!$B$2)</f>
        <v/>
      </c>
      <c r="AF325">
        <f>AND(AE325,OR(AND(O325="כן",U325="כן"),AND(P325="כן",V325="כן")))</f>
        <v/>
      </c>
      <c r="AG325">
        <f>AND(AE325,OR(O325="כן",P325="כן"),NOT(OR(AND(O325="כן",U325="כן"),AND(P325="כן",V325="כן"))))</f>
        <v/>
      </c>
      <c r="AH325">
        <f>AND(AE325,OR(U325="כן",V325="כן"),NOT(OR(O325="כן",P325="כן")))</f>
        <v/>
      </c>
      <c r="AI325">
        <f>AND(X325="מושאל",AB325&lt;&gt;"",AB325&lt;TODAY())</f>
        <v/>
      </c>
    </row>
    <row r="326">
      <c r="E326">
        <f>IFERROR(INDEX('הגדרות'!$D$104:$D$123,MATCH(B326&amp;G326&amp;C326,'הגדרות'!$A$104:$A$123&amp;'הגדרות'!$B$104:$B$123&amp;'הגדרות'!$C$104:$C$123,0)),"")</f>
        <v/>
      </c>
      <c r="F326" s="6" t="n"/>
      <c r="Q326">
        <f>IFERROR(VLOOKUP(M326,'הגדרות'!$A$11:$D$25,2,FALSE),"")</f>
        <v/>
      </c>
      <c r="R326">
        <f>IFERROR(VLOOKUP(M326,'הגדרות'!$A$11:$D$25,3,FALSE),"")</f>
        <v/>
      </c>
      <c r="S326">
        <f>IFERROR(VLOOKUP(N326,'הגדרות'!$A$11:$D$25,2,FALSE),"")</f>
        <v/>
      </c>
      <c r="T326">
        <f>IFERROR(VLOOKUP(N326,'הגדרות'!$A$11:$D$25,3,FALSE),"")</f>
        <v/>
      </c>
      <c r="AB326" s="6" t="n"/>
      <c r="AE326">
        <f>OR(Q326='לוח בקרה'!$B$2,R326='לוח בקרה'!$B$2,S326='לוח בקרה'!$B$2,T326='לוח בקרה'!$B$2)</f>
        <v/>
      </c>
      <c r="AF326">
        <f>AND(AE326,OR(AND(O326="כן",U326="כן"),AND(P326="כן",V326="כן")))</f>
        <v/>
      </c>
      <c r="AG326">
        <f>AND(AE326,OR(O326="כן",P326="כן"),NOT(OR(AND(O326="כן",U326="כן"),AND(P326="כן",V326="כן"))))</f>
        <v/>
      </c>
      <c r="AH326">
        <f>AND(AE326,OR(U326="כן",V326="כן"),NOT(OR(O326="כן",P326="כן")))</f>
        <v/>
      </c>
      <c r="AI326">
        <f>AND(X326="מושאל",AB326&lt;&gt;"",AB326&lt;TODAY())</f>
        <v/>
      </c>
    </row>
    <row r="327">
      <c r="E327">
        <f>IFERROR(INDEX('הגדרות'!$D$104:$D$123,MATCH(B327&amp;G327&amp;C327,'הגדרות'!$A$104:$A$123&amp;'הגדרות'!$B$104:$B$123&amp;'הגדרות'!$C$104:$C$123,0)),"")</f>
        <v/>
      </c>
      <c r="F327" s="6" t="n"/>
      <c r="Q327">
        <f>IFERROR(VLOOKUP(M327,'הגדרות'!$A$11:$D$25,2,FALSE),"")</f>
        <v/>
      </c>
      <c r="R327">
        <f>IFERROR(VLOOKUP(M327,'הגדרות'!$A$11:$D$25,3,FALSE),"")</f>
        <v/>
      </c>
      <c r="S327">
        <f>IFERROR(VLOOKUP(N327,'הגדרות'!$A$11:$D$25,2,FALSE),"")</f>
        <v/>
      </c>
      <c r="T327">
        <f>IFERROR(VLOOKUP(N327,'הגדרות'!$A$11:$D$25,3,FALSE),"")</f>
        <v/>
      </c>
      <c r="AB327" s="6" t="n"/>
      <c r="AE327">
        <f>OR(Q327='לוח בקרה'!$B$2,R327='לוח בקרה'!$B$2,S327='לוח בקרה'!$B$2,T327='לוח בקרה'!$B$2)</f>
        <v/>
      </c>
      <c r="AF327">
        <f>AND(AE327,OR(AND(O327="כן",U327="כן"),AND(P327="כן",V327="כן")))</f>
        <v/>
      </c>
      <c r="AG327">
        <f>AND(AE327,OR(O327="כן",P327="כן"),NOT(OR(AND(O327="כן",U327="כן"),AND(P327="כן",V327="כן"))))</f>
        <v/>
      </c>
      <c r="AH327">
        <f>AND(AE327,OR(U327="כן",V327="כן"),NOT(OR(O327="כן",P327="כן")))</f>
        <v/>
      </c>
      <c r="AI327">
        <f>AND(X327="מושאל",AB327&lt;&gt;"",AB327&lt;TODAY())</f>
        <v/>
      </c>
    </row>
    <row r="328">
      <c r="E328">
        <f>IFERROR(INDEX('הגדרות'!$D$104:$D$123,MATCH(B328&amp;G328&amp;C328,'הגדרות'!$A$104:$A$123&amp;'הגדרות'!$B$104:$B$123&amp;'הגדרות'!$C$104:$C$123,0)),"")</f>
        <v/>
      </c>
      <c r="F328" s="6" t="n"/>
      <c r="Q328">
        <f>IFERROR(VLOOKUP(M328,'הגדרות'!$A$11:$D$25,2,FALSE),"")</f>
        <v/>
      </c>
      <c r="R328">
        <f>IFERROR(VLOOKUP(M328,'הגדרות'!$A$11:$D$25,3,FALSE),"")</f>
        <v/>
      </c>
      <c r="S328">
        <f>IFERROR(VLOOKUP(N328,'הגדרות'!$A$11:$D$25,2,FALSE),"")</f>
        <v/>
      </c>
      <c r="T328">
        <f>IFERROR(VLOOKUP(N328,'הגדרות'!$A$11:$D$25,3,FALSE),"")</f>
        <v/>
      </c>
      <c r="AB328" s="6" t="n"/>
      <c r="AE328">
        <f>OR(Q328='לוח בקרה'!$B$2,R328='לוח בקרה'!$B$2,S328='לוח בקרה'!$B$2,T328='לוח בקרה'!$B$2)</f>
        <v/>
      </c>
      <c r="AF328">
        <f>AND(AE328,OR(AND(O328="כן",U328="כן"),AND(P328="כן",V328="כן")))</f>
        <v/>
      </c>
      <c r="AG328">
        <f>AND(AE328,OR(O328="כן",P328="כן"),NOT(OR(AND(O328="כן",U328="כן"),AND(P328="כן",V328="כן"))))</f>
        <v/>
      </c>
      <c r="AH328">
        <f>AND(AE328,OR(U328="כן",V328="כן"),NOT(OR(O328="כן",P328="כן")))</f>
        <v/>
      </c>
      <c r="AI328">
        <f>AND(X328="מושאל",AB328&lt;&gt;"",AB328&lt;TODAY())</f>
        <v/>
      </c>
    </row>
    <row r="329">
      <c r="E329">
        <f>IFERROR(INDEX('הגדרות'!$D$104:$D$123,MATCH(B329&amp;G329&amp;C329,'הגדרות'!$A$104:$A$123&amp;'הגדרות'!$B$104:$B$123&amp;'הגדרות'!$C$104:$C$123,0)),"")</f>
        <v/>
      </c>
      <c r="F329" s="6" t="n"/>
      <c r="Q329">
        <f>IFERROR(VLOOKUP(M329,'הגדרות'!$A$11:$D$25,2,FALSE),"")</f>
        <v/>
      </c>
      <c r="R329">
        <f>IFERROR(VLOOKUP(M329,'הגדרות'!$A$11:$D$25,3,FALSE),"")</f>
        <v/>
      </c>
      <c r="S329">
        <f>IFERROR(VLOOKUP(N329,'הגדרות'!$A$11:$D$25,2,FALSE),"")</f>
        <v/>
      </c>
      <c r="T329">
        <f>IFERROR(VLOOKUP(N329,'הגדרות'!$A$11:$D$25,3,FALSE),"")</f>
        <v/>
      </c>
      <c r="AB329" s="6" t="n"/>
      <c r="AE329">
        <f>OR(Q329='לוח בקרה'!$B$2,R329='לוח בקרה'!$B$2,S329='לוח בקרה'!$B$2,T329='לוח בקרה'!$B$2)</f>
        <v/>
      </c>
      <c r="AF329">
        <f>AND(AE329,OR(AND(O329="כן",U329="כן"),AND(P329="כן",V329="כן")))</f>
        <v/>
      </c>
      <c r="AG329">
        <f>AND(AE329,OR(O329="כן",P329="כן"),NOT(OR(AND(O329="כן",U329="כן"),AND(P329="כן",V329="כן"))))</f>
        <v/>
      </c>
      <c r="AH329">
        <f>AND(AE329,OR(U329="כן",V329="כן"),NOT(OR(O329="כן",P329="כן")))</f>
        <v/>
      </c>
      <c r="AI329">
        <f>AND(X329="מושאל",AB329&lt;&gt;"",AB329&lt;TODAY())</f>
        <v/>
      </c>
    </row>
    <row r="330">
      <c r="E330">
        <f>IFERROR(INDEX('הגדרות'!$D$104:$D$123,MATCH(B330&amp;G330&amp;C330,'הגדרות'!$A$104:$A$123&amp;'הגדרות'!$B$104:$B$123&amp;'הגדרות'!$C$104:$C$123,0)),"")</f>
        <v/>
      </c>
      <c r="F330" s="6" t="n"/>
      <c r="Q330">
        <f>IFERROR(VLOOKUP(M330,'הגדרות'!$A$11:$D$25,2,FALSE),"")</f>
        <v/>
      </c>
      <c r="R330">
        <f>IFERROR(VLOOKUP(M330,'הגדרות'!$A$11:$D$25,3,FALSE),"")</f>
        <v/>
      </c>
      <c r="S330">
        <f>IFERROR(VLOOKUP(N330,'הגדרות'!$A$11:$D$25,2,FALSE),"")</f>
        <v/>
      </c>
      <c r="T330">
        <f>IFERROR(VLOOKUP(N330,'הגדרות'!$A$11:$D$25,3,FALSE),"")</f>
        <v/>
      </c>
      <c r="AB330" s="6" t="n"/>
      <c r="AE330">
        <f>OR(Q330='לוח בקרה'!$B$2,R330='לוח בקרה'!$B$2,S330='לוח בקרה'!$B$2,T330='לוח בקרה'!$B$2)</f>
        <v/>
      </c>
      <c r="AF330">
        <f>AND(AE330,OR(AND(O330="כן",U330="כן"),AND(P330="כן",V330="כן")))</f>
        <v/>
      </c>
      <c r="AG330">
        <f>AND(AE330,OR(O330="כן",P330="כן"),NOT(OR(AND(O330="כן",U330="כן"),AND(P330="כן",V330="כן"))))</f>
        <v/>
      </c>
      <c r="AH330">
        <f>AND(AE330,OR(U330="כן",V330="כן"),NOT(OR(O330="כן",P330="כן")))</f>
        <v/>
      </c>
      <c r="AI330">
        <f>AND(X330="מושאל",AB330&lt;&gt;"",AB330&lt;TODAY())</f>
        <v/>
      </c>
    </row>
    <row r="331">
      <c r="E331">
        <f>IFERROR(INDEX('הגדרות'!$D$104:$D$123,MATCH(B331&amp;G331&amp;C331,'הגדרות'!$A$104:$A$123&amp;'הגדרות'!$B$104:$B$123&amp;'הגדרות'!$C$104:$C$123,0)),"")</f>
        <v/>
      </c>
      <c r="F331" s="6" t="n"/>
      <c r="Q331">
        <f>IFERROR(VLOOKUP(M331,'הגדרות'!$A$11:$D$25,2,FALSE),"")</f>
        <v/>
      </c>
      <c r="R331">
        <f>IFERROR(VLOOKUP(M331,'הגדרות'!$A$11:$D$25,3,FALSE),"")</f>
        <v/>
      </c>
      <c r="S331">
        <f>IFERROR(VLOOKUP(N331,'הגדרות'!$A$11:$D$25,2,FALSE),"")</f>
        <v/>
      </c>
      <c r="T331">
        <f>IFERROR(VLOOKUP(N331,'הגדרות'!$A$11:$D$25,3,FALSE),"")</f>
        <v/>
      </c>
      <c r="AB331" s="6" t="n"/>
      <c r="AE331">
        <f>OR(Q331='לוח בקרה'!$B$2,R331='לוח בקרה'!$B$2,S331='לוח בקרה'!$B$2,T331='לוח בקרה'!$B$2)</f>
        <v/>
      </c>
      <c r="AF331">
        <f>AND(AE331,OR(AND(O331="כן",U331="כן"),AND(P331="כן",V331="כן")))</f>
        <v/>
      </c>
      <c r="AG331">
        <f>AND(AE331,OR(O331="כן",P331="כן"),NOT(OR(AND(O331="כן",U331="כן"),AND(P331="כן",V331="כן"))))</f>
        <v/>
      </c>
      <c r="AH331">
        <f>AND(AE331,OR(U331="כן",V331="כן"),NOT(OR(O331="כן",P331="כן")))</f>
        <v/>
      </c>
      <c r="AI331">
        <f>AND(X331="מושאל",AB331&lt;&gt;"",AB331&lt;TODAY())</f>
        <v/>
      </c>
    </row>
    <row r="332">
      <c r="E332">
        <f>IFERROR(INDEX('הגדרות'!$D$104:$D$123,MATCH(B332&amp;G332&amp;C332,'הגדרות'!$A$104:$A$123&amp;'הגדרות'!$B$104:$B$123&amp;'הגדרות'!$C$104:$C$123,0)),"")</f>
        <v/>
      </c>
      <c r="F332" s="6" t="n"/>
      <c r="Q332">
        <f>IFERROR(VLOOKUP(M332,'הגדרות'!$A$11:$D$25,2,FALSE),"")</f>
        <v/>
      </c>
      <c r="R332">
        <f>IFERROR(VLOOKUP(M332,'הגדרות'!$A$11:$D$25,3,FALSE),"")</f>
        <v/>
      </c>
      <c r="S332">
        <f>IFERROR(VLOOKUP(N332,'הגדרות'!$A$11:$D$25,2,FALSE),"")</f>
        <v/>
      </c>
      <c r="T332">
        <f>IFERROR(VLOOKUP(N332,'הגדרות'!$A$11:$D$25,3,FALSE),"")</f>
        <v/>
      </c>
      <c r="AB332" s="6" t="n"/>
      <c r="AE332">
        <f>OR(Q332='לוח בקרה'!$B$2,R332='לוח בקרה'!$B$2,S332='לוח בקרה'!$B$2,T332='לוח בקרה'!$B$2)</f>
        <v/>
      </c>
      <c r="AF332">
        <f>AND(AE332,OR(AND(O332="כן",U332="כן"),AND(P332="כן",V332="כן")))</f>
        <v/>
      </c>
      <c r="AG332">
        <f>AND(AE332,OR(O332="כן",P332="כן"),NOT(OR(AND(O332="כן",U332="כן"),AND(P332="כן",V332="כן"))))</f>
        <v/>
      </c>
      <c r="AH332">
        <f>AND(AE332,OR(U332="כן",V332="כן"),NOT(OR(O332="כן",P332="כן")))</f>
        <v/>
      </c>
      <c r="AI332">
        <f>AND(X332="מושאל",AB332&lt;&gt;"",AB332&lt;TODAY())</f>
        <v/>
      </c>
    </row>
    <row r="333">
      <c r="E333">
        <f>IFERROR(INDEX('הגדרות'!$D$104:$D$123,MATCH(B333&amp;G333&amp;C333,'הגדרות'!$A$104:$A$123&amp;'הגדרות'!$B$104:$B$123&amp;'הגדרות'!$C$104:$C$123,0)),"")</f>
        <v/>
      </c>
      <c r="F333" s="6" t="n"/>
      <c r="Q333">
        <f>IFERROR(VLOOKUP(M333,'הגדרות'!$A$11:$D$25,2,FALSE),"")</f>
        <v/>
      </c>
      <c r="R333">
        <f>IFERROR(VLOOKUP(M333,'הגדרות'!$A$11:$D$25,3,FALSE),"")</f>
        <v/>
      </c>
      <c r="S333">
        <f>IFERROR(VLOOKUP(N333,'הגדרות'!$A$11:$D$25,2,FALSE),"")</f>
        <v/>
      </c>
      <c r="T333">
        <f>IFERROR(VLOOKUP(N333,'הגדרות'!$A$11:$D$25,3,FALSE),"")</f>
        <v/>
      </c>
      <c r="AB333" s="6" t="n"/>
      <c r="AE333">
        <f>OR(Q333='לוח בקרה'!$B$2,R333='לוח בקרה'!$B$2,S333='לוח בקרה'!$B$2,T333='לוח בקרה'!$B$2)</f>
        <v/>
      </c>
      <c r="AF333">
        <f>AND(AE333,OR(AND(O333="כן",U333="כן"),AND(P333="כן",V333="כן")))</f>
        <v/>
      </c>
      <c r="AG333">
        <f>AND(AE333,OR(O333="כן",P333="כן"),NOT(OR(AND(O333="כן",U333="כן"),AND(P333="כן",V333="כן"))))</f>
        <v/>
      </c>
      <c r="AH333">
        <f>AND(AE333,OR(U333="כן",V333="כן"),NOT(OR(O333="כן",P333="כן")))</f>
        <v/>
      </c>
      <c r="AI333">
        <f>AND(X333="מושאל",AB333&lt;&gt;"",AB333&lt;TODAY())</f>
        <v/>
      </c>
    </row>
    <row r="334">
      <c r="E334">
        <f>IFERROR(INDEX('הגדרות'!$D$104:$D$123,MATCH(B334&amp;G334&amp;C334,'הגדרות'!$A$104:$A$123&amp;'הגדרות'!$B$104:$B$123&amp;'הגדרות'!$C$104:$C$123,0)),"")</f>
        <v/>
      </c>
      <c r="F334" s="6" t="n"/>
      <c r="Q334">
        <f>IFERROR(VLOOKUP(M334,'הגדרות'!$A$11:$D$25,2,FALSE),"")</f>
        <v/>
      </c>
      <c r="R334">
        <f>IFERROR(VLOOKUP(M334,'הגדרות'!$A$11:$D$25,3,FALSE),"")</f>
        <v/>
      </c>
      <c r="S334">
        <f>IFERROR(VLOOKUP(N334,'הגדרות'!$A$11:$D$25,2,FALSE),"")</f>
        <v/>
      </c>
      <c r="T334">
        <f>IFERROR(VLOOKUP(N334,'הגדרות'!$A$11:$D$25,3,FALSE),"")</f>
        <v/>
      </c>
      <c r="AB334" s="6" t="n"/>
      <c r="AE334">
        <f>OR(Q334='לוח בקרה'!$B$2,R334='לוח בקרה'!$B$2,S334='לוח בקרה'!$B$2,T334='לוח בקרה'!$B$2)</f>
        <v/>
      </c>
      <c r="AF334">
        <f>AND(AE334,OR(AND(O334="כן",U334="כן"),AND(P334="כן",V334="כן")))</f>
        <v/>
      </c>
      <c r="AG334">
        <f>AND(AE334,OR(O334="כן",P334="כן"),NOT(OR(AND(O334="כן",U334="כן"),AND(P334="כן",V334="כן"))))</f>
        <v/>
      </c>
      <c r="AH334">
        <f>AND(AE334,OR(U334="כן",V334="כן"),NOT(OR(O334="כן",P334="כן")))</f>
        <v/>
      </c>
      <c r="AI334">
        <f>AND(X334="מושאל",AB334&lt;&gt;"",AB334&lt;TODAY())</f>
        <v/>
      </c>
    </row>
    <row r="335">
      <c r="E335">
        <f>IFERROR(INDEX('הגדרות'!$D$104:$D$123,MATCH(B335&amp;G335&amp;C335,'הגדרות'!$A$104:$A$123&amp;'הגדרות'!$B$104:$B$123&amp;'הגדרות'!$C$104:$C$123,0)),"")</f>
        <v/>
      </c>
      <c r="F335" s="6" t="n"/>
      <c r="Q335">
        <f>IFERROR(VLOOKUP(M335,'הגדרות'!$A$11:$D$25,2,FALSE),"")</f>
        <v/>
      </c>
      <c r="R335">
        <f>IFERROR(VLOOKUP(M335,'הגדרות'!$A$11:$D$25,3,FALSE),"")</f>
        <v/>
      </c>
      <c r="S335">
        <f>IFERROR(VLOOKUP(N335,'הגדרות'!$A$11:$D$25,2,FALSE),"")</f>
        <v/>
      </c>
      <c r="T335">
        <f>IFERROR(VLOOKUP(N335,'הגדרות'!$A$11:$D$25,3,FALSE),"")</f>
        <v/>
      </c>
      <c r="AB335" s="6" t="n"/>
      <c r="AE335">
        <f>OR(Q335='לוח בקרה'!$B$2,R335='לוח בקרה'!$B$2,S335='לוח בקרה'!$B$2,T335='לוח בקרה'!$B$2)</f>
        <v/>
      </c>
      <c r="AF335">
        <f>AND(AE335,OR(AND(O335="כן",U335="כן"),AND(P335="כן",V335="כן")))</f>
        <v/>
      </c>
      <c r="AG335">
        <f>AND(AE335,OR(O335="כן",P335="כן"),NOT(OR(AND(O335="כן",U335="כן"),AND(P335="כן",V335="כן"))))</f>
        <v/>
      </c>
      <c r="AH335">
        <f>AND(AE335,OR(U335="כן",V335="כן"),NOT(OR(O335="כן",P335="כן")))</f>
        <v/>
      </c>
      <c r="AI335">
        <f>AND(X335="מושאל",AB335&lt;&gt;"",AB335&lt;TODAY())</f>
        <v/>
      </c>
    </row>
    <row r="336">
      <c r="E336">
        <f>IFERROR(INDEX('הגדרות'!$D$104:$D$123,MATCH(B336&amp;G336&amp;C336,'הגדרות'!$A$104:$A$123&amp;'הגדרות'!$B$104:$B$123&amp;'הגדרות'!$C$104:$C$123,0)),"")</f>
        <v/>
      </c>
      <c r="F336" s="6" t="n"/>
      <c r="Q336">
        <f>IFERROR(VLOOKUP(M336,'הגדרות'!$A$11:$D$25,2,FALSE),"")</f>
        <v/>
      </c>
      <c r="R336">
        <f>IFERROR(VLOOKUP(M336,'הגדרות'!$A$11:$D$25,3,FALSE),"")</f>
        <v/>
      </c>
      <c r="S336">
        <f>IFERROR(VLOOKUP(N336,'הגדרות'!$A$11:$D$25,2,FALSE),"")</f>
        <v/>
      </c>
      <c r="T336">
        <f>IFERROR(VLOOKUP(N336,'הגדרות'!$A$11:$D$25,3,FALSE),"")</f>
        <v/>
      </c>
      <c r="AB336" s="6" t="n"/>
      <c r="AE336">
        <f>OR(Q336='לוח בקרה'!$B$2,R336='לוח בקרה'!$B$2,S336='לוח בקרה'!$B$2,T336='לוח בקרה'!$B$2)</f>
        <v/>
      </c>
      <c r="AF336">
        <f>AND(AE336,OR(AND(O336="כן",U336="כן"),AND(P336="כן",V336="כן")))</f>
        <v/>
      </c>
      <c r="AG336">
        <f>AND(AE336,OR(O336="כן",P336="כן"),NOT(OR(AND(O336="כן",U336="כן"),AND(P336="כן",V336="כן"))))</f>
        <v/>
      </c>
      <c r="AH336">
        <f>AND(AE336,OR(U336="כן",V336="כן"),NOT(OR(O336="כן",P336="כן")))</f>
        <v/>
      </c>
      <c r="AI336">
        <f>AND(X336="מושאל",AB336&lt;&gt;"",AB336&lt;TODAY())</f>
        <v/>
      </c>
    </row>
    <row r="337">
      <c r="E337">
        <f>IFERROR(INDEX('הגדרות'!$D$104:$D$123,MATCH(B337&amp;G337&amp;C337,'הגדרות'!$A$104:$A$123&amp;'הגדרות'!$B$104:$B$123&amp;'הגדרות'!$C$104:$C$123,0)),"")</f>
        <v/>
      </c>
      <c r="F337" s="6" t="n"/>
      <c r="Q337">
        <f>IFERROR(VLOOKUP(M337,'הגדרות'!$A$11:$D$25,2,FALSE),"")</f>
        <v/>
      </c>
      <c r="R337">
        <f>IFERROR(VLOOKUP(M337,'הגדרות'!$A$11:$D$25,3,FALSE),"")</f>
        <v/>
      </c>
      <c r="S337">
        <f>IFERROR(VLOOKUP(N337,'הגדרות'!$A$11:$D$25,2,FALSE),"")</f>
        <v/>
      </c>
      <c r="T337">
        <f>IFERROR(VLOOKUP(N337,'הגדרות'!$A$11:$D$25,3,FALSE),"")</f>
        <v/>
      </c>
      <c r="AB337" s="6" t="n"/>
      <c r="AE337">
        <f>OR(Q337='לוח בקרה'!$B$2,R337='לוח בקרה'!$B$2,S337='לוח בקרה'!$B$2,T337='לוח בקרה'!$B$2)</f>
        <v/>
      </c>
      <c r="AF337">
        <f>AND(AE337,OR(AND(O337="כן",U337="כן"),AND(P337="כן",V337="כן")))</f>
        <v/>
      </c>
      <c r="AG337">
        <f>AND(AE337,OR(O337="כן",P337="כן"),NOT(OR(AND(O337="כן",U337="כן"),AND(P337="כן",V337="כן"))))</f>
        <v/>
      </c>
      <c r="AH337">
        <f>AND(AE337,OR(U337="כן",V337="כן"),NOT(OR(O337="כן",P337="כן")))</f>
        <v/>
      </c>
      <c r="AI337">
        <f>AND(X337="מושאל",AB337&lt;&gt;"",AB337&lt;TODAY())</f>
        <v/>
      </c>
    </row>
    <row r="338">
      <c r="E338">
        <f>IFERROR(INDEX('הגדרות'!$D$104:$D$123,MATCH(B338&amp;G338&amp;C338,'הגדרות'!$A$104:$A$123&amp;'הגדרות'!$B$104:$B$123&amp;'הגדרות'!$C$104:$C$123,0)),"")</f>
        <v/>
      </c>
      <c r="F338" s="6" t="n"/>
      <c r="Q338">
        <f>IFERROR(VLOOKUP(M338,'הגדרות'!$A$11:$D$25,2,FALSE),"")</f>
        <v/>
      </c>
      <c r="R338">
        <f>IFERROR(VLOOKUP(M338,'הגדרות'!$A$11:$D$25,3,FALSE),"")</f>
        <v/>
      </c>
      <c r="S338">
        <f>IFERROR(VLOOKUP(N338,'הגדרות'!$A$11:$D$25,2,FALSE),"")</f>
        <v/>
      </c>
      <c r="T338">
        <f>IFERROR(VLOOKUP(N338,'הגדרות'!$A$11:$D$25,3,FALSE),"")</f>
        <v/>
      </c>
      <c r="AB338" s="6" t="n"/>
      <c r="AE338">
        <f>OR(Q338='לוח בקרה'!$B$2,R338='לוח בקרה'!$B$2,S338='לוח בקרה'!$B$2,T338='לוח בקרה'!$B$2)</f>
        <v/>
      </c>
      <c r="AF338">
        <f>AND(AE338,OR(AND(O338="כן",U338="כן"),AND(P338="כן",V338="כן")))</f>
        <v/>
      </c>
      <c r="AG338">
        <f>AND(AE338,OR(O338="כן",P338="כן"),NOT(OR(AND(O338="כן",U338="כן"),AND(P338="כן",V338="כן"))))</f>
        <v/>
      </c>
      <c r="AH338">
        <f>AND(AE338,OR(U338="כן",V338="כן"),NOT(OR(O338="כן",P338="כן")))</f>
        <v/>
      </c>
      <c r="AI338">
        <f>AND(X338="מושאל",AB338&lt;&gt;"",AB338&lt;TODAY())</f>
        <v/>
      </c>
    </row>
    <row r="339">
      <c r="E339">
        <f>IFERROR(INDEX('הגדרות'!$D$104:$D$123,MATCH(B339&amp;G339&amp;C339,'הגדרות'!$A$104:$A$123&amp;'הגדרות'!$B$104:$B$123&amp;'הגדרות'!$C$104:$C$123,0)),"")</f>
        <v/>
      </c>
      <c r="F339" s="6" t="n"/>
      <c r="Q339">
        <f>IFERROR(VLOOKUP(M339,'הגדרות'!$A$11:$D$25,2,FALSE),"")</f>
        <v/>
      </c>
      <c r="R339">
        <f>IFERROR(VLOOKUP(M339,'הגדרות'!$A$11:$D$25,3,FALSE),"")</f>
        <v/>
      </c>
      <c r="S339">
        <f>IFERROR(VLOOKUP(N339,'הגדרות'!$A$11:$D$25,2,FALSE),"")</f>
        <v/>
      </c>
      <c r="T339">
        <f>IFERROR(VLOOKUP(N339,'הגדרות'!$A$11:$D$25,3,FALSE),"")</f>
        <v/>
      </c>
      <c r="AB339" s="6" t="n"/>
      <c r="AE339">
        <f>OR(Q339='לוח בקרה'!$B$2,R339='לוח בקרה'!$B$2,S339='לוח בקרה'!$B$2,T339='לוח בקרה'!$B$2)</f>
        <v/>
      </c>
      <c r="AF339">
        <f>AND(AE339,OR(AND(O339="כן",U339="כן"),AND(P339="כן",V339="כן")))</f>
        <v/>
      </c>
      <c r="AG339">
        <f>AND(AE339,OR(O339="כן",P339="כן"),NOT(OR(AND(O339="כן",U339="כן"),AND(P339="כן",V339="כן"))))</f>
        <v/>
      </c>
      <c r="AH339">
        <f>AND(AE339,OR(U339="כן",V339="כן"),NOT(OR(O339="כן",P339="כן")))</f>
        <v/>
      </c>
      <c r="AI339">
        <f>AND(X339="מושאל",AB339&lt;&gt;"",AB339&lt;TODAY())</f>
        <v/>
      </c>
    </row>
    <row r="340">
      <c r="E340">
        <f>IFERROR(INDEX('הגדרות'!$D$104:$D$123,MATCH(B340&amp;G340&amp;C340,'הגדרות'!$A$104:$A$123&amp;'הגדרות'!$B$104:$B$123&amp;'הגדרות'!$C$104:$C$123,0)),"")</f>
        <v/>
      </c>
      <c r="F340" s="6" t="n"/>
      <c r="Q340">
        <f>IFERROR(VLOOKUP(M340,'הגדרות'!$A$11:$D$25,2,FALSE),"")</f>
        <v/>
      </c>
      <c r="R340">
        <f>IFERROR(VLOOKUP(M340,'הגדרות'!$A$11:$D$25,3,FALSE),"")</f>
        <v/>
      </c>
      <c r="S340">
        <f>IFERROR(VLOOKUP(N340,'הגדרות'!$A$11:$D$25,2,FALSE),"")</f>
        <v/>
      </c>
      <c r="T340">
        <f>IFERROR(VLOOKUP(N340,'הגדרות'!$A$11:$D$25,3,FALSE),"")</f>
        <v/>
      </c>
      <c r="AB340" s="6" t="n"/>
      <c r="AE340">
        <f>OR(Q340='לוח בקרה'!$B$2,R340='לוח בקרה'!$B$2,S340='לוח בקרה'!$B$2,T340='לוח בקרה'!$B$2)</f>
        <v/>
      </c>
      <c r="AF340">
        <f>AND(AE340,OR(AND(O340="כן",U340="כן"),AND(P340="כן",V340="כן")))</f>
        <v/>
      </c>
      <c r="AG340">
        <f>AND(AE340,OR(O340="כן",P340="כן"),NOT(OR(AND(O340="כן",U340="כן"),AND(P340="כן",V340="כן"))))</f>
        <v/>
      </c>
      <c r="AH340">
        <f>AND(AE340,OR(U340="כן",V340="כן"),NOT(OR(O340="כן",P340="כן")))</f>
        <v/>
      </c>
      <c r="AI340">
        <f>AND(X340="מושאל",AB340&lt;&gt;"",AB340&lt;TODAY())</f>
        <v/>
      </c>
    </row>
    <row r="341">
      <c r="E341">
        <f>IFERROR(INDEX('הגדרות'!$D$104:$D$123,MATCH(B341&amp;G341&amp;C341,'הגדרות'!$A$104:$A$123&amp;'הגדרות'!$B$104:$B$123&amp;'הגדרות'!$C$104:$C$123,0)),"")</f>
        <v/>
      </c>
      <c r="F341" s="6" t="n"/>
      <c r="Q341">
        <f>IFERROR(VLOOKUP(M341,'הגדרות'!$A$11:$D$25,2,FALSE),"")</f>
        <v/>
      </c>
      <c r="R341">
        <f>IFERROR(VLOOKUP(M341,'הגדרות'!$A$11:$D$25,3,FALSE),"")</f>
        <v/>
      </c>
      <c r="S341">
        <f>IFERROR(VLOOKUP(N341,'הגדרות'!$A$11:$D$25,2,FALSE),"")</f>
        <v/>
      </c>
      <c r="T341">
        <f>IFERROR(VLOOKUP(N341,'הגדרות'!$A$11:$D$25,3,FALSE),"")</f>
        <v/>
      </c>
      <c r="AB341" s="6" t="n"/>
      <c r="AE341">
        <f>OR(Q341='לוח בקרה'!$B$2,R341='לוח בקרה'!$B$2,S341='לוח בקרה'!$B$2,T341='לוח בקרה'!$B$2)</f>
        <v/>
      </c>
      <c r="AF341">
        <f>AND(AE341,OR(AND(O341="כן",U341="כן"),AND(P341="כן",V341="כן")))</f>
        <v/>
      </c>
      <c r="AG341">
        <f>AND(AE341,OR(O341="כן",P341="כן"),NOT(OR(AND(O341="כן",U341="כן"),AND(P341="כן",V341="כן"))))</f>
        <v/>
      </c>
      <c r="AH341">
        <f>AND(AE341,OR(U341="כן",V341="כן"),NOT(OR(O341="כן",P341="כן")))</f>
        <v/>
      </c>
      <c r="AI341">
        <f>AND(X341="מושאל",AB341&lt;&gt;"",AB341&lt;TODAY())</f>
        <v/>
      </c>
    </row>
    <row r="342">
      <c r="E342">
        <f>IFERROR(INDEX('הגדרות'!$D$104:$D$123,MATCH(B342&amp;G342&amp;C342,'הגדרות'!$A$104:$A$123&amp;'הגדרות'!$B$104:$B$123&amp;'הגדרות'!$C$104:$C$123,0)),"")</f>
        <v/>
      </c>
      <c r="F342" s="6" t="n"/>
      <c r="Q342">
        <f>IFERROR(VLOOKUP(M342,'הגדרות'!$A$11:$D$25,2,FALSE),"")</f>
        <v/>
      </c>
      <c r="R342">
        <f>IFERROR(VLOOKUP(M342,'הגדרות'!$A$11:$D$25,3,FALSE),"")</f>
        <v/>
      </c>
      <c r="S342">
        <f>IFERROR(VLOOKUP(N342,'הגדרות'!$A$11:$D$25,2,FALSE),"")</f>
        <v/>
      </c>
      <c r="T342">
        <f>IFERROR(VLOOKUP(N342,'הגדרות'!$A$11:$D$25,3,FALSE),"")</f>
        <v/>
      </c>
      <c r="AB342" s="6" t="n"/>
      <c r="AE342">
        <f>OR(Q342='לוח בקרה'!$B$2,R342='לוח בקרה'!$B$2,S342='לוח בקרה'!$B$2,T342='לוח בקרה'!$B$2)</f>
        <v/>
      </c>
      <c r="AF342">
        <f>AND(AE342,OR(AND(O342="כן",U342="כן"),AND(P342="כן",V342="כן")))</f>
        <v/>
      </c>
      <c r="AG342">
        <f>AND(AE342,OR(O342="כן",P342="כן"),NOT(OR(AND(O342="כן",U342="כן"),AND(P342="כן",V342="כן"))))</f>
        <v/>
      </c>
      <c r="AH342">
        <f>AND(AE342,OR(U342="כן",V342="כן"),NOT(OR(O342="כן",P342="כן")))</f>
        <v/>
      </c>
      <c r="AI342">
        <f>AND(X342="מושאל",AB342&lt;&gt;"",AB342&lt;TODAY())</f>
        <v/>
      </c>
    </row>
    <row r="343">
      <c r="E343">
        <f>IFERROR(INDEX('הגדרות'!$D$104:$D$123,MATCH(B343&amp;G343&amp;C343,'הגדרות'!$A$104:$A$123&amp;'הגדרות'!$B$104:$B$123&amp;'הגדרות'!$C$104:$C$123,0)),"")</f>
        <v/>
      </c>
      <c r="F343" s="6" t="n"/>
      <c r="Q343">
        <f>IFERROR(VLOOKUP(M343,'הגדרות'!$A$11:$D$25,2,FALSE),"")</f>
        <v/>
      </c>
      <c r="R343">
        <f>IFERROR(VLOOKUP(M343,'הגדרות'!$A$11:$D$25,3,FALSE),"")</f>
        <v/>
      </c>
      <c r="S343">
        <f>IFERROR(VLOOKUP(N343,'הגדרות'!$A$11:$D$25,2,FALSE),"")</f>
        <v/>
      </c>
      <c r="T343">
        <f>IFERROR(VLOOKUP(N343,'הגדרות'!$A$11:$D$25,3,FALSE),"")</f>
        <v/>
      </c>
      <c r="AB343" s="6" t="n"/>
      <c r="AE343">
        <f>OR(Q343='לוח בקרה'!$B$2,R343='לוח בקרה'!$B$2,S343='לוח בקרה'!$B$2,T343='לוח בקרה'!$B$2)</f>
        <v/>
      </c>
      <c r="AF343">
        <f>AND(AE343,OR(AND(O343="כן",U343="כן"),AND(P343="כן",V343="כן")))</f>
        <v/>
      </c>
      <c r="AG343">
        <f>AND(AE343,OR(O343="כן",P343="כן"),NOT(OR(AND(O343="כן",U343="כן"),AND(P343="כן",V343="כן"))))</f>
        <v/>
      </c>
      <c r="AH343">
        <f>AND(AE343,OR(U343="כן",V343="כן"),NOT(OR(O343="כן",P343="כן")))</f>
        <v/>
      </c>
      <c r="AI343">
        <f>AND(X343="מושאל",AB343&lt;&gt;"",AB343&lt;TODAY())</f>
        <v/>
      </c>
    </row>
    <row r="344">
      <c r="E344">
        <f>IFERROR(INDEX('הגדרות'!$D$104:$D$123,MATCH(B344&amp;G344&amp;C344,'הגדרות'!$A$104:$A$123&amp;'הגדרות'!$B$104:$B$123&amp;'הגדרות'!$C$104:$C$123,0)),"")</f>
        <v/>
      </c>
      <c r="F344" s="6" t="n"/>
      <c r="Q344">
        <f>IFERROR(VLOOKUP(M344,'הגדרות'!$A$11:$D$25,2,FALSE),"")</f>
        <v/>
      </c>
      <c r="R344">
        <f>IFERROR(VLOOKUP(M344,'הגדרות'!$A$11:$D$25,3,FALSE),"")</f>
        <v/>
      </c>
      <c r="S344">
        <f>IFERROR(VLOOKUP(N344,'הגדרות'!$A$11:$D$25,2,FALSE),"")</f>
        <v/>
      </c>
      <c r="T344">
        <f>IFERROR(VLOOKUP(N344,'הגדרות'!$A$11:$D$25,3,FALSE),"")</f>
        <v/>
      </c>
      <c r="AB344" s="6" t="n"/>
      <c r="AE344">
        <f>OR(Q344='לוח בקרה'!$B$2,R344='לוח בקרה'!$B$2,S344='לוח בקרה'!$B$2,T344='לוח בקרה'!$B$2)</f>
        <v/>
      </c>
      <c r="AF344">
        <f>AND(AE344,OR(AND(O344="כן",U344="כן"),AND(P344="כן",V344="כן")))</f>
        <v/>
      </c>
      <c r="AG344">
        <f>AND(AE344,OR(O344="כן",P344="כן"),NOT(OR(AND(O344="כן",U344="כן"),AND(P344="כן",V344="כן"))))</f>
        <v/>
      </c>
      <c r="AH344">
        <f>AND(AE344,OR(U344="כן",V344="כן"),NOT(OR(O344="כן",P344="כן")))</f>
        <v/>
      </c>
      <c r="AI344">
        <f>AND(X344="מושאל",AB344&lt;&gt;"",AB344&lt;TODAY())</f>
        <v/>
      </c>
    </row>
    <row r="345">
      <c r="E345">
        <f>IFERROR(INDEX('הגדרות'!$D$104:$D$123,MATCH(B345&amp;G345&amp;C345,'הגדרות'!$A$104:$A$123&amp;'הגדרות'!$B$104:$B$123&amp;'הגדרות'!$C$104:$C$123,0)),"")</f>
        <v/>
      </c>
      <c r="F345" s="6" t="n"/>
      <c r="Q345">
        <f>IFERROR(VLOOKUP(M345,'הגדרות'!$A$11:$D$25,2,FALSE),"")</f>
        <v/>
      </c>
      <c r="R345">
        <f>IFERROR(VLOOKUP(M345,'הגדרות'!$A$11:$D$25,3,FALSE),"")</f>
        <v/>
      </c>
      <c r="S345">
        <f>IFERROR(VLOOKUP(N345,'הגדרות'!$A$11:$D$25,2,FALSE),"")</f>
        <v/>
      </c>
      <c r="T345">
        <f>IFERROR(VLOOKUP(N345,'הגדרות'!$A$11:$D$25,3,FALSE),"")</f>
        <v/>
      </c>
      <c r="AB345" s="6" t="n"/>
      <c r="AE345">
        <f>OR(Q345='לוח בקרה'!$B$2,R345='לוח בקרה'!$B$2,S345='לוח בקרה'!$B$2,T345='לוח בקרה'!$B$2)</f>
        <v/>
      </c>
      <c r="AF345">
        <f>AND(AE345,OR(AND(O345="כן",U345="כן"),AND(P345="כן",V345="כן")))</f>
        <v/>
      </c>
      <c r="AG345">
        <f>AND(AE345,OR(O345="כן",P345="כן"),NOT(OR(AND(O345="כן",U345="כן"),AND(P345="כן",V345="כן"))))</f>
        <v/>
      </c>
      <c r="AH345">
        <f>AND(AE345,OR(U345="כן",V345="כן"),NOT(OR(O345="כן",P345="כן")))</f>
        <v/>
      </c>
      <c r="AI345">
        <f>AND(X345="מושאל",AB345&lt;&gt;"",AB345&lt;TODAY())</f>
        <v/>
      </c>
    </row>
    <row r="346">
      <c r="E346">
        <f>IFERROR(INDEX('הגדרות'!$D$104:$D$123,MATCH(B346&amp;G346&amp;C346,'הגדרות'!$A$104:$A$123&amp;'הגדרות'!$B$104:$B$123&amp;'הגדרות'!$C$104:$C$123,0)),"")</f>
        <v/>
      </c>
      <c r="F346" s="6" t="n"/>
      <c r="Q346">
        <f>IFERROR(VLOOKUP(M346,'הגדרות'!$A$11:$D$25,2,FALSE),"")</f>
        <v/>
      </c>
      <c r="R346">
        <f>IFERROR(VLOOKUP(M346,'הגדרות'!$A$11:$D$25,3,FALSE),"")</f>
        <v/>
      </c>
      <c r="S346">
        <f>IFERROR(VLOOKUP(N346,'הגדרות'!$A$11:$D$25,2,FALSE),"")</f>
        <v/>
      </c>
      <c r="T346">
        <f>IFERROR(VLOOKUP(N346,'הגדרות'!$A$11:$D$25,3,FALSE),"")</f>
        <v/>
      </c>
      <c r="AB346" s="6" t="n"/>
      <c r="AE346">
        <f>OR(Q346='לוח בקרה'!$B$2,R346='לוח בקרה'!$B$2,S346='לוח בקרה'!$B$2,T346='לוח בקרה'!$B$2)</f>
        <v/>
      </c>
      <c r="AF346">
        <f>AND(AE346,OR(AND(O346="כן",U346="כן"),AND(P346="כן",V346="כן")))</f>
        <v/>
      </c>
      <c r="AG346">
        <f>AND(AE346,OR(O346="כן",P346="כן"),NOT(OR(AND(O346="כן",U346="כן"),AND(P346="כן",V346="כן"))))</f>
        <v/>
      </c>
      <c r="AH346">
        <f>AND(AE346,OR(U346="כן",V346="כן"),NOT(OR(O346="כן",P346="כן")))</f>
        <v/>
      </c>
      <c r="AI346">
        <f>AND(X346="מושאל",AB346&lt;&gt;"",AB346&lt;TODAY())</f>
        <v/>
      </c>
    </row>
    <row r="347">
      <c r="E347">
        <f>IFERROR(INDEX('הגדרות'!$D$104:$D$123,MATCH(B347&amp;G347&amp;C347,'הגדרות'!$A$104:$A$123&amp;'הגדרות'!$B$104:$B$123&amp;'הגדרות'!$C$104:$C$123,0)),"")</f>
        <v/>
      </c>
      <c r="F347" s="6" t="n"/>
      <c r="Q347">
        <f>IFERROR(VLOOKUP(M347,'הגדרות'!$A$11:$D$25,2,FALSE),"")</f>
        <v/>
      </c>
      <c r="R347">
        <f>IFERROR(VLOOKUP(M347,'הגדרות'!$A$11:$D$25,3,FALSE),"")</f>
        <v/>
      </c>
      <c r="S347">
        <f>IFERROR(VLOOKUP(N347,'הגדרות'!$A$11:$D$25,2,FALSE),"")</f>
        <v/>
      </c>
      <c r="T347">
        <f>IFERROR(VLOOKUP(N347,'הגדרות'!$A$11:$D$25,3,FALSE),"")</f>
        <v/>
      </c>
      <c r="AB347" s="6" t="n"/>
      <c r="AE347">
        <f>OR(Q347='לוח בקרה'!$B$2,R347='לוח בקרה'!$B$2,S347='לוח בקרה'!$B$2,T347='לוח בקרה'!$B$2)</f>
        <v/>
      </c>
      <c r="AF347">
        <f>AND(AE347,OR(AND(O347="כן",U347="כן"),AND(P347="כן",V347="כן")))</f>
        <v/>
      </c>
      <c r="AG347">
        <f>AND(AE347,OR(O347="כן",P347="כן"),NOT(OR(AND(O347="כן",U347="כן"),AND(P347="כן",V347="כן"))))</f>
        <v/>
      </c>
      <c r="AH347">
        <f>AND(AE347,OR(U347="כן",V347="כן"),NOT(OR(O347="כן",P347="כן")))</f>
        <v/>
      </c>
      <c r="AI347">
        <f>AND(X347="מושאל",AB347&lt;&gt;"",AB347&lt;TODAY())</f>
        <v/>
      </c>
    </row>
    <row r="348">
      <c r="E348">
        <f>IFERROR(INDEX('הגדרות'!$D$104:$D$123,MATCH(B348&amp;G348&amp;C348,'הגדרות'!$A$104:$A$123&amp;'הגדרות'!$B$104:$B$123&amp;'הגדרות'!$C$104:$C$123,0)),"")</f>
        <v/>
      </c>
      <c r="F348" s="6" t="n"/>
      <c r="Q348">
        <f>IFERROR(VLOOKUP(M348,'הגדרות'!$A$11:$D$25,2,FALSE),"")</f>
        <v/>
      </c>
      <c r="R348">
        <f>IFERROR(VLOOKUP(M348,'הגדרות'!$A$11:$D$25,3,FALSE),"")</f>
        <v/>
      </c>
      <c r="S348">
        <f>IFERROR(VLOOKUP(N348,'הגדרות'!$A$11:$D$25,2,FALSE),"")</f>
        <v/>
      </c>
      <c r="T348">
        <f>IFERROR(VLOOKUP(N348,'הגדרות'!$A$11:$D$25,3,FALSE),"")</f>
        <v/>
      </c>
      <c r="AB348" s="6" t="n"/>
      <c r="AE348">
        <f>OR(Q348='לוח בקרה'!$B$2,R348='לוח בקרה'!$B$2,S348='לוח בקרה'!$B$2,T348='לוח בקרה'!$B$2)</f>
        <v/>
      </c>
      <c r="AF348">
        <f>AND(AE348,OR(AND(O348="כן",U348="כן"),AND(P348="כן",V348="כן")))</f>
        <v/>
      </c>
      <c r="AG348">
        <f>AND(AE348,OR(O348="כן",P348="כן"),NOT(OR(AND(O348="כן",U348="כן"),AND(P348="כן",V348="כן"))))</f>
        <v/>
      </c>
      <c r="AH348">
        <f>AND(AE348,OR(U348="כן",V348="כן"),NOT(OR(O348="כן",P348="כן")))</f>
        <v/>
      </c>
      <c r="AI348">
        <f>AND(X348="מושאל",AB348&lt;&gt;"",AB348&lt;TODAY())</f>
        <v/>
      </c>
    </row>
    <row r="349">
      <c r="E349">
        <f>IFERROR(INDEX('הגדרות'!$D$104:$D$123,MATCH(B349&amp;G349&amp;C349,'הגדרות'!$A$104:$A$123&amp;'הגדרות'!$B$104:$B$123&amp;'הגדרות'!$C$104:$C$123,0)),"")</f>
        <v/>
      </c>
      <c r="F349" s="6" t="n"/>
      <c r="Q349">
        <f>IFERROR(VLOOKUP(M349,'הגדרות'!$A$11:$D$25,2,FALSE),"")</f>
        <v/>
      </c>
      <c r="R349">
        <f>IFERROR(VLOOKUP(M349,'הגדרות'!$A$11:$D$25,3,FALSE),"")</f>
        <v/>
      </c>
      <c r="S349">
        <f>IFERROR(VLOOKUP(N349,'הגדרות'!$A$11:$D$25,2,FALSE),"")</f>
        <v/>
      </c>
      <c r="T349">
        <f>IFERROR(VLOOKUP(N349,'הגדרות'!$A$11:$D$25,3,FALSE),"")</f>
        <v/>
      </c>
      <c r="AB349" s="6" t="n"/>
      <c r="AE349">
        <f>OR(Q349='לוח בקרה'!$B$2,R349='לוח בקרה'!$B$2,S349='לוח בקרה'!$B$2,T349='לוח בקרה'!$B$2)</f>
        <v/>
      </c>
      <c r="AF349">
        <f>AND(AE349,OR(AND(O349="כן",U349="כן"),AND(P349="כן",V349="כן")))</f>
        <v/>
      </c>
      <c r="AG349">
        <f>AND(AE349,OR(O349="כן",P349="כן"),NOT(OR(AND(O349="כן",U349="כן"),AND(P349="כן",V349="כן"))))</f>
        <v/>
      </c>
      <c r="AH349">
        <f>AND(AE349,OR(U349="כן",V349="כן"),NOT(OR(O349="כן",P349="כן")))</f>
        <v/>
      </c>
      <c r="AI349">
        <f>AND(X349="מושאל",AB349&lt;&gt;"",AB349&lt;TODAY())</f>
        <v/>
      </c>
    </row>
    <row r="350">
      <c r="E350">
        <f>IFERROR(INDEX('הגדרות'!$D$104:$D$123,MATCH(B350&amp;G350&amp;C350,'הגדרות'!$A$104:$A$123&amp;'הגדרות'!$B$104:$B$123&amp;'הגדרות'!$C$104:$C$123,0)),"")</f>
        <v/>
      </c>
      <c r="F350" s="6" t="n"/>
      <c r="Q350">
        <f>IFERROR(VLOOKUP(M350,'הגדרות'!$A$11:$D$25,2,FALSE),"")</f>
        <v/>
      </c>
      <c r="R350">
        <f>IFERROR(VLOOKUP(M350,'הגדרות'!$A$11:$D$25,3,FALSE),"")</f>
        <v/>
      </c>
      <c r="S350">
        <f>IFERROR(VLOOKUP(N350,'הגדרות'!$A$11:$D$25,2,FALSE),"")</f>
        <v/>
      </c>
      <c r="T350">
        <f>IFERROR(VLOOKUP(N350,'הגדרות'!$A$11:$D$25,3,FALSE),"")</f>
        <v/>
      </c>
      <c r="AB350" s="6" t="n"/>
      <c r="AE350">
        <f>OR(Q350='לוח בקרה'!$B$2,R350='לוח בקרה'!$B$2,S350='לוח בקרה'!$B$2,T350='לוח בקרה'!$B$2)</f>
        <v/>
      </c>
      <c r="AF350">
        <f>AND(AE350,OR(AND(O350="כן",U350="כן"),AND(P350="כן",V350="כן")))</f>
        <v/>
      </c>
      <c r="AG350">
        <f>AND(AE350,OR(O350="כן",P350="כן"),NOT(OR(AND(O350="כן",U350="כן"),AND(P350="כן",V350="כן"))))</f>
        <v/>
      </c>
      <c r="AH350">
        <f>AND(AE350,OR(U350="כן",V350="כן"),NOT(OR(O350="כן",P350="כן")))</f>
        <v/>
      </c>
      <c r="AI350">
        <f>AND(X350="מושאל",AB350&lt;&gt;"",AB350&lt;TODAY())</f>
        <v/>
      </c>
    </row>
    <row r="351">
      <c r="E351">
        <f>IFERROR(INDEX('הגדרות'!$D$104:$D$123,MATCH(B351&amp;G351&amp;C351,'הגדרות'!$A$104:$A$123&amp;'הגדרות'!$B$104:$B$123&amp;'הגדרות'!$C$104:$C$123,0)),"")</f>
        <v/>
      </c>
      <c r="F351" s="6" t="n"/>
      <c r="Q351">
        <f>IFERROR(VLOOKUP(M351,'הגדרות'!$A$11:$D$25,2,FALSE),"")</f>
        <v/>
      </c>
      <c r="R351">
        <f>IFERROR(VLOOKUP(M351,'הגדרות'!$A$11:$D$25,3,FALSE),"")</f>
        <v/>
      </c>
      <c r="S351">
        <f>IFERROR(VLOOKUP(N351,'הגדרות'!$A$11:$D$25,2,FALSE),"")</f>
        <v/>
      </c>
      <c r="T351">
        <f>IFERROR(VLOOKUP(N351,'הגדרות'!$A$11:$D$25,3,FALSE),"")</f>
        <v/>
      </c>
      <c r="AB351" s="6" t="n"/>
      <c r="AE351">
        <f>OR(Q351='לוח בקרה'!$B$2,R351='לוח בקרה'!$B$2,S351='לוח בקרה'!$B$2,T351='לוח בקרה'!$B$2)</f>
        <v/>
      </c>
      <c r="AF351">
        <f>AND(AE351,OR(AND(O351="כן",U351="כן"),AND(P351="כן",V351="כן")))</f>
        <v/>
      </c>
      <c r="AG351">
        <f>AND(AE351,OR(O351="כן",P351="כן"),NOT(OR(AND(O351="כן",U351="כן"),AND(P351="כן",V351="כן"))))</f>
        <v/>
      </c>
      <c r="AH351">
        <f>AND(AE351,OR(U351="כן",V351="כן"),NOT(OR(O351="כן",P351="כן")))</f>
        <v/>
      </c>
      <c r="AI351">
        <f>AND(X351="מושאל",AB351&lt;&gt;"",AB351&lt;TODAY())</f>
        <v/>
      </c>
    </row>
    <row r="352">
      <c r="E352">
        <f>IFERROR(INDEX('הגדרות'!$D$104:$D$123,MATCH(B352&amp;G352&amp;C352,'הגדרות'!$A$104:$A$123&amp;'הגדרות'!$B$104:$B$123&amp;'הגדרות'!$C$104:$C$123,0)),"")</f>
        <v/>
      </c>
      <c r="F352" s="6" t="n"/>
      <c r="Q352">
        <f>IFERROR(VLOOKUP(M352,'הגדרות'!$A$11:$D$25,2,FALSE),"")</f>
        <v/>
      </c>
      <c r="R352">
        <f>IFERROR(VLOOKUP(M352,'הגדרות'!$A$11:$D$25,3,FALSE),"")</f>
        <v/>
      </c>
      <c r="S352">
        <f>IFERROR(VLOOKUP(N352,'הגדרות'!$A$11:$D$25,2,FALSE),"")</f>
        <v/>
      </c>
      <c r="T352">
        <f>IFERROR(VLOOKUP(N352,'הגדרות'!$A$11:$D$25,3,FALSE),"")</f>
        <v/>
      </c>
      <c r="AB352" s="6" t="n"/>
      <c r="AE352">
        <f>OR(Q352='לוח בקרה'!$B$2,R352='לוח בקרה'!$B$2,S352='לוח בקרה'!$B$2,T352='לוח בקרה'!$B$2)</f>
        <v/>
      </c>
      <c r="AF352">
        <f>AND(AE352,OR(AND(O352="כן",U352="כן"),AND(P352="כן",V352="כן")))</f>
        <v/>
      </c>
      <c r="AG352">
        <f>AND(AE352,OR(O352="כן",P352="כן"),NOT(OR(AND(O352="כן",U352="כן"),AND(P352="כן",V352="כן"))))</f>
        <v/>
      </c>
      <c r="AH352">
        <f>AND(AE352,OR(U352="כן",V352="כן"),NOT(OR(O352="כן",P352="כן")))</f>
        <v/>
      </c>
      <c r="AI352">
        <f>AND(X352="מושאל",AB352&lt;&gt;"",AB352&lt;TODAY())</f>
        <v/>
      </c>
    </row>
    <row r="353">
      <c r="E353">
        <f>IFERROR(INDEX('הגדרות'!$D$104:$D$123,MATCH(B353&amp;G353&amp;C353,'הגדרות'!$A$104:$A$123&amp;'הגדרות'!$B$104:$B$123&amp;'הגדרות'!$C$104:$C$123,0)),"")</f>
        <v/>
      </c>
      <c r="F353" s="6" t="n"/>
      <c r="Q353">
        <f>IFERROR(VLOOKUP(M353,'הגדרות'!$A$11:$D$25,2,FALSE),"")</f>
        <v/>
      </c>
      <c r="R353">
        <f>IFERROR(VLOOKUP(M353,'הגדרות'!$A$11:$D$25,3,FALSE),"")</f>
        <v/>
      </c>
      <c r="S353">
        <f>IFERROR(VLOOKUP(N353,'הגדרות'!$A$11:$D$25,2,FALSE),"")</f>
        <v/>
      </c>
      <c r="T353">
        <f>IFERROR(VLOOKUP(N353,'הגדרות'!$A$11:$D$25,3,FALSE),"")</f>
        <v/>
      </c>
      <c r="AB353" s="6" t="n"/>
      <c r="AE353">
        <f>OR(Q353='לוח בקרה'!$B$2,R353='לוח בקרה'!$B$2,S353='לוח בקרה'!$B$2,T353='לוח בקרה'!$B$2)</f>
        <v/>
      </c>
      <c r="AF353">
        <f>AND(AE353,OR(AND(O353="כן",U353="כן"),AND(P353="כן",V353="כן")))</f>
        <v/>
      </c>
      <c r="AG353">
        <f>AND(AE353,OR(O353="כן",P353="כן"),NOT(OR(AND(O353="כן",U353="כן"),AND(P353="כן",V353="כן"))))</f>
        <v/>
      </c>
      <c r="AH353">
        <f>AND(AE353,OR(U353="כן",V353="כן"),NOT(OR(O353="כן",P353="כן")))</f>
        <v/>
      </c>
      <c r="AI353">
        <f>AND(X353="מושאל",AB353&lt;&gt;"",AB353&lt;TODAY())</f>
        <v/>
      </c>
    </row>
    <row r="354">
      <c r="E354">
        <f>IFERROR(INDEX('הגדרות'!$D$104:$D$123,MATCH(B354&amp;G354&amp;C354,'הגדרות'!$A$104:$A$123&amp;'הגדרות'!$B$104:$B$123&amp;'הגדרות'!$C$104:$C$123,0)),"")</f>
        <v/>
      </c>
      <c r="F354" s="6" t="n"/>
      <c r="Q354">
        <f>IFERROR(VLOOKUP(M354,'הגדרות'!$A$11:$D$25,2,FALSE),"")</f>
        <v/>
      </c>
      <c r="R354">
        <f>IFERROR(VLOOKUP(M354,'הגדרות'!$A$11:$D$25,3,FALSE),"")</f>
        <v/>
      </c>
      <c r="S354">
        <f>IFERROR(VLOOKUP(N354,'הגדרות'!$A$11:$D$25,2,FALSE),"")</f>
        <v/>
      </c>
      <c r="T354">
        <f>IFERROR(VLOOKUP(N354,'הגדרות'!$A$11:$D$25,3,FALSE),"")</f>
        <v/>
      </c>
      <c r="AB354" s="6" t="n"/>
      <c r="AE354">
        <f>OR(Q354='לוח בקרה'!$B$2,R354='לוח בקרה'!$B$2,S354='לוח בקרה'!$B$2,T354='לוח בקרה'!$B$2)</f>
        <v/>
      </c>
      <c r="AF354">
        <f>AND(AE354,OR(AND(O354="כן",U354="כן"),AND(P354="כן",V354="כן")))</f>
        <v/>
      </c>
      <c r="AG354">
        <f>AND(AE354,OR(O354="כן",P354="כן"),NOT(OR(AND(O354="כן",U354="כן"),AND(P354="כן",V354="כן"))))</f>
        <v/>
      </c>
      <c r="AH354">
        <f>AND(AE354,OR(U354="כן",V354="כן"),NOT(OR(O354="כן",P354="כן")))</f>
        <v/>
      </c>
      <c r="AI354">
        <f>AND(X354="מושאל",AB354&lt;&gt;"",AB354&lt;TODAY())</f>
        <v/>
      </c>
    </row>
    <row r="355">
      <c r="E355">
        <f>IFERROR(INDEX('הגדרות'!$D$104:$D$123,MATCH(B355&amp;G355&amp;C355,'הגדרות'!$A$104:$A$123&amp;'הגדרות'!$B$104:$B$123&amp;'הגדרות'!$C$104:$C$123,0)),"")</f>
        <v/>
      </c>
      <c r="F355" s="6" t="n"/>
      <c r="Q355">
        <f>IFERROR(VLOOKUP(M355,'הגדרות'!$A$11:$D$25,2,FALSE),"")</f>
        <v/>
      </c>
      <c r="R355">
        <f>IFERROR(VLOOKUP(M355,'הגדרות'!$A$11:$D$25,3,FALSE),"")</f>
        <v/>
      </c>
      <c r="S355">
        <f>IFERROR(VLOOKUP(N355,'הגדרות'!$A$11:$D$25,2,FALSE),"")</f>
        <v/>
      </c>
      <c r="T355">
        <f>IFERROR(VLOOKUP(N355,'הגדרות'!$A$11:$D$25,3,FALSE),"")</f>
        <v/>
      </c>
      <c r="AB355" s="6" t="n"/>
      <c r="AE355">
        <f>OR(Q355='לוח בקרה'!$B$2,R355='לוח בקרה'!$B$2,S355='לוח בקרה'!$B$2,T355='לוח בקרה'!$B$2)</f>
        <v/>
      </c>
      <c r="AF355">
        <f>AND(AE355,OR(AND(O355="כן",U355="כן"),AND(P355="כן",V355="כן")))</f>
        <v/>
      </c>
      <c r="AG355">
        <f>AND(AE355,OR(O355="כן",P355="כן"),NOT(OR(AND(O355="כן",U355="כן"),AND(P355="כן",V355="כן"))))</f>
        <v/>
      </c>
      <c r="AH355">
        <f>AND(AE355,OR(U355="כן",V355="כן"),NOT(OR(O355="כן",P355="כן")))</f>
        <v/>
      </c>
      <c r="AI355">
        <f>AND(X355="מושאל",AB355&lt;&gt;"",AB355&lt;TODAY())</f>
        <v/>
      </c>
    </row>
    <row r="356">
      <c r="E356">
        <f>IFERROR(INDEX('הגדרות'!$D$104:$D$123,MATCH(B356&amp;G356&amp;C356,'הגדרות'!$A$104:$A$123&amp;'הגדרות'!$B$104:$B$123&amp;'הגדרות'!$C$104:$C$123,0)),"")</f>
        <v/>
      </c>
      <c r="F356" s="6" t="n"/>
      <c r="Q356">
        <f>IFERROR(VLOOKUP(M356,'הגדרות'!$A$11:$D$25,2,FALSE),"")</f>
        <v/>
      </c>
      <c r="R356">
        <f>IFERROR(VLOOKUP(M356,'הגדרות'!$A$11:$D$25,3,FALSE),"")</f>
        <v/>
      </c>
      <c r="S356">
        <f>IFERROR(VLOOKUP(N356,'הגדרות'!$A$11:$D$25,2,FALSE),"")</f>
        <v/>
      </c>
      <c r="T356">
        <f>IFERROR(VLOOKUP(N356,'הגדרות'!$A$11:$D$25,3,FALSE),"")</f>
        <v/>
      </c>
      <c r="AB356" s="6" t="n"/>
      <c r="AE356">
        <f>OR(Q356='לוח בקרה'!$B$2,R356='לוח בקרה'!$B$2,S356='לוח בקרה'!$B$2,T356='לוח בקרה'!$B$2)</f>
        <v/>
      </c>
      <c r="AF356">
        <f>AND(AE356,OR(AND(O356="כן",U356="כן"),AND(P356="כן",V356="כן")))</f>
        <v/>
      </c>
      <c r="AG356">
        <f>AND(AE356,OR(O356="כן",P356="כן"),NOT(OR(AND(O356="כן",U356="כן"),AND(P356="כן",V356="כן"))))</f>
        <v/>
      </c>
      <c r="AH356">
        <f>AND(AE356,OR(U356="כן",V356="כן"),NOT(OR(O356="כן",P356="כן")))</f>
        <v/>
      </c>
      <c r="AI356">
        <f>AND(X356="מושאל",AB356&lt;&gt;"",AB356&lt;TODAY())</f>
        <v/>
      </c>
    </row>
    <row r="357">
      <c r="E357">
        <f>IFERROR(INDEX('הגדרות'!$D$104:$D$123,MATCH(B357&amp;G357&amp;C357,'הגדרות'!$A$104:$A$123&amp;'הגדרות'!$B$104:$B$123&amp;'הגדרות'!$C$104:$C$123,0)),"")</f>
        <v/>
      </c>
      <c r="F357" s="6" t="n"/>
      <c r="Q357">
        <f>IFERROR(VLOOKUP(M357,'הגדרות'!$A$11:$D$25,2,FALSE),"")</f>
        <v/>
      </c>
      <c r="R357">
        <f>IFERROR(VLOOKUP(M357,'הגדרות'!$A$11:$D$25,3,FALSE),"")</f>
        <v/>
      </c>
      <c r="S357">
        <f>IFERROR(VLOOKUP(N357,'הגדרות'!$A$11:$D$25,2,FALSE),"")</f>
        <v/>
      </c>
      <c r="T357">
        <f>IFERROR(VLOOKUP(N357,'הגדרות'!$A$11:$D$25,3,FALSE),"")</f>
        <v/>
      </c>
      <c r="AB357" s="6" t="n"/>
      <c r="AE357">
        <f>OR(Q357='לוח בקרה'!$B$2,R357='לוח בקרה'!$B$2,S357='לוח בקרה'!$B$2,T357='לוח בקרה'!$B$2)</f>
        <v/>
      </c>
      <c r="AF357">
        <f>AND(AE357,OR(AND(O357="כן",U357="כן"),AND(P357="כן",V357="כן")))</f>
        <v/>
      </c>
      <c r="AG357">
        <f>AND(AE357,OR(O357="כן",P357="כן"),NOT(OR(AND(O357="כן",U357="כן"),AND(P357="כן",V357="כן"))))</f>
        <v/>
      </c>
      <c r="AH357">
        <f>AND(AE357,OR(U357="כן",V357="כן"),NOT(OR(O357="כן",P357="כן")))</f>
        <v/>
      </c>
      <c r="AI357">
        <f>AND(X357="מושאל",AB357&lt;&gt;"",AB357&lt;TODAY())</f>
        <v/>
      </c>
    </row>
    <row r="358">
      <c r="E358">
        <f>IFERROR(INDEX('הגדרות'!$D$104:$D$123,MATCH(B358&amp;G358&amp;C358,'הגדרות'!$A$104:$A$123&amp;'הגדרות'!$B$104:$B$123&amp;'הגדרות'!$C$104:$C$123,0)),"")</f>
        <v/>
      </c>
      <c r="F358" s="6" t="n"/>
      <c r="Q358">
        <f>IFERROR(VLOOKUP(M358,'הגדרות'!$A$11:$D$25,2,FALSE),"")</f>
        <v/>
      </c>
      <c r="R358">
        <f>IFERROR(VLOOKUP(M358,'הגדרות'!$A$11:$D$25,3,FALSE),"")</f>
        <v/>
      </c>
      <c r="S358">
        <f>IFERROR(VLOOKUP(N358,'הגדרות'!$A$11:$D$25,2,FALSE),"")</f>
        <v/>
      </c>
      <c r="T358">
        <f>IFERROR(VLOOKUP(N358,'הגדרות'!$A$11:$D$25,3,FALSE),"")</f>
        <v/>
      </c>
      <c r="AB358" s="6" t="n"/>
      <c r="AE358">
        <f>OR(Q358='לוח בקרה'!$B$2,R358='לוח בקרה'!$B$2,S358='לוח בקרה'!$B$2,T358='לוח בקרה'!$B$2)</f>
        <v/>
      </c>
      <c r="AF358">
        <f>AND(AE358,OR(AND(O358="כן",U358="כן"),AND(P358="כן",V358="כן")))</f>
        <v/>
      </c>
      <c r="AG358">
        <f>AND(AE358,OR(O358="כן",P358="כן"),NOT(OR(AND(O358="כן",U358="כן"),AND(P358="כן",V358="כן"))))</f>
        <v/>
      </c>
      <c r="AH358">
        <f>AND(AE358,OR(U358="כן",V358="כן"),NOT(OR(O358="כן",P358="כן")))</f>
        <v/>
      </c>
      <c r="AI358">
        <f>AND(X358="מושאל",AB358&lt;&gt;"",AB358&lt;TODAY())</f>
        <v/>
      </c>
    </row>
    <row r="359">
      <c r="E359">
        <f>IFERROR(INDEX('הגדרות'!$D$104:$D$123,MATCH(B359&amp;G359&amp;C359,'הגדרות'!$A$104:$A$123&amp;'הגדרות'!$B$104:$B$123&amp;'הגדרות'!$C$104:$C$123,0)),"")</f>
        <v/>
      </c>
      <c r="F359" s="6" t="n"/>
      <c r="Q359">
        <f>IFERROR(VLOOKUP(M359,'הגדרות'!$A$11:$D$25,2,FALSE),"")</f>
        <v/>
      </c>
      <c r="R359">
        <f>IFERROR(VLOOKUP(M359,'הגדרות'!$A$11:$D$25,3,FALSE),"")</f>
        <v/>
      </c>
      <c r="S359">
        <f>IFERROR(VLOOKUP(N359,'הגדרות'!$A$11:$D$25,2,FALSE),"")</f>
        <v/>
      </c>
      <c r="T359">
        <f>IFERROR(VLOOKUP(N359,'הגדרות'!$A$11:$D$25,3,FALSE),"")</f>
        <v/>
      </c>
      <c r="AB359" s="6" t="n"/>
      <c r="AE359">
        <f>OR(Q359='לוח בקרה'!$B$2,R359='לוח בקרה'!$B$2,S359='לוח בקרה'!$B$2,T359='לוח בקרה'!$B$2)</f>
        <v/>
      </c>
      <c r="AF359">
        <f>AND(AE359,OR(AND(O359="כן",U359="כן"),AND(P359="כן",V359="כן")))</f>
        <v/>
      </c>
      <c r="AG359">
        <f>AND(AE359,OR(O359="כן",P359="כן"),NOT(OR(AND(O359="כן",U359="כן"),AND(P359="כן",V359="כן"))))</f>
        <v/>
      </c>
      <c r="AH359">
        <f>AND(AE359,OR(U359="כן",V359="כן"),NOT(OR(O359="כן",P359="כן")))</f>
        <v/>
      </c>
      <c r="AI359">
        <f>AND(X359="מושאל",AB359&lt;&gt;"",AB359&lt;TODAY())</f>
        <v/>
      </c>
    </row>
    <row r="360">
      <c r="E360">
        <f>IFERROR(INDEX('הגדרות'!$D$104:$D$123,MATCH(B360&amp;G360&amp;C360,'הגדרות'!$A$104:$A$123&amp;'הגדרות'!$B$104:$B$123&amp;'הגדרות'!$C$104:$C$123,0)),"")</f>
        <v/>
      </c>
      <c r="F360" s="6" t="n"/>
      <c r="Q360">
        <f>IFERROR(VLOOKUP(M360,'הגדרות'!$A$11:$D$25,2,FALSE),"")</f>
        <v/>
      </c>
      <c r="R360">
        <f>IFERROR(VLOOKUP(M360,'הגדרות'!$A$11:$D$25,3,FALSE),"")</f>
        <v/>
      </c>
      <c r="S360">
        <f>IFERROR(VLOOKUP(N360,'הגדרות'!$A$11:$D$25,2,FALSE),"")</f>
        <v/>
      </c>
      <c r="T360">
        <f>IFERROR(VLOOKUP(N360,'הגדרות'!$A$11:$D$25,3,FALSE),"")</f>
        <v/>
      </c>
      <c r="AB360" s="6" t="n"/>
      <c r="AE360">
        <f>OR(Q360='לוח בקרה'!$B$2,R360='לוח בקרה'!$B$2,S360='לוח בקרה'!$B$2,T360='לוח בקרה'!$B$2)</f>
        <v/>
      </c>
      <c r="AF360">
        <f>AND(AE360,OR(AND(O360="כן",U360="כן"),AND(P360="כן",V360="כן")))</f>
        <v/>
      </c>
      <c r="AG360">
        <f>AND(AE360,OR(O360="כן",P360="כן"),NOT(OR(AND(O360="כן",U360="כן"),AND(P360="כן",V360="כן"))))</f>
        <v/>
      </c>
      <c r="AH360">
        <f>AND(AE360,OR(U360="כן",V360="כן"),NOT(OR(O360="כן",P360="כן")))</f>
        <v/>
      </c>
      <c r="AI360">
        <f>AND(X360="מושאל",AB360&lt;&gt;"",AB360&lt;TODAY())</f>
        <v/>
      </c>
    </row>
    <row r="361">
      <c r="E361">
        <f>IFERROR(INDEX('הגדרות'!$D$104:$D$123,MATCH(B361&amp;G361&amp;C361,'הגדרות'!$A$104:$A$123&amp;'הגדרות'!$B$104:$B$123&amp;'הגדרות'!$C$104:$C$123,0)),"")</f>
        <v/>
      </c>
      <c r="F361" s="6" t="n"/>
      <c r="Q361">
        <f>IFERROR(VLOOKUP(M361,'הגדרות'!$A$11:$D$25,2,FALSE),"")</f>
        <v/>
      </c>
      <c r="R361">
        <f>IFERROR(VLOOKUP(M361,'הגדרות'!$A$11:$D$25,3,FALSE),"")</f>
        <v/>
      </c>
      <c r="S361">
        <f>IFERROR(VLOOKUP(N361,'הגדרות'!$A$11:$D$25,2,FALSE),"")</f>
        <v/>
      </c>
      <c r="T361">
        <f>IFERROR(VLOOKUP(N361,'הגדרות'!$A$11:$D$25,3,FALSE),"")</f>
        <v/>
      </c>
      <c r="AB361" s="6" t="n"/>
      <c r="AE361">
        <f>OR(Q361='לוח בקרה'!$B$2,R361='לוח בקרה'!$B$2,S361='לוח בקרה'!$B$2,T361='לוח בקרה'!$B$2)</f>
        <v/>
      </c>
      <c r="AF361">
        <f>AND(AE361,OR(AND(O361="כן",U361="כן"),AND(P361="כן",V361="כן")))</f>
        <v/>
      </c>
      <c r="AG361">
        <f>AND(AE361,OR(O361="כן",P361="כן"),NOT(OR(AND(O361="כן",U361="כן"),AND(P361="כן",V361="כן"))))</f>
        <v/>
      </c>
      <c r="AH361">
        <f>AND(AE361,OR(U361="כן",V361="כן"),NOT(OR(O361="כן",P361="כן")))</f>
        <v/>
      </c>
      <c r="AI361">
        <f>AND(X361="מושאל",AB361&lt;&gt;"",AB361&lt;TODAY())</f>
        <v/>
      </c>
    </row>
    <row r="362">
      <c r="E362">
        <f>IFERROR(INDEX('הגדרות'!$D$104:$D$123,MATCH(B362&amp;G362&amp;C362,'הגדרות'!$A$104:$A$123&amp;'הגדרות'!$B$104:$B$123&amp;'הגדרות'!$C$104:$C$123,0)),"")</f>
        <v/>
      </c>
      <c r="F362" s="6" t="n"/>
      <c r="Q362">
        <f>IFERROR(VLOOKUP(M362,'הגדרות'!$A$11:$D$25,2,FALSE),"")</f>
        <v/>
      </c>
      <c r="R362">
        <f>IFERROR(VLOOKUP(M362,'הגדרות'!$A$11:$D$25,3,FALSE),"")</f>
        <v/>
      </c>
      <c r="S362">
        <f>IFERROR(VLOOKUP(N362,'הגדרות'!$A$11:$D$25,2,FALSE),"")</f>
        <v/>
      </c>
      <c r="T362">
        <f>IFERROR(VLOOKUP(N362,'הגדרות'!$A$11:$D$25,3,FALSE),"")</f>
        <v/>
      </c>
      <c r="AB362" s="6" t="n"/>
      <c r="AE362">
        <f>OR(Q362='לוח בקרה'!$B$2,R362='לוח בקרה'!$B$2,S362='לוח בקרה'!$B$2,T362='לוח בקרה'!$B$2)</f>
        <v/>
      </c>
      <c r="AF362">
        <f>AND(AE362,OR(AND(O362="כן",U362="כן"),AND(P362="כן",V362="כן")))</f>
        <v/>
      </c>
      <c r="AG362">
        <f>AND(AE362,OR(O362="כן",P362="כן"),NOT(OR(AND(O362="כן",U362="כן"),AND(P362="כן",V362="כן"))))</f>
        <v/>
      </c>
      <c r="AH362">
        <f>AND(AE362,OR(U362="כן",V362="כן"),NOT(OR(O362="כן",P362="כן")))</f>
        <v/>
      </c>
      <c r="AI362">
        <f>AND(X362="מושאל",AB362&lt;&gt;"",AB362&lt;TODAY())</f>
        <v/>
      </c>
    </row>
    <row r="363">
      <c r="E363">
        <f>IFERROR(INDEX('הגדרות'!$D$104:$D$123,MATCH(B363&amp;G363&amp;C363,'הגדרות'!$A$104:$A$123&amp;'הגדרות'!$B$104:$B$123&amp;'הגדרות'!$C$104:$C$123,0)),"")</f>
        <v/>
      </c>
      <c r="F363" s="6" t="n"/>
      <c r="Q363">
        <f>IFERROR(VLOOKUP(M363,'הגדרות'!$A$11:$D$25,2,FALSE),"")</f>
        <v/>
      </c>
      <c r="R363">
        <f>IFERROR(VLOOKUP(M363,'הגדרות'!$A$11:$D$25,3,FALSE),"")</f>
        <v/>
      </c>
      <c r="S363">
        <f>IFERROR(VLOOKUP(N363,'הגדרות'!$A$11:$D$25,2,FALSE),"")</f>
        <v/>
      </c>
      <c r="T363">
        <f>IFERROR(VLOOKUP(N363,'הגדרות'!$A$11:$D$25,3,FALSE),"")</f>
        <v/>
      </c>
      <c r="AB363" s="6" t="n"/>
      <c r="AE363">
        <f>OR(Q363='לוח בקרה'!$B$2,R363='לוח בקרה'!$B$2,S363='לוח בקרה'!$B$2,T363='לוח בקרה'!$B$2)</f>
        <v/>
      </c>
      <c r="AF363">
        <f>AND(AE363,OR(AND(O363="כן",U363="כן"),AND(P363="כן",V363="כן")))</f>
        <v/>
      </c>
      <c r="AG363">
        <f>AND(AE363,OR(O363="כן",P363="כן"),NOT(OR(AND(O363="כן",U363="כן"),AND(P363="כן",V363="כן"))))</f>
        <v/>
      </c>
      <c r="AH363">
        <f>AND(AE363,OR(U363="כן",V363="כן"),NOT(OR(O363="כן",P363="כן")))</f>
        <v/>
      </c>
      <c r="AI363">
        <f>AND(X363="מושאל",AB363&lt;&gt;"",AB363&lt;TODAY())</f>
        <v/>
      </c>
    </row>
    <row r="364">
      <c r="E364">
        <f>IFERROR(INDEX('הגדרות'!$D$104:$D$123,MATCH(B364&amp;G364&amp;C364,'הגדרות'!$A$104:$A$123&amp;'הגדרות'!$B$104:$B$123&amp;'הגדרות'!$C$104:$C$123,0)),"")</f>
        <v/>
      </c>
      <c r="F364" s="6" t="n"/>
      <c r="Q364">
        <f>IFERROR(VLOOKUP(M364,'הגדרות'!$A$11:$D$25,2,FALSE),"")</f>
        <v/>
      </c>
      <c r="R364">
        <f>IFERROR(VLOOKUP(M364,'הגדרות'!$A$11:$D$25,3,FALSE),"")</f>
        <v/>
      </c>
      <c r="S364">
        <f>IFERROR(VLOOKUP(N364,'הגדרות'!$A$11:$D$25,2,FALSE),"")</f>
        <v/>
      </c>
      <c r="T364">
        <f>IFERROR(VLOOKUP(N364,'הגדרות'!$A$11:$D$25,3,FALSE),"")</f>
        <v/>
      </c>
      <c r="AB364" s="6" t="n"/>
      <c r="AE364">
        <f>OR(Q364='לוח בקרה'!$B$2,R364='לוח בקרה'!$B$2,S364='לוח בקרה'!$B$2,T364='לוח בקרה'!$B$2)</f>
        <v/>
      </c>
      <c r="AF364">
        <f>AND(AE364,OR(AND(O364="כן",U364="כן"),AND(P364="כן",V364="כן")))</f>
        <v/>
      </c>
      <c r="AG364">
        <f>AND(AE364,OR(O364="כן",P364="כן"),NOT(OR(AND(O364="כן",U364="כן"),AND(P364="כן",V364="כן"))))</f>
        <v/>
      </c>
      <c r="AH364">
        <f>AND(AE364,OR(U364="כן",V364="כן"),NOT(OR(O364="כן",P364="כן")))</f>
        <v/>
      </c>
      <c r="AI364">
        <f>AND(X364="מושאל",AB364&lt;&gt;"",AB364&lt;TODAY())</f>
        <v/>
      </c>
    </row>
    <row r="365">
      <c r="E365">
        <f>IFERROR(INDEX('הגדרות'!$D$104:$D$123,MATCH(B365&amp;G365&amp;C365,'הגדרות'!$A$104:$A$123&amp;'הגדרות'!$B$104:$B$123&amp;'הגדרות'!$C$104:$C$123,0)),"")</f>
        <v/>
      </c>
      <c r="F365" s="6" t="n"/>
      <c r="Q365">
        <f>IFERROR(VLOOKUP(M365,'הגדרות'!$A$11:$D$25,2,FALSE),"")</f>
        <v/>
      </c>
      <c r="R365">
        <f>IFERROR(VLOOKUP(M365,'הגדרות'!$A$11:$D$25,3,FALSE),"")</f>
        <v/>
      </c>
      <c r="S365">
        <f>IFERROR(VLOOKUP(N365,'הגדרות'!$A$11:$D$25,2,FALSE),"")</f>
        <v/>
      </c>
      <c r="T365">
        <f>IFERROR(VLOOKUP(N365,'הגדרות'!$A$11:$D$25,3,FALSE),"")</f>
        <v/>
      </c>
      <c r="AB365" s="6" t="n"/>
      <c r="AE365">
        <f>OR(Q365='לוח בקרה'!$B$2,R365='לוח בקרה'!$B$2,S365='לוח בקרה'!$B$2,T365='לוח בקרה'!$B$2)</f>
        <v/>
      </c>
      <c r="AF365">
        <f>AND(AE365,OR(AND(O365="כן",U365="כן"),AND(P365="כן",V365="כן")))</f>
        <v/>
      </c>
      <c r="AG365">
        <f>AND(AE365,OR(O365="כן",P365="כן"),NOT(OR(AND(O365="כן",U365="כן"),AND(P365="כן",V365="כן"))))</f>
        <v/>
      </c>
      <c r="AH365">
        <f>AND(AE365,OR(U365="כן",V365="כן"),NOT(OR(O365="כן",P365="כן")))</f>
        <v/>
      </c>
      <c r="AI365">
        <f>AND(X365="מושאל",AB365&lt;&gt;"",AB365&lt;TODAY())</f>
        <v/>
      </c>
    </row>
    <row r="366">
      <c r="E366">
        <f>IFERROR(INDEX('הגדרות'!$D$104:$D$123,MATCH(B366&amp;G366&amp;C366,'הגדרות'!$A$104:$A$123&amp;'הגדרות'!$B$104:$B$123&amp;'הגדרות'!$C$104:$C$123,0)),"")</f>
        <v/>
      </c>
      <c r="F366" s="6" t="n"/>
      <c r="Q366">
        <f>IFERROR(VLOOKUP(M366,'הגדרות'!$A$11:$D$25,2,FALSE),"")</f>
        <v/>
      </c>
      <c r="R366">
        <f>IFERROR(VLOOKUP(M366,'הגדרות'!$A$11:$D$25,3,FALSE),"")</f>
        <v/>
      </c>
      <c r="S366">
        <f>IFERROR(VLOOKUP(N366,'הגדרות'!$A$11:$D$25,2,FALSE),"")</f>
        <v/>
      </c>
      <c r="T366">
        <f>IFERROR(VLOOKUP(N366,'הגדרות'!$A$11:$D$25,3,FALSE),"")</f>
        <v/>
      </c>
      <c r="AB366" s="6" t="n"/>
      <c r="AE366">
        <f>OR(Q366='לוח בקרה'!$B$2,R366='לוח בקרה'!$B$2,S366='לוח בקרה'!$B$2,T366='לוח בקרה'!$B$2)</f>
        <v/>
      </c>
      <c r="AF366">
        <f>AND(AE366,OR(AND(O366="כן",U366="כן"),AND(P366="כן",V366="כן")))</f>
        <v/>
      </c>
      <c r="AG366">
        <f>AND(AE366,OR(O366="כן",P366="כן"),NOT(OR(AND(O366="כן",U366="כן"),AND(P366="כן",V366="כן"))))</f>
        <v/>
      </c>
      <c r="AH366">
        <f>AND(AE366,OR(U366="כן",V366="כן"),NOT(OR(O366="כן",P366="כן")))</f>
        <v/>
      </c>
      <c r="AI366">
        <f>AND(X366="מושאל",AB366&lt;&gt;"",AB366&lt;TODAY())</f>
        <v/>
      </c>
    </row>
    <row r="367">
      <c r="E367">
        <f>IFERROR(INDEX('הגדרות'!$D$104:$D$123,MATCH(B367&amp;G367&amp;C367,'הגדרות'!$A$104:$A$123&amp;'הגדרות'!$B$104:$B$123&amp;'הגדרות'!$C$104:$C$123,0)),"")</f>
        <v/>
      </c>
      <c r="F367" s="6" t="n"/>
      <c r="Q367">
        <f>IFERROR(VLOOKUP(M367,'הגדרות'!$A$11:$D$25,2,FALSE),"")</f>
        <v/>
      </c>
      <c r="R367">
        <f>IFERROR(VLOOKUP(M367,'הגדרות'!$A$11:$D$25,3,FALSE),"")</f>
        <v/>
      </c>
      <c r="S367">
        <f>IFERROR(VLOOKUP(N367,'הגדרות'!$A$11:$D$25,2,FALSE),"")</f>
        <v/>
      </c>
      <c r="T367">
        <f>IFERROR(VLOOKUP(N367,'הגדרות'!$A$11:$D$25,3,FALSE),"")</f>
        <v/>
      </c>
      <c r="AB367" s="6" t="n"/>
      <c r="AE367">
        <f>OR(Q367='לוח בקרה'!$B$2,R367='לוח בקרה'!$B$2,S367='לוח בקרה'!$B$2,T367='לוח בקרה'!$B$2)</f>
        <v/>
      </c>
      <c r="AF367">
        <f>AND(AE367,OR(AND(O367="כן",U367="כן"),AND(P367="כן",V367="כן")))</f>
        <v/>
      </c>
      <c r="AG367">
        <f>AND(AE367,OR(O367="כן",P367="כן"),NOT(OR(AND(O367="כן",U367="כן"),AND(P367="כן",V367="כן"))))</f>
        <v/>
      </c>
      <c r="AH367">
        <f>AND(AE367,OR(U367="כן",V367="כן"),NOT(OR(O367="כן",P367="כן")))</f>
        <v/>
      </c>
      <c r="AI367">
        <f>AND(X367="מושאל",AB367&lt;&gt;"",AB367&lt;TODAY())</f>
        <v/>
      </c>
    </row>
    <row r="368">
      <c r="E368">
        <f>IFERROR(INDEX('הגדרות'!$D$104:$D$123,MATCH(B368&amp;G368&amp;C368,'הגדרות'!$A$104:$A$123&amp;'הגדרות'!$B$104:$B$123&amp;'הגדרות'!$C$104:$C$123,0)),"")</f>
        <v/>
      </c>
      <c r="F368" s="6" t="n"/>
      <c r="Q368">
        <f>IFERROR(VLOOKUP(M368,'הגדרות'!$A$11:$D$25,2,FALSE),"")</f>
        <v/>
      </c>
      <c r="R368">
        <f>IFERROR(VLOOKUP(M368,'הגדרות'!$A$11:$D$25,3,FALSE),"")</f>
        <v/>
      </c>
      <c r="S368">
        <f>IFERROR(VLOOKUP(N368,'הגדרות'!$A$11:$D$25,2,FALSE),"")</f>
        <v/>
      </c>
      <c r="T368">
        <f>IFERROR(VLOOKUP(N368,'הגדרות'!$A$11:$D$25,3,FALSE),"")</f>
        <v/>
      </c>
      <c r="AB368" s="6" t="n"/>
      <c r="AE368">
        <f>OR(Q368='לוח בקרה'!$B$2,R368='לוח בקרה'!$B$2,S368='לוח בקרה'!$B$2,T368='לוח בקרה'!$B$2)</f>
        <v/>
      </c>
      <c r="AF368">
        <f>AND(AE368,OR(AND(O368="כן",U368="כן"),AND(P368="כן",V368="כן")))</f>
        <v/>
      </c>
      <c r="AG368">
        <f>AND(AE368,OR(O368="כן",P368="כן"),NOT(OR(AND(O368="כן",U368="כן"),AND(P368="כן",V368="כן"))))</f>
        <v/>
      </c>
      <c r="AH368">
        <f>AND(AE368,OR(U368="כן",V368="כן"),NOT(OR(O368="כן",P368="כן")))</f>
        <v/>
      </c>
      <c r="AI368">
        <f>AND(X368="מושאל",AB368&lt;&gt;"",AB368&lt;TODAY())</f>
        <v/>
      </c>
    </row>
    <row r="369">
      <c r="E369">
        <f>IFERROR(INDEX('הגדרות'!$D$104:$D$123,MATCH(B369&amp;G369&amp;C369,'הגדרות'!$A$104:$A$123&amp;'הגדרות'!$B$104:$B$123&amp;'הגדרות'!$C$104:$C$123,0)),"")</f>
        <v/>
      </c>
      <c r="F369" s="6" t="n"/>
      <c r="Q369">
        <f>IFERROR(VLOOKUP(M369,'הגדרות'!$A$11:$D$25,2,FALSE),"")</f>
        <v/>
      </c>
      <c r="R369">
        <f>IFERROR(VLOOKUP(M369,'הגדרות'!$A$11:$D$25,3,FALSE),"")</f>
        <v/>
      </c>
      <c r="S369">
        <f>IFERROR(VLOOKUP(N369,'הגדרות'!$A$11:$D$25,2,FALSE),"")</f>
        <v/>
      </c>
      <c r="T369">
        <f>IFERROR(VLOOKUP(N369,'הגדרות'!$A$11:$D$25,3,FALSE),"")</f>
        <v/>
      </c>
      <c r="AB369" s="6" t="n"/>
      <c r="AE369">
        <f>OR(Q369='לוח בקרה'!$B$2,R369='לוח בקרה'!$B$2,S369='לוח בקרה'!$B$2,T369='לוח בקרה'!$B$2)</f>
        <v/>
      </c>
      <c r="AF369">
        <f>AND(AE369,OR(AND(O369="כן",U369="כן"),AND(P369="כן",V369="כן")))</f>
        <v/>
      </c>
      <c r="AG369">
        <f>AND(AE369,OR(O369="כן",P369="כן"),NOT(OR(AND(O369="כן",U369="כן"),AND(P369="כן",V369="כן"))))</f>
        <v/>
      </c>
      <c r="AH369">
        <f>AND(AE369,OR(U369="כן",V369="כן"),NOT(OR(O369="כן",P369="כן")))</f>
        <v/>
      </c>
      <c r="AI369">
        <f>AND(X369="מושאל",AB369&lt;&gt;"",AB369&lt;TODAY())</f>
        <v/>
      </c>
    </row>
    <row r="370">
      <c r="E370">
        <f>IFERROR(INDEX('הגדרות'!$D$104:$D$123,MATCH(B370&amp;G370&amp;C370,'הגדרות'!$A$104:$A$123&amp;'הגדרות'!$B$104:$B$123&amp;'הגדרות'!$C$104:$C$123,0)),"")</f>
        <v/>
      </c>
      <c r="F370" s="6" t="n"/>
      <c r="Q370">
        <f>IFERROR(VLOOKUP(M370,'הגדרות'!$A$11:$D$25,2,FALSE),"")</f>
        <v/>
      </c>
      <c r="R370">
        <f>IFERROR(VLOOKUP(M370,'הגדרות'!$A$11:$D$25,3,FALSE),"")</f>
        <v/>
      </c>
      <c r="S370">
        <f>IFERROR(VLOOKUP(N370,'הגדרות'!$A$11:$D$25,2,FALSE),"")</f>
        <v/>
      </c>
      <c r="T370">
        <f>IFERROR(VLOOKUP(N370,'הגדרות'!$A$11:$D$25,3,FALSE),"")</f>
        <v/>
      </c>
      <c r="AB370" s="6" t="n"/>
      <c r="AE370">
        <f>OR(Q370='לוח בקרה'!$B$2,R370='לוח בקרה'!$B$2,S370='לוח בקרה'!$B$2,T370='לוח בקרה'!$B$2)</f>
        <v/>
      </c>
      <c r="AF370">
        <f>AND(AE370,OR(AND(O370="כן",U370="כן"),AND(P370="כן",V370="כן")))</f>
        <v/>
      </c>
      <c r="AG370">
        <f>AND(AE370,OR(O370="כן",P370="כן"),NOT(OR(AND(O370="כן",U370="כן"),AND(P370="כן",V370="כן"))))</f>
        <v/>
      </c>
      <c r="AH370">
        <f>AND(AE370,OR(U370="כן",V370="כן"),NOT(OR(O370="כן",P370="כן")))</f>
        <v/>
      </c>
      <c r="AI370">
        <f>AND(X370="מושאל",AB370&lt;&gt;"",AB370&lt;TODAY())</f>
        <v/>
      </c>
    </row>
    <row r="371">
      <c r="E371">
        <f>IFERROR(INDEX('הגדרות'!$D$104:$D$123,MATCH(B371&amp;G371&amp;C371,'הגדרות'!$A$104:$A$123&amp;'הגדרות'!$B$104:$B$123&amp;'הגדרות'!$C$104:$C$123,0)),"")</f>
        <v/>
      </c>
      <c r="F371" s="6" t="n"/>
      <c r="Q371">
        <f>IFERROR(VLOOKUP(M371,'הגדרות'!$A$11:$D$25,2,FALSE),"")</f>
        <v/>
      </c>
      <c r="R371">
        <f>IFERROR(VLOOKUP(M371,'הגדרות'!$A$11:$D$25,3,FALSE),"")</f>
        <v/>
      </c>
      <c r="S371">
        <f>IFERROR(VLOOKUP(N371,'הגדרות'!$A$11:$D$25,2,FALSE),"")</f>
        <v/>
      </c>
      <c r="T371">
        <f>IFERROR(VLOOKUP(N371,'הגדרות'!$A$11:$D$25,3,FALSE),"")</f>
        <v/>
      </c>
      <c r="AB371" s="6" t="n"/>
      <c r="AE371">
        <f>OR(Q371='לוח בקרה'!$B$2,R371='לוח בקרה'!$B$2,S371='לוח בקרה'!$B$2,T371='לוח בקרה'!$B$2)</f>
        <v/>
      </c>
      <c r="AF371">
        <f>AND(AE371,OR(AND(O371="כן",U371="כן"),AND(P371="כן",V371="כן")))</f>
        <v/>
      </c>
      <c r="AG371">
        <f>AND(AE371,OR(O371="כן",P371="כן"),NOT(OR(AND(O371="כן",U371="כן"),AND(P371="כן",V371="כן"))))</f>
        <v/>
      </c>
      <c r="AH371">
        <f>AND(AE371,OR(U371="כן",V371="כן"),NOT(OR(O371="כן",P371="כן")))</f>
        <v/>
      </c>
      <c r="AI371">
        <f>AND(X371="מושאל",AB371&lt;&gt;"",AB371&lt;TODAY())</f>
        <v/>
      </c>
    </row>
    <row r="372">
      <c r="E372">
        <f>IFERROR(INDEX('הגדרות'!$D$104:$D$123,MATCH(B372&amp;G372&amp;C372,'הגדרות'!$A$104:$A$123&amp;'הגדרות'!$B$104:$B$123&amp;'הגדרות'!$C$104:$C$123,0)),"")</f>
        <v/>
      </c>
      <c r="F372" s="6" t="n"/>
      <c r="Q372">
        <f>IFERROR(VLOOKUP(M372,'הגדרות'!$A$11:$D$25,2,FALSE),"")</f>
        <v/>
      </c>
      <c r="R372">
        <f>IFERROR(VLOOKUP(M372,'הגדרות'!$A$11:$D$25,3,FALSE),"")</f>
        <v/>
      </c>
      <c r="S372">
        <f>IFERROR(VLOOKUP(N372,'הגדרות'!$A$11:$D$25,2,FALSE),"")</f>
        <v/>
      </c>
      <c r="T372">
        <f>IFERROR(VLOOKUP(N372,'הגדרות'!$A$11:$D$25,3,FALSE),"")</f>
        <v/>
      </c>
      <c r="AB372" s="6" t="n"/>
      <c r="AE372">
        <f>OR(Q372='לוח בקרה'!$B$2,R372='לוח בקרה'!$B$2,S372='לוח בקרה'!$B$2,T372='לוח בקרה'!$B$2)</f>
        <v/>
      </c>
      <c r="AF372">
        <f>AND(AE372,OR(AND(O372="כן",U372="כן"),AND(P372="כן",V372="כן")))</f>
        <v/>
      </c>
      <c r="AG372">
        <f>AND(AE372,OR(O372="כן",P372="כן"),NOT(OR(AND(O372="כן",U372="כן"),AND(P372="כן",V372="כן"))))</f>
        <v/>
      </c>
      <c r="AH372">
        <f>AND(AE372,OR(U372="כן",V372="כן"),NOT(OR(O372="כן",P372="כן")))</f>
        <v/>
      </c>
      <c r="AI372">
        <f>AND(X372="מושאל",AB372&lt;&gt;"",AB372&lt;TODAY())</f>
        <v/>
      </c>
    </row>
    <row r="373">
      <c r="E373">
        <f>IFERROR(INDEX('הגדרות'!$D$104:$D$123,MATCH(B373&amp;G373&amp;C373,'הגדרות'!$A$104:$A$123&amp;'הגדרות'!$B$104:$B$123&amp;'הגדרות'!$C$104:$C$123,0)),"")</f>
        <v/>
      </c>
      <c r="F373" s="6" t="n"/>
      <c r="Q373">
        <f>IFERROR(VLOOKUP(M373,'הגדרות'!$A$11:$D$25,2,FALSE),"")</f>
        <v/>
      </c>
      <c r="R373">
        <f>IFERROR(VLOOKUP(M373,'הגדרות'!$A$11:$D$25,3,FALSE),"")</f>
        <v/>
      </c>
      <c r="S373">
        <f>IFERROR(VLOOKUP(N373,'הגדרות'!$A$11:$D$25,2,FALSE),"")</f>
        <v/>
      </c>
      <c r="T373">
        <f>IFERROR(VLOOKUP(N373,'הגדרות'!$A$11:$D$25,3,FALSE),"")</f>
        <v/>
      </c>
      <c r="AB373" s="6" t="n"/>
      <c r="AE373">
        <f>OR(Q373='לוח בקרה'!$B$2,R373='לוח בקרה'!$B$2,S373='לוח בקרה'!$B$2,T373='לוח בקרה'!$B$2)</f>
        <v/>
      </c>
      <c r="AF373">
        <f>AND(AE373,OR(AND(O373="כן",U373="כן"),AND(P373="כן",V373="כן")))</f>
        <v/>
      </c>
      <c r="AG373">
        <f>AND(AE373,OR(O373="כן",P373="כן"),NOT(OR(AND(O373="כן",U373="כן"),AND(P373="כן",V373="כן"))))</f>
        <v/>
      </c>
      <c r="AH373">
        <f>AND(AE373,OR(U373="כן",V373="כן"),NOT(OR(O373="כן",P373="כן")))</f>
        <v/>
      </c>
      <c r="AI373">
        <f>AND(X373="מושאל",AB373&lt;&gt;"",AB373&lt;TODAY())</f>
        <v/>
      </c>
    </row>
    <row r="374">
      <c r="E374">
        <f>IFERROR(INDEX('הגדרות'!$D$104:$D$123,MATCH(B374&amp;G374&amp;C374,'הגדרות'!$A$104:$A$123&amp;'הגדרות'!$B$104:$B$123&amp;'הגדרות'!$C$104:$C$123,0)),"")</f>
        <v/>
      </c>
      <c r="F374" s="6" t="n"/>
      <c r="Q374">
        <f>IFERROR(VLOOKUP(M374,'הגדרות'!$A$11:$D$25,2,FALSE),"")</f>
        <v/>
      </c>
      <c r="R374">
        <f>IFERROR(VLOOKUP(M374,'הגדרות'!$A$11:$D$25,3,FALSE),"")</f>
        <v/>
      </c>
      <c r="S374">
        <f>IFERROR(VLOOKUP(N374,'הגדרות'!$A$11:$D$25,2,FALSE),"")</f>
        <v/>
      </c>
      <c r="T374">
        <f>IFERROR(VLOOKUP(N374,'הגדרות'!$A$11:$D$25,3,FALSE),"")</f>
        <v/>
      </c>
      <c r="AB374" s="6" t="n"/>
      <c r="AE374">
        <f>OR(Q374='לוח בקרה'!$B$2,R374='לוח בקרה'!$B$2,S374='לוח בקרה'!$B$2,T374='לוח בקרה'!$B$2)</f>
        <v/>
      </c>
      <c r="AF374">
        <f>AND(AE374,OR(AND(O374="כן",U374="כן"),AND(P374="כן",V374="כן")))</f>
        <v/>
      </c>
      <c r="AG374">
        <f>AND(AE374,OR(O374="כן",P374="כן"),NOT(OR(AND(O374="כן",U374="כן"),AND(P374="כן",V374="כן"))))</f>
        <v/>
      </c>
      <c r="AH374">
        <f>AND(AE374,OR(U374="כן",V374="כן"),NOT(OR(O374="כן",P374="כן")))</f>
        <v/>
      </c>
      <c r="AI374">
        <f>AND(X374="מושאל",AB374&lt;&gt;"",AB374&lt;TODAY())</f>
        <v/>
      </c>
    </row>
    <row r="375">
      <c r="E375">
        <f>IFERROR(INDEX('הגדרות'!$D$104:$D$123,MATCH(B375&amp;G375&amp;C375,'הגדרות'!$A$104:$A$123&amp;'הגדרות'!$B$104:$B$123&amp;'הגדרות'!$C$104:$C$123,0)),"")</f>
        <v/>
      </c>
      <c r="F375" s="6" t="n"/>
      <c r="Q375">
        <f>IFERROR(VLOOKUP(M375,'הגדרות'!$A$11:$D$25,2,FALSE),"")</f>
        <v/>
      </c>
      <c r="R375">
        <f>IFERROR(VLOOKUP(M375,'הגדרות'!$A$11:$D$25,3,FALSE),"")</f>
        <v/>
      </c>
      <c r="S375">
        <f>IFERROR(VLOOKUP(N375,'הגדרות'!$A$11:$D$25,2,FALSE),"")</f>
        <v/>
      </c>
      <c r="T375">
        <f>IFERROR(VLOOKUP(N375,'הגדרות'!$A$11:$D$25,3,FALSE),"")</f>
        <v/>
      </c>
      <c r="AB375" s="6" t="n"/>
      <c r="AE375">
        <f>OR(Q375='לוח בקרה'!$B$2,R375='לוח בקרה'!$B$2,S375='לוח בקרה'!$B$2,T375='לוח בקרה'!$B$2)</f>
        <v/>
      </c>
      <c r="AF375">
        <f>AND(AE375,OR(AND(O375="כן",U375="כן"),AND(P375="כן",V375="כן")))</f>
        <v/>
      </c>
      <c r="AG375">
        <f>AND(AE375,OR(O375="כן",P375="כן"),NOT(OR(AND(O375="כן",U375="כן"),AND(P375="כן",V375="כן"))))</f>
        <v/>
      </c>
      <c r="AH375">
        <f>AND(AE375,OR(U375="כן",V375="כן"),NOT(OR(O375="כן",P375="כן")))</f>
        <v/>
      </c>
      <c r="AI375">
        <f>AND(X375="מושאל",AB375&lt;&gt;"",AB375&lt;TODAY())</f>
        <v/>
      </c>
    </row>
    <row r="376">
      <c r="E376">
        <f>IFERROR(INDEX('הגדרות'!$D$104:$D$123,MATCH(B376&amp;G376&amp;C376,'הגדרות'!$A$104:$A$123&amp;'הגדרות'!$B$104:$B$123&amp;'הגדרות'!$C$104:$C$123,0)),"")</f>
        <v/>
      </c>
      <c r="F376" s="6" t="n"/>
      <c r="Q376">
        <f>IFERROR(VLOOKUP(M376,'הגדרות'!$A$11:$D$25,2,FALSE),"")</f>
        <v/>
      </c>
      <c r="R376">
        <f>IFERROR(VLOOKUP(M376,'הגדרות'!$A$11:$D$25,3,FALSE),"")</f>
        <v/>
      </c>
      <c r="S376">
        <f>IFERROR(VLOOKUP(N376,'הגדרות'!$A$11:$D$25,2,FALSE),"")</f>
        <v/>
      </c>
      <c r="T376">
        <f>IFERROR(VLOOKUP(N376,'הגדרות'!$A$11:$D$25,3,FALSE),"")</f>
        <v/>
      </c>
      <c r="AB376" s="6" t="n"/>
      <c r="AE376">
        <f>OR(Q376='לוח בקרה'!$B$2,R376='לוח בקרה'!$B$2,S376='לוח בקרה'!$B$2,T376='לוח בקרה'!$B$2)</f>
        <v/>
      </c>
      <c r="AF376">
        <f>AND(AE376,OR(AND(O376="כן",U376="כן"),AND(P376="כן",V376="כן")))</f>
        <v/>
      </c>
      <c r="AG376">
        <f>AND(AE376,OR(O376="כן",P376="כן"),NOT(OR(AND(O376="כן",U376="כן"),AND(P376="כן",V376="כן"))))</f>
        <v/>
      </c>
      <c r="AH376">
        <f>AND(AE376,OR(U376="כן",V376="כן"),NOT(OR(O376="כן",P376="כן")))</f>
        <v/>
      </c>
      <c r="AI376">
        <f>AND(X376="מושאל",AB376&lt;&gt;"",AB376&lt;TODAY())</f>
        <v/>
      </c>
    </row>
    <row r="377">
      <c r="E377">
        <f>IFERROR(INDEX('הגדרות'!$D$104:$D$123,MATCH(B377&amp;G377&amp;C377,'הגדרות'!$A$104:$A$123&amp;'הגדרות'!$B$104:$B$123&amp;'הגדרות'!$C$104:$C$123,0)),"")</f>
        <v/>
      </c>
      <c r="F377" s="6" t="n"/>
      <c r="Q377">
        <f>IFERROR(VLOOKUP(M377,'הגדרות'!$A$11:$D$25,2,FALSE),"")</f>
        <v/>
      </c>
      <c r="R377">
        <f>IFERROR(VLOOKUP(M377,'הגדרות'!$A$11:$D$25,3,FALSE),"")</f>
        <v/>
      </c>
      <c r="S377">
        <f>IFERROR(VLOOKUP(N377,'הגדרות'!$A$11:$D$25,2,FALSE),"")</f>
        <v/>
      </c>
      <c r="T377">
        <f>IFERROR(VLOOKUP(N377,'הגדרות'!$A$11:$D$25,3,FALSE),"")</f>
        <v/>
      </c>
      <c r="AB377" s="6" t="n"/>
      <c r="AE377">
        <f>OR(Q377='לוח בקרה'!$B$2,R377='לוח בקרה'!$B$2,S377='לוח בקרה'!$B$2,T377='לוח בקרה'!$B$2)</f>
        <v/>
      </c>
      <c r="AF377">
        <f>AND(AE377,OR(AND(O377="כן",U377="כן"),AND(P377="כן",V377="כן")))</f>
        <v/>
      </c>
      <c r="AG377">
        <f>AND(AE377,OR(O377="כן",P377="כן"),NOT(OR(AND(O377="כן",U377="כן"),AND(P377="כן",V377="כן"))))</f>
        <v/>
      </c>
      <c r="AH377">
        <f>AND(AE377,OR(U377="כן",V377="כן"),NOT(OR(O377="כן",P377="כן")))</f>
        <v/>
      </c>
      <c r="AI377">
        <f>AND(X377="מושאל",AB377&lt;&gt;"",AB377&lt;TODAY())</f>
        <v/>
      </c>
    </row>
    <row r="378">
      <c r="E378">
        <f>IFERROR(INDEX('הגדרות'!$D$104:$D$123,MATCH(B378&amp;G378&amp;C378,'הגדרות'!$A$104:$A$123&amp;'הגדרות'!$B$104:$B$123&amp;'הגדרות'!$C$104:$C$123,0)),"")</f>
        <v/>
      </c>
      <c r="F378" s="6" t="n"/>
      <c r="Q378">
        <f>IFERROR(VLOOKUP(M378,'הגדרות'!$A$11:$D$25,2,FALSE),"")</f>
        <v/>
      </c>
      <c r="R378">
        <f>IFERROR(VLOOKUP(M378,'הגדרות'!$A$11:$D$25,3,FALSE),"")</f>
        <v/>
      </c>
      <c r="S378">
        <f>IFERROR(VLOOKUP(N378,'הגדרות'!$A$11:$D$25,2,FALSE),"")</f>
        <v/>
      </c>
      <c r="T378">
        <f>IFERROR(VLOOKUP(N378,'הגדרות'!$A$11:$D$25,3,FALSE),"")</f>
        <v/>
      </c>
      <c r="AB378" s="6" t="n"/>
      <c r="AE378">
        <f>OR(Q378='לוח בקרה'!$B$2,R378='לוח בקרה'!$B$2,S378='לוח בקרה'!$B$2,T378='לוח בקרה'!$B$2)</f>
        <v/>
      </c>
      <c r="AF378">
        <f>AND(AE378,OR(AND(O378="כן",U378="כן"),AND(P378="כן",V378="כן")))</f>
        <v/>
      </c>
      <c r="AG378">
        <f>AND(AE378,OR(O378="כן",P378="כן"),NOT(OR(AND(O378="כן",U378="כן"),AND(P378="כן",V378="כן"))))</f>
        <v/>
      </c>
      <c r="AH378">
        <f>AND(AE378,OR(U378="כן",V378="כן"),NOT(OR(O378="כן",P378="כן")))</f>
        <v/>
      </c>
      <c r="AI378">
        <f>AND(X378="מושאל",AB378&lt;&gt;"",AB378&lt;TODAY())</f>
        <v/>
      </c>
    </row>
    <row r="379">
      <c r="E379">
        <f>IFERROR(INDEX('הגדרות'!$D$104:$D$123,MATCH(B379&amp;G379&amp;C379,'הגדרות'!$A$104:$A$123&amp;'הגדרות'!$B$104:$B$123&amp;'הגדרות'!$C$104:$C$123,0)),"")</f>
        <v/>
      </c>
      <c r="F379" s="6" t="n"/>
      <c r="Q379">
        <f>IFERROR(VLOOKUP(M379,'הגדרות'!$A$11:$D$25,2,FALSE),"")</f>
        <v/>
      </c>
      <c r="R379">
        <f>IFERROR(VLOOKUP(M379,'הגדרות'!$A$11:$D$25,3,FALSE),"")</f>
        <v/>
      </c>
      <c r="S379">
        <f>IFERROR(VLOOKUP(N379,'הגדרות'!$A$11:$D$25,2,FALSE),"")</f>
        <v/>
      </c>
      <c r="T379">
        <f>IFERROR(VLOOKUP(N379,'הגדרות'!$A$11:$D$25,3,FALSE),"")</f>
        <v/>
      </c>
      <c r="AB379" s="6" t="n"/>
      <c r="AE379">
        <f>OR(Q379='לוח בקרה'!$B$2,R379='לוח בקרה'!$B$2,S379='לוח בקרה'!$B$2,T379='לוח בקרה'!$B$2)</f>
        <v/>
      </c>
      <c r="AF379">
        <f>AND(AE379,OR(AND(O379="כן",U379="כן"),AND(P379="כן",V379="כן")))</f>
        <v/>
      </c>
      <c r="AG379">
        <f>AND(AE379,OR(O379="כן",P379="כן"),NOT(OR(AND(O379="כן",U379="כן"),AND(P379="כן",V379="כן"))))</f>
        <v/>
      </c>
      <c r="AH379">
        <f>AND(AE379,OR(U379="כן",V379="כן"),NOT(OR(O379="כן",P379="כן")))</f>
        <v/>
      </c>
      <c r="AI379">
        <f>AND(X379="מושאל",AB379&lt;&gt;"",AB379&lt;TODAY())</f>
        <v/>
      </c>
    </row>
    <row r="380">
      <c r="E380">
        <f>IFERROR(INDEX('הגדרות'!$D$104:$D$123,MATCH(B380&amp;G380&amp;C380,'הגדרות'!$A$104:$A$123&amp;'הגדרות'!$B$104:$B$123&amp;'הגדרות'!$C$104:$C$123,0)),"")</f>
        <v/>
      </c>
      <c r="F380" s="6" t="n"/>
      <c r="Q380">
        <f>IFERROR(VLOOKUP(M380,'הגדרות'!$A$11:$D$25,2,FALSE),"")</f>
        <v/>
      </c>
      <c r="R380">
        <f>IFERROR(VLOOKUP(M380,'הגדרות'!$A$11:$D$25,3,FALSE),"")</f>
        <v/>
      </c>
      <c r="S380">
        <f>IFERROR(VLOOKUP(N380,'הגדרות'!$A$11:$D$25,2,FALSE),"")</f>
        <v/>
      </c>
      <c r="T380">
        <f>IFERROR(VLOOKUP(N380,'הגדרות'!$A$11:$D$25,3,FALSE),"")</f>
        <v/>
      </c>
      <c r="AB380" s="6" t="n"/>
      <c r="AE380">
        <f>OR(Q380='לוח בקרה'!$B$2,R380='לוח בקרה'!$B$2,S380='לוח בקרה'!$B$2,T380='לוח בקרה'!$B$2)</f>
        <v/>
      </c>
      <c r="AF380">
        <f>AND(AE380,OR(AND(O380="כן",U380="כן"),AND(P380="כן",V380="כן")))</f>
        <v/>
      </c>
      <c r="AG380">
        <f>AND(AE380,OR(O380="כן",P380="כן"),NOT(OR(AND(O380="כן",U380="כן"),AND(P380="כן",V380="כן"))))</f>
        <v/>
      </c>
      <c r="AH380">
        <f>AND(AE380,OR(U380="כן",V380="כן"),NOT(OR(O380="כן",P380="כן")))</f>
        <v/>
      </c>
      <c r="AI380">
        <f>AND(X380="מושאל",AB380&lt;&gt;"",AB380&lt;TODAY())</f>
        <v/>
      </c>
    </row>
    <row r="381">
      <c r="E381">
        <f>IFERROR(INDEX('הגדרות'!$D$104:$D$123,MATCH(B381&amp;G381&amp;C381,'הגדרות'!$A$104:$A$123&amp;'הגדרות'!$B$104:$B$123&amp;'הגדרות'!$C$104:$C$123,0)),"")</f>
        <v/>
      </c>
      <c r="F381" s="6" t="n"/>
      <c r="Q381">
        <f>IFERROR(VLOOKUP(M381,'הגדרות'!$A$11:$D$25,2,FALSE),"")</f>
        <v/>
      </c>
      <c r="R381">
        <f>IFERROR(VLOOKUP(M381,'הגדרות'!$A$11:$D$25,3,FALSE),"")</f>
        <v/>
      </c>
      <c r="S381">
        <f>IFERROR(VLOOKUP(N381,'הגדרות'!$A$11:$D$25,2,FALSE),"")</f>
        <v/>
      </c>
      <c r="T381">
        <f>IFERROR(VLOOKUP(N381,'הגדרות'!$A$11:$D$25,3,FALSE),"")</f>
        <v/>
      </c>
      <c r="AB381" s="6" t="n"/>
      <c r="AE381">
        <f>OR(Q381='לוח בקרה'!$B$2,R381='לוח בקרה'!$B$2,S381='לוח בקרה'!$B$2,T381='לוח בקרה'!$B$2)</f>
        <v/>
      </c>
      <c r="AF381">
        <f>AND(AE381,OR(AND(O381="כן",U381="כן"),AND(P381="כן",V381="כן")))</f>
        <v/>
      </c>
      <c r="AG381">
        <f>AND(AE381,OR(O381="כן",P381="כן"),NOT(OR(AND(O381="כן",U381="כן"),AND(P381="כן",V381="כן"))))</f>
        <v/>
      </c>
      <c r="AH381">
        <f>AND(AE381,OR(U381="כן",V381="כן"),NOT(OR(O381="כן",P381="כן")))</f>
        <v/>
      </c>
      <c r="AI381">
        <f>AND(X381="מושאל",AB381&lt;&gt;"",AB381&lt;TODAY())</f>
        <v/>
      </c>
    </row>
    <row r="382">
      <c r="E382">
        <f>IFERROR(INDEX('הגדרות'!$D$104:$D$123,MATCH(B382&amp;G382&amp;C382,'הגדרות'!$A$104:$A$123&amp;'הגדרות'!$B$104:$B$123&amp;'הגדרות'!$C$104:$C$123,0)),"")</f>
        <v/>
      </c>
      <c r="F382" s="6" t="n"/>
      <c r="Q382">
        <f>IFERROR(VLOOKUP(M382,'הגדרות'!$A$11:$D$25,2,FALSE),"")</f>
        <v/>
      </c>
      <c r="R382">
        <f>IFERROR(VLOOKUP(M382,'הגדרות'!$A$11:$D$25,3,FALSE),"")</f>
        <v/>
      </c>
      <c r="S382">
        <f>IFERROR(VLOOKUP(N382,'הגדרות'!$A$11:$D$25,2,FALSE),"")</f>
        <v/>
      </c>
      <c r="T382">
        <f>IFERROR(VLOOKUP(N382,'הגדרות'!$A$11:$D$25,3,FALSE),"")</f>
        <v/>
      </c>
      <c r="AB382" s="6" t="n"/>
      <c r="AE382">
        <f>OR(Q382='לוח בקרה'!$B$2,R382='לוח בקרה'!$B$2,S382='לוח בקרה'!$B$2,T382='לוח בקרה'!$B$2)</f>
        <v/>
      </c>
      <c r="AF382">
        <f>AND(AE382,OR(AND(O382="כן",U382="כן"),AND(P382="כן",V382="כן")))</f>
        <v/>
      </c>
      <c r="AG382">
        <f>AND(AE382,OR(O382="כן",P382="כן"),NOT(OR(AND(O382="כן",U382="כן"),AND(P382="כן",V382="כן"))))</f>
        <v/>
      </c>
      <c r="AH382">
        <f>AND(AE382,OR(U382="כן",V382="כן"),NOT(OR(O382="כן",P382="כן")))</f>
        <v/>
      </c>
      <c r="AI382">
        <f>AND(X382="מושאל",AB382&lt;&gt;"",AB382&lt;TODAY())</f>
        <v/>
      </c>
    </row>
    <row r="383">
      <c r="E383">
        <f>IFERROR(INDEX('הגדרות'!$D$104:$D$123,MATCH(B383&amp;G383&amp;C383,'הגדרות'!$A$104:$A$123&amp;'הגדרות'!$B$104:$B$123&amp;'הגדרות'!$C$104:$C$123,0)),"")</f>
        <v/>
      </c>
      <c r="F383" s="6" t="n"/>
      <c r="Q383">
        <f>IFERROR(VLOOKUP(M383,'הגדרות'!$A$11:$D$25,2,FALSE),"")</f>
        <v/>
      </c>
      <c r="R383">
        <f>IFERROR(VLOOKUP(M383,'הגדרות'!$A$11:$D$25,3,FALSE),"")</f>
        <v/>
      </c>
      <c r="S383">
        <f>IFERROR(VLOOKUP(N383,'הגדרות'!$A$11:$D$25,2,FALSE),"")</f>
        <v/>
      </c>
      <c r="T383">
        <f>IFERROR(VLOOKUP(N383,'הגדרות'!$A$11:$D$25,3,FALSE),"")</f>
        <v/>
      </c>
      <c r="AB383" s="6" t="n"/>
      <c r="AE383">
        <f>OR(Q383='לוח בקרה'!$B$2,R383='לוח בקרה'!$B$2,S383='לוח בקרה'!$B$2,T383='לוח בקרה'!$B$2)</f>
        <v/>
      </c>
      <c r="AF383">
        <f>AND(AE383,OR(AND(O383="כן",U383="כן"),AND(P383="כן",V383="כן")))</f>
        <v/>
      </c>
      <c r="AG383">
        <f>AND(AE383,OR(O383="כן",P383="כן"),NOT(OR(AND(O383="כן",U383="כן"),AND(P383="כן",V383="כן"))))</f>
        <v/>
      </c>
      <c r="AH383">
        <f>AND(AE383,OR(U383="כן",V383="כן"),NOT(OR(O383="כן",P383="כן")))</f>
        <v/>
      </c>
      <c r="AI383">
        <f>AND(X383="מושאל",AB383&lt;&gt;"",AB383&lt;TODAY())</f>
        <v/>
      </c>
    </row>
    <row r="384">
      <c r="E384">
        <f>IFERROR(INDEX('הגדרות'!$D$104:$D$123,MATCH(B384&amp;G384&amp;C384,'הגדרות'!$A$104:$A$123&amp;'הגדרות'!$B$104:$B$123&amp;'הגדרות'!$C$104:$C$123,0)),"")</f>
        <v/>
      </c>
      <c r="F384" s="6" t="n"/>
      <c r="Q384">
        <f>IFERROR(VLOOKUP(M384,'הגדרות'!$A$11:$D$25,2,FALSE),"")</f>
        <v/>
      </c>
      <c r="R384">
        <f>IFERROR(VLOOKUP(M384,'הגדרות'!$A$11:$D$25,3,FALSE),"")</f>
        <v/>
      </c>
      <c r="S384">
        <f>IFERROR(VLOOKUP(N384,'הגדרות'!$A$11:$D$25,2,FALSE),"")</f>
        <v/>
      </c>
      <c r="T384">
        <f>IFERROR(VLOOKUP(N384,'הגדרות'!$A$11:$D$25,3,FALSE),"")</f>
        <v/>
      </c>
      <c r="AB384" s="6" t="n"/>
      <c r="AE384">
        <f>OR(Q384='לוח בקרה'!$B$2,R384='לוח בקרה'!$B$2,S384='לוח בקרה'!$B$2,T384='לוח בקרה'!$B$2)</f>
        <v/>
      </c>
      <c r="AF384">
        <f>AND(AE384,OR(AND(O384="כן",U384="כן"),AND(P384="כן",V384="כן")))</f>
        <v/>
      </c>
      <c r="AG384">
        <f>AND(AE384,OR(O384="כן",P384="כן"),NOT(OR(AND(O384="כן",U384="כן"),AND(P384="כן",V384="כן"))))</f>
        <v/>
      </c>
      <c r="AH384">
        <f>AND(AE384,OR(U384="כן",V384="כן"),NOT(OR(O384="כן",P384="כן")))</f>
        <v/>
      </c>
      <c r="AI384">
        <f>AND(X384="מושאל",AB384&lt;&gt;"",AB384&lt;TODAY())</f>
        <v/>
      </c>
    </row>
    <row r="385">
      <c r="E385">
        <f>IFERROR(INDEX('הגדרות'!$D$104:$D$123,MATCH(B385&amp;G385&amp;C385,'הגדרות'!$A$104:$A$123&amp;'הגדרות'!$B$104:$B$123&amp;'הגדרות'!$C$104:$C$123,0)),"")</f>
        <v/>
      </c>
      <c r="F385" s="6" t="n"/>
      <c r="Q385">
        <f>IFERROR(VLOOKUP(M385,'הגדרות'!$A$11:$D$25,2,FALSE),"")</f>
        <v/>
      </c>
      <c r="R385">
        <f>IFERROR(VLOOKUP(M385,'הגדרות'!$A$11:$D$25,3,FALSE),"")</f>
        <v/>
      </c>
      <c r="S385">
        <f>IFERROR(VLOOKUP(N385,'הגדרות'!$A$11:$D$25,2,FALSE),"")</f>
        <v/>
      </c>
      <c r="T385">
        <f>IFERROR(VLOOKUP(N385,'הגדרות'!$A$11:$D$25,3,FALSE),"")</f>
        <v/>
      </c>
      <c r="AB385" s="6" t="n"/>
      <c r="AE385">
        <f>OR(Q385='לוח בקרה'!$B$2,R385='לוח בקרה'!$B$2,S385='לוח בקרה'!$B$2,T385='לוח בקרה'!$B$2)</f>
        <v/>
      </c>
      <c r="AF385">
        <f>AND(AE385,OR(AND(O385="כן",U385="כן"),AND(P385="כן",V385="כן")))</f>
        <v/>
      </c>
      <c r="AG385">
        <f>AND(AE385,OR(O385="כן",P385="כן"),NOT(OR(AND(O385="כן",U385="כן"),AND(P385="כן",V385="כן"))))</f>
        <v/>
      </c>
      <c r="AH385">
        <f>AND(AE385,OR(U385="כן",V385="כן"),NOT(OR(O385="כן",P385="כן")))</f>
        <v/>
      </c>
      <c r="AI385">
        <f>AND(X385="מושאל",AB385&lt;&gt;"",AB385&lt;TODAY())</f>
        <v/>
      </c>
    </row>
    <row r="386">
      <c r="E386">
        <f>IFERROR(INDEX('הגדרות'!$D$104:$D$123,MATCH(B386&amp;G386&amp;C386,'הגדרות'!$A$104:$A$123&amp;'הגדרות'!$B$104:$B$123&amp;'הגדרות'!$C$104:$C$123,0)),"")</f>
        <v/>
      </c>
      <c r="F386" s="6" t="n"/>
      <c r="Q386">
        <f>IFERROR(VLOOKUP(M386,'הגדרות'!$A$11:$D$25,2,FALSE),"")</f>
        <v/>
      </c>
      <c r="R386">
        <f>IFERROR(VLOOKUP(M386,'הגדרות'!$A$11:$D$25,3,FALSE),"")</f>
        <v/>
      </c>
      <c r="S386">
        <f>IFERROR(VLOOKUP(N386,'הגדרות'!$A$11:$D$25,2,FALSE),"")</f>
        <v/>
      </c>
      <c r="T386">
        <f>IFERROR(VLOOKUP(N386,'הגדרות'!$A$11:$D$25,3,FALSE),"")</f>
        <v/>
      </c>
      <c r="AB386" s="6" t="n"/>
      <c r="AE386">
        <f>OR(Q386='לוח בקרה'!$B$2,R386='לוח בקרה'!$B$2,S386='לוח בקרה'!$B$2,T386='לוח בקרה'!$B$2)</f>
        <v/>
      </c>
      <c r="AF386">
        <f>AND(AE386,OR(AND(O386="כן",U386="כן"),AND(P386="כן",V386="כן")))</f>
        <v/>
      </c>
      <c r="AG386">
        <f>AND(AE386,OR(O386="כן",P386="כן"),NOT(OR(AND(O386="כן",U386="כן"),AND(P386="כן",V386="כן"))))</f>
        <v/>
      </c>
      <c r="AH386">
        <f>AND(AE386,OR(U386="כן",V386="כן"),NOT(OR(O386="כן",P386="כן")))</f>
        <v/>
      </c>
      <c r="AI386">
        <f>AND(X386="מושאל",AB386&lt;&gt;"",AB386&lt;TODAY())</f>
        <v/>
      </c>
    </row>
    <row r="387">
      <c r="E387">
        <f>IFERROR(INDEX('הגדרות'!$D$104:$D$123,MATCH(B387&amp;G387&amp;C387,'הגדרות'!$A$104:$A$123&amp;'הגדרות'!$B$104:$B$123&amp;'הגדרות'!$C$104:$C$123,0)),"")</f>
        <v/>
      </c>
      <c r="F387" s="6" t="n"/>
      <c r="Q387">
        <f>IFERROR(VLOOKUP(M387,'הגדרות'!$A$11:$D$25,2,FALSE),"")</f>
        <v/>
      </c>
      <c r="R387">
        <f>IFERROR(VLOOKUP(M387,'הגדרות'!$A$11:$D$25,3,FALSE),"")</f>
        <v/>
      </c>
      <c r="S387">
        <f>IFERROR(VLOOKUP(N387,'הגדרות'!$A$11:$D$25,2,FALSE),"")</f>
        <v/>
      </c>
      <c r="T387">
        <f>IFERROR(VLOOKUP(N387,'הגדרות'!$A$11:$D$25,3,FALSE),"")</f>
        <v/>
      </c>
      <c r="AB387" s="6" t="n"/>
      <c r="AE387">
        <f>OR(Q387='לוח בקרה'!$B$2,R387='לוח בקרה'!$B$2,S387='לוח בקרה'!$B$2,T387='לוח בקרה'!$B$2)</f>
        <v/>
      </c>
      <c r="AF387">
        <f>AND(AE387,OR(AND(O387="כן",U387="כן"),AND(P387="כן",V387="כן")))</f>
        <v/>
      </c>
      <c r="AG387">
        <f>AND(AE387,OR(O387="כן",P387="כן"),NOT(OR(AND(O387="כן",U387="כן"),AND(P387="כן",V387="כן"))))</f>
        <v/>
      </c>
      <c r="AH387">
        <f>AND(AE387,OR(U387="כן",V387="כן"),NOT(OR(O387="כן",P387="כן")))</f>
        <v/>
      </c>
      <c r="AI387">
        <f>AND(X387="מושאל",AB387&lt;&gt;"",AB387&lt;TODAY())</f>
        <v/>
      </c>
    </row>
    <row r="388">
      <c r="E388">
        <f>IFERROR(INDEX('הגדרות'!$D$104:$D$123,MATCH(B388&amp;G388&amp;C388,'הגדרות'!$A$104:$A$123&amp;'הגדרות'!$B$104:$B$123&amp;'הגדרות'!$C$104:$C$123,0)),"")</f>
        <v/>
      </c>
      <c r="F388" s="6" t="n"/>
      <c r="Q388">
        <f>IFERROR(VLOOKUP(M388,'הגדרות'!$A$11:$D$25,2,FALSE),"")</f>
        <v/>
      </c>
      <c r="R388">
        <f>IFERROR(VLOOKUP(M388,'הגדרות'!$A$11:$D$25,3,FALSE),"")</f>
        <v/>
      </c>
      <c r="S388">
        <f>IFERROR(VLOOKUP(N388,'הגדרות'!$A$11:$D$25,2,FALSE),"")</f>
        <v/>
      </c>
      <c r="T388">
        <f>IFERROR(VLOOKUP(N388,'הגדרות'!$A$11:$D$25,3,FALSE),"")</f>
        <v/>
      </c>
      <c r="AB388" s="6" t="n"/>
      <c r="AE388">
        <f>OR(Q388='לוח בקרה'!$B$2,R388='לוח בקרה'!$B$2,S388='לוח בקרה'!$B$2,T388='לוח בקרה'!$B$2)</f>
        <v/>
      </c>
      <c r="AF388">
        <f>AND(AE388,OR(AND(O388="כן",U388="כן"),AND(P388="כן",V388="כן")))</f>
        <v/>
      </c>
      <c r="AG388">
        <f>AND(AE388,OR(O388="כן",P388="כן"),NOT(OR(AND(O388="כן",U388="כן"),AND(P388="כן",V388="כן"))))</f>
        <v/>
      </c>
      <c r="AH388">
        <f>AND(AE388,OR(U388="כן",V388="כן"),NOT(OR(O388="כן",P388="כן")))</f>
        <v/>
      </c>
      <c r="AI388">
        <f>AND(X388="מושאל",AB388&lt;&gt;"",AB388&lt;TODAY())</f>
        <v/>
      </c>
    </row>
    <row r="389">
      <c r="E389">
        <f>IFERROR(INDEX('הגדרות'!$D$104:$D$123,MATCH(B389&amp;G389&amp;C389,'הגדרות'!$A$104:$A$123&amp;'הגדרות'!$B$104:$B$123&amp;'הגדרות'!$C$104:$C$123,0)),"")</f>
        <v/>
      </c>
      <c r="F389" s="6" t="n"/>
      <c r="Q389">
        <f>IFERROR(VLOOKUP(M389,'הגדרות'!$A$11:$D$25,2,FALSE),"")</f>
        <v/>
      </c>
      <c r="R389">
        <f>IFERROR(VLOOKUP(M389,'הגדרות'!$A$11:$D$25,3,FALSE),"")</f>
        <v/>
      </c>
      <c r="S389">
        <f>IFERROR(VLOOKUP(N389,'הגדרות'!$A$11:$D$25,2,FALSE),"")</f>
        <v/>
      </c>
      <c r="T389">
        <f>IFERROR(VLOOKUP(N389,'הגדרות'!$A$11:$D$25,3,FALSE),"")</f>
        <v/>
      </c>
      <c r="AB389" s="6" t="n"/>
      <c r="AE389">
        <f>OR(Q389='לוח בקרה'!$B$2,R389='לוח בקרה'!$B$2,S389='לוח בקרה'!$B$2,T389='לוח בקרה'!$B$2)</f>
        <v/>
      </c>
      <c r="AF389">
        <f>AND(AE389,OR(AND(O389="כן",U389="כן"),AND(P389="כן",V389="כן")))</f>
        <v/>
      </c>
      <c r="AG389">
        <f>AND(AE389,OR(O389="כן",P389="כן"),NOT(OR(AND(O389="כן",U389="כן"),AND(P389="כן",V389="כן"))))</f>
        <v/>
      </c>
      <c r="AH389">
        <f>AND(AE389,OR(U389="כן",V389="כן"),NOT(OR(O389="כן",P389="כן")))</f>
        <v/>
      </c>
      <c r="AI389">
        <f>AND(X389="מושאל",AB389&lt;&gt;"",AB389&lt;TODAY())</f>
        <v/>
      </c>
    </row>
    <row r="390">
      <c r="E390">
        <f>IFERROR(INDEX('הגדרות'!$D$104:$D$123,MATCH(B390&amp;G390&amp;C390,'הגדרות'!$A$104:$A$123&amp;'הגדרות'!$B$104:$B$123&amp;'הגדרות'!$C$104:$C$123,0)),"")</f>
        <v/>
      </c>
      <c r="F390" s="6" t="n"/>
      <c r="Q390">
        <f>IFERROR(VLOOKUP(M390,'הגדרות'!$A$11:$D$25,2,FALSE),"")</f>
        <v/>
      </c>
      <c r="R390">
        <f>IFERROR(VLOOKUP(M390,'הגדרות'!$A$11:$D$25,3,FALSE),"")</f>
        <v/>
      </c>
      <c r="S390">
        <f>IFERROR(VLOOKUP(N390,'הגדרות'!$A$11:$D$25,2,FALSE),"")</f>
        <v/>
      </c>
      <c r="T390">
        <f>IFERROR(VLOOKUP(N390,'הגדרות'!$A$11:$D$25,3,FALSE),"")</f>
        <v/>
      </c>
      <c r="AB390" s="6" t="n"/>
      <c r="AE390">
        <f>OR(Q390='לוח בקרה'!$B$2,R390='לוח בקרה'!$B$2,S390='לוח בקרה'!$B$2,T390='לוח בקרה'!$B$2)</f>
        <v/>
      </c>
      <c r="AF390">
        <f>AND(AE390,OR(AND(O390="כן",U390="כן"),AND(P390="כן",V390="כן")))</f>
        <v/>
      </c>
      <c r="AG390">
        <f>AND(AE390,OR(O390="כן",P390="כן"),NOT(OR(AND(O390="כן",U390="כן"),AND(P390="כן",V390="כן"))))</f>
        <v/>
      </c>
      <c r="AH390">
        <f>AND(AE390,OR(U390="כן",V390="כן"),NOT(OR(O390="כן",P390="כן")))</f>
        <v/>
      </c>
      <c r="AI390">
        <f>AND(X390="מושאל",AB390&lt;&gt;"",AB390&lt;TODAY())</f>
        <v/>
      </c>
    </row>
    <row r="391">
      <c r="E391">
        <f>IFERROR(INDEX('הגדרות'!$D$104:$D$123,MATCH(B391&amp;G391&amp;C391,'הגדרות'!$A$104:$A$123&amp;'הגדרות'!$B$104:$B$123&amp;'הגדרות'!$C$104:$C$123,0)),"")</f>
        <v/>
      </c>
      <c r="F391" s="6" t="n"/>
      <c r="Q391">
        <f>IFERROR(VLOOKUP(M391,'הגדרות'!$A$11:$D$25,2,FALSE),"")</f>
        <v/>
      </c>
      <c r="R391">
        <f>IFERROR(VLOOKUP(M391,'הגדרות'!$A$11:$D$25,3,FALSE),"")</f>
        <v/>
      </c>
      <c r="S391">
        <f>IFERROR(VLOOKUP(N391,'הגדרות'!$A$11:$D$25,2,FALSE),"")</f>
        <v/>
      </c>
      <c r="T391">
        <f>IFERROR(VLOOKUP(N391,'הגדרות'!$A$11:$D$25,3,FALSE),"")</f>
        <v/>
      </c>
      <c r="AB391" s="6" t="n"/>
      <c r="AE391">
        <f>OR(Q391='לוח בקרה'!$B$2,R391='לוח בקרה'!$B$2,S391='לוח בקרה'!$B$2,T391='לוח בקרה'!$B$2)</f>
        <v/>
      </c>
      <c r="AF391">
        <f>AND(AE391,OR(AND(O391="כן",U391="כן"),AND(P391="כן",V391="כן")))</f>
        <v/>
      </c>
      <c r="AG391">
        <f>AND(AE391,OR(O391="כן",P391="כן"),NOT(OR(AND(O391="כן",U391="כן"),AND(P391="כן",V391="כן"))))</f>
        <v/>
      </c>
      <c r="AH391">
        <f>AND(AE391,OR(U391="כן",V391="כן"),NOT(OR(O391="כן",P391="כן")))</f>
        <v/>
      </c>
      <c r="AI391">
        <f>AND(X391="מושאל",AB391&lt;&gt;"",AB391&lt;TODAY())</f>
        <v/>
      </c>
    </row>
    <row r="392">
      <c r="E392">
        <f>IFERROR(INDEX('הגדרות'!$D$104:$D$123,MATCH(B392&amp;G392&amp;C392,'הגדרות'!$A$104:$A$123&amp;'הגדרות'!$B$104:$B$123&amp;'הגדרות'!$C$104:$C$123,0)),"")</f>
        <v/>
      </c>
      <c r="F392" s="6" t="n"/>
      <c r="Q392">
        <f>IFERROR(VLOOKUP(M392,'הגדרות'!$A$11:$D$25,2,FALSE),"")</f>
        <v/>
      </c>
      <c r="R392">
        <f>IFERROR(VLOOKUP(M392,'הגדרות'!$A$11:$D$25,3,FALSE),"")</f>
        <v/>
      </c>
      <c r="S392">
        <f>IFERROR(VLOOKUP(N392,'הגדרות'!$A$11:$D$25,2,FALSE),"")</f>
        <v/>
      </c>
      <c r="T392">
        <f>IFERROR(VLOOKUP(N392,'הגדרות'!$A$11:$D$25,3,FALSE),"")</f>
        <v/>
      </c>
      <c r="AB392" s="6" t="n"/>
      <c r="AE392">
        <f>OR(Q392='לוח בקרה'!$B$2,R392='לוח בקרה'!$B$2,S392='לוח בקרה'!$B$2,T392='לוח בקרה'!$B$2)</f>
        <v/>
      </c>
      <c r="AF392">
        <f>AND(AE392,OR(AND(O392="כן",U392="כן"),AND(P392="כן",V392="כן")))</f>
        <v/>
      </c>
      <c r="AG392">
        <f>AND(AE392,OR(O392="כן",P392="כן"),NOT(OR(AND(O392="כן",U392="כן"),AND(P392="כן",V392="כן"))))</f>
        <v/>
      </c>
      <c r="AH392">
        <f>AND(AE392,OR(U392="כן",V392="כן"),NOT(OR(O392="כן",P392="כן")))</f>
        <v/>
      </c>
      <c r="AI392">
        <f>AND(X392="מושאל",AB392&lt;&gt;"",AB392&lt;TODAY())</f>
        <v/>
      </c>
    </row>
    <row r="393">
      <c r="E393">
        <f>IFERROR(INDEX('הגדרות'!$D$104:$D$123,MATCH(B393&amp;G393&amp;C393,'הגדרות'!$A$104:$A$123&amp;'הגדרות'!$B$104:$B$123&amp;'הגדרות'!$C$104:$C$123,0)),"")</f>
        <v/>
      </c>
      <c r="F393" s="6" t="n"/>
      <c r="Q393">
        <f>IFERROR(VLOOKUP(M393,'הגדרות'!$A$11:$D$25,2,FALSE),"")</f>
        <v/>
      </c>
      <c r="R393">
        <f>IFERROR(VLOOKUP(M393,'הגדרות'!$A$11:$D$25,3,FALSE),"")</f>
        <v/>
      </c>
      <c r="S393">
        <f>IFERROR(VLOOKUP(N393,'הגדרות'!$A$11:$D$25,2,FALSE),"")</f>
        <v/>
      </c>
      <c r="T393">
        <f>IFERROR(VLOOKUP(N393,'הגדרות'!$A$11:$D$25,3,FALSE),"")</f>
        <v/>
      </c>
      <c r="AB393" s="6" t="n"/>
      <c r="AE393">
        <f>OR(Q393='לוח בקרה'!$B$2,R393='לוח בקרה'!$B$2,S393='לוח בקרה'!$B$2,T393='לוח בקרה'!$B$2)</f>
        <v/>
      </c>
      <c r="AF393">
        <f>AND(AE393,OR(AND(O393="כן",U393="כן"),AND(P393="כן",V393="כן")))</f>
        <v/>
      </c>
      <c r="AG393">
        <f>AND(AE393,OR(O393="כן",P393="כן"),NOT(OR(AND(O393="כן",U393="כן"),AND(P393="כן",V393="כן"))))</f>
        <v/>
      </c>
      <c r="AH393">
        <f>AND(AE393,OR(U393="כן",V393="כן"),NOT(OR(O393="כן",P393="כן")))</f>
        <v/>
      </c>
      <c r="AI393">
        <f>AND(X393="מושאל",AB393&lt;&gt;"",AB393&lt;TODAY())</f>
        <v/>
      </c>
    </row>
    <row r="394">
      <c r="E394">
        <f>IFERROR(INDEX('הגדרות'!$D$104:$D$123,MATCH(B394&amp;G394&amp;C394,'הגדרות'!$A$104:$A$123&amp;'הגדרות'!$B$104:$B$123&amp;'הגדרות'!$C$104:$C$123,0)),"")</f>
        <v/>
      </c>
      <c r="F394" s="6" t="n"/>
      <c r="Q394">
        <f>IFERROR(VLOOKUP(M394,'הגדרות'!$A$11:$D$25,2,FALSE),"")</f>
        <v/>
      </c>
      <c r="R394">
        <f>IFERROR(VLOOKUP(M394,'הגדרות'!$A$11:$D$25,3,FALSE),"")</f>
        <v/>
      </c>
      <c r="S394">
        <f>IFERROR(VLOOKUP(N394,'הגדרות'!$A$11:$D$25,2,FALSE),"")</f>
        <v/>
      </c>
      <c r="T394">
        <f>IFERROR(VLOOKUP(N394,'הגדרות'!$A$11:$D$25,3,FALSE),"")</f>
        <v/>
      </c>
      <c r="AB394" s="6" t="n"/>
      <c r="AE394">
        <f>OR(Q394='לוח בקרה'!$B$2,R394='לוח בקרה'!$B$2,S394='לוח בקרה'!$B$2,T394='לוח בקרה'!$B$2)</f>
        <v/>
      </c>
      <c r="AF394">
        <f>AND(AE394,OR(AND(O394="כן",U394="כן"),AND(P394="כן",V394="כן")))</f>
        <v/>
      </c>
      <c r="AG394">
        <f>AND(AE394,OR(O394="כן",P394="כן"),NOT(OR(AND(O394="כן",U394="כן"),AND(P394="כן",V394="כן"))))</f>
        <v/>
      </c>
      <c r="AH394">
        <f>AND(AE394,OR(U394="כן",V394="כן"),NOT(OR(O394="כן",P394="כן")))</f>
        <v/>
      </c>
      <c r="AI394">
        <f>AND(X394="מושאל",AB394&lt;&gt;"",AB394&lt;TODAY())</f>
        <v/>
      </c>
    </row>
    <row r="395">
      <c r="E395">
        <f>IFERROR(INDEX('הגדרות'!$D$104:$D$123,MATCH(B395&amp;G395&amp;C395,'הגדרות'!$A$104:$A$123&amp;'הגדרות'!$B$104:$B$123&amp;'הגדרות'!$C$104:$C$123,0)),"")</f>
        <v/>
      </c>
      <c r="F395" s="6" t="n"/>
      <c r="Q395">
        <f>IFERROR(VLOOKUP(M395,'הגדרות'!$A$11:$D$25,2,FALSE),"")</f>
        <v/>
      </c>
      <c r="R395">
        <f>IFERROR(VLOOKUP(M395,'הגדרות'!$A$11:$D$25,3,FALSE),"")</f>
        <v/>
      </c>
      <c r="S395">
        <f>IFERROR(VLOOKUP(N395,'הגדרות'!$A$11:$D$25,2,FALSE),"")</f>
        <v/>
      </c>
      <c r="T395">
        <f>IFERROR(VLOOKUP(N395,'הגדרות'!$A$11:$D$25,3,FALSE),"")</f>
        <v/>
      </c>
      <c r="AB395" s="6" t="n"/>
      <c r="AE395">
        <f>OR(Q395='לוח בקרה'!$B$2,R395='לוח בקרה'!$B$2,S395='לוח בקרה'!$B$2,T395='לוח בקרה'!$B$2)</f>
        <v/>
      </c>
      <c r="AF395">
        <f>AND(AE395,OR(AND(O395="כן",U395="כן"),AND(P395="כן",V395="כן")))</f>
        <v/>
      </c>
      <c r="AG395">
        <f>AND(AE395,OR(O395="כן",P395="כן"),NOT(OR(AND(O395="כן",U395="כן"),AND(P395="כן",V395="כן"))))</f>
        <v/>
      </c>
      <c r="AH395">
        <f>AND(AE395,OR(U395="כן",V395="כן"),NOT(OR(O395="כן",P395="כן")))</f>
        <v/>
      </c>
      <c r="AI395">
        <f>AND(X395="מושאל",AB395&lt;&gt;"",AB395&lt;TODAY())</f>
        <v/>
      </c>
    </row>
    <row r="396">
      <c r="E396">
        <f>IFERROR(INDEX('הגדרות'!$D$104:$D$123,MATCH(B396&amp;G396&amp;C396,'הגדרות'!$A$104:$A$123&amp;'הגדרות'!$B$104:$B$123&amp;'הגדרות'!$C$104:$C$123,0)),"")</f>
        <v/>
      </c>
      <c r="F396" s="6" t="n"/>
      <c r="Q396">
        <f>IFERROR(VLOOKUP(M396,'הגדרות'!$A$11:$D$25,2,FALSE),"")</f>
        <v/>
      </c>
      <c r="R396">
        <f>IFERROR(VLOOKUP(M396,'הגדרות'!$A$11:$D$25,3,FALSE),"")</f>
        <v/>
      </c>
      <c r="S396">
        <f>IFERROR(VLOOKUP(N396,'הגדרות'!$A$11:$D$25,2,FALSE),"")</f>
        <v/>
      </c>
      <c r="T396">
        <f>IFERROR(VLOOKUP(N396,'הגדרות'!$A$11:$D$25,3,FALSE),"")</f>
        <v/>
      </c>
      <c r="AB396" s="6" t="n"/>
      <c r="AE396">
        <f>OR(Q396='לוח בקרה'!$B$2,R396='לוח בקרה'!$B$2,S396='לוח בקרה'!$B$2,T396='לוח בקרה'!$B$2)</f>
        <v/>
      </c>
      <c r="AF396">
        <f>AND(AE396,OR(AND(O396="כן",U396="כן"),AND(P396="כן",V396="כן")))</f>
        <v/>
      </c>
      <c r="AG396">
        <f>AND(AE396,OR(O396="כן",P396="כן"),NOT(OR(AND(O396="כן",U396="כן"),AND(P396="כן",V396="כן"))))</f>
        <v/>
      </c>
      <c r="AH396">
        <f>AND(AE396,OR(U396="כן",V396="כן"),NOT(OR(O396="כן",P396="כן")))</f>
        <v/>
      </c>
      <c r="AI396">
        <f>AND(X396="מושאל",AB396&lt;&gt;"",AB396&lt;TODAY())</f>
        <v/>
      </c>
    </row>
    <row r="397">
      <c r="E397">
        <f>IFERROR(INDEX('הגדרות'!$D$104:$D$123,MATCH(B397&amp;G397&amp;C397,'הגדרות'!$A$104:$A$123&amp;'הגדרות'!$B$104:$B$123&amp;'הגדרות'!$C$104:$C$123,0)),"")</f>
        <v/>
      </c>
      <c r="F397" s="6" t="n"/>
      <c r="Q397">
        <f>IFERROR(VLOOKUP(M397,'הגדרות'!$A$11:$D$25,2,FALSE),"")</f>
        <v/>
      </c>
      <c r="R397">
        <f>IFERROR(VLOOKUP(M397,'הגדרות'!$A$11:$D$25,3,FALSE),"")</f>
        <v/>
      </c>
      <c r="S397">
        <f>IFERROR(VLOOKUP(N397,'הגדרות'!$A$11:$D$25,2,FALSE),"")</f>
        <v/>
      </c>
      <c r="T397">
        <f>IFERROR(VLOOKUP(N397,'הגדרות'!$A$11:$D$25,3,FALSE),"")</f>
        <v/>
      </c>
      <c r="AB397" s="6" t="n"/>
      <c r="AE397">
        <f>OR(Q397='לוח בקרה'!$B$2,R397='לוח בקרה'!$B$2,S397='לוח בקרה'!$B$2,T397='לוח בקרה'!$B$2)</f>
        <v/>
      </c>
      <c r="AF397">
        <f>AND(AE397,OR(AND(O397="כן",U397="כן"),AND(P397="כן",V397="כן")))</f>
        <v/>
      </c>
      <c r="AG397">
        <f>AND(AE397,OR(O397="כן",P397="כן"),NOT(OR(AND(O397="כן",U397="כן"),AND(P397="כן",V397="כן"))))</f>
        <v/>
      </c>
      <c r="AH397">
        <f>AND(AE397,OR(U397="כן",V397="כן"),NOT(OR(O397="כן",P397="כן")))</f>
        <v/>
      </c>
      <c r="AI397">
        <f>AND(X397="מושאל",AB397&lt;&gt;"",AB397&lt;TODAY())</f>
        <v/>
      </c>
    </row>
    <row r="398">
      <c r="E398">
        <f>IFERROR(INDEX('הגדרות'!$D$104:$D$123,MATCH(B398&amp;G398&amp;C398,'הגדרות'!$A$104:$A$123&amp;'הגדרות'!$B$104:$B$123&amp;'הגדרות'!$C$104:$C$123,0)),"")</f>
        <v/>
      </c>
      <c r="F398" s="6" t="n"/>
      <c r="Q398">
        <f>IFERROR(VLOOKUP(M398,'הגדרות'!$A$11:$D$25,2,FALSE),"")</f>
        <v/>
      </c>
      <c r="R398">
        <f>IFERROR(VLOOKUP(M398,'הגדרות'!$A$11:$D$25,3,FALSE),"")</f>
        <v/>
      </c>
      <c r="S398">
        <f>IFERROR(VLOOKUP(N398,'הגדרות'!$A$11:$D$25,2,FALSE),"")</f>
        <v/>
      </c>
      <c r="T398">
        <f>IFERROR(VLOOKUP(N398,'הגדרות'!$A$11:$D$25,3,FALSE),"")</f>
        <v/>
      </c>
      <c r="AB398" s="6" t="n"/>
      <c r="AE398">
        <f>OR(Q398='לוח בקרה'!$B$2,R398='לוח בקרה'!$B$2,S398='לוח בקרה'!$B$2,T398='לוח בקרה'!$B$2)</f>
        <v/>
      </c>
      <c r="AF398">
        <f>AND(AE398,OR(AND(O398="כן",U398="כן"),AND(P398="כן",V398="כן")))</f>
        <v/>
      </c>
      <c r="AG398">
        <f>AND(AE398,OR(O398="כן",P398="כן"),NOT(OR(AND(O398="כן",U398="כן"),AND(P398="כן",V398="כן"))))</f>
        <v/>
      </c>
      <c r="AH398">
        <f>AND(AE398,OR(U398="כן",V398="כן"),NOT(OR(O398="כן",P398="כן")))</f>
        <v/>
      </c>
      <c r="AI398">
        <f>AND(X398="מושאל",AB398&lt;&gt;"",AB398&lt;TODAY())</f>
        <v/>
      </c>
    </row>
    <row r="399">
      <c r="E399">
        <f>IFERROR(INDEX('הגדרות'!$D$104:$D$123,MATCH(B399&amp;G399&amp;C399,'הגדרות'!$A$104:$A$123&amp;'הגדרות'!$B$104:$B$123&amp;'הגדרות'!$C$104:$C$123,0)),"")</f>
        <v/>
      </c>
      <c r="F399" s="6" t="n"/>
      <c r="Q399">
        <f>IFERROR(VLOOKUP(M399,'הגדרות'!$A$11:$D$25,2,FALSE),"")</f>
        <v/>
      </c>
      <c r="R399">
        <f>IFERROR(VLOOKUP(M399,'הגדרות'!$A$11:$D$25,3,FALSE),"")</f>
        <v/>
      </c>
      <c r="S399">
        <f>IFERROR(VLOOKUP(N399,'הגדרות'!$A$11:$D$25,2,FALSE),"")</f>
        <v/>
      </c>
      <c r="T399">
        <f>IFERROR(VLOOKUP(N399,'הגדרות'!$A$11:$D$25,3,FALSE),"")</f>
        <v/>
      </c>
      <c r="AB399" s="6" t="n"/>
      <c r="AE399">
        <f>OR(Q399='לוח בקרה'!$B$2,R399='לוח בקרה'!$B$2,S399='לוח בקרה'!$B$2,T399='לוח בקרה'!$B$2)</f>
        <v/>
      </c>
      <c r="AF399">
        <f>AND(AE399,OR(AND(O399="כן",U399="כן"),AND(P399="כן",V399="כן")))</f>
        <v/>
      </c>
      <c r="AG399">
        <f>AND(AE399,OR(O399="כן",P399="כן"),NOT(OR(AND(O399="כן",U399="כן"),AND(P399="כן",V399="כן"))))</f>
        <v/>
      </c>
      <c r="AH399">
        <f>AND(AE399,OR(U399="כן",V399="כן"),NOT(OR(O399="כן",P399="כן")))</f>
        <v/>
      </c>
      <c r="AI399">
        <f>AND(X399="מושאל",AB399&lt;&gt;"",AB399&lt;TODAY())</f>
        <v/>
      </c>
    </row>
    <row r="400">
      <c r="E400">
        <f>IFERROR(INDEX('הגדרות'!$D$104:$D$123,MATCH(B400&amp;G400&amp;C400,'הגדרות'!$A$104:$A$123&amp;'הגדרות'!$B$104:$B$123&amp;'הגדרות'!$C$104:$C$123,0)),"")</f>
        <v/>
      </c>
      <c r="F400" s="6" t="n"/>
      <c r="Q400">
        <f>IFERROR(VLOOKUP(M400,'הגדרות'!$A$11:$D$25,2,FALSE),"")</f>
        <v/>
      </c>
      <c r="R400">
        <f>IFERROR(VLOOKUP(M400,'הגדרות'!$A$11:$D$25,3,FALSE),"")</f>
        <v/>
      </c>
      <c r="S400">
        <f>IFERROR(VLOOKUP(N400,'הגדרות'!$A$11:$D$25,2,FALSE),"")</f>
        <v/>
      </c>
      <c r="T400">
        <f>IFERROR(VLOOKUP(N400,'הגדרות'!$A$11:$D$25,3,FALSE),"")</f>
        <v/>
      </c>
      <c r="AB400" s="6" t="n"/>
      <c r="AE400">
        <f>OR(Q400='לוח בקרה'!$B$2,R400='לוח בקרה'!$B$2,S400='לוח בקרה'!$B$2,T400='לוח בקרה'!$B$2)</f>
        <v/>
      </c>
      <c r="AF400">
        <f>AND(AE400,OR(AND(O400="כן",U400="כן"),AND(P400="כן",V400="כן")))</f>
        <v/>
      </c>
      <c r="AG400">
        <f>AND(AE400,OR(O400="כן",P400="כן"),NOT(OR(AND(O400="כן",U400="כן"),AND(P400="כן",V400="כן"))))</f>
        <v/>
      </c>
      <c r="AH400">
        <f>AND(AE400,OR(U400="כן",V400="כן"),NOT(OR(O400="כן",P400="כן")))</f>
        <v/>
      </c>
      <c r="AI400">
        <f>AND(X400="מושאל",AB400&lt;&gt;"",AB400&lt;TODAY())</f>
        <v/>
      </c>
    </row>
    <row r="401">
      <c r="E401">
        <f>IFERROR(INDEX('הגדרות'!$D$104:$D$123,MATCH(B401&amp;G401&amp;C401,'הגדרות'!$A$104:$A$123&amp;'הגדרות'!$B$104:$B$123&amp;'הגדרות'!$C$104:$C$123,0)),"")</f>
        <v/>
      </c>
      <c r="F401" s="6" t="n"/>
      <c r="Q401">
        <f>IFERROR(VLOOKUP(M401,'הגדרות'!$A$11:$D$25,2,FALSE),"")</f>
        <v/>
      </c>
      <c r="R401">
        <f>IFERROR(VLOOKUP(M401,'הגדרות'!$A$11:$D$25,3,FALSE),"")</f>
        <v/>
      </c>
      <c r="S401">
        <f>IFERROR(VLOOKUP(N401,'הגדרות'!$A$11:$D$25,2,FALSE),"")</f>
        <v/>
      </c>
      <c r="T401">
        <f>IFERROR(VLOOKUP(N401,'הגדרות'!$A$11:$D$25,3,FALSE),"")</f>
        <v/>
      </c>
      <c r="AB401" s="6" t="n"/>
      <c r="AE401">
        <f>OR(Q401='לוח בקרה'!$B$2,R401='לוח בקרה'!$B$2,S401='לוח בקרה'!$B$2,T401='לוח בקרה'!$B$2)</f>
        <v/>
      </c>
      <c r="AF401">
        <f>AND(AE401,OR(AND(O401="כן",U401="כן"),AND(P401="כן",V401="כן")))</f>
        <v/>
      </c>
      <c r="AG401">
        <f>AND(AE401,OR(O401="כן",P401="כן"),NOT(OR(AND(O401="כן",U401="כן"),AND(P401="כן",V401="כן"))))</f>
        <v/>
      </c>
      <c r="AH401">
        <f>AND(AE401,OR(U401="כן",V401="כן"),NOT(OR(O401="כן",P401="כן")))</f>
        <v/>
      </c>
      <c r="AI401">
        <f>AND(X401="מושאל",AB401&lt;&gt;"",AB401&lt;TODAY())</f>
        <v/>
      </c>
    </row>
    <row r="402">
      <c r="E402">
        <f>IFERROR(INDEX('הגדרות'!$D$104:$D$123,MATCH(B402&amp;G402&amp;C402,'הגדרות'!$A$104:$A$123&amp;'הגדרות'!$B$104:$B$123&amp;'הגדרות'!$C$104:$C$123,0)),"")</f>
        <v/>
      </c>
      <c r="F402" s="6" t="n"/>
      <c r="Q402">
        <f>IFERROR(VLOOKUP(M402,'הגדרות'!$A$11:$D$25,2,FALSE),"")</f>
        <v/>
      </c>
      <c r="R402">
        <f>IFERROR(VLOOKUP(M402,'הגדרות'!$A$11:$D$25,3,FALSE),"")</f>
        <v/>
      </c>
      <c r="S402">
        <f>IFERROR(VLOOKUP(N402,'הגדרות'!$A$11:$D$25,2,FALSE),"")</f>
        <v/>
      </c>
      <c r="T402">
        <f>IFERROR(VLOOKUP(N402,'הגדרות'!$A$11:$D$25,3,FALSE),"")</f>
        <v/>
      </c>
      <c r="AB402" s="6" t="n"/>
      <c r="AE402">
        <f>OR(Q402='לוח בקרה'!$B$2,R402='לוח בקרה'!$B$2,S402='לוח בקרה'!$B$2,T402='לוח בקרה'!$B$2)</f>
        <v/>
      </c>
      <c r="AF402">
        <f>AND(AE402,OR(AND(O402="כן",U402="כן"),AND(P402="כן",V402="כן")))</f>
        <v/>
      </c>
      <c r="AG402">
        <f>AND(AE402,OR(O402="כן",P402="כן"),NOT(OR(AND(O402="כן",U402="כן"),AND(P402="כן",V402="כן"))))</f>
        <v/>
      </c>
      <c r="AH402">
        <f>AND(AE402,OR(U402="כן",V402="כן"),NOT(OR(O402="כן",P402="כן")))</f>
        <v/>
      </c>
      <c r="AI402">
        <f>AND(X402="מושאל",AB402&lt;&gt;"",AB402&lt;TODAY())</f>
        <v/>
      </c>
    </row>
    <row r="403">
      <c r="E403">
        <f>IFERROR(INDEX('הגדרות'!$D$104:$D$123,MATCH(B403&amp;G403&amp;C403,'הגדרות'!$A$104:$A$123&amp;'הגדרות'!$B$104:$B$123&amp;'הגדרות'!$C$104:$C$123,0)),"")</f>
        <v/>
      </c>
      <c r="F403" s="6" t="n"/>
      <c r="Q403">
        <f>IFERROR(VLOOKUP(M403,'הגדרות'!$A$11:$D$25,2,FALSE),"")</f>
        <v/>
      </c>
      <c r="R403">
        <f>IFERROR(VLOOKUP(M403,'הגדרות'!$A$11:$D$25,3,FALSE),"")</f>
        <v/>
      </c>
      <c r="S403">
        <f>IFERROR(VLOOKUP(N403,'הגדרות'!$A$11:$D$25,2,FALSE),"")</f>
        <v/>
      </c>
      <c r="T403">
        <f>IFERROR(VLOOKUP(N403,'הגדרות'!$A$11:$D$25,3,FALSE),"")</f>
        <v/>
      </c>
      <c r="AB403" s="6" t="n"/>
      <c r="AE403">
        <f>OR(Q403='לוח בקרה'!$B$2,R403='לוח בקרה'!$B$2,S403='לוח בקרה'!$B$2,T403='לוח בקרה'!$B$2)</f>
        <v/>
      </c>
      <c r="AF403">
        <f>AND(AE403,OR(AND(O403="כן",U403="כן"),AND(P403="כן",V403="כן")))</f>
        <v/>
      </c>
      <c r="AG403">
        <f>AND(AE403,OR(O403="כן",P403="כן"),NOT(OR(AND(O403="כן",U403="כן"),AND(P403="כן",V403="כן"))))</f>
        <v/>
      </c>
      <c r="AH403">
        <f>AND(AE403,OR(U403="כן",V403="כן"),NOT(OR(O403="כן",P403="כן")))</f>
        <v/>
      </c>
      <c r="AI403">
        <f>AND(X403="מושאל",AB403&lt;&gt;"",AB403&lt;TODAY())</f>
        <v/>
      </c>
    </row>
    <row r="404">
      <c r="E404">
        <f>IFERROR(INDEX('הגדרות'!$D$104:$D$123,MATCH(B404&amp;G404&amp;C404,'הגדרות'!$A$104:$A$123&amp;'הגדרות'!$B$104:$B$123&amp;'הגדרות'!$C$104:$C$123,0)),"")</f>
        <v/>
      </c>
      <c r="F404" s="6" t="n"/>
      <c r="Q404">
        <f>IFERROR(VLOOKUP(M404,'הגדרות'!$A$11:$D$25,2,FALSE),"")</f>
        <v/>
      </c>
      <c r="R404">
        <f>IFERROR(VLOOKUP(M404,'הגדרות'!$A$11:$D$25,3,FALSE),"")</f>
        <v/>
      </c>
      <c r="S404">
        <f>IFERROR(VLOOKUP(N404,'הגדרות'!$A$11:$D$25,2,FALSE),"")</f>
        <v/>
      </c>
      <c r="T404">
        <f>IFERROR(VLOOKUP(N404,'הגדרות'!$A$11:$D$25,3,FALSE),"")</f>
        <v/>
      </c>
      <c r="AB404" s="6" t="n"/>
      <c r="AE404">
        <f>OR(Q404='לוח בקרה'!$B$2,R404='לוח בקרה'!$B$2,S404='לוח בקרה'!$B$2,T404='לוח בקרה'!$B$2)</f>
        <v/>
      </c>
      <c r="AF404">
        <f>AND(AE404,OR(AND(O404="כן",U404="כן"),AND(P404="כן",V404="כן")))</f>
        <v/>
      </c>
      <c r="AG404">
        <f>AND(AE404,OR(O404="כן",P404="כן"),NOT(OR(AND(O404="כן",U404="כן"),AND(P404="כן",V404="כן"))))</f>
        <v/>
      </c>
      <c r="AH404">
        <f>AND(AE404,OR(U404="כן",V404="כן"),NOT(OR(O404="כן",P404="כן")))</f>
        <v/>
      </c>
      <c r="AI404">
        <f>AND(X404="מושאל",AB404&lt;&gt;"",AB404&lt;TODAY())</f>
        <v/>
      </c>
    </row>
    <row r="405">
      <c r="E405">
        <f>IFERROR(INDEX('הגדרות'!$D$104:$D$123,MATCH(B405&amp;G405&amp;C405,'הגדרות'!$A$104:$A$123&amp;'הגדרות'!$B$104:$B$123&amp;'הגדרות'!$C$104:$C$123,0)),"")</f>
        <v/>
      </c>
      <c r="F405" s="6" t="n"/>
      <c r="Q405">
        <f>IFERROR(VLOOKUP(M405,'הגדרות'!$A$11:$D$25,2,FALSE),"")</f>
        <v/>
      </c>
      <c r="R405">
        <f>IFERROR(VLOOKUP(M405,'הגדרות'!$A$11:$D$25,3,FALSE),"")</f>
        <v/>
      </c>
      <c r="S405">
        <f>IFERROR(VLOOKUP(N405,'הגדרות'!$A$11:$D$25,2,FALSE),"")</f>
        <v/>
      </c>
      <c r="T405">
        <f>IFERROR(VLOOKUP(N405,'הגדרות'!$A$11:$D$25,3,FALSE),"")</f>
        <v/>
      </c>
      <c r="AB405" s="6" t="n"/>
      <c r="AE405">
        <f>OR(Q405='לוח בקרה'!$B$2,R405='לוח בקרה'!$B$2,S405='לוח בקרה'!$B$2,T405='לוח בקרה'!$B$2)</f>
        <v/>
      </c>
      <c r="AF405">
        <f>AND(AE405,OR(AND(O405="כן",U405="כן"),AND(P405="כן",V405="כן")))</f>
        <v/>
      </c>
      <c r="AG405">
        <f>AND(AE405,OR(O405="כן",P405="כן"),NOT(OR(AND(O405="כן",U405="כן"),AND(P405="כן",V405="כן"))))</f>
        <v/>
      </c>
      <c r="AH405">
        <f>AND(AE405,OR(U405="כן",V405="כן"),NOT(OR(O405="כן",P405="כן")))</f>
        <v/>
      </c>
      <c r="AI405">
        <f>AND(X405="מושאל",AB405&lt;&gt;"",AB405&lt;TODAY())</f>
        <v/>
      </c>
    </row>
    <row r="406">
      <c r="E406">
        <f>IFERROR(INDEX('הגדרות'!$D$104:$D$123,MATCH(B406&amp;G406&amp;C406,'הגדרות'!$A$104:$A$123&amp;'הגדרות'!$B$104:$B$123&amp;'הגדרות'!$C$104:$C$123,0)),"")</f>
        <v/>
      </c>
      <c r="F406" s="6" t="n"/>
      <c r="Q406">
        <f>IFERROR(VLOOKUP(M406,'הגדרות'!$A$11:$D$25,2,FALSE),"")</f>
        <v/>
      </c>
      <c r="R406">
        <f>IFERROR(VLOOKUP(M406,'הגדרות'!$A$11:$D$25,3,FALSE),"")</f>
        <v/>
      </c>
      <c r="S406">
        <f>IFERROR(VLOOKUP(N406,'הגדרות'!$A$11:$D$25,2,FALSE),"")</f>
        <v/>
      </c>
      <c r="T406">
        <f>IFERROR(VLOOKUP(N406,'הגדרות'!$A$11:$D$25,3,FALSE),"")</f>
        <v/>
      </c>
      <c r="AB406" s="6" t="n"/>
      <c r="AE406">
        <f>OR(Q406='לוח בקרה'!$B$2,R406='לוח בקרה'!$B$2,S406='לוח בקרה'!$B$2,T406='לוח בקרה'!$B$2)</f>
        <v/>
      </c>
      <c r="AF406">
        <f>AND(AE406,OR(AND(O406="כן",U406="כן"),AND(P406="כן",V406="כן")))</f>
        <v/>
      </c>
      <c r="AG406">
        <f>AND(AE406,OR(O406="כן",P406="כן"),NOT(OR(AND(O406="כן",U406="כן"),AND(P406="כן",V406="כן"))))</f>
        <v/>
      </c>
      <c r="AH406">
        <f>AND(AE406,OR(U406="כן",V406="כן"),NOT(OR(O406="כן",P406="כן")))</f>
        <v/>
      </c>
      <c r="AI406">
        <f>AND(X406="מושאל",AB406&lt;&gt;"",AB406&lt;TODAY())</f>
        <v/>
      </c>
    </row>
    <row r="407">
      <c r="E407">
        <f>IFERROR(INDEX('הגדרות'!$D$104:$D$123,MATCH(B407&amp;G407&amp;C407,'הגדרות'!$A$104:$A$123&amp;'הגדרות'!$B$104:$B$123&amp;'הגדרות'!$C$104:$C$123,0)),"")</f>
        <v/>
      </c>
      <c r="F407" s="6" t="n"/>
      <c r="Q407">
        <f>IFERROR(VLOOKUP(M407,'הגדרות'!$A$11:$D$25,2,FALSE),"")</f>
        <v/>
      </c>
      <c r="R407">
        <f>IFERROR(VLOOKUP(M407,'הגדרות'!$A$11:$D$25,3,FALSE),"")</f>
        <v/>
      </c>
      <c r="S407">
        <f>IFERROR(VLOOKUP(N407,'הגדרות'!$A$11:$D$25,2,FALSE),"")</f>
        <v/>
      </c>
      <c r="T407">
        <f>IFERROR(VLOOKUP(N407,'הגדרות'!$A$11:$D$25,3,FALSE),"")</f>
        <v/>
      </c>
      <c r="AB407" s="6" t="n"/>
      <c r="AE407">
        <f>OR(Q407='לוח בקרה'!$B$2,R407='לוח בקרה'!$B$2,S407='לוח בקרה'!$B$2,T407='לוח בקרה'!$B$2)</f>
        <v/>
      </c>
      <c r="AF407">
        <f>AND(AE407,OR(AND(O407="כן",U407="כן"),AND(P407="כן",V407="כן")))</f>
        <v/>
      </c>
      <c r="AG407">
        <f>AND(AE407,OR(O407="כן",P407="כן"),NOT(OR(AND(O407="כן",U407="כן"),AND(P407="כן",V407="כן"))))</f>
        <v/>
      </c>
      <c r="AH407">
        <f>AND(AE407,OR(U407="כן",V407="כן"),NOT(OR(O407="כן",P407="כן")))</f>
        <v/>
      </c>
      <c r="AI407">
        <f>AND(X407="מושאל",AB407&lt;&gt;"",AB407&lt;TODAY())</f>
        <v/>
      </c>
    </row>
    <row r="408">
      <c r="E408">
        <f>IFERROR(INDEX('הגדרות'!$D$104:$D$123,MATCH(B408&amp;G408&amp;C408,'הגדרות'!$A$104:$A$123&amp;'הגדרות'!$B$104:$B$123&amp;'הגדרות'!$C$104:$C$123,0)),"")</f>
        <v/>
      </c>
      <c r="F408" s="6" t="n"/>
      <c r="Q408">
        <f>IFERROR(VLOOKUP(M408,'הגדרות'!$A$11:$D$25,2,FALSE),"")</f>
        <v/>
      </c>
      <c r="R408">
        <f>IFERROR(VLOOKUP(M408,'הגדרות'!$A$11:$D$25,3,FALSE),"")</f>
        <v/>
      </c>
      <c r="S408">
        <f>IFERROR(VLOOKUP(N408,'הגדרות'!$A$11:$D$25,2,FALSE),"")</f>
        <v/>
      </c>
      <c r="T408">
        <f>IFERROR(VLOOKUP(N408,'הגדרות'!$A$11:$D$25,3,FALSE),"")</f>
        <v/>
      </c>
      <c r="AB408" s="6" t="n"/>
      <c r="AE408">
        <f>OR(Q408='לוח בקרה'!$B$2,R408='לוח בקרה'!$B$2,S408='לוח בקרה'!$B$2,T408='לוח בקרה'!$B$2)</f>
        <v/>
      </c>
      <c r="AF408">
        <f>AND(AE408,OR(AND(O408="כן",U408="כן"),AND(P408="כן",V408="כן")))</f>
        <v/>
      </c>
      <c r="AG408">
        <f>AND(AE408,OR(O408="כן",P408="כן"),NOT(OR(AND(O408="כן",U408="כן"),AND(P408="כן",V408="כן"))))</f>
        <v/>
      </c>
      <c r="AH408">
        <f>AND(AE408,OR(U408="כן",V408="כן"),NOT(OR(O408="כן",P408="כן")))</f>
        <v/>
      </c>
      <c r="AI408">
        <f>AND(X408="מושאל",AB408&lt;&gt;"",AB408&lt;TODAY())</f>
        <v/>
      </c>
    </row>
    <row r="409">
      <c r="E409">
        <f>IFERROR(INDEX('הגדרות'!$D$104:$D$123,MATCH(B409&amp;G409&amp;C409,'הגדרות'!$A$104:$A$123&amp;'הגדרות'!$B$104:$B$123&amp;'הגדרות'!$C$104:$C$123,0)),"")</f>
        <v/>
      </c>
      <c r="F409" s="6" t="n"/>
      <c r="Q409">
        <f>IFERROR(VLOOKUP(M409,'הגדרות'!$A$11:$D$25,2,FALSE),"")</f>
        <v/>
      </c>
      <c r="R409">
        <f>IFERROR(VLOOKUP(M409,'הגדרות'!$A$11:$D$25,3,FALSE),"")</f>
        <v/>
      </c>
      <c r="S409">
        <f>IFERROR(VLOOKUP(N409,'הגדרות'!$A$11:$D$25,2,FALSE),"")</f>
        <v/>
      </c>
      <c r="T409">
        <f>IFERROR(VLOOKUP(N409,'הגדרות'!$A$11:$D$25,3,FALSE),"")</f>
        <v/>
      </c>
      <c r="AB409" s="6" t="n"/>
      <c r="AE409">
        <f>OR(Q409='לוח בקרה'!$B$2,R409='לוח בקרה'!$B$2,S409='לוח בקרה'!$B$2,T409='לוח בקרה'!$B$2)</f>
        <v/>
      </c>
      <c r="AF409">
        <f>AND(AE409,OR(AND(O409="כן",U409="כן"),AND(P409="כן",V409="כן")))</f>
        <v/>
      </c>
      <c r="AG409">
        <f>AND(AE409,OR(O409="כן",P409="כן"),NOT(OR(AND(O409="כן",U409="כן"),AND(P409="כן",V409="כן"))))</f>
        <v/>
      </c>
      <c r="AH409">
        <f>AND(AE409,OR(U409="כן",V409="כן"),NOT(OR(O409="כן",P409="כן")))</f>
        <v/>
      </c>
      <c r="AI409">
        <f>AND(X409="מושאל",AB409&lt;&gt;"",AB409&lt;TODAY())</f>
        <v/>
      </c>
    </row>
    <row r="410">
      <c r="E410">
        <f>IFERROR(INDEX('הגדרות'!$D$104:$D$123,MATCH(B410&amp;G410&amp;C410,'הגדרות'!$A$104:$A$123&amp;'הגדרות'!$B$104:$B$123&amp;'הגדרות'!$C$104:$C$123,0)),"")</f>
        <v/>
      </c>
      <c r="F410" s="6" t="n"/>
      <c r="Q410">
        <f>IFERROR(VLOOKUP(M410,'הגדרות'!$A$11:$D$25,2,FALSE),"")</f>
        <v/>
      </c>
      <c r="R410">
        <f>IFERROR(VLOOKUP(M410,'הגדרות'!$A$11:$D$25,3,FALSE),"")</f>
        <v/>
      </c>
      <c r="S410">
        <f>IFERROR(VLOOKUP(N410,'הגדרות'!$A$11:$D$25,2,FALSE),"")</f>
        <v/>
      </c>
      <c r="T410">
        <f>IFERROR(VLOOKUP(N410,'הגדרות'!$A$11:$D$25,3,FALSE),"")</f>
        <v/>
      </c>
      <c r="AB410" s="6" t="n"/>
      <c r="AE410">
        <f>OR(Q410='לוח בקרה'!$B$2,R410='לוח בקרה'!$B$2,S410='לוח בקרה'!$B$2,T410='לוח בקרה'!$B$2)</f>
        <v/>
      </c>
      <c r="AF410">
        <f>AND(AE410,OR(AND(O410="כן",U410="כן"),AND(P410="כן",V410="כן")))</f>
        <v/>
      </c>
      <c r="AG410">
        <f>AND(AE410,OR(O410="כן",P410="כן"),NOT(OR(AND(O410="כן",U410="כן"),AND(P410="כן",V410="כן"))))</f>
        <v/>
      </c>
      <c r="AH410">
        <f>AND(AE410,OR(U410="כן",V410="כן"),NOT(OR(O410="כן",P410="כן")))</f>
        <v/>
      </c>
      <c r="AI410">
        <f>AND(X410="מושאל",AB410&lt;&gt;"",AB410&lt;TODAY())</f>
        <v/>
      </c>
    </row>
    <row r="411">
      <c r="E411">
        <f>IFERROR(INDEX('הגדרות'!$D$104:$D$123,MATCH(B411&amp;G411&amp;C411,'הגדרות'!$A$104:$A$123&amp;'הגדרות'!$B$104:$B$123&amp;'הגדרות'!$C$104:$C$123,0)),"")</f>
        <v/>
      </c>
      <c r="F411" s="6" t="n"/>
      <c r="Q411">
        <f>IFERROR(VLOOKUP(M411,'הגדרות'!$A$11:$D$25,2,FALSE),"")</f>
        <v/>
      </c>
      <c r="R411">
        <f>IFERROR(VLOOKUP(M411,'הגדרות'!$A$11:$D$25,3,FALSE),"")</f>
        <v/>
      </c>
      <c r="S411">
        <f>IFERROR(VLOOKUP(N411,'הגדרות'!$A$11:$D$25,2,FALSE),"")</f>
        <v/>
      </c>
      <c r="T411">
        <f>IFERROR(VLOOKUP(N411,'הגדרות'!$A$11:$D$25,3,FALSE),"")</f>
        <v/>
      </c>
      <c r="AB411" s="6" t="n"/>
      <c r="AE411">
        <f>OR(Q411='לוח בקרה'!$B$2,R411='לוח בקרה'!$B$2,S411='לוח בקרה'!$B$2,T411='לוח בקרה'!$B$2)</f>
        <v/>
      </c>
      <c r="AF411">
        <f>AND(AE411,OR(AND(O411="כן",U411="כן"),AND(P411="כן",V411="כן")))</f>
        <v/>
      </c>
      <c r="AG411">
        <f>AND(AE411,OR(O411="כן",P411="כן"),NOT(OR(AND(O411="כן",U411="כן"),AND(P411="כן",V411="כן"))))</f>
        <v/>
      </c>
      <c r="AH411">
        <f>AND(AE411,OR(U411="כן",V411="כן"),NOT(OR(O411="כן",P411="כן")))</f>
        <v/>
      </c>
      <c r="AI411">
        <f>AND(X411="מושאל",AB411&lt;&gt;"",AB411&lt;TODAY())</f>
        <v/>
      </c>
    </row>
    <row r="412">
      <c r="E412">
        <f>IFERROR(INDEX('הגדרות'!$D$104:$D$123,MATCH(B412&amp;G412&amp;C412,'הגדרות'!$A$104:$A$123&amp;'הגדרות'!$B$104:$B$123&amp;'הגדרות'!$C$104:$C$123,0)),"")</f>
        <v/>
      </c>
      <c r="F412" s="6" t="n"/>
      <c r="Q412">
        <f>IFERROR(VLOOKUP(M412,'הגדרות'!$A$11:$D$25,2,FALSE),"")</f>
        <v/>
      </c>
      <c r="R412">
        <f>IFERROR(VLOOKUP(M412,'הגדרות'!$A$11:$D$25,3,FALSE),"")</f>
        <v/>
      </c>
      <c r="S412">
        <f>IFERROR(VLOOKUP(N412,'הגדרות'!$A$11:$D$25,2,FALSE),"")</f>
        <v/>
      </c>
      <c r="T412">
        <f>IFERROR(VLOOKUP(N412,'הגדרות'!$A$11:$D$25,3,FALSE),"")</f>
        <v/>
      </c>
      <c r="AB412" s="6" t="n"/>
      <c r="AE412">
        <f>OR(Q412='לוח בקרה'!$B$2,R412='לוח בקרה'!$B$2,S412='לוח בקרה'!$B$2,T412='לוח בקרה'!$B$2)</f>
        <v/>
      </c>
      <c r="AF412">
        <f>AND(AE412,OR(AND(O412="כן",U412="כן"),AND(P412="כן",V412="כן")))</f>
        <v/>
      </c>
      <c r="AG412">
        <f>AND(AE412,OR(O412="כן",P412="כן"),NOT(OR(AND(O412="כן",U412="כן"),AND(P412="כן",V412="כן"))))</f>
        <v/>
      </c>
      <c r="AH412">
        <f>AND(AE412,OR(U412="כן",V412="כן"),NOT(OR(O412="כן",P412="כן")))</f>
        <v/>
      </c>
      <c r="AI412">
        <f>AND(X412="מושאל",AB412&lt;&gt;"",AB412&lt;TODAY())</f>
        <v/>
      </c>
    </row>
    <row r="413">
      <c r="E413">
        <f>IFERROR(INDEX('הגדרות'!$D$104:$D$123,MATCH(B413&amp;G413&amp;C413,'הגדרות'!$A$104:$A$123&amp;'הגדרות'!$B$104:$B$123&amp;'הגדרות'!$C$104:$C$123,0)),"")</f>
        <v/>
      </c>
      <c r="F413" s="6" t="n"/>
      <c r="Q413">
        <f>IFERROR(VLOOKUP(M413,'הגדרות'!$A$11:$D$25,2,FALSE),"")</f>
        <v/>
      </c>
      <c r="R413">
        <f>IFERROR(VLOOKUP(M413,'הגדרות'!$A$11:$D$25,3,FALSE),"")</f>
        <v/>
      </c>
      <c r="S413">
        <f>IFERROR(VLOOKUP(N413,'הגדרות'!$A$11:$D$25,2,FALSE),"")</f>
        <v/>
      </c>
      <c r="T413">
        <f>IFERROR(VLOOKUP(N413,'הגדרות'!$A$11:$D$25,3,FALSE),"")</f>
        <v/>
      </c>
      <c r="AB413" s="6" t="n"/>
      <c r="AE413">
        <f>OR(Q413='לוח בקרה'!$B$2,R413='לוח בקרה'!$B$2,S413='לוח בקרה'!$B$2,T413='לוח בקרה'!$B$2)</f>
        <v/>
      </c>
      <c r="AF413">
        <f>AND(AE413,OR(AND(O413="כן",U413="כן"),AND(P413="כן",V413="כן")))</f>
        <v/>
      </c>
      <c r="AG413">
        <f>AND(AE413,OR(O413="כן",P413="כן"),NOT(OR(AND(O413="כן",U413="כן"),AND(P413="כן",V413="כן"))))</f>
        <v/>
      </c>
      <c r="AH413">
        <f>AND(AE413,OR(U413="כן",V413="כן"),NOT(OR(O413="כן",P413="כן")))</f>
        <v/>
      </c>
      <c r="AI413">
        <f>AND(X413="מושאל",AB413&lt;&gt;"",AB413&lt;TODAY())</f>
        <v/>
      </c>
    </row>
    <row r="414">
      <c r="E414">
        <f>IFERROR(INDEX('הגדרות'!$D$104:$D$123,MATCH(B414&amp;G414&amp;C414,'הגדרות'!$A$104:$A$123&amp;'הגדרות'!$B$104:$B$123&amp;'הגדרות'!$C$104:$C$123,0)),"")</f>
        <v/>
      </c>
      <c r="F414" s="6" t="n"/>
      <c r="Q414">
        <f>IFERROR(VLOOKUP(M414,'הגדרות'!$A$11:$D$25,2,FALSE),"")</f>
        <v/>
      </c>
      <c r="R414">
        <f>IFERROR(VLOOKUP(M414,'הגדרות'!$A$11:$D$25,3,FALSE),"")</f>
        <v/>
      </c>
      <c r="S414">
        <f>IFERROR(VLOOKUP(N414,'הגדרות'!$A$11:$D$25,2,FALSE),"")</f>
        <v/>
      </c>
      <c r="T414">
        <f>IFERROR(VLOOKUP(N414,'הגדרות'!$A$11:$D$25,3,FALSE),"")</f>
        <v/>
      </c>
      <c r="AB414" s="6" t="n"/>
      <c r="AE414">
        <f>OR(Q414='לוח בקרה'!$B$2,R414='לוח בקרה'!$B$2,S414='לוח בקרה'!$B$2,T414='לוח בקרה'!$B$2)</f>
        <v/>
      </c>
      <c r="AF414">
        <f>AND(AE414,OR(AND(O414="כן",U414="כן"),AND(P414="כן",V414="כן")))</f>
        <v/>
      </c>
      <c r="AG414">
        <f>AND(AE414,OR(O414="כן",P414="כן"),NOT(OR(AND(O414="כן",U414="כן"),AND(P414="כן",V414="כן"))))</f>
        <v/>
      </c>
      <c r="AH414">
        <f>AND(AE414,OR(U414="כן",V414="כן"),NOT(OR(O414="כן",P414="כן")))</f>
        <v/>
      </c>
      <c r="AI414">
        <f>AND(X414="מושאל",AB414&lt;&gt;"",AB414&lt;TODAY())</f>
        <v/>
      </c>
    </row>
    <row r="415">
      <c r="E415">
        <f>IFERROR(INDEX('הגדרות'!$D$104:$D$123,MATCH(B415&amp;G415&amp;C415,'הגדרות'!$A$104:$A$123&amp;'הגדרות'!$B$104:$B$123&amp;'הגדרות'!$C$104:$C$123,0)),"")</f>
        <v/>
      </c>
      <c r="F415" s="6" t="n"/>
      <c r="Q415">
        <f>IFERROR(VLOOKUP(M415,'הגדרות'!$A$11:$D$25,2,FALSE),"")</f>
        <v/>
      </c>
      <c r="R415">
        <f>IFERROR(VLOOKUP(M415,'הגדרות'!$A$11:$D$25,3,FALSE),"")</f>
        <v/>
      </c>
      <c r="S415">
        <f>IFERROR(VLOOKUP(N415,'הגדרות'!$A$11:$D$25,2,FALSE),"")</f>
        <v/>
      </c>
      <c r="T415">
        <f>IFERROR(VLOOKUP(N415,'הגדרות'!$A$11:$D$25,3,FALSE),"")</f>
        <v/>
      </c>
      <c r="AB415" s="6" t="n"/>
      <c r="AE415">
        <f>OR(Q415='לוח בקרה'!$B$2,R415='לוח בקרה'!$B$2,S415='לוח בקרה'!$B$2,T415='לוח בקרה'!$B$2)</f>
        <v/>
      </c>
      <c r="AF415">
        <f>AND(AE415,OR(AND(O415="כן",U415="כן"),AND(P415="כן",V415="כן")))</f>
        <v/>
      </c>
      <c r="AG415">
        <f>AND(AE415,OR(O415="כן",P415="כן"),NOT(OR(AND(O415="כן",U415="כן"),AND(P415="כן",V415="כן"))))</f>
        <v/>
      </c>
      <c r="AH415">
        <f>AND(AE415,OR(U415="כן",V415="כן"),NOT(OR(O415="כן",P415="כן")))</f>
        <v/>
      </c>
      <c r="AI415">
        <f>AND(X415="מושאל",AB415&lt;&gt;"",AB415&lt;TODAY())</f>
        <v/>
      </c>
    </row>
    <row r="416">
      <c r="E416">
        <f>IFERROR(INDEX('הגדרות'!$D$104:$D$123,MATCH(B416&amp;G416&amp;C416,'הגדרות'!$A$104:$A$123&amp;'הגדרות'!$B$104:$B$123&amp;'הגדרות'!$C$104:$C$123,0)),"")</f>
        <v/>
      </c>
      <c r="F416" s="6" t="n"/>
      <c r="Q416">
        <f>IFERROR(VLOOKUP(M416,'הגדרות'!$A$11:$D$25,2,FALSE),"")</f>
        <v/>
      </c>
      <c r="R416">
        <f>IFERROR(VLOOKUP(M416,'הגדרות'!$A$11:$D$25,3,FALSE),"")</f>
        <v/>
      </c>
      <c r="S416">
        <f>IFERROR(VLOOKUP(N416,'הגדרות'!$A$11:$D$25,2,FALSE),"")</f>
        <v/>
      </c>
      <c r="T416">
        <f>IFERROR(VLOOKUP(N416,'הגדרות'!$A$11:$D$25,3,FALSE),"")</f>
        <v/>
      </c>
      <c r="AB416" s="6" t="n"/>
      <c r="AE416">
        <f>OR(Q416='לוח בקרה'!$B$2,R416='לוח בקרה'!$B$2,S416='לוח בקרה'!$B$2,T416='לוח בקרה'!$B$2)</f>
        <v/>
      </c>
      <c r="AF416">
        <f>AND(AE416,OR(AND(O416="כן",U416="כן"),AND(P416="כן",V416="כן")))</f>
        <v/>
      </c>
      <c r="AG416">
        <f>AND(AE416,OR(O416="כן",P416="כן"),NOT(OR(AND(O416="כן",U416="כן"),AND(P416="כן",V416="כן"))))</f>
        <v/>
      </c>
      <c r="AH416">
        <f>AND(AE416,OR(U416="כן",V416="כן"),NOT(OR(O416="כן",P416="כן")))</f>
        <v/>
      </c>
      <c r="AI416">
        <f>AND(X416="מושאל",AB416&lt;&gt;"",AB416&lt;TODAY())</f>
        <v/>
      </c>
    </row>
    <row r="417">
      <c r="E417">
        <f>IFERROR(INDEX('הגדרות'!$D$104:$D$123,MATCH(B417&amp;G417&amp;C417,'הגדרות'!$A$104:$A$123&amp;'הגדרות'!$B$104:$B$123&amp;'הגדרות'!$C$104:$C$123,0)),"")</f>
        <v/>
      </c>
      <c r="F417" s="6" t="n"/>
      <c r="Q417">
        <f>IFERROR(VLOOKUP(M417,'הגדרות'!$A$11:$D$25,2,FALSE),"")</f>
        <v/>
      </c>
      <c r="R417">
        <f>IFERROR(VLOOKUP(M417,'הגדרות'!$A$11:$D$25,3,FALSE),"")</f>
        <v/>
      </c>
      <c r="S417">
        <f>IFERROR(VLOOKUP(N417,'הגדרות'!$A$11:$D$25,2,FALSE),"")</f>
        <v/>
      </c>
      <c r="T417">
        <f>IFERROR(VLOOKUP(N417,'הגדרות'!$A$11:$D$25,3,FALSE),"")</f>
        <v/>
      </c>
      <c r="AB417" s="6" t="n"/>
      <c r="AE417">
        <f>OR(Q417='לוח בקרה'!$B$2,R417='לוח בקרה'!$B$2,S417='לוח בקרה'!$B$2,T417='לוח בקרה'!$B$2)</f>
        <v/>
      </c>
      <c r="AF417">
        <f>AND(AE417,OR(AND(O417="כן",U417="כן"),AND(P417="כן",V417="כן")))</f>
        <v/>
      </c>
      <c r="AG417">
        <f>AND(AE417,OR(O417="כן",P417="כן"),NOT(OR(AND(O417="כן",U417="כן"),AND(P417="כן",V417="כן"))))</f>
        <v/>
      </c>
      <c r="AH417">
        <f>AND(AE417,OR(U417="כן",V417="כן"),NOT(OR(O417="כן",P417="כן")))</f>
        <v/>
      </c>
      <c r="AI417">
        <f>AND(X417="מושאל",AB417&lt;&gt;"",AB417&lt;TODAY())</f>
        <v/>
      </c>
    </row>
    <row r="418">
      <c r="E418">
        <f>IFERROR(INDEX('הגדרות'!$D$104:$D$123,MATCH(B418&amp;G418&amp;C418,'הגדרות'!$A$104:$A$123&amp;'הגדרות'!$B$104:$B$123&amp;'הגדרות'!$C$104:$C$123,0)),"")</f>
        <v/>
      </c>
      <c r="F418" s="6" t="n"/>
      <c r="Q418">
        <f>IFERROR(VLOOKUP(M418,'הגדרות'!$A$11:$D$25,2,FALSE),"")</f>
        <v/>
      </c>
      <c r="R418">
        <f>IFERROR(VLOOKUP(M418,'הגדרות'!$A$11:$D$25,3,FALSE),"")</f>
        <v/>
      </c>
      <c r="S418">
        <f>IFERROR(VLOOKUP(N418,'הגדרות'!$A$11:$D$25,2,FALSE),"")</f>
        <v/>
      </c>
      <c r="T418">
        <f>IFERROR(VLOOKUP(N418,'הגדרות'!$A$11:$D$25,3,FALSE),"")</f>
        <v/>
      </c>
      <c r="AB418" s="6" t="n"/>
      <c r="AE418">
        <f>OR(Q418='לוח בקרה'!$B$2,R418='לוח בקרה'!$B$2,S418='לוח בקרה'!$B$2,T418='לוח בקרה'!$B$2)</f>
        <v/>
      </c>
      <c r="AF418">
        <f>AND(AE418,OR(AND(O418="כן",U418="כן"),AND(P418="כן",V418="כן")))</f>
        <v/>
      </c>
      <c r="AG418">
        <f>AND(AE418,OR(O418="כן",P418="כן"),NOT(OR(AND(O418="כן",U418="כן"),AND(P418="כן",V418="כן"))))</f>
        <v/>
      </c>
      <c r="AH418">
        <f>AND(AE418,OR(U418="כן",V418="כן"),NOT(OR(O418="כן",P418="כן")))</f>
        <v/>
      </c>
      <c r="AI418">
        <f>AND(X418="מושאל",AB418&lt;&gt;"",AB418&lt;TODAY())</f>
        <v/>
      </c>
    </row>
    <row r="419">
      <c r="E419">
        <f>IFERROR(INDEX('הגדרות'!$D$104:$D$123,MATCH(B419&amp;G419&amp;C419,'הגדרות'!$A$104:$A$123&amp;'הגדרות'!$B$104:$B$123&amp;'הגדרות'!$C$104:$C$123,0)),"")</f>
        <v/>
      </c>
      <c r="F419" s="6" t="n"/>
      <c r="Q419">
        <f>IFERROR(VLOOKUP(M419,'הגדרות'!$A$11:$D$25,2,FALSE),"")</f>
        <v/>
      </c>
      <c r="R419">
        <f>IFERROR(VLOOKUP(M419,'הגדרות'!$A$11:$D$25,3,FALSE),"")</f>
        <v/>
      </c>
      <c r="S419">
        <f>IFERROR(VLOOKUP(N419,'הגדרות'!$A$11:$D$25,2,FALSE),"")</f>
        <v/>
      </c>
      <c r="T419">
        <f>IFERROR(VLOOKUP(N419,'הגדרות'!$A$11:$D$25,3,FALSE),"")</f>
        <v/>
      </c>
      <c r="AB419" s="6" t="n"/>
      <c r="AE419">
        <f>OR(Q419='לוח בקרה'!$B$2,R419='לוח בקרה'!$B$2,S419='לוח בקרה'!$B$2,T419='לוח בקרה'!$B$2)</f>
        <v/>
      </c>
      <c r="AF419">
        <f>AND(AE419,OR(AND(O419="כן",U419="כן"),AND(P419="כן",V419="כן")))</f>
        <v/>
      </c>
      <c r="AG419">
        <f>AND(AE419,OR(O419="כן",P419="כן"),NOT(OR(AND(O419="כן",U419="כן"),AND(P419="כן",V419="כן"))))</f>
        <v/>
      </c>
      <c r="AH419">
        <f>AND(AE419,OR(U419="כן",V419="כן"),NOT(OR(O419="כן",P419="כן")))</f>
        <v/>
      </c>
      <c r="AI419">
        <f>AND(X419="מושאל",AB419&lt;&gt;"",AB419&lt;TODAY())</f>
        <v/>
      </c>
    </row>
    <row r="420">
      <c r="E420">
        <f>IFERROR(INDEX('הגדרות'!$D$104:$D$123,MATCH(B420&amp;G420&amp;C420,'הגדרות'!$A$104:$A$123&amp;'הגדרות'!$B$104:$B$123&amp;'הגדרות'!$C$104:$C$123,0)),"")</f>
        <v/>
      </c>
      <c r="F420" s="6" t="n"/>
      <c r="Q420">
        <f>IFERROR(VLOOKUP(M420,'הגדרות'!$A$11:$D$25,2,FALSE),"")</f>
        <v/>
      </c>
      <c r="R420">
        <f>IFERROR(VLOOKUP(M420,'הגדרות'!$A$11:$D$25,3,FALSE),"")</f>
        <v/>
      </c>
      <c r="S420">
        <f>IFERROR(VLOOKUP(N420,'הגדרות'!$A$11:$D$25,2,FALSE),"")</f>
        <v/>
      </c>
      <c r="T420">
        <f>IFERROR(VLOOKUP(N420,'הגדרות'!$A$11:$D$25,3,FALSE),"")</f>
        <v/>
      </c>
      <c r="AB420" s="6" t="n"/>
      <c r="AE420">
        <f>OR(Q420='לוח בקרה'!$B$2,R420='לוח בקרה'!$B$2,S420='לוח בקרה'!$B$2,T420='לוח בקרה'!$B$2)</f>
        <v/>
      </c>
      <c r="AF420">
        <f>AND(AE420,OR(AND(O420="כן",U420="כן"),AND(P420="כן",V420="כן")))</f>
        <v/>
      </c>
      <c r="AG420">
        <f>AND(AE420,OR(O420="כן",P420="כן"),NOT(OR(AND(O420="כן",U420="כן"),AND(P420="כן",V420="כן"))))</f>
        <v/>
      </c>
      <c r="AH420">
        <f>AND(AE420,OR(U420="כן",V420="כן"),NOT(OR(O420="כן",P420="כן")))</f>
        <v/>
      </c>
      <c r="AI420">
        <f>AND(X420="מושאל",AB420&lt;&gt;"",AB420&lt;TODAY())</f>
        <v/>
      </c>
    </row>
    <row r="421">
      <c r="E421">
        <f>IFERROR(INDEX('הגדרות'!$D$104:$D$123,MATCH(B421&amp;G421&amp;C421,'הגדרות'!$A$104:$A$123&amp;'הגדרות'!$B$104:$B$123&amp;'הגדרות'!$C$104:$C$123,0)),"")</f>
        <v/>
      </c>
      <c r="F421" s="6" t="n"/>
      <c r="Q421">
        <f>IFERROR(VLOOKUP(M421,'הגדרות'!$A$11:$D$25,2,FALSE),"")</f>
        <v/>
      </c>
      <c r="R421">
        <f>IFERROR(VLOOKUP(M421,'הגדרות'!$A$11:$D$25,3,FALSE),"")</f>
        <v/>
      </c>
      <c r="S421">
        <f>IFERROR(VLOOKUP(N421,'הגדרות'!$A$11:$D$25,2,FALSE),"")</f>
        <v/>
      </c>
      <c r="T421">
        <f>IFERROR(VLOOKUP(N421,'הגדרות'!$A$11:$D$25,3,FALSE),"")</f>
        <v/>
      </c>
      <c r="AB421" s="6" t="n"/>
      <c r="AE421">
        <f>OR(Q421='לוח בקרה'!$B$2,R421='לוח בקרה'!$B$2,S421='לוח בקרה'!$B$2,T421='לוח בקרה'!$B$2)</f>
        <v/>
      </c>
      <c r="AF421">
        <f>AND(AE421,OR(AND(O421="כן",U421="כן"),AND(P421="כן",V421="כן")))</f>
        <v/>
      </c>
      <c r="AG421">
        <f>AND(AE421,OR(O421="כן",P421="כן"),NOT(OR(AND(O421="כן",U421="כן"),AND(P421="כן",V421="כן"))))</f>
        <v/>
      </c>
      <c r="AH421">
        <f>AND(AE421,OR(U421="כן",V421="כן"),NOT(OR(O421="כן",P421="כן")))</f>
        <v/>
      </c>
      <c r="AI421">
        <f>AND(X421="מושאל",AB421&lt;&gt;"",AB421&lt;TODAY())</f>
        <v/>
      </c>
    </row>
    <row r="422">
      <c r="E422">
        <f>IFERROR(INDEX('הגדרות'!$D$104:$D$123,MATCH(B422&amp;G422&amp;C422,'הגדרות'!$A$104:$A$123&amp;'הגדרות'!$B$104:$B$123&amp;'הגדרות'!$C$104:$C$123,0)),"")</f>
        <v/>
      </c>
      <c r="F422" s="6" t="n"/>
      <c r="Q422">
        <f>IFERROR(VLOOKUP(M422,'הגדרות'!$A$11:$D$25,2,FALSE),"")</f>
        <v/>
      </c>
      <c r="R422">
        <f>IFERROR(VLOOKUP(M422,'הגדרות'!$A$11:$D$25,3,FALSE),"")</f>
        <v/>
      </c>
      <c r="S422">
        <f>IFERROR(VLOOKUP(N422,'הגדרות'!$A$11:$D$25,2,FALSE),"")</f>
        <v/>
      </c>
      <c r="T422">
        <f>IFERROR(VLOOKUP(N422,'הגדרות'!$A$11:$D$25,3,FALSE),"")</f>
        <v/>
      </c>
      <c r="AB422" s="6" t="n"/>
      <c r="AE422">
        <f>OR(Q422='לוח בקרה'!$B$2,R422='לוח בקרה'!$B$2,S422='לוח בקרה'!$B$2,T422='לוח בקרה'!$B$2)</f>
        <v/>
      </c>
      <c r="AF422">
        <f>AND(AE422,OR(AND(O422="כן",U422="כן"),AND(P422="כן",V422="כן")))</f>
        <v/>
      </c>
      <c r="AG422">
        <f>AND(AE422,OR(O422="כן",P422="כן"),NOT(OR(AND(O422="כן",U422="כן"),AND(P422="כן",V422="כן"))))</f>
        <v/>
      </c>
      <c r="AH422">
        <f>AND(AE422,OR(U422="כן",V422="כן"),NOT(OR(O422="כן",P422="כן")))</f>
        <v/>
      </c>
      <c r="AI422">
        <f>AND(X422="מושאל",AB422&lt;&gt;"",AB422&lt;TODAY())</f>
        <v/>
      </c>
    </row>
    <row r="423">
      <c r="E423">
        <f>IFERROR(INDEX('הגדרות'!$D$104:$D$123,MATCH(B423&amp;G423&amp;C423,'הגדרות'!$A$104:$A$123&amp;'הגדרות'!$B$104:$B$123&amp;'הגדרות'!$C$104:$C$123,0)),"")</f>
        <v/>
      </c>
      <c r="F423" s="6" t="n"/>
      <c r="Q423">
        <f>IFERROR(VLOOKUP(M423,'הגדרות'!$A$11:$D$25,2,FALSE),"")</f>
        <v/>
      </c>
      <c r="R423">
        <f>IFERROR(VLOOKUP(M423,'הגדרות'!$A$11:$D$25,3,FALSE),"")</f>
        <v/>
      </c>
      <c r="S423">
        <f>IFERROR(VLOOKUP(N423,'הגדרות'!$A$11:$D$25,2,FALSE),"")</f>
        <v/>
      </c>
      <c r="T423">
        <f>IFERROR(VLOOKUP(N423,'הגדרות'!$A$11:$D$25,3,FALSE),"")</f>
        <v/>
      </c>
      <c r="AB423" s="6" t="n"/>
      <c r="AE423">
        <f>OR(Q423='לוח בקרה'!$B$2,R423='לוח בקרה'!$B$2,S423='לוח בקרה'!$B$2,T423='לוח בקרה'!$B$2)</f>
        <v/>
      </c>
      <c r="AF423">
        <f>AND(AE423,OR(AND(O423="כן",U423="כן"),AND(P423="כן",V423="כן")))</f>
        <v/>
      </c>
      <c r="AG423">
        <f>AND(AE423,OR(O423="כן",P423="כן"),NOT(OR(AND(O423="כן",U423="כן"),AND(P423="כן",V423="כן"))))</f>
        <v/>
      </c>
      <c r="AH423">
        <f>AND(AE423,OR(U423="כן",V423="כן"),NOT(OR(O423="כן",P423="כן")))</f>
        <v/>
      </c>
      <c r="AI423">
        <f>AND(X423="מושאל",AB423&lt;&gt;"",AB423&lt;TODAY())</f>
        <v/>
      </c>
    </row>
    <row r="424">
      <c r="E424">
        <f>IFERROR(INDEX('הגדרות'!$D$104:$D$123,MATCH(B424&amp;G424&amp;C424,'הגדרות'!$A$104:$A$123&amp;'הגדרות'!$B$104:$B$123&amp;'הגדרות'!$C$104:$C$123,0)),"")</f>
        <v/>
      </c>
      <c r="F424" s="6" t="n"/>
      <c r="Q424">
        <f>IFERROR(VLOOKUP(M424,'הגדרות'!$A$11:$D$25,2,FALSE),"")</f>
        <v/>
      </c>
      <c r="R424">
        <f>IFERROR(VLOOKUP(M424,'הגדרות'!$A$11:$D$25,3,FALSE),"")</f>
        <v/>
      </c>
      <c r="S424">
        <f>IFERROR(VLOOKUP(N424,'הגדרות'!$A$11:$D$25,2,FALSE),"")</f>
        <v/>
      </c>
      <c r="T424">
        <f>IFERROR(VLOOKUP(N424,'הגדרות'!$A$11:$D$25,3,FALSE),"")</f>
        <v/>
      </c>
      <c r="AB424" s="6" t="n"/>
      <c r="AE424">
        <f>OR(Q424='לוח בקרה'!$B$2,R424='לוח בקרה'!$B$2,S424='לוח בקרה'!$B$2,T424='לוח בקרה'!$B$2)</f>
        <v/>
      </c>
      <c r="AF424">
        <f>AND(AE424,OR(AND(O424="כן",U424="כן"),AND(P424="כן",V424="כן")))</f>
        <v/>
      </c>
      <c r="AG424">
        <f>AND(AE424,OR(O424="כן",P424="כן"),NOT(OR(AND(O424="כן",U424="כן"),AND(P424="כן",V424="כן"))))</f>
        <v/>
      </c>
      <c r="AH424">
        <f>AND(AE424,OR(U424="כן",V424="כן"),NOT(OR(O424="כן",P424="כן")))</f>
        <v/>
      </c>
      <c r="AI424">
        <f>AND(X424="מושאל",AB424&lt;&gt;"",AB424&lt;TODAY())</f>
        <v/>
      </c>
    </row>
    <row r="425">
      <c r="E425">
        <f>IFERROR(INDEX('הגדרות'!$D$104:$D$123,MATCH(B425&amp;G425&amp;C425,'הגדרות'!$A$104:$A$123&amp;'הגדרות'!$B$104:$B$123&amp;'הגדרות'!$C$104:$C$123,0)),"")</f>
        <v/>
      </c>
      <c r="F425" s="6" t="n"/>
      <c r="Q425">
        <f>IFERROR(VLOOKUP(M425,'הגדרות'!$A$11:$D$25,2,FALSE),"")</f>
        <v/>
      </c>
      <c r="R425">
        <f>IFERROR(VLOOKUP(M425,'הגדרות'!$A$11:$D$25,3,FALSE),"")</f>
        <v/>
      </c>
      <c r="S425">
        <f>IFERROR(VLOOKUP(N425,'הגדרות'!$A$11:$D$25,2,FALSE),"")</f>
        <v/>
      </c>
      <c r="T425">
        <f>IFERROR(VLOOKUP(N425,'הגדרות'!$A$11:$D$25,3,FALSE),"")</f>
        <v/>
      </c>
      <c r="AB425" s="6" t="n"/>
      <c r="AE425">
        <f>OR(Q425='לוח בקרה'!$B$2,R425='לוח בקרה'!$B$2,S425='לוח בקרה'!$B$2,T425='לוח בקרה'!$B$2)</f>
        <v/>
      </c>
      <c r="AF425">
        <f>AND(AE425,OR(AND(O425="כן",U425="כן"),AND(P425="כן",V425="כן")))</f>
        <v/>
      </c>
      <c r="AG425">
        <f>AND(AE425,OR(O425="כן",P425="כן"),NOT(OR(AND(O425="כן",U425="כן"),AND(P425="כן",V425="כן"))))</f>
        <v/>
      </c>
      <c r="AH425">
        <f>AND(AE425,OR(U425="כן",V425="כן"),NOT(OR(O425="כן",P425="כן")))</f>
        <v/>
      </c>
      <c r="AI425">
        <f>AND(X425="מושאל",AB425&lt;&gt;"",AB425&lt;TODAY())</f>
        <v/>
      </c>
    </row>
    <row r="426">
      <c r="E426">
        <f>IFERROR(INDEX('הגדרות'!$D$104:$D$123,MATCH(B426&amp;G426&amp;C426,'הגדרות'!$A$104:$A$123&amp;'הגדרות'!$B$104:$B$123&amp;'הגדרות'!$C$104:$C$123,0)),"")</f>
        <v/>
      </c>
      <c r="F426" s="6" t="n"/>
      <c r="Q426">
        <f>IFERROR(VLOOKUP(M426,'הגדרות'!$A$11:$D$25,2,FALSE),"")</f>
        <v/>
      </c>
      <c r="R426">
        <f>IFERROR(VLOOKUP(M426,'הגדרות'!$A$11:$D$25,3,FALSE),"")</f>
        <v/>
      </c>
      <c r="S426">
        <f>IFERROR(VLOOKUP(N426,'הגדרות'!$A$11:$D$25,2,FALSE),"")</f>
        <v/>
      </c>
      <c r="T426">
        <f>IFERROR(VLOOKUP(N426,'הגדרות'!$A$11:$D$25,3,FALSE),"")</f>
        <v/>
      </c>
      <c r="AB426" s="6" t="n"/>
      <c r="AE426">
        <f>OR(Q426='לוח בקרה'!$B$2,R426='לוח בקרה'!$B$2,S426='לוח בקרה'!$B$2,T426='לוח בקרה'!$B$2)</f>
        <v/>
      </c>
      <c r="AF426">
        <f>AND(AE426,OR(AND(O426="כן",U426="כן"),AND(P426="כן",V426="כן")))</f>
        <v/>
      </c>
      <c r="AG426">
        <f>AND(AE426,OR(O426="כן",P426="כן"),NOT(OR(AND(O426="כן",U426="כן"),AND(P426="כן",V426="כן"))))</f>
        <v/>
      </c>
      <c r="AH426">
        <f>AND(AE426,OR(U426="כן",V426="כן"),NOT(OR(O426="כן",P426="כן")))</f>
        <v/>
      </c>
      <c r="AI426">
        <f>AND(X426="מושאל",AB426&lt;&gt;"",AB426&lt;TODAY())</f>
        <v/>
      </c>
    </row>
    <row r="427">
      <c r="E427">
        <f>IFERROR(INDEX('הגדרות'!$D$104:$D$123,MATCH(B427&amp;G427&amp;C427,'הגדרות'!$A$104:$A$123&amp;'הגדרות'!$B$104:$B$123&amp;'הגדרות'!$C$104:$C$123,0)),"")</f>
        <v/>
      </c>
      <c r="F427" s="6" t="n"/>
      <c r="Q427">
        <f>IFERROR(VLOOKUP(M427,'הגדרות'!$A$11:$D$25,2,FALSE),"")</f>
        <v/>
      </c>
      <c r="R427">
        <f>IFERROR(VLOOKUP(M427,'הגדרות'!$A$11:$D$25,3,FALSE),"")</f>
        <v/>
      </c>
      <c r="S427">
        <f>IFERROR(VLOOKUP(N427,'הגדרות'!$A$11:$D$25,2,FALSE),"")</f>
        <v/>
      </c>
      <c r="T427">
        <f>IFERROR(VLOOKUP(N427,'הגדרות'!$A$11:$D$25,3,FALSE),"")</f>
        <v/>
      </c>
      <c r="AB427" s="6" t="n"/>
      <c r="AE427">
        <f>OR(Q427='לוח בקרה'!$B$2,R427='לוח בקרה'!$B$2,S427='לוח בקרה'!$B$2,T427='לוח בקרה'!$B$2)</f>
        <v/>
      </c>
      <c r="AF427">
        <f>AND(AE427,OR(AND(O427="כן",U427="כן"),AND(P427="כן",V427="כן")))</f>
        <v/>
      </c>
      <c r="AG427">
        <f>AND(AE427,OR(O427="כן",P427="כן"),NOT(OR(AND(O427="כן",U427="כן"),AND(P427="כן",V427="כן"))))</f>
        <v/>
      </c>
      <c r="AH427">
        <f>AND(AE427,OR(U427="כן",V427="כן"),NOT(OR(O427="כן",P427="כן")))</f>
        <v/>
      </c>
      <c r="AI427">
        <f>AND(X427="מושאל",AB427&lt;&gt;"",AB427&lt;TODAY())</f>
        <v/>
      </c>
    </row>
    <row r="428">
      <c r="E428">
        <f>IFERROR(INDEX('הגדרות'!$D$104:$D$123,MATCH(B428&amp;G428&amp;C428,'הגדרות'!$A$104:$A$123&amp;'הגדרות'!$B$104:$B$123&amp;'הגדרות'!$C$104:$C$123,0)),"")</f>
        <v/>
      </c>
      <c r="F428" s="6" t="n"/>
      <c r="Q428">
        <f>IFERROR(VLOOKUP(M428,'הגדרות'!$A$11:$D$25,2,FALSE),"")</f>
        <v/>
      </c>
      <c r="R428">
        <f>IFERROR(VLOOKUP(M428,'הגדרות'!$A$11:$D$25,3,FALSE),"")</f>
        <v/>
      </c>
      <c r="S428">
        <f>IFERROR(VLOOKUP(N428,'הגדרות'!$A$11:$D$25,2,FALSE),"")</f>
        <v/>
      </c>
      <c r="T428">
        <f>IFERROR(VLOOKUP(N428,'הגדרות'!$A$11:$D$25,3,FALSE),"")</f>
        <v/>
      </c>
      <c r="AB428" s="6" t="n"/>
      <c r="AE428">
        <f>OR(Q428='לוח בקרה'!$B$2,R428='לוח בקרה'!$B$2,S428='לוח בקרה'!$B$2,T428='לוח בקרה'!$B$2)</f>
        <v/>
      </c>
      <c r="AF428">
        <f>AND(AE428,OR(AND(O428="כן",U428="כן"),AND(P428="כן",V428="כן")))</f>
        <v/>
      </c>
      <c r="AG428">
        <f>AND(AE428,OR(O428="כן",P428="כן"),NOT(OR(AND(O428="כן",U428="כן"),AND(P428="כן",V428="כן"))))</f>
        <v/>
      </c>
      <c r="AH428">
        <f>AND(AE428,OR(U428="כן",V428="כן"),NOT(OR(O428="כן",P428="כן")))</f>
        <v/>
      </c>
      <c r="AI428">
        <f>AND(X428="מושאל",AB428&lt;&gt;"",AB428&lt;TODAY())</f>
        <v/>
      </c>
    </row>
    <row r="429">
      <c r="E429">
        <f>IFERROR(INDEX('הגדרות'!$D$104:$D$123,MATCH(B429&amp;G429&amp;C429,'הגדרות'!$A$104:$A$123&amp;'הגדרות'!$B$104:$B$123&amp;'הגדרות'!$C$104:$C$123,0)),"")</f>
        <v/>
      </c>
      <c r="F429" s="6" t="n"/>
      <c r="Q429">
        <f>IFERROR(VLOOKUP(M429,'הגדרות'!$A$11:$D$25,2,FALSE),"")</f>
        <v/>
      </c>
      <c r="R429">
        <f>IFERROR(VLOOKUP(M429,'הגדרות'!$A$11:$D$25,3,FALSE),"")</f>
        <v/>
      </c>
      <c r="S429">
        <f>IFERROR(VLOOKUP(N429,'הגדרות'!$A$11:$D$25,2,FALSE),"")</f>
        <v/>
      </c>
      <c r="T429">
        <f>IFERROR(VLOOKUP(N429,'הגדרות'!$A$11:$D$25,3,FALSE),"")</f>
        <v/>
      </c>
      <c r="AB429" s="6" t="n"/>
      <c r="AE429">
        <f>OR(Q429='לוח בקרה'!$B$2,R429='לוח בקרה'!$B$2,S429='לוח בקרה'!$B$2,T429='לוח בקרה'!$B$2)</f>
        <v/>
      </c>
      <c r="AF429">
        <f>AND(AE429,OR(AND(O429="כן",U429="כן"),AND(P429="כן",V429="כן")))</f>
        <v/>
      </c>
      <c r="AG429">
        <f>AND(AE429,OR(O429="כן",P429="כן"),NOT(OR(AND(O429="כן",U429="כן"),AND(P429="כן",V429="כן"))))</f>
        <v/>
      </c>
      <c r="AH429">
        <f>AND(AE429,OR(U429="כן",V429="כן"),NOT(OR(O429="כן",P429="כן")))</f>
        <v/>
      </c>
      <c r="AI429">
        <f>AND(X429="מושאל",AB429&lt;&gt;"",AB429&lt;TODAY())</f>
        <v/>
      </c>
    </row>
    <row r="430">
      <c r="E430">
        <f>IFERROR(INDEX('הגדרות'!$D$104:$D$123,MATCH(B430&amp;G430&amp;C430,'הגדרות'!$A$104:$A$123&amp;'הגדרות'!$B$104:$B$123&amp;'הגדרות'!$C$104:$C$123,0)),"")</f>
        <v/>
      </c>
      <c r="F430" s="6" t="n"/>
      <c r="Q430">
        <f>IFERROR(VLOOKUP(M430,'הגדרות'!$A$11:$D$25,2,FALSE),"")</f>
        <v/>
      </c>
      <c r="R430">
        <f>IFERROR(VLOOKUP(M430,'הגדרות'!$A$11:$D$25,3,FALSE),"")</f>
        <v/>
      </c>
      <c r="S430">
        <f>IFERROR(VLOOKUP(N430,'הגדרות'!$A$11:$D$25,2,FALSE),"")</f>
        <v/>
      </c>
      <c r="T430">
        <f>IFERROR(VLOOKUP(N430,'הגדרות'!$A$11:$D$25,3,FALSE),"")</f>
        <v/>
      </c>
      <c r="AB430" s="6" t="n"/>
      <c r="AE430">
        <f>OR(Q430='לוח בקרה'!$B$2,R430='לוח בקרה'!$B$2,S430='לוח בקרה'!$B$2,T430='לוח בקרה'!$B$2)</f>
        <v/>
      </c>
      <c r="AF430">
        <f>AND(AE430,OR(AND(O430="כן",U430="כן"),AND(P430="כן",V430="כן")))</f>
        <v/>
      </c>
      <c r="AG430">
        <f>AND(AE430,OR(O430="כן",P430="כן"),NOT(OR(AND(O430="כן",U430="כן"),AND(P430="כן",V430="כן"))))</f>
        <v/>
      </c>
      <c r="AH430">
        <f>AND(AE430,OR(U430="כן",V430="כן"),NOT(OR(O430="כן",P430="כן")))</f>
        <v/>
      </c>
      <c r="AI430">
        <f>AND(X430="מושאל",AB430&lt;&gt;"",AB430&lt;TODAY())</f>
        <v/>
      </c>
    </row>
    <row r="431">
      <c r="E431">
        <f>IFERROR(INDEX('הגדרות'!$D$104:$D$123,MATCH(B431&amp;G431&amp;C431,'הגדרות'!$A$104:$A$123&amp;'הגדרות'!$B$104:$B$123&amp;'הגדרות'!$C$104:$C$123,0)),"")</f>
        <v/>
      </c>
      <c r="F431" s="6" t="n"/>
      <c r="Q431">
        <f>IFERROR(VLOOKUP(M431,'הגדרות'!$A$11:$D$25,2,FALSE),"")</f>
        <v/>
      </c>
      <c r="R431">
        <f>IFERROR(VLOOKUP(M431,'הגדרות'!$A$11:$D$25,3,FALSE),"")</f>
        <v/>
      </c>
      <c r="S431">
        <f>IFERROR(VLOOKUP(N431,'הגדרות'!$A$11:$D$25,2,FALSE),"")</f>
        <v/>
      </c>
      <c r="T431">
        <f>IFERROR(VLOOKUP(N431,'הגדרות'!$A$11:$D$25,3,FALSE),"")</f>
        <v/>
      </c>
      <c r="AB431" s="6" t="n"/>
      <c r="AE431">
        <f>OR(Q431='לוח בקרה'!$B$2,R431='לוח בקרה'!$B$2,S431='לוח בקרה'!$B$2,T431='לוח בקרה'!$B$2)</f>
        <v/>
      </c>
      <c r="AF431">
        <f>AND(AE431,OR(AND(O431="כן",U431="כן"),AND(P431="כן",V431="כן")))</f>
        <v/>
      </c>
      <c r="AG431">
        <f>AND(AE431,OR(O431="כן",P431="כן"),NOT(OR(AND(O431="כן",U431="כן"),AND(P431="כן",V431="כן"))))</f>
        <v/>
      </c>
      <c r="AH431">
        <f>AND(AE431,OR(U431="כן",V431="כן"),NOT(OR(O431="כן",P431="כן")))</f>
        <v/>
      </c>
      <c r="AI431">
        <f>AND(X431="מושאל",AB431&lt;&gt;"",AB431&lt;TODAY())</f>
        <v/>
      </c>
    </row>
    <row r="432">
      <c r="E432">
        <f>IFERROR(INDEX('הגדרות'!$D$104:$D$123,MATCH(B432&amp;G432&amp;C432,'הגדרות'!$A$104:$A$123&amp;'הגדרות'!$B$104:$B$123&amp;'הגדרות'!$C$104:$C$123,0)),"")</f>
        <v/>
      </c>
      <c r="F432" s="6" t="n"/>
      <c r="Q432">
        <f>IFERROR(VLOOKUP(M432,'הגדרות'!$A$11:$D$25,2,FALSE),"")</f>
        <v/>
      </c>
      <c r="R432">
        <f>IFERROR(VLOOKUP(M432,'הגדרות'!$A$11:$D$25,3,FALSE),"")</f>
        <v/>
      </c>
      <c r="S432">
        <f>IFERROR(VLOOKUP(N432,'הגדרות'!$A$11:$D$25,2,FALSE),"")</f>
        <v/>
      </c>
      <c r="T432">
        <f>IFERROR(VLOOKUP(N432,'הגדרות'!$A$11:$D$25,3,FALSE),"")</f>
        <v/>
      </c>
      <c r="AB432" s="6" t="n"/>
      <c r="AE432">
        <f>OR(Q432='לוח בקרה'!$B$2,R432='לוח בקרה'!$B$2,S432='לוח בקרה'!$B$2,T432='לוח בקרה'!$B$2)</f>
        <v/>
      </c>
      <c r="AF432">
        <f>AND(AE432,OR(AND(O432="כן",U432="כן"),AND(P432="כן",V432="כן")))</f>
        <v/>
      </c>
      <c r="AG432">
        <f>AND(AE432,OR(O432="כן",P432="כן"),NOT(OR(AND(O432="כן",U432="כן"),AND(P432="כן",V432="כן"))))</f>
        <v/>
      </c>
      <c r="AH432">
        <f>AND(AE432,OR(U432="כן",V432="כן"),NOT(OR(O432="כן",P432="כן")))</f>
        <v/>
      </c>
      <c r="AI432">
        <f>AND(X432="מושאל",AB432&lt;&gt;"",AB432&lt;TODAY())</f>
        <v/>
      </c>
    </row>
    <row r="433">
      <c r="E433">
        <f>IFERROR(INDEX('הגדרות'!$D$104:$D$123,MATCH(B433&amp;G433&amp;C433,'הגדרות'!$A$104:$A$123&amp;'הגדרות'!$B$104:$B$123&amp;'הגדרות'!$C$104:$C$123,0)),"")</f>
        <v/>
      </c>
      <c r="F433" s="6" t="n"/>
      <c r="Q433">
        <f>IFERROR(VLOOKUP(M433,'הגדרות'!$A$11:$D$25,2,FALSE),"")</f>
        <v/>
      </c>
      <c r="R433">
        <f>IFERROR(VLOOKUP(M433,'הגדרות'!$A$11:$D$25,3,FALSE),"")</f>
        <v/>
      </c>
      <c r="S433">
        <f>IFERROR(VLOOKUP(N433,'הגדרות'!$A$11:$D$25,2,FALSE),"")</f>
        <v/>
      </c>
      <c r="T433">
        <f>IFERROR(VLOOKUP(N433,'הגדרות'!$A$11:$D$25,3,FALSE),"")</f>
        <v/>
      </c>
      <c r="AB433" s="6" t="n"/>
      <c r="AE433">
        <f>OR(Q433='לוח בקרה'!$B$2,R433='לוח בקרה'!$B$2,S433='לוח בקרה'!$B$2,T433='לוח בקרה'!$B$2)</f>
        <v/>
      </c>
      <c r="AF433">
        <f>AND(AE433,OR(AND(O433="כן",U433="כן"),AND(P433="כן",V433="כן")))</f>
        <v/>
      </c>
      <c r="AG433">
        <f>AND(AE433,OR(O433="כן",P433="כן"),NOT(OR(AND(O433="כן",U433="כן"),AND(P433="כן",V433="כן"))))</f>
        <v/>
      </c>
      <c r="AH433">
        <f>AND(AE433,OR(U433="כן",V433="כן"),NOT(OR(O433="כן",P433="כן")))</f>
        <v/>
      </c>
      <c r="AI433">
        <f>AND(X433="מושאל",AB433&lt;&gt;"",AB433&lt;TODAY())</f>
        <v/>
      </c>
    </row>
    <row r="434">
      <c r="E434">
        <f>IFERROR(INDEX('הגדרות'!$D$104:$D$123,MATCH(B434&amp;G434&amp;C434,'הגדרות'!$A$104:$A$123&amp;'הגדרות'!$B$104:$B$123&amp;'הגדרות'!$C$104:$C$123,0)),"")</f>
        <v/>
      </c>
      <c r="F434" s="6" t="n"/>
      <c r="Q434">
        <f>IFERROR(VLOOKUP(M434,'הגדרות'!$A$11:$D$25,2,FALSE),"")</f>
        <v/>
      </c>
      <c r="R434">
        <f>IFERROR(VLOOKUP(M434,'הגדרות'!$A$11:$D$25,3,FALSE),"")</f>
        <v/>
      </c>
      <c r="S434">
        <f>IFERROR(VLOOKUP(N434,'הגדרות'!$A$11:$D$25,2,FALSE),"")</f>
        <v/>
      </c>
      <c r="T434">
        <f>IFERROR(VLOOKUP(N434,'הגדרות'!$A$11:$D$25,3,FALSE),"")</f>
        <v/>
      </c>
      <c r="AB434" s="6" t="n"/>
      <c r="AE434">
        <f>OR(Q434='לוח בקרה'!$B$2,R434='לוח בקרה'!$B$2,S434='לוח בקרה'!$B$2,T434='לוח בקרה'!$B$2)</f>
        <v/>
      </c>
      <c r="AF434">
        <f>AND(AE434,OR(AND(O434="כן",U434="כן"),AND(P434="כן",V434="כן")))</f>
        <v/>
      </c>
      <c r="AG434">
        <f>AND(AE434,OR(O434="כן",P434="כן"),NOT(OR(AND(O434="כן",U434="כן"),AND(P434="כן",V434="כן"))))</f>
        <v/>
      </c>
      <c r="AH434">
        <f>AND(AE434,OR(U434="כן",V434="כן"),NOT(OR(O434="כן",P434="כן")))</f>
        <v/>
      </c>
      <c r="AI434">
        <f>AND(X434="מושאל",AB434&lt;&gt;"",AB434&lt;TODAY())</f>
        <v/>
      </c>
    </row>
    <row r="435">
      <c r="E435">
        <f>IFERROR(INDEX('הגדרות'!$D$104:$D$123,MATCH(B435&amp;G435&amp;C435,'הגדרות'!$A$104:$A$123&amp;'הגדרות'!$B$104:$B$123&amp;'הגדרות'!$C$104:$C$123,0)),"")</f>
        <v/>
      </c>
      <c r="F435" s="6" t="n"/>
      <c r="Q435">
        <f>IFERROR(VLOOKUP(M435,'הגדרות'!$A$11:$D$25,2,FALSE),"")</f>
        <v/>
      </c>
      <c r="R435">
        <f>IFERROR(VLOOKUP(M435,'הגדרות'!$A$11:$D$25,3,FALSE),"")</f>
        <v/>
      </c>
      <c r="S435">
        <f>IFERROR(VLOOKUP(N435,'הגדרות'!$A$11:$D$25,2,FALSE),"")</f>
        <v/>
      </c>
      <c r="T435">
        <f>IFERROR(VLOOKUP(N435,'הגדרות'!$A$11:$D$25,3,FALSE),"")</f>
        <v/>
      </c>
      <c r="AB435" s="6" t="n"/>
      <c r="AE435">
        <f>OR(Q435='לוח בקרה'!$B$2,R435='לוח בקרה'!$B$2,S435='לוח בקרה'!$B$2,T435='לוח בקרה'!$B$2)</f>
        <v/>
      </c>
      <c r="AF435">
        <f>AND(AE435,OR(AND(O435="כן",U435="כן"),AND(P435="כן",V435="כן")))</f>
        <v/>
      </c>
      <c r="AG435">
        <f>AND(AE435,OR(O435="כן",P435="כן"),NOT(OR(AND(O435="כן",U435="כן"),AND(P435="כן",V435="כן"))))</f>
        <v/>
      </c>
      <c r="AH435">
        <f>AND(AE435,OR(U435="כן",V435="כן"),NOT(OR(O435="כן",P435="כן")))</f>
        <v/>
      </c>
      <c r="AI435">
        <f>AND(X435="מושאל",AB435&lt;&gt;"",AB435&lt;TODAY())</f>
        <v/>
      </c>
    </row>
    <row r="436">
      <c r="E436">
        <f>IFERROR(INDEX('הגדרות'!$D$104:$D$123,MATCH(B436&amp;G436&amp;C436,'הגדרות'!$A$104:$A$123&amp;'הגדרות'!$B$104:$B$123&amp;'הגדרות'!$C$104:$C$123,0)),"")</f>
        <v/>
      </c>
      <c r="F436" s="6" t="n"/>
      <c r="Q436">
        <f>IFERROR(VLOOKUP(M436,'הגדרות'!$A$11:$D$25,2,FALSE),"")</f>
        <v/>
      </c>
      <c r="R436">
        <f>IFERROR(VLOOKUP(M436,'הגדרות'!$A$11:$D$25,3,FALSE),"")</f>
        <v/>
      </c>
      <c r="S436">
        <f>IFERROR(VLOOKUP(N436,'הגדרות'!$A$11:$D$25,2,FALSE),"")</f>
        <v/>
      </c>
      <c r="T436">
        <f>IFERROR(VLOOKUP(N436,'הגדרות'!$A$11:$D$25,3,FALSE),"")</f>
        <v/>
      </c>
      <c r="AB436" s="6" t="n"/>
      <c r="AE436">
        <f>OR(Q436='לוח בקרה'!$B$2,R436='לוח בקרה'!$B$2,S436='לוח בקרה'!$B$2,T436='לוח בקרה'!$B$2)</f>
        <v/>
      </c>
      <c r="AF436">
        <f>AND(AE436,OR(AND(O436="כן",U436="כן"),AND(P436="כן",V436="כן")))</f>
        <v/>
      </c>
      <c r="AG436">
        <f>AND(AE436,OR(O436="כן",P436="כן"),NOT(OR(AND(O436="כן",U436="כן"),AND(P436="כן",V436="כן"))))</f>
        <v/>
      </c>
      <c r="AH436">
        <f>AND(AE436,OR(U436="כן",V436="כן"),NOT(OR(O436="כן",P436="כן")))</f>
        <v/>
      </c>
      <c r="AI436">
        <f>AND(X436="מושאל",AB436&lt;&gt;"",AB436&lt;TODAY())</f>
        <v/>
      </c>
    </row>
    <row r="437">
      <c r="E437">
        <f>IFERROR(INDEX('הגדרות'!$D$104:$D$123,MATCH(B437&amp;G437&amp;C437,'הגדרות'!$A$104:$A$123&amp;'הגדרות'!$B$104:$B$123&amp;'הגדרות'!$C$104:$C$123,0)),"")</f>
        <v/>
      </c>
      <c r="F437" s="6" t="n"/>
      <c r="Q437">
        <f>IFERROR(VLOOKUP(M437,'הגדרות'!$A$11:$D$25,2,FALSE),"")</f>
        <v/>
      </c>
      <c r="R437">
        <f>IFERROR(VLOOKUP(M437,'הגדרות'!$A$11:$D$25,3,FALSE),"")</f>
        <v/>
      </c>
      <c r="S437">
        <f>IFERROR(VLOOKUP(N437,'הגדרות'!$A$11:$D$25,2,FALSE),"")</f>
        <v/>
      </c>
      <c r="T437">
        <f>IFERROR(VLOOKUP(N437,'הגדרות'!$A$11:$D$25,3,FALSE),"")</f>
        <v/>
      </c>
      <c r="AB437" s="6" t="n"/>
      <c r="AE437">
        <f>OR(Q437='לוח בקרה'!$B$2,R437='לוח בקרה'!$B$2,S437='לוח בקרה'!$B$2,T437='לוח בקרה'!$B$2)</f>
        <v/>
      </c>
      <c r="AF437">
        <f>AND(AE437,OR(AND(O437="כן",U437="כן"),AND(P437="כן",V437="כן")))</f>
        <v/>
      </c>
      <c r="AG437">
        <f>AND(AE437,OR(O437="כן",P437="כן"),NOT(OR(AND(O437="כן",U437="כן"),AND(P437="כן",V437="כן"))))</f>
        <v/>
      </c>
      <c r="AH437">
        <f>AND(AE437,OR(U437="כן",V437="כן"),NOT(OR(O437="כן",P437="כן")))</f>
        <v/>
      </c>
      <c r="AI437">
        <f>AND(X437="מושאל",AB437&lt;&gt;"",AB437&lt;TODAY())</f>
        <v/>
      </c>
    </row>
    <row r="438">
      <c r="E438">
        <f>IFERROR(INDEX('הגדרות'!$D$104:$D$123,MATCH(B438&amp;G438&amp;C438,'הגדרות'!$A$104:$A$123&amp;'הגדרות'!$B$104:$B$123&amp;'הגדרות'!$C$104:$C$123,0)),"")</f>
        <v/>
      </c>
      <c r="F438" s="6" t="n"/>
      <c r="Q438">
        <f>IFERROR(VLOOKUP(M438,'הגדרות'!$A$11:$D$25,2,FALSE),"")</f>
        <v/>
      </c>
      <c r="R438">
        <f>IFERROR(VLOOKUP(M438,'הגדרות'!$A$11:$D$25,3,FALSE),"")</f>
        <v/>
      </c>
      <c r="S438">
        <f>IFERROR(VLOOKUP(N438,'הגדרות'!$A$11:$D$25,2,FALSE),"")</f>
        <v/>
      </c>
      <c r="T438">
        <f>IFERROR(VLOOKUP(N438,'הגדרות'!$A$11:$D$25,3,FALSE),"")</f>
        <v/>
      </c>
      <c r="AB438" s="6" t="n"/>
      <c r="AE438">
        <f>OR(Q438='לוח בקרה'!$B$2,R438='לוח בקרה'!$B$2,S438='לוח בקרה'!$B$2,T438='לוח בקרה'!$B$2)</f>
        <v/>
      </c>
      <c r="AF438">
        <f>AND(AE438,OR(AND(O438="כן",U438="כן"),AND(P438="כן",V438="כן")))</f>
        <v/>
      </c>
      <c r="AG438">
        <f>AND(AE438,OR(O438="כן",P438="כן"),NOT(OR(AND(O438="כן",U438="כן"),AND(P438="כן",V438="כן"))))</f>
        <v/>
      </c>
      <c r="AH438">
        <f>AND(AE438,OR(U438="כן",V438="כן"),NOT(OR(O438="כן",P438="כן")))</f>
        <v/>
      </c>
      <c r="AI438">
        <f>AND(X438="מושאל",AB438&lt;&gt;"",AB438&lt;TODAY())</f>
        <v/>
      </c>
    </row>
    <row r="439">
      <c r="E439">
        <f>IFERROR(INDEX('הגדרות'!$D$104:$D$123,MATCH(B439&amp;G439&amp;C439,'הגדרות'!$A$104:$A$123&amp;'הגדרות'!$B$104:$B$123&amp;'הגדרות'!$C$104:$C$123,0)),"")</f>
        <v/>
      </c>
      <c r="F439" s="6" t="n"/>
      <c r="Q439">
        <f>IFERROR(VLOOKUP(M439,'הגדרות'!$A$11:$D$25,2,FALSE),"")</f>
        <v/>
      </c>
      <c r="R439">
        <f>IFERROR(VLOOKUP(M439,'הגדרות'!$A$11:$D$25,3,FALSE),"")</f>
        <v/>
      </c>
      <c r="S439">
        <f>IFERROR(VLOOKUP(N439,'הגדרות'!$A$11:$D$25,2,FALSE),"")</f>
        <v/>
      </c>
      <c r="T439">
        <f>IFERROR(VLOOKUP(N439,'הגדרות'!$A$11:$D$25,3,FALSE),"")</f>
        <v/>
      </c>
      <c r="AB439" s="6" t="n"/>
      <c r="AE439">
        <f>OR(Q439='לוח בקרה'!$B$2,R439='לוח בקרה'!$B$2,S439='לוח בקרה'!$B$2,T439='לוח בקרה'!$B$2)</f>
        <v/>
      </c>
      <c r="AF439">
        <f>AND(AE439,OR(AND(O439="כן",U439="כן"),AND(P439="כן",V439="כן")))</f>
        <v/>
      </c>
      <c r="AG439">
        <f>AND(AE439,OR(O439="כן",P439="כן"),NOT(OR(AND(O439="כן",U439="כן"),AND(P439="כן",V439="כן"))))</f>
        <v/>
      </c>
      <c r="AH439">
        <f>AND(AE439,OR(U439="כן",V439="כן"),NOT(OR(O439="כן",P439="כן")))</f>
        <v/>
      </c>
      <c r="AI439">
        <f>AND(X439="מושאל",AB439&lt;&gt;"",AB439&lt;TODAY())</f>
        <v/>
      </c>
    </row>
    <row r="440">
      <c r="E440">
        <f>IFERROR(INDEX('הגדרות'!$D$104:$D$123,MATCH(B440&amp;G440&amp;C440,'הגדרות'!$A$104:$A$123&amp;'הגדרות'!$B$104:$B$123&amp;'הגדרות'!$C$104:$C$123,0)),"")</f>
        <v/>
      </c>
      <c r="F440" s="6" t="n"/>
      <c r="Q440">
        <f>IFERROR(VLOOKUP(M440,'הגדרות'!$A$11:$D$25,2,FALSE),"")</f>
        <v/>
      </c>
      <c r="R440">
        <f>IFERROR(VLOOKUP(M440,'הגדרות'!$A$11:$D$25,3,FALSE),"")</f>
        <v/>
      </c>
      <c r="S440">
        <f>IFERROR(VLOOKUP(N440,'הגדרות'!$A$11:$D$25,2,FALSE),"")</f>
        <v/>
      </c>
      <c r="T440">
        <f>IFERROR(VLOOKUP(N440,'הגדרות'!$A$11:$D$25,3,FALSE),"")</f>
        <v/>
      </c>
      <c r="AB440" s="6" t="n"/>
      <c r="AE440">
        <f>OR(Q440='לוח בקרה'!$B$2,R440='לוח בקרה'!$B$2,S440='לוח בקרה'!$B$2,T440='לוח בקרה'!$B$2)</f>
        <v/>
      </c>
      <c r="AF440">
        <f>AND(AE440,OR(AND(O440="כן",U440="כן"),AND(P440="כן",V440="כן")))</f>
        <v/>
      </c>
      <c r="AG440">
        <f>AND(AE440,OR(O440="כן",P440="כן"),NOT(OR(AND(O440="כן",U440="כן"),AND(P440="כן",V440="כן"))))</f>
        <v/>
      </c>
      <c r="AH440">
        <f>AND(AE440,OR(U440="כן",V440="כן"),NOT(OR(O440="כן",P440="כן")))</f>
        <v/>
      </c>
      <c r="AI440">
        <f>AND(X440="מושאל",AB440&lt;&gt;"",AB440&lt;TODAY())</f>
        <v/>
      </c>
    </row>
    <row r="441">
      <c r="E441">
        <f>IFERROR(INDEX('הגדרות'!$D$104:$D$123,MATCH(B441&amp;G441&amp;C441,'הגדרות'!$A$104:$A$123&amp;'הגדרות'!$B$104:$B$123&amp;'הגדרות'!$C$104:$C$123,0)),"")</f>
        <v/>
      </c>
      <c r="F441" s="6" t="n"/>
      <c r="Q441">
        <f>IFERROR(VLOOKUP(M441,'הגדרות'!$A$11:$D$25,2,FALSE),"")</f>
        <v/>
      </c>
      <c r="R441">
        <f>IFERROR(VLOOKUP(M441,'הגדרות'!$A$11:$D$25,3,FALSE),"")</f>
        <v/>
      </c>
      <c r="S441">
        <f>IFERROR(VLOOKUP(N441,'הגדרות'!$A$11:$D$25,2,FALSE),"")</f>
        <v/>
      </c>
      <c r="T441">
        <f>IFERROR(VLOOKUP(N441,'הגדרות'!$A$11:$D$25,3,FALSE),"")</f>
        <v/>
      </c>
      <c r="AB441" s="6" t="n"/>
      <c r="AE441">
        <f>OR(Q441='לוח בקרה'!$B$2,R441='לוח בקרה'!$B$2,S441='לוח בקרה'!$B$2,T441='לוח בקרה'!$B$2)</f>
        <v/>
      </c>
      <c r="AF441">
        <f>AND(AE441,OR(AND(O441="כן",U441="כן"),AND(P441="כן",V441="כן")))</f>
        <v/>
      </c>
      <c r="AG441">
        <f>AND(AE441,OR(O441="כן",P441="כן"),NOT(OR(AND(O441="כן",U441="כן"),AND(P441="כן",V441="כן"))))</f>
        <v/>
      </c>
      <c r="AH441">
        <f>AND(AE441,OR(U441="כן",V441="כן"),NOT(OR(O441="כן",P441="כן")))</f>
        <v/>
      </c>
      <c r="AI441">
        <f>AND(X441="מושאל",AB441&lt;&gt;"",AB441&lt;TODAY())</f>
        <v/>
      </c>
    </row>
    <row r="442">
      <c r="E442">
        <f>IFERROR(INDEX('הגדרות'!$D$104:$D$123,MATCH(B442&amp;G442&amp;C442,'הגדרות'!$A$104:$A$123&amp;'הגדרות'!$B$104:$B$123&amp;'הגדרות'!$C$104:$C$123,0)),"")</f>
        <v/>
      </c>
      <c r="F442" s="6" t="n"/>
      <c r="Q442">
        <f>IFERROR(VLOOKUP(M442,'הגדרות'!$A$11:$D$25,2,FALSE),"")</f>
        <v/>
      </c>
      <c r="R442">
        <f>IFERROR(VLOOKUP(M442,'הגדרות'!$A$11:$D$25,3,FALSE),"")</f>
        <v/>
      </c>
      <c r="S442">
        <f>IFERROR(VLOOKUP(N442,'הגדרות'!$A$11:$D$25,2,FALSE),"")</f>
        <v/>
      </c>
      <c r="T442">
        <f>IFERROR(VLOOKUP(N442,'הגדרות'!$A$11:$D$25,3,FALSE),"")</f>
        <v/>
      </c>
      <c r="AB442" s="6" t="n"/>
      <c r="AE442">
        <f>OR(Q442='לוח בקרה'!$B$2,R442='לוח בקרה'!$B$2,S442='לוח בקרה'!$B$2,T442='לוח בקרה'!$B$2)</f>
        <v/>
      </c>
      <c r="AF442">
        <f>AND(AE442,OR(AND(O442="כן",U442="כן"),AND(P442="כן",V442="כן")))</f>
        <v/>
      </c>
      <c r="AG442">
        <f>AND(AE442,OR(O442="כן",P442="כן"),NOT(OR(AND(O442="כן",U442="כן"),AND(P442="כן",V442="כן"))))</f>
        <v/>
      </c>
      <c r="AH442">
        <f>AND(AE442,OR(U442="כן",V442="כן"),NOT(OR(O442="כן",P442="כן")))</f>
        <v/>
      </c>
      <c r="AI442">
        <f>AND(X442="מושאל",AB442&lt;&gt;"",AB442&lt;TODAY())</f>
        <v/>
      </c>
    </row>
    <row r="443">
      <c r="E443">
        <f>IFERROR(INDEX('הגדרות'!$D$104:$D$123,MATCH(B443&amp;G443&amp;C443,'הגדרות'!$A$104:$A$123&amp;'הגדרות'!$B$104:$B$123&amp;'הגדרות'!$C$104:$C$123,0)),"")</f>
        <v/>
      </c>
      <c r="F443" s="6" t="n"/>
      <c r="Q443">
        <f>IFERROR(VLOOKUP(M443,'הגדרות'!$A$11:$D$25,2,FALSE),"")</f>
        <v/>
      </c>
      <c r="R443">
        <f>IFERROR(VLOOKUP(M443,'הגדרות'!$A$11:$D$25,3,FALSE),"")</f>
        <v/>
      </c>
      <c r="S443">
        <f>IFERROR(VLOOKUP(N443,'הגדרות'!$A$11:$D$25,2,FALSE),"")</f>
        <v/>
      </c>
      <c r="T443">
        <f>IFERROR(VLOOKUP(N443,'הגדרות'!$A$11:$D$25,3,FALSE),"")</f>
        <v/>
      </c>
      <c r="AB443" s="6" t="n"/>
      <c r="AE443">
        <f>OR(Q443='לוח בקרה'!$B$2,R443='לוח בקרה'!$B$2,S443='לוח בקרה'!$B$2,T443='לוח בקרה'!$B$2)</f>
        <v/>
      </c>
      <c r="AF443">
        <f>AND(AE443,OR(AND(O443="כן",U443="כן"),AND(P443="כן",V443="כן")))</f>
        <v/>
      </c>
      <c r="AG443">
        <f>AND(AE443,OR(O443="כן",P443="כן"),NOT(OR(AND(O443="כן",U443="כן"),AND(P443="כן",V443="כן"))))</f>
        <v/>
      </c>
      <c r="AH443">
        <f>AND(AE443,OR(U443="כן",V443="כן"),NOT(OR(O443="כן",P443="כן")))</f>
        <v/>
      </c>
      <c r="AI443">
        <f>AND(X443="מושאל",AB443&lt;&gt;"",AB443&lt;TODAY())</f>
        <v/>
      </c>
    </row>
    <row r="444">
      <c r="E444">
        <f>IFERROR(INDEX('הגדרות'!$D$104:$D$123,MATCH(B444&amp;G444&amp;C444,'הגדרות'!$A$104:$A$123&amp;'הגדרות'!$B$104:$B$123&amp;'הגדרות'!$C$104:$C$123,0)),"")</f>
        <v/>
      </c>
      <c r="F444" s="6" t="n"/>
      <c r="Q444">
        <f>IFERROR(VLOOKUP(M444,'הגדרות'!$A$11:$D$25,2,FALSE),"")</f>
        <v/>
      </c>
      <c r="R444">
        <f>IFERROR(VLOOKUP(M444,'הגדרות'!$A$11:$D$25,3,FALSE),"")</f>
        <v/>
      </c>
      <c r="S444">
        <f>IFERROR(VLOOKUP(N444,'הגדרות'!$A$11:$D$25,2,FALSE),"")</f>
        <v/>
      </c>
      <c r="T444">
        <f>IFERROR(VLOOKUP(N444,'הגדרות'!$A$11:$D$25,3,FALSE),"")</f>
        <v/>
      </c>
      <c r="AB444" s="6" t="n"/>
      <c r="AE444">
        <f>OR(Q444='לוח בקרה'!$B$2,R444='לוח בקרה'!$B$2,S444='לוח בקרה'!$B$2,T444='לוח בקרה'!$B$2)</f>
        <v/>
      </c>
      <c r="AF444">
        <f>AND(AE444,OR(AND(O444="כן",U444="כן"),AND(P444="כן",V444="כן")))</f>
        <v/>
      </c>
      <c r="AG444">
        <f>AND(AE444,OR(O444="כן",P444="כן"),NOT(OR(AND(O444="כן",U444="כן"),AND(P444="כן",V444="כן"))))</f>
        <v/>
      </c>
      <c r="AH444">
        <f>AND(AE444,OR(U444="כן",V444="כן"),NOT(OR(O444="כן",P444="כן")))</f>
        <v/>
      </c>
      <c r="AI444">
        <f>AND(X444="מושאל",AB444&lt;&gt;"",AB444&lt;TODAY())</f>
        <v/>
      </c>
    </row>
    <row r="445">
      <c r="E445">
        <f>IFERROR(INDEX('הגדרות'!$D$104:$D$123,MATCH(B445&amp;G445&amp;C445,'הגדרות'!$A$104:$A$123&amp;'הגדרות'!$B$104:$B$123&amp;'הגדרות'!$C$104:$C$123,0)),"")</f>
        <v/>
      </c>
      <c r="F445" s="6" t="n"/>
      <c r="Q445">
        <f>IFERROR(VLOOKUP(M445,'הגדרות'!$A$11:$D$25,2,FALSE),"")</f>
        <v/>
      </c>
      <c r="R445">
        <f>IFERROR(VLOOKUP(M445,'הגדרות'!$A$11:$D$25,3,FALSE),"")</f>
        <v/>
      </c>
      <c r="S445">
        <f>IFERROR(VLOOKUP(N445,'הגדרות'!$A$11:$D$25,2,FALSE),"")</f>
        <v/>
      </c>
      <c r="T445">
        <f>IFERROR(VLOOKUP(N445,'הגדרות'!$A$11:$D$25,3,FALSE),"")</f>
        <v/>
      </c>
      <c r="AB445" s="6" t="n"/>
      <c r="AE445">
        <f>OR(Q445='לוח בקרה'!$B$2,R445='לוח בקרה'!$B$2,S445='לוח בקרה'!$B$2,T445='לוח בקרה'!$B$2)</f>
        <v/>
      </c>
      <c r="AF445">
        <f>AND(AE445,OR(AND(O445="כן",U445="כן"),AND(P445="כן",V445="כן")))</f>
        <v/>
      </c>
      <c r="AG445">
        <f>AND(AE445,OR(O445="כן",P445="כן"),NOT(OR(AND(O445="כן",U445="כן"),AND(P445="כן",V445="כן"))))</f>
        <v/>
      </c>
      <c r="AH445">
        <f>AND(AE445,OR(U445="כן",V445="כן"),NOT(OR(O445="כן",P445="כן")))</f>
        <v/>
      </c>
      <c r="AI445">
        <f>AND(X445="מושאל",AB445&lt;&gt;"",AB445&lt;TODAY())</f>
        <v/>
      </c>
    </row>
    <row r="446">
      <c r="E446">
        <f>IFERROR(INDEX('הגדרות'!$D$104:$D$123,MATCH(B446&amp;G446&amp;C446,'הגדרות'!$A$104:$A$123&amp;'הגדרות'!$B$104:$B$123&amp;'הגדרות'!$C$104:$C$123,0)),"")</f>
        <v/>
      </c>
      <c r="F446" s="6" t="n"/>
      <c r="Q446">
        <f>IFERROR(VLOOKUP(M446,'הגדרות'!$A$11:$D$25,2,FALSE),"")</f>
        <v/>
      </c>
      <c r="R446">
        <f>IFERROR(VLOOKUP(M446,'הגדרות'!$A$11:$D$25,3,FALSE),"")</f>
        <v/>
      </c>
      <c r="S446">
        <f>IFERROR(VLOOKUP(N446,'הגדרות'!$A$11:$D$25,2,FALSE),"")</f>
        <v/>
      </c>
      <c r="T446">
        <f>IFERROR(VLOOKUP(N446,'הגדרות'!$A$11:$D$25,3,FALSE),"")</f>
        <v/>
      </c>
      <c r="AB446" s="6" t="n"/>
      <c r="AE446">
        <f>OR(Q446='לוח בקרה'!$B$2,R446='לוח בקרה'!$B$2,S446='לוח בקרה'!$B$2,T446='לוח בקרה'!$B$2)</f>
        <v/>
      </c>
      <c r="AF446">
        <f>AND(AE446,OR(AND(O446="כן",U446="כן"),AND(P446="כן",V446="כן")))</f>
        <v/>
      </c>
      <c r="AG446">
        <f>AND(AE446,OR(O446="כן",P446="כן"),NOT(OR(AND(O446="כן",U446="כן"),AND(P446="כן",V446="כן"))))</f>
        <v/>
      </c>
      <c r="AH446">
        <f>AND(AE446,OR(U446="כן",V446="כן"),NOT(OR(O446="כן",P446="כן")))</f>
        <v/>
      </c>
      <c r="AI446">
        <f>AND(X446="מושאל",AB446&lt;&gt;"",AB446&lt;TODAY())</f>
        <v/>
      </c>
    </row>
    <row r="447">
      <c r="E447">
        <f>IFERROR(INDEX('הגדרות'!$D$104:$D$123,MATCH(B447&amp;G447&amp;C447,'הגדרות'!$A$104:$A$123&amp;'הגדרות'!$B$104:$B$123&amp;'הגדרות'!$C$104:$C$123,0)),"")</f>
        <v/>
      </c>
      <c r="F447" s="6" t="n"/>
      <c r="Q447">
        <f>IFERROR(VLOOKUP(M447,'הגדרות'!$A$11:$D$25,2,FALSE),"")</f>
        <v/>
      </c>
      <c r="R447">
        <f>IFERROR(VLOOKUP(M447,'הגדרות'!$A$11:$D$25,3,FALSE),"")</f>
        <v/>
      </c>
      <c r="S447">
        <f>IFERROR(VLOOKUP(N447,'הגדרות'!$A$11:$D$25,2,FALSE),"")</f>
        <v/>
      </c>
      <c r="T447">
        <f>IFERROR(VLOOKUP(N447,'הגדרות'!$A$11:$D$25,3,FALSE),"")</f>
        <v/>
      </c>
      <c r="AB447" s="6" t="n"/>
      <c r="AE447">
        <f>OR(Q447='לוח בקרה'!$B$2,R447='לוח בקרה'!$B$2,S447='לוח בקרה'!$B$2,T447='לוח בקרה'!$B$2)</f>
        <v/>
      </c>
      <c r="AF447">
        <f>AND(AE447,OR(AND(O447="כן",U447="כן"),AND(P447="כן",V447="כן")))</f>
        <v/>
      </c>
      <c r="AG447">
        <f>AND(AE447,OR(O447="כן",P447="כן"),NOT(OR(AND(O447="כן",U447="כן"),AND(P447="כן",V447="כן"))))</f>
        <v/>
      </c>
      <c r="AH447">
        <f>AND(AE447,OR(U447="כן",V447="כן"),NOT(OR(O447="כן",P447="כן")))</f>
        <v/>
      </c>
      <c r="AI447">
        <f>AND(X447="מושאל",AB447&lt;&gt;"",AB447&lt;TODAY())</f>
        <v/>
      </c>
    </row>
    <row r="448">
      <c r="E448">
        <f>IFERROR(INDEX('הגדרות'!$D$104:$D$123,MATCH(B448&amp;G448&amp;C448,'הגדרות'!$A$104:$A$123&amp;'הגדרות'!$B$104:$B$123&amp;'הגדרות'!$C$104:$C$123,0)),"")</f>
        <v/>
      </c>
      <c r="F448" s="6" t="n"/>
      <c r="Q448">
        <f>IFERROR(VLOOKUP(M448,'הגדרות'!$A$11:$D$25,2,FALSE),"")</f>
        <v/>
      </c>
      <c r="R448">
        <f>IFERROR(VLOOKUP(M448,'הגדרות'!$A$11:$D$25,3,FALSE),"")</f>
        <v/>
      </c>
      <c r="S448">
        <f>IFERROR(VLOOKUP(N448,'הגדרות'!$A$11:$D$25,2,FALSE),"")</f>
        <v/>
      </c>
      <c r="T448">
        <f>IFERROR(VLOOKUP(N448,'הגדרות'!$A$11:$D$25,3,FALSE),"")</f>
        <v/>
      </c>
      <c r="AB448" s="6" t="n"/>
      <c r="AE448">
        <f>OR(Q448='לוח בקרה'!$B$2,R448='לוח בקרה'!$B$2,S448='לוח בקרה'!$B$2,T448='לוח בקרה'!$B$2)</f>
        <v/>
      </c>
      <c r="AF448">
        <f>AND(AE448,OR(AND(O448="כן",U448="כן"),AND(P448="כן",V448="כן")))</f>
        <v/>
      </c>
      <c r="AG448">
        <f>AND(AE448,OR(O448="כן",P448="כן"),NOT(OR(AND(O448="כן",U448="כן"),AND(P448="כן",V448="כן"))))</f>
        <v/>
      </c>
      <c r="AH448">
        <f>AND(AE448,OR(U448="כן",V448="כן"),NOT(OR(O448="כן",P448="כן")))</f>
        <v/>
      </c>
      <c r="AI448">
        <f>AND(X448="מושאל",AB448&lt;&gt;"",AB448&lt;TODAY())</f>
        <v/>
      </c>
    </row>
    <row r="449">
      <c r="E449">
        <f>IFERROR(INDEX('הגדרות'!$D$104:$D$123,MATCH(B449&amp;G449&amp;C449,'הגדרות'!$A$104:$A$123&amp;'הגדרות'!$B$104:$B$123&amp;'הגדרות'!$C$104:$C$123,0)),"")</f>
        <v/>
      </c>
      <c r="F449" s="6" t="n"/>
      <c r="Q449">
        <f>IFERROR(VLOOKUP(M449,'הגדרות'!$A$11:$D$25,2,FALSE),"")</f>
        <v/>
      </c>
      <c r="R449">
        <f>IFERROR(VLOOKUP(M449,'הגדרות'!$A$11:$D$25,3,FALSE),"")</f>
        <v/>
      </c>
      <c r="S449">
        <f>IFERROR(VLOOKUP(N449,'הגדרות'!$A$11:$D$25,2,FALSE),"")</f>
        <v/>
      </c>
      <c r="T449">
        <f>IFERROR(VLOOKUP(N449,'הגדרות'!$A$11:$D$25,3,FALSE),"")</f>
        <v/>
      </c>
      <c r="AB449" s="6" t="n"/>
      <c r="AE449">
        <f>OR(Q449='לוח בקרה'!$B$2,R449='לוח בקרה'!$B$2,S449='לוח בקרה'!$B$2,T449='לוח בקרה'!$B$2)</f>
        <v/>
      </c>
      <c r="AF449">
        <f>AND(AE449,OR(AND(O449="כן",U449="כן"),AND(P449="כן",V449="כן")))</f>
        <v/>
      </c>
      <c r="AG449">
        <f>AND(AE449,OR(O449="כן",P449="כן"),NOT(OR(AND(O449="כן",U449="כן"),AND(P449="כן",V449="כן"))))</f>
        <v/>
      </c>
      <c r="AH449">
        <f>AND(AE449,OR(U449="כן",V449="כן"),NOT(OR(O449="כן",P449="כן")))</f>
        <v/>
      </c>
      <c r="AI449">
        <f>AND(X449="מושאל",AB449&lt;&gt;"",AB449&lt;TODAY())</f>
        <v/>
      </c>
    </row>
    <row r="450">
      <c r="E450">
        <f>IFERROR(INDEX('הגדרות'!$D$104:$D$123,MATCH(B450&amp;G450&amp;C450,'הגדרות'!$A$104:$A$123&amp;'הגדרות'!$B$104:$B$123&amp;'הגדרות'!$C$104:$C$123,0)),"")</f>
        <v/>
      </c>
      <c r="F450" s="6" t="n"/>
      <c r="Q450">
        <f>IFERROR(VLOOKUP(M450,'הגדרות'!$A$11:$D$25,2,FALSE),"")</f>
        <v/>
      </c>
      <c r="R450">
        <f>IFERROR(VLOOKUP(M450,'הגדרות'!$A$11:$D$25,3,FALSE),"")</f>
        <v/>
      </c>
      <c r="S450">
        <f>IFERROR(VLOOKUP(N450,'הגדרות'!$A$11:$D$25,2,FALSE),"")</f>
        <v/>
      </c>
      <c r="T450">
        <f>IFERROR(VLOOKUP(N450,'הגדרות'!$A$11:$D$25,3,FALSE),"")</f>
        <v/>
      </c>
      <c r="AB450" s="6" t="n"/>
      <c r="AE450">
        <f>OR(Q450='לוח בקרה'!$B$2,R450='לוח בקרה'!$B$2,S450='לוח בקרה'!$B$2,T450='לוח בקרה'!$B$2)</f>
        <v/>
      </c>
      <c r="AF450">
        <f>AND(AE450,OR(AND(O450="כן",U450="כן"),AND(P450="כן",V450="כן")))</f>
        <v/>
      </c>
      <c r="AG450">
        <f>AND(AE450,OR(O450="כן",P450="כן"),NOT(OR(AND(O450="כן",U450="כן"),AND(P450="כן",V450="כן"))))</f>
        <v/>
      </c>
      <c r="AH450">
        <f>AND(AE450,OR(U450="כן",V450="כן"),NOT(OR(O450="כן",P450="כן")))</f>
        <v/>
      </c>
      <c r="AI450">
        <f>AND(X450="מושאל",AB450&lt;&gt;"",AB450&lt;TODAY())</f>
        <v/>
      </c>
    </row>
    <row r="451">
      <c r="E451">
        <f>IFERROR(INDEX('הגדרות'!$D$104:$D$123,MATCH(B451&amp;G451&amp;C451,'הגדרות'!$A$104:$A$123&amp;'הגדרות'!$B$104:$B$123&amp;'הגדרות'!$C$104:$C$123,0)),"")</f>
        <v/>
      </c>
      <c r="F451" s="6" t="n"/>
      <c r="Q451">
        <f>IFERROR(VLOOKUP(M451,'הגדרות'!$A$11:$D$25,2,FALSE),"")</f>
        <v/>
      </c>
      <c r="R451">
        <f>IFERROR(VLOOKUP(M451,'הגדרות'!$A$11:$D$25,3,FALSE),"")</f>
        <v/>
      </c>
      <c r="S451">
        <f>IFERROR(VLOOKUP(N451,'הגדרות'!$A$11:$D$25,2,FALSE),"")</f>
        <v/>
      </c>
      <c r="T451">
        <f>IFERROR(VLOOKUP(N451,'הגדרות'!$A$11:$D$25,3,FALSE),"")</f>
        <v/>
      </c>
      <c r="AB451" s="6" t="n"/>
      <c r="AE451">
        <f>OR(Q451='לוח בקרה'!$B$2,R451='לוח בקרה'!$B$2,S451='לוח בקרה'!$B$2,T451='לוח בקרה'!$B$2)</f>
        <v/>
      </c>
      <c r="AF451">
        <f>AND(AE451,OR(AND(O451="כן",U451="כן"),AND(P451="כן",V451="כן")))</f>
        <v/>
      </c>
      <c r="AG451">
        <f>AND(AE451,OR(O451="כן",P451="כן"),NOT(OR(AND(O451="כן",U451="כן"),AND(P451="כן",V451="כן"))))</f>
        <v/>
      </c>
      <c r="AH451">
        <f>AND(AE451,OR(U451="כן",V451="כן"),NOT(OR(O451="כן",P451="כן")))</f>
        <v/>
      </c>
      <c r="AI451">
        <f>AND(X451="מושאל",AB451&lt;&gt;"",AB451&lt;TODAY())</f>
        <v/>
      </c>
    </row>
    <row r="452">
      <c r="E452">
        <f>IFERROR(INDEX('הגדרות'!$D$104:$D$123,MATCH(B452&amp;G452&amp;C452,'הגדרות'!$A$104:$A$123&amp;'הגדרות'!$B$104:$B$123&amp;'הגדרות'!$C$104:$C$123,0)),"")</f>
        <v/>
      </c>
      <c r="F452" s="6" t="n"/>
      <c r="Q452">
        <f>IFERROR(VLOOKUP(M452,'הגדרות'!$A$11:$D$25,2,FALSE),"")</f>
        <v/>
      </c>
      <c r="R452">
        <f>IFERROR(VLOOKUP(M452,'הגדרות'!$A$11:$D$25,3,FALSE),"")</f>
        <v/>
      </c>
      <c r="S452">
        <f>IFERROR(VLOOKUP(N452,'הגדרות'!$A$11:$D$25,2,FALSE),"")</f>
        <v/>
      </c>
      <c r="T452">
        <f>IFERROR(VLOOKUP(N452,'הגדרות'!$A$11:$D$25,3,FALSE),"")</f>
        <v/>
      </c>
      <c r="AB452" s="6" t="n"/>
      <c r="AE452">
        <f>OR(Q452='לוח בקרה'!$B$2,R452='לוח בקרה'!$B$2,S452='לוח בקרה'!$B$2,T452='לוח בקרה'!$B$2)</f>
        <v/>
      </c>
      <c r="AF452">
        <f>AND(AE452,OR(AND(O452="כן",U452="כן"),AND(P452="כן",V452="כן")))</f>
        <v/>
      </c>
      <c r="AG452">
        <f>AND(AE452,OR(O452="כן",P452="כן"),NOT(OR(AND(O452="כן",U452="כן"),AND(P452="כן",V452="כן"))))</f>
        <v/>
      </c>
      <c r="AH452">
        <f>AND(AE452,OR(U452="כן",V452="כן"),NOT(OR(O452="כן",P452="כן")))</f>
        <v/>
      </c>
      <c r="AI452">
        <f>AND(X452="מושאל",AB452&lt;&gt;"",AB452&lt;TODAY())</f>
        <v/>
      </c>
    </row>
    <row r="453">
      <c r="E453">
        <f>IFERROR(INDEX('הגדרות'!$D$104:$D$123,MATCH(B453&amp;G453&amp;C453,'הגדרות'!$A$104:$A$123&amp;'הגדרות'!$B$104:$B$123&amp;'הגדרות'!$C$104:$C$123,0)),"")</f>
        <v/>
      </c>
      <c r="F453" s="6" t="n"/>
      <c r="Q453">
        <f>IFERROR(VLOOKUP(M453,'הגדרות'!$A$11:$D$25,2,FALSE),"")</f>
        <v/>
      </c>
      <c r="R453">
        <f>IFERROR(VLOOKUP(M453,'הגדרות'!$A$11:$D$25,3,FALSE),"")</f>
        <v/>
      </c>
      <c r="S453">
        <f>IFERROR(VLOOKUP(N453,'הגדרות'!$A$11:$D$25,2,FALSE),"")</f>
        <v/>
      </c>
      <c r="T453">
        <f>IFERROR(VLOOKUP(N453,'הגדרות'!$A$11:$D$25,3,FALSE),"")</f>
        <v/>
      </c>
      <c r="AB453" s="6" t="n"/>
      <c r="AE453">
        <f>OR(Q453='לוח בקרה'!$B$2,R453='לוח בקרה'!$B$2,S453='לוח בקרה'!$B$2,T453='לוח בקרה'!$B$2)</f>
        <v/>
      </c>
      <c r="AF453">
        <f>AND(AE453,OR(AND(O453="כן",U453="כן"),AND(P453="כן",V453="כן")))</f>
        <v/>
      </c>
      <c r="AG453">
        <f>AND(AE453,OR(O453="כן",P453="כן"),NOT(OR(AND(O453="כן",U453="כן"),AND(P453="כן",V453="כן"))))</f>
        <v/>
      </c>
      <c r="AH453">
        <f>AND(AE453,OR(U453="כן",V453="כן"),NOT(OR(O453="כן",P453="כן")))</f>
        <v/>
      </c>
      <c r="AI453">
        <f>AND(X453="מושאל",AB453&lt;&gt;"",AB453&lt;TODAY())</f>
        <v/>
      </c>
    </row>
    <row r="454">
      <c r="E454">
        <f>IFERROR(INDEX('הגדרות'!$D$104:$D$123,MATCH(B454&amp;G454&amp;C454,'הגדרות'!$A$104:$A$123&amp;'הגדרות'!$B$104:$B$123&amp;'הגדרות'!$C$104:$C$123,0)),"")</f>
        <v/>
      </c>
      <c r="F454" s="6" t="n"/>
      <c r="Q454">
        <f>IFERROR(VLOOKUP(M454,'הגדרות'!$A$11:$D$25,2,FALSE),"")</f>
        <v/>
      </c>
      <c r="R454">
        <f>IFERROR(VLOOKUP(M454,'הגדרות'!$A$11:$D$25,3,FALSE),"")</f>
        <v/>
      </c>
      <c r="S454">
        <f>IFERROR(VLOOKUP(N454,'הגדרות'!$A$11:$D$25,2,FALSE),"")</f>
        <v/>
      </c>
      <c r="T454">
        <f>IFERROR(VLOOKUP(N454,'הגדרות'!$A$11:$D$25,3,FALSE),"")</f>
        <v/>
      </c>
      <c r="AB454" s="6" t="n"/>
      <c r="AE454">
        <f>OR(Q454='לוח בקרה'!$B$2,R454='לוח בקרה'!$B$2,S454='לוח בקרה'!$B$2,T454='לוח בקרה'!$B$2)</f>
        <v/>
      </c>
      <c r="AF454">
        <f>AND(AE454,OR(AND(O454="כן",U454="כן"),AND(P454="כן",V454="כן")))</f>
        <v/>
      </c>
      <c r="AG454">
        <f>AND(AE454,OR(O454="כן",P454="כן"),NOT(OR(AND(O454="כן",U454="כן"),AND(P454="כן",V454="כן"))))</f>
        <v/>
      </c>
      <c r="AH454">
        <f>AND(AE454,OR(U454="כן",V454="כן"),NOT(OR(O454="כן",P454="כן")))</f>
        <v/>
      </c>
      <c r="AI454">
        <f>AND(X454="מושאל",AB454&lt;&gt;"",AB454&lt;TODAY())</f>
        <v/>
      </c>
    </row>
    <row r="455">
      <c r="E455">
        <f>IFERROR(INDEX('הגדרות'!$D$104:$D$123,MATCH(B455&amp;G455&amp;C455,'הגדרות'!$A$104:$A$123&amp;'הגדרות'!$B$104:$B$123&amp;'הגדרות'!$C$104:$C$123,0)),"")</f>
        <v/>
      </c>
      <c r="F455" s="6" t="n"/>
      <c r="Q455">
        <f>IFERROR(VLOOKUP(M455,'הגדרות'!$A$11:$D$25,2,FALSE),"")</f>
        <v/>
      </c>
      <c r="R455">
        <f>IFERROR(VLOOKUP(M455,'הגדרות'!$A$11:$D$25,3,FALSE),"")</f>
        <v/>
      </c>
      <c r="S455">
        <f>IFERROR(VLOOKUP(N455,'הגדרות'!$A$11:$D$25,2,FALSE),"")</f>
        <v/>
      </c>
      <c r="T455">
        <f>IFERROR(VLOOKUP(N455,'הגדרות'!$A$11:$D$25,3,FALSE),"")</f>
        <v/>
      </c>
      <c r="AB455" s="6" t="n"/>
      <c r="AE455">
        <f>OR(Q455='לוח בקרה'!$B$2,R455='לוח בקרה'!$B$2,S455='לוח בקרה'!$B$2,T455='לוח בקרה'!$B$2)</f>
        <v/>
      </c>
      <c r="AF455">
        <f>AND(AE455,OR(AND(O455="כן",U455="כן"),AND(P455="כן",V455="כן")))</f>
        <v/>
      </c>
      <c r="AG455">
        <f>AND(AE455,OR(O455="כן",P455="כן"),NOT(OR(AND(O455="כן",U455="כן"),AND(P455="כן",V455="כן"))))</f>
        <v/>
      </c>
      <c r="AH455">
        <f>AND(AE455,OR(U455="כן",V455="כן"),NOT(OR(O455="כן",P455="כן")))</f>
        <v/>
      </c>
      <c r="AI455">
        <f>AND(X455="מושאל",AB455&lt;&gt;"",AB455&lt;TODAY())</f>
        <v/>
      </c>
    </row>
    <row r="456">
      <c r="E456">
        <f>IFERROR(INDEX('הגדרות'!$D$104:$D$123,MATCH(B456&amp;G456&amp;C456,'הגדרות'!$A$104:$A$123&amp;'הגדרות'!$B$104:$B$123&amp;'הגדרות'!$C$104:$C$123,0)),"")</f>
        <v/>
      </c>
      <c r="F456" s="6" t="n"/>
      <c r="Q456">
        <f>IFERROR(VLOOKUP(M456,'הגדרות'!$A$11:$D$25,2,FALSE),"")</f>
        <v/>
      </c>
      <c r="R456">
        <f>IFERROR(VLOOKUP(M456,'הגדרות'!$A$11:$D$25,3,FALSE),"")</f>
        <v/>
      </c>
      <c r="S456">
        <f>IFERROR(VLOOKUP(N456,'הגדרות'!$A$11:$D$25,2,FALSE),"")</f>
        <v/>
      </c>
      <c r="T456">
        <f>IFERROR(VLOOKUP(N456,'הגדרות'!$A$11:$D$25,3,FALSE),"")</f>
        <v/>
      </c>
      <c r="AB456" s="6" t="n"/>
      <c r="AE456">
        <f>OR(Q456='לוח בקרה'!$B$2,R456='לוח בקרה'!$B$2,S456='לוח בקרה'!$B$2,T456='לוח בקרה'!$B$2)</f>
        <v/>
      </c>
      <c r="AF456">
        <f>AND(AE456,OR(AND(O456="כן",U456="כן"),AND(P456="כן",V456="כן")))</f>
        <v/>
      </c>
      <c r="AG456">
        <f>AND(AE456,OR(O456="כן",P456="כן"),NOT(OR(AND(O456="כן",U456="כן"),AND(P456="כן",V456="כן"))))</f>
        <v/>
      </c>
      <c r="AH456">
        <f>AND(AE456,OR(U456="כן",V456="כן"),NOT(OR(O456="כן",P456="כן")))</f>
        <v/>
      </c>
      <c r="AI456">
        <f>AND(X456="מושאל",AB456&lt;&gt;"",AB456&lt;TODAY())</f>
        <v/>
      </c>
    </row>
    <row r="457">
      <c r="E457">
        <f>IFERROR(INDEX('הגדרות'!$D$104:$D$123,MATCH(B457&amp;G457&amp;C457,'הגדרות'!$A$104:$A$123&amp;'הגדרות'!$B$104:$B$123&amp;'הגדרות'!$C$104:$C$123,0)),"")</f>
        <v/>
      </c>
      <c r="F457" s="6" t="n"/>
      <c r="Q457">
        <f>IFERROR(VLOOKUP(M457,'הגדרות'!$A$11:$D$25,2,FALSE),"")</f>
        <v/>
      </c>
      <c r="R457">
        <f>IFERROR(VLOOKUP(M457,'הגדרות'!$A$11:$D$25,3,FALSE),"")</f>
        <v/>
      </c>
      <c r="S457">
        <f>IFERROR(VLOOKUP(N457,'הגדרות'!$A$11:$D$25,2,FALSE),"")</f>
        <v/>
      </c>
      <c r="T457">
        <f>IFERROR(VLOOKUP(N457,'הגדרות'!$A$11:$D$25,3,FALSE),"")</f>
        <v/>
      </c>
      <c r="AB457" s="6" t="n"/>
      <c r="AE457">
        <f>OR(Q457='לוח בקרה'!$B$2,R457='לוח בקרה'!$B$2,S457='לוח בקרה'!$B$2,T457='לוח בקרה'!$B$2)</f>
        <v/>
      </c>
      <c r="AF457">
        <f>AND(AE457,OR(AND(O457="כן",U457="כן"),AND(P457="כן",V457="כן")))</f>
        <v/>
      </c>
      <c r="AG457">
        <f>AND(AE457,OR(O457="כן",P457="כן"),NOT(OR(AND(O457="כן",U457="כן"),AND(P457="כן",V457="כן"))))</f>
        <v/>
      </c>
      <c r="AH457">
        <f>AND(AE457,OR(U457="כן",V457="כן"),NOT(OR(O457="כן",P457="כן")))</f>
        <v/>
      </c>
      <c r="AI457">
        <f>AND(X457="מושאל",AB457&lt;&gt;"",AB457&lt;TODAY())</f>
        <v/>
      </c>
    </row>
    <row r="458">
      <c r="E458">
        <f>IFERROR(INDEX('הגדרות'!$D$104:$D$123,MATCH(B458&amp;G458&amp;C458,'הגדרות'!$A$104:$A$123&amp;'הגדרות'!$B$104:$B$123&amp;'הגדרות'!$C$104:$C$123,0)),"")</f>
        <v/>
      </c>
      <c r="F458" s="6" t="n"/>
      <c r="Q458">
        <f>IFERROR(VLOOKUP(M458,'הגדרות'!$A$11:$D$25,2,FALSE),"")</f>
        <v/>
      </c>
      <c r="R458">
        <f>IFERROR(VLOOKUP(M458,'הגדרות'!$A$11:$D$25,3,FALSE),"")</f>
        <v/>
      </c>
      <c r="S458">
        <f>IFERROR(VLOOKUP(N458,'הגדרות'!$A$11:$D$25,2,FALSE),"")</f>
        <v/>
      </c>
      <c r="T458">
        <f>IFERROR(VLOOKUP(N458,'הגדרות'!$A$11:$D$25,3,FALSE),"")</f>
        <v/>
      </c>
      <c r="AB458" s="6" t="n"/>
      <c r="AE458">
        <f>OR(Q458='לוח בקרה'!$B$2,R458='לוח בקרה'!$B$2,S458='לוח בקרה'!$B$2,T458='לוח בקרה'!$B$2)</f>
        <v/>
      </c>
      <c r="AF458">
        <f>AND(AE458,OR(AND(O458="כן",U458="כן"),AND(P458="כן",V458="כן")))</f>
        <v/>
      </c>
      <c r="AG458">
        <f>AND(AE458,OR(O458="כן",P458="כן"),NOT(OR(AND(O458="כן",U458="כן"),AND(P458="כן",V458="כן"))))</f>
        <v/>
      </c>
      <c r="AH458">
        <f>AND(AE458,OR(U458="כן",V458="כן"),NOT(OR(O458="כן",P458="כן")))</f>
        <v/>
      </c>
      <c r="AI458">
        <f>AND(X458="מושאל",AB458&lt;&gt;"",AB458&lt;TODAY())</f>
        <v/>
      </c>
    </row>
    <row r="459">
      <c r="E459">
        <f>IFERROR(INDEX('הגדרות'!$D$104:$D$123,MATCH(B459&amp;G459&amp;C459,'הגדרות'!$A$104:$A$123&amp;'הגדרות'!$B$104:$B$123&amp;'הגדרות'!$C$104:$C$123,0)),"")</f>
        <v/>
      </c>
      <c r="F459" s="6" t="n"/>
      <c r="Q459">
        <f>IFERROR(VLOOKUP(M459,'הגדרות'!$A$11:$D$25,2,FALSE),"")</f>
        <v/>
      </c>
      <c r="R459">
        <f>IFERROR(VLOOKUP(M459,'הגדרות'!$A$11:$D$25,3,FALSE),"")</f>
        <v/>
      </c>
      <c r="S459">
        <f>IFERROR(VLOOKUP(N459,'הגדרות'!$A$11:$D$25,2,FALSE),"")</f>
        <v/>
      </c>
      <c r="T459">
        <f>IFERROR(VLOOKUP(N459,'הגדרות'!$A$11:$D$25,3,FALSE),"")</f>
        <v/>
      </c>
      <c r="AB459" s="6" t="n"/>
      <c r="AE459">
        <f>OR(Q459='לוח בקרה'!$B$2,R459='לוח בקרה'!$B$2,S459='לוח בקרה'!$B$2,T459='לוח בקרה'!$B$2)</f>
        <v/>
      </c>
      <c r="AF459">
        <f>AND(AE459,OR(AND(O459="כן",U459="כן"),AND(P459="כן",V459="כן")))</f>
        <v/>
      </c>
      <c r="AG459">
        <f>AND(AE459,OR(O459="כן",P459="כן"),NOT(OR(AND(O459="כן",U459="כן"),AND(P459="כן",V459="כן"))))</f>
        <v/>
      </c>
      <c r="AH459">
        <f>AND(AE459,OR(U459="כן",V459="כן"),NOT(OR(O459="כן",P459="כן")))</f>
        <v/>
      </c>
      <c r="AI459">
        <f>AND(X459="מושאל",AB459&lt;&gt;"",AB459&lt;TODAY())</f>
        <v/>
      </c>
    </row>
    <row r="460">
      <c r="E460">
        <f>IFERROR(INDEX('הגדרות'!$D$104:$D$123,MATCH(B460&amp;G460&amp;C460,'הגדרות'!$A$104:$A$123&amp;'הגדרות'!$B$104:$B$123&amp;'הגדרות'!$C$104:$C$123,0)),"")</f>
        <v/>
      </c>
      <c r="F460" s="6" t="n"/>
      <c r="Q460">
        <f>IFERROR(VLOOKUP(M460,'הגדרות'!$A$11:$D$25,2,FALSE),"")</f>
        <v/>
      </c>
      <c r="R460">
        <f>IFERROR(VLOOKUP(M460,'הגדרות'!$A$11:$D$25,3,FALSE),"")</f>
        <v/>
      </c>
      <c r="S460">
        <f>IFERROR(VLOOKUP(N460,'הגדרות'!$A$11:$D$25,2,FALSE),"")</f>
        <v/>
      </c>
      <c r="T460">
        <f>IFERROR(VLOOKUP(N460,'הגדרות'!$A$11:$D$25,3,FALSE),"")</f>
        <v/>
      </c>
      <c r="AB460" s="6" t="n"/>
      <c r="AE460">
        <f>OR(Q460='לוח בקרה'!$B$2,R460='לוח בקרה'!$B$2,S460='לוח בקרה'!$B$2,T460='לוח בקרה'!$B$2)</f>
        <v/>
      </c>
      <c r="AF460">
        <f>AND(AE460,OR(AND(O460="כן",U460="כן"),AND(P460="כן",V460="כן")))</f>
        <v/>
      </c>
      <c r="AG460">
        <f>AND(AE460,OR(O460="כן",P460="כן"),NOT(OR(AND(O460="כן",U460="כן"),AND(P460="כן",V460="כן"))))</f>
        <v/>
      </c>
      <c r="AH460">
        <f>AND(AE460,OR(U460="כן",V460="כן"),NOT(OR(O460="כן",P460="כן")))</f>
        <v/>
      </c>
      <c r="AI460">
        <f>AND(X460="מושאל",AB460&lt;&gt;"",AB460&lt;TODAY())</f>
        <v/>
      </c>
    </row>
    <row r="461">
      <c r="E461">
        <f>IFERROR(INDEX('הגדרות'!$D$104:$D$123,MATCH(B461&amp;G461&amp;C461,'הגדרות'!$A$104:$A$123&amp;'הגדרות'!$B$104:$B$123&amp;'הגדרות'!$C$104:$C$123,0)),"")</f>
        <v/>
      </c>
      <c r="F461" s="6" t="n"/>
      <c r="Q461">
        <f>IFERROR(VLOOKUP(M461,'הגדרות'!$A$11:$D$25,2,FALSE),"")</f>
        <v/>
      </c>
      <c r="R461">
        <f>IFERROR(VLOOKUP(M461,'הגדרות'!$A$11:$D$25,3,FALSE),"")</f>
        <v/>
      </c>
      <c r="S461">
        <f>IFERROR(VLOOKUP(N461,'הגדרות'!$A$11:$D$25,2,FALSE),"")</f>
        <v/>
      </c>
      <c r="T461">
        <f>IFERROR(VLOOKUP(N461,'הגדרות'!$A$11:$D$25,3,FALSE),"")</f>
        <v/>
      </c>
      <c r="AB461" s="6" t="n"/>
      <c r="AE461">
        <f>OR(Q461='לוח בקרה'!$B$2,R461='לוח בקרה'!$B$2,S461='לוח בקרה'!$B$2,T461='לוח בקרה'!$B$2)</f>
        <v/>
      </c>
      <c r="AF461">
        <f>AND(AE461,OR(AND(O461="כן",U461="כן"),AND(P461="כן",V461="כן")))</f>
        <v/>
      </c>
      <c r="AG461">
        <f>AND(AE461,OR(O461="כן",P461="כן"),NOT(OR(AND(O461="כן",U461="כן"),AND(P461="כן",V461="כן"))))</f>
        <v/>
      </c>
      <c r="AH461">
        <f>AND(AE461,OR(U461="כן",V461="כן"),NOT(OR(O461="כן",P461="כן")))</f>
        <v/>
      </c>
      <c r="AI461">
        <f>AND(X461="מושאל",AB461&lt;&gt;"",AB461&lt;TODAY())</f>
        <v/>
      </c>
    </row>
    <row r="462">
      <c r="E462">
        <f>IFERROR(INDEX('הגדרות'!$D$104:$D$123,MATCH(B462&amp;G462&amp;C462,'הגדרות'!$A$104:$A$123&amp;'הגדרות'!$B$104:$B$123&amp;'הגדרות'!$C$104:$C$123,0)),"")</f>
        <v/>
      </c>
      <c r="F462" s="6" t="n"/>
      <c r="Q462">
        <f>IFERROR(VLOOKUP(M462,'הגדרות'!$A$11:$D$25,2,FALSE),"")</f>
        <v/>
      </c>
      <c r="R462">
        <f>IFERROR(VLOOKUP(M462,'הגדרות'!$A$11:$D$25,3,FALSE),"")</f>
        <v/>
      </c>
      <c r="S462">
        <f>IFERROR(VLOOKUP(N462,'הגדרות'!$A$11:$D$25,2,FALSE),"")</f>
        <v/>
      </c>
      <c r="T462">
        <f>IFERROR(VLOOKUP(N462,'הגדרות'!$A$11:$D$25,3,FALSE),"")</f>
        <v/>
      </c>
      <c r="AB462" s="6" t="n"/>
      <c r="AE462">
        <f>OR(Q462='לוח בקרה'!$B$2,R462='לוח בקרה'!$B$2,S462='לוח בקרה'!$B$2,T462='לוח בקרה'!$B$2)</f>
        <v/>
      </c>
      <c r="AF462">
        <f>AND(AE462,OR(AND(O462="כן",U462="כן"),AND(P462="כן",V462="כן")))</f>
        <v/>
      </c>
      <c r="AG462">
        <f>AND(AE462,OR(O462="כן",P462="כן"),NOT(OR(AND(O462="כן",U462="כן"),AND(P462="כן",V462="כן"))))</f>
        <v/>
      </c>
      <c r="AH462">
        <f>AND(AE462,OR(U462="כן",V462="כן"),NOT(OR(O462="כן",P462="כן")))</f>
        <v/>
      </c>
      <c r="AI462">
        <f>AND(X462="מושאל",AB462&lt;&gt;"",AB462&lt;TODAY())</f>
        <v/>
      </c>
    </row>
    <row r="463">
      <c r="E463">
        <f>IFERROR(INDEX('הגדרות'!$D$104:$D$123,MATCH(B463&amp;G463&amp;C463,'הגדרות'!$A$104:$A$123&amp;'הגדרות'!$B$104:$B$123&amp;'הגדרות'!$C$104:$C$123,0)),"")</f>
        <v/>
      </c>
      <c r="F463" s="6" t="n"/>
      <c r="Q463">
        <f>IFERROR(VLOOKUP(M463,'הגדרות'!$A$11:$D$25,2,FALSE),"")</f>
        <v/>
      </c>
      <c r="R463">
        <f>IFERROR(VLOOKUP(M463,'הגדרות'!$A$11:$D$25,3,FALSE),"")</f>
        <v/>
      </c>
      <c r="S463">
        <f>IFERROR(VLOOKUP(N463,'הגדרות'!$A$11:$D$25,2,FALSE),"")</f>
        <v/>
      </c>
      <c r="T463">
        <f>IFERROR(VLOOKUP(N463,'הגדרות'!$A$11:$D$25,3,FALSE),"")</f>
        <v/>
      </c>
      <c r="AB463" s="6" t="n"/>
      <c r="AE463">
        <f>OR(Q463='לוח בקרה'!$B$2,R463='לוח בקרה'!$B$2,S463='לוח בקרה'!$B$2,T463='לוח בקרה'!$B$2)</f>
        <v/>
      </c>
      <c r="AF463">
        <f>AND(AE463,OR(AND(O463="כן",U463="כן"),AND(P463="כן",V463="כן")))</f>
        <v/>
      </c>
      <c r="AG463">
        <f>AND(AE463,OR(O463="כן",P463="כן"),NOT(OR(AND(O463="כן",U463="כן"),AND(P463="כן",V463="כן"))))</f>
        <v/>
      </c>
      <c r="AH463">
        <f>AND(AE463,OR(U463="כן",V463="כן"),NOT(OR(O463="כן",P463="כן")))</f>
        <v/>
      </c>
      <c r="AI463">
        <f>AND(X463="מושאל",AB463&lt;&gt;"",AB463&lt;TODAY())</f>
        <v/>
      </c>
    </row>
    <row r="464">
      <c r="E464">
        <f>IFERROR(INDEX('הגדרות'!$D$104:$D$123,MATCH(B464&amp;G464&amp;C464,'הגדרות'!$A$104:$A$123&amp;'הגדרות'!$B$104:$B$123&amp;'הגדרות'!$C$104:$C$123,0)),"")</f>
        <v/>
      </c>
      <c r="F464" s="6" t="n"/>
      <c r="Q464">
        <f>IFERROR(VLOOKUP(M464,'הגדרות'!$A$11:$D$25,2,FALSE),"")</f>
        <v/>
      </c>
      <c r="R464">
        <f>IFERROR(VLOOKUP(M464,'הגדרות'!$A$11:$D$25,3,FALSE),"")</f>
        <v/>
      </c>
      <c r="S464">
        <f>IFERROR(VLOOKUP(N464,'הגדרות'!$A$11:$D$25,2,FALSE),"")</f>
        <v/>
      </c>
      <c r="T464">
        <f>IFERROR(VLOOKUP(N464,'הגדרות'!$A$11:$D$25,3,FALSE),"")</f>
        <v/>
      </c>
      <c r="AB464" s="6" t="n"/>
      <c r="AE464">
        <f>OR(Q464='לוח בקרה'!$B$2,R464='לוח בקרה'!$B$2,S464='לוח בקרה'!$B$2,T464='לוח בקרה'!$B$2)</f>
        <v/>
      </c>
      <c r="AF464">
        <f>AND(AE464,OR(AND(O464="כן",U464="כן"),AND(P464="כן",V464="כן")))</f>
        <v/>
      </c>
      <c r="AG464">
        <f>AND(AE464,OR(O464="כן",P464="כן"),NOT(OR(AND(O464="כן",U464="כן"),AND(P464="כן",V464="כן"))))</f>
        <v/>
      </c>
      <c r="AH464">
        <f>AND(AE464,OR(U464="כן",V464="כן"),NOT(OR(O464="כן",P464="כן")))</f>
        <v/>
      </c>
      <c r="AI464">
        <f>AND(X464="מושאל",AB464&lt;&gt;"",AB464&lt;TODAY())</f>
        <v/>
      </c>
    </row>
    <row r="465">
      <c r="E465">
        <f>IFERROR(INDEX('הגדרות'!$D$104:$D$123,MATCH(B465&amp;G465&amp;C465,'הגדרות'!$A$104:$A$123&amp;'הגדרות'!$B$104:$B$123&amp;'הגדרות'!$C$104:$C$123,0)),"")</f>
        <v/>
      </c>
      <c r="F465" s="6" t="n"/>
      <c r="Q465">
        <f>IFERROR(VLOOKUP(M465,'הגדרות'!$A$11:$D$25,2,FALSE),"")</f>
        <v/>
      </c>
      <c r="R465">
        <f>IFERROR(VLOOKUP(M465,'הגדרות'!$A$11:$D$25,3,FALSE),"")</f>
        <v/>
      </c>
      <c r="S465">
        <f>IFERROR(VLOOKUP(N465,'הגדרות'!$A$11:$D$25,2,FALSE),"")</f>
        <v/>
      </c>
      <c r="T465">
        <f>IFERROR(VLOOKUP(N465,'הגדרות'!$A$11:$D$25,3,FALSE),"")</f>
        <v/>
      </c>
      <c r="AB465" s="6" t="n"/>
      <c r="AE465">
        <f>OR(Q465='לוח בקרה'!$B$2,R465='לוח בקרה'!$B$2,S465='לוח בקרה'!$B$2,T465='לוח בקרה'!$B$2)</f>
        <v/>
      </c>
      <c r="AF465">
        <f>AND(AE465,OR(AND(O465="כן",U465="כן"),AND(P465="כן",V465="כן")))</f>
        <v/>
      </c>
      <c r="AG465">
        <f>AND(AE465,OR(O465="כן",P465="כן"),NOT(OR(AND(O465="כן",U465="כן"),AND(P465="כן",V465="כן"))))</f>
        <v/>
      </c>
      <c r="AH465">
        <f>AND(AE465,OR(U465="כן",V465="כן"),NOT(OR(O465="כן",P465="כן")))</f>
        <v/>
      </c>
      <c r="AI465">
        <f>AND(X465="מושאל",AB465&lt;&gt;"",AB465&lt;TODAY())</f>
        <v/>
      </c>
    </row>
    <row r="466">
      <c r="E466">
        <f>IFERROR(INDEX('הגדרות'!$D$104:$D$123,MATCH(B466&amp;G466&amp;C466,'הגדרות'!$A$104:$A$123&amp;'הגדרות'!$B$104:$B$123&amp;'הגדרות'!$C$104:$C$123,0)),"")</f>
        <v/>
      </c>
      <c r="F466" s="6" t="n"/>
      <c r="Q466">
        <f>IFERROR(VLOOKUP(M466,'הגדרות'!$A$11:$D$25,2,FALSE),"")</f>
        <v/>
      </c>
      <c r="R466">
        <f>IFERROR(VLOOKUP(M466,'הגדרות'!$A$11:$D$25,3,FALSE),"")</f>
        <v/>
      </c>
      <c r="S466">
        <f>IFERROR(VLOOKUP(N466,'הגדרות'!$A$11:$D$25,2,FALSE),"")</f>
        <v/>
      </c>
      <c r="T466">
        <f>IFERROR(VLOOKUP(N466,'הגדרות'!$A$11:$D$25,3,FALSE),"")</f>
        <v/>
      </c>
      <c r="AB466" s="6" t="n"/>
      <c r="AE466">
        <f>OR(Q466='לוח בקרה'!$B$2,R466='לוח בקרה'!$B$2,S466='לוח בקרה'!$B$2,T466='לוח בקרה'!$B$2)</f>
        <v/>
      </c>
      <c r="AF466">
        <f>AND(AE466,OR(AND(O466="כן",U466="כן"),AND(P466="כן",V466="כן")))</f>
        <v/>
      </c>
      <c r="AG466">
        <f>AND(AE466,OR(O466="כן",P466="כן"),NOT(OR(AND(O466="כן",U466="כן"),AND(P466="כן",V466="כן"))))</f>
        <v/>
      </c>
      <c r="AH466">
        <f>AND(AE466,OR(U466="כן",V466="כן"),NOT(OR(O466="כן",P466="כן")))</f>
        <v/>
      </c>
      <c r="AI466">
        <f>AND(X466="מושאל",AB466&lt;&gt;"",AB466&lt;TODAY())</f>
        <v/>
      </c>
    </row>
    <row r="467">
      <c r="E467">
        <f>IFERROR(INDEX('הגדרות'!$D$104:$D$123,MATCH(B467&amp;G467&amp;C467,'הגדרות'!$A$104:$A$123&amp;'הגדרות'!$B$104:$B$123&amp;'הגדרות'!$C$104:$C$123,0)),"")</f>
        <v/>
      </c>
      <c r="F467" s="6" t="n"/>
      <c r="Q467">
        <f>IFERROR(VLOOKUP(M467,'הגדרות'!$A$11:$D$25,2,FALSE),"")</f>
        <v/>
      </c>
      <c r="R467">
        <f>IFERROR(VLOOKUP(M467,'הגדרות'!$A$11:$D$25,3,FALSE),"")</f>
        <v/>
      </c>
      <c r="S467">
        <f>IFERROR(VLOOKUP(N467,'הגדרות'!$A$11:$D$25,2,FALSE),"")</f>
        <v/>
      </c>
      <c r="T467">
        <f>IFERROR(VLOOKUP(N467,'הגדרות'!$A$11:$D$25,3,FALSE),"")</f>
        <v/>
      </c>
      <c r="AB467" s="6" t="n"/>
      <c r="AE467">
        <f>OR(Q467='לוח בקרה'!$B$2,R467='לוח בקרה'!$B$2,S467='לוח בקרה'!$B$2,T467='לוח בקרה'!$B$2)</f>
        <v/>
      </c>
      <c r="AF467">
        <f>AND(AE467,OR(AND(O467="כן",U467="כן"),AND(P467="כן",V467="כן")))</f>
        <v/>
      </c>
      <c r="AG467">
        <f>AND(AE467,OR(O467="כן",P467="כן"),NOT(OR(AND(O467="כן",U467="כן"),AND(P467="כן",V467="כן"))))</f>
        <v/>
      </c>
      <c r="AH467">
        <f>AND(AE467,OR(U467="כן",V467="כן"),NOT(OR(O467="כן",P467="כן")))</f>
        <v/>
      </c>
      <c r="AI467">
        <f>AND(X467="מושאל",AB467&lt;&gt;"",AB467&lt;TODAY())</f>
        <v/>
      </c>
    </row>
    <row r="468">
      <c r="E468">
        <f>IFERROR(INDEX('הגדרות'!$D$104:$D$123,MATCH(B468&amp;G468&amp;C468,'הגדרות'!$A$104:$A$123&amp;'הגדרות'!$B$104:$B$123&amp;'הגדרות'!$C$104:$C$123,0)),"")</f>
        <v/>
      </c>
      <c r="F468" s="6" t="n"/>
      <c r="Q468">
        <f>IFERROR(VLOOKUP(M468,'הגדרות'!$A$11:$D$25,2,FALSE),"")</f>
        <v/>
      </c>
      <c r="R468">
        <f>IFERROR(VLOOKUP(M468,'הגדרות'!$A$11:$D$25,3,FALSE),"")</f>
        <v/>
      </c>
      <c r="S468">
        <f>IFERROR(VLOOKUP(N468,'הגדרות'!$A$11:$D$25,2,FALSE),"")</f>
        <v/>
      </c>
      <c r="T468">
        <f>IFERROR(VLOOKUP(N468,'הגדרות'!$A$11:$D$25,3,FALSE),"")</f>
        <v/>
      </c>
      <c r="AB468" s="6" t="n"/>
      <c r="AE468">
        <f>OR(Q468='לוח בקרה'!$B$2,R468='לוח בקרה'!$B$2,S468='לוח בקרה'!$B$2,T468='לוח בקרה'!$B$2)</f>
        <v/>
      </c>
      <c r="AF468">
        <f>AND(AE468,OR(AND(O468="כן",U468="כן"),AND(P468="כן",V468="כן")))</f>
        <v/>
      </c>
      <c r="AG468">
        <f>AND(AE468,OR(O468="כן",P468="כן"),NOT(OR(AND(O468="כן",U468="כן"),AND(P468="כן",V468="כן"))))</f>
        <v/>
      </c>
      <c r="AH468">
        <f>AND(AE468,OR(U468="כן",V468="כן"),NOT(OR(O468="כן",P468="כן")))</f>
        <v/>
      </c>
      <c r="AI468">
        <f>AND(X468="מושאל",AB468&lt;&gt;"",AB468&lt;TODAY())</f>
        <v/>
      </c>
    </row>
    <row r="469">
      <c r="E469">
        <f>IFERROR(INDEX('הגדרות'!$D$104:$D$123,MATCH(B469&amp;G469&amp;C469,'הגדרות'!$A$104:$A$123&amp;'הגדרות'!$B$104:$B$123&amp;'הגדרות'!$C$104:$C$123,0)),"")</f>
        <v/>
      </c>
      <c r="F469" s="6" t="n"/>
      <c r="Q469">
        <f>IFERROR(VLOOKUP(M469,'הגדרות'!$A$11:$D$25,2,FALSE),"")</f>
        <v/>
      </c>
      <c r="R469">
        <f>IFERROR(VLOOKUP(M469,'הגדרות'!$A$11:$D$25,3,FALSE),"")</f>
        <v/>
      </c>
      <c r="S469">
        <f>IFERROR(VLOOKUP(N469,'הגדרות'!$A$11:$D$25,2,FALSE),"")</f>
        <v/>
      </c>
      <c r="T469">
        <f>IFERROR(VLOOKUP(N469,'הגדרות'!$A$11:$D$25,3,FALSE),"")</f>
        <v/>
      </c>
      <c r="AB469" s="6" t="n"/>
      <c r="AE469">
        <f>OR(Q469='לוח בקרה'!$B$2,R469='לוח בקרה'!$B$2,S469='לוח בקרה'!$B$2,T469='לוח בקרה'!$B$2)</f>
        <v/>
      </c>
      <c r="AF469">
        <f>AND(AE469,OR(AND(O469="כן",U469="כן"),AND(P469="כן",V469="כן")))</f>
        <v/>
      </c>
      <c r="AG469">
        <f>AND(AE469,OR(O469="כן",P469="כן"),NOT(OR(AND(O469="כן",U469="כן"),AND(P469="כן",V469="כן"))))</f>
        <v/>
      </c>
      <c r="AH469">
        <f>AND(AE469,OR(U469="כן",V469="כן"),NOT(OR(O469="כן",P469="כן")))</f>
        <v/>
      </c>
      <c r="AI469">
        <f>AND(X469="מושאל",AB469&lt;&gt;"",AB469&lt;TODAY())</f>
        <v/>
      </c>
    </row>
    <row r="470">
      <c r="E470">
        <f>IFERROR(INDEX('הגדרות'!$D$104:$D$123,MATCH(B470&amp;G470&amp;C470,'הגדרות'!$A$104:$A$123&amp;'הגדרות'!$B$104:$B$123&amp;'הגדרות'!$C$104:$C$123,0)),"")</f>
        <v/>
      </c>
      <c r="F470" s="6" t="n"/>
      <c r="Q470">
        <f>IFERROR(VLOOKUP(M470,'הגדרות'!$A$11:$D$25,2,FALSE),"")</f>
        <v/>
      </c>
      <c r="R470">
        <f>IFERROR(VLOOKUP(M470,'הגדרות'!$A$11:$D$25,3,FALSE),"")</f>
        <v/>
      </c>
      <c r="S470">
        <f>IFERROR(VLOOKUP(N470,'הגדרות'!$A$11:$D$25,2,FALSE),"")</f>
        <v/>
      </c>
      <c r="T470">
        <f>IFERROR(VLOOKUP(N470,'הגדרות'!$A$11:$D$25,3,FALSE),"")</f>
        <v/>
      </c>
      <c r="AB470" s="6" t="n"/>
      <c r="AE470">
        <f>OR(Q470='לוח בקרה'!$B$2,R470='לוח בקרה'!$B$2,S470='לוח בקרה'!$B$2,T470='לוח בקרה'!$B$2)</f>
        <v/>
      </c>
      <c r="AF470">
        <f>AND(AE470,OR(AND(O470="כן",U470="כן"),AND(P470="כן",V470="כן")))</f>
        <v/>
      </c>
      <c r="AG470">
        <f>AND(AE470,OR(O470="כן",P470="כן"),NOT(OR(AND(O470="כן",U470="כן"),AND(P470="כן",V470="כן"))))</f>
        <v/>
      </c>
      <c r="AH470">
        <f>AND(AE470,OR(U470="כן",V470="כן"),NOT(OR(O470="כן",P470="כן")))</f>
        <v/>
      </c>
      <c r="AI470">
        <f>AND(X470="מושאל",AB470&lt;&gt;"",AB470&lt;TODAY())</f>
        <v/>
      </c>
    </row>
    <row r="471">
      <c r="E471">
        <f>IFERROR(INDEX('הגדרות'!$D$104:$D$123,MATCH(B471&amp;G471&amp;C471,'הגדרות'!$A$104:$A$123&amp;'הגדרות'!$B$104:$B$123&amp;'הגדרות'!$C$104:$C$123,0)),"")</f>
        <v/>
      </c>
      <c r="F471" s="6" t="n"/>
      <c r="Q471">
        <f>IFERROR(VLOOKUP(M471,'הגדרות'!$A$11:$D$25,2,FALSE),"")</f>
        <v/>
      </c>
      <c r="R471">
        <f>IFERROR(VLOOKUP(M471,'הגדרות'!$A$11:$D$25,3,FALSE),"")</f>
        <v/>
      </c>
      <c r="S471">
        <f>IFERROR(VLOOKUP(N471,'הגדרות'!$A$11:$D$25,2,FALSE),"")</f>
        <v/>
      </c>
      <c r="T471">
        <f>IFERROR(VLOOKUP(N471,'הגדרות'!$A$11:$D$25,3,FALSE),"")</f>
        <v/>
      </c>
      <c r="AB471" s="6" t="n"/>
      <c r="AE471">
        <f>OR(Q471='לוח בקרה'!$B$2,R471='לוח בקרה'!$B$2,S471='לוח בקרה'!$B$2,T471='לוח בקרה'!$B$2)</f>
        <v/>
      </c>
      <c r="AF471">
        <f>AND(AE471,OR(AND(O471="כן",U471="כן"),AND(P471="כן",V471="כן")))</f>
        <v/>
      </c>
      <c r="AG471">
        <f>AND(AE471,OR(O471="כן",P471="כן"),NOT(OR(AND(O471="כן",U471="כן"),AND(P471="כן",V471="כן"))))</f>
        <v/>
      </c>
      <c r="AH471">
        <f>AND(AE471,OR(U471="כן",V471="כן"),NOT(OR(O471="כן",P471="כן")))</f>
        <v/>
      </c>
      <c r="AI471">
        <f>AND(X471="מושאל",AB471&lt;&gt;"",AB471&lt;TODAY())</f>
        <v/>
      </c>
    </row>
    <row r="472">
      <c r="E472">
        <f>IFERROR(INDEX('הגדרות'!$D$104:$D$123,MATCH(B472&amp;G472&amp;C472,'הגדרות'!$A$104:$A$123&amp;'הגדרות'!$B$104:$B$123&amp;'הגדרות'!$C$104:$C$123,0)),"")</f>
        <v/>
      </c>
      <c r="F472" s="6" t="n"/>
      <c r="Q472">
        <f>IFERROR(VLOOKUP(M472,'הגדרות'!$A$11:$D$25,2,FALSE),"")</f>
        <v/>
      </c>
      <c r="R472">
        <f>IFERROR(VLOOKUP(M472,'הגדרות'!$A$11:$D$25,3,FALSE),"")</f>
        <v/>
      </c>
      <c r="S472">
        <f>IFERROR(VLOOKUP(N472,'הגדרות'!$A$11:$D$25,2,FALSE),"")</f>
        <v/>
      </c>
      <c r="T472">
        <f>IFERROR(VLOOKUP(N472,'הגדרות'!$A$11:$D$25,3,FALSE),"")</f>
        <v/>
      </c>
      <c r="AB472" s="6" t="n"/>
      <c r="AE472">
        <f>OR(Q472='לוח בקרה'!$B$2,R472='לוח בקרה'!$B$2,S472='לוח בקרה'!$B$2,T472='לוח בקרה'!$B$2)</f>
        <v/>
      </c>
      <c r="AF472">
        <f>AND(AE472,OR(AND(O472="כן",U472="כן"),AND(P472="כן",V472="כן")))</f>
        <v/>
      </c>
      <c r="AG472">
        <f>AND(AE472,OR(O472="כן",P472="כן"),NOT(OR(AND(O472="כן",U472="כן"),AND(P472="כן",V472="כן"))))</f>
        <v/>
      </c>
      <c r="AH472">
        <f>AND(AE472,OR(U472="כן",V472="כן"),NOT(OR(O472="כן",P472="כן")))</f>
        <v/>
      </c>
      <c r="AI472">
        <f>AND(X472="מושאל",AB472&lt;&gt;"",AB472&lt;TODAY())</f>
        <v/>
      </c>
    </row>
    <row r="473">
      <c r="E473">
        <f>IFERROR(INDEX('הגדרות'!$D$104:$D$123,MATCH(B473&amp;G473&amp;C473,'הגדרות'!$A$104:$A$123&amp;'הגדרות'!$B$104:$B$123&amp;'הגדרות'!$C$104:$C$123,0)),"")</f>
        <v/>
      </c>
      <c r="F473" s="6" t="n"/>
      <c r="Q473">
        <f>IFERROR(VLOOKUP(M473,'הגדרות'!$A$11:$D$25,2,FALSE),"")</f>
        <v/>
      </c>
      <c r="R473">
        <f>IFERROR(VLOOKUP(M473,'הגדרות'!$A$11:$D$25,3,FALSE),"")</f>
        <v/>
      </c>
      <c r="S473">
        <f>IFERROR(VLOOKUP(N473,'הגדרות'!$A$11:$D$25,2,FALSE),"")</f>
        <v/>
      </c>
      <c r="T473">
        <f>IFERROR(VLOOKUP(N473,'הגדרות'!$A$11:$D$25,3,FALSE),"")</f>
        <v/>
      </c>
      <c r="AB473" s="6" t="n"/>
      <c r="AE473">
        <f>OR(Q473='לוח בקרה'!$B$2,R473='לוח בקרה'!$B$2,S473='לוח בקרה'!$B$2,T473='לוח בקרה'!$B$2)</f>
        <v/>
      </c>
      <c r="AF473">
        <f>AND(AE473,OR(AND(O473="כן",U473="כן"),AND(P473="כן",V473="כן")))</f>
        <v/>
      </c>
      <c r="AG473">
        <f>AND(AE473,OR(O473="כן",P473="כן"),NOT(OR(AND(O473="כן",U473="כן"),AND(P473="כן",V473="כן"))))</f>
        <v/>
      </c>
      <c r="AH473">
        <f>AND(AE473,OR(U473="כן",V473="כן"),NOT(OR(O473="כן",P473="כן")))</f>
        <v/>
      </c>
      <c r="AI473">
        <f>AND(X473="מושאל",AB473&lt;&gt;"",AB473&lt;TODAY())</f>
        <v/>
      </c>
    </row>
    <row r="474">
      <c r="E474">
        <f>IFERROR(INDEX('הגדרות'!$D$104:$D$123,MATCH(B474&amp;G474&amp;C474,'הגדרות'!$A$104:$A$123&amp;'הגדרות'!$B$104:$B$123&amp;'הגדרות'!$C$104:$C$123,0)),"")</f>
        <v/>
      </c>
      <c r="F474" s="6" t="n"/>
      <c r="Q474">
        <f>IFERROR(VLOOKUP(M474,'הגדרות'!$A$11:$D$25,2,FALSE),"")</f>
        <v/>
      </c>
      <c r="R474">
        <f>IFERROR(VLOOKUP(M474,'הגדרות'!$A$11:$D$25,3,FALSE),"")</f>
        <v/>
      </c>
      <c r="S474">
        <f>IFERROR(VLOOKUP(N474,'הגדרות'!$A$11:$D$25,2,FALSE),"")</f>
        <v/>
      </c>
      <c r="T474">
        <f>IFERROR(VLOOKUP(N474,'הגדרות'!$A$11:$D$25,3,FALSE),"")</f>
        <v/>
      </c>
      <c r="AB474" s="6" t="n"/>
      <c r="AE474">
        <f>OR(Q474='לוח בקרה'!$B$2,R474='לוח בקרה'!$B$2,S474='לוח בקרה'!$B$2,T474='לוח בקרה'!$B$2)</f>
        <v/>
      </c>
      <c r="AF474">
        <f>AND(AE474,OR(AND(O474="כן",U474="כן"),AND(P474="כן",V474="כן")))</f>
        <v/>
      </c>
      <c r="AG474">
        <f>AND(AE474,OR(O474="כן",P474="כן"),NOT(OR(AND(O474="כן",U474="כן"),AND(P474="כן",V474="כן"))))</f>
        <v/>
      </c>
      <c r="AH474">
        <f>AND(AE474,OR(U474="כן",V474="כן"),NOT(OR(O474="כן",P474="כן")))</f>
        <v/>
      </c>
      <c r="AI474">
        <f>AND(X474="מושאל",AB474&lt;&gt;"",AB474&lt;TODAY())</f>
        <v/>
      </c>
    </row>
    <row r="475">
      <c r="E475">
        <f>IFERROR(INDEX('הגדרות'!$D$104:$D$123,MATCH(B475&amp;G475&amp;C475,'הגדרות'!$A$104:$A$123&amp;'הגדרות'!$B$104:$B$123&amp;'הגדרות'!$C$104:$C$123,0)),"")</f>
        <v/>
      </c>
      <c r="F475" s="6" t="n"/>
      <c r="Q475">
        <f>IFERROR(VLOOKUP(M475,'הגדרות'!$A$11:$D$25,2,FALSE),"")</f>
        <v/>
      </c>
      <c r="R475">
        <f>IFERROR(VLOOKUP(M475,'הגדרות'!$A$11:$D$25,3,FALSE),"")</f>
        <v/>
      </c>
      <c r="S475">
        <f>IFERROR(VLOOKUP(N475,'הגדרות'!$A$11:$D$25,2,FALSE),"")</f>
        <v/>
      </c>
      <c r="T475">
        <f>IFERROR(VLOOKUP(N475,'הגדרות'!$A$11:$D$25,3,FALSE),"")</f>
        <v/>
      </c>
      <c r="AB475" s="6" t="n"/>
      <c r="AE475">
        <f>OR(Q475='לוח בקרה'!$B$2,R475='לוח בקרה'!$B$2,S475='לוח בקרה'!$B$2,T475='לוח בקרה'!$B$2)</f>
        <v/>
      </c>
      <c r="AF475">
        <f>AND(AE475,OR(AND(O475="כן",U475="כן"),AND(P475="כן",V475="כן")))</f>
        <v/>
      </c>
      <c r="AG475">
        <f>AND(AE475,OR(O475="כן",P475="כן"),NOT(OR(AND(O475="כן",U475="כן"),AND(P475="כן",V475="כן"))))</f>
        <v/>
      </c>
      <c r="AH475">
        <f>AND(AE475,OR(U475="כן",V475="כן"),NOT(OR(O475="כן",P475="כן")))</f>
        <v/>
      </c>
      <c r="AI475">
        <f>AND(X475="מושאל",AB475&lt;&gt;"",AB475&lt;TODAY())</f>
        <v/>
      </c>
    </row>
    <row r="476">
      <c r="E476">
        <f>IFERROR(INDEX('הגדרות'!$D$104:$D$123,MATCH(B476&amp;G476&amp;C476,'הגדרות'!$A$104:$A$123&amp;'הגדרות'!$B$104:$B$123&amp;'הגדרות'!$C$104:$C$123,0)),"")</f>
        <v/>
      </c>
      <c r="F476" s="6" t="n"/>
      <c r="Q476">
        <f>IFERROR(VLOOKUP(M476,'הגדרות'!$A$11:$D$25,2,FALSE),"")</f>
        <v/>
      </c>
      <c r="R476">
        <f>IFERROR(VLOOKUP(M476,'הגדרות'!$A$11:$D$25,3,FALSE),"")</f>
        <v/>
      </c>
      <c r="S476">
        <f>IFERROR(VLOOKUP(N476,'הגדרות'!$A$11:$D$25,2,FALSE),"")</f>
        <v/>
      </c>
      <c r="T476">
        <f>IFERROR(VLOOKUP(N476,'הגדרות'!$A$11:$D$25,3,FALSE),"")</f>
        <v/>
      </c>
      <c r="AB476" s="6" t="n"/>
      <c r="AE476">
        <f>OR(Q476='לוח בקרה'!$B$2,R476='לוח בקרה'!$B$2,S476='לוח בקרה'!$B$2,T476='לוח בקרה'!$B$2)</f>
        <v/>
      </c>
      <c r="AF476">
        <f>AND(AE476,OR(AND(O476="כן",U476="כן"),AND(P476="כן",V476="כן")))</f>
        <v/>
      </c>
      <c r="AG476">
        <f>AND(AE476,OR(O476="כן",P476="כן"),NOT(OR(AND(O476="כן",U476="כן"),AND(P476="כן",V476="כן"))))</f>
        <v/>
      </c>
      <c r="AH476">
        <f>AND(AE476,OR(U476="כן",V476="כן"),NOT(OR(O476="כן",P476="כן")))</f>
        <v/>
      </c>
      <c r="AI476">
        <f>AND(X476="מושאל",AB476&lt;&gt;"",AB476&lt;TODAY())</f>
        <v/>
      </c>
    </row>
    <row r="477">
      <c r="E477">
        <f>IFERROR(INDEX('הגדרות'!$D$104:$D$123,MATCH(B477&amp;G477&amp;C477,'הגדרות'!$A$104:$A$123&amp;'הגדרות'!$B$104:$B$123&amp;'הגדרות'!$C$104:$C$123,0)),"")</f>
        <v/>
      </c>
      <c r="F477" s="6" t="n"/>
      <c r="Q477">
        <f>IFERROR(VLOOKUP(M477,'הגדרות'!$A$11:$D$25,2,FALSE),"")</f>
        <v/>
      </c>
      <c r="R477">
        <f>IFERROR(VLOOKUP(M477,'הגדרות'!$A$11:$D$25,3,FALSE),"")</f>
        <v/>
      </c>
      <c r="S477">
        <f>IFERROR(VLOOKUP(N477,'הגדרות'!$A$11:$D$25,2,FALSE),"")</f>
        <v/>
      </c>
      <c r="T477">
        <f>IFERROR(VLOOKUP(N477,'הגדרות'!$A$11:$D$25,3,FALSE),"")</f>
        <v/>
      </c>
      <c r="AB477" s="6" t="n"/>
      <c r="AE477">
        <f>OR(Q477='לוח בקרה'!$B$2,R477='לוח בקרה'!$B$2,S477='לוח בקרה'!$B$2,T477='לוח בקרה'!$B$2)</f>
        <v/>
      </c>
      <c r="AF477">
        <f>AND(AE477,OR(AND(O477="כן",U477="כן"),AND(P477="כן",V477="כן")))</f>
        <v/>
      </c>
      <c r="AG477">
        <f>AND(AE477,OR(O477="כן",P477="כן"),NOT(OR(AND(O477="כן",U477="כן"),AND(P477="כן",V477="כן"))))</f>
        <v/>
      </c>
      <c r="AH477">
        <f>AND(AE477,OR(U477="כן",V477="כן"),NOT(OR(O477="כן",P477="כן")))</f>
        <v/>
      </c>
      <c r="AI477">
        <f>AND(X477="מושאל",AB477&lt;&gt;"",AB477&lt;TODAY())</f>
        <v/>
      </c>
    </row>
    <row r="478">
      <c r="E478">
        <f>IFERROR(INDEX('הגדרות'!$D$104:$D$123,MATCH(B478&amp;G478&amp;C478,'הגדרות'!$A$104:$A$123&amp;'הגדרות'!$B$104:$B$123&amp;'הגדרות'!$C$104:$C$123,0)),"")</f>
        <v/>
      </c>
      <c r="F478" s="6" t="n"/>
      <c r="Q478">
        <f>IFERROR(VLOOKUP(M478,'הגדרות'!$A$11:$D$25,2,FALSE),"")</f>
        <v/>
      </c>
      <c r="R478">
        <f>IFERROR(VLOOKUP(M478,'הגדרות'!$A$11:$D$25,3,FALSE),"")</f>
        <v/>
      </c>
      <c r="S478">
        <f>IFERROR(VLOOKUP(N478,'הגדרות'!$A$11:$D$25,2,FALSE),"")</f>
        <v/>
      </c>
      <c r="T478">
        <f>IFERROR(VLOOKUP(N478,'הגדרות'!$A$11:$D$25,3,FALSE),"")</f>
        <v/>
      </c>
      <c r="AB478" s="6" t="n"/>
      <c r="AE478">
        <f>OR(Q478='לוח בקרה'!$B$2,R478='לוח בקרה'!$B$2,S478='לוח בקרה'!$B$2,T478='לוח בקרה'!$B$2)</f>
        <v/>
      </c>
      <c r="AF478">
        <f>AND(AE478,OR(AND(O478="כן",U478="כן"),AND(P478="כן",V478="כן")))</f>
        <v/>
      </c>
      <c r="AG478">
        <f>AND(AE478,OR(O478="כן",P478="כן"),NOT(OR(AND(O478="כן",U478="כן"),AND(P478="כן",V478="כן"))))</f>
        <v/>
      </c>
      <c r="AH478">
        <f>AND(AE478,OR(U478="כן",V478="כן"),NOT(OR(O478="כן",P478="כן")))</f>
        <v/>
      </c>
      <c r="AI478">
        <f>AND(X478="מושאל",AB478&lt;&gt;"",AB478&lt;TODAY())</f>
        <v/>
      </c>
    </row>
    <row r="479">
      <c r="E479">
        <f>IFERROR(INDEX('הגדרות'!$D$104:$D$123,MATCH(B479&amp;G479&amp;C479,'הגדרות'!$A$104:$A$123&amp;'הגדרות'!$B$104:$B$123&amp;'הגדרות'!$C$104:$C$123,0)),"")</f>
        <v/>
      </c>
      <c r="F479" s="6" t="n"/>
      <c r="Q479">
        <f>IFERROR(VLOOKUP(M479,'הגדרות'!$A$11:$D$25,2,FALSE),"")</f>
        <v/>
      </c>
      <c r="R479">
        <f>IFERROR(VLOOKUP(M479,'הגדרות'!$A$11:$D$25,3,FALSE),"")</f>
        <v/>
      </c>
      <c r="S479">
        <f>IFERROR(VLOOKUP(N479,'הגדרות'!$A$11:$D$25,2,FALSE),"")</f>
        <v/>
      </c>
      <c r="T479">
        <f>IFERROR(VLOOKUP(N479,'הגדרות'!$A$11:$D$25,3,FALSE),"")</f>
        <v/>
      </c>
      <c r="AB479" s="6" t="n"/>
      <c r="AE479">
        <f>OR(Q479='לוח בקרה'!$B$2,R479='לוח בקרה'!$B$2,S479='לוח בקרה'!$B$2,T479='לוח בקרה'!$B$2)</f>
        <v/>
      </c>
      <c r="AF479">
        <f>AND(AE479,OR(AND(O479="כן",U479="כן"),AND(P479="כן",V479="כן")))</f>
        <v/>
      </c>
      <c r="AG479">
        <f>AND(AE479,OR(O479="כן",P479="כן"),NOT(OR(AND(O479="כן",U479="כן"),AND(P479="כן",V479="כן"))))</f>
        <v/>
      </c>
      <c r="AH479">
        <f>AND(AE479,OR(U479="כן",V479="כן"),NOT(OR(O479="כן",P479="כן")))</f>
        <v/>
      </c>
      <c r="AI479">
        <f>AND(X479="מושאל",AB479&lt;&gt;"",AB479&lt;TODAY())</f>
        <v/>
      </c>
    </row>
    <row r="480">
      <c r="E480">
        <f>IFERROR(INDEX('הגדרות'!$D$104:$D$123,MATCH(B480&amp;G480&amp;C480,'הגדרות'!$A$104:$A$123&amp;'הגדרות'!$B$104:$B$123&amp;'הגדרות'!$C$104:$C$123,0)),"")</f>
        <v/>
      </c>
      <c r="F480" s="6" t="n"/>
      <c r="Q480">
        <f>IFERROR(VLOOKUP(M480,'הגדרות'!$A$11:$D$25,2,FALSE),"")</f>
        <v/>
      </c>
      <c r="R480">
        <f>IFERROR(VLOOKUP(M480,'הגדרות'!$A$11:$D$25,3,FALSE),"")</f>
        <v/>
      </c>
      <c r="S480">
        <f>IFERROR(VLOOKUP(N480,'הגדרות'!$A$11:$D$25,2,FALSE),"")</f>
        <v/>
      </c>
      <c r="T480">
        <f>IFERROR(VLOOKUP(N480,'הגדרות'!$A$11:$D$25,3,FALSE),"")</f>
        <v/>
      </c>
      <c r="AB480" s="6" t="n"/>
      <c r="AE480">
        <f>OR(Q480='לוח בקרה'!$B$2,R480='לוח בקרה'!$B$2,S480='לוח בקרה'!$B$2,T480='לוח בקרה'!$B$2)</f>
        <v/>
      </c>
      <c r="AF480">
        <f>AND(AE480,OR(AND(O480="כן",U480="כן"),AND(P480="כן",V480="כן")))</f>
        <v/>
      </c>
      <c r="AG480">
        <f>AND(AE480,OR(O480="כן",P480="כן"),NOT(OR(AND(O480="כן",U480="כן"),AND(P480="כן",V480="כן"))))</f>
        <v/>
      </c>
      <c r="AH480">
        <f>AND(AE480,OR(U480="כן",V480="כן"),NOT(OR(O480="כן",P480="כן")))</f>
        <v/>
      </c>
      <c r="AI480">
        <f>AND(X480="מושאל",AB480&lt;&gt;"",AB480&lt;TODAY())</f>
        <v/>
      </c>
    </row>
    <row r="481">
      <c r="E481">
        <f>IFERROR(INDEX('הגדרות'!$D$104:$D$123,MATCH(B481&amp;G481&amp;C481,'הגדרות'!$A$104:$A$123&amp;'הגדרות'!$B$104:$B$123&amp;'הגדרות'!$C$104:$C$123,0)),"")</f>
        <v/>
      </c>
      <c r="F481" s="6" t="n"/>
      <c r="Q481">
        <f>IFERROR(VLOOKUP(M481,'הגדרות'!$A$11:$D$25,2,FALSE),"")</f>
        <v/>
      </c>
      <c r="R481">
        <f>IFERROR(VLOOKUP(M481,'הגדרות'!$A$11:$D$25,3,FALSE),"")</f>
        <v/>
      </c>
      <c r="S481">
        <f>IFERROR(VLOOKUP(N481,'הגדרות'!$A$11:$D$25,2,FALSE),"")</f>
        <v/>
      </c>
      <c r="T481">
        <f>IFERROR(VLOOKUP(N481,'הגדרות'!$A$11:$D$25,3,FALSE),"")</f>
        <v/>
      </c>
      <c r="AB481" s="6" t="n"/>
      <c r="AE481">
        <f>OR(Q481='לוח בקרה'!$B$2,R481='לוח בקרה'!$B$2,S481='לוח בקרה'!$B$2,T481='לוח בקרה'!$B$2)</f>
        <v/>
      </c>
      <c r="AF481">
        <f>AND(AE481,OR(AND(O481="כן",U481="כן"),AND(P481="כן",V481="כן")))</f>
        <v/>
      </c>
      <c r="AG481">
        <f>AND(AE481,OR(O481="כן",P481="כן"),NOT(OR(AND(O481="כן",U481="כן"),AND(P481="כן",V481="כן"))))</f>
        <v/>
      </c>
      <c r="AH481">
        <f>AND(AE481,OR(U481="כן",V481="כן"),NOT(OR(O481="כן",P481="כן")))</f>
        <v/>
      </c>
      <c r="AI481">
        <f>AND(X481="מושאל",AB481&lt;&gt;"",AB481&lt;TODAY())</f>
        <v/>
      </c>
    </row>
    <row r="482">
      <c r="E482">
        <f>IFERROR(INDEX('הגדרות'!$D$104:$D$123,MATCH(B482&amp;G482&amp;C482,'הגדרות'!$A$104:$A$123&amp;'הגדרות'!$B$104:$B$123&amp;'הגדרות'!$C$104:$C$123,0)),"")</f>
        <v/>
      </c>
      <c r="F482" s="6" t="n"/>
      <c r="Q482">
        <f>IFERROR(VLOOKUP(M482,'הגדרות'!$A$11:$D$25,2,FALSE),"")</f>
        <v/>
      </c>
      <c r="R482">
        <f>IFERROR(VLOOKUP(M482,'הגדרות'!$A$11:$D$25,3,FALSE),"")</f>
        <v/>
      </c>
      <c r="S482">
        <f>IFERROR(VLOOKUP(N482,'הגדרות'!$A$11:$D$25,2,FALSE),"")</f>
        <v/>
      </c>
      <c r="T482">
        <f>IFERROR(VLOOKUP(N482,'הגדרות'!$A$11:$D$25,3,FALSE),"")</f>
        <v/>
      </c>
      <c r="AB482" s="6" t="n"/>
      <c r="AE482">
        <f>OR(Q482='לוח בקרה'!$B$2,R482='לוח בקרה'!$B$2,S482='לוח בקרה'!$B$2,T482='לוח בקרה'!$B$2)</f>
        <v/>
      </c>
      <c r="AF482">
        <f>AND(AE482,OR(AND(O482="כן",U482="כן"),AND(P482="כן",V482="כן")))</f>
        <v/>
      </c>
      <c r="AG482">
        <f>AND(AE482,OR(O482="כן",P482="כן"),NOT(OR(AND(O482="כן",U482="כן"),AND(P482="כן",V482="כן"))))</f>
        <v/>
      </c>
      <c r="AH482">
        <f>AND(AE482,OR(U482="כן",V482="כן"),NOT(OR(O482="כן",P482="כן")))</f>
        <v/>
      </c>
      <c r="AI482">
        <f>AND(X482="מושאל",AB482&lt;&gt;"",AB482&lt;TODAY())</f>
        <v/>
      </c>
    </row>
    <row r="483">
      <c r="E483">
        <f>IFERROR(INDEX('הגדרות'!$D$104:$D$123,MATCH(B483&amp;G483&amp;C483,'הגדרות'!$A$104:$A$123&amp;'הגדרות'!$B$104:$B$123&amp;'הגדרות'!$C$104:$C$123,0)),"")</f>
        <v/>
      </c>
      <c r="F483" s="6" t="n"/>
      <c r="Q483">
        <f>IFERROR(VLOOKUP(M483,'הגדרות'!$A$11:$D$25,2,FALSE),"")</f>
        <v/>
      </c>
      <c r="R483">
        <f>IFERROR(VLOOKUP(M483,'הגדרות'!$A$11:$D$25,3,FALSE),"")</f>
        <v/>
      </c>
      <c r="S483">
        <f>IFERROR(VLOOKUP(N483,'הגדרות'!$A$11:$D$25,2,FALSE),"")</f>
        <v/>
      </c>
      <c r="T483">
        <f>IFERROR(VLOOKUP(N483,'הגדרות'!$A$11:$D$25,3,FALSE),"")</f>
        <v/>
      </c>
      <c r="AB483" s="6" t="n"/>
      <c r="AE483">
        <f>OR(Q483='לוח בקרה'!$B$2,R483='לוח בקרה'!$B$2,S483='לוח בקרה'!$B$2,T483='לוח בקרה'!$B$2)</f>
        <v/>
      </c>
      <c r="AF483">
        <f>AND(AE483,OR(AND(O483="כן",U483="כן"),AND(P483="כן",V483="כן")))</f>
        <v/>
      </c>
      <c r="AG483">
        <f>AND(AE483,OR(O483="כן",P483="כן"),NOT(OR(AND(O483="כן",U483="כן"),AND(P483="כן",V483="כן"))))</f>
        <v/>
      </c>
      <c r="AH483">
        <f>AND(AE483,OR(U483="כן",V483="כן"),NOT(OR(O483="כן",P483="כן")))</f>
        <v/>
      </c>
      <c r="AI483">
        <f>AND(X483="מושאל",AB483&lt;&gt;"",AB483&lt;TODAY())</f>
        <v/>
      </c>
    </row>
    <row r="484">
      <c r="E484">
        <f>IFERROR(INDEX('הגדרות'!$D$104:$D$123,MATCH(B484&amp;G484&amp;C484,'הגדרות'!$A$104:$A$123&amp;'הגדרות'!$B$104:$B$123&amp;'הגדרות'!$C$104:$C$123,0)),"")</f>
        <v/>
      </c>
      <c r="F484" s="6" t="n"/>
      <c r="Q484">
        <f>IFERROR(VLOOKUP(M484,'הגדרות'!$A$11:$D$25,2,FALSE),"")</f>
        <v/>
      </c>
      <c r="R484">
        <f>IFERROR(VLOOKUP(M484,'הגדרות'!$A$11:$D$25,3,FALSE),"")</f>
        <v/>
      </c>
      <c r="S484">
        <f>IFERROR(VLOOKUP(N484,'הגדרות'!$A$11:$D$25,2,FALSE),"")</f>
        <v/>
      </c>
      <c r="T484">
        <f>IFERROR(VLOOKUP(N484,'הגדרות'!$A$11:$D$25,3,FALSE),"")</f>
        <v/>
      </c>
      <c r="AB484" s="6" t="n"/>
      <c r="AE484">
        <f>OR(Q484='לוח בקרה'!$B$2,R484='לוח בקרה'!$B$2,S484='לוח בקרה'!$B$2,T484='לוח בקרה'!$B$2)</f>
        <v/>
      </c>
      <c r="AF484">
        <f>AND(AE484,OR(AND(O484="כן",U484="כן"),AND(P484="כן",V484="כן")))</f>
        <v/>
      </c>
      <c r="AG484">
        <f>AND(AE484,OR(O484="כן",P484="כן"),NOT(OR(AND(O484="כן",U484="כן"),AND(P484="כן",V484="כן"))))</f>
        <v/>
      </c>
      <c r="AH484">
        <f>AND(AE484,OR(U484="כן",V484="כן"),NOT(OR(O484="כן",P484="כן")))</f>
        <v/>
      </c>
      <c r="AI484">
        <f>AND(X484="מושאל",AB484&lt;&gt;"",AB484&lt;TODAY())</f>
        <v/>
      </c>
    </row>
    <row r="485">
      <c r="E485">
        <f>IFERROR(INDEX('הגדרות'!$D$104:$D$123,MATCH(B485&amp;G485&amp;C485,'הגדרות'!$A$104:$A$123&amp;'הגדרות'!$B$104:$B$123&amp;'הגדרות'!$C$104:$C$123,0)),"")</f>
        <v/>
      </c>
      <c r="F485" s="6" t="n"/>
      <c r="Q485">
        <f>IFERROR(VLOOKUP(M485,'הגדרות'!$A$11:$D$25,2,FALSE),"")</f>
        <v/>
      </c>
      <c r="R485">
        <f>IFERROR(VLOOKUP(M485,'הגדרות'!$A$11:$D$25,3,FALSE),"")</f>
        <v/>
      </c>
      <c r="S485">
        <f>IFERROR(VLOOKUP(N485,'הגדרות'!$A$11:$D$25,2,FALSE),"")</f>
        <v/>
      </c>
      <c r="T485">
        <f>IFERROR(VLOOKUP(N485,'הגדרות'!$A$11:$D$25,3,FALSE),"")</f>
        <v/>
      </c>
      <c r="AB485" s="6" t="n"/>
      <c r="AE485">
        <f>OR(Q485='לוח בקרה'!$B$2,R485='לוח בקרה'!$B$2,S485='לוח בקרה'!$B$2,T485='לוח בקרה'!$B$2)</f>
        <v/>
      </c>
      <c r="AF485">
        <f>AND(AE485,OR(AND(O485="כן",U485="כן"),AND(P485="כן",V485="כן")))</f>
        <v/>
      </c>
      <c r="AG485">
        <f>AND(AE485,OR(O485="כן",P485="כן"),NOT(OR(AND(O485="כן",U485="כן"),AND(P485="כן",V485="כן"))))</f>
        <v/>
      </c>
      <c r="AH485">
        <f>AND(AE485,OR(U485="כן",V485="כן"),NOT(OR(O485="כן",P485="כן")))</f>
        <v/>
      </c>
      <c r="AI485">
        <f>AND(X485="מושאל",AB485&lt;&gt;"",AB485&lt;TODAY())</f>
        <v/>
      </c>
    </row>
    <row r="486">
      <c r="E486">
        <f>IFERROR(INDEX('הגדרות'!$D$104:$D$123,MATCH(B486&amp;G486&amp;C486,'הגדרות'!$A$104:$A$123&amp;'הגדרות'!$B$104:$B$123&amp;'הגדרות'!$C$104:$C$123,0)),"")</f>
        <v/>
      </c>
      <c r="F486" s="6" t="n"/>
      <c r="Q486">
        <f>IFERROR(VLOOKUP(M486,'הגדרות'!$A$11:$D$25,2,FALSE),"")</f>
        <v/>
      </c>
      <c r="R486">
        <f>IFERROR(VLOOKUP(M486,'הגדרות'!$A$11:$D$25,3,FALSE),"")</f>
        <v/>
      </c>
      <c r="S486">
        <f>IFERROR(VLOOKUP(N486,'הגדרות'!$A$11:$D$25,2,FALSE),"")</f>
        <v/>
      </c>
      <c r="T486">
        <f>IFERROR(VLOOKUP(N486,'הגדרות'!$A$11:$D$25,3,FALSE),"")</f>
        <v/>
      </c>
      <c r="AB486" s="6" t="n"/>
      <c r="AE486">
        <f>OR(Q486='לוח בקרה'!$B$2,R486='לוח בקרה'!$B$2,S486='לוח בקרה'!$B$2,T486='לוח בקרה'!$B$2)</f>
        <v/>
      </c>
      <c r="AF486">
        <f>AND(AE486,OR(AND(O486="כן",U486="כן"),AND(P486="כן",V486="כן")))</f>
        <v/>
      </c>
      <c r="AG486">
        <f>AND(AE486,OR(O486="כן",P486="כן"),NOT(OR(AND(O486="כן",U486="כן"),AND(P486="כן",V486="כן"))))</f>
        <v/>
      </c>
      <c r="AH486">
        <f>AND(AE486,OR(U486="כן",V486="כן"),NOT(OR(O486="כן",P486="כן")))</f>
        <v/>
      </c>
      <c r="AI486">
        <f>AND(X486="מושאל",AB486&lt;&gt;"",AB486&lt;TODAY())</f>
        <v/>
      </c>
    </row>
    <row r="487">
      <c r="E487">
        <f>IFERROR(INDEX('הגדרות'!$D$104:$D$123,MATCH(B487&amp;G487&amp;C487,'הגדרות'!$A$104:$A$123&amp;'הגדרות'!$B$104:$B$123&amp;'הגדרות'!$C$104:$C$123,0)),"")</f>
        <v/>
      </c>
      <c r="F487" s="6" t="n"/>
      <c r="Q487">
        <f>IFERROR(VLOOKUP(M487,'הגדרות'!$A$11:$D$25,2,FALSE),"")</f>
        <v/>
      </c>
      <c r="R487">
        <f>IFERROR(VLOOKUP(M487,'הגדרות'!$A$11:$D$25,3,FALSE),"")</f>
        <v/>
      </c>
      <c r="S487">
        <f>IFERROR(VLOOKUP(N487,'הגדרות'!$A$11:$D$25,2,FALSE),"")</f>
        <v/>
      </c>
      <c r="T487">
        <f>IFERROR(VLOOKUP(N487,'הגדרות'!$A$11:$D$25,3,FALSE),"")</f>
        <v/>
      </c>
      <c r="AB487" s="6" t="n"/>
      <c r="AE487">
        <f>OR(Q487='לוח בקרה'!$B$2,R487='לוח בקרה'!$B$2,S487='לוח בקרה'!$B$2,T487='לוח בקרה'!$B$2)</f>
        <v/>
      </c>
      <c r="AF487">
        <f>AND(AE487,OR(AND(O487="כן",U487="כן"),AND(P487="כן",V487="כן")))</f>
        <v/>
      </c>
      <c r="AG487">
        <f>AND(AE487,OR(O487="כן",P487="כן"),NOT(OR(AND(O487="כן",U487="כן"),AND(P487="כן",V487="כן"))))</f>
        <v/>
      </c>
      <c r="AH487">
        <f>AND(AE487,OR(U487="כן",V487="כן"),NOT(OR(O487="כן",P487="כן")))</f>
        <v/>
      </c>
      <c r="AI487">
        <f>AND(X487="מושאל",AB487&lt;&gt;"",AB487&lt;TODAY())</f>
        <v/>
      </c>
    </row>
    <row r="488">
      <c r="E488">
        <f>IFERROR(INDEX('הגדרות'!$D$104:$D$123,MATCH(B488&amp;G488&amp;C488,'הגדרות'!$A$104:$A$123&amp;'הגדרות'!$B$104:$B$123&amp;'הגדרות'!$C$104:$C$123,0)),"")</f>
        <v/>
      </c>
      <c r="F488" s="6" t="n"/>
      <c r="Q488">
        <f>IFERROR(VLOOKUP(M488,'הגדרות'!$A$11:$D$25,2,FALSE),"")</f>
        <v/>
      </c>
      <c r="R488">
        <f>IFERROR(VLOOKUP(M488,'הגדרות'!$A$11:$D$25,3,FALSE),"")</f>
        <v/>
      </c>
      <c r="S488">
        <f>IFERROR(VLOOKUP(N488,'הגדרות'!$A$11:$D$25,2,FALSE),"")</f>
        <v/>
      </c>
      <c r="T488">
        <f>IFERROR(VLOOKUP(N488,'הגדרות'!$A$11:$D$25,3,FALSE),"")</f>
        <v/>
      </c>
      <c r="AB488" s="6" t="n"/>
      <c r="AE488">
        <f>OR(Q488='לוח בקרה'!$B$2,R488='לוח בקרה'!$B$2,S488='לוח בקרה'!$B$2,T488='לוח בקרה'!$B$2)</f>
        <v/>
      </c>
      <c r="AF488">
        <f>AND(AE488,OR(AND(O488="כן",U488="כן"),AND(P488="כן",V488="כן")))</f>
        <v/>
      </c>
      <c r="AG488">
        <f>AND(AE488,OR(O488="כן",P488="כן"),NOT(OR(AND(O488="כן",U488="כן"),AND(P488="כן",V488="כן"))))</f>
        <v/>
      </c>
      <c r="AH488">
        <f>AND(AE488,OR(U488="כן",V488="כן"),NOT(OR(O488="כן",P488="כן")))</f>
        <v/>
      </c>
      <c r="AI488">
        <f>AND(X488="מושאל",AB488&lt;&gt;"",AB488&lt;TODAY())</f>
        <v/>
      </c>
    </row>
    <row r="489">
      <c r="E489">
        <f>IFERROR(INDEX('הגדרות'!$D$104:$D$123,MATCH(B489&amp;G489&amp;C489,'הגדרות'!$A$104:$A$123&amp;'הגדרות'!$B$104:$B$123&amp;'הגדרות'!$C$104:$C$123,0)),"")</f>
        <v/>
      </c>
      <c r="F489" s="6" t="n"/>
      <c r="Q489">
        <f>IFERROR(VLOOKUP(M489,'הגדרות'!$A$11:$D$25,2,FALSE),"")</f>
        <v/>
      </c>
      <c r="R489">
        <f>IFERROR(VLOOKUP(M489,'הגדרות'!$A$11:$D$25,3,FALSE),"")</f>
        <v/>
      </c>
      <c r="S489">
        <f>IFERROR(VLOOKUP(N489,'הגדרות'!$A$11:$D$25,2,FALSE),"")</f>
        <v/>
      </c>
      <c r="T489">
        <f>IFERROR(VLOOKUP(N489,'הגדרות'!$A$11:$D$25,3,FALSE),"")</f>
        <v/>
      </c>
      <c r="AB489" s="6" t="n"/>
      <c r="AE489">
        <f>OR(Q489='לוח בקרה'!$B$2,R489='לוח בקרה'!$B$2,S489='לוח בקרה'!$B$2,T489='לוח בקרה'!$B$2)</f>
        <v/>
      </c>
      <c r="AF489">
        <f>AND(AE489,OR(AND(O489="כן",U489="כן"),AND(P489="כן",V489="כן")))</f>
        <v/>
      </c>
      <c r="AG489">
        <f>AND(AE489,OR(O489="כן",P489="כן"),NOT(OR(AND(O489="כן",U489="כן"),AND(P489="כן",V489="כן"))))</f>
        <v/>
      </c>
      <c r="AH489">
        <f>AND(AE489,OR(U489="כן",V489="כן"),NOT(OR(O489="כן",P489="כן")))</f>
        <v/>
      </c>
      <c r="AI489">
        <f>AND(X489="מושאל",AB489&lt;&gt;"",AB489&lt;TODAY())</f>
        <v/>
      </c>
    </row>
    <row r="490">
      <c r="E490">
        <f>IFERROR(INDEX('הגדרות'!$D$104:$D$123,MATCH(B490&amp;G490&amp;C490,'הגדרות'!$A$104:$A$123&amp;'הגדרות'!$B$104:$B$123&amp;'הגדרות'!$C$104:$C$123,0)),"")</f>
        <v/>
      </c>
      <c r="F490" s="6" t="n"/>
      <c r="Q490">
        <f>IFERROR(VLOOKUP(M490,'הגדרות'!$A$11:$D$25,2,FALSE),"")</f>
        <v/>
      </c>
      <c r="R490">
        <f>IFERROR(VLOOKUP(M490,'הגדרות'!$A$11:$D$25,3,FALSE),"")</f>
        <v/>
      </c>
      <c r="S490">
        <f>IFERROR(VLOOKUP(N490,'הגדרות'!$A$11:$D$25,2,FALSE),"")</f>
        <v/>
      </c>
      <c r="T490">
        <f>IFERROR(VLOOKUP(N490,'הגדרות'!$A$11:$D$25,3,FALSE),"")</f>
        <v/>
      </c>
      <c r="AB490" s="6" t="n"/>
      <c r="AE490">
        <f>OR(Q490='לוח בקרה'!$B$2,R490='לוח בקרה'!$B$2,S490='לוח בקרה'!$B$2,T490='לוח בקרה'!$B$2)</f>
        <v/>
      </c>
      <c r="AF490">
        <f>AND(AE490,OR(AND(O490="כן",U490="כן"),AND(P490="כן",V490="כן")))</f>
        <v/>
      </c>
      <c r="AG490">
        <f>AND(AE490,OR(O490="כן",P490="כן"),NOT(OR(AND(O490="כן",U490="כן"),AND(P490="כן",V490="כן"))))</f>
        <v/>
      </c>
      <c r="AH490">
        <f>AND(AE490,OR(U490="כן",V490="כן"),NOT(OR(O490="כן",P490="כן")))</f>
        <v/>
      </c>
      <c r="AI490">
        <f>AND(X490="מושאל",AB490&lt;&gt;"",AB490&lt;TODAY())</f>
        <v/>
      </c>
    </row>
    <row r="491">
      <c r="E491">
        <f>IFERROR(INDEX('הגדרות'!$D$104:$D$123,MATCH(B491&amp;G491&amp;C491,'הגדרות'!$A$104:$A$123&amp;'הגדרות'!$B$104:$B$123&amp;'הגדרות'!$C$104:$C$123,0)),"")</f>
        <v/>
      </c>
      <c r="F491" s="6" t="n"/>
      <c r="Q491">
        <f>IFERROR(VLOOKUP(M491,'הגדרות'!$A$11:$D$25,2,FALSE),"")</f>
        <v/>
      </c>
      <c r="R491">
        <f>IFERROR(VLOOKUP(M491,'הגדרות'!$A$11:$D$25,3,FALSE),"")</f>
        <v/>
      </c>
      <c r="S491">
        <f>IFERROR(VLOOKUP(N491,'הגדרות'!$A$11:$D$25,2,FALSE),"")</f>
        <v/>
      </c>
      <c r="T491">
        <f>IFERROR(VLOOKUP(N491,'הגדרות'!$A$11:$D$25,3,FALSE),"")</f>
        <v/>
      </c>
      <c r="AB491" s="6" t="n"/>
      <c r="AE491">
        <f>OR(Q491='לוח בקרה'!$B$2,R491='לוח בקרה'!$B$2,S491='לוח בקרה'!$B$2,T491='לוח בקרה'!$B$2)</f>
        <v/>
      </c>
      <c r="AF491">
        <f>AND(AE491,OR(AND(O491="כן",U491="כן"),AND(P491="כן",V491="כן")))</f>
        <v/>
      </c>
      <c r="AG491">
        <f>AND(AE491,OR(O491="כן",P491="כן"),NOT(OR(AND(O491="כן",U491="כן"),AND(P491="כן",V491="כן"))))</f>
        <v/>
      </c>
      <c r="AH491">
        <f>AND(AE491,OR(U491="כן",V491="כן"),NOT(OR(O491="כן",P491="כן")))</f>
        <v/>
      </c>
      <c r="AI491">
        <f>AND(X491="מושאל",AB491&lt;&gt;"",AB491&lt;TODAY())</f>
        <v/>
      </c>
    </row>
    <row r="492">
      <c r="E492">
        <f>IFERROR(INDEX('הגדרות'!$D$104:$D$123,MATCH(B492&amp;G492&amp;C492,'הגדרות'!$A$104:$A$123&amp;'הגדרות'!$B$104:$B$123&amp;'הגדרות'!$C$104:$C$123,0)),"")</f>
        <v/>
      </c>
      <c r="F492" s="6" t="n"/>
      <c r="Q492">
        <f>IFERROR(VLOOKUP(M492,'הגדרות'!$A$11:$D$25,2,FALSE),"")</f>
        <v/>
      </c>
      <c r="R492">
        <f>IFERROR(VLOOKUP(M492,'הגדרות'!$A$11:$D$25,3,FALSE),"")</f>
        <v/>
      </c>
      <c r="S492">
        <f>IFERROR(VLOOKUP(N492,'הגדרות'!$A$11:$D$25,2,FALSE),"")</f>
        <v/>
      </c>
      <c r="T492">
        <f>IFERROR(VLOOKUP(N492,'הגדרות'!$A$11:$D$25,3,FALSE),"")</f>
        <v/>
      </c>
      <c r="AB492" s="6" t="n"/>
      <c r="AE492">
        <f>OR(Q492='לוח בקרה'!$B$2,R492='לוח בקרה'!$B$2,S492='לוח בקרה'!$B$2,T492='לוח בקרה'!$B$2)</f>
        <v/>
      </c>
      <c r="AF492">
        <f>AND(AE492,OR(AND(O492="כן",U492="כן"),AND(P492="כן",V492="כן")))</f>
        <v/>
      </c>
      <c r="AG492">
        <f>AND(AE492,OR(O492="כן",P492="כן"),NOT(OR(AND(O492="כן",U492="כן"),AND(P492="כן",V492="כן"))))</f>
        <v/>
      </c>
      <c r="AH492">
        <f>AND(AE492,OR(U492="כן",V492="כן"),NOT(OR(O492="כן",P492="כן")))</f>
        <v/>
      </c>
      <c r="AI492">
        <f>AND(X492="מושאל",AB492&lt;&gt;"",AB492&lt;TODAY())</f>
        <v/>
      </c>
    </row>
    <row r="493">
      <c r="E493">
        <f>IFERROR(INDEX('הגדרות'!$D$104:$D$123,MATCH(B493&amp;G493&amp;C493,'הגדרות'!$A$104:$A$123&amp;'הגדרות'!$B$104:$B$123&amp;'הגדרות'!$C$104:$C$123,0)),"")</f>
        <v/>
      </c>
      <c r="F493" s="6" t="n"/>
      <c r="Q493">
        <f>IFERROR(VLOOKUP(M493,'הגדרות'!$A$11:$D$25,2,FALSE),"")</f>
        <v/>
      </c>
      <c r="R493">
        <f>IFERROR(VLOOKUP(M493,'הגדרות'!$A$11:$D$25,3,FALSE),"")</f>
        <v/>
      </c>
      <c r="S493">
        <f>IFERROR(VLOOKUP(N493,'הגדרות'!$A$11:$D$25,2,FALSE),"")</f>
        <v/>
      </c>
      <c r="T493">
        <f>IFERROR(VLOOKUP(N493,'הגדרות'!$A$11:$D$25,3,FALSE),"")</f>
        <v/>
      </c>
      <c r="AB493" s="6" t="n"/>
      <c r="AE493">
        <f>OR(Q493='לוח בקרה'!$B$2,R493='לוח בקרה'!$B$2,S493='לוח בקרה'!$B$2,T493='לוח בקרה'!$B$2)</f>
        <v/>
      </c>
      <c r="AF493">
        <f>AND(AE493,OR(AND(O493="כן",U493="כן"),AND(P493="כן",V493="כן")))</f>
        <v/>
      </c>
      <c r="AG493">
        <f>AND(AE493,OR(O493="כן",P493="כן"),NOT(OR(AND(O493="כן",U493="כן"),AND(P493="כן",V493="כן"))))</f>
        <v/>
      </c>
      <c r="AH493">
        <f>AND(AE493,OR(U493="כן",V493="כן"),NOT(OR(O493="כן",P493="כן")))</f>
        <v/>
      </c>
      <c r="AI493">
        <f>AND(X493="מושאל",AB493&lt;&gt;"",AB493&lt;TODAY())</f>
        <v/>
      </c>
    </row>
    <row r="494">
      <c r="E494">
        <f>IFERROR(INDEX('הגדרות'!$D$104:$D$123,MATCH(B494&amp;G494&amp;C494,'הגדרות'!$A$104:$A$123&amp;'הגדרות'!$B$104:$B$123&amp;'הגדרות'!$C$104:$C$123,0)),"")</f>
        <v/>
      </c>
      <c r="F494" s="6" t="n"/>
      <c r="Q494">
        <f>IFERROR(VLOOKUP(M494,'הגדרות'!$A$11:$D$25,2,FALSE),"")</f>
        <v/>
      </c>
      <c r="R494">
        <f>IFERROR(VLOOKUP(M494,'הגדרות'!$A$11:$D$25,3,FALSE),"")</f>
        <v/>
      </c>
      <c r="S494">
        <f>IFERROR(VLOOKUP(N494,'הגדרות'!$A$11:$D$25,2,FALSE),"")</f>
        <v/>
      </c>
      <c r="T494">
        <f>IFERROR(VLOOKUP(N494,'הגדרות'!$A$11:$D$25,3,FALSE),"")</f>
        <v/>
      </c>
      <c r="AB494" s="6" t="n"/>
      <c r="AE494">
        <f>OR(Q494='לוח בקרה'!$B$2,R494='לוח בקרה'!$B$2,S494='לוח בקרה'!$B$2,T494='לוח בקרה'!$B$2)</f>
        <v/>
      </c>
      <c r="AF494">
        <f>AND(AE494,OR(AND(O494="כן",U494="כן"),AND(P494="כן",V494="כן")))</f>
        <v/>
      </c>
      <c r="AG494">
        <f>AND(AE494,OR(O494="כן",P494="כן"),NOT(OR(AND(O494="כן",U494="כן"),AND(P494="כן",V494="כן"))))</f>
        <v/>
      </c>
      <c r="AH494">
        <f>AND(AE494,OR(U494="כן",V494="כן"),NOT(OR(O494="כן",P494="כן")))</f>
        <v/>
      </c>
      <c r="AI494">
        <f>AND(X494="מושאל",AB494&lt;&gt;"",AB494&lt;TODAY())</f>
        <v/>
      </c>
    </row>
    <row r="495">
      <c r="E495">
        <f>IFERROR(INDEX('הגדרות'!$D$104:$D$123,MATCH(B495&amp;G495&amp;C495,'הגדרות'!$A$104:$A$123&amp;'הגדרות'!$B$104:$B$123&amp;'הגדרות'!$C$104:$C$123,0)),"")</f>
        <v/>
      </c>
      <c r="F495" s="6" t="n"/>
      <c r="Q495">
        <f>IFERROR(VLOOKUP(M495,'הגדרות'!$A$11:$D$25,2,FALSE),"")</f>
        <v/>
      </c>
      <c r="R495">
        <f>IFERROR(VLOOKUP(M495,'הגדרות'!$A$11:$D$25,3,FALSE),"")</f>
        <v/>
      </c>
      <c r="S495">
        <f>IFERROR(VLOOKUP(N495,'הגדרות'!$A$11:$D$25,2,FALSE),"")</f>
        <v/>
      </c>
      <c r="T495">
        <f>IFERROR(VLOOKUP(N495,'הגדרות'!$A$11:$D$25,3,FALSE),"")</f>
        <v/>
      </c>
      <c r="AB495" s="6" t="n"/>
      <c r="AE495">
        <f>OR(Q495='לוח בקרה'!$B$2,R495='לוח בקרה'!$B$2,S495='לוח בקרה'!$B$2,T495='לוח בקרה'!$B$2)</f>
        <v/>
      </c>
      <c r="AF495">
        <f>AND(AE495,OR(AND(O495="כן",U495="כן"),AND(P495="כן",V495="כן")))</f>
        <v/>
      </c>
      <c r="AG495">
        <f>AND(AE495,OR(O495="כן",P495="כן"),NOT(OR(AND(O495="כן",U495="כן"),AND(P495="כן",V495="כן"))))</f>
        <v/>
      </c>
      <c r="AH495">
        <f>AND(AE495,OR(U495="כן",V495="כן"),NOT(OR(O495="כן",P495="כן")))</f>
        <v/>
      </c>
      <c r="AI495">
        <f>AND(X495="מושאל",AB495&lt;&gt;"",AB495&lt;TODAY())</f>
        <v/>
      </c>
    </row>
    <row r="496">
      <c r="E496">
        <f>IFERROR(INDEX('הגדרות'!$D$104:$D$123,MATCH(B496&amp;G496&amp;C496,'הגדרות'!$A$104:$A$123&amp;'הגדרות'!$B$104:$B$123&amp;'הגדרות'!$C$104:$C$123,0)),"")</f>
        <v/>
      </c>
      <c r="F496" s="6" t="n"/>
      <c r="Q496">
        <f>IFERROR(VLOOKUP(M496,'הגדרות'!$A$11:$D$25,2,FALSE),"")</f>
        <v/>
      </c>
      <c r="R496">
        <f>IFERROR(VLOOKUP(M496,'הגדרות'!$A$11:$D$25,3,FALSE),"")</f>
        <v/>
      </c>
      <c r="S496">
        <f>IFERROR(VLOOKUP(N496,'הגדרות'!$A$11:$D$25,2,FALSE),"")</f>
        <v/>
      </c>
      <c r="T496">
        <f>IFERROR(VLOOKUP(N496,'הגדרות'!$A$11:$D$25,3,FALSE),"")</f>
        <v/>
      </c>
      <c r="AB496" s="6" t="n"/>
      <c r="AE496">
        <f>OR(Q496='לוח בקרה'!$B$2,R496='לוח בקרה'!$B$2,S496='לוח בקרה'!$B$2,T496='לוח בקרה'!$B$2)</f>
        <v/>
      </c>
      <c r="AF496">
        <f>AND(AE496,OR(AND(O496="כן",U496="כן"),AND(P496="כן",V496="כן")))</f>
        <v/>
      </c>
      <c r="AG496">
        <f>AND(AE496,OR(O496="כן",P496="כן"),NOT(OR(AND(O496="כן",U496="כן"),AND(P496="כן",V496="כן"))))</f>
        <v/>
      </c>
      <c r="AH496">
        <f>AND(AE496,OR(U496="כן",V496="כן"),NOT(OR(O496="כן",P496="כן")))</f>
        <v/>
      </c>
      <c r="AI496">
        <f>AND(X496="מושאל",AB496&lt;&gt;"",AB496&lt;TODAY())</f>
        <v/>
      </c>
    </row>
    <row r="497">
      <c r="E497">
        <f>IFERROR(INDEX('הגדרות'!$D$104:$D$123,MATCH(B497&amp;G497&amp;C497,'הגדרות'!$A$104:$A$123&amp;'הגדרות'!$B$104:$B$123&amp;'הגדרות'!$C$104:$C$123,0)),"")</f>
        <v/>
      </c>
      <c r="F497" s="6" t="n"/>
      <c r="Q497">
        <f>IFERROR(VLOOKUP(M497,'הגדרות'!$A$11:$D$25,2,FALSE),"")</f>
        <v/>
      </c>
      <c r="R497">
        <f>IFERROR(VLOOKUP(M497,'הגדרות'!$A$11:$D$25,3,FALSE),"")</f>
        <v/>
      </c>
      <c r="S497">
        <f>IFERROR(VLOOKUP(N497,'הגדרות'!$A$11:$D$25,2,FALSE),"")</f>
        <v/>
      </c>
      <c r="T497">
        <f>IFERROR(VLOOKUP(N497,'הגדרות'!$A$11:$D$25,3,FALSE),"")</f>
        <v/>
      </c>
      <c r="AB497" s="6" t="n"/>
      <c r="AE497">
        <f>OR(Q497='לוח בקרה'!$B$2,R497='לוח בקרה'!$B$2,S497='לוח בקרה'!$B$2,T497='לוח בקרה'!$B$2)</f>
        <v/>
      </c>
      <c r="AF497">
        <f>AND(AE497,OR(AND(O497="כן",U497="כן"),AND(P497="כן",V497="כן")))</f>
        <v/>
      </c>
      <c r="AG497">
        <f>AND(AE497,OR(O497="כן",P497="כן"),NOT(OR(AND(O497="כן",U497="כן"),AND(P497="כן",V497="כן"))))</f>
        <v/>
      </c>
      <c r="AH497">
        <f>AND(AE497,OR(U497="כן",V497="כן"),NOT(OR(O497="כן",P497="כן")))</f>
        <v/>
      </c>
      <c r="AI497">
        <f>AND(X497="מושאל",AB497&lt;&gt;"",AB497&lt;TODAY())</f>
        <v/>
      </c>
    </row>
    <row r="498">
      <c r="E498">
        <f>IFERROR(INDEX('הגדרות'!$D$104:$D$123,MATCH(B498&amp;G498&amp;C498,'הגדרות'!$A$104:$A$123&amp;'הגדרות'!$B$104:$B$123&amp;'הגדרות'!$C$104:$C$123,0)),"")</f>
        <v/>
      </c>
      <c r="F498" s="6" t="n"/>
      <c r="Q498">
        <f>IFERROR(VLOOKUP(M498,'הגדרות'!$A$11:$D$25,2,FALSE),"")</f>
        <v/>
      </c>
      <c r="R498">
        <f>IFERROR(VLOOKUP(M498,'הגדרות'!$A$11:$D$25,3,FALSE),"")</f>
        <v/>
      </c>
      <c r="S498">
        <f>IFERROR(VLOOKUP(N498,'הגדרות'!$A$11:$D$25,2,FALSE),"")</f>
        <v/>
      </c>
      <c r="T498">
        <f>IFERROR(VLOOKUP(N498,'הגדרות'!$A$11:$D$25,3,FALSE),"")</f>
        <v/>
      </c>
      <c r="AB498" s="6" t="n"/>
      <c r="AE498">
        <f>OR(Q498='לוח בקרה'!$B$2,R498='לוח בקרה'!$B$2,S498='לוח בקרה'!$B$2,T498='לוח בקרה'!$B$2)</f>
        <v/>
      </c>
      <c r="AF498">
        <f>AND(AE498,OR(AND(O498="כן",U498="כן"),AND(P498="כן",V498="כן")))</f>
        <v/>
      </c>
      <c r="AG498">
        <f>AND(AE498,OR(O498="כן",P498="כן"),NOT(OR(AND(O498="כן",U498="כן"),AND(P498="כן",V498="כן"))))</f>
        <v/>
      </c>
      <c r="AH498">
        <f>AND(AE498,OR(U498="כן",V498="כן"),NOT(OR(O498="כן",P498="כן")))</f>
        <v/>
      </c>
      <c r="AI498">
        <f>AND(X498="מושאל",AB498&lt;&gt;"",AB498&lt;TODAY())</f>
        <v/>
      </c>
    </row>
    <row r="499">
      <c r="E499">
        <f>IFERROR(INDEX('הגדרות'!$D$104:$D$123,MATCH(B499&amp;G499&amp;C499,'הגדרות'!$A$104:$A$123&amp;'הגדרות'!$B$104:$B$123&amp;'הגדרות'!$C$104:$C$123,0)),"")</f>
        <v/>
      </c>
      <c r="F499" s="6" t="n"/>
      <c r="Q499">
        <f>IFERROR(VLOOKUP(M499,'הגדרות'!$A$11:$D$25,2,FALSE),"")</f>
        <v/>
      </c>
      <c r="R499">
        <f>IFERROR(VLOOKUP(M499,'הגדרות'!$A$11:$D$25,3,FALSE),"")</f>
        <v/>
      </c>
      <c r="S499">
        <f>IFERROR(VLOOKUP(N499,'הגדרות'!$A$11:$D$25,2,FALSE),"")</f>
        <v/>
      </c>
      <c r="T499">
        <f>IFERROR(VLOOKUP(N499,'הגדרות'!$A$11:$D$25,3,FALSE),"")</f>
        <v/>
      </c>
      <c r="AB499" s="6" t="n"/>
      <c r="AE499">
        <f>OR(Q499='לוח בקרה'!$B$2,R499='לוח בקרה'!$B$2,S499='לוח בקרה'!$B$2,T499='לוח בקרה'!$B$2)</f>
        <v/>
      </c>
      <c r="AF499">
        <f>AND(AE499,OR(AND(O499="כן",U499="כן"),AND(P499="כן",V499="כן")))</f>
        <v/>
      </c>
      <c r="AG499">
        <f>AND(AE499,OR(O499="כן",P499="כן"),NOT(OR(AND(O499="כן",U499="כן"),AND(P499="כן",V499="כן"))))</f>
        <v/>
      </c>
      <c r="AH499">
        <f>AND(AE499,OR(U499="כן",V499="כן"),NOT(OR(O499="כן",P499="כן")))</f>
        <v/>
      </c>
      <c r="AI499">
        <f>AND(X499="מושאל",AB499&lt;&gt;"",AB499&lt;TODAY())</f>
        <v/>
      </c>
    </row>
    <row r="500">
      <c r="E500">
        <f>IFERROR(INDEX('הגדרות'!$D$104:$D$123,MATCH(B500&amp;G500&amp;C500,'הגדרות'!$A$104:$A$123&amp;'הגדרות'!$B$104:$B$123&amp;'הגדרות'!$C$104:$C$123,0)),"")</f>
        <v/>
      </c>
      <c r="F500" s="6" t="n"/>
      <c r="Q500">
        <f>IFERROR(VLOOKUP(M500,'הגדרות'!$A$11:$D$25,2,FALSE),"")</f>
        <v/>
      </c>
      <c r="R500">
        <f>IFERROR(VLOOKUP(M500,'הגדרות'!$A$11:$D$25,3,FALSE),"")</f>
        <v/>
      </c>
      <c r="S500">
        <f>IFERROR(VLOOKUP(N500,'הגדרות'!$A$11:$D$25,2,FALSE),"")</f>
        <v/>
      </c>
      <c r="T500">
        <f>IFERROR(VLOOKUP(N500,'הגדרות'!$A$11:$D$25,3,FALSE),"")</f>
        <v/>
      </c>
      <c r="AB500" s="6" t="n"/>
      <c r="AE500">
        <f>OR(Q500='לוח בקרה'!$B$2,R500='לוח בקרה'!$B$2,S500='לוח בקרה'!$B$2,T500='לוח בקרה'!$B$2)</f>
        <v/>
      </c>
      <c r="AF500">
        <f>AND(AE500,OR(AND(O500="כן",U500="כן"),AND(P500="כן",V500="כן")))</f>
        <v/>
      </c>
      <c r="AG500">
        <f>AND(AE500,OR(O500="כן",P500="כן"),NOT(OR(AND(O500="כן",U500="כן"),AND(P500="כן",V500="כן"))))</f>
        <v/>
      </c>
      <c r="AH500">
        <f>AND(AE500,OR(U500="כן",V500="כן"),NOT(OR(O500="כן",P500="כן")))</f>
        <v/>
      </c>
      <c r="AI500">
        <f>AND(X500="מושאל",AB500&lt;&gt;"",AB500&lt;TODAY())</f>
        <v/>
      </c>
    </row>
  </sheetData>
  <conditionalFormatting sqref="AC2:AC500">
    <cfRule type="expression" priority="1" dxfId="0">
      <formula>K2="לא"</formula>
    </cfRule>
  </conditionalFormatting>
  <dataValidations count="7">
    <dataValidation sqref="A2:A500" showDropDown="0" showInputMessage="0" showErrorMessage="0" allowBlank="1" type="list">
      <formula1>קווי_מוצר</formula1>
    </dataValidation>
    <dataValidation sqref="B2:B500" showDropDown="0" showInputMessage="0" showErrorMessage="0" allowBlank="1" type="list">
      <formula1>INDIRECT(SUBSTITUTE(SUBSTITUTE(A2," ","_"),"-","_"))</formula1>
    </dataValidation>
    <dataValidation sqref="G2:G500 H2:H500" showDropDown="0" showInputMessage="0" showErrorMessage="0" allowBlank="1" type="list">
      <formula1>סוגי_בד</formula1>
    </dataValidation>
    <dataValidation sqref="I2:I500" showDropDown="0" showInputMessage="0" showErrorMessage="0" allowBlank="1" type="list">
      <formula1>מידות</formula1>
    </dataValidation>
    <dataValidation sqref="J2:J500 K2:K500 O2:O500 P2:P500 U2:U500 V2:V500 W2:W500 AD2:AD500" showDropDown="0" showInputMessage="0" showErrorMessage="0" allowBlank="1" type="list">
      <formula1>כן_לא</formula1>
    </dataValidation>
    <dataValidation sqref="M2:M500 N2:N500" showDropDown="0" showInputMessage="0" showErrorMessage="0" allowBlank="1" type="list">
      <formula1>שמות_הדפסים</formula1>
    </dataValidation>
    <dataValidation sqref="X2:X500" showDropDown="0" showInputMessage="0" showErrorMessage="0" allowBlank="1" type="list">
      <formula1>סטטוסים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4" customWidth="1" min="5" max="5"/>
    <col width="18" customWidth="1" min="6" max="6"/>
    <col width="16" customWidth="1" min="7" max="7"/>
    <col width="16" customWidth="1" min="8" max="8"/>
    <col width="14" customWidth="1" min="9" max="9"/>
    <col width="28" customWidth="1" min="10" max="10"/>
    <col hidden="1" width="10" customWidth="1" min="11" max="11"/>
  </cols>
  <sheetData>
    <row r="1">
      <c r="A1" s="1" t="inlineStr">
        <is>
          <t>מדינה</t>
        </is>
      </c>
      <c r="B1" s="1" t="inlineStr">
        <is>
          <t>מושאל ל</t>
        </is>
      </c>
      <c r="C1" s="1" t="inlineStr">
        <is>
          <t>אחראי מהחברה</t>
        </is>
      </c>
      <c r="D1" s="1" t="inlineStr">
        <is>
          <t>באיחור</t>
        </is>
      </c>
    </row>
    <row r="2">
      <c r="A2" s="7" t="n"/>
      <c r="B2" s="7" t="n"/>
      <c r="C2" s="7" t="n"/>
      <c r="D2" s="7" t="n"/>
    </row>
    <row r="4">
      <c r="A4" s="1" t="inlineStr">
        <is>
          <t>מזהה ייחודי</t>
        </is>
      </c>
      <c r="B4" s="1" t="inlineStr">
        <is>
          <t>שם מוצר</t>
        </is>
      </c>
      <c r="C4" s="1" t="inlineStr">
        <is>
          <t>גרסה</t>
        </is>
      </c>
      <c r="D4" s="1" t="inlineStr">
        <is>
          <t>מושאל ל</t>
        </is>
      </c>
      <c r="E4" s="1" t="inlineStr">
        <is>
          <t>מדינה</t>
        </is>
      </c>
      <c r="F4" s="1" t="inlineStr">
        <is>
          <t>אחראי מהחברה</t>
        </is>
      </c>
      <c r="G4" s="1" t="inlineStr">
        <is>
          <t>תאריך השאלה</t>
        </is>
      </c>
      <c r="H4" s="1" t="inlineStr">
        <is>
          <t>החזרה משוערת</t>
        </is>
      </c>
      <c r="I4" s="1" t="inlineStr">
        <is>
          <t>באיחור</t>
        </is>
      </c>
      <c r="J4" s="1" t="inlineStr">
        <is>
          <t>הערות</t>
        </is>
      </c>
      <c r="K4" s="1" t="inlineStr">
        <is>
          <t>row_ref</t>
        </is>
      </c>
    </row>
    <row r="5">
      <c r="A5" s="2">
        <f>IF($K5="","",INDEX(מלאי!$D$2:$D$500,$K5))</f>
        <v/>
      </c>
      <c r="B5" s="2">
        <f>IF($K5="","",INDEX(מלאי!$B$2:$B$500,$K5))</f>
        <v/>
      </c>
      <c r="C5" s="2">
        <f>IF($K5="","",INDEX(מלאי!$C$2:$C$500,$K5))</f>
        <v/>
      </c>
      <c r="D5" s="2">
        <f>IF($K5="","",INDEX(מלאי!$Y$2:$Y$500,$K5))</f>
        <v/>
      </c>
      <c r="E5" s="2">
        <f>IF($K5="","",INDEX(מלאי!$Z$2:$Z$500,$K5))</f>
        <v/>
      </c>
      <c r="F5" s="2">
        <f>IF($K5="","",INDEX(מלאי!$AA$2:$AA$500,$K5))</f>
        <v/>
      </c>
      <c r="G5" s="3">
        <f>IF($K5="","",INDEX(מלאי!$F$2:$F$500,$K5))</f>
        <v/>
      </c>
      <c r="H5" s="3">
        <f>IF($K5="","",INDEX(מלאי!$AB$2:$AB$500,$K5))</f>
        <v/>
      </c>
      <c r="I5" s="2">
        <f>IF($K5="","",IF(AND(INDEX(מלאי!$AB$2:$AB$500,$K5)&lt;&gt;"",INDEX(מלאי!$AB$2:$AB$500,$K5)&lt;TODAY()),"באיחור!","תקין"))</f>
        <v/>
      </c>
      <c r="J5" s="2">
        <f>IF($K5="","",INDEX(מלאי!$AC$2:$AC$500,$K5))</f>
        <v/>
      </c>
      <c r="K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1),"")</f>
        <v/>
      </c>
    </row>
    <row r="6">
      <c r="A6" s="4">
        <f>IF($K6="","",INDEX(מלאי!$D$2:$D$500,$K6))</f>
        <v/>
      </c>
      <c r="B6" s="4">
        <f>IF($K6="","",INDEX(מלאי!$B$2:$B$500,$K6))</f>
        <v/>
      </c>
      <c r="C6" s="4">
        <f>IF($K6="","",INDEX(מלאי!$C$2:$C$500,$K6))</f>
        <v/>
      </c>
      <c r="D6" s="4">
        <f>IF($K6="","",INDEX(מלאי!$Y$2:$Y$500,$K6))</f>
        <v/>
      </c>
      <c r="E6" s="4">
        <f>IF($K6="","",INDEX(מלאי!$Z$2:$Z$500,$K6))</f>
        <v/>
      </c>
      <c r="F6" s="4">
        <f>IF($K6="","",INDEX(מלאי!$AA$2:$AA$500,$K6))</f>
        <v/>
      </c>
      <c r="G6" s="5">
        <f>IF($K6="","",INDEX(מלאי!$F$2:$F$500,$K6))</f>
        <v/>
      </c>
      <c r="H6" s="5">
        <f>IF($K6="","",INDEX(מלאי!$AB$2:$AB$500,$K6))</f>
        <v/>
      </c>
      <c r="I6" s="4">
        <f>IF($K6="","",IF(AND(INDEX(מלאי!$AB$2:$AB$500,$K6)&lt;&gt;"",INDEX(מלאי!$AB$2:$AB$500,$K6)&lt;TODAY()),"באיחור!","תקין"))</f>
        <v/>
      </c>
      <c r="J6" s="4">
        <f>IF($K6="","",INDEX(מלאי!$AC$2:$AC$500,$K6))</f>
        <v/>
      </c>
      <c r="K6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2),"")</f>
        <v/>
      </c>
    </row>
    <row r="7">
      <c r="A7" s="2">
        <f>IF($K7="","",INDEX(מלאי!$D$2:$D$500,$K7))</f>
        <v/>
      </c>
      <c r="B7" s="2">
        <f>IF($K7="","",INDEX(מלאי!$B$2:$B$500,$K7))</f>
        <v/>
      </c>
      <c r="C7" s="2">
        <f>IF($K7="","",INDEX(מלאי!$C$2:$C$500,$K7))</f>
        <v/>
      </c>
      <c r="D7" s="2">
        <f>IF($K7="","",INDEX(מלאי!$Y$2:$Y$500,$K7))</f>
        <v/>
      </c>
      <c r="E7" s="2">
        <f>IF($K7="","",INDEX(מלאי!$Z$2:$Z$500,$K7))</f>
        <v/>
      </c>
      <c r="F7" s="2">
        <f>IF($K7="","",INDEX(מלאי!$AA$2:$AA$500,$K7))</f>
        <v/>
      </c>
      <c r="G7" s="3">
        <f>IF($K7="","",INDEX(מלאי!$F$2:$F$500,$K7))</f>
        <v/>
      </c>
      <c r="H7" s="3">
        <f>IF($K7="","",INDEX(מלאי!$AB$2:$AB$500,$K7))</f>
        <v/>
      </c>
      <c r="I7" s="2">
        <f>IF($K7="","",IF(AND(INDEX(מלאי!$AB$2:$AB$500,$K7)&lt;&gt;"",INDEX(מלאי!$AB$2:$AB$500,$K7)&lt;TODAY()),"באיחור!","תקין"))</f>
        <v/>
      </c>
      <c r="J7" s="2">
        <f>IF($K7="","",INDEX(מלאי!$AC$2:$AC$500,$K7))</f>
        <v/>
      </c>
      <c r="K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3),"")</f>
        <v/>
      </c>
    </row>
    <row r="8">
      <c r="A8" s="4">
        <f>IF($K8="","",INDEX(מלאי!$D$2:$D$500,$K8))</f>
        <v/>
      </c>
      <c r="B8" s="4">
        <f>IF($K8="","",INDEX(מלאי!$B$2:$B$500,$K8))</f>
        <v/>
      </c>
      <c r="C8" s="4">
        <f>IF($K8="","",INDEX(מלאי!$C$2:$C$500,$K8))</f>
        <v/>
      </c>
      <c r="D8" s="4">
        <f>IF($K8="","",INDEX(מלאי!$Y$2:$Y$500,$K8))</f>
        <v/>
      </c>
      <c r="E8" s="4">
        <f>IF($K8="","",INDEX(מלאי!$Z$2:$Z$500,$K8))</f>
        <v/>
      </c>
      <c r="F8" s="4">
        <f>IF($K8="","",INDEX(מלאי!$AA$2:$AA$500,$K8))</f>
        <v/>
      </c>
      <c r="G8" s="5">
        <f>IF($K8="","",INDEX(מלאי!$F$2:$F$500,$K8))</f>
        <v/>
      </c>
      <c r="H8" s="5">
        <f>IF($K8="","",INDEX(מלאי!$AB$2:$AB$500,$K8))</f>
        <v/>
      </c>
      <c r="I8" s="4">
        <f>IF($K8="","",IF(AND(INDEX(מלאי!$AB$2:$AB$500,$K8)&lt;&gt;"",INDEX(מלאי!$AB$2:$AB$500,$K8)&lt;TODAY()),"באיחור!","תקין"))</f>
        <v/>
      </c>
      <c r="J8" s="4">
        <f>IF($K8="","",INDEX(מלאי!$AC$2:$AC$500,$K8))</f>
        <v/>
      </c>
      <c r="K8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4),"")</f>
        <v/>
      </c>
    </row>
    <row r="9">
      <c r="A9" s="2">
        <f>IF($K9="","",INDEX(מלאי!$D$2:$D$500,$K9))</f>
        <v/>
      </c>
      <c r="B9" s="2">
        <f>IF($K9="","",INDEX(מלאי!$B$2:$B$500,$K9))</f>
        <v/>
      </c>
      <c r="C9" s="2">
        <f>IF($K9="","",INDEX(מלאי!$C$2:$C$500,$K9))</f>
        <v/>
      </c>
      <c r="D9" s="2">
        <f>IF($K9="","",INDEX(מלאי!$Y$2:$Y$500,$K9))</f>
        <v/>
      </c>
      <c r="E9" s="2">
        <f>IF($K9="","",INDEX(מלאי!$Z$2:$Z$500,$K9))</f>
        <v/>
      </c>
      <c r="F9" s="2">
        <f>IF($K9="","",INDEX(מלאי!$AA$2:$AA$500,$K9))</f>
        <v/>
      </c>
      <c r="G9" s="3">
        <f>IF($K9="","",INDEX(מלאי!$F$2:$F$500,$K9))</f>
        <v/>
      </c>
      <c r="H9" s="3">
        <f>IF($K9="","",INDEX(מלאי!$AB$2:$AB$500,$K9))</f>
        <v/>
      </c>
      <c r="I9" s="2">
        <f>IF($K9="","",IF(AND(INDEX(מלאי!$AB$2:$AB$500,$K9)&lt;&gt;"",INDEX(מלאי!$AB$2:$AB$500,$K9)&lt;TODAY()),"באיחור!","תקין"))</f>
        <v/>
      </c>
      <c r="J9" s="2">
        <f>IF($K9="","",INDEX(מלאי!$AC$2:$AC$500,$K9))</f>
        <v/>
      </c>
      <c r="K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5),"")</f>
        <v/>
      </c>
    </row>
    <row r="10">
      <c r="A10" s="4">
        <f>IF($K10="","",INDEX(מלאי!$D$2:$D$500,$K10))</f>
        <v/>
      </c>
      <c r="B10" s="4">
        <f>IF($K10="","",INDEX(מלאי!$B$2:$B$500,$K10))</f>
        <v/>
      </c>
      <c r="C10" s="4">
        <f>IF($K10="","",INDEX(מלאי!$C$2:$C$500,$K10))</f>
        <v/>
      </c>
      <c r="D10" s="4">
        <f>IF($K10="","",INDEX(מלאי!$Y$2:$Y$500,$K10))</f>
        <v/>
      </c>
      <c r="E10" s="4">
        <f>IF($K10="","",INDEX(מלאי!$Z$2:$Z$500,$K10))</f>
        <v/>
      </c>
      <c r="F10" s="4">
        <f>IF($K10="","",INDEX(מלאי!$AA$2:$AA$500,$K10))</f>
        <v/>
      </c>
      <c r="G10" s="5">
        <f>IF($K10="","",INDEX(מלאי!$F$2:$F$500,$K10))</f>
        <v/>
      </c>
      <c r="H10" s="5">
        <f>IF($K10="","",INDEX(מלאי!$AB$2:$AB$500,$K10))</f>
        <v/>
      </c>
      <c r="I10" s="4">
        <f>IF($K10="","",IF(AND(INDEX(מלאי!$AB$2:$AB$500,$K10)&lt;&gt;"",INDEX(מלאי!$AB$2:$AB$500,$K10)&lt;TODAY()),"באיחור!","תקין"))</f>
        <v/>
      </c>
      <c r="J10" s="4">
        <f>IF($K10="","",INDEX(מלאי!$AC$2:$AC$500,$K10))</f>
        <v/>
      </c>
      <c r="K10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6),"")</f>
        <v/>
      </c>
    </row>
    <row r="11">
      <c r="A11" s="2">
        <f>IF($K11="","",INDEX(מלאי!$D$2:$D$500,$K11))</f>
        <v/>
      </c>
      <c r="B11" s="2">
        <f>IF($K11="","",INDEX(מלאי!$B$2:$B$500,$K11))</f>
        <v/>
      </c>
      <c r="C11" s="2">
        <f>IF($K11="","",INDEX(מלאי!$C$2:$C$500,$K11))</f>
        <v/>
      </c>
      <c r="D11" s="2">
        <f>IF($K11="","",INDEX(מלאי!$Y$2:$Y$500,$K11))</f>
        <v/>
      </c>
      <c r="E11" s="2">
        <f>IF($K11="","",INDEX(מלאי!$Z$2:$Z$500,$K11))</f>
        <v/>
      </c>
      <c r="F11" s="2">
        <f>IF($K11="","",INDEX(מלאי!$AA$2:$AA$500,$K11))</f>
        <v/>
      </c>
      <c r="G11" s="3">
        <f>IF($K11="","",INDEX(מלאי!$F$2:$F$500,$K11))</f>
        <v/>
      </c>
      <c r="H11" s="3">
        <f>IF($K11="","",INDEX(מלאי!$AB$2:$AB$500,$K11))</f>
        <v/>
      </c>
      <c r="I11" s="2">
        <f>IF($K11="","",IF(AND(INDEX(מלאי!$AB$2:$AB$500,$K11)&lt;&gt;"",INDEX(מלאי!$AB$2:$AB$500,$K11)&lt;TODAY()),"באיחור!","תקין"))</f>
        <v/>
      </c>
      <c r="J11" s="2">
        <f>IF($K11="","",INDEX(מלאי!$AC$2:$AC$500,$K11))</f>
        <v/>
      </c>
      <c r="K1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7),"")</f>
        <v/>
      </c>
    </row>
    <row r="12">
      <c r="A12" s="4">
        <f>IF($K12="","",INDEX(מלאי!$D$2:$D$500,$K12))</f>
        <v/>
      </c>
      <c r="B12" s="4">
        <f>IF($K12="","",INDEX(מלאי!$B$2:$B$500,$K12))</f>
        <v/>
      </c>
      <c r="C12" s="4">
        <f>IF($K12="","",INDEX(מלאי!$C$2:$C$500,$K12))</f>
        <v/>
      </c>
      <c r="D12" s="4">
        <f>IF($K12="","",INDEX(מלאי!$Y$2:$Y$500,$K12))</f>
        <v/>
      </c>
      <c r="E12" s="4">
        <f>IF($K12="","",INDEX(מלאי!$Z$2:$Z$500,$K12))</f>
        <v/>
      </c>
      <c r="F12" s="4">
        <f>IF($K12="","",INDEX(מלאי!$AA$2:$AA$500,$K12))</f>
        <v/>
      </c>
      <c r="G12" s="5">
        <f>IF($K12="","",INDEX(מלאי!$F$2:$F$500,$K12))</f>
        <v/>
      </c>
      <c r="H12" s="5">
        <f>IF($K12="","",INDEX(מלאי!$AB$2:$AB$500,$K12))</f>
        <v/>
      </c>
      <c r="I12" s="4">
        <f>IF($K12="","",IF(AND(INDEX(מלאי!$AB$2:$AB$500,$K12)&lt;&gt;"",INDEX(מלאי!$AB$2:$AB$500,$K12)&lt;TODAY()),"באיחור!","תקין"))</f>
        <v/>
      </c>
      <c r="J12" s="4">
        <f>IF($K12="","",INDEX(מלאי!$AC$2:$AC$500,$K12))</f>
        <v/>
      </c>
      <c r="K12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8),"")</f>
        <v/>
      </c>
    </row>
    <row r="13">
      <c r="A13" s="2">
        <f>IF($K13="","",INDEX(מלאי!$D$2:$D$500,$K13))</f>
        <v/>
      </c>
      <c r="B13" s="2">
        <f>IF($K13="","",INDEX(מלאי!$B$2:$B$500,$K13))</f>
        <v/>
      </c>
      <c r="C13" s="2">
        <f>IF($K13="","",INDEX(מלאי!$C$2:$C$500,$K13))</f>
        <v/>
      </c>
      <c r="D13" s="2">
        <f>IF($K13="","",INDEX(מלאי!$Y$2:$Y$500,$K13))</f>
        <v/>
      </c>
      <c r="E13" s="2">
        <f>IF($K13="","",INDEX(מלאי!$Z$2:$Z$500,$K13))</f>
        <v/>
      </c>
      <c r="F13" s="2">
        <f>IF($K13="","",INDEX(מלאי!$AA$2:$AA$500,$K13))</f>
        <v/>
      </c>
      <c r="G13" s="3">
        <f>IF($K13="","",INDEX(מלאי!$F$2:$F$500,$K13))</f>
        <v/>
      </c>
      <c r="H13" s="3">
        <f>IF($K13="","",INDEX(מלאי!$AB$2:$AB$500,$K13))</f>
        <v/>
      </c>
      <c r="I13" s="2">
        <f>IF($K13="","",IF(AND(INDEX(מלאי!$AB$2:$AB$500,$K13)&lt;&gt;"",INDEX(מלאי!$AB$2:$AB$500,$K13)&lt;TODAY()),"באיחור!","תקין"))</f>
        <v/>
      </c>
      <c r="J13" s="2">
        <f>IF($K13="","",INDEX(מלאי!$AC$2:$AC$500,$K13))</f>
        <v/>
      </c>
      <c r="K1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9),"")</f>
        <v/>
      </c>
    </row>
    <row r="14">
      <c r="A14" s="4">
        <f>IF($K14="","",INDEX(מלאי!$D$2:$D$500,$K14))</f>
        <v/>
      </c>
      <c r="B14" s="4">
        <f>IF($K14="","",INDEX(מלאי!$B$2:$B$500,$K14))</f>
        <v/>
      </c>
      <c r="C14" s="4">
        <f>IF($K14="","",INDEX(מלאי!$C$2:$C$500,$K14))</f>
        <v/>
      </c>
      <c r="D14" s="4">
        <f>IF($K14="","",INDEX(מלאי!$Y$2:$Y$500,$K14))</f>
        <v/>
      </c>
      <c r="E14" s="4">
        <f>IF($K14="","",INDEX(מלאי!$Z$2:$Z$500,$K14))</f>
        <v/>
      </c>
      <c r="F14" s="4">
        <f>IF($K14="","",INDEX(מלאי!$AA$2:$AA$500,$K14))</f>
        <v/>
      </c>
      <c r="G14" s="5">
        <f>IF($K14="","",INDEX(מלאי!$F$2:$F$500,$K14))</f>
        <v/>
      </c>
      <c r="H14" s="5">
        <f>IF($K14="","",INDEX(מלאי!$AB$2:$AB$500,$K14))</f>
        <v/>
      </c>
      <c r="I14" s="4">
        <f>IF($K14="","",IF(AND(INDEX(מלאי!$AB$2:$AB$500,$K14)&lt;&gt;"",INDEX(מלאי!$AB$2:$AB$500,$K14)&lt;TODAY()),"באיחור!","תקין"))</f>
        <v/>
      </c>
      <c r="J14" s="4">
        <f>IF($K14="","",INDEX(מלאי!$AC$2:$AC$500,$K14))</f>
        <v/>
      </c>
      <c r="K14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10),"")</f>
        <v/>
      </c>
    </row>
    <row r="15">
      <c r="A15" s="2">
        <f>IF($K15="","",INDEX(מלאי!$D$2:$D$500,$K15))</f>
        <v/>
      </c>
      <c r="B15" s="2">
        <f>IF($K15="","",INDEX(מלאי!$B$2:$B$500,$K15))</f>
        <v/>
      </c>
      <c r="C15" s="2">
        <f>IF($K15="","",INDEX(מלאי!$C$2:$C$500,$K15))</f>
        <v/>
      </c>
      <c r="D15" s="2">
        <f>IF($K15="","",INDEX(מלאי!$Y$2:$Y$500,$K15))</f>
        <v/>
      </c>
      <c r="E15" s="2">
        <f>IF($K15="","",INDEX(מלאי!$Z$2:$Z$500,$K15))</f>
        <v/>
      </c>
      <c r="F15" s="2">
        <f>IF($K15="","",INDEX(מלאי!$AA$2:$AA$500,$K15))</f>
        <v/>
      </c>
      <c r="G15" s="3">
        <f>IF($K15="","",INDEX(מלאי!$F$2:$F$500,$K15))</f>
        <v/>
      </c>
      <c r="H15" s="3">
        <f>IF($K15="","",INDEX(מלאי!$AB$2:$AB$500,$K15))</f>
        <v/>
      </c>
      <c r="I15" s="2">
        <f>IF($K15="","",IF(AND(INDEX(מלאי!$AB$2:$AB$500,$K15)&lt;&gt;"",INDEX(מלאי!$AB$2:$AB$500,$K15)&lt;TODAY()),"באיחור!","תקין"))</f>
        <v/>
      </c>
      <c r="J15" s="2">
        <f>IF($K15="","",INDEX(מלאי!$AC$2:$AC$500,$K15))</f>
        <v/>
      </c>
      <c r="K1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11),"")</f>
        <v/>
      </c>
    </row>
    <row r="16">
      <c r="A16" s="4">
        <f>IF($K16="","",INDEX(מלאי!$D$2:$D$500,$K16))</f>
        <v/>
      </c>
      <c r="B16" s="4">
        <f>IF($K16="","",INDEX(מלאי!$B$2:$B$500,$K16))</f>
        <v/>
      </c>
      <c r="C16" s="4">
        <f>IF($K16="","",INDEX(מלאי!$C$2:$C$500,$K16))</f>
        <v/>
      </c>
      <c r="D16" s="4">
        <f>IF($K16="","",INDEX(מלאי!$Y$2:$Y$500,$K16))</f>
        <v/>
      </c>
      <c r="E16" s="4">
        <f>IF($K16="","",INDEX(מלאי!$Z$2:$Z$500,$K16))</f>
        <v/>
      </c>
      <c r="F16" s="4">
        <f>IF($K16="","",INDEX(מלאי!$AA$2:$AA$500,$K16))</f>
        <v/>
      </c>
      <c r="G16" s="5">
        <f>IF($K16="","",INDEX(מלאי!$F$2:$F$500,$K16))</f>
        <v/>
      </c>
      <c r="H16" s="5">
        <f>IF($K16="","",INDEX(מלאי!$AB$2:$AB$500,$K16))</f>
        <v/>
      </c>
      <c r="I16" s="4">
        <f>IF($K16="","",IF(AND(INDEX(מלאי!$AB$2:$AB$500,$K16)&lt;&gt;"",INDEX(מלאי!$AB$2:$AB$500,$K16)&lt;TODAY()),"באיחור!","תקין"))</f>
        <v/>
      </c>
      <c r="J16" s="4">
        <f>IF($K16="","",INDEX(מלאי!$AC$2:$AC$500,$K16))</f>
        <v/>
      </c>
      <c r="K16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12),"")</f>
        <v/>
      </c>
    </row>
    <row r="17">
      <c r="A17" s="2">
        <f>IF($K17="","",INDEX(מלאי!$D$2:$D$500,$K17))</f>
        <v/>
      </c>
      <c r="B17" s="2">
        <f>IF($K17="","",INDEX(מלאי!$B$2:$B$500,$K17))</f>
        <v/>
      </c>
      <c r="C17" s="2">
        <f>IF($K17="","",INDEX(מלאי!$C$2:$C$500,$K17))</f>
        <v/>
      </c>
      <c r="D17" s="2">
        <f>IF($K17="","",INDEX(מלאי!$Y$2:$Y$500,$K17))</f>
        <v/>
      </c>
      <c r="E17" s="2">
        <f>IF($K17="","",INDEX(מלאי!$Z$2:$Z$500,$K17))</f>
        <v/>
      </c>
      <c r="F17" s="2">
        <f>IF($K17="","",INDEX(מלאי!$AA$2:$AA$500,$K17))</f>
        <v/>
      </c>
      <c r="G17" s="3">
        <f>IF($K17="","",INDEX(מלאי!$F$2:$F$500,$K17))</f>
        <v/>
      </c>
      <c r="H17" s="3">
        <f>IF($K17="","",INDEX(מלאי!$AB$2:$AB$500,$K17))</f>
        <v/>
      </c>
      <c r="I17" s="2">
        <f>IF($K17="","",IF(AND(INDEX(מלאי!$AB$2:$AB$500,$K17)&lt;&gt;"",INDEX(מלאי!$AB$2:$AB$500,$K17)&lt;TODAY()),"באיחור!","תקין"))</f>
        <v/>
      </c>
      <c r="J17" s="2">
        <f>IF($K17="","",INDEX(מלאי!$AC$2:$AC$500,$K17))</f>
        <v/>
      </c>
      <c r="K1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13),"")</f>
        <v/>
      </c>
    </row>
    <row r="18">
      <c r="A18" s="4">
        <f>IF($K18="","",INDEX(מלאי!$D$2:$D$500,$K18))</f>
        <v/>
      </c>
      <c r="B18" s="4">
        <f>IF($K18="","",INDEX(מלאי!$B$2:$B$500,$K18))</f>
        <v/>
      </c>
      <c r="C18" s="4">
        <f>IF($K18="","",INDEX(מלאי!$C$2:$C$500,$K18))</f>
        <v/>
      </c>
      <c r="D18" s="4">
        <f>IF($K18="","",INDEX(מלאי!$Y$2:$Y$500,$K18))</f>
        <v/>
      </c>
      <c r="E18" s="4">
        <f>IF($K18="","",INDEX(מלאי!$Z$2:$Z$500,$K18))</f>
        <v/>
      </c>
      <c r="F18" s="4">
        <f>IF($K18="","",INDEX(מלאי!$AA$2:$AA$500,$K18))</f>
        <v/>
      </c>
      <c r="G18" s="5">
        <f>IF($K18="","",INDEX(מלאי!$F$2:$F$500,$K18))</f>
        <v/>
      </c>
      <c r="H18" s="5">
        <f>IF($K18="","",INDEX(מלאי!$AB$2:$AB$500,$K18))</f>
        <v/>
      </c>
      <c r="I18" s="4">
        <f>IF($K18="","",IF(AND(INDEX(מלאי!$AB$2:$AB$500,$K18)&lt;&gt;"",INDEX(מלאי!$AB$2:$AB$500,$K18)&lt;TODAY()),"באיחור!","תקין"))</f>
        <v/>
      </c>
      <c r="J18" s="4">
        <f>IF($K18="","",INDEX(מלאי!$AC$2:$AC$500,$K18))</f>
        <v/>
      </c>
      <c r="K18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14),"")</f>
        <v/>
      </c>
    </row>
    <row r="19">
      <c r="A19" s="2">
        <f>IF($K19="","",INDEX(מלאי!$D$2:$D$500,$K19))</f>
        <v/>
      </c>
      <c r="B19" s="2">
        <f>IF($K19="","",INDEX(מלאי!$B$2:$B$500,$K19))</f>
        <v/>
      </c>
      <c r="C19" s="2">
        <f>IF($K19="","",INDEX(מלאי!$C$2:$C$500,$K19))</f>
        <v/>
      </c>
      <c r="D19" s="2">
        <f>IF($K19="","",INDEX(מלאי!$Y$2:$Y$500,$K19))</f>
        <v/>
      </c>
      <c r="E19" s="2">
        <f>IF($K19="","",INDEX(מלאי!$Z$2:$Z$500,$K19))</f>
        <v/>
      </c>
      <c r="F19" s="2">
        <f>IF($K19="","",INDEX(מלאי!$AA$2:$AA$500,$K19))</f>
        <v/>
      </c>
      <c r="G19" s="3">
        <f>IF($K19="","",INDEX(מלאי!$F$2:$F$500,$K19))</f>
        <v/>
      </c>
      <c r="H19" s="3">
        <f>IF($K19="","",INDEX(מלאי!$AB$2:$AB$500,$K19))</f>
        <v/>
      </c>
      <c r="I19" s="2">
        <f>IF($K19="","",IF(AND(INDEX(מלאי!$AB$2:$AB$500,$K19)&lt;&gt;"",INDEX(מלאי!$AB$2:$AB$500,$K19)&lt;TODAY()),"באיחור!","תקין"))</f>
        <v/>
      </c>
      <c r="J19" s="2">
        <f>IF($K19="","",INDEX(מלאי!$AC$2:$AC$500,$K19))</f>
        <v/>
      </c>
      <c r="K1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15),"")</f>
        <v/>
      </c>
    </row>
    <row r="20">
      <c r="A20" s="4">
        <f>IF($K20="","",INDEX(מלאי!$D$2:$D$500,$K20))</f>
        <v/>
      </c>
      <c r="B20" s="4">
        <f>IF($K20="","",INDEX(מלאי!$B$2:$B$500,$K20))</f>
        <v/>
      </c>
      <c r="C20" s="4">
        <f>IF($K20="","",INDEX(מלאי!$C$2:$C$500,$K20))</f>
        <v/>
      </c>
      <c r="D20" s="4">
        <f>IF($K20="","",INDEX(מלאי!$Y$2:$Y$500,$K20))</f>
        <v/>
      </c>
      <c r="E20" s="4">
        <f>IF($K20="","",INDEX(מלאי!$Z$2:$Z$500,$K20))</f>
        <v/>
      </c>
      <c r="F20" s="4">
        <f>IF($K20="","",INDEX(מלאי!$AA$2:$AA$500,$K20))</f>
        <v/>
      </c>
      <c r="G20" s="5">
        <f>IF($K20="","",INDEX(מלאי!$F$2:$F$500,$K20))</f>
        <v/>
      </c>
      <c r="H20" s="5">
        <f>IF($K20="","",INDEX(מלאי!$AB$2:$AB$500,$K20))</f>
        <v/>
      </c>
      <c r="I20" s="4">
        <f>IF($K20="","",IF(AND(INDEX(מלאי!$AB$2:$AB$500,$K20)&lt;&gt;"",INDEX(מלאי!$AB$2:$AB$500,$K20)&lt;TODAY()),"באיחור!","תקין"))</f>
        <v/>
      </c>
      <c r="J20" s="4">
        <f>IF($K20="","",INDEX(מלאי!$AC$2:$AC$500,$K20))</f>
        <v/>
      </c>
      <c r="K20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16),"")</f>
        <v/>
      </c>
    </row>
    <row r="21">
      <c r="A21" s="2">
        <f>IF($K21="","",INDEX(מלאי!$D$2:$D$500,$K21))</f>
        <v/>
      </c>
      <c r="B21" s="2">
        <f>IF($K21="","",INDEX(מלאי!$B$2:$B$500,$K21))</f>
        <v/>
      </c>
      <c r="C21" s="2">
        <f>IF($K21="","",INDEX(מלאי!$C$2:$C$500,$K21))</f>
        <v/>
      </c>
      <c r="D21" s="2">
        <f>IF($K21="","",INDEX(מלאי!$Y$2:$Y$500,$K21))</f>
        <v/>
      </c>
      <c r="E21" s="2">
        <f>IF($K21="","",INDEX(מלאי!$Z$2:$Z$500,$K21))</f>
        <v/>
      </c>
      <c r="F21" s="2">
        <f>IF($K21="","",INDEX(מלאי!$AA$2:$AA$500,$K21))</f>
        <v/>
      </c>
      <c r="G21" s="3">
        <f>IF($K21="","",INDEX(מלאי!$F$2:$F$500,$K21))</f>
        <v/>
      </c>
      <c r="H21" s="3">
        <f>IF($K21="","",INDEX(מלאי!$AB$2:$AB$500,$K21))</f>
        <v/>
      </c>
      <c r="I21" s="2">
        <f>IF($K21="","",IF(AND(INDEX(מלאי!$AB$2:$AB$500,$K21)&lt;&gt;"",INDEX(מלאי!$AB$2:$AB$500,$K21)&lt;TODAY()),"באיחור!","תקין"))</f>
        <v/>
      </c>
      <c r="J21" s="2">
        <f>IF($K21="","",INDEX(מלאי!$AC$2:$AC$500,$K21))</f>
        <v/>
      </c>
      <c r="K2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17),"")</f>
        <v/>
      </c>
    </row>
    <row r="22">
      <c r="A22" s="4">
        <f>IF($K22="","",INDEX(מלאי!$D$2:$D$500,$K22))</f>
        <v/>
      </c>
      <c r="B22" s="4">
        <f>IF($K22="","",INDEX(מלאי!$B$2:$B$500,$K22))</f>
        <v/>
      </c>
      <c r="C22" s="4">
        <f>IF($K22="","",INDEX(מלאי!$C$2:$C$500,$K22))</f>
        <v/>
      </c>
      <c r="D22" s="4">
        <f>IF($K22="","",INDEX(מלאי!$Y$2:$Y$500,$K22))</f>
        <v/>
      </c>
      <c r="E22" s="4">
        <f>IF($K22="","",INDEX(מלאי!$Z$2:$Z$500,$K22))</f>
        <v/>
      </c>
      <c r="F22" s="4">
        <f>IF($K22="","",INDEX(מלאי!$AA$2:$AA$500,$K22))</f>
        <v/>
      </c>
      <c r="G22" s="5">
        <f>IF($K22="","",INDEX(מלאי!$F$2:$F$500,$K22))</f>
        <v/>
      </c>
      <c r="H22" s="5">
        <f>IF($K22="","",INDEX(מלאי!$AB$2:$AB$500,$K22))</f>
        <v/>
      </c>
      <c r="I22" s="4">
        <f>IF($K22="","",IF(AND(INDEX(מלאי!$AB$2:$AB$500,$K22)&lt;&gt;"",INDEX(מלאי!$AB$2:$AB$500,$K22)&lt;TODAY()),"באיחור!","תקין"))</f>
        <v/>
      </c>
      <c r="J22" s="4">
        <f>IF($K22="","",INDEX(מלאי!$AC$2:$AC$500,$K22))</f>
        <v/>
      </c>
      <c r="K22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18),"")</f>
        <v/>
      </c>
    </row>
    <row r="23">
      <c r="A23" s="2">
        <f>IF($K23="","",INDEX(מלאי!$D$2:$D$500,$K23))</f>
        <v/>
      </c>
      <c r="B23" s="2">
        <f>IF($K23="","",INDEX(מלאי!$B$2:$B$500,$K23))</f>
        <v/>
      </c>
      <c r="C23" s="2">
        <f>IF($K23="","",INDEX(מלאי!$C$2:$C$500,$K23))</f>
        <v/>
      </c>
      <c r="D23" s="2">
        <f>IF($K23="","",INDEX(מלאי!$Y$2:$Y$500,$K23))</f>
        <v/>
      </c>
      <c r="E23" s="2">
        <f>IF($K23="","",INDEX(מלאי!$Z$2:$Z$500,$K23))</f>
        <v/>
      </c>
      <c r="F23" s="2">
        <f>IF($K23="","",INDEX(מלאי!$AA$2:$AA$500,$K23))</f>
        <v/>
      </c>
      <c r="G23" s="3">
        <f>IF($K23="","",INDEX(מלאי!$F$2:$F$500,$K23))</f>
        <v/>
      </c>
      <c r="H23" s="3">
        <f>IF($K23="","",INDEX(מלאי!$AB$2:$AB$500,$K23))</f>
        <v/>
      </c>
      <c r="I23" s="2">
        <f>IF($K23="","",IF(AND(INDEX(מלאי!$AB$2:$AB$500,$K23)&lt;&gt;"",INDEX(מלאי!$AB$2:$AB$500,$K23)&lt;TODAY()),"באיחור!","תקין"))</f>
        <v/>
      </c>
      <c r="J23" s="2">
        <f>IF($K23="","",INDEX(מלאי!$AC$2:$AC$500,$K23))</f>
        <v/>
      </c>
      <c r="K2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19),"")</f>
        <v/>
      </c>
    </row>
    <row r="24">
      <c r="A24" s="4">
        <f>IF($K24="","",INDEX(מלאי!$D$2:$D$500,$K24))</f>
        <v/>
      </c>
      <c r="B24" s="4">
        <f>IF($K24="","",INDEX(מלאי!$B$2:$B$500,$K24))</f>
        <v/>
      </c>
      <c r="C24" s="4">
        <f>IF($K24="","",INDEX(מלאי!$C$2:$C$500,$K24))</f>
        <v/>
      </c>
      <c r="D24" s="4">
        <f>IF($K24="","",INDEX(מלאי!$Y$2:$Y$500,$K24))</f>
        <v/>
      </c>
      <c r="E24" s="4">
        <f>IF($K24="","",INDEX(מלאי!$Z$2:$Z$500,$K24))</f>
        <v/>
      </c>
      <c r="F24" s="4">
        <f>IF($K24="","",INDEX(מלאי!$AA$2:$AA$500,$K24))</f>
        <v/>
      </c>
      <c r="G24" s="5">
        <f>IF($K24="","",INDEX(מלאי!$F$2:$F$500,$K24))</f>
        <v/>
      </c>
      <c r="H24" s="5">
        <f>IF($K24="","",INDEX(מלאי!$AB$2:$AB$500,$K24))</f>
        <v/>
      </c>
      <c r="I24" s="4">
        <f>IF($K24="","",IF(AND(INDEX(מלאי!$AB$2:$AB$500,$K24)&lt;&gt;"",INDEX(מלאי!$AB$2:$AB$500,$K24)&lt;TODAY()),"באיחור!","תקין"))</f>
        <v/>
      </c>
      <c r="J24" s="4">
        <f>IF($K24="","",INDEX(מלאי!$AC$2:$AC$500,$K24))</f>
        <v/>
      </c>
      <c r="K24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20),"")</f>
        <v/>
      </c>
    </row>
    <row r="25">
      <c r="A25" s="2">
        <f>IF($K25="","",INDEX(מלאי!$D$2:$D$500,$K25))</f>
        <v/>
      </c>
      <c r="B25" s="2">
        <f>IF($K25="","",INDEX(מלאי!$B$2:$B$500,$K25))</f>
        <v/>
      </c>
      <c r="C25" s="2">
        <f>IF($K25="","",INDEX(מלאי!$C$2:$C$500,$K25))</f>
        <v/>
      </c>
      <c r="D25" s="2">
        <f>IF($K25="","",INDEX(מלאי!$Y$2:$Y$500,$K25))</f>
        <v/>
      </c>
      <c r="E25" s="2">
        <f>IF($K25="","",INDEX(מלאי!$Z$2:$Z$500,$K25))</f>
        <v/>
      </c>
      <c r="F25" s="2">
        <f>IF($K25="","",INDEX(מלאי!$AA$2:$AA$500,$K25))</f>
        <v/>
      </c>
      <c r="G25" s="3">
        <f>IF($K25="","",INDEX(מלאי!$F$2:$F$500,$K25))</f>
        <v/>
      </c>
      <c r="H25" s="3">
        <f>IF($K25="","",INDEX(מלאי!$AB$2:$AB$500,$K25))</f>
        <v/>
      </c>
      <c r="I25" s="2">
        <f>IF($K25="","",IF(AND(INDEX(מלאי!$AB$2:$AB$500,$K25)&lt;&gt;"",INDEX(מלאי!$AB$2:$AB$500,$K25)&lt;TODAY()),"באיחור!","תקין"))</f>
        <v/>
      </c>
      <c r="J25" s="2">
        <f>IF($K25="","",INDEX(מלאי!$AC$2:$AC$500,$K25))</f>
        <v/>
      </c>
      <c r="K2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21),"")</f>
        <v/>
      </c>
    </row>
    <row r="26">
      <c r="A26" s="4">
        <f>IF($K26="","",INDEX(מלאי!$D$2:$D$500,$K26))</f>
        <v/>
      </c>
      <c r="B26" s="4">
        <f>IF($K26="","",INDEX(מלאי!$B$2:$B$500,$K26))</f>
        <v/>
      </c>
      <c r="C26" s="4">
        <f>IF($K26="","",INDEX(מלאי!$C$2:$C$500,$K26))</f>
        <v/>
      </c>
      <c r="D26" s="4">
        <f>IF($K26="","",INDEX(מלאי!$Y$2:$Y$500,$K26))</f>
        <v/>
      </c>
      <c r="E26" s="4">
        <f>IF($K26="","",INDEX(מלאי!$Z$2:$Z$500,$K26))</f>
        <v/>
      </c>
      <c r="F26" s="4">
        <f>IF($K26="","",INDEX(מלאי!$AA$2:$AA$500,$K26))</f>
        <v/>
      </c>
      <c r="G26" s="5">
        <f>IF($K26="","",INDEX(מלאי!$F$2:$F$500,$K26))</f>
        <v/>
      </c>
      <c r="H26" s="5">
        <f>IF($K26="","",INDEX(מלאי!$AB$2:$AB$500,$K26))</f>
        <v/>
      </c>
      <c r="I26" s="4">
        <f>IF($K26="","",IF(AND(INDEX(מלאי!$AB$2:$AB$500,$K26)&lt;&gt;"",INDEX(מלאי!$AB$2:$AB$500,$K26)&lt;TODAY()),"באיחור!","תקין"))</f>
        <v/>
      </c>
      <c r="J26" s="4">
        <f>IF($K26="","",INDEX(מלאי!$AC$2:$AC$500,$K26))</f>
        <v/>
      </c>
      <c r="K26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22),"")</f>
        <v/>
      </c>
    </row>
    <row r="27">
      <c r="A27" s="2">
        <f>IF($K27="","",INDEX(מלאי!$D$2:$D$500,$K27))</f>
        <v/>
      </c>
      <c r="B27" s="2">
        <f>IF($K27="","",INDEX(מלאי!$B$2:$B$500,$K27))</f>
        <v/>
      </c>
      <c r="C27" s="2">
        <f>IF($K27="","",INDEX(מלאי!$C$2:$C$500,$K27))</f>
        <v/>
      </c>
      <c r="D27" s="2">
        <f>IF($K27="","",INDEX(מלאי!$Y$2:$Y$500,$K27))</f>
        <v/>
      </c>
      <c r="E27" s="2">
        <f>IF($K27="","",INDEX(מלאי!$Z$2:$Z$500,$K27))</f>
        <v/>
      </c>
      <c r="F27" s="2">
        <f>IF($K27="","",INDEX(מלאי!$AA$2:$AA$500,$K27))</f>
        <v/>
      </c>
      <c r="G27" s="3">
        <f>IF($K27="","",INDEX(מלאי!$F$2:$F$500,$K27))</f>
        <v/>
      </c>
      <c r="H27" s="3">
        <f>IF($K27="","",INDEX(מלאי!$AB$2:$AB$500,$K27))</f>
        <v/>
      </c>
      <c r="I27" s="2">
        <f>IF($K27="","",IF(AND(INDEX(מלאי!$AB$2:$AB$500,$K27)&lt;&gt;"",INDEX(מלאי!$AB$2:$AB$500,$K27)&lt;TODAY()),"באיחור!","תקין"))</f>
        <v/>
      </c>
      <c r="J27" s="2">
        <f>IF($K27="","",INDEX(מלאי!$AC$2:$AC$500,$K27))</f>
        <v/>
      </c>
      <c r="K2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23),"")</f>
        <v/>
      </c>
    </row>
    <row r="28">
      <c r="A28" s="4">
        <f>IF($K28="","",INDEX(מלאי!$D$2:$D$500,$K28))</f>
        <v/>
      </c>
      <c r="B28" s="4">
        <f>IF($K28="","",INDEX(מלאי!$B$2:$B$500,$K28))</f>
        <v/>
      </c>
      <c r="C28" s="4">
        <f>IF($K28="","",INDEX(מלאי!$C$2:$C$500,$K28))</f>
        <v/>
      </c>
      <c r="D28" s="4">
        <f>IF($K28="","",INDEX(מלאי!$Y$2:$Y$500,$K28))</f>
        <v/>
      </c>
      <c r="E28" s="4">
        <f>IF($K28="","",INDEX(מלאי!$Z$2:$Z$500,$K28))</f>
        <v/>
      </c>
      <c r="F28" s="4">
        <f>IF($K28="","",INDEX(מלאי!$AA$2:$AA$500,$K28))</f>
        <v/>
      </c>
      <c r="G28" s="5">
        <f>IF($K28="","",INDEX(מלאי!$F$2:$F$500,$K28))</f>
        <v/>
      </c>
      <c r="H28" s="5">
        <f>IF($K28="","",INDEX(מלאי!$AB$2:$AB$500,$K28))</f>
        <v/>
      </c>
      <c r="I28" s="4">
        <f>IF($K28="","",IF(AND(INDEX(מלאי!$AB$2:$AB$500,$K28)&lt;&gt;"",INDEX(מלאי!$AB$2:$AB$500,$K28)&lt;TODAY()),"באיחור!","תקין"))</f>
        <v/>
      </c>
      <c r="J28" s="4">
        <f>IF($K28="","",INDEX(מלאי!$AC$2:$AC$500,$K28))</f>
        <v/>
      </c>
      <c r="K28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24),"")</f>
        <v/>
      </c>
    </row>
    <row r="29">
      <c r="A29" s="2">
        <f>IF($K29="","",INDEX(מלאי!$D$2:$D$500,$K29))</f>
        <v/>
      </c>
      <c r="B29" s="2">
        <f>IF($K29="","",INDEX(מלאי!$B$2:$B$500,$K29))</f>
        <v/>
      </c>
      <c r="C29" s="2">
        <f>IF($K29="","",INDEX(מלאי!$C$2:$C$500,$K29))</f>
        <v/>
      </c>
      <c r="D29" s="2">
        <f>IF($K29="","",INDEX(מלאי!$Y$2:$Y$500,$K29))</f>
        <v/>
      </c>
      <c r="E29" s="2">
        <f>IF($K29="","",INDEX(מלאי!$Z$2:$Z$500,$K29))</f>
        <v/>
      </c>
      <c r="F29" s="2">
        <f>IF($K29="","",INDEX(מלאי!$AA$2:$AA$500,$K29))</f>
        <v/>
      </c>
      <c r="G29" s="3">
        <f>IF($K29="","",INDEX(מלאי!$F$2:$F$500,$K29))</f>
        <v/>
      </c>
      <c r="H29" s="3">
        <f>IF($K29="","",INDEX(מלאי!$AB$2:$AB$500,$K29))</f>
        <v/>
      </c>
      <c r="I29" s="2">
        <f>IF($K29="","",IF(AND(INDEX(מלאי!$AB$2:$AB$500,$K29)&lt;&gt;"",INDEX(מלאי!$AB$2:$AB$500,$K29)&lt;TODAY()),"באיחור!","תקין"))</f>
        <v/>
      </c>
      <c r="J29" s="2">
        <f>IF($K29="","",INDEX(מלאי!$AC$2:$AC$500,$K29))</f>
        <v/>
      </c>
      <c r="K2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25),"")</f>
        <v/>
      </c>
    </row>
    <row r="30">
      <c r="A30" s="4">
        <f>IF($K30="","",INDEX(מלאי!$D$2:$D$500,$K30))</f>
        <v/>
      </c>
      <c r="B30" s="4">
        <f>IF($K30="","",INDEX(מלאי!$B$2:$B$500,$K30))</f>
        <v/>
      </c>
      <c r="C30" s="4">
        <f>IF($K30="","",INDEX(מלאי!$C$2:$C$500,$K30))</f>
        <v/>
      </c>
      <c r="D30" s="4">
        <f>IF($K30="","",INDEX(מלאי!$Y$2:$Y$500,$K30))</f>
        <v/>
      </c>
      <c r="E30" s="4">
        <f>IF($K30="","",INDEX(מלאי!$Z$2:$Z$500,$K30))</f>
        <v/>
      </c>
      <c r="F30" s="4">
        <f>IF($K30="","",INDEX(מלאי!$AA$2:$AA$500,$K30))</f>
        <v/>
      </c>
      <c r="G30" s="5">
        <f>IF($K30="","",INDEX(מלאי!$F$2:$F$500,$K30))</f>
        <v/>
      </c>
      <c r="H30" s="5">
        <f>IF($K30="","",INDEX(מלאי!$AB$2:$AB$500,$K30))</f>
        <v/>
      </c>
      <c r="I30" s="4">
        <f>IF($K30="","",IF(AND(INDEX(מלאי!$AB$2:$AB$500,$K30)&lt;&gt;"",INDEX(מלאי!$AB$2:$AB$500,$K30)&lt;TODAY()),"באיחור!","תקין"))</f>
        <v/>
      </c>
      <c r="J30" s="4">
        <f>IF($K30="","",INDEX(מלאי!$AC$2:$AC$500,$K30))</f>
        <v/>
      </c>
      <c r="K30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26),"")</f>
        <v/>
      </c>
    </row>
    <row r="31">
      <c r="A31" s="2">
        <f>IF($K31="","",INDEX(מלאי!$D$2:$D$500,$K31))</f>
        <v/>
      </c>
      <c r="B31" s="2">
        <f>IF($K31="","",INDEX(מלאי!$B$2:$B$500,$K31))</f>
        <v/>
      </c>
      <c r="C31" s="2">
        <f>IF($K31="","",INDEX(מלאי!$C$2:$C$500,$K31))</f>
        <v/>
      </c>
      <c r="D31" s="2">
        <f>IF($K31="","",INDEX(מלאי!$Y$2:$Y$500,$K31))</f>
        <v/>
      </c>
      <c r="E31" s="2">
        <f>IF($K31="","",INDEX(מלאי!$Z$2:$Z$500,$K31))</f>
        <v/>
      </c>
      <c r="F31" s="2">
        <f>IF($K31="","",INDEX(מלאי!$AA$2:$AA$500,$K31))</f>
        <v/>
      </c>
      <c r="G31" s="3">
        <f>IF($K31="","",INDEX(מלאי!$F$2:$F$500,$K31))</f>
        <v/>
      </c>
      <c r="H31" s="3">
        <f>IF($K31="","",INDEX(מלאי!$AB$2:$AB$500,$K31))</f>
        <v/>
      </c>
      <c r="I31" s="2">
        <f>IF($K31="","",IF(AND(INDEX(מלאי!$AB$2:$AB$500,$K31)&lt;&gt;"",INDEX(מלאי!$AB$2:$AB$500,$K31)&lt;TODAY()),"באיחור!","תקין"))</f>
        <v/>
      </c>
      <c r="J31" s="2">
        <f>IF($K31="","",INDEX(מלאי!$AC$2:$AC$500,$K31))</f>
        <v/>
      </c>
      <c r="K3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27),"")</f>
        <v/>
      </c>
    </row>
    <row r="32">
      <c r="A32" s="4">
        <f>IF($K32="","",INDEX(מלאי!$D$2:$D$500,$K32))</f>
        <v/>
      </c>
      <c r="B32" s="4">
        <f>IF($K32="","",INDEX(מלאי!$B$2:$B$500,$K32))</f>
        <v/>
      </c>
      <c r="C32" s="4">
        <f>IF($K32="","",INDEX(מלאי!$C$2:$C$500,$K32))</f>
        <v/>
      </c>
      <c r="D32" s="4">
        <f>IF($K32="","",INDEX(מלאי!$Y$2:$Y$500,$K32))</f>
        <v/>
      </c>
      <c r="E32" s="4">
        <f>IF($K32="","",INDEX(מלאי!$Z$2:$Z$500,$K32))</f>
        <v/>
      </c>
      <c r="F32" s="4">
        <f>IF($K32="","",INDEX(מלאי!$AA$2:$AA$500,$K32))</f>
        <v/>
      </c>
      <c r="G32" s="5">
        <f>IF($K32="","",INDEX(מלאי!$F$2:$F$500,$K32))</f>
        <v/>
      </c>
      <c r="H32" s="5">
        <f>IF($K32="","",INDEX(מלאי!$AB$2:$AB$500,$K32))</f>
        <v/>
      </c>
      <c r="I32" s="4">
        <f>IF($K32="","",IF(AND(INDEX(מלאי!$AB$2:$AB$500,$K32)&lt;&gt;"",INDEX(מלאי!$AB$2:$AB$500,$K32)&lt;TODAY()),"באיחור!","תקין"))</f>
        <v/>
      </c>
      <c r="J32" s="4">
        <f>IF($K32="","",INDEX(מלאי!$AC$2:$AC$500,$K32))</f>
        <v/>
      </c>
      <c r="K32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28),"")</f>
        <v/>
      </c>
    </row>
    <row r="33">
      <c r="A33" s="2">
        <f>IF($K33="","",INDEX(מלאי!$D$2:$D$500,$K33))</f>
        <v/>
      </c>
      <c r="B33" s="2">
        <f>IF($K33="","",INDEX(מלאי!$B$2:$B$500,$K33))</f>
        <v/>
      </c>
      <c r="C33" s="2">
        <f>IF($K33="","",INDEX(מלאי!$C$2:$C$500,$K33))</f>
        <v/>
      </c>
      <c r="D33" s="2">
        <f>IF($K33="","",INDEX(מלאי!$Y$2:$Y$500,$K33))</f>
        <v/>
      </c>
      <c r="E33" s="2">
        <f>IF($K33="","",INDEX(מלאי!$Z$2:$Z$500,$K33))</f>
        <v/>
      </c>
      <c r="F33" s="2">
        <f>IF($K33="","",INDEX(מלאי!$AA$2:$AA$500,$K33))</f>
        <v/>
      </c>
      <c r="G33" s="3">
        <f>IF($K33="","",INDEX(מלאי!$F$2:$F$500,$K33))</f>
        <v/>
      </c>
      <c r="H33" s="3">
        <f>IF($K33="","",INDEX(מלאי!$AB$2:$AB$500,$K33))</f>
        <v/>
      </c>
      <c r="I33" s="2">
        <f>IF($K33="","",IF(AND(INDEX(מלאי!$AB$2:$AB$500,$K33)&lt;&gt;"",INDEX(מלאי!$AB$2:$AB$500,$K33)&lt;TODAY()),"באיחור!","תקין"))</f>
        <v/>
      </c>
      <c r="J33" s="2">
        <f>IF($K33="","",INDEX(מלאי!$AC$2:$AC$500,$K33))</f>
        <v/>
      </c>
      <c r="K3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29),"")</f>
        <v/>
      </c>
    </row>
    <row r="34">
      <c r="A34" s="4">
        <f>IF($K34="","",INDEX(מלאי!$D$2:$D$500,$K34))</f>
        <v/>
      </c>
      <c r="B34" s="4">
        <f>IF($K34="","",INDEX(מלאי!$B$2:$B$500,$K34))</f>
        <v/>
      </c>
      <c r="C34" s="4">
        <f>IF($K34="","",INDEX(מלאי!$C$2:$C$500,$K34))</f>
        <v/>
      </c>
      <c r="D34" s="4">
        <f>IF($K34="","",INDEX(מלאי!$Y$2:$Y$500,$K34))</f>
        <v/>
      </c>
      <c r="E34" s="4">
        <f>IF($K34="","",INDEX(מלאי!$Z$2:$Z$500,$K34))</f>
        <v/>
      </c>
      <c r="F34" s="4">
        <f>IF($K34="","",INDEX(מלאי!$AA$2:$AA$500,$K34))</f>
        <v/>
      </c>
      <c r="G34" s="5">
        <f>IF($K34="","",INDEX(מלאי!$F$2:$F$500,$K34))</f>
        <v/>
      </c>
      <c r="H34" s="5">
        <f>IF($K34="","",INDEX(מלאי!$AB$2:$AB$500,$K34))</f>
        <v/>
      </c>
      <c r="I34" s="4">
        <f>IF($K34="","",IF(AND(INDEX(מלאי!$AB$2:$AB$500,$K34)&lt;&gt;"",INDEX(מלאי!$AB$2:$AB$500,$K34)&lt;TODAY()),"באיחור!","תקין"))</f>
        <v/>
      </c>
      <c r="J34" s="4">
        <f>IF($K34="","",INDEX(מלאי!$AC$2:$AC$500,$K34))</f>
        <v/>
      </c>
      <c r="K34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30),"")</f>
        <v/>
      </c>
    </row>
    <row r="35">
      <c r="A35" s="2">
        <f>IF($K35="","",INDEX(מלאי!$D$2:$D$500,$K35))</f>
        <v/>
      </c>
      <c r="B35" s="2">
        <f>IF($K35="","",INDEX(מלאי!$B$2:$B$500,$K35))</f>
        <v/>
      </c>
      <c r="C35" s="2">
        <f>IF($K35="","",INDEX(מלאי!$C$2:$C$500,$K35))</f>
        <v/>
      </c>
      <c r="D35" s="2">
        <f>IF($K35="","",INDEX(מלאי!$Y$2:$Y$500,$K35))</f>
        <v/>
      </c>
      <c r="E35" s="2">
        <f>IF($K35="","",INDEX(מלאי!$Z$2:$Z$500,$K35))</f>
        <v/>
      </c>
      <c r="F35" s="2">
        <f>IF($K35="","",INDEX(מלאי!$AA$2:$AA$500,$K35))</f>
        <v/>
      </c>
      <c r="G35" s="3">
        <f>IF($K35="","",INDEX(מלאי!$F$2:$F$500,$K35))</f>
        <v/>
      </c>
      <c r="H35" s="3">
        <f>IF($K35="","",INDEX(מלאי!$AB$2:$AB$500,$K35))</f>
        <v/>
      </c>
      <c r="I35" s="2">
        <f>IF($K35="","",IF(AND(INDEX(מלאי!$AB$2:$AB$500,$K35)&lt;&gt;"",INDEX(מלאי!$AB$2:$AB$500,$K35)&lt;TODAY()),"באיחור!","תקין"))</f>
        <v/>
      </c>
      <c r="J35" s="2">
        <f>IF($K35="","",INDEX(מלאי!$AC$2:$AC$500,$K35))</f>
        <v/>
      </c>
      <c r="K3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31),"")</f>
        <v/>
      </c>
    </row>
    <row r="36">
      <c r="A36" s="4">
        <f>IF($K36="","",INDEX(מלאי!$D$2:$D$500,$K36))</f>
        <v/>
      </c>
      <c r="B36" s="4">
        <f>IF($K36="","",INDEX(מלאי!$B$2:$B$500,$K36))</f>
        <v/>
      </c>
      <c r="C36" s="4">
        <f>IF($K36="","",INDEX(מלאי!$C$2:$C$500,$K36))</f>
        <v/>
      </c>
      <c r="D36" s="4">
        <f>IF($K36="","",INDEX(מלאי!$Y$2:$Y$500,$K36))</f>
        <v/>
      </c>
      <c r="E36" s="4">
        <f>IF($K36="","",INDEX(מלאי!$Z$2:$Z$500,$K36))</f>
        <v/>
      </c>
      <c r="F36" s="4">
        <f>IF($K36="","",INDEX(מלאי!$AA$2:$AA$500,$K36))</f>
        <v/>
      </c>
      <c r="G36" s="5">
        <f>IF($K36="","",INDEX(מלאי!$F$2:$F$500,$K36))</f>
        <v/>
      </c>
      <c r="H36" s="5">
        <f>IF($K36="","",INDEX(מלאי!$AB$2:$AB$500,$K36))</f>
        <v/>
      </c>
      <c r="I36" s="4">
        <f>IF($K36="","",IF(AND(INDEX(מלאי!$AB$2:$AB$500,$K36)&lt;&gt;"",INDEX(מלאי!$AB$2:$AB$500,$K36)&lt;TODAY()),"באיחור!","תקין"))</f>
        <v/>
      </c>
      <c r="J36" s="4">
        <f>IF($K36="","",INDEX(מלאי!$AC$2:$AC$500,$K36))</f>
        <v/>
      </c>
      <c r="K36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32),"")</f>
        <v/>
      </c>
    </row>
    <row r="37">
      <c r="A37" s="2">
        <f>IF($K37="","",INDEX(מלאי!$D$2:$D$500,$K37))</f>
        <v/>
      </c>
      <c r="B37" s="2">
        <f>IF($K37="","",INDEX(מלאי!$B$2:$B$500,$K37))</f>
        <v/>
      </c>
      <c r="C37" s="2">
        <f>IF($K37="","",INDEX(מלאי!$C$2:$C$500,$K37))</f>
        <v/>
      </c>
      <c r="D37" s="2">
        <f>IF($K37="","",INDEX(מלאי!$Y$2:$Y$500,$K37))</f>
        <v/>
      </c>
      <c r="E37" s="2">
        <f>IF($K37="","",INDEX(מלאי!$Z$2:$Z$500,$K37))</f>
        <v/>
      </c>
      <c r="F37" s="2">
        <f>IF($K37="","",INDEX(מלאי!$AA$2:$AA$500,$K37))</f>
        <v/>
      </c>
      <c r="G37" s="3">
        <f>IF($K37="","",INDEX(מלאי!$F$2:$F$500,$K37))</f>
        <v/>
      </c>
      <c r="H37" s="3">
        <f>IF($K37="","",INDEX(מלאי!$AB$2:$AB$500,$K37))</f>
        <v/>
      </c>
      <c r="I37" s="2">
        <f>IF($K37="","",IF(AND(INDEX(מלאי!$AB$2:$AB$500,$K37)&lt;&gt;"",INDEX(מלאי!$AB$2:$AB$500,$K37)&lt;TODAY()),"באיחור!","תקין"))</f>
        <v/>
      </c>
      <c r="J37" s="2">
        <f>IF($K37="","",INDEX(מלאי!$AC$2:$AC$500,$K37))</f>
        <v/>
      </c>
      <c r="K3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33),"")</f>
        <v/>
      </c>
    </row>
    <row r="38">
      <c r="A38" s="4">
        <f>IF($K38="","",INDEX(מלאי!$D$2:$D$500,$K38))</f>
        <v/>
      </c>
      <c r="B38" s="4">
        <f>IF($K38="","",INDEX(מלאי!$B$2:$B$500,$K38))</f>
        <v/>
      </c>
      <c r="C38" s="4">
        <f>IF($K38="","",INDEX(מלאי!$C$2:$C$500,$K38))</f>
        <v/>
      </c>
      <c r="D38" s="4">
        <f>IF($K38="","",INDEX(מלאי!$Y$2:$Y$500,$K38))</f>
        <v/>
      </c>
      <c r="E38" s="4">
        <f>IF($K38="","",INDEX(מלאי!$Z$2:$Z$500,$K38))</f>
        <v/>
      </c>
      <c r="F38" s="4">
        <f>IF($K38="","",INDEX(מלאי!$AA$2:$AA$500,$K38))</f>
        <v/>
      </c>
      <c r="G38" s="5">
        <f>IF($K38="","",INDEX(מלאי!$F$2:$F$500,$K38))</f>
        <v/>
      </c>
      <c r="H38" s="5">
        <f>IF($K38="","",INDEX(מלאי!$AB$2:$AB$500,$K38))</f>
        <v/>
      </c>
      <c r="I38" s="4">
        <f>IF($K38="","",IF(AND(INDEX(מלאי!$AB$2:$AB$500,$K38)&lt;&gt;"",INDEX(מלאי!$AB$2:$AB$500,$K38)&lt;TODAY()),"באיחור!","תקין"))</f>
        <v/>
      </c>
      <c r="J38" s="4">
        <f>IF($K38="","",INDEX(מלאי!$AC$2:$AC$500,$K38))</f>
        <v/>
      </c>
      <c r="K38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34),"")</f>
        <v/>
      </c>
    </row>
    <row r="39">
      <c r="A39" s="2">
        <f>IF($K39="","",INDEX(מלאי!$D$2:$D$500,$K39))</f>
        <v/>
      </c>
      <c r="B39" s="2">
        <f>IF($K39="","",INDEX(מלאי!$B$2:$B$500,$K39))</f>
        <v/>
      </c>
      <c r="C39" s="2">
        <f>IF($K39="","",INDEX(מלאי!$C$2:$C$500,$K39))</f>
        <v/>
      </c>
      <c r="D39" s="2">
        <f>IF($K39="","",INDEX(מלאי!$Y$2:$Y$500,$K39))</f>
        <v/>
      </c>
      <c r="E39" s="2">
        <f>IF($K39="","",INDEX(מלאי!$Z$2:$Z$500,$K39))</f>
        <v/>
      </c>
      <c r="F39" s="2">
        <f>IF($K39="","",INDEX(מלאי!$AA$2:$AA$500,$K39))</f>
        <v/>
      </c>
      <c r="G39" s="3">
        <f>IF($K39="","",INDEX(מלאי!$F$2:$F$500,$K39))</f>
        <v/>
      </c>
      <c r="H39" s="3">
        <f>IF($K39="","",INDEX(מלאי!$AB$2:$AB$500,$K39))</f>
        <v/>
      </c>
      <c r="I39" s="2">
        <f>IF($K39="","",IF(AND(INDEX(מלאי!$AB$2:$AB$500,$K39)&lt;&gt;"",INDEX(מלאי!$AB$2:$AB$500,$K39)&lt;TODAY()),"באיחור!","תקין"))</f>
        <v/>
      </c>
      <c r="J39" s="2">
        <f>IF($K39="","",INDEX(מלאי!$AC$2:$AC$500,$K39))</f>
        <v/>
      </c>
      <c r="K3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35),"")</f>
        <v/>
      </c>
    </row>
    <row r="40">
      <c r="A40" s="4">
        <f>IF($K40="","",INDEX(מלאי!$D$2:$D$500,$K40))</f>
        <v/>
      </c>
      <c r="B40" s="4">
        <f>IF($K40="","",INDEX(מלאי!$B$2:$B$500,$K40))</f>
        <v/>
      </c>
      <c r="C40" s="4">
        <f>IF($K40="","",INDEX(מלאי!$C$2:$C$500,$K40))</f>
        <v/>
      </c>
      <c r="D40" s="4">
        <f>IF($K40="","",INDEX(מלאי!$Y$2:$Y$500,$K40))</f>
        <v/>
      </c>
      <c r="E40" s="4">
        <f>IF($K40="","",INDEX(מלאי!$Z$2:$Z$500,$K40))</f>
        <v/>
      </c>
      <c r="F40" s="4">
        <f>IF($K40="","",INDEX(מלאי!$AA$2:$AA$500,$K40))</f>
        <v/>
      </c>
      <c r="G40" s="5">
        <f>IF($K40="","",INDEX(מלאי!$F$2:$F$500,$K40))</f>
        <v/>
      </c>
      <c r="H40" s="5">
        <f>IF($K40="","",INDEX(מלאי!$AB$2:$AB$500,$K40))</f>
        <v/>
      </c>
      <c r="I40" s="4">
        <f>IF($K40="","",IF(AND(INDEX(מלאי!$AB$2:$AB$500,$K40)&lt;&gt;"",INDEX(מלאי!$AB$2:$AB$500,$K40)&lt;TODAY()),"באיחור!","תקין"))</f>
        <v/>
      </c>
      <c r="J40" s="4">
        <f>IF($K40="","",INDEX(מלאי!$AC$2:$AC$500,$K40))</f>
        <v/>
      </c>
      <c r="K40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36),"")</f>
        <v/>
      </c>
    </row>
    <row r="41">
      <c r="A41" s="2">
        <f>IF($K41="","",INDEX(מלאי!$D$2:$D$500,$K41))</f>
        <v/>
      </c>
      <c r="B41" s="2">
        <f>IF($K41="","",INDEX(מלאי!$B$2:$B$500,$K41))</f>
        <v/>
      </c>
      <c r="C41" s="2">
        <f>IF($K41="","",INDEX(מלאי!$C$2:$C$500,$K41))</f>
        <v/>
      </c>
      <c r="D41" s="2">
        <f>IF($K41="","",INDEX(מלאי!$Y$2:$Y$500,$K41))</f>
        <v/>
      </c>
      <c r="E41" s="2">
        <f>IF($K41="","",INDEX(מלאי!$Z$2:$Z$500,$K41))</f>
        <v/>
      </c>
      <c r="F41" s="2">
        <f>IF($K41="","",INDEX(מלאי!$AA$2:$AA$500,$K41))</f>
        <v/>
      </c>
      <c r="G41" s="3">
        <f>IF($K41="","",INDEX(מלאי!$F$2:$F$500,$K41))</f>
        <v/>
      </c>
      <c r="H41" s="3">
        <f>IF($K41="","",INDEX(מלאי!$AB$2:$AB$500,$K41))</f>
        <v/>
      </c>
      <c r="I41" s="2">
        <f>IF($K41="","",IF(AND(INDEX(מלאי!$AB$2:$AB$500,$K41)&lt;&gt;"",INDEX(מלאי!$AB$2:$AB$500,$K41)&lt;TODAY()),"באיחור!","תקין"))</f>
        <v/>
      </c>
      <c r="J41" s="2">
        <f>IF($K41="","",INDEX(מלאי!$AC$2:$AC$500,$K41))</f>
        <v/>
      </c>
      <c r="K4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37),"")</f>
        <v/>
      </c>
    </row>
    <row r="42">
      <c r="A42" s="4">
        <f>IF($K42="","",INDEX(מלאי!$D$2:$D$500,$K42))</f>
        <v/>
      </c>
      <c r="B42" s="4">
        <f>IF($K42="","",INDEX(מלאי!$B$2:$B$500,$K42))</f>
        <v/>
      </c>
      <c r="C42" s="4">
        <f>IF($K42="","",INDEX(מלאי!$C$2:$C$500,$K42))</f>
        <v/>
      </c>
      <c r="D42" s="4">
        <f>IF($K42="","",INDEX(מלאי!$Y$2:$Y$500,$K42))</f>
        <v/>
      </c>
      <c r="E42" s="4">
        <f>IF($K42="","",INDEX(מלאי!$Z$2:$Z$500,$K42))</f>
        <v/>
      </c>
      <c r="F42" s="4">
        <f>IF($K42="","",INDEX(מלאי!$AA$2:$AA$500,$K42))</f>
        <v/>
      </c>
      <c r="G42" s="5">
        <f>IF($K42="","",INDEX(מלאי!$F$2:$F$500,$K42))</f>
        <v/>
      </c>
      <c r="H42" s="5">
        <f>IF($K42="","",INDEX(מלאי!$AB$2:$AB$500,$K42))</f>
        <v/>
      </c>
      <c r="I42" s="4">
        <f>IF($K42="","",IF(AND(INDEX(מלאי!$AB$2:$AB$500,$K42)&lt;&gt;"",INDEX(מלאי!$AB$2:$AB$500,$K42)&lt;TODAY()),"באיחור!","תקין"))</f>
        <v/>
      </c>
      <c r="J42" s="4">
        <f>IF($K42="","",INDEX(מלאי!$AC$2:$AC$500,$K42))</f>
        <v/>
      </c>
      <c r="K42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38),"")</f>
        <v/>
      </c>
    </row>
    <row r="43">
      <c r="A43" s="2">
        <f>IF($K43="","",INDEX(מלאי!$D$2:$D$500,$K43))</f>
        <v/>
      </c>
      <c r="B43" s="2">
        <f>IF($K43="","",INDEX(מלאי!$B$2:$B$500,$K43))</f>
        <v/>
      </c>
      <c r="C43" s="2">
        <f>IF($K43="","",INDEX(מלאי!$C$2:$C$500,$K43))</f>
        <v/>
      </c>
      <c r="D43" s="2">
        <f>IF($K43="","",INDEX(מלאי!$Y$2:$Y$500,$K43))</f>
        <v/>
      </c>
      <c r="E43" s="2">
        <f>IF($K43="","",INDEX(מלאי!$Z$2:$Z$500,$K43))</f>
        <v/>
      </c>
      <c r="F43" s="2">
        <f>IF($K43="","",INDEX(מלאי!$AA$2:$AA$500,$K43))</f>
        <v/>
      </c>
      <c r="G43" s="3">
        <f>IF($K43="","",INDEX(מלאי!$F$2:$F$500,$K43))</f>
        <v/>
      </c>
      <c r="H43" s="3">
        <f>IF($K43="","",INDEX(מלאי!$AB$2:$AB$500,$K43))</f>
        <v/>
      </c>
      <c r="I43" s="2">
        <f>IF($K43="","",IF(AND(INDEX(מלאי!$AB$2:$AB$500,$K43)&lt;&gt;"",INDEX(מלאי!$AB$2:$AB$500,$K43)&lt;TODAY()),"באיחור!","תקין"))</f>
        <v/>
      </c>
      <c r="J43" s="2">
        <f>IF($K43="","",INDEX(מלאי!$AC$2:$AC$500,$K43))</f>
        <v/>
      </c>
      <c r="K4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39),"")</f>
        <v/>
      </c>
    </row>
    <row r="44">
      <c r="A44" s="4">
        <f>IF($K44="","",INDEX(מלאי!$D$2:$D$500,$K44))</f>
        <v/>
      </c>
      <c r="B44" s="4">
        <f>IF($K44="","",INDEX(מלאי!$B$2:$B$500,$K44))</f>
        <v/>
      </c>
      <c r="C44" s="4">
        <f>IF($K44="","",INDEX(מלאי!$C$2:$C$500,$K44))</f>
        <v/>
      </c>
      <c r="D44" s="4">
        <f>IF($K44="","",INDEX(מלאי!$Y$2:$Y$500,$K44))</f>
        <v/>
      </c>
      <c r="E44" s="4">
        <f>IF($K44="","",INDEX(מלאי!$Z$2:$Z$500,$K44))</f>
        <v/>
      </c>
      <c r="F44" s="4">
        <f>IF($K44="","",INDEX(מלאי!$AA$2:$AA$500,$K44))</f>
        <v/>
      </c>
      <c r="G44" s="5">
        <f>IF($K44="","",INDEX(מלאי!$F$2:$F$500,$K44))</f>
        <v/>
      </c>
      <c r="H44" s="5">
        <f>IF($K44="","",INDEX(מלאי!$AB$2:$AB$500,$K44))</f>
        <v/>
      </c>
      <c r="I44" s="4">
        <f>IF($K44="","",IF(AND(INDEX(מלאי!$AB$2:$AB$500,$K44)&lt;&gt;"",INDEX(מלאי!$AB$2:$AB$500,$K44)&lt;TODAY()),"באיחור!","תקין"))</f>
        <v/>
      </c>
      <c r="J44" s="4">
        <f>IF($K44="","",INDEX(מלאי!$AC$2:$AC$500,$K44))</f>
        <v/>
      </c>
      <c r="K44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40),"")</f>
        <v/>
      </c>
    </row>
    <row r="45">
      <c r="A45" s="2">
        <f>IF($K45="","",INDEX(מלאי!$D$2:$D$500,$K45))</f>
        <v/>
      </c>
      <c r="B45" s="2">
        <f>IF($K45="","",INDEX(מלאי!$B$2:$B$500,$K45))</f>
        <v/>
      </c>
      <c r="C45" s="2">
        <f>IF($K45="","",INDEX(מלאי!$C$2:$C$500,$K45))</f>
        <v/>
      </c>
      <c r="D45" s="2">
        <f>IF($K45="","",INDEX(מלאי!$Y$2:$Y$500,$K45))</f>
        <v/>
      </c>
      <c r="E45" s="2">
        <f>IF($K45="","",INDEX(מלאי!$Z$2:$Z$500,$K45))</f>
        <v/>
      </c>
      <c r="F45" s="2">
        <f>IF($K45="","",INDEX(מלאי!$AA$2:$AA$500,$K45))</f>
        <v/>
      </c>
      <c r="G45" s="3">
        <f>IF($K45="","",INDEX(מלאי!$F$2:$F$500,$K45))</f>
        <v/>
      </c>
      <c r="H45" s="3">
        <f>IF($K45="","",INDEX(מלאי!$AB$2:$AB$500,$K45))</f>
        <v/>
      </c>
      <c r="I45" s="2">
        <f>IF($K45="","",IF(AND(INDEX(מלאי!$AB$2:$AB$500,$K45)&lt;&gt;"",INDEX(מלאי!$AB$2:$AB$500,$K45)&lt;TODAY()),"באיחור!","תקין"))</f>
        <v/>
      </c>
      <c r="J45" s="2">
        <f>IF($K45="","",INDEX(מלאי!$AC$2:$AC$500,$K45))</f>
        <v/>
      </c>
      <c r="K4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41),"")</f>
        <v/>
      </c>
    </row>
    <row r="46">
      <c r="A46" s="4">
        <f>IF($K46="","",INDEX(מלאי!$D$2:$D$500,$K46))</f>
        <v/>
      </c>
      <c r="B46" s="4">
        <f>IF($K46="","",INDEX(מלאי!$B$2:$B$500,$K46))</f>
        <v/>
      </c>
      <c r="C46" s="4">
        <f>IF($K46="","",INDEX(מלאי!$C$2:$C$500,$K46))</f>
        <v/>
      </c>
      <c r="D46" s="4">
        <f>IF($K46="","",INDEX(מלאי!$Y$2:$Y$500,$K46))</f>
        <v/>
      </c>
      <c r="E46" s="4">
        <f>IF($K46="","",INDEX(מלאי!$Z$2:$Z$500,$K46))</f>
        <v/>
      </c>
      <c r="F46" s="4">
        <f>IF($K46="","",INDEX(מלאי!$AA$2:$AA$500,$K46))</f>
        <v/>
      </c>
      <c r="G46" s="5">
        <f>IF($K46="","",INDEX(מלאי!$F$2:$F$500,$K46))</f>
        <v/>
      </c>
      <c r="H46" s="5">
        <f>IF($K46="","",INDEX(מלאי!$AB$2:$AB$500,$K46))</f>
        <v/>
      </c>
      <c r="I46" s="4">
        <f>IF($K46="","",IF(AND(INDEX(מלאי!$AB$2:$AB$500,$K46)&lt;&gt;"",INDEX(מלאי!$AB$2:$AB$500,$K46)&lt;TODAY()),"באיחור!","תקין"))</f>
        <v/>
      </c>
      <c r="J46" s="4">
        <f>IF($K46="","",INDEX(מלאי!$AC$2:$AC$500,$K46))</f>
        <v/>
      </c>
      <c r="K46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42),"")</f>
        <v/>
      </c>
    </row>
    <row r="47">
      <c r="A47" s="2">
        <f>IF($K47="","",INDEX(מלאי!$D$2:$D$500,$K47))</f>
        <v/>
      </c>
      <c r="B47" s="2">
        <f>IF($K47="","",INDEX(מלאי!$B$2:$B$500,$K47))</f>
        <v/>
      </c>
      <c r="C47" s="2">
        <f>IF($K47="","",INDEX(מלאי!$C$2:$C$500,$K47))</f>
        <v/>
      </c>
      <c r="D47" s="2">
        <f>IF($K47="","",INDEX(מלאי!$Y$2:$Y$500,$K47))</f>
        <v/>
      </c>
      <c r="E47" s="2">
        <f>IF($K47="","",INDEX(מלאי!$Z$2:$Z$500,$K47))</f>
        <v/>
      </c>
      <c r="F47" s="2">
        <f>IF($K47="","",INDEX(מלאי!$AA$2:$AA$500,$K47))</f>
        <v/>
      </c>
      <c r="G47" s="3">
        <f>IF($K47="","",INDEX(מלאי!$F$2:$F$500,$K47))</f>
        <v/>
      </c>
      <c r="H47" s="3">
        <f>IF($K47="","",INDEX(מלאי!$AB$2:$AB$500,$K47))</f>
        <v/>
      </c>
      <c r="I47" s="2">
        <f>IF($K47="","",IF(AND(INDEX(מלאי!$AB$2:$AB$500,$K47)&lt;&gt;"",INDEX(מלאי!$AB$2:$AB$500,$K47)&lt;TODAY()),"באיחור!","תקין"))</f>
        <v/>
      </c>
      <c r="J47" s="2">
        <f>IF($K47="","",INDEX(מלאי!$AC$2:$AC$500,$K47))</f>
        <v/>
      </c>
      <c r="K4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43),"")</f>
        <v/>
      </c>
    </row>
    <row r="48">
      <c r="A48" s="4">
        <f>IF($K48="","",INDEX(מלאי!$D$2:$D$500,$K48))</f>
        <v/>
      </c>
      <c r="B48" s="4">
        <f>IF($K48="","",INDEX(מלאי!$B$2:$B$500,$K48))</f>
        <v/>
      </c>
      <c r="C48" s="4">
        <f>IF($K48="","",INDEX(מלאי!$C$2:$C$500,$K48))</f>
        <v/>
      </c>
      <c r="D48" s="4">
        <f>IF($K48="","",INDEX(מלאי!$Y$2:$Y$500,$K48))</f>
        <v/>
      </c>
      <c r="E48" s="4">
        <f>IF($K48="","",INDEX(מלאי!$Z$2:$Z$500,$K48))</f>
        <v/>
      </c>
      <c r="F48" s="4">
        <f>IF($K48="","",INDEX(מלאי!$AA$2:$AA$500,$K48))</f>
        <v/>
      </c>
      <c r="G48" s="5">
        <f>IF($K48="","",INDEX(מלאי!$F$2:$F$500,$K48))</f>
        <v/>
      </c>
      <c r="H48" s="5">
        <f>IF($K48="","",INDEX(מלאי!$AB$2:$AB$500,$K48))</f>
        <v/>
      </c>
      <c r="I48" s="4">
        <f>IF($K48="","",IF(AND(INDEX(מלאי!$AB$2:$AB$500,$K48)&lt;&gt;"",INDEX(מלאי!$AB$2:$AB$500,$K48)&lt;TODAY()),"באיחור!","תקין"))</f>
        <v/>
      </c>
      <c r="J48" s="4">
        <f>IF($K48="","",INDEX(מלאי!$AC$2:$AC$500,$K48))</f>
        <v/>
      </c>
      <c r="K48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44),"")</f>
        <v/>
      </c>
    </row>
    <row r="49">
      <c r="A49" s="2">
        <f>IF($K49="","",INDEX(מלאי!$D$2:$D$500,$K49))</f>
        <v/>
      </c>
      <c r="B49" s="2">
        <f>IF($K49="","",INDEX(מלאי!$B$2:$B$500,$K49))</f>
        <v/>
      </c>
      <c r="C49" s="2">
        <f>IF($K49="","",INDEX(מלאי!$C$2:$C$500,$K49))</f>
        <v/>
      </c>
      <c r="D49" s="2">
        <f>IF($K49="","",INDEX(מלאי!$Y$2:$Y$500,$K49))</f>
        <v/>
      </c>
      <c r="E49" s="2">
        <f>IF($K49="","",INDEX(מלאי!$Z$2:$Z$500,$K49))</f>
        <v/>
      </c>
      <c r="F49" s="2">
        <f>IF($K49="","",INDEX(מלאי!$AA$2:$AA$500,$K49))</f>
        <v/>
      </c>
      <c r="G49" s="3">
        <f>IF($K49="","",INDEX(מלאי!$F$2:$F$500,$K49))</f>
        <v/>
      </c>
      <c r="H49" s="3">
        <f>IF($K49="","",INDEX(מלאי!$AB$2:$AB$500,$K49))</f>
        <v/>
      </c>
      <c r="I49" s="2">
        <f>IF($K49="","",IF(AND(INDEX(מלאי!$AB$2:$AB$500,$K49)&lt;&gt;"",INDEX(מלאי!$AB$2:$AB$500,$K49)&lt;TODAY()),"באיחור!","תקין"))</f>
        <v/>
      </c>
      <c r="J49" s="2">
        <f>IF($K49="","",INDEX(מלאי!$AC$2:$AC$500,$K49))</f>
        <v/>
      </c>
      <c r="K4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45),"")</f>
        <v/>
      </c>
    </row>
    <row r="50">
      <c r="A50" s="4">
        <f>IF($K50="","",INDEX(מלאי!$D$2:$D$500,$K50))</f>
        <v/>
      </c>
      <c r="B50" s="4">
        <f>IF($K50="","",INDEX(מלאי!$B$2:$B$500,$K50))</f>
        <v/>
      </c>
      <c r="C50" s="4">
        <f>IF($K50="","",INDEX(מלאי!$C$2:$C$500,$K50))</f>
        <v/>
      </c>
      <c r="D50" s="4">
        <f>IF($K50="","",INDEX(מלאי!$Y$2:$Y$500,$K50))</f>
        <v/>
      </c>
      <c r="E50" s="4">
        <f>IF($K50="","",INDEX(מלאי!$Z$2:$Z$500,$K50))</f>
        <v/>
      </c>
      <c r="F50" s="4">
        <f>IF($K50="","",INDEX(מלאי!$AA$2:$AA$500,$K50))</f>
        <v/>
      </c>
      <c r="G50" s="5">
        <f>IF($K50="","",INDEX(מלאי!$F$2:$F$500,$K50))</f>
        <v/>
      </c>
      <c r="H50" s="5">
        <f>IF($K50="","",INDEX(מלאי!$AB$2:$AB$500,$K50))</f>
        <v/>
      </c>
      <c r="I50" s="4">
        <f>IF($K50="","",IF(AND(INDEX(מלאי!$AB$2:$AB$500,$K50)&lt;&gt;"",INDEX(מלאי!$AB$2:$AB$500,$K50)&lt;TODAY()),"באיחור!","תקין"))</f>
        <v/>
      </c>
      <c r="J50" s="4">
        <f>IF($K50="","",INDEX(מלאי!$AC$2:$AC$500,$K50))</f>
        <v/>
      </c>
      <c r="K50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46),"")</f>
        <v/>
      </c>
    </row>
    <row r="51">
      <c r="A51" s="2">
        <f>IF($K51="","",INDEX(מלאי!$D$2:$D$500,$K51))</f>
        <v/>
      </c>
      <c r="B51" s="2">
        <f>IF($K51="","",INDEX(מלאי!$B$2:$B$500,$K51))</f>
        <v/>
      </c>
      <c r="C51" s="2">
        <f>IF($K51="","",INDEX(מלאי!$C$2:$C$500,$K51))</f>
        <v/>
      </c>
      <c r="D51" s="2">
        <f>IF($K51="","",INDEX(מלאי!$Y$2:$Y$500,$K51))</f>
        <v/>
      </c>
      <c r="E51" s="2">
        <f>IF($K51="","",INDEX(מלאי!$Z$2:$Z$500,$K51))</f>
        <v/>
      </c>
      <c r="F51" s="2">
        <f>IF($K51="","",INDEX(מלאי!$AA$2:$AA$500,$K51))</f>
        <v/>
      </c>
      <c r="G51" s="3">
        <f>IF($K51="","",INDEX(מלאי!$F$2:$F$500,$K51))</f>
        <v/>
      </c>
      <c r="H51" s="3">
        <f>IF($K51="","",INDEX(מלאי!$AB$2:$AB$500,$K51))</f>
        <v/>
      </c>
      <c r="I51" s="2">
        <f>IF($K51="","",IF(AND(INDEX(מלאי!$AB$2:$AB$500,$K51)&lt;&gt;"",INDEX(מלאי!$AB$2:$AB$500,$K51)&lt;TODAY()),"באיחור!","תקין"))</f>
        <v/>
      </c>
      <c r="J51" s="2">
        <f>IF($K51="","",INDEX(מלאי!$AC$2:$AC$500,$K51))</f>
        <v/>
      </c>
      <c r="K5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47),"")</f>
        <v/>
      </c>
    </row>
    <row r="52">
      <c r="A52" s="4">
        <f>IF($K52="","",INDEX(מלאי!$D$2:$D$500,$K52))</f>
        <v/>
      </c>
      <c r="B52" s="4">
        <f>IF($K52="","",INDEX(מלאי!$B$2:$B$500,$K52))</f>
        <v/>
      </c>
      <c r="C52" s="4">
        <f>IF($K52="","",INDEX(מלאי!$C$2:$C$500,$K52))</f>
        <v/>
      </c>
      <c r="D52" s="4">
        <f>IF($K52="","",INDEX(מלאי!$Y$2:$Y$500,$K52))</f>
        <v/>
      </c>
      <c r="E52" s="4">
        <f>IF($K52="","",INDEX(מלאי!$Z$2:$Z$500,$K52))</f>
        <v/>
      </c>
      <c r="F52" s="4">
        <f>IF($K52="","",INDEX(מלאי!$AA$2:$AA$500,$K52))</f>
        <v/>
      </c>
      <c r="G52" s="5">
        <f>IF($K52="","",INDEX(מלאי!$F$2:$F$500,$K52))</f>
        <v/>
      </c>
      <c r="H52" s="5">
        <f>IF($K52="","",INDEX(מלאי!$AB$2:$AB$500,$K52))</f>
        <v/>
      </c>
      <c r="I52" s="4">
        <f>IF($K52="","",IF(AND(INDEX(מלאי!$AB$2:$AB$500,$K52)&lt;&gt;"",INDEX(מלאי!$AB$2:$AB$500,$K52)&lt;TODAY()),"באיחור!","תקין"))</f>
        <v/>
      </c>
      <c r="J52" s="4">
        <f>IF($K52="","",INDEX(מלאי!$AC$2:$AC$500,$K52))</f>
        <v/>
      </c>
      <c r="K52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48),"")</f>
        <v/>
      </c>
    </row>
    <row r="53">
      <c r="A53" s="2">
        <f>IF($K53="","",INDEX(מלאי!$D$2:$D$500,$K53))</f>
        <v/>
      </c>
      <c r="B53" s="2">
        <f>IF($K53="","",INDEX(מלאי!$B$2:$B$500,$K53))</f>
        <v/>
      </c>
      <c r="C53" s="2">
        <f>IF($K53="","",INDEX(מלאי!$C$2:$C$500,$K53))</f>
        <v/>
      </c>
      <c r="D53" s="2">
        <f>IF($K53="","",INDEX(מלאי!$Y$2:$Y$500,$K53))</f>
        <v/>
      </c>
      <c r="E53" s="2">
        <f>IF($K53="","",INDEX(מלאי!$Z$2:$Z$500,$K53))</f>
        <v/>
      </c>
      <c r="F53" s="2">
        <f>IF($K53="","",INDEX(מלאי!$AA$2:$AA$500,$K53))</f>
        <v/>
      </c>
      <c r="G53" s="3">
        <f>IF($K53="","",INDEX(מלאי!$F$2:$F$500,$K53))</f>
        <v/>
      </c>
      <c r="H53" s="3">
        <f>IF($K53="","",INDEX(מלאי!$AB$2:$AB$500,$K53))</f>
        <v/>
      </c>
      <c r="I53" s="2">
        <f>IF($K53="","",IF(AND(INDEX(מלאי!$AB$2:$AB$500,$K53)&lt;&gt;"",INDEX(מלאי!$AB$2:$AB$500,$K53)&lt;TODAY()),"באיחור!","תקין"))</f>
        <v/>
      </c>
      <c r="J53" s="2">
        <f>IF($K53="","",INDEX(מלאי!$AC$2:$AC$500,$K53))</f>
        <v/>
      </c>
      <c r="K5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49),"")</f>
        <v/>
      </c>
    </row>
    <row r="54">
      <c r="A54" s="4">
        <f>IF($K54="","",INDEX(מלאי!$D$2:$D$500,$K54))</f>
        <v/>
      </c>
      <c r="B54" s="4">
        <f>IF($K54="","",INDEX(מלאי!$B$2:$B$500,$K54))</f>
        <v/>
      </c>
      <c r="C54" s="4">
        <f>IF($K54="","",INDEX(מלאי!$C$2:$C$500,$K54))</f>
        <v/>
      </c>
      <c r="D54" s="4">
        <f>IF($K54="","",INDEX(מלאי!$Y$2:$Y$500,$K54))</f>
        <v/>
      </c>
      <c r="E54" s="4">
        <f>IF($K54="","",INDEX(מלאי!$Z$2:$Z$500,$K54))</f>
        <v/>
      </c>
      <c r="F54" s="4">
        <f>IF($K54="","",INDEX(מלאי!$AA$2:$AA$500,$K54))</f>
        <v/>
      </c>
      <c r="G54" s="5">
        <f>IF($K54="","",INDEX(מלאי!$F$2:$F$500,$K54))</f>
        <v/>
      </c>
      <c r="H54" s="5">
        <f>IF($K54="","",INDEX(מלאי!$AB$2:$AB$500,$K54))</f>
        <v/>
      </c>
      <c r="I54" s="4">
        <f>IF($K54="","",IF(AND(INDEX(מלאי!$AB$2:$AB$500,$K54)&lt;&gt;"",INDEX(מלאי!$AB$2:$AB$500,$K54)&lt;TODAY()),"באיחור!","תקין"))</f>
        <v/>
      </c>
      <c r="J54" s="4">
        <f>IF($K54="","",INDEX(מלאי!$AC$2:$AC$500,$K54))</f>
        <v/>
      </c>
      <c r="K54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50),"")</f>
        <v/>
      </c>
    </row>
    <row r="55">
      <c r="A55" s="2">
        <f>IF($K55="","",INDEX(מלאי!$D$2:$D$500,$K55))</f>
        <v/>
      </c>
      <c r="B55" s="2">
        <f>IF($K55="","",INDEX(מלאי!$B$2:$B$500,$K55))</f>
        <v/>
      </c>
      <c r="C55" s="2">
        <f>IF($K55="","",INDEX(מלאי!$C$2:$C$500,$K55))</f>
        <v/>
      </c>
      <c r="D55" s="2">
        <f>IF($K55="","",INDEX(מלאי!$Y$2:$Y$500,$K55))</f>
        <v/>
      </c>
      <c r="E55" s="2">
        <f>IF($K55="","",INDEX(מלאי!$Z$2:$Z$500,$K55))</f>
        <v/>
      </c>
      <c r="F55" s="2">
        <f>IF($K55="","",INDEX(מלאי!$AA$2:$AA$500,$K55))</f>
        <v/>
      </c>
      <c r="G55" s="3">
        <f>IF($K55="","",INDEX(מלאי!$F$2:$F$500,$K55))</f>
        <v/>
      </c>
      <c r="H55" s="3">
        <f>IF($K55="","",INDEX(מלאי!$AB$2:$AB$500,$K55))</f>
        <v/>
      </c>
      <c r="I55" s="2">
        <f>IF($K55="","",IF(AND(INDEX(מלאי!$AB$2:$AB$500,$K55)&lt;&gt;"",INDEX(מלאי!$AB$2:$AB$500,$K55)&lt;TODAY()),"באיחור!","תקין"))</f>
        <v/>
      </c>
      <c r="J55" s="2">
        <f>IF($K55="","",INDEX(מלאי!$AC$2:$AC$500,$K55))</f>
        <v/>
      </c>
      <c r="K5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51),"")</f>
        <v/>
      </c>
    </row>
    <row r="56">
      <c r="A56" s="4">
        <f>IF($K56="","",INDEX(מלאי!$D$2:$D$500,$K56))</f>
        <v/>
      </c>
      <c r="B56" s="4">
        <f>IF($K56="","",INDEX(מלאי!$B$2:$B$500,$K56))</f>
        <v/>
      </c>
      <c r="C56" s="4">
        <f>IF($K56="","",INDEX(מלאי!$C$2:$C$500,$K56))</f>
        <v/>
      </c>
      <c r="D56" s="4">
        <f>IF($K56="","",INDEX(מלאי!$Y$2:$Y$500,$K56))</f>
        <v/>
      </c>
      <c r="E56" s="4">
        <f>IF($K56="","",INDEX(מלאי!$Z$2:$Z$500,$K56))</f>
        <v/>
      </c>
      <c r="F56" s="4">
        <f>IF($K56="","",INDEX(מלאי!$AA$2:$AA$500,$K56))</f>
        <v/>
      </c>
      <c r="G56" s="5">
        <f>IF($K56="","",INDEX(מלאי!$F$2:$F$500,$K56))</f>
        <v/>
      </c>
      <c r="H56" s="5">
        <f>IF($K56="","",INDEX(מלאי!$AB$2:$AB$500,$K56))</f>
        <v/>
      </c>
      <c r="I56" s="4">
        <f>IF($K56="","",IF(AND(INDEX(מלאי!$AB$2:$AB$500,$K56)&lt;&gt;"",INDEX(מלאי!$AB$2:$AB$500,$K56)&lt;TODAY()),"באיחור!","תקין"))</f>
        <v/>
      </c>
      <c r="J56" s="4">
        <f>IF($K56="","",INDEX(מלאי!$AC$2:$AC$500,$K56))</f>
        <v/>
      </c>
      <c r="K56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52),"")</f>
        <v/>
      </c>
    </row>
    <row r="57">
      <c r="A57" s="2">
        <f>IF($K57="","",INDEX(מלאי!$D$2:$D$500,$K57))</f>
        <v/>
      </c>
      <c r="B57" s="2">
        <f>IF($K57="","",INDEX(מלאי!$B$2:$B$500,$K57))</f>
        <v/>
      </c>
      <c r="C57" s="2">
        <f>IF($K57="","",INDEX(מלאי!$C$2:$C$500,$K57))</f>
        <v/>
      </c>
      <c r="D57" s="2">
        <f>IF($K57="","",INDEX(מלאי!$Y$2:$Y$500,$K57))</f>
        <v/>
      </c>
      <c r="E57" s="2">
        <f>IF($K57="","",INDEX(מלאי!$Z$2:$Z$500,$K57))</f>
        <v/>
      </c>
      <c r="F57" s="2">
        <f>IF($K57="","",INDEX(מלאי!$AA$2:$AA$500,$K57))</f>
        <v/>
      </c>
      <c r="G57" s="3">
        <f>IF($K57="","",INDEX(מלאי!$F$2:$F$500,$K57))</f>
        <v/>
      </c>
      <c r="H57" s="3">
        <f>IF($K57="","",INDEX(מלאי!$AB$2:$AB$500,$K57))</f>
        <v/>
      </c>
      <c r="I57" s="2">
        <f>IF($K57="","",IF(AND(INDEX(מלאי!$AB$2:$AB$500,$K57)&lt;&gt;"",INDEX(מלאי!$AB$2:$AB$500,$K57)&lt;TODAY()),"באיחור!","תקין"))</f>
        <v/>
      </c>
      <c r="J57" s="2">
        <f>IF($K57="","",INDEX(מלאי!$AC$2:$AC$500,$K57))</f>
        <v/>
      </c>
      <c r="K5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53),"")</f>
        <v/>
      </c>
    </row>
    <row r="58">
      <c r="A58" s="4">
        <f>IF($K58="","",INDEX(מלאי!$D$2:$D$500,$K58))</f>
        <v/>
      </c>
      <c r="B58" s="4">
        <f>IF($K58="","",INDEX(מלאי!$B$2:$B$500,$K58))</f>
        <v/>
      </c>
      <c r="C58" s="4">
        <f>IF($K58="","",INDEX(מלאי!$C$2:$C$500,$K58))</f>
        <v/>
      </c>
      <c r="D58" s="4">
        <f>IF($K58="","",INDEX(מלאי!$Y$2:$Y$500,$K58))</f>
        <v/>
      </c>
      <c r="E58" s="4">
        <f>IF($K58="","",INDEX(מלאי!$Z$2:$Z$500,$K58))</f>
        <v/>
      </c>
      <c r="F58" s="4">
        <f>IF($K58="","",INDEX(מלאי!$AA$2:$AA$500,$K58))</f>
        <v/>
      </c>
      <c r="G58" s="5">
        <f>IF($K58="","",INDEX(מלאי!$F$2:$F$500,$K58))</f>
        <v/>
      </c>
      <c r="H58" s="5">
        <f>IF($K58="","",INDEX(מלאי!$AB$2:$AB$500,$K58))</f>
        <v/>
      </c>
      <c r="I58" s="4">
        <f>IF($K58="","",IF(AND(INDEX(מלאי!$AB$2:$AB$500,$K58)&lt;&gt;"",INDEX(מלאי!$AB$2:$AB$500,$K58)&lt;TODAY()),"באיחור!","תקין"))</f>
        <v/>
      </c>
      <c r="J58" s="4">
        <f>IF($K58="","",INDEX(מלאי!$AC$2:$AC$500,$K58))</f>
        <v/>
      </c>
      <c r="K58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54),"")</f>
        <v/>
      </c>
    </row>
    <row r="59">
      <c r="A59" s="2">
        <f>IF($K59="","",INDEX(מלאי!$D$2:$D$500,$K59))</f>
        <v/>
      </c>
      <c r="B59" s="2">
        <f>IF($K59="","",INDEX(מלאי!$B$2:$B$500,$K59))</f>
        <v/>
      </c>
      <c r="C59" s="2">
        <f>IF($K59="","",INDEX(מלאי!$C$2:$C$500,$K59))</f>
        <v/>
      </c>
      <c r="D59" s="2">
        <f>IF($K59="","",INDEX(מלאי!$Y$2:$Y$500,$K59))</f>
        <v/>
      </c>
      <c r="E59" s="2">
        <f>IF($K59="","",INDEX(מלאי!$Z$2:$Z$500,$K59))</f>
        <v/>
      </c>
      <c r="F59" s="2">
        <f>IF($K59="","",INDEX(מלאי!$AA$2:$AA$500,$K59))</f>
        <v/>
      </c>
      <c r="G59" s="3">
        <f>IF($K59="","",INDEX(מלאי!$F$2:$F$500,$K59))</f>
        <v/>
      </c>
      <c r="H59" s="3">
        <f>IF($K59="","",INDEX(מלאי!$AB$2:$AB$500,$K59))</f>
        <v/>
      </c>
      <c r="I59" s="2">
        <f>IF($K59="","",IF(AND(INDEX(מלאי!$AB$2:$AB$500,$K59)&lt;&gt;"",INDEX(מלאי!$AB$2:$AB$500,$K59)&lt;TODAY()),"באיחור!","תקין"))</f>
        <v/>
      </c>
      <c r="J59" s="2">
        <f>IF($K59="","",INDEX(מלאי!$AC$2:$AC$500,$K59))</f>
        <v/>
      </c>
      <c r="K5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55),"")</f>
        <v/>
      </c>
    </row>
    <row r="60">
      <c r="A60" s="4">
        <f>IF($K60="","",INDEX(מלאי!$D$2:$D$500,$K60))</f>
        <v/>
      </c>
      <c r="B60" s="4">
        <f>IF($K60="","",INDEX(מלאי!$B$2:$B$500,$K60))</f>
        <v/>
      </c>
      <c r="C60" s="4">
        <f>IF($K60="","",INDEX(מלאי!$C$2:$C$500,$K60))</f>
        <v/>
      </c>
      <c r="D60" s="4">
        <f>IF($K60="","",INDEX(מלאי!$Y$2:$Y$500,$K60))</f>
        <v/>
      </c>
      <c r="E60" s="4">
        <f>IF($K60="","",INDEX(מלאי!$Z$2:$Z$500,$K60))</f>
        <v/>
      </c>
      <c r="F60" s="4">
        <f>IF($K60="","",INDEX(מלאי!$AA$2:$AA$500,$K60))</f>
        <v/>
      </c>
      <c r="G60" s="5">
        <f>IF($K60="","",INDEX(מלאי!$F$2:$F$500,$K60))</f>
        <v/>
      </c>
      <c r="H60" s="5">
        <f>IF($K60="","",INDEX(מלאי!$AB$2:$AB$500,$K60))</f>
        <v/>
      </c>
      <c r="I60" s="4">
        <f>IF($K60="","",IF(AND(INDEX(מלאי!$AB$2:$AB$500,$K60)&lt;&gt;"",INDEX(מלאי!$AB$2:$AB$500,$K60)&lt;TODAY()),"באיחור!","תקין"))</f>
        <v/>
      </c>
      <c r="J60" s="4">
        <f>IF($K60="","",INDEX(מלאי!$AC$2:$AC$500,$K60))</f>
        <v/>
      </c>
      <c r="K60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56),"")</f>
        <v/>
      </c>
    </row>
    <row r="61">
      <c r="A61" s="2">
        <f>IF($K61="","",INDEX(מלאי!$D$2:$D$500,$K61))</f>
        <v/>
      </c>
      <c r="B61" s="2">
        <f>IF($K61="","",INDEX(מלאי!$B$2:$B$500,$K61))</f>
        <v/>
      </c>
      <c r="C61" s="2">
        <f>IF($K61="","",INDEX(מלאי!$C$2:$C$500,$K61))</f>
        <v/>
      </c>
      <c r="D61" s="2">
        <f>IF($K61="","",INDEX(מלאי!$Y$2:$Y$500,$K61))</f>
        <v/>
      </c>
      <c r="E61" s="2">
        <f>IF($K61="","",INDEX(מלאי!$Z$2:$Z$500,$K61))</f>
        <v/>
      </c>
      <c r="F61" s="2">
        <f>IF($K61="","",INDEX(מלאי!$AA$2:$AA$500,$K61))</f>
        <v/>
      </c>
      <c r="G61" s="3">
        <f>IF($K61="","",INDEX(מלאי!$F$2:$F$500,$K61))</f>
        <v/>
      </c>
      <c r="H61" s="3">
        <f>IF($K61="","",INDEX(מלאי!$AB$2:$AB$500,$K61))</f>
        <v/>
      </c>
      <c r="I61" s="2">
        <f>IF($K61="","",IF(AND(INDEX(מלאי!$AB$2:$AB$500,$K61)&lt;&gt;"",INDEX(מלאי!$AB$2:$AB$500,$K61)&lt;TODAY()),"באיחור!","תקין"))</f>
        <v/>
      </c>
      <c r="J61" s="2">
        <f>IF($K61="","",INDEX(מלאי!$AC$2:$AC$500,$K61))</f>
        <v/>
      </c>
      <c r="K6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57),"")</f>
        <v/>
      </c>
    </row>
    <row r="62">
      <c r="A62" s="4">
        <f>IF($K62="","",INDEX(מלאי!$D$2:$D$500,$K62))</f>
        <v/>
      </c>
      <c r="B62" s="4">
        <f>IF($K62="","",INDEX(מלאי!$B$2:$B$500,$K62))</f>
        <v/>
      </c>
      <c r="C62" s="4">
        <f>IF($K62="","",INDEX(מלאי!$C$2:$C$500,$K62))</f>
        <v/>
      </c>
      <c r="D62" s="4">
        <f>IF($K62="","",INDEX(מלאי!$Y$2:$Y$500,$K62))</f>
        <v/>
      </c>
      <c r="E62" s="4">
        <f>IF($K62="","",INDEX(מלאי!$Z$2:$Z$500,$K62))</f>
        <v/>
      </c>
      <c r="F62" s="4">
        <f>IF($K62="","",INDEX(מלאי!$AA$2:$AA$500,$K62))</f>
        <v/>
      </c>
      <c r="G62" s="5">
        <f>IF($K62="","",INDEX(מלאי!$F$2:$F$500,$K62))</f>
        <v/>
      </c>
      <c r="H62" s="5">
        <f>IF($K62="","",INDEX(מלאי!$AB$2:$AB$500,$K62))</f>
        <v/>
      </c>
      <c r="I62" s="4">
        <f>IF($K62="","",IF(AND(INDEX(מלאי!$AB$2:$AB$500,$K62)&lt;&gt;"",INDEX(מלאי!$AB$2:$AB$500,$K62)&lt;TODAY()),"באיחור!","תקין"))</f>
        <v/>
      </c>
      <c r="J62" s="4">
        <f>IF($K62="","",INDEX(מלאי!$AC$2:$AC$500,$K62))</f>
        <v/>
      </c>
      <c r="K62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58),"")</f>
        <v/>
      </c>
    </row>
    <row r="63">
      <c r="A63" s="2">
        <f>IF($K63="","",INDEX(מלאי!$D$2:$D$500,$K63))</f>
        <v/>
      </c>
      <c r="B63" s="2">
        <f>IF($K63="","",INDEX(מלאי!$B$2:$B$500,$K63))</f>
        <v/>
      </c>
      <c r="C63" s="2">
        <f>IF($K63="","",INDEX(מלאי!$C$2:$C$500,$K63))</f>
        <v/>
      </c>
      <c r="D63" s="2">
        <f>IF($K63="","",INDEX(מלאי!$Y$2:$Y$500,$K63))</f>
        <v/>
      </c>
      <c r="E63" s="2">
        <f>IF($K63="","",INDEX(מלאי!$Z$2:$Z$500,$K63))</f>
        <v/>
      </c>
      <c r="F63" s="2">
        <f>IF($K63="","",INDEX(מלאי!$AA$2:$AA$500,$K63))</f>
        <v/>
      </c>
      <c r="G63" s="3">
        <f>IF($K63="","",INDEX(מלאי!$F$2:$F$500,$K63))</f>
        <v/>
      </c>
      <c r="H63" s="3">
        <f>IF($K63="","",INDEX(מלאי!$AB$2:$AB$500,$K63))</f>
        <v/>
      </c>
      <c r="I63" s="2">
        <f>IF($K63="","",IF(AND(INDEX(מלאי!$AB$2:$AB$500,$K63)&lt;&gt;"",INDEX(מלאי!$AB$2:$AB$500,$K63)&lt;TODAY()),"באיחור!","תקין"))</f>
        <v/>
      </c>
      <c r="J63" s="2">
        <f>IF($K63="","",INDEX(מלאי!$AC$2:$AC$500,$K63))</f>
        <v/>
      </c>
      <c r="K6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59),"")</f>
        <v/>
      </c>
    </row>
    <row r="64">
      <c r="A64" s="4">
        <f>IF($K64="","",INDEX(מלאי!$D$2:$D$500,$K64))</f>
        <v/>
      </c>
      <c r="B64" s="4">
        <f>IF($K64="","",INDEX(מלאי!$B$2:$B$500,$K64))</f>
        <v/>
      </c>
      <c r="C64" s="4">
        <f>IF($K64="","",INDEX(מלאי!$C$2:$C$500,$K64))</f>
        <v/>
      </c>
      <c r="D64" s="4">
        <f>IF($K64="","",INDEX(מלאי!$Y$2:$Y$500,$K64))</f>
        <v/>
      </c>
      <c r="E64" s="4">
        <f>IF($K64="","",INDEX(מלאי!$Z$2:$Z$500,$K64))</f>
        <v/>
      </c>
      <c r="F64" s="4">
        <f>IF($K64="","",INDEX(מלאי!$AA$2:$AA$500,$K64))</f>
        <v/>
      </c>
      <c r="G64" s="5">
        <f>IF($K64="","",INDEX(מלאי!$F$2:$F$500,$K64))</f>
        <v/>
      </c>
      <c r="H64" s="5">
        <f>IF($K64="","",INDEX(מלאי!$AB$2:$AB$500,$K64))</f>
        <v/>
      </c>
      <c r="I64" s="4">
        <f>IF($K64="","",IF(AND(INDEX(מלאי!$AB$2:$AB$500,$K64)&lt;&gt;"",INDEX(מלאי!$AB$2:$AB$500,$K64)&lt;TODAY()),"באיחור!","תקין"))</f>
        <v/>
      </c>
      <c r="J64" s="4">
        <f>IF($K64="","",INDEX(מלאי!$AC$2:$AC$500,$K64))</f>
        <v/>
      </c>
      <c r="K64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60),"")</f>
        <v/>
      </c>
    </row>
    <row r="65">
      <c r="A65" s="2">
        <f>IF($K65="","",INDEX(מלאי!$D$2:$D$500,$K65))</f>
        <v/>
      </c>
      <c r="B65" s="2">
        <f>IF($K65="","",INDEX(מלאי!$B$2:$B$500,$K65))</f>
        <v/>
      </c>
      <c r="C65" s="2">
        <f>IF($K65="","",INDEX(מלאי!$C$2:$C$500,$K65))</f>
        <v/>
      </c>
      <c r="D65" s="2">
        <f>IF($K65="","",INDEX(מלאי!$Y$2:$Y$500,$K65))</f>
        <v/>
      </c>
      <c r="E65" s="2">
        <f>IF($K65="","",INDEX(מלאי!$Z$2:$Z$500,$K65))</f>
        <v/>
      </c>
      <c r="F65" s="2">
        <f>IF($K65="","",INDEX(מלאי!$AA$2:$AA$500,$K65))</f>
        <v/>
      </c>
      <c r="G65" s="3">
        <f>IF($K65="","",INDEX(מלאי!$F$2:$F$500,$K65))</f>
        <v/>
      </c>
      <c r="H65" s="3">
        <f>IF($K65="","",INDEX(מלאי!$AB$2:$AB$500,$K65))</f>
        <v/>
      </c>
      <c r="I65" s="2">
        <f>IF($K65="","",IF(AND(INDEX(מלאי!$AB$2:$AB$500,$K65)&lt;&gt;"",INDEX(מלאי!$AB$2:$AB$500,$K65)&lt;TODAY()),"באיחור!","תקין"))</f>
        <v/>
      </c>
      <c r="J65" s="2">
        <f>IF($K65="","",INDEX(מלאי!$AC$2:$AC$500,$K65))</f>
        <v/>
      </c>
      <c r="K6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61),"")</f>
        <v/>
      </c>
    </row>
    <row r="66">
      <c r="A66" s="4">
        <f>IF($K66="","",INDEX(מלאי!$D$2:$D$500,$K66))</f>
        <v/>
      </c>
      <c r="B66" s="4">
        <f>IF($K66="","",INDEX(מלאי!$B$2:$B$500,$K66))</f>
        <v/>
      </c>
      <c r="C66" s="4">
        <f>IF($K66="","",INDEX(מלאי!$C$2:$C$500,$K66))</f>
        <v/>
      </c>
      <c r="D66" s="4">
        <f>IF($K66="","",INDEX(מלאי!$Y$2:$Y$500,$K66))</f>
        <v/>
      </c>
      <c r="E66" s="4">
        <f>IF($K66="","",INDEX(מלאי!$Z$2:$Z$500,$K66))</f>
        <v/>
      </c>
      <c r="F66" s="4">
        <f>IF($K66="","",INDEX(מלאי!$AA$2:$AA$500,$K66))</f>
        <v/>
      </c>
      <c r="G66" s="5">
        <f>IF($K66="","",INDEX(מלאי!$F$2:$F$500,$K66))</f>
        <v/>
      </c>
      <c r="H66" s="5">
        <f>IF($K66="","",INDEX(מלאי!$AB$2:$AB$500,$K66))</f>
        <v/>
      </c>
      <c r="I66" s="4">
        <f>IF($K66="","",IF(AND(INDEX(מלאי!$AB$2:$AB$500,$K66)&lt;&gt;"",INDEX(מלאי!$AB$2:$AB$500,$K66)&lt;TODAY()),"באיחור!","תקין"))</f>
        <v/>
      </c>
      <c r="J66" s="4">
        <f>IF($K66="","",INDEX(מלאי!$AC$2:$AC$500,$K66))</f>
        <v/>
      </c>
      <c r="K66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62),"")</f>
        <v/>
      </c>
    </row>
    <row r="67">
      <c r="A67" s="2">
        <f>IF($K67="","",INDEX(מלאי!$D$2:$D$500,$K67))</f>
        <v/>
      </c>
      <c r="B67" s="2">
        <f>IF($K67="","",INDEX(מלאי!$B$2:$B$500,$K67))</f>
        <v/>
      </c>
      <c r="C67" s="2">
        <f>IF($K67="","",INDEX(מלאי!$C$2:$C$500,$K67))</f>
        <v/>
      </c>
      <c r="D67" s="2">
        <f>IF($K67="","",INDEX(מלאי!$Y$2:$Y$500,$K67))</f>
        <v/>
      </c>
      <c r="E67" s="2">
        <f>IF($K67="","",INDEX(מלאי!$Z$2:$Z$500,$K67))</f>
        <v/>
      </c>
      <c r="F67" s="2">
        <f>IF($K67="","",INDEX(מלאי!$AA$2:$AA$500,$K67))</f>
        <v/>
      </c>
      <c r="G67" s="3">
        <f>IF($K67="","",INDEX(מלאי!$F$2:$F$500,$K67))</f>
        <v/>
      </c>
      <c r="H67" s="3">
        <f>IF($K67="","",INDEX(מלאי!$AB$2:$AB$500,$K67))</f>
        <v/>
      </c>
      <c r="I67" s="2">
        <f>IF($K67="","",IF(AND(INDEX(מלאי!$AB$2:$AB$500,$K67)&lt;&gt;"",INDEX(מלאי!$AB$2:$AB$500,$K67)&lt;TODAY()),"באיחור!","תקין"))</f>
        <v/>
      </c>
      <c r="J67" s="2">
        <f>IF($K67="","",INDEX(מלאי!$AC$2:$AC$500,$K67))</f>
        <v/>
      </c>
      <c r="K6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63),"")</f>
        <v/>
      </c>
    </row>
    <row r="68">
      <c r="A68" s="4">
        <f>IF($K68="","",INDEX(מלאי!$D$2:$D$500,$K68))</f>
        <v/>
      </c>
      <c r="B68" s="4">
        <f>IF($K68="","",INDEX(מלאי!$B$2:$B$500,$K68))</f>
        <v/>
      </c>
      <c r="C68" s="4">
        <f>IF($K68="","",INDEX(מלאי!$C$2:$C$500,$K68))</f>
        <v/>
      </c>
      <c r="D68" s="4">
        <f>IF($K68="","",INDEX(מלאי!$Y$2:$Y$500,$K68))</f>
        <v/>
      </c>
      <c r="E68" s="4">
        <f>IF($K68="","",INDEX(מלאי!$Z$2:$Z$500,$K68))</f>
        <v/>
      </c>
      <c r="F68" s="4">
        <f>IF($K68="","",INDEX(מלאי!$AA$2:$AA$500,$K68))</f>
        <v/>
      </c>
      <c r="G68" s="5">
        <f>IF($K68="","",INDEX(מלאי!$F$2:$F$500,$K68))</f>
        <v/>
      </c>
      <c r="H68" s="5">
        <f>IF($K68="","",INDEX(מלאי!$AB$2:$AB$500,$K68))</f>
        <v/>
      </c>
      <c r="I68" s="4">
        <f>IF($K68="","",IF(AND(INDEX(מלאי!$AB$2:$AB$500,$K68)&lt;&gt;"",INDEX(מלאי!$AB$2:$AB$500,$K68)&lt;TODAY()),"באיחור!","תקין"))</f>
        <v/>
      </c>
      <c r="J68" s="4">
        <f>IF($K68="","",INDEX(מלאי!$AC$2:$AC$500,$K68))</f>
        <v/>
      </c>
      <c r="K68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64),"")</f>
        <v/>
      </c>
    </row>
    <row r="69">
      <c r="A69" s="2">
        <f>IF($K69="","",INDEX(מלאי!$D$2:$D$500,$K69))</f>
        <v/>
      </c>
      <c r="B69" s="2">
        <f>IF($K69="","",INDEX(מלאי!$B$2:$B$500,$K69))</f>
        <v/>
      </c>
      <c r="C69" s="2">
        <f>IF($K69="","",INDEX(מלאי!$C$2:$C$500,$K69))</f>
        <v/>
      </c>
      <c r="D69" s="2">
        <f>IF($K69="","",INDEX(מלאי!$Y$2:$Y$500,$K69))</f>
        <v/>
      </c>
      <c r="E69" s="2">
        <f>IF($K69="","",INDEX(מלאי!$Z$2:$Z$500,$K69))</f>
        <v/>
      </c>
      <c r="F69" s="2">
        <f>IF($K69="","",INDEX(מלאי!$AA$2:$AA$500,$K69))</f>
        <v/>
      </c>
      <c r="G69" s="3">
        <f>IF($K69="","",INDEX(מלאי!$F$2:$F$500,$K69))</f>
        <v/>
      </c>
      <c r="H69" s="3">
        <f>IF($K69="","",INDEX(מלאי!$AB$2:$AB$500,$K69))</f>
        <v/>
      </c>
      <c r="I69" s="2">
        <f>IF($K69="","",IF(AND(INDEX(מלאי!$AB$2:$AB$500,$K69)&lt;&gt;"",INDEX(מלאי!$AB$2:$AB$500,$K69)&lt;TODAY()),"באיחור!","תקין"))</f>
        <v/>
      </c>
      <c r="J69" s="2">
        <f>IF($K69="","",INDEX(מלאי!$AC$2:$AC$500,$K69))</f>
        <v/>
      </c>
      <c r="K6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65),"")</f>
        <v/>
      </c>
    </row>
    <row r="70">
      <c r="A70" s="4">
        <f>IF($K70="","",INDEX(מלאי!$D$2:$D$500,$K70))</f>
        <v/>
      </c>
      <c r="B70" s="4">
        <f>IF($K70="","",INDEX(מלאי!$B$2:$B$500,$K70))</f>
        <v/>
      </c>
      <c r="C70" s="4">
        <f>IF($K70="","",INDEX(מלאי!$C$2:$C$500,$K70))</f>
        <v/>
      </c>
      <c r="D70" s="4">
        <f>IF($K70="","",INDEX(מלאי!$Y$2:$Y$500,$K70))</f>
        <v/>
      </c>
      <c r="E70" s="4">
        <f>IF($K70="","",INDEX(מלאי!$Z$2:$Z$500,$K70))</f>
        <v/>
      </c>
      <c r="F70" s="4">
        <f>IF($K70="","",INDEX(מלאי!$AA$2:$AA$500,$K70))</f>
        <v/>
      </c>
      <c r="G70" s="5">
        <f>IF($K70="","",INDEX(מלאי!$F$2:$F$500,$K70))</f>
        <v/>
      </c>
      <c r="H70" s="5">
        <f>IF($K70="","",INDEX(מלאי!$AB$2:$AB$500,$K70))</f>
        <v/>
      </c>
      <c r="I70" s="4">
        <f>IF($K70="","",IF(AND(INDEX(מלאי!$AB$2:$AB$500,$K70)&lt;&gt;"",INDEX(מלאי!$AB$2:$AB$500,$K70)&lt;TODAY()),"באיחור!","תקין"))</f>
        <v/>
      </c>
      <c r="J70" s="4">
        <f>IF($K70="","",INDEX(מלאי!$AC$2:$AC$500,$K70))</f>
        <v/>
      </c>
      <c r="K70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66),"")</f>
        <v/>
      </c>
    </row>
    <row r="71">
      <c r="A71" s="2">
        <f>IF($K71="","",INDEX(מלאי!$D$2:$D$500,$K71))</f>
        <v/>
      </c>
      <c r="B71" s="2">
        <f>IF($K71="","",INDEX(מלאי!$B$2:$B$500,$K71))</f>
        <v/>
      </c>
      <c r="C71" s="2">
        <f>IF($K71="","",INDEX(מלאי!$C$2:$C$500,$K71))</f>
        <v/>
      </c>
      <c r="D71" s="2">
        <f>IF($K71="","",INDEX(מלאי!$Y$2:$Y$500,$K71))</f>
        <v/>
      </c>
      <c r="E71" s="2">
        <f>IF($K71="","",INDEX(מלאי!$Z$2:$Z$500,$K71))</f>
        <v/>
      </c>
      <c r="F71" s="2">
        <f>IF($K71="","",INDEX(מלאי!$AA$2:$AA$500,$K71))</f>
        <v/>
      </c>
      <c r="G71" s="3">
        <f>IF($K71="","",INDEX(מלאי!$F$2:$F$500,$K71))</f>
        <v/>
      </c>
      <c r="H71" s="3">
        <f>IF($K71="","",INDEX(מלאי!$AB$2:$AB$500,$K71))</f>
        <v/>
      </c>
      <c r="I71" s="2">
        <f>IF($K71="","",IF(AND(INDEX(מלאי!$AB$2:$AB$500,$K71)&lt;&gt;"",INDEX(מלאי!$AB$2:$AB$500,$K71)&lt;TODAY()),"באיחור!","תקין"))</f>
        <v/>
      </c>
      <c r="J71" s="2">
        <f>IF($K71="","",INDEX(מלאי!$AC$2:$AC$500,$K71))</f>
        <v/>
      </c>
      <c r="K7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67),"")</f>
        <v/>
      </c>
    </row>
    <row r="72">
      <c r="A72" s="4">
        <f>IF($K72="","",INDEX(מלאי!$D$2:$D$500,$K72))</f>
        <v/>
      </c>
      <c r="B72" s="4">
        <f>IF($K72="","",INDEX(מלאי!$B$2:$B$500,$K72))</f>
        <v/>
      </c>
      <c r="C72" s="4">
        <f>IF($K72="","",INDEX(מלאי!$C$2:$C$500,$K72))</f>
        <v/>
      </c>
      <c r="D72" s="4">
        <f>IF($K72="","",INDEX(מלאי!$Y$2:$Y$500,$K72))</f>
        <v/>
      </c>
      <c r="E72" s="4">
        <f>IF($K72="","",INDEX(מלאי!$Z$2:$Z$500,$K72))</f>
        <v/>
      </c>
      <c r="F72" s="4">
        <f>IF($K72="","",INDEX(מלאי!$AA$2:$AA$500,$K72))</f>
        <v/>
      </c>
      <c r="G72" s="5">
        <f>IF($K72="","",INDEX(מלאי!$F$2:$F$500,$K72))</f>
        <v/>
      </c>
      <c r="H72" s="5">
        <f>IF($K72="","",INDEX(מלאי!$AB$2:$AB$500,$K72))</f>
        <v/>
      </c>
      <c r="I72" s="4">
        <f>IF($K72="","",IF(AND(INDEX(מלאי!$AB$2:$AB$500,$K72)&lt;&gt;"",INDEX(מלאי!$AB$2:$AB$500,$K72)&lt;TODAY()),"באיחור!","תקין"))</f>
        <v/>
      </c>
      <c r="J72" s="4">
        <f>IF($K72="","",INDEX(מלאי!$AC$2:$AC$500,$K72))</f>
        <v/>
      </c>
      <c r="K72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68),"")</f>
        <v/>
      </c>
    </row>
    <row r="73">
      <c r="A73" s="2">
        <f>IF($K73="","",INDEX(מלאי!$D$2:$D$500,$K73))</f>
        <v/>
      </c>
      <c r="B73" s="2">
        <f>IF($K73="","",INDEX(מלאי!$B$2:$B$500,$K73))</f>
        <v/>
      </c>
      <c r="C73" s="2">
        <f>IF($K73="","",INDEX(מלאי!$C$2:$C$500,$K73))</f>
        <v/>
      </c>
      <c r="D73" s="2">
        <f>IF($K73="","",INDEX(מלאי!$Y$2:$Y$500,$K73))</f>
        <v/>
      </c>
      <c r="E73" s="2">
        <f>IF($K73="","",INDEX(מלאי!$Z$2:$Z$500,$K73))</f>
        <v/>
      </c>
      <c r="F73" s="2">
        <f>IF($K73="","",INDEX(מלאי!$AA$2:$AA$500,$K73))</f>
        <v/>
      </c>
      <c r="G73" s="3">
        <f>IF($K73="","",INDEX(מלאי!$F$2:$F$500,$K73))</f>
        <v/>
      </c>
      <c r="H73" s="3">
        <f>IF($K73="","",INDEX(מלאי!$AB$2:$AB$500,$K73))</f>
        <v/>
      </c>
      <c r="I73" s="2">
        <f>IF($K73="","",IF(AND(INDEX(מלאי!$AB$2:$AB$500,$K73)&lt;&gt;"",INDEX(מלאי!$AB$2:$AB$500,$K73)&lt;TODAY()),"באיחור!","תקין"))</f>
        <v/>
      </c>
      <c r="J73" s="2">
        <f>IF($K73="","",INDEX(מלאי!$AC$2:$AC$500,$K73))</f>
        <v/>
      </c>
      <c r="K7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69),"")</f>
        <v/>
      </c>
    </row>
    <row r="74">
      <c r="A74" s="4">
        <f>IF($K74="","",INDEX(מלאי!$D$2:$D$500,$K74))</f>
        <v/>
      </c>
      <c r="B74" s="4">
        <f>IF($K74="","",INDEX(מלאי!$B$2:$B$500,$K74))</f>
        <v/>
      </c>
      <c r="C74" s="4">
        <f>IF($K74="","",INDEX(מלאי!$C$2:$C$500,$K74))</f>
        <v/>
      </c>
      <c r="D74" s="4">
        <f>IF($K74="","",INDEX(מלאי!$Y$2:$Y$500,$K74))</f>
        <v/>
      </c>
      <c r="E74" s="4">
        <f>IF($K74="","",INDEX(מלאי!$Z$2:$Z$500,$K74))</f>
        <v/>
      </c>
      <c r="F74" s="4">
        <f>IF($K74="","",INDEX(מלאי!$AA$2:$AA$500,$K74))</f>
        <v/>
      </c>
      <c r="G74" s="5">
        <f>IF($K74="","",INDEX(מלאי!$F$2:$F$500,$K74))</f>
        <v/>
      </c>
      <c r="H74" s="5">
        <f>IF($K74="","",INDEX(מלאי!$AB$2:$AB$500,$K74))</f>
        <v/>
      </c>
      <c r="I74" s="4">
        <f>IF($K74="","",IF(AND(INDEX(מלאי!$AB$2:$AB$500,$K74)&lt;&gt;"",INDEX(מלאי!$AB$2:$AB$500,$K74)&lt;TODAY()),"באיחור!","תקין"))</f>
        <v/>
      </c>
      <c r="J74" s="4">
        <f>IF($K74="","",INDEX(מלאי!$AC$2:$AC$500,$K74))</f>
        <v/>
      </c>
      <c r="K74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70),"")</f>
        <v/>
      </c>
    </row>
    <row r="75">
      <c r="A75" s="2">
        <f>IF($K75="","",INDEX(מלאי!$D$2:$D$500,$K75))</f>
        <v/>
      </c>
      <c r="B75" s="2">
        <f>IF($K75="","",INDEX(מלאי!$B$2:$B$500,$K75))</f>
        <v/>
      </c>
      <c r="C75" s="2">
        <f>IF($K75="","",INDEX(מלאי!$C$2:$C$500,$K75))</f>
        <v/>
      </c>
      <c r="D75" s="2">
        <f>IF($K75="","",INDEX(מלאי!$Y$2:$Y$500,$K75))</f>
        <v/>
      </c>
      <c r="E75" s="2">
        <f>IF($K75="","",INDEX(מלאי!$Z$2:$Z$500,$K75))</f>
        <v/>
      </c>
      <c r="F75" s="2">
        <f>IF($K75="","",INDEX(מלאי!$AA$2:$AA$500,$K75))</f>
        <v/>
      </c>
      <c r="G75" s="3">
        <f>IF($K75="","",INDEX(מלאי!$F$2:$F$500,$K75))</f>
        <v/>
      </c>
      <c r="H75" s="3">
        <f>IF($K75="","",INDEX(מלאי!$AB$2:$AB$500,$K75))</f>
        <v/>
      </c>
      <c r="I75" s="2">
        <f>IF($K75="","",IF(AND(INDEX(מלאי!$AB$2:$AB$500,$K75)&lt;&gt;"",INDEX(מלאי!$AB$2:$AB$500,$K75)&lt;TODAY()),"באיחור!","תקין"))</f>
        <v/>
      </c>
      <c r="J75" s="2">
        <f>IF($K75="","",INDEX(מלאי!$AC$2:$AC$500,$K75))</f>
        <v/>
      </c>
      <c r="K7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71),"")</f>
        <v/>
      </c>
    </row>
    <row r="76">
      <c r="A76" s="4">
        <f>IF($K76="","",INDEX(מלאי!$D$2:$D$500,$K76))</f>
        <v/>
      </c>
      <c r="B76" s="4">
        <f>IF($K76="","",INDEX(מלאי!$B$2:$B$500,$K76))</f>
        <v/>
      </c>
      <c r="C76" s="4">
        <f>IF($K76="","",INDEX(מלאי!$C$2:$C$500,$K76))</f>
        <v/>
      </c>
      <c r="D76" s="4">
        <f>IF($K76="","",INDEX(מלאי!$Y$2:$Y$500,$K76))</f>
        <v/>
      </c>
      <c r="E76" s="4">
        <f>IF($K76="","",INDEX(מלאי!$Z$2:$Z$500,$K76))</f>
        <v/>
      </c>
      <c r="F76" s="4">
        <f>IF($K76="","",INDEX(מלאי!$AA$2:$AA$500,$K76))</f>
        <v/>
      </c>
      <c r="G76" s="5">
        <f>IF($K76="","",INDEX(מלאי!$F$2:$F$500,$K76))</f>
        <v/>
      </c>
      <c r="H76" s="5">
        <f>IF($K76="","",INDEX(מלאי!$AB$2:$AB$500,$K76))</f>
        <v/>
      </c>
      <c r="I76" s="4">
        <f>IF($K76="","",IF(AND(INDEX(מלאי!$AB$2:$AB$500,$K76)&lt;&gt;"",INDEX(מלאי!$AB$2:$AB$500,$K76)&lt;TODAY()),"באיחור!","תקין"))</f>
        <v/>
      </c>
      <c r="J76" s="4">
        <f>IF($K76="","",INDEX(מלאי!$AC$2:$AC$500,$K76))</f>
        <v/>
      </c>
      <c r="K76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72),"")</f>
        <v/>
      </c>
    </row>
    <row r="77">
      <c r="A77" s="2">
        <f>IF($K77="","",INDEX(מלאי!$D$2:$D$500,$K77))</f>
        <v/>
      </c>
      <c r="B77" s="2">
        <f>IF($K77="","",INDEX(מלאי!$B$2:$B$500,$K77))</f>
        <v/>
      </c>
      <c r="C77" s="2">
        <f>IF($K77="","",INDEX(מלאי!$C$2:$C$500,$K77))</f>
        <v/>
      </c>
      <c r="D77" s="2">
        <f>IF($K77="","",INDEX(מלאי!$Y$2:$Y$500,$K77))</f>
        <v/>
      </c>
      <c r="E77" s="2">
        <f>IF($K77="","",INDEX(מלאי!$Z$2:$Z$500,$K77))</f>
        <v/>
      </c>
      <c r="F77" s="2">
        <f>IF($K77="","",INDEX(מלאי!$AA$2:$AA$500,$K77))</f>
        <v/>
      </c>
      <c r="G77" s="3">
        <f>IF($K77="","",INDEX(מלאי!$F$2:$F$500,$K77))</f>
        <v/>
      </c>
      <c r="H77" s="3">
        <f>IF($K77="","",INDEX(מלאי!$AB$2:$AB$500,$K77))</f>
        <v/>
      </c>
      <c r="I77" s="2">
        <f>IF($K77="","",IF(AND(INDEX(מלאי!$AB$2:$AB$500,$K77)&lt;&gt;"",INDEX(מלאי!$AB$2:$AB$500,$K77)&lt;TODAY()),"באיחור!","תקין"))</f>
        <v/>
      </c>
      <c r="J77" s="2">
        <f>IF($K77="","",INDEX(מלאי!$AC$2:$AC$500,$K77))</f>
        <v/>
      </c>
      <c r="K7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73),"")</f>
        <v/>
      </c>
    </row>
    <row r="78">
      <c r="A78" s="4">
        <f>IF($K78="","",INDEX(מלאי!$D$2:$D$500,$K78))</f>
        <v/>
      </c>
      <c r="B78" s="4">
        <f>IF($K78="","",INDEX(מלאי!$B$2:$B$500,$K78))</f>
        <v/>
      </c>
      <c r="C78" s="4">
        <f>IF($K78="","",INDEX(מלאי!$C$2:$C$500,$K78))</f>
        <v/>
      </c>
      <c r="D78" s="4">
        <f>IF($K78="","",INDEX(מלאי!$Y$2:$Y$500,$K78))</f>
        <v/>
      </c>
      <c r="E78" s="4">
        <f>IF($K78="","",INDEX(מלאי!$Z$2:$Z$500,$K78))</f>
        <v/>
      </c>
      <c r="F78" s="4">
        <f>IF($K78="","",INDEX(מלאי!$AA$2:$AA$500,$K78))</f>
        <v/>
      </c>
      <c r="G78" s="5">
        <f>IF($K78="","",INDEX(מלאי!$F$2:$F$500,$K78))</f>
        <v/>
      </c>
      <c r="H78" s="5">
        <f>IF($K78="","",INDEX(מלאי!$AB$2:$AB$500,$K78))</f>
        <v/>
      </c>
      <c r="I78" s="4">
        <f>IF($K78="","",IF(AND(INDEX(מלאי!$AB$2:$AB$500,$K78)&lt;&gt;"",INDEX(מלאי!$AB$2:$AB$500,$K78)&lt;TODAY()),"באיחור!","תקין"))</f>
        <v/>
      </c>
      <c r="J78" s="4">
        <f>IF($K78="","",INDEX(מלאי!$AC$2:$AC$500,$K78))</f>
        <v/>
      </c>
      <c r="K78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74),"")</f>
        <v/>
      </c>
    </row>
    <row r="79">
      <c r="A79" s="2">
        <f>IF($K79="","",INDEX(מלאי!$D$2:$D$500,$K79))</f>
        <v/>
      </c>
      <c r="B79" s="2">
        <f>IF($K79="","",INDEX(מלאי!$B$2:$B$500,$K79))</f>
        <v/>
      </c>
      <c r="C79" s="2">
        <f>IF($K79="","",INDEX(מלאי!$C$2:$C$500,$K79))</f>
        <v/>
      </c>
      <c r="D79" s="2">
        <f>IF($K79="","",INDEX(מלאי!$Y$2:$Y$500,$K79))</f>
        <v/>
      </c>
      <c r="E79" s="2">
        <f>IF($K79="","",INDEX(מלאי!$Z$2:$Z$500,$K79))</f>
        <v/>
      </c>
      <c r="F79" s="2">
        <f>IF($K79="","",INDEX(מלאי!$AA$2:$AA$500,$K79))</f>
        <v/>
      </c>
      <c r="G79" s="3">
        <f>IF($K79="","",INDEX(מלאי!$F$2:$F$500,$K79))</f>
        <v/>
      </c>
      <c r="H79" s="3">
        <f>IF($K79="","",INDEX(מלאי!$AB$2:$AB$500,$K79))</f>
        <v/>
      </c>
      <c r="I79" s="2">
        <f>IF($K79="","",IF(AND(INDEX(מלאי!$AB$2:$AB$500,$K79)&lt;&gt;"",INDEX(מלאי!$AB$2:$AB$500,$K79)&lt;TODAY()),"באיחור!","תקין"))</f>
        <v/>
      </c>
      <c r="J79" s="2">
        <f>IF($K79="","",INDEX(מלאי!$AC$2:$AC$500,$K79))</f>
        <v/>
      </c>
      <c r="K7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75),"")</f>
        <v/>
      </c>
    </row>
    <row r="80">
      <c r="A80" s="4">
        <f>IF($K80="","",INDEX(מלאי!$D$2:$D$500,$K80))</f>
        <v/>
      </c>
      <c r="B80" s="4">
        <f>IF($K80="","",INDEX(מלאי!$B$2:$B$500,$K80))</f>
        <v/>
      </c>
      <c r="C80" s="4">
        <f>IF($K80="","",INDEX(מלאי!$C$2:$C$500,$K80))</f>
        <v/>
      </c>
      <c r="D80" s="4">
        <f>IF($K80="","",INDEX(מלאי!$Y$2:$Y$500,$K80))</f>
        <v/>
      </c>
      <c r="E80" s="4">
        <f>IF($K80="","",INDEX(מלאי!$Z$2:$Z$500,$K80))</f>
        <v/>
      </c>
      <c r="F80" s="4">
        <f>IF($K80="","",INDEX(מלאי!$AA$2:$AA$500,$K80))</f>
        <v/>
      </c>
      <c r="G80" s="5">
        <f>IF($K80="","",INDEX(מלאי!$F$2:$F$500,$K80))</f>
        <v/>
      </c>
      <c r="H80" s="5">
        <f>IF($K80="","",INDEX(מלאי!$AB$2:$AB$500,$K80))</f>
        <v/>
      </c>
      <c r="I80" s="4">
        <f>IF($K80="","",IF(AND(INDEX(מלאי!$AB$2:$AB$500,$K80)&lt;&gt;"",INDEX(מלאי!$AB$2:$AB$500,$K80)&lt;TODAY()),"באיחור!","תקין"))</f>
        <v/>
      </c>
      <c r="J80" s="4">
        <f>IF($K80="","",INDEX(מלאי!$AC$2:$AC$500,$K80))</f>
        <v/>
      </c>
      <c r="K80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76),"")</f>
        <v/>
      </c>
    </row>
    <row r="81">
      <c r="A81" s="2">
        <f>IF($K81="","",INDEX(מלאי!$D$2:$D$500,$K81))</f>
        <v/>
      </c>
      <c r="B81" s="2">
        <f>IF($K81="","",INDEX(מלאי!$B$2:$B$500,$K81))</f>
        <v/>
      </c>
      <c r="C81" s="2">
        <f>IF($K81="","",INDEX(מלאי!$C$2:$C$500,$K81))</f>
        <v/>
      </c>
      <c r="D81" s="2">
        <f>IF($K81="","",INDEX(מלאי!$Y$2:$Y$500,$K81))</f>
        <v/>
      </c>
      <c r="E81" s="2">
        <f>IF($K81="","",INDEX(מלאי!$Z$2:$Z$500,$K81))</f>
        <v/>
      </c>
      <c r="F81" s="2">
        <f>IF($K81="","",INDEX(מלאי!$AA$2:$AA$500,$K81))</f>
        <v/>
      </c>
      <c r="G81" s="3">
        <f>IF($K81="","",INDEX(מלאי!$F$2:$F$500,$K81))</f>
        <v/>
      </c>
      <c r="H81" s="3">
        <f>IF($K81="","",INDEX(מלאי!$AB$2:$AB$500,$K81))</f>
        <v/>
      </c>
      <c r="I81" s="2">
        <f>IF($K81="","",IF(AND(INDEX(מלאי!$AB$2:$AB$500,$K81)&lt;&gt;"",INDEX(מלאי!$AB$2:$AB$500,$K81)&lt;TODAY()),"באיחור!","תקין"))</f>
        <v/>
      </c>
      <c r="J81" s="2">
        <f>IF($K81="","",INDEX(מלאי!$AC$2:$AC$500,$K81))</f>
        <v/>
      </c>
      <c r="K8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77),"")</f>
        <v/>
      </c>
    </row>
    <row r="82">
      <c r="A82" s="4">
        <f>IF($K82="","",INDEX(מלאי!$D$2:$D$500,$K82))</f>
        <v/>
      </c>
      <c r="B82" s="4">
        <f>IF($K82="","",INDEX(מלאי!$B$2:$B$500,$K82))</f>
        <v/>
      </c>
      <c r="C82" s="4">
        <f>IF($K82="","",INDEX(מלאי!$C$2:$C$500,$K82))</f>
        <v/>
      </c>
      <c r="D82" s="4">
        <f>IF($K82="","",INDEX(מלאי!$Y$2:$Y$500,$K82))</f>
        <v/>
      </c>
      <c r="E82" s="4">
        <f>IF($K82="","",INDEX(מלאי!$Z$2:$Z$500,$K82))</f>
        <v/>
      </c>
      <c r="F82" s="4">
        <f>IF($K82="","",INDEX(מלאי!$AA$2:$AA$500,$K82))</f>
        <v/>
      </c>
      <c r="G82" s="5">
        <f>IF($K82="","",INDEX(מלאי!$F$2:$F$500,$K82))</f>
        <v/>
      </c>
      <c r="H82" s="5">
        <f>IF($K82="","",INDEX(מלאי!$AB$2:$AB$500,$K82))</f>
        <v/>
      </c>
      <c r="I82" s="4">
        <f>IF($K82="","",IF(AND(INDEX(מלאי!$AB$2:$AB$500,$K82)&lt;&gt;"",INDEX(מלאי!$AB$2:$AB$500,$K82)&lt;TODAY()),"באיחור!","תקין"))</f>
        <v/>
      </c>
      <c r="J82" s="4">
        <f>IF($K82="","",INDEX(מלאי!$AC$2:$AC$500,$K82))</f>
        <v/>
      </c>
      <c r="K82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78),"")</f>
        <v/>
      </c>
    </row>
    <row r="83">
      <c r="A83" s="2">
        <f>IF($K83="","",INDEX(מלאי!$D$2:$D$500,$K83))</f>
        <v/>
      </c>
      <c r="B83" s="2">
        <f>IF($K83="","",INDEX(מלאי!$B$2:$B$500,$K83))</f>
        <v/>
      </c>
      <c r="C83" s="2">
        <f>IF($K83="","",INDEX(מלאי!$C$2:$C$500,$K83))</f>
        <v/>
      </c>
      <c r="D83" s="2">
        <f>IF($K83="","",INDEX(מלאי!$Y$2:$Y$500,$K83))</f>
        <v/>
      </c>
      <c r="E83" s="2">
        <f>IF($K83="","",INDEX(מלאי!$Z$2:$Z$500,$K83))</f>
        <v/>
      </c>
      <c r="F83" s="2">
        <f>IF($K83="","",INDEX(מלאי!$AA$2:$AA$500,$K83))</f>
        <v/>
      </c>
      <c r="G83" s="3">
        <f>IF($K83="","",INDEX(מלאי!$F$2:$F$500,$K83))</f>
        <v/>
      </c>
      <c r="H83" s="3">
        <f>IF($K83="","",INDEX(מלאי!$AB$2:$AB$500,$K83))</f>
        <v/>
      </c>
      <c r="I83" s="2">
        <f>IF($K83="","",IF(AND(INDEX(מלאי!$AB$2:$AB$500,$K83)&lt;&gt;"",INDEX(מלאי!$AB$2:$AB$500,$K83)&lt;TODAY()),"באיחור!","תקין"))</f>
        <v/>
      </c>
      <c r="J83" s="2">
        <f>IF($K83="","",INDEX(מלאי!$AC$2:$AC$500,$K83))</f>
        <v/>
      </c>
      <c r="K8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79),"")</f>
        <v/>
      </c>
    </row>
    <row r="84">
      <c r="A84" s="4">
        <f>IF($K84="","",INDEX(מלאי!$D$2:$D$500,$K84))</f>
        <v/>
      </c>
      <c r="B84" s="4">
        <f>IF($K84="","",INDEX(מלאי!$B$2:$B$500,$K84))</f>
        <v/>
      </c>
      <c r="C84" s="4">
        <f>IF($K84="","",INDEX(מלאי!$C$2:$C$500,$K84))</f>
        <v/>
      </c>
      <c r="D84" s="4">
        <f>IF($K84="","",INDEX(מלאי!$Y$2:$Y$500,$K84))</f>
        <v/>
      </c>
      <c r="E84" s="4">
        <f>IF($K84="","",INDEX(מלאי!$Z$2:$Z$500,$K84))</f>
        <v/>
      </c>
      <c r="F84" s="4">
        <f>IF($K84="","",INDEX(מלאי!$AA$2:$AA$500,$K84))</f>
        <v/>
      </c>
      <c r="G84" s="5">
        <f>IF($K84="","",INDEX(מלאי!$F$2:$F$500,$K84))</f>
        <v/>
      </c>
      <c r="H84" s="5">
        <f>IF($K84="","",INDEX(מלאי!$AB$2:$AB$500,$K84))</f>
        <v/>
      </c>
      <c r="I84" s="4">
        <f>IF($K84="","",IF(AND(INDEX(מלאי!$AB$2:$AB$500,$K84)&lt;&gt;"",INDEX(מלאי!$AB$2:$AB$500,$K84)&lt;TODAY()),"באיחור!","תקין"))</f>
        <v/>
      </c>
      <c r="J84" s="4">
        <f>IF($K84="","",INDEX(מלאי!$AC$2:$AC$500,$K84))</f>
        <v/>
      </c>
      <c r="K84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80),"")</f>
        <v/>
      </c>
    </row>
    <row r="85">
      <c r="A85" s="2">
        <f>IF($K85="","",INDEX(מלאי!$D$2:$D$500,$K85))</f>
        <v/>
      </c>
      <c r="B85" s="2">
        <f>IF($K85="","",INDEX(מלאי!$B$2:$B$500,$K85))</f>
        <v/>
      </c>
      <c r="C85" s="2">
        <f>IF($K85="","",INDEX(מלאי!$C$2:$C$500,$K85))</f>
        <v/>
      </c>
      <c r="D85" s="2">
        <f>IF($K85="","",INDEX(מלאי!$Y$2:$Y$500,$K85))</f>
        <v/>
      </c>
      <c r="E85" s="2">
        <f>IF($K85="","",INDEX(מלאי!$Z$2:$Z$500,$K85))</f>
        <v/>
      </c>
      <c r="F85" s="2">
        <f>IF($K85="","",INDEX(מלאי!$AA$2:$AA$500,$K85))</f>
        <v/>
      </c>
      <c r="G85" s="3">
        <f>IF($K85="","",INDEX(מלאי!$F$2:$F$500,$K85))</f>
        <v/>
      </c>
      <c r="H85" s="3">
        <f>IF($K85="","",INDEX(מלאי!$AB$2:$AB$500,$K85))</f>
        <v/>
      </c>
      <c r="I85" s="2">
        <f>IF($K85="","",IF(AND(INDEX(מלאי!$AB$2:$AB$500,$K85)&lt;&gt;"",INDEX(מלאי!$AB$2:$AB$500,$K85)&lt;TODAY()),"באיחור!","תקין"))</f>
        <v/>
      </c>
      <c r="J85" s="2">
        <f>IF($K85="","",INDEX(מלאי!$AC$2:$AC$500,$K85))</f>
        <v/>
      </c>
      <c r="K8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81),"")</f>
        <v/>
      </c>
    </row>
    <row r="86">
      <c r="A86" s="4">
        <f>IF($K86="","",INDEX(מלאי!$D$2:$D$500,$K86))</f>
        <v/>
      </c>
      <c r="B86" s="4">
        <f>IF($K86="","",INDEX(מלאי!$B$2:$B$500,$K86))</f>
        <v/>
      </c>
      <c r="C86" s="4">
        <f>IF($K86="","",INDEX(מלאי!$C$2:$C$500,$K86))</f>
        <v/>
      </c>
      <c r="D86" s="4">
        <f>IF($K86="","",INDEX(מלאי!$Y$2:$Y$500,$K86))</f>
        <v/>
      </c>
      <c r="E86" s="4">
        <f>IF($K86="","",INDEX(מלאי!$Z$2:$Z$500,$K86))</f>
        <v/>
      </c>
      <c r="F86" s="4">
        <f>IF($K86="","",INDEX(מלאי!$AA$2:$AA$500,$K86))</f>
        <v/>
      </c>
      <c r="G86" s="5">
        <f>IF($K86="","",INDEX(מלאי!$F$2:$F$500,$K86))</f>
        <v/>
      </c>
      <c r="H86" s="5">
        <f>IF($K86="","",INDEX(מלאי!$AB$2:$AB$500,$K86))</f>
        <v/>
      </c>
      <c r="I86" s="4">
        <f>IF($K86="","",IF(AND(INDEX(מלאי!$AB$2:$AB$500,$K86)&lt;&gt;"",INDEX(מלאי!$AB$2:$AB$500,$K86)&lt;TODAY()),"באיחור!","תקין"))</f>
        <v/>
      </c>
      <c r="J86" s="4">
        <f>IF($K86="","",INDEX(מלאי!$AC$2:$AC$500,$K86))</f>
        <v/>
      </c>
      <c r="K86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82),"")</f>
        <v/>
      </c>
    </row>
    <row r="87">
      <c r="A87" s="2">
        <f>IF($K87="","",INDEX(מלאי!$D$2:$D$500,$K87))</f>
        <v/>
      </c>
      <c r="B87" s="2">
        <f>IF($K87="","",INDEX(מלאי!$B$2:$B$500,$K87))</f>
        <v/>
      </c>
      <c r="C87" s="2">
        <f>IF($K87="","",INDEX(מלאי!$C$2:$C$500,$K87))</f>
        <v/>
      </c>
      <c r="D87" s="2">
        <f>IF($K87="","",INDEX(מלאי!$Y$2:$Y$500,$K87))</f>
        <v/>
      </c>
      <c r="E87" s="2">
        <f>IF($K87="","",INDEX(מלאי!$Z$2:$Z$500,$K87))</f>
        <v/>
      </c>
      <c r="F87" s="2">
        <f>IF($K87="","",INDEX(מלאי!$AA$2:$AA$500,$K87))</f>
        <v/>
      </c>
      <c r="G87" s="3">
        <f>IF($K87="","",INDEX(מלאי!$F$2:$F$500,$K87))</f>
        <v/>
      </c>
      <c r="H87" s="3">
        <f>IF($K87="","",INDEX(מלאי!$AB$2:$AB$500,$K87))</f>
        <v/>
      </c>
      <c r="I87" s="2">
        <f>IF($K87="","",IF(AND(INDEX(מלאי!$AB$2:$AB$500,$K87)&lt;&gt;"",INDEX(מלאי!$AB$2:$AB$500,$K87)&lt;TODAY()),"באיחור!","תקין"))</f>
        <v/>
      </c>
      <c r="J87" s="2">
        <f>IF($K87="","",INDEX(מלאי!$AC$2:$AC$500,$K87))</f>
        <v/>
      </c>
      <c r="K8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83),"")</f>
        <v/>
      </c>
    </row>
    <row r="88">
      <c r="A88" s="4">
        <f>IF($K88="","",INDEX(מלאי!$D$2:$D$500,$K88))</f>
        <v/>
      </c>
      <c r="B88" s="4">
        <f>IF($K88="","",INDEX(מלאי!$B$2:$B$500,$K88))</f>
        <v/>
      </c>
      <c r="C88" s="4">
        <f>IF($K88="","",INDEX(מלאי!$C$2:$C$500,$K88))</f>
        <v/>
      </c>
      <c r="D88" s="4">
        <f>IF($K88="","",INDEX(מלאי!$Y$2:$Y$500,$K88))</f>
        <v/>
      </c>
      <c r="E88" s="4">
        <f>IF($K88="","",INDEX(מלאי!$Z$2:$Z$500,$K88))</f>
        <v/>
      </c>
      <c r="F88" s="4">
        <f>IF($K88="","",INDEX(מלאי!$AA$2:$AA$500,$K88))</f>
        <v/>
      </c>
      <c r="G88" s="5">
        <f>IF($K88="","",INDEX(מלאי!$F$2:$F$500,$K88))</f>
        <v/>
      </c>
      <c r="H88" s="5">
        <f>IF($K88="","",INDEX(מלאי!$AB$2:$AB$500,$K88))</f>
        <v/>
      </c>
      <c r="I88" s="4">
        <f>IF($K88="","",IF(AND(INDEX(מלאי!$AB$2:$AB$500,$K88)&lt;&gt;"",INDEX(מלאי!$AB$2:$AB$500,$K88)&lt;TODAY()),"באיחור!","תקין"))</f>
        <v/>
      </c>
      <c r="J88" s="4">
        <f>IF($K88="","",INDEX(מלאי!$AC$2:$AC$500,$K88))</f>
        <v/>
      </c>
      <c r="K88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84),"")</f>
        <v/>
      </c>
    </row>
    <row r="89">
      <c r="A89" s="2">
        <f>IF($K89="","",INDEX(מלאי!$D$2:$D$500,$K89))</f>
        <v/>
      </c>
      <c r="B89" s="2">
        <f>IF($K89="","",INDEX(מלאי!$B$2:$B$500,$K89))</f>
        <v/>
      </c>
      <c r="C89" s="2">
        <f>IF($K89="","",INDEX(מלאי!$C$2:$C$500,$K89))</f>
        <v/>
      </c>
      <c r="D89" s="2">
        <f>IF($K89="","",INDEX(מלאי!$Y$2:$Y$500,$K89))</f>
        <v/>
      </c>
      <c r="E89" s="2">
        <f>IF($K89="","",INDEX(מלאי!$Z$2:$Z$500,$K89))</f>
        <v/>
      </c>
      <c r="F89" s="2">
        <f>IF($K89="","",INDEX(מלאי!$AA$2:$AA$500,$K89))</f>
        <v/>
      </c>
      <c r="G89" s="3">
        <f>IF($K89="","",INDEX(מלאי!$F$2:$F$500,$K89))</f>
        <v/>
      </c>
      <c r="H89" s="3">
        <f>IF($K89="","",INDEX(מלאי!$AB$2:$AB$500,$K89))</f>
        <v/>
      </c>
      <c r="I89" s="2">
        <f>IF($K89="","",IF(AND(INDEX(מלאי!$AB$2:$AB$500,$K89)&lt;&gt;"",INDEX(מלאי!$AB$2:$AB$500,$K89)&lt;TODAY()),"באיחור!","תקין"))</f>
        <v/>
      </c>
      <c r="J89" s="2">
        <f>IF($K89="","",INDEX(מלאי!$AC$2:$AC$500,$K89))</f>
        <v/>
      </c>
      <c r="K8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85),"")</f>
        <v/>
      </c>
    </row>
    <row r="90">
      <c r="A90" s="4">
        <f>IF($K90="","",INDEX(מלאי!$D$2:$D$500,$K90))</f>
        <v/>
      </c>
      <c r="B90" s="4">
        <f>IF($K90="","",INDEX(מלאי!$B$2:$B$500,$K90))</f>
        <v/>
      </c>
      <c r="C90" s="4">
        <f>IF($K90="","",INDEX(מלאי!$C$2:$C$500,$K90))</f>
        <v/>
      </c>
      <c r="D90" s="4">
        <f>IF($K90="","",INDEX(מלאי!$Y$2:$Y$500,$K90))</f>
        <v/>
      </c>
      <c r="E90" s="4">
        <f>IF($K90="","",INDEX(מלאי!$Z$2:$Z$500,$K90))</f>
        <v/>
      </c>
      <c r="F90" s="4">
        <f>IF($K90="","",INDEX(מלאי!$AA$2:$AA$500,$K90))</f>
        <v/>
      </c>
      <c r="G90" s="5">
        <f>IF($K90="","",INDEX(מלאי!$F$2:$F$500,$K90))</f>
        <v/>
      </c>
      <c r="H90" s="5">
        <f>IF($K90="","",INDEX(מלאי!$AB$2:$AB$500,$K90))</f>
        <v/>
      </c>
      <c r="I90" s="4">
        <f>IF($K90="","",IF(AND(INDEX(מלאי!$AB$2:$AB$500,$K90)&lt;&gt;"",INDEX(מלאי!$AB$2:$AB$500,$K90)&lt;TODAY()),"באיחור!","תקין"))</f>
        <v/>
      </c>
      <c r="J90" s="4">
        <f>IF($K90="","",INDEX(מלאי!$AC$2:$AC$500,$K90))</f>
        <v/>
      </c>
      <c r="K90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86),"")</f>
        <v/>
      </c>
    </row>
    <row r="91">
      <c r="A91" s="2">
        <f>IF($K91="","",INDEX(מלאי!$D$2:$D$500,$K91))</f>
        <v/>
      </c>
      <c r="B91" s="2">
        <f>IF($K91="","",INDEX(מלאי!$B$2:$B$500,$K91))</f>
        <v/>
      </c>
      <c r="C91" s="2">
        <f>IF($K91="","",INDEX(מלאי!$C$2:$C$500,$K91))</f>
        <v/>
      </c>
      <c r="D91" s="2">
        <f>IF($K91="","",INDEX(מלאי!$Y$2:$Y$500,$K91))</f>
        <v/>
      </c>
      <c r="E91" s="2">
        <f>IF($K91="","",INDEX(מלאי!$Z$2:$Z$500,$K91))</f>
        <v/>
      </c>
      <c r="F91" s="2">
        <f>IF($K91="","",INDEX(מלאי!$AA$2:$AA$500,$K91))</f>
        <v/>
      </c>
      <c r="G91" s="3">
        <f>IF($K91="","",INDEX(מלאי!$F$2:$F$500,$K91))</f>
        <v/>
      </c>
      <c r="H91" s="3">
        <f>IF($K91="","",INDEX(מלאי!$AB$2:$AB$500,$K91))</f>
        <v/>
      </c>
      <c r="I91" s="2">
        <f>IF($K91="","",IF(AND(INDEX(מלאי!$AB$2:$AB$500,$K91)&lt;&gt;"",INDEX(מלאי!$AB$2:$AB$500,$K91)&lt;TODAY()),"באיחור!","תקין"))</f>
        <v/>
      </c>
      <c r="J91" s="2">
        <f>IF($K91="","",INDEX(מלאי!$AC$2:$AC$500,$K91))</f>
        <v/>
      </c>
      <c r="K9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87),"")</f>
        <v/>
      </c>
    </row>
    <row r="92">
      <c r="A92" s="4">
        <f>IF($K92="","",INDEX(מלאי!$D$2:$D$500,$K92))</f>
        <v/>
      </c>
      <c r="B92" s="4">
        <f>IF($K92="","",INDEX(מלאי!$B$2:$B$500,$K92))</f>
        <v/>
      </c>
      <c r="C92" s="4">
        <f>IF($K92="","",INDEX(מלאי!$C$2:$C$500,$K92))</f>
        <v/>
      </c>
      <c r="D92" s="4">
        <f>IF($K92="","",INDEX(מלאי!$Y$2:$Y$500,$K92))</f>
        <v/>
      </c>
      <c r="E92" s="4">
        <f>IF($K92="","",INDEX(מלאי!$Z$2:$Z$500,$K92))</f>
        <v/>
      </c>
      <c r="F92" s="4">
        <f>IF($K92="","",INDEX(מלאי!$AA$2:$AA$500,$K92))</f>
        <v/>
      </c>
      <c r="G92" s="5">
        <f>IF($K92="","",INDEX(מלאי!$F$2:$F$500,$K92))</f>
        <v/>
      </c>
      <c r="H92" s="5">
        <f>IF($K92="","",INDEX(מלאי!$AB$2:$AB$500,$K92))</f>
        <v/>
      </c>
      <c r="I92" s="4">
        <f>IF($K92="","",IF(AND(INDEX(מלאי!$AB$2:$AB$500,$K92)&lt;&gt;"",INDEX(מלאי!$AB$2:$AB$500,$K92)&lt;TODAY()),"באיחור!","תקין"))</f>
        <v/>
      </c>
      <c r="J92" s="4">
        <f>IF($K92="","",INDEX(מלאי!$AC$2:$AC$500,$K92))</f>
        <v/>
      </c>
      <c r="K92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88),"")</f>
        <v/>
      </c>
    </row>
    <row r="93">
      <c r="A93" s="2">
        <f>IF($K93="","",INDEX(מלאי!$D$2:$D$500,$K93))</f>
        <v/>
      </c>
      <c r="B93" s="2">
        <f>IF($K93="","",INDEX(מלאי!$B$2:$B$500,$K93))</f>
        <v/>
      </c>
      <c r="C93" s="2">
        <f>IF($K93="","",INDEX(מלאי!$C$2:$C$500,$K93))</f>
        <v/>
      </c>
      <c r="D93" s="2">
        <f>IF($K93="","",INDEX(מלאי!$Y$2:$Y$500,$K93))</f>
        <v/>
      </c>
      <c r="E93" s="2">
        <f>IF($K93="","",INDEX(מלאי!$Z$2:$Z$500,$K93))</f>
        <v/>
      </c>
      <c r="F93" s="2">
        <f>IF($K93="","",INDEX(מלאי!$AA$2:$AA$500,$K93))</f>
        <v/>
      </c>
      <c r="G93" s="3">
        <f>IF($K93="","",INDEX(מלאי!$F$2:$F$500,$K93))</f>
        <v/>
      </c>
      <c r="H93" s="3">
        <f>IF($K93="","",INDEX(מלאי!$AB$2:$AB$500,$K93))</f>
        <v/>
      </c>
      <c r="I93" s="2">
        <f>IF($K93="","",IF(AND(INDEX(מלאי!$AB$2:$AB$500,$K93)&lt;&gt;"",INDEX(מלאי!$AB$2:$AB$500,$K93)&lt;TODAY()),"באיחור!","תקין"))</f>
        <v/>
      </c>
      <c r="J93" s="2">
        <f>IF($K93="","",INDEX(מלאי!$AC$2:$AC$500,$K93))</f>
        <v/>
      </c>
      <c r="K9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89),"")</f>
        <v/>
      </c>
    </row>
    <row r="94">
      <c r="A94" s="4">
        <f>IF($K94="","",INDEX(מלאי!$D$2:$D$500,$K94))</f>
        <v/>
      </c>
      <c r="B94" s="4">
        <f>IF($K94="","",INDEX(מלאי!$B$2:$B$500,$K94))</f>
        <v/>
      </c>
      <c r="C94" s="4">
        <f>IF($K94="","",INDEX(מלאי!$C$2:$C$500,$K94))</f>
        <v/>
      </c>
      <c r="D94" s="4">
        <f>IF($K94="","",INDEX(מלאי!$Y$2:$Y$500,$K94))</f>
        <v/>
      </c>
      <c r="E94" s="4">
        <f>IF($K94="","",INDEX(מלאי!$Z$2:$Z$500,$K94))</f>
        <v/>
      </c>
      <c r="F94" s="4">
        <f>IF($K94="","",INDEX(מלאי!$AA$2:$AA$500,$K94))</f>
        <v/>
      </c>
      <c r="G94" s="5">
        <f>IF($K94="","",INDEX(מלאי!$F$2:$F$500,$K94))</f>
        <v/>
      </c>
      <c r="H94" s="5">
        <f>IF($K94="","",INDEX(מלאי!$AB$2:$AB$500,$K94))</f>
        <v/>
      </c>
      <c r="I94" s="4">
        <f>IF($K94="","",IF(AND(INDEX(מלאי!$AB$2:$AB$500,$K94)&lt;&gt;"",INDEX(מלאי!$AB$2:$AB$500,$K94)&lt;TODAY()),"באיחור!","תקין"))</f>
        <v/>
      </c>
      <c r="J94" s="4">
        <f>IF($K94="","",INDEX(מלאי!$AC$2:$AC$500,$K94))</f>
        <v/>
      </c>
      <c r="K94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90),"")</f>
        <v/>
      </c>
    </row>
    <row r="95">
      <c r="A95" s="2">
        <f>IF($K95="","",INDEX(מלאי!$D$2:$D$500,$K95))</f>
        <v/>
      </c>
      <c r="B95" s="2">
        <f>IF($K95="","",INDEX(מלאי!$B$2:$B$500,$K95))</f>
        <v/>
      </c>
      <c r="C95" s="2">
        <f>IF($K95="","",INDEX(מלאי!$C$2:$C$500,$K95))</f>
        <v/>
      </c>
      <c r="D95" s="2">
        <f>IF($K95="","",INDEX(מלאי!$Y$2:$Y$500,$K95))</f>
        <v/>
      </c>
      <c r="E95" s="2">
        <f>IF($K95="","",INDEX(מלאי!$Z$2:$Z$500,$K95))</f>
        <v/>
      </c>
      <c r="F95" s="2">
        <f>IF($K95="","",INDEX(מלאי!$AA$2:$AA$500,$K95))</f>
        <v/>
      </c>
      <c r="G95" s="3">
        <f>IF($K95="","",INDEX(מלאי!$F$2:$F$500,$K95))</f>
        <v/>
      </c>
      <c r="H95" s="3">
        <f>IF($K95="","",INDEX(מלאי!$AB$2:$AB$500,$K95))</f>
        <v/>
      </c>
      <c r="I95" s="2">
        <f>IF($K95="","",IF(AND(INDEX(מלאי!$AB$2:$AB$500,$K95)&lt;&gt;"",INDEX(מלאי!$AB$2:$AB$500,$K95)&lt;TODAY()),"באיחור!","תקין"))</f>
        <v/>
      </c>
      <c r="J95" s="2">
        <f>IF($K95="","",INDEX(מלאי!$AC$2:$AC$500,$K95))</f>
        <v/>
      </c>
      <c r="K9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91),"")</f>
        <v/>
      </c>
    </row>
    <row r="96">
      <c r="A96" s="4">
        <f>IF($K96="","",INDEX(מלאי!$D$2:$D$500,$K96))</f>
        <v/>
      </c>
      <c r="B96" s="4">
        <f>IF($K96="","",INDEX(מלאי!$B$2:$B$500,$K96))</f>
        <v/>
      </c>
      <c r="C96" s="4">
        <f>IF($K96="","",INDEX(מלאי!$C$2:$C$500,$K96))</f>
        <v/>
      </c>
      <c r="D96" s="4">
        <f>IF($K96="","",INDEX(מלאי!$Y$2:$Y$500,$K96))</f>
        <v/>
      </c>
      <c r="E96" s="4">
        <f>IF($K96="","",INDEX(מלאי!$Z$2:$Z$500,$K96))</f>
        <v/>
      </c>
      <c r="F96" s="4">
        <f>IF($K96="","",INDEX(מלאי!$AA$2:$AA$500,$K96))</f>
        <v/>
      </c>
      <c r="G96" s="5">
        <f>IF($K96="","",INDEX(מלאי!$F$2:$F$500,$K96))</f>
        <v/>
      </c>
      <c r="H96" s="5">
        <f>IF($K96="","",INDEX(מלאי!$AB$2:$AB$500,$K96))</f>
        <v/>
      </c>
      <c r="I96" s="4">
        <f>IF($K96="","",IF(AND(INDEX(מלאי!$AB$2:$AB$500,$K96)&lt;&gt;"",INDEX(מלאי!$AB$2:$AB$500,$K96)&lt;TODAY()),"באיחור!","תקין"))</f>
        <v/>
      </c>
      <c r="J96" s="4">
        <f>IF($K96="","",INDEX(מלאי!$AC$2:$AC$500,$K96))</f>
        <v/>
      </c>
      <c r="K96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92),"")</f>
        <v/>
      </c>
    </row>
    <row r="97">
      <c r="A97" s="2">
        <f>IF($K97="","",INDEX(מלאי!$D$2:$D$500,$K97))</f>
        <v/>
      </c>
      <c r="B97" s="2">
        <f>IF($K97="","",INDEX(מלאי!$B$2:$B$500,$K97))</f>
        <v/>
      </c>
      <c r="C97" s="2">
        <f>IF($K97="","",INDEX(מלאי!$C$2:$C$500,$K97))</f>
        <v/>
      </c>
      <c r="D97" s="2">
        <f>IF($K97="","",INDEX(מלאי!$Y$2:$Y$500,$K97))</f>
        <v/>
      </c>
      <c r="E97" s="2">
        <f>IF($K97="","",INDEX(מלאי!$Z$2:$Z$500,$K97))</f>
        <v/>
      </c>
      <c r="F97" s="2">
        <f>IF($K97="","",INDEX(מלאי!$AA$2:$AA$500,$K97))</f>
        <v/>
      </c>
      <c r="G97" s="3">
        <f>IF($K97="","",INDEX(מלאי!$F$2:$F$500,$K97))</f>
        <v/>
      </c>
      <c r="H97" s="3">
        <f>IF($K97="","",INDEX(מלאי!$AB$2:$AB$500,$K97))</f>
        <v/>
      </c>
      <c r="I97" s="2">
        <f>IF($K97="","",IF(AND(INDEX(מלאי!$AB$2:$AB$500,$K97)&lt;&gt;"",INDEX(מלאי!$AB$2:$AB$500,$K97)&lt;TODAY()),"באיחור!","תקין"))</f>
        <v/>
      </c>
      <c r="J97" s="2">
        <f>IF($K97="","",INDEX(מלאי!$AC$2:$AC$500,$K97))</f>
        <v/>
      </c>
      <c r="K9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93),"")</f>
        <v/>
      </c>
    </row>
    <row r="98">
      <c r="A98" s="4">
        <f>IF($K98="","",INDEX(מלאי!$D$2:$D$500,$K98))</f>
        <v/>
      </c>
      <c r="B98" s="4">
        <f>IF($K98="","",INDEX(מלאי!$B$2:$B$500,$K98))</f>
        <v/>
      </c>
      <c r="C98" s="4">
        <f>IF($K98="","",INDEX(מלאי!$C$2:$C$500,$K98))</f>
        <v/>
      </c>
      <c r="D98" s="4">
        <f>IF($K98="","",INDEX(מלאי!$Y$2:$Y$500,$K98))</f>
        <v/>
      </c>
      <c r="E98" s="4">
        <f>IF($K98="","",INDEX(מלאי!$Z$2:$Z$500,$K98))</f>
        <v/>
      </c>
      <c r="F98" s="4">
        <f>IF($K98="","",INDEX(מלאי!$AA$2:$AA$500,$K98))</f>
        <v/>
      </c>
      <c r="G98" s="5">
        <f>IF($K98="","",INDEX(מלאי!$F$2:$F$500,$K98))</f>
        <v/>
      </c>
      <c r="H98" s="5">
        <f>IF($K98="","",INDEX(מלאי!$AB$2:$AB$500,$K98))</f>
        <v/>
      </c>
      <c r="I98" s="4">
        <f>IF($K98="","",IF(AND(INDEX(מלאי!$AB$2:$AB$500,$K98)&lt;&gt;"",INDEX(מלאי!$AB$2:$AB$500,$K98)&lt;TODAY()),"באיחור!","תקין"))</f>
        <v/>
      </c>
      <c r="J98" s="4">
        <f>IF($K98="","",INDEX(מלאי!$AC$2:$AC$500,$K98))</f>
        <v/>
      </c>
      <c r="K98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94),"")</f>
        <v/>
      </c>
    </row>
    <row r="99">
      <c r="A99" s="2">
        <f>IF($K99="","",INDEX(מלאי!$D$2:$D$500,$K99))</f>
        <v/>
      </c>
      <c r="B99" s="2">
        <f>IF($K99="","",INDEX(מלאי!$B$2:$B$500,$K99))</f>
        <v/>
      </c>
      <c r="C99" s="2">
        <f>IF($K99="","",INDEX(מלאי!$C$2:$C$500,$K99))</f>
        <v/>
      </c>
      <c r="D99" s="2">
        <f>IF($K99="","",INDEX(מלאי!$Y$2:$Y$500,$K99))</f>
        <v/>
      </c>
      <c r="E99" s="2">
        <f>IF($K99="","",INDEX(מלאי!$Z$2:$Z$500,$K99))</f>
        <v/>
      </c>
      <c r="F99" s="2">
        <f>IF($K99="","",INDEX(מלאי!$AA$2:$AA$500,$K99))</f>
        <v/>
      </c>
      <c r="G99" s="3">
        <f>IF($K99="","",INDEX(מלאי!$F$2:$F$500,$K99))</f>
        <v/>
      </c>
      <c r="H99" s="3">
        <f>IF($K99="","",INDEX(מלאי!$AB$2:$AB$500,$K99))</f>
        <v/>
      </c>
      <c r="I99" s="2">
        <f>IF($K99="","",IF(AND(INDEX(מלאי!$AB$2:$AB$500,$K99)&lt;&gt;"",INDEX(מלאי!$AB$2:$AB$500,$K99)&lt;TODAY()),"באיחור!","תקין"))</f>
        <v/>
      </c>
      <c r="J99" s="2">
        <f>IF($K99="","",INDEX(מלאי!$AC$2:$AC$500,$K99))</f>
        <v/>
      </c>
      <c r="K9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95),"")</f>
        <v/>
      </c>
    </row>
    <row r="100">
      <c r="A100" s="4">
        <f>IF($K100="","",INDEX(מלאי!$D$2:$D$500,$K100))</f>
        <v/>
      </c>
      <c r="B100" s="4">
        <f>IF($K100="","",INDEX(מלאי!$B$2:$B$500,$K100))</f>
        <v/>
      </c>
      <c r="C100" s="4">
        <f>IF($K100="","",INDEX(מלאי!$C$2:$C$500,$K100))</f>
        <v/>
      </c>
      <c r="D100" s="4">
        <f>IF($K100="","",INDEX(מלאי!$Y$2:$Y$500,$K100))</f>
        <v/>
      </c>
      <c r="E100" s="4">
        <f>IF($K100="","",INDEX(מלאי!$Z$2:$Z$500,$K100))</f>
        <v/>
      </c>
      <c r="F100" s="4">
        <f>IF($K100="","",INDEX(מלאי!$AA$2:$AA$500,$K100))</f>
        <v/>
      </c>
      <c r="G100" s="5">
        <f>IF($K100="","",INDEX(מלאי!$F$2:$F$500,$K100))</f>
        <v/>
      </c>
      <c r="H100" s="5">
        <f>IF($K100="","",INDEX(מלאי!$AB$2:$AB$500,$K100))</f>
        <v/>
      </c>
      <c r="I100" s="4">
        <f>IF($K100="","",IF(AND(INDEX(מלאי!$AB$2:$AB$500,$K100)&lt;&gt;"",INDEX(מלאי!$AB$2:$AB$500,$K100)&lt;TODAY()),"באיחור!","תקין"))</f>
        <v/>
      </c>
      <c r="J100" s="4">
        <f>IF($K100="","",INDEX(מלאי!$AC$2:$AC$500,$K100))</f>
        <v/>
      </c>
      <c r="K100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96),"")</f>
        <v/>
      </c>
    </row>
    <row r="101">
      <c r="A101" s="2">
        <f>IF($K101="","",INDEX(מלאי!$D$2:$D$500,$K101))</f>
        <v/>
      </c>
      <c r="B101" s="2">
        <f>IF($K101="","",INDEX(מלאי!$B$2:$B$500,$K101))</f>
        <v/>
      </c>
      <c r="C101" s="2">
        <f>IF($K101="","",INDEX(מלאי!$C$2:$C$500,$K101))</f>
        <v/>
      </c>
      <c r="D101" s="2">
        <f>IF($K101="","",INDEX(מלאי!$Y$2:$Y$500,$K101))</f>
        <v/>
      </c>
      <c r="E101" s="2">
        <f>IF($K101="","",INDEX(מלאי!$Z$2:$Z$500,$K101))</f>
        <v/>
      </c>
      <c r="F101" s="2">
        <f>IF($K101="","",INDEX(מלאי!$AA$2:$AA$500,$K101))</f>
        <v/>
      </c>
      <c r="G101" s="3">
        <f>IF($K101="","",INDEX(מלאי!$F$2:$F$500,$K101))</f>
        <v/>
      </c>
      <c r="H101" s="3">
        <f>IF($K101="","",INDEX(מלאי!$AB$2:$AB$500,$K101))</f>
        <v/>
      </c>
      <c r="I101" s="2">
        <f>IF($K101="","",IF(AND(INDEX(מלאי!$AB$2:$AB$500,$K101)&lt;&gt;"",INDEX(מלאי!$AB$2:$AB$500,$K101)&lt;TODAY()),"באיחור!","תקין"))</f>
        <v/>
      </c>
      <c r="J101" s="2">
        <f>IF($K101="","",INDEX(מלאי!$AC$2:$AC$500,$K101))</f>
        <v/>
      </c>
      <c r="K10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97),"")</f>
        <v/>
      </c>
    </row>
    <row r="102">
      <c r="A102" s="4">
        <f>IF($K102="","",INDEX(מלאי!$D$2:$D$500,$K102))</f>
        <v/>
      </c>
      <c r="B102" s="4">
        <f>IF($K102="","",INDEX(מלאי!$B$2:$B$500,$K102))</f>
        <v/>
      </c>
      <c r="C102" s="4">
        <f>IF($K102="","",INDEX(מלאי!$C$2:$C$500,$K102))</f>
        <v/>
      </c>
      <c r="D102" s="4">
        <f>IF($K102="","",INDEX(מלאי!$Y$2:$Y$500,$K102))</f>
        <v/>
      </c>
      <c r="E102" s="4">
        <f>IF($K102="","",INDEX(מלאי!$Z$2:$Z$500,$K102))</f>
        <v/>
      </c>
      <c r="F102" s="4">
        <f>IF($K102="","",INDEX(מלאי!$AA$2:$AA$500,$K102))</f>
        <v/>
      </c>
      <c r="G102" s="5">
        <f>IF($K102="","",INDEX(מלאי!$F$2:$F$500,$K102))</f>
        <v/>
      </c>
      <c r="H102" s="5">
        <f>IF($K102="","",INDEX(מלאי!$AB$2:$AB$500,$K102))</f>
        <v/>
      </c>
      <c r="I102" s="4">
        <f>IF($K102="","",IF(AND(INDEX(מלאי!$AB$2:$AB$500,$K102)&lt;&gt;"",INDEX(מלאי!$AB$2:$AB$500,$K102)&lt;TODAY()),"באיחור!","תקין"))</f>
        <v/>
      </c>
      <c r="J102" s="4">
        <f>IF($K102="","",INDEX(מלאי!$AC$2:$AC$500,$K102))</f>
        <v/>
      </c>
      <c r="K102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98),"")</f>
        <v/>
      </c>
    </row>
    <row r="103">
      <c r="A103" s="2">
        <f>IF($K103="","",INDEX(מלאי!$D$2:$D$500,$K103))</f>
        <v/>
      </c>
      <c r="B103" s="2">
        <f>IF($K103="","",INDEX(מלאי!$B$2:$B$500,$K103))</f>
        <v/>
      </c>
      <c r="C103" s="2">
        <f>IF($K103="","",INDEX(מלאי!$C$2:$C$500,$K103))</f>
        <v/>
      </c>
      <c r="D103" s="2">
        <f>IF($K103="","",INDEX(מלאי!$Y$2:$Y$500,$K103))</f>
        <v/>
      </c>
      <c r="E103" s="2">
        <f>IF($K103="","",INDEX(מלאי!$Z$2:$Z$500,$K103))</f>
        <v/>
      </c>
      <c r="F103" s="2">
        <f>IF($K103="","",INDEX(מלאי!$AA$2:$AA$500,$K103))</f>
        <v/>
      </c>
      <c r="G103" s="3">
        <f>IF($K103="","",INDEX(מלאי!$F$2:$F$500,$K103))</f>
        <v/>
      </c>
      <c r="H103" s="3">
        <f>IF($K103="","",INDEX(מלאי!$AB$2:$AB$500,$K103))</f>
        <v/>
      </c>
      <c r="I103" s="2">
        <f>IF($K103="","",IF(AND(INDEX(מלאי!$AB$2:$AB$500,$K103)&lt;&gt;"",INDEX(מלאי!$AB$2:$AB$500,$K103)&lt;TODAY()),"באיחור!","תקין"))</f>
        <v/>
      </c>
      <c r="J103" s="2">
        <f>IF($K103="","",INDEX(מלאי!$AC$2:$AC$500,$K103))</f>
        <v/>
      </c>
      <c r="K10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99),"")</f>
        <v/>
      </c>
    </row>
    <row r="104">
      <c r="A104" s="4">
        <f>IF($K104="","",INDEX(מלאי!$D$2:$D$500,$K104))</f>
        <v/>
      </c>
      <c r="B104" s="4">
        <f>IF($K104="","",INDEX(מלאי!$B$2:$B$500,$K104))</f>
        <v/>
      </c>
      <c r="C104" s="4">
        <f>IF($K104="","",INDEX(מלאי!$C$2:$C$500,$K104))</f>
        <v/>
      </c>
      <c r="D104" s="4">
        <f>IF($K104="","",INDEX(מלאי!$Y$2:$Y$500,$K104))</f>
        <v/>
      </c>
      <c r="E104" s="4">
        <f>IF($K104="","",INDEX(מלאי!$Z$2:$Z$500,$K104))</f>
        <v/>
      </c>
      <c r="F104" s="4">
        <f>IF($K104="","",INDEX(מלאי!$AA$2:$AA$500,$K104))</f>
        <v/>
      </c>
      <c r="G104" s="5">
        <f>IF($K104="","",INDEX(מלאי!$F$2:$F$500,$K104))</f>
        <v/>
      </c>
      <c r="H104" s="5">
        <f>IF($K104="","",INDEX(מלאי!$AB$2:$AB$500,$K104))</f>
        <v/>
      </c>
      <c r="I104" s="4">
        <f>IF($K104="","",IF(AND(INDEX(מלאי!$AB$2:$AB$500,$K104)&lt;&gt;"",INDEX(מלאי!$AB$2:$AB$500,$K104)&lt;TODAY()),"באיחור!","תקין"))</f>
        <v/>
      </c>
      <c r="J104" s="4">
        <f>IF($K104="","",INDEX(מלאי!$AC$2:$AC$500,$K104))</f>
        <v/>
      </c>
      <c r="K104" s="4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100),"")</f>
        <v/>
      </c>
    </row>
  </sheetData>
  <conditionalFormatting sqref="I5:I104">
    <cfRule type="expression" priority="1" dxfId="1">
      <formula>I5="באיחור!"</formula>
    </cfRule>
  </conditionalFormatting>
  <conditionalFormatting sqref="A5:J104">
    <cfRule type="expression" priority="2" dxfId="2">
      <formula>$I5="באיחור!"</formula>
    </cfRule>
  </conditionalFormatting>
  <dataValidations count="1">
    <dataValidation sqref="D2" showDropDown="0" showInputMessage="0" showErrorMessage="0" allowBlank="1" type="list">
      <formula1>כן_לא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23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סביבה</t>
        </is>
      </c>
    </row>
    <row r="2">
      <c r="A2" s="2" t="inlineStr">
        <is>
          <t>מדברי</t>
        </is>
      </c>
    </row>
    <row r="3">
      <c r="A3" s="4" t="inlineStr">
        <is>
          <t>מיוער</t>
        </is>
      </c>
    </row>
    <row r="4">
      <c r="A4" s="2" t="inlineStr">
        <is>
          <t>שלג</t>
        </is>
      </c>
    </row>
    <row r="5">
      <c r="A5" s="4" t="inlineStr">
        <is>
          <t>ימי</t>
        </is>
      </c>
    </row>
    <row r="6">
      <c r="A6" s="2" t="inlineStr">
        <is>
          <t>מבולדר/שטח בנוי</t>
        </is>
      </c>
    </row>
    <row r="7">
      <c r="A7" s="4" t="inlineStr">
        <is>
          <t>אחר</t>
        </is>
      </c>
    </row>
    <row r="10">
      <c r="A10" s="1" t="inlineStr">
        <is>
          <t>הדפס</t>
        </is>
      </c>
      <c r="B10" s="1" t="inlineStr">
        <is>
          <t>סביבה ראשית</t>
        </is>
      </c>
      <c r="C10" s="1" t="inlineStr">
        <is>
          <t>סביבה משנית</t>
        </is>
      </c>
      <c r="D10" s="1" t="inlineStr">
        <is>
          <t>תמונה</t>
        </is>
      </c>
    </row>
    <row r="11">
      <c r="A11" s="2" t="inlineStr">
        <is>
          <t>Desert</t>
        </is>
      </c>
      <c r="B11" s="2" t="inlineStr">
        <is>
          <t>מדברי</t>
        </is>
      </c>
      <c r="C11" s="2" t="n"/>
      <c r="D11" s="2" t="n"/>
    </row>
    <row r="12">
      <c r="A12" s="4" t="inlineStr">
        <is>
          <t>Desert-Green</t>
        </is>
      </c>
      <c r="B12" s="4" t="inlineStr">
        <is>
          <t>מדברי</t>
        </is>
      </c>
      <c r="C12" s="4" t="n"/>
      <c r="D12" s="4" t="n"/>
    </row>
    <row r="13">
      <c r="A13" s="2" t="inlineStr">
        <is>
          <t>Desert Coyote</t>
        </is>
      </c>
      <c r="B13" s="2" t="inlineStr">
        <is>
          <t>מדברי</t>
        </is>
      </c>
      <c r="C13" s="2" t="n"/>
      <c r="D13" s="2" t="n"/>
    </row>
    <row r="14">
      <c r="A14" s="4" t="inlineStr">
        <is>
          <t>Sand</t>
        </is>
      </c>
      <c r="B14" s="4" t="inlineStr">
        <is>
          <t>מדברי</t>
        </is>
      </c>
      <c r="C14" s="4" t="n"/>
      <c r="D14" s="4" t="n"/>
    </row>
    <row r="15">
      <c r="A15" s="2" t="inlineStr">
        <is>
          <t>Ever-Green</t>
        </is>
      </c>
      <c r="B15" s="2" t="inlineStr">
        <is>
          <t>מיוער</t>
        </is>
      </c>
      <c r="C15" s="2" t="n"/>
      <c r="D15" s="2" t="n"/>
    </row>
    <row r="16">
      <c r="A16" s="4" t="inlineStr">
        <is>
          <t>Forest Green</t>
        </is>
      </c>
      <c r="B16" s="4" t="inlineStr">
        <is>
          <t>מיוער</t>
        </is>
      </c>
      <c r="C16" s="4" t="n"/>
      <c r="D16" s="4" t="n"/>
    </row>
    <row r="17">
      <c r="A17" s="2" t="inlineStr">
        <is>
          <t>Kestrel</t>
        </is>
      </c>
      <c r="B17" s="2" t="inlineStr">
        <is>
          <t>מיוער</t>
        </is>
      </c>
      <c r="C17" s="2" t="n"/>
      <c r="D17" s="2" t="n"/>
    </row>
    <row r="18">
      <c r="A18" s="4" t="inlineStr">
        <is>
          <t>Woodland</t>
        </is>
      </c>
      <c r="B18" s="4" t="inlineStr">
        <is>
          <t>מיוער</t>
        </is>
      </c>
      <c r="C18" s="4" t="n"/>
      <c r="D18" s="4" t="n"/>
    </row>
    <row r="19">
      <c r="A19" s="2" t="inlineStr">
        <is>
          <t>Woodland Brown</t>
        </is>
      </c>
      <c r="B19" s="2" t="inlineStr">
        <is>
          <t>מיוער</t>
        </is>
      </c>
      <c r="C19" s="2" t="n"/>
      <c r="D19" s="2" t="n"/>
    </row>
    <row r="20">
      <c r="A20" s="4" t="inlineStr">
        <is>
          <t>Urban Green</t>
        </is>
      </c>
      <c r="B20" s="4" t="inlineStr">
        <is>
          <t>מיוער</t>
        </is>
      </c>
      <c r="C20" s="4" t="inlineStr">
        <is>
          <t>מבולדר/שטח בנוי</t>
        </is>
      </c>
      <c r="D20" s="4" t="n"/>
    </row>
    <row r="21">
      <c r="A21" s="2" t="inlineStr">
        <is>
          <t>Snirt Snow</t>
        </is>
      </c>
      <c r="B21" s="2" t="inlineStr">
        <is>
          <t>שלג</t>
        </is>
      </c>
      <c r="C21" s="2" t="n"/>
      <c r="D21" s="2" t="n"/>
    </row>
    <row r="22">
      <c r="A22" s="4" t="inlineStr">
        <is>
          <t>Fresh Snow</t>
        </is>
      </c>
      <c r="B22" s="4" t="inlineStr">
        <is>
          <t>שלג</t>
        </is>
      </c>
      <c r="C22" s="4" t="n"/>
      <c r="D22" s="4" t="n"/>
    </row>
    <row r="23">
      <c r="A23" s="2" t="inlineStr">
        <is>
          <t>Marine</t>
        </is>
      </c>
      <c r="B23" s="2" t="inlineStr">
        <is>
          <t>ימי</t>
        </is>
      </c>
      <c r="C23" s="2" t="n"/>
      <c r="D23" s="2" t="n"/>
    </row>
    <row r="24">
      <c r="A24" s="4" t="inlineStr">
        <is>
          <t>Urban</t>
        </is>
      </c>
      <c r="B24" s="4" t="inlineStr">
        <is>
          <t>מבולדר/שטח בנוי</t>
        </is>
      </c>
      <c r="C24" s="4" t="n"/>
      <c r="D24" s="4" t="n"/>
    </row>
    <row r="25">
      <c r="A25" s="2" t="inlineStr">
        <is>
          <t>Boulder</t>
        </is>
      </c>
      <c r="B25" s="2" t="inlineStr">
        <is>
          <t>מבולדר/שטח בנוי</t>
        </is>
      </c>
      <c r="C25" s="2" t="n"/>
      <c r="D25" s="2" t="n"/>
    </row>
    <row r="28">
      <c r="A28" s="1" t="inlineStr">
        <is>
          <t>קו מוצר</t>
        </is>
      </c>
    </row>
    <row r="29">
      <c r="A29" s="2" t="inlineStr">
        <is>
          <t>OverGarment</t>
        </is>
      </c>
    </row>
    <row r="30">
      <c r="A30" s="4" t="inlineStr">
        <is>
          <t>Hide Site</t>
        </is>
      </c>
    </row>
    <row r="31">
      <c r="A31" s="2" t="inlineStr">
        <is>
          <t>Platform Hide Site</t>
        </is>
      </c>
    </row>
    <row r="32">
      <c r="A32" s="4" t="inlineStr">
        <is>
          <t>Uniform</t>
        </is>
      </c>
    </row>
    <row r="33">
      <c r="A33" s="2" t="inlineStr">
        <is>
          <t>Blankets</t>
        </is>
      </c>
    </row>
    <row r="34">
      <c r="A34" s="4" t="inlineStr">
        <is>
          <t>Urban</t>
        </is>
      </c>
    </row>
    <row r="35">
      <c r="A35" s="2" t="inlineStr">
        <is>
          <t>Platform On-The-Move</t>
        </is>
      </c>
    </row>
    <row r="36">
      <c r="A36" s="4" t="inlineStr">
        <is>
          <t>Accessories</t>
        </is>
      </c>
    </row>
    <row r="39">
      <c r="A39" s="1" t="inlineStr">
        <is>
          <t>קו מוצר</t>
        </is>
      </c>
      <c r="B39" s="1" t="inlineStr">
        <is>
          <t>שם מוצר</t>
        </is>
      </c>
      <c r="C39" s="1" t="inlineStr">
        <is>
          <t>גרסאות זמינות</t>
        </is>
      </c>
    </row>
    <row r="40">
      <c r="A40" s="2" t="inlineStr">
        <is>
          <t>OverGarment</t>
        </is>
      </c>
      <c r="B40" s="2" t="inlineStr">
        <is>
          <t>Hobey Elite</t>
        </is>
      </c>
      <c r="C40" s="2" t="inlineStr"/>
    </row>
    <row r="41">
      <c r="A41" s="4" t="inlineStr">
        <is>
          <t>OverGarment</t>
        </is>
      </c>
      <c r="B41" s="4" t="inlineStr">
        <is>
          <t>Gal Suit</t>
        </is>
      </c>
      <c r="C41" s="4" t="inlineStr"/>
    </row>
    <row r="42">
      <c r="A42" s="2" t="inlineStr">
        <is>
          <t>OverGarment</t>
        </is>
      </c>
      <c r="B42" s="2" t="inlineStr">
        <is>
          <t>Sniper Assault</t>
        </is>
      </c>
      <c r="C42" s="2" t="inlineStr"/>
    </row>
    <row r="43">
      <c r="A43" s="4" t="inlineStr">
        <is>
          <t>OverGarment</t>
        </is>
      </c>
      <c r="B43" s="4" t="inlineStr">
        <is>
          <t>SWAT 3-Part Suit</t>
        </is>
      </c>
      <c r="C43" s="4" t="inlineStr"/>
    </row>
    <row r="44">
      <c r="A44" s="2" t="inlineStr">
        <is>
          <t>OverGarment</t>
        </is>
      </c>
      <c r="B44" s="2" t="inlineStr">
        <is>
          <t>May Suit</t>
        </is>
      </c>
      <c r="C44" s="2" t="inlineStr"/>
    </row>
    <row r="45">
      <c r="A45" s="4" t="inlineStr">
        <is>
          <t>OverGarment</t>
        </is>
      </c>
      <c r="B45" s="4" t="inlineStr">
        <is>
          <t>May Long Shirt</t>
        </is>
      </c>
      <c r="C45" s="4" t="inlineStr"/>
    </row>
    <row r="46">
      <c r="A46" s="2" t="inlineStr">
        <is>
          <t>OverGarment</t>
        </is>
      </c>
      <c r="B46" s="2" t="inlineStr">
        <is>
          <t>Arctic Suit</t>
        </is>
      </c>
      <c r="C46" s="2" t="inlineStr"/>
    </row>
    <row r="47">
      <c r="A47" s="4" t="inlineStr">
        <is>
          <t>OverGarment</t>
        </is>
      </c>
      <c r="B47" s="4" t="inlineStr">
        <is>
          <t>Poncho SRV</t>
        </is>
      </c>
      <c r="C47" s="4" t="inlineStr"/>
    </row>
    <row r="48">
      <c r="A48" s="2" t="inlineStr">
        <is>
          <t>OverGarment</t>
        </is>
      </c>
      <c r="B48" s="2" t="inlineStr">
        <is>
          <t>Poncho Inbar</t>
        </is>
      </c>
      <c r="C48" s="2" t="inlineStr"/>
    </row>
    <row r="49">
      <c r="A49" s="4" t="inlineStr">
        <is>
          <t>OverGarment</t>
        </is>
      </c>
      <c r="B49" s="4" t="inlineStr">
        <is>
          <t>Poncho Inbar 3D</t>
        </is>
      </c>
      <c r="C49" s="4" t="inlineStr"/>
    </row>
    <row r="50">
      <c r="A50" s="2" t="inlineStr">
        <is>
          <t>OverGarment</t>
        </is>
      </c>
      <c r="B50" s="2" t="inlineStr">
        <is>
          <t>Poncho Sahar</t>
        </is>
      </c>
      <c r="C50" s="2" t="inlineStr"/>
    </row>
    <row r="51">
      <c r="A51" s="4" t="inlineStr">
        <is>
          <t>OverGarment</t>
        </is>
      </c>
      <c r="B51" s="4" t="inlineStr">
        <is>
          <t>Poncho Sahar 3D</t>
        </is>
      </c>
      <c r="C51" s="4" t="inlineStr"/>
    </row>
    <row r="52">
      <c r="A52" s="2" t="inlineStr">
        <is>
          <t>Hide Site</t>
        </is>
      </c>
      <c r="B52" s="2" t="inlineStr">
        <is>
          <t>Hide Site Standard</t>
        </is>
      </c>
      <c r="C52" s="2" t="inlineStr"/>
    </row>
    <row r="53">
      <c r="A53" s="4" t="inlineStr">
        <is>
          <t>Hide Site</t>
        </is>
      </c>
      <c r="B53" s="4" t="inlineStr">
        <is>
          <t>HS Floor</t>
        </is>
      </c>
      <c r="C53" s="4" t="inlineStr"/>
    </row>
    <row r="54">
      <c r="A54" s="2" t="inlineStr">
        <is>
          <t>Hide Site</t>
        </is>
      </c>
      <c r="B54" s="2" t="inlineStr">
        <is>
          <t>Window Kit</t>
        </is>
      </c>
      <c r="C54" s="2" t="inlineStr"/>
    </row>
    <row r="55">
      <c r="A55" s="4" t="inlineStr">
        <is>
          <t>Platform Hide Site</t>
        </is>
      </c>
      <c r="B55" s="4" t="inlineStr">
        <is>
          <t>Platform HS (including parts)</t>
        </is>
      </c>
      <c r="C55" s="4" t="inlineStr"/>
    </row>
    <row r="56">
      <c r="A56" s="2" t="inlineStr">
        <is>
          <t>Uniform</t>
        </is>
      </c>
      <c r="B56" s="2" t="inlineStr">
        <is>
          <t>Shirt</t>
        </is>
      </c>
      <c r="C56" s="2" t="inlineStr"/>
    </row>
    <row r="57">
      <c r="A57" s="4" t="inlineStr">
        <is>
          <t>Uniform</t>
        </is>
      </c>
      <c r="B57" s="4" t="inlineStr">
        <is>
          <t>Pants</t>
        </is>
      </c>
      <c r="C57" s="4" t="inlineStr"/>
    </row>
    <row r="58">
      <c r="A58" s="2" t="inlineStr">
        <is>
          <t>Blankets</t>
        </is>
      </c>
      <c r="B58" s="2" t="inlineStr">
        <is>
          <t>Survival Blanket</t>
        </is>
      </c>
      <c r="C58" s="2" t="inlineStr"/>
    </row>
    <row r="59">
      <c r="A59" s="4" t="inlineStr">
        <is>
          <t>Blankets</t>
        </is>
      </c>
      <c r="B59" s="4" t="inlineStr">
        <is>
          <t>יריעת החשכה</t>
        </is>
      </c>
      <c r="C59" s="4" t="inlineStr"/>
    </row>
    <row r="60">
      <c r="A60" s="2" t="inlineStr">
        <is>
          <t>Urban</t>
        </is>
      </c>
      <c r="B60" s="2" t="inlineStr">
        <is>
          <t>Loki</t>
        </is>
      </c>
      <c r="C60" s="2" t="inlineStr"/>
    </row>
    <row r="61">
      <c r="A61" s="4" t="inlineStr">
        <is>
          <t>Platform On-The-Move</t>
        </is>
      </c>
      <c r="B61" s="4" t="inlineStr">
        <is>
          <t>GMV</t>
        </is>
      </c>
      <c r="C61" s="4" t="inlineStr"/>
    </row>
    <row r="62">
      <c r="A62" s="2" t="inlineStr">
        <is>
          <t>Platform On-The-Move</t>
        </is>
      </c>
      <c r="B62" s="2" t="inlineStr">
        <is>
          <t>רשת הצללה</t>
        </is>
      </c>
      <c r="C62" s="2" t="inlineStr"/>
    </row>
    <row r="63">
      <c r="A63" s="4" t="inlineStr">
        <is>
          <t>Accessories</t>
        </is>
      </c>
      <c r="B63" s="4" t="inlineStr">
        <is>
          <t>Accessories</t>
        </is>
      </c>
      <c r="C63" s="4" t="inlineStr"/>
    </row>
    <row r="66">
      <c r="A66" s="1" t="inlineStr">
        <is>
          <t>סוג בד</t>
        </is>
      </c>
    </row>
    <row r="67">
      <c r="A67" s="2" t="inlineStr">
        <is>
          <t>Sahar</t>
        </is>
      </c>
    </row>
    <row r="68">
      <c r="A68" s="4" t="inlineStr">
        <is>
          <t>Inbar</t>
        </is>
      </c>
    </row>
    <row r="69">
      <c r="A69" s="2" t="inlineStr">
        <is>
          <t>SRV</t>
        </is>
      </c>
    </row>
    <row r="70">
      <c r="A70" s="4" t="inlineStr">
        <is>
          <t>Gabardine</t>
        </is>
      </c>
    </row>
    <row r="71">
      <c r="A71" s="2" t="inlineStr">
        <is>
          <t>Meron</t>
        </is>
      </c>
    </row>
    <row r="72">
      <c r="A72" s="4" t="inlineStr">
        <is>
          <t>Arber</t>
        </is>
      </c>
    </row>
    <row r="73">
      <c r="A73" s="2" t="inlineStr">
        <is>
          <t>IRR</t>
        </is>
      </c>
    </row>
    <row r="74">
      <c r="A74" s="4" t="inlineStr">
        <is>
          <t>Polar</t>
        </is>
      </c>
    </row>
    <row r="75">
      <c r="A75" s="2" t="inlineStr">
        <is>
          <t>Nylon</t>
        </is>
      </c>
    </row>
    <row r="76">
      <c r="A76" s="4" t="inlineStr">
        <is>
          <t>Mesh</t>
        </is>
      </c>
    </row>
    <row r="77">
      <c r="A77" s="2" t="inlineStr">
        <is>
          <t>PVC</t>
        </is>
      </c>
    </row>
    <row r="78">
      <c r="A78" s="4" t="inlineStr">
        <is>
          <t>Other</t>
        </is>
      </c>
    </row>
    <row r="81">
      <c r="A81" s="1" t="inlineStr">
        <is>
          <t>סטטוס</t>
        </is>
      </c>
    </row>
    <row r="82">
      <c r="A82" s="2" t="inlineStr">
        <is>
          <t>במלאי</t>
        </is>
      </c>
    </row>
    <row r="83">
      <c r="A83" s="4" t="inlineStr">
        <is>
          <t>מושאל</t>
        </is>
      </c>
    </row>
    <row r="84">
      <c r="A84" s="2" t="inlineStr">
        <is>
          <t>בחדר תצוגה</t>
        </is>
      </c>
    </row>
    <row r="85">
      <c r="A85" s="4" t="inlineStr">
        <is>
          <t>בתיק הדגמה</t>
        </is>
      </c>
    </row>
    <row r="88">
      <c r="A88" s="1" t="inlineStr">
        <is>
          <t>ערך</t>
        </is>
      </c>
    </row>
    <row r="89">
      <c r="A89" s="2" t="inlineStr">
        <is>
          <t>כן</t>
        </is>
      </c>
    </row>
    <row r="90">
      <c r="A90" s="4" t="inlineStr">
        <is>
          <t>לא</t>
        </is>
      </c>
    </row>
    <row r="93">
      <c r="A93" s="1" t="inlineStr">
        <is>
          <t>מידה</t>
        </is>
      </c>
    </row>
    <row r="94">
      <c r="A94" s="2" t="inlineStr">
        <is>
          <t>S</t>
        </is>
      </c>
    </row>
    <row r="95">
      <c r="A95" s="4" t="inlineStr">
        <is>
          <t>M</t>
        </is>
      </c>
    </row>
    <row r="96">
      <c r="A96" s="2" t="inlineStr">
        <is>
          <t>L</t>
        </is>
      </c>
    </row>
    <row r="97">
      <c r="A97" s="4" t="inlineStr">
        <is>
          <t>XL</t>
        </is>
      </c>
    </row>
    <row r="98">
      <c r="A98" s="2" t="inlineStr">
        <is>
          <t>XXL</t>
        </is>
      </c>
    </row>
    <row r="99">
      <c r="A99" s="4" t="inlineStr">
        <is>
          <t>One Size</t>
        </is>
      </c>
    </row>
    <row r="100">
      <c r="A100" s="2" t="inlineStr">
        <is>
          <t>N/A</t>
        </is>
      </c>
    </row>
    <row r="103">
      <c r="A103" s="1" t="inlineStr">
        <is>
          <t>מוצר</t>
        </is>
      </c>
      <c r="B103" s="1" t="inlineStr">
        <is>
          <t>סוג בד</t>
        </is>
      </c>
      <c r="C103" s="1" t="inlineStr">
        <is>
          <t>גרסה</t>
        </is>
      </c>
      <c r="D103" s="1" t="inlineStr">
        <is>
          <t>מק"ט</t>
        </is>
      </c>
    </row>
    <row r="104">
      <c r="A104" s="2" t="inlineStr"/>
      <c r="B104" s="2" t="inlineStr"/>
      <c r="C104" s="2" t="inlineStr"/>
      <c r="D104" s="2" t="inlineStr"/>
    </row>
    <row r="105">
      <c r="A105" s="4" t="inlineStr"/>
      <c r="B105" s="4" t="inlineStr"/>
      <c r="C105" s="4" t="inlineStr"/>
      <c r="D105" s="4" t="inlineStr"/>
    </row>
    <row r="106">
      <c r="A106" s="2" t="inlineStr"/>
      <c r="B106" s="2" t="inlineStr"/>
      <c r="C106" s="2" t="inlineStr"/>
      <c r="D106" s="2" t="inlineStr"/>
    </row>
    <row r="107">
      <c r="A107" s="4" t="inlineStr"/>
      <c r="B107" s="4" t="inlineStr"/>
      <c r="C107" s="4" t="inlineStr"/>
      <c r="D107" s="4" t="inlineStr"/>
    </row>
    <row r="108">
      <c r="A108" s="2" t="inlineStr"/>
      <c r="B108" s="2" t="inlineStr"/>
      <c r="C108" s="2" t="inlineStr"/>
      <c r="D108" s="2" t="inlineStr"/>
    </row>
    <row r="109">
      <c r="A109" s="4" t="inlineStr"/>
      <c r="B109" s="4" t="inlineStr"/>
      <c r="C109" s="4" t="inlineStr"/>
      <c r="D109" s="4" t="inlineStr"/>
    </row>
    <row r="110">
      <c r="A110" s="2" t="inlineStr"/>
      <c r="B110" s="2" t="inlineStr"/>
      <c r="C110" s="2" t="inlineStr"/>
      <c r="D110" s="2" t="inlineStr"/>
    </row>
    <row r="111">
      <c r="A111" s="4" t="inlineStr"/>
      <c r="B111" s="4" t="inlineStr"/>
      <c r="C111" s="4" t="inlineStr"/>
      <c r="D111" s="4" t="inlineStr"/>
    </row>
    <row r="112">
      <c r="A112" s="2" t="inlineStr"/>
      <c r="B112" s="2" t="inlineStr"/>
      <c r="C112" s="2" t="inlineStr"/>
      <c r="D112" s="2" t="inlineStr"/>
    </row>
    <row r="113">
      <c r="A113" s="4" t="inlineStr"/>
      <c r="B113" s="4" t="inlineStr"/>
      <c r="C113" s="4" t="inlineStr"/>
      <c r="D113" s="4" t="inlineStr"/>
    </row>
    <row r="114">
      <c r="A114" s="2" t="inlineStr"/>
      <c r="B114" s="2" t="inlineStr"/>
      <c r="C114" s="2" t="inlineStr"/>
      <c r="D114" s="2" t="inlineStr"/>
    </row>
    <row r="115">
      <c r="A115" s="4" t="inlineStr"/>
      <c r="B115" s="4" t="inlineStr"/>
      <c r="C115" s="4" t="inlineStr"/>
      <c r="D115" s="4" t="inlineStr"/>
    </row>
    <row r="116">
      <c r="A116" s="2" t="inlineStr"/>
      <c r="B116" s="2" t="inlineStr"/>
      <c r="C116" s="2" t="inlineStr"/>
      <c r="D116" s="2" t="inlineStr"/>
    </row>
    <row r="117">
      <c r="A117" s="4" t="inlineStr"/>
      <c r="B117" s="4" t="inlineStr"/>
      <c r="C117" s="4" t="inlineStr"/>
      <c r="D117" s="4" t="inlineStr"/>
    </row>
    <row r="118">
      <c r="A118" s="2" t="inlineStr"/>
      <c r="B118" s="2" t="inlineStr"/>
      <c r="C118" s="2" t="inlineStr"/>
      <c r="D118" s="2" t="inlineStr"/>
    </row>
    <row r="119">
      <c r="A119" s="4" t="inlineStr"/>
      <c r="B119" s="4" t="inlineStr"/>
      <c r="C119" s="4" t="inlineStr"/>
      <c r="D119" s="4" t="inlineStr"/>
    </row>
    <row r="120">
      <c r="A120" s="2" t="inlineStr"/>
      <c r="B120" s="2" t="inlineStr"/>
      <c r="C120" s="2" t="inlineStr"/>
      <c r="D120" s="2" t="inlineStr"/>
    </row>
    <row r="121">
      <c r="A121" s="4" t="inlineStr"/>
      <c r="B121" s="4" t="inlineStr"/>
      <c r="C121" s="4" t="inlineStr"/>
      <c r="D121" s="4" t="inlineStr"/>
    </row>
    <row r="122">
      <c r="A122" s="2" t="inlineStr"/>
      <c r="B122" s="2" t="inlineStr"/>
      <c r="C122" s="2" t="inlineStr"/>
      <c r="D122" s="2" t="inlineStr"/>
    </row>
    <row r="123">
      <c r="A123" s="4" t="inlineStr"/>
      <c r="B123" s="4" t="inlineStr"/>
      <c r="C123" s="4" t="inlineStr"/>
      <c r="D123" s="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2026-03-31T11:56:00Z</dcterms:created>
  <dcterms:modified xsi:type="dcterms:W3CDTF">2026-03-31T11:56:00Z</dcterms:modified>
</cp:coreProperties>
</file>
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visible" r:id="rId5"/>
    <sheet name="ערכים טכנולוגיים" sheetId="6" state="visible" r:id="rId6"/>
    <sheet name="הגדרות" sheetId="7" state="visible" r:id="rId7"/>
    <sheet name="מלאי רצוי" sheetId="8" state="visible" r:id="rId8"/>
  </sheets>
  <definedNames>
    <definedName name="סביבות">'הגדרות'!$A$2:$A$7</definedName>
    <definedName name="הדפסים">'הגדרות'!$A$11:$D$25</definedName>
    <definedName name="שמות_הדפסים">'הגדרות'!$A$11:$A$25</definedName>
    <definedName name="קווי_מוצר">'הגדרות'!$A$29:$A$36</definedName>
    <definedName name="מוצרים">'הגדרות'!$A$40:$C$63</definedName>
    <definedName name="OverGarment">'הגדרות'!$B$40:$B$51</definedName>
    <definedName name="Hide_Site">'הגדרות'!$B$52:$B$54</definedName>
    <definedName name="Platform_Hide_Site">'הגדרות'!$B$55:$B$55</definedName>
    <definedName name="Uniform">'הגדרות'!$B$56:$B$57</definedName>
    <definedName name="Blankets">'הגדרות'!$B$58:$B$59</definedName>
    <definedName name="Urban">'הגדרות'!$B$60:$B$60</definedName>
    <definedName name="Platform_On_The_Move">'הגדרות'!$B$61:$B$62</definedName>
    <definedName name="Accessories">'הגדרות'!$B$63:$B$63</definedName>
    <definedName name="סוגי_בד">'הגדרות'!$A$67:$A$78</definedName>
    <definedName name="סטטוסים">'הגדרות'!$A$82:$A$85</definedName>
    <definedName name="כן_לא">'הגדרות'!$A$89:$A$90</definedName>
    <definedName name="מידות">'הגדרות'!$A$94:$A$100</definedName>
    <definedName name="מקטים">'הגדרות'!$A$104:$D$123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4"/>
    </font>
    <font>
      <b val="1"/>
      <color rgb="001F3864"/>
      <sz val="11"/>
    </font>
    <font>
      <b val="1"/>
      <color rgb="001F3864"/>
      <sz val="16"/>
    </font>
    <font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right" vertical="center" wrapText="1"/>
    </xf>
    <xf numFmtId="0" fontId="0" fillId="4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4" fontId="0" fillId="0" borderId="0" pivotButton="0" quotePrefix="0" xfId="0"/>
    <xf numFmtId="0" fontId="0" fillId="0" borderId="1" applyAlignment="1" pivotButton="0" quotePrefix="0" xfId="0">
      <alignment horizontal="right" vertical="center"/>
    </xf>
    <xf numFmtId="2" fontId="0" fillId="3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2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3"/>
  <sheetViews>
    <sheetView rightToLeft="1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8" customWidth="1" min="7" max="7"/>
    <col width="18" customWidth="1" min="8" max="8"/>
    <col width="14" customWidth="1" min="9" max="9"/>
    <col width="28" customWidth="1" min="10" max="10"/>
    <col hidden="1" width="10" customWidth="1" min="11" max="11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3" t="inlineStr">
        <is>
          <t>סיכום</t>
        </is>
      </c>
    </row>
    <row r="6">
      <c r="A6" s="4" t="inlineStr">
        <is>
          <t>סה"כ פריטים תואמים</t>
        </is>
      </c>
      <c r="D6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)</f>
        <v/>
      </c>
    </row>
    <row r="7">
      <c r="A7" s="4" t="inlineStr">
        <is>
          <t>כמות תקין לגמרי</t>
        </is>
      </c>
      <c r="D7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F$2:$500))</f>
        <v/>
      </c>
    </row>
    <row r="8">
      <c r="A8" s="4" t="inlineStr">
        <is>
          <t>כמות תקין ויזואלית בלבד</t>
        </is>
      </c>
      <c r="D8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G$2:$500))</f>
        <v/>
      </c>
    </row>
    <row r="9">
      <c r="A9" s="4" t="inlineStr">
        <is>
          <t>כמות תקין תרמית בלבד</t>
        </is>
      </c>
      <c r="D9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H$2:$500))</f>
        <v/>
      </c>
    </row>
    <row r="10">
      <c r="A10" s="4" t="inlineStr">
        <is>
          <t>כמות במלאי</t>
        </is>
      </c>
      <c r="D10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מלאי"))</f>
        <v/>
      </c>
    </row>
    <row r="11">
      <c r="A11" s="4" t="inlineStr">
        <is>
          <t>כמות מושאלים</t>
        </is>
      </c>
      <c r="D11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מושאל"))</f>
        <v/>
      </c>
    </row>
    <row r="12">
      <c r="A12" s="4" t="inlineStr">
        <is>
          <t>כמות בחדר תצוגה</t>
        </is>
      </c>
      <c r="D12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חדר תצוגה"))</f>
        <v/>
      </c>
    </row>
    <row r="13">
      <c r="A13" s="4" t="inlineStr">
        <is>
          <t>כמות בתיק הדגמה</t>
        </is>
      </c>
      <c r="D13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תיק הדגמה"))</f>
        <v/>
      </c>
    </row>
    <row r="14">
      <c r="A14" s="4" t="inlineStr">
        <is>
          <t>כמות עם פער בתכולה</t>
        </is>
      </c>
      <c r="D14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D$2:$500="כן"))</f>
        <v/>
      </c>
    </row>
    <row r="15">
      <c r="A15" s="4" t="inlineStr">
        <is>
          <t>כמות גרסה מיוחדת - פיתוח</t>
        </is>
      </c>
      <c r="D15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J$2:$500="כן"))</f>
        <v/>
      </c>
    </row>
    <row r="16">
      <c r="A16" s="4" t="inlineStr">
        <is>
          <t>תקינים ויזואלית אך הדפס לא מתאים לסביבה</t>
        </is>
      </c>
      <c r="D16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E$2:$500=FALSE)*((מלאי!$O$2:$500="כן")+(מלאי!$P$2:$500="כן")&gt;0)))</f>
        <v/>
      </c>
    </row>
    <row r="17">
      <c r="A17" s="4" t="inlineStr">
        <is>
          <t>פירוט הדפסים שאינם מתאימים</t>
        </is>
      </c>
      <c r="D17" s="6">
        <f>IF($A$2="הכל","—",IFERROR(TEXTJOIN(", ",TRUE,UNIQUE(FILTER(מלאי!$M$2:$500,(מלאי!$D$2:$500&lt;&gt;"")*(מלאי!$AE$2:$500=FALSE)*((מלאי!$O$2:$500="כן")+(מלאי!$P$2:$500="כן")&gt;0)))),""))</f>
        <v/>
      </c>
    </row>
    <row r="19">
      <c r="A19" s="3" t="inlineStr">
        <is>
          <t>פירוט פריטים מסוננים</t>
        </is>
      </c>
    </row>
    <row r="20">
      <c r="A20" s="7" t="inlineStr">
        <is>
          <t>מזהה</t>
        </is>
      </c>
      <c r="B20" s="7" t="inlineStr">
        <is>
          <t>שם מוצר</t>
        </is>
      </c>
      <c r="C20" s="7" t="inlineStr">
        <is>
          <t>גרסה</t>
        </is>
      </c>
      <c r="D20" s="7" t="inlineStr">
        <is>
          <t>סוג בד</t>
        </is>
      </c>
      <c r="E20" s="7" t="inlineStr">
        <is>
          <t>הדפס A</t>
        </is>
      </c>
      <c r="F20" s="7" t="inlineStr">
        <is>
          <t>הדפס B</t>
        </is>
      </c>
      <c r="G20" s="7" t="inlineStr">
        <is>
          <t>תקין ויזואלי</t>
        </is>
      </c>
      <c r="H20" s="7" t="inlineStr">
        <is>
          <t>תקין תרמי</t>
        </is>
      </c>
      <c r="I20" s="7" t="inlineStr">
        <is>
          <t>סטטוס</t>
        </is>
      </c>
      <c r="J20" s="7" t="inlineStr">
        <is>
          <t>הערות</t>
        </is>
      </c>
      <c r="K20" s="7" t="inlineStr">
        <is>
          <t>row_ref</t>
        </is>
      </c>
    </row>
    <row r="21">
      <c r="A21" s="2">
        <f>IF($K21="","",INDEX(מלאי!$D$2:$500,$K21))</f>
        <v/>
      </c>
      <c r="B21" s="2">
        <f>IF($K21="","",INDEX(מלאי!$B$2:$500,$K21))</f>
        <v/>
      </c>
      <c r="C21" s="2">
        <f>IF($K21="","",INDEX(מלאי!$C$2:$500,$K21))</f>
        <v/>
      </c>
      <c r="D21" s="2">
        <f>IF($K21="","",INDEX(מלאי!$G$2:$500,$K21))</f>
        <v/>
      </c>
      <c r="E21" s="2">
        <f>IF($K21="","",INDEX(מלאי!$M$2:$500,$K21))</f>
        <v/>
      </c>
      <c r="F21" s="2">
        <f>IF($K21="","",INDEX(מלאי!$N$2:$500,$K21))</f>
        <v/>
      </c>
      <c r="G21" s="2">
        <f>IF($K21="","",INDEX(מלאי!$O$2:$500,$K21))</f>
        <v/>
      </c>
      <c r="H21" s="2">
        <f>IF($K21="","",INDEX(מלאי!$U$2:$500,$K21))</f>
        <v/>
      </c>
      <c r="I21" s="2">
        <f>IF($K21="","",INDEX(מלאי!$X$2:$500,$K21))</f>
        <v/>
      </c>
      <c r="J21" s="2">
        <f>IF($K21="","",INDEX(מלאי!$AC$2:$500,$K21))</f>
        <v/>
      </c>
      <c r="K2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1),"")</f>
        <v/>
      </c>
    </row>
    <row r="22">
      <c r="A22" s="8">
        <f>IF($K22="","",INDEX(מלאי!$D$2:$500,$K22))</f>
        <v/>
      </c>
      <c r="B22" s="8">
        <f>IF($K22="","",INDEX(מלאי!$B$2:$500,$K22))</f>
        <v/>
      </c>
      <c r="C22" s="8">
        <f>IF($K22="","",INDEX(מלאי!$C$2:$500,$K22))</f>
        <v/>
      </c>
      <c r="D22" s="8">
        <f>IF($K22="","",INDEX(מלאי!$G$2:$500,$K22))</f>
        <v/>
      </c>
      <c r="E22" s="8">
        <f>IF($K22="","",INDEX(מלאי!$M$2:$500,$K22))</f>
        <v/>
      </c>
      <c r="F22" s="8">
        <f>IF($K22="","",INDEX(מלאי!$N$2:$500,$K22))</f>
        <v/>
      </c>
      <c r="G22" s="8">
        <f>IF($K22="","",INDEX(מלאי!$O$2:$500,$K22))</f>
        <v/>
      </c>
      <c r="H22" s="8">
        <f>IF($K22="","",INDEX(מלאי!$U$2:$500,$K22))</f>
        <v/>
      </c>
      <c r="I22" s="8">
        <f>IF($K22="","",INDEX(מלאי!$X$2:$500,$K22))</f>
        <v/>
      </c>
      <c r="J22" s="8">
        <f>IF($K22="","",INDEX(מלאי!$AC$2:$500,$K22))</f>
        <v/>
      </c>
      <c r="K2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2),"")</f>
        <v/>
      </c>
    </row>
    <row r="23">
      <c r="A23" s="2">
        <f>IF($K23="","",INDEX(מלאי!$D$2:$500,$K23))</f>
        <v/>
      </c>
      <c r="B23" s="2">
        <f>IF($K23="","",INDEX(מלאי!$B$2:$500,$K23))</f>
        <v/>
      </c>
      <c r="C23" s="2">
        <f>IF($K23="","",INDEX(מלאי!$C$2:$500,$K23))</f>
        <v/>
      </c>
      <c r="D23" s="2">
        <f>IF($K23="","",INDEX(מלאי!$G$2:$500,$K23))</f>
        <v/>
      </c>
      <c r="E23" s="2">
        <f>IF($K23="","",INDEX(מלאי!$M$2:$500,$K23))</f>
        <v/>
      </c>
      <c r="F23" s="2">
        <f>IF($K23="","",INDEX(מלאי!$N$2:$500,$K23))</f>
        <v/>
      </c>
      <c r="G23" s="2">
        <f>IF($K23="","",INDEX(מלאי!$O$2:$500,$K23))</f>
        <v/>
      </c>
      <c r="H23" s="2">
        <f>IF($K23="","",INDEX(מלאי!$U$2:$500,$K23))</f>
        <v/>
      </c>
      <c r="I23" s="2">
        <f>IF($K23="","",INDEX(מלאי!$X$2:$500,$K23))</f>
        <v/>
      </c>
      <c r="J23" s="2">
        <f>IF($K23="","",INDEX(מלאי!$AC$2:$500,$K23))</f>
        <v/>
      </c>
      <c r="K2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3),"")</f>
        <v/>
      </c>
    </row>
    <row r="24">
      <c r="A24" s="8">
        <f>IF($K24="","",INDEX(מלאי!$D$2:$500,$K24))</f>
        <v/>
      </c>
      <c r="B24" s="8">
        <f>IF($K24="","",INDEX(מלאי!$B$2:$500,$K24))</f>
        <v/>
      </c>
      <c r="C24" s="8">
        <f>IF($K24="","",INDEX(מלאי!$C$2:$500,$K24))</f>
        <v/>
      </c>
      <c r="D24" s="8">
        <f>IF($K24="","",INDEX(מלאי!$G$2:$500,$K24))</f>
        <v/>
      </c>
      <c r="E24" s="8">
        <f>IF($K24="","",INDEX(מלאי!$M$2:$500,$K24))</f>
        <v/>
      </c>
      <c r="F24" s="8">
        <f>IF($K24="","",INDEX(מלאי!$N$2:$500,$K24))</f>
        <v/>
      </c>
      <c r="G24" s="8">
        <f>IF($K24="","",INDEX(מלאי!$O$2:$500,$K24))</f>
        <v/>
      </c>
      <c r="H24" s="8">
        <f>IF($K24="","",INDEX(מלאי!$U$2:$500,$K24))</f>
        <v/>
      </c>
      <c r="I24" s="8">
        <f>IF($K24="","",INDEX(מלאי!$X$2:$500,$K24))</f>
        <v/>
      </c>
      <c r="J24" s="8">
        <f>IF($K24="","",INDEX(מלאי!$AC$2:$500,$K24))</f>
        <v/>
      </c>
      <c r="K2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4),"")</f>
        <v/>
      </c>
    </row>
    <row r="25">
      <c r="A25" s="2">
        <f>IF($K25="","",INDEX(מלאי!$D$2:$500,$K25))</f>
        <v/>
      </c>
      <c r="B25" s="2">
        <f>IF($K25="","",INDEX(מלאי!$B$2:$500,$K25))</f>
        <v/>
      </c>
      <c r="C25" s="2">
        <f>IF($K25="","",INDEX(מלאי!$C$2:$500,$K25))</f>
        <v/>
      </c>
      <c r="D25" s="2">
        <f>IF($K25="","",INDEX(מלאי!$G$2:$500,$K25))</f>
        <v/>
      </c>
      <c r="E25" s="2">
        <f>IF($K25="","",INDEX(מלאי!$M$2:$500,$K25))</f>
        <v/>
      </c>
      <c r="F25" s="2">
        <f>IF($K25="","",INDEX(מלאי!$N$2:$500,$K25))</f>
        <v/>
      </c>
      <c r="G25" s="2">
        <f>IF($K25="","",INDEX(מלאי!$O$2:$500,$K25))</f>
        <v/>
      </c>
      <c r="H25" s="2">
        <f>IF($K25="","",INDEX(מלאי!$U$2:$500,$K25))</f>
        <v/>
      </c>
      <c r="I25" s="2">
        <f>IF($K25="","",INDEX(מלאי!$X$2:$500,$K25))</f>
        <v/>
      </c>
      <c r="J25" s="2">
        <f>IF($K25="","",INDEX(מלאי!$AC$2:$500,$K25))</f>
        <v/>
      </c>
      <c r="K2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5),"")</f>
        <v/>
      </c>
    </row>
    <row r="26">
      <c r="A26" s="8">
        <f>IF($K26="","",INDEX(מלאי!$D$2:$500,$K26))</f>
        <v/>
      </c>
      <c r="B26" s="8">
        <f>IF($K26="","",INDEX(מלאי!$B$2:$500,$K26))</f>
        <v/>
      </c>
      <c r="C26" s="8">
        <f>IF($K26="","",INDEX(מלאי!$C$2:$500,$K26))</f>
        <v/>
      </c>
      <c r="D26" s="8">
        <f>IF($K26="","",INDEX(מלאי!$G$2:$500,$K26))</f>
        <v/>
      </c>
      <c r="E26" s="8">
        <f>IF($K26="","",INDEX(מלאי!$M$2:$500,$K26))</f>
        <v/>
      </c>
      <c r="F26" s="8">
        <f>IF($K26="","",INDEX(מלאי!$N$2:$500,$K26))</f>
        <v/>
      </c>
      <c r="G26" s="8">
        <f>IF($K26="","",INDEX(מלאי!$O$2:$500,$K26))</f>
        <v/>
      </c>
      <c r="H26" s="8">
        <f>IF($K26="","",INDEX(מלאי!$U$2:$500,$K26))</f>
        <v/>
      </c>
      <c r="I26" s="8">
        <f>IF($K26="","",INDEX(מלאי!$X$2:$500,$K26))</f>
        <v/>
      </c>
      <c r="J26" s="8">
        <f>IF($K26="","",INDEX(מלאי!$AC$2:$500,$K26))</f>
        <v/>
      </c>
      <c r="K2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6),"")</f>
        <v/>
      </c>
    </row>
    <row r="27">
      <c r="A27" s="2">
        <f>IF($K27="","",INDEX(מלאי!$D$2:$500,$K27))</f>
        <v/>
      </c>
      <c r="B27" s="2">
        <f>IF($K27="","",INDEX(מלאי!$B$2:$500,$K27))</f>
        <v/>
      </c>
      <c r="C27" s="2">
        <f>IF($K27="","",INDEX(מלאי!$C$2:$500,$K27))</f>
        <v/>
      </c>
      <c r="D27" s="2">
        <f>IF($K27="","",INDEX(מלאי!$G$2:$500,$K27))</f>
        <v/>
      </c>
      <c r="E27" s="2">
        <f>IF($K27="","",INDEX(מלאי!$M$2:$500,$K27))</f>
        <v/>
      </c>
      <c r="F27" s="2">
        <f>IF($K27="","",INDEX(מלאי!$N$2:$500,$K27))</f>
        <v/>
      </c>
      <c r="G27" s="2">
        <f>IF($K27="","",INDEX(מלאי!$O$2:$500,$K27))</f>
        <v/>
      </c>
      <c r="H27" s="2">
        <f>IF($K27="","",INDEX(מלאי!$U$2:$500,$K27))</f>
        <v/>
      </c>
      <c r="I27" s="2">
        <f>IF($K27="","",INDEX(מלאי!$X$2:$500,$K27))</f>
        <v/>
      </c>
      <c r="J27" s="2">
        <f>IF($K27="","",INDEX(מלאי!$AC$2:$500,$K27))</f>
        <v/>
      </c>
      <c r="K2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7),"")</f>
        <v/>
      </c>
    </row>
    <row r="28">
      <c r="A28" s="8">
        <f>IF($K28="","",INDEX(מלאי!$D$2:$500,$K28))</f>
        <v/>
      </c>
      <c r="B28" s="8">
        <f>IF($K28="","",INDEX(מלאי!$B$2:$500,$K28))</f>
        <v/>
      </c>
      <c r="C28" s="8">
        <f>IF($K28="","",INDEX(מלאי!$C$2:$500,$K28))</f>
        <v/>
      </c>
      <c r="D28" s="8">
        <f>IF($K28="","",INDEX(מלאי!$G$2:$500,$K28))</f>
        <v/>
      </c>
      <c r="E28" s="8">
        <f>IF($K28="","",INDEX(מלאי!$M$2:$500,$K28))</f>
        <v/>
      </c>
      <c r="F28" s="8">
        <f>IF($K28="","",INDEX(מלאי!$N$2:$500,$K28))</f>
        <v/>
      </c>
      <c r="G28" s="8">
        <f>IF($K28="","",INDEX(מלאי!$O$2:$500,$K28))</f>
        <v/>
      </c>
      <c r="H28" s="8">
        <f>IF($K28="","",INDEX(מלאי!$U$2:$500,$K28))</f>
        <v/>
      </c>
      <c r="I28" s="8">
        <f>IF($K28="","",INDEX(מלאי!$X$2:$500,$K28))</f>
        <v/>
      </c>
      <c r="J28" s="8">
        <f>IF($K28="","",INDEX(מלאי!$AC$2:$500,$K28))</f>
        <v/>
      </c>
      <c r="K2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8),"")</f>
        <v/>
      </c>
    </row>
    <row r="29">
      <c r="A29" s="2">
        <f>IF($K29="","",INDEX(מלאי!$D$2:$500,$K29))</f>
        <v/>
      </c>
      <c r="B29" s="2">
        <f>IF($K29="","",INDEX(מלאי!$B$2:$500,$K29))</f>
        <v/>
      </c>
      <c r="C29" s="2">
        <f>IF($K29="","",INDEX(מלאי!$C$2:$500,$K29))</f>
        <v/>
      </c>
      <c r="D29" s="2">
        <f>IF($K29="","",INDEX(מלאי!$G$2:$500,$K29))</f>
        <v/>
      </c>
      <c r="E29" s="2">
        <f>IF($K29="","",INDEX(מלאי!$M$2:$500,$K29))</f>
        <v/>
      </c>
      <c r="F29" s="2">
        <f>IF($K29="","",INDEX(מלאי!$N$2:$500,$K29))</f>
        <v/>
      </c>
      <c r="G29" s="2">
        <f>IF($K29="","",INDEX(מלאי!$O$2:$500,$K29))</f>
        <v/>
      </c>
      <c r="H29" s="2">
        <f>IF($K29="","",INDEX(מלאי!$U$2:$500,$K29))</f>
        <v/>
      </c>
      <c r="I29" s="2">
        <f>IF($K29="","",INDEX(מלאי!$X$2:$500,$K29))</f>
        <v/>
      </c>
      <c r="J29" s="2">
        <f>IF($K29="","",INDEX(מלאי!$AC$2:$500,$K29))</f>
        <v/>
      </c>
      <c r="K2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9),"")</f>
        <v/>
      </c>
    </row>
    <row r="30">
      <c r="A30" s="8">
        <f>IF($K30="","",INDEX(מלאי!$D$2:$500,$K30))</f>
        <v/>
      </c>
      <c r="B30" s="8">
        <f>IF($K30="","",INDEX(מלאי!$B$2:$500,$K30))</f>
        <v/>
      </c>
      <c r="C30" s="8">
        <f>IF($K30="","",INDEX(מלאי!$C$2:$500,$K30))</f>
        <v/>
      </c>
      <c r="D30" s="8">
        <f>IF($K30="","",INDEX(מלאי!$G$2:$500,$K30))</f>
        <v/>
      </c>
      <c r="E30" s="8">
        <f>IF($K30="","",INDEX(מלאי!$M$2:$500,$K30))</f>
        <v/>
      </c>
      <c r="F30" s="8">
        <f>IF($K30="","",INDEX(מלאי!$N$2:$500,$K30))</f>
        <v/>
      </c>
      <c r="G30" s="8">
        <f>IF($K30="","",INDEX(מלאי!$O$2:$500,$K30))</f>
        <v/>
      </c>
      <c r="H30" s="8">
        <f>IF($K30="","",INDEX(מלאי!$U$2:$500,$K30))</f>
        <v/>
      </c>
      <c r="I30" s="8">
        <f>IF($K30="","",INDEX(מלאי!$X$2:$500,$K30))</f>
        <v/>
      </c>
      <c r="J30" s="8">
        <f>IF($K30="","",INDEX(מלאי!$AC$2:$500,$K30))</f>
        <v/>
      </c>
      <c r="K3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10),"")</f>
        <v/>
      </c>
    </row>
    <row r="31">
      <c r="A31" s="2">
        <f>IF($K31="","",INDEX(מלאי!$D$2:$500,$K31))</f>
        <v/>
      </c>
      <c r="B31" s="2">
        <f>IF($K31="","",INDEX(מלאי!$B$2:$500,$K31))</f>
        <v/>
      </c>
      <c r="C31" s="2">
        <f>IF($K31="","",INDEX(מלאי!$C$2:$500,$K31))</f>
        <v/>
      </c>
      <c r="D31" s="2">
        <f>IF($K31="","",INDEX(מלאי!$G$2:$500,$K31))</f>
        <v/>
      </c>
      <c r="E31" s="2">
        <f>IF($K31="","",INDEX(מלאי!$M$2:$500,$K31))</f>
        <v/>
      </c>
      <c r="F31" s="2">
        <f>IF($K31="","",INDEX(מלאי!$N$2:$500,$K31))</f>
        <v/>
      </c>
      <c r="G31" s="2">
        <f>IF($K31="","",INDEX(מלאי!$O$2:$500,$K31))</f>
        <v/>
      </c>
      <c r="H31" s="2">
        <f>IF($K31="","",INDEX(מלאי!$U$2:$500,$K31))</f>
        <v/>
      </c>
      <c r="I31" s="2">
        <f>IF($K31="","",INDEX(מלאי!$X$2:$500,$K31))</f>
        <v/>
      </c>
      <c r="J31" s="2">
        <f>IF($K31="","",INDEX(מלאי!$AC$2:$500,$K31))</f>
        <v/>
      </c>
      <c r="K3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11),"")</f>
        <v/>
      </c>
    </row>
    <row r="32">
      <c r="A32" s="8">
        <f>IF($K32="","",INDEX(מלאי!$D$2:$500,$K32))</f>
        <v/>
      </c>
      <c r="B32" s="8">
        <f>IF($K32="","",INDEX(מלאי!$B$2:$500,$K32))</f>
        <v/>
      </c>
      <c r="C32" s="8">
        <f>IF($K32="","",INDEX(מלאי!$C$2:$500,$K32))</f>
        <v/>
      </c>
      <c r="D32" s="8">
        <f>IF($K32="","",INDEX(מלאי!$G$2:$500,$K32))</f>
        <v/>
      </c>
      <c r="E32" s="8">
        <f>IF($K32="","",INDEX(מלאי!$M$2:$500,$K32))</f>
        <v/>
      </c>
      <c r="F32" s="8">
        <f>IF($K32="","",INDEX(מלאי!$N$2:$500,$K32))</f>
        <v/>
      </c>
      <c r="G32" s="8">
        <f>IF($K32="","",INDEX(מלאי!$O$2:$500,$K32))</f>
        <v/>
      </c>
      <c r="H32" s="8">
        <f>IF($K32="","",INDEX(מלאי!$U$2:$500,$K32))</f>
        <v/>
      </c>
      <c r="I32" s="8">
        <f>IF($K32="","",INDEX(מלאי!$X$2:$500,$K32))</f>
        <v/>
      </c>
      <c r="J32" s="8">
        <f>IF($K32="","",INDEX(מלאי!$AC$2:$500,$K32))</f>
        <v/>
      </c>
      <c r="K3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12),"")</f>
        <v/>
      </c>
    </row>
    <row r="33">
      <c r="A33" s="2">
        <f>IF($K33="","",INDEX(מלאי!$D$2:$500,$K33))</f>
        <v/>
      </c>
      <c r="B33" s="2">
        <f>IF($K33="","",INDEX(מלאי!$B$2:$500,$K33))</f>
        <v/>
      </c>
      <c r="C33" s="2">
        <f>IF($K33="","",INDEX(מלאי!$C$2:$500,$K33))</f>
        <v/>
      </c>
      <c r="D33" s="2">
        <f>IF($K33="","",INDEX(מלאי!$G$2:$500,$K33))</f>
        <v/>
      </c>
      <c r="E33" s="2">
        <f>IF($K33="","",INDEX(מלאי!$M$2:$500,$K33))</f>
        <v/>
      </c>
      <c r="F33" s="2">
        <f>IF($K33="","",INDEX(מלאי!$N$2:$500,$K33))</f>
        <v/>
      </c>
      <c r="G33" s="2">
        <f>IF($K33="","",INDEX(מלאי!$O$2:$500,$K33))</f>
        <v/>
      </c>
      <c r="H33" s="2">
        <f>IF($K33="","",INDEX(מלאי!$U$2:$500,$K33))</f>
        <v/>
      </c>
      <c r="I33" s="2">
        <f>IF($K33="","",INDEX(מלאי!$X$2:$500,$K33))</f>
        <v/>
      </c>
      <c r="J33" s="2">
        <f>IF($K33="","",INDEX(מלאי!$AC$2:$500,$K33))</f>
        <v/>
      </c>
      <c r="K3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13),"")</f>
        <v/>
      </c>
    </row>
    <row r="34">
      <c r="A34" s="8">
        <f>IF($K34="","",INDEX(מלאי!$D$2:$500,$K34))</f>
        <v/>
      </c>
      <c r="B34" s="8">
        <f>IF($K34="","",INDEX(מלאי!$B$2:$500,$K34))</f>
        <v/>
      </c>
      <c r="C34" s="8">
        <f>IF($K34="","",INDEX(מלאי!$C$2:$500,$K34))</f>
        <v/>
      </c>
      <c r="D34" s="8">
        <f>IF($K34="","",INDEX(מלאי!$G$2:$500,$K34))</f>
        <v/>
      </c>
      <c r="E34" s="8">
        <f>IF($K34="","",INDEX(מלאי!$M$2:$500,$K34))</f>
        <v/>
      </c>
      <c r="F34" s="8">
        <f>IF($K34="","",INDEX(מלאי!$N$2:$500,$K34))</f>
        <v/>
      </c>
      <c r="G34" s="8">
        <f>IF($K34="","",INDEX(מלאי!$O$2:$500,$K34))</f>
        <v/>
      </c>
      <c r="H34" s="8">
        <f>IF($K34="","",INDEX(מלאי!$U$2:$500,$K34))</f>
        <v/>
      </c>
      <c r="I34" s="8">
        <f>IF($K34="","",INDEX(מלאי!$X$2:$500,$K34))</f>
        <v/>
      </c>
      <c r="J34" s="8">
        <f>IF($K34="","",INDEX(מלאי!$AC$2:$500,$K34))</f>
        <v/>
      </c>
      <c r="K3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14),"")</f>
        <v/>
      </c>
    </row>
    <row r="35">
      <c r="A35" s="2">
        <f>IF($K35="","",INDEX(מלאי!$D$2:$500,$K35))</f>
        <v/>
      </c>
      <c r="B35" s="2">
        <f>IF($K35="","",INDEX(מלאי!$B$2:$500,$K35))</f>
        <v/>
      </c>
      <c r="C35" s="2">
        <f>IF($K35="","",INDEX(מלאי!$C$2:$500,$K35))</f>
        <v/>
      </c>
      <c r="D35" s="2">
        <f>IF($K35="","",INDEX(מלאי!$G$2:$500,$K35))</f>
        <v/>
      </c>
      <c r="E35" s="2">
        <f>IF($K35="","",INDEX(מלאי!$M$2:$500,$K35))</f>
        <v/>
      </c>
      <c r="F35" s="2">
        <f>IF($K35="","",INDEX(מלאי!$N$2:$500,$K35))</f>
        <v/>
      </c>
      <c r="G35" s="2">
        <f>IF($K35="","",INDEX(מלאי!$O$2:$500,$K35))</f>
        <v/>
      </c>
      <c r="H35" s="2">
        <f>IF($K35="","",INDEX(מלאי!$U$2:$500,$K35))</f>
        <v/>
      </c>
      <c r="I35" s="2">
        <f>IF($K35="","",INDEX(מלאי!$X$2:$500,$K35))</f>
        <v/>
      </c>
      <c r="J35" s="2">
        <f>IF($K35="","",INDEX(מלאי!$AC$2:$500,$K35))</f>
        <v/>
      </c>
      <c r="K3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15),"")</f>
        <v/>
      </c>
    </row>
    <row r="36">
      <c r="A36" s="8">
        <f>IF($K36="","",INDEX(מלאי!$D$2:$500,$K36))</f>
        <v/>
      </c>
      <c r="B36" s="8">
        <f>IF($K36="","",INDEX(מלאי!$B$2:$500,$K36))</f>
        <v/>
      </c>
      <c r="C36" s="8">
        <f>IF($K36="","",INDEX(מלאי!$C$2:$500,$K36))</f>
        <v/>
      </c>
      <c r="D36" s="8">
        <f>IF($K36="","",INDEX(מלאי!$G$2:$500,$K36))</f>
        <v/>
      </c>
      <c r="E36" s="8">
        <f>IF($K36="","",INDEX(מלאי!$M$2:$500,$K36))</f>
        <v/>
      </c>
      <c r="F36" s="8">
        <f>IF($K36="","",INDEX(מלאי!$N$2:$500,$K36))</f>
        <v/>
      </c>
      <c r="G36" s="8">
        <f>IF($K36="","",INDEX(מלאי!$O$2:$500,$K36))</f>
        <v/>
      </c>
      <c r="H36" s="8">
        <f>IF($K36="","",INDEX(מלאי!$U$2:$500,$K36))</f>
        <v/>
      </c>
      <c r="I36" s="8">
        <f>IF($K36="","",INDEX(מלאי!$X$2:$500,$K36))</f>
        <v/>
      </c>
      <c r="J36" s="8">
        <f>IF($K36="","",INDEX(מלאי!$AC$2:$500,$K36))</f>
        <v/>
      </c>
      <c r="K3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16),"")</f>
        <v/>
      </c>
    </row>
    <row r="37">
      <c r="A37" s="2">
        <f>IF($K37="","",INDEX(מלאי!$D$2:$500,$K37))</f>
        <v/>
      </c>
      <c r="B37" s="2">
        <f>IF($K37="","",INDEX(מלאי!$B$2:$500,$K37))</f>
        <v/>
      </c>
      <c r="C37" s="2">
        <f>IF($K37="","",INDEX(מלאי!$C$2:$500,$K37))</f>
        <v/>
      </c>
      <c r="D37" s="2">
        <f>IF($K37="","",INDEX(מלאי!$G$2:$500,$K37))</f>
        <v/>
      </c>
      <c r="E37" s="2">
        <f>IF($K37="","",INDEX(מלאי!$M$2:$500,$K37))</f>
        <v/>
      </c>
      <c r="F37" s="2">
        <f>IF($K37="","",INDEX(מלאי!$N$2:$500,$K37))</f>
        <v/>
      </c>
      <c r="G37" s="2">
        <f>IF($K37="","",INDEX(מלאי!$O$2:$500,$K37))</f>
        <v/>
      </c>
      <c r="H37" s="2">
        <f>IF($K37="","",INDEX(מלאי!$U$2:$500,$K37))</f>
        <v/>
      </c>
      <c r="I37" s="2">
        <f>IF($K37="","",INDEX(מלאי!$X$2:$500,$K37))</f>
        <v/>
      </c>
      <c r="J37" s="2">
        <f>IF($K37="","",INDEX(מלאי!$AC$2:$500,$K37))</f>
        <v/>
      </c>
      <c r="K3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17),"")</f>
        <v/>
      </c>
    </row>
    <row r="38">
      <c r="A38" s="8">
        <f>IF($K38="","",INDEX(מלאי!$D$2:$500,$K38))</f>
        <v/>
      </c>
      <c r="B38" s="8">
        <f>IF($K38="","",INDEX(מלאי!$B$2:$500,$K38))</f>
        <v/>
      </c>
      <c r="C38" s="8">
        <f>IF($K38="","",INDEX(מלאי!$C$2:$500,$K38))</f>
        <v/>
      </c>
      <c r="D38" s="8">
        <f>IF($K38="","",INDEX(מלאי!$G$2:$500,$K38))</f>
        <v/>
      </c>
      <c r="E38" s="8">
        <f>IF($K38="","",INDEX(מלאי!$M$2:$500,$K38))</f>
        <v/>
      </c>
      <c r="F38" s="8">
        <f>IF($K38="","",INDEX(מלאי!$N$2:$500,$K38))</f>
        <v/>
      </c>
      <c r="G38" s="8">
        <f>IF($K38="","",INDEX(מלאי!$O$2:$500,$K38))</f>
        <v/>
      </c>
      <c r="H38" s="8">
        <f>IF($K38="","",INDEX(מלאי!$U$2:$500,$K38))</f>
        <v/>
      </c>
      <c r="I38" s="8">
        <f>IF($K38="","",INDEX(מלאי!$X$2:$500,$K38))</f>
        <v/>
      </c>
      <c r="J38" s="8">
        <f>IF($K38="","",INDEX(מלאי!$AC$2:$500,$K38))</f>
        <v/>
      </c>
      <c r="K3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18),"")</f>
        <v/>
      </c>
    </row>
    <row r="39">
      <c r="A39" s="2">
        <f>IF($K39="","",INDEX(מלאי!$D$2:$500,$K39))</f>
        <v/>
      </c>
      <c r="B39" s="2">
        <f>IF($K39="","",INDEX(מלאי!$B$2:$500,$K39))</f>
        <v/>
      </c>
      <c r="C39" s="2">
        <f>IF($K39="","",INDEX(מלאי!$C$2:$500,$K39))</f>
        <v/>
      </c>
      <c r="D39" s="2">
        <f>IF($K39="","",INDEX(מלאי!$G$2:$500,$K39))</f>
        <v/>
      </c>
      <c r="E39" s="2">
        <f>IF($K39="","",INDEX(מלאי!$M$2:$500,$K39))</f>
        <v/>
      </c>
      <c r="F39" s="2">
        <f>IF($K39="","",INDEX(מלאי!$N$2:$500,$K39))</f>
        <v/>
      </c>
      <c r="G39" s="2">
        <f>IF($K39="","",INDEX(מלאי!$O$2:$500,$K39))</f>
        <v/>
      </c>
      <c r="H39" s="2">
        <f>IF($K39="","",INDEX(מלאי!$U$2:$500,$K39))</f>
        <v/>
      </c>
      <c r="I39" s="2">
        <f>IF($K39="","",INDEX(מלאי!$X$2:$500,$K39))</f>
        <v/>
      </c>
      <c r="J39" s="2">
        <f>IF($K39="","",INDEX(מלאי!$AC$2:$500,$K39))</f>
        <v/>
      </c>
      <c r="K3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19),"")</f>
        <v/>
      </c>
    </row>
    <row r="40">
      <c r="A40" s="8">
        <f>IF($K40="","",INDEX(מלאי!$D$2:$500,$K40))</f>
        <v/>
      </c>
      <c r="B40" s="8">
        <f>IF($K40="","",INDEX(מלאי!$B$2:$500,$K40))</f>
        <v/>
      </c>
      <c r="C40" s="8">
        <f>IF($K40="","",INDEX(מלאי!$C$2:$500,$K40))</f>
        <v/>
      </c>
      <c r="D40" s="8">
        <f>IF($K40="","",INDEX(מלאי!$G$2:$500,$K40))</f>
        <v/>
      </c>
      <c r="E40" s="8">
        <f>IF($K40="","",INDEX(מלאי!$M$2:$500,$K40))</f>
        <v/>
      </c>
      <c r="F40" s="8">
        <f>IF($K40="","",INDEX(מלאי!$N$2:$500,$K40))</f>
        <v/>
      </c>
      <c r="G40" s="8">
        <f>IF($K40="","",INDEX(מלאי!$O$2:$500,$K40))</f>
        <v/>
      </c>
      <c r="H40" s="8">
        <f>IF($K40="","",INDEX(מלאי!$U$2:$500,$K40))</f>
        <v/>
      </c>
      <c r="I40" s="8">
        <f>IF($K40="","",INDEX(מלאי!$X$2:$500,$K40))</f>
        <v/>
      </c>
      <c r="J40" s="8">
        <f>IF($K40="","",INDEX(מלאי!$AC$2:$500,$K40))</f>
        <v/>
      </c>
      <c r="K4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20),"")</f>
        <v/>
      </c>
    </row>
    <row r="41">
      <c r="A41" s="2">
        <f>IF($K41="","",INDEX(מלאי!$D$2:$500,$K41))</f>
        <v/>
      </c>
      <c r="B41" s="2">
        <f>IF($K41="","",INDEX(מלאי!$B$2:$500,$K41))</f>
        <v/>
      </c>
      <c r="C41" s="2">
        <f>IF($K41="","",INDEX(מלאי!$C$2:$500,$K41))</f>
        <v/>
      </c>
      <c r="D41" s="2">
        <f>IF($K41="","",INDEX(מלאי!$G$2:$500,$K41))</f>
        <v/>
      </c>
      <c r="E41" s="2">
        <f>IF($K41="","",INDEX(מלאי!$M$2:$500,$K41))</f>
        <v/>
      </c>
      <c r="F41" s="2">
        <f>IF($K41="","",INDEX(מלאי!$N$2:$500,$K41))</f>
        <v/>
      </c>
      <c r="G41" s="2">
        <f>IF($K41="","",INDEX(מלאי!$O$2:$500,$K41))</f>
        <v/>
      </c>
      <c r="H41" s="2">
        <f>IF($K41="","",INDEX(מלאי!$U$2:$500,$K41))</f>
        <v/>
      </c>
      <c r="I41" s="2">
        <f>IF($K41="","",INDEX(מלאי!$X$2:$500,$K41))</f>
        <v/>
      </c>
      <c r="J41" s="2">
        <f>IF($K41="","",INDEX(מלאי!$AC$2:$500,$K41))</f>
        <v/>
      </c>
      <c r="K4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21),"")</f>
        <v/>
      </c>
    </row>
    <row r="42">
      <c r="A42" s="8">
        <f>IF($K42="","",INDEX(מלאי!$D$2:$500,$K42))</f>
        <v/>
      </c>
      <c r="B42" s="8">
        <f>IF($K42="","",INDEX(מלאי!$B$2:$500,$K42))</f>
        <v/>
      </c>
      <c r="C42" s="8">
        <f>IF($K42="","",INDEX(מלאי!$C$2:$500,$K42))</f>
        <v/>
      </c>
      <c r="D42" s="8">
        <f>IF($K42="","",INDEX(מלאי!$G$2:$500,$K42))</f>
        <v/>
      </c>
      <c r="E42" s="8">
        <f>IF($K42="","",INDEX(מלאי!$M$2:$500,$K42))</f>
        <v/>
      </c>
      <c r="F42" s="8">
        <f>IF($K42="","",INDEX(מלאי!$N$2:$500,$K42))</f>
        <v/>
      </c>
      <c r="G42" s="8">
        <f>IF($K42="","",INDEX(מלאי!$O$2:$500,$K42))</f>
        <v/>
      </c>
      <c r="H42" s="8">
        <f>IF($K42="","",INDEX(מלאי!$U$2:$500,$K42))</f>
        <v/>
      </c>
      <c r="I42" s="8">
        <f>IF($K42="","",INDEX(מלאי!$X$2:$500,$K42))</f>
        <v/>
      </c>
      <c r="J42" s="8">
        <f>IF($K42="","",INDEX(מלאי!$AC$2:$500,$K42))</f>
        <v/>
      </c>
      <c r="K4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22),"")</f>
        <v/>
      </c>
    </row>
    <row r="43">
      <c r="A43" s="2">
        <f>IF($K43="","",INDEX(מלאי!$D$2:$500,$K43))</f>
        <v/>
      </c>
      <c r="B43" s="2">
        <f>IF($K43="","",INDEX(מלאי!$B$2:$500,$K43))</f>
        <v/>
      </c>
      <c r="C43" s="2">
        <f>IF($K43="","",INDEX(מלאי!$C$2:$500,$K43))</f>
        <v/>
      </c>
      <c r="D43" s="2">
        <f>IF($K43="","",INDEX(מלאי!$G$2:$500,$K43))</f>
        <v/>
      </c>
      <c r="E43" s="2">
        <f>IF($K43="","",INDEX(מלאי!$M$2:$500,$K43))</f>
        <v/>
      </c>
      <c r="F43" s="2">
        <f>IF($K43="","",INDEX(מלאי!$N$2:$500,$K43))</f>
        <v/>
      </c>
      <c r="G43" s="2">
        <f>IF($K43="","",INDEX(מלאי!$O$2:$500,$K43))</f>
        <v/>
      </c>
      <c r="H43" s="2">
        <f>IF($K43="","",INDEX(מלאי!$U$2:$500,$K43))</f>
        <v/>
      </c>
      <c r="I43" s="2">
        <f>IF($K43="","",INDEX(מלאי!$X$2:$500,$K43))</f>
        <v/>
      </c>
      <c r="J43" s="2">
        <f>IF($K43="","",INDEX(מלאי!$AC$2:$500,$K43))</f>
        <v/>
      </c>
      <c r="K4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23),"")</f>
        <v/>
      </c>
    </row>
    <row r="44">
      <c r="A44" s="8">
        <f>IF($K44="","",INDEX(מלאי!$D$2:$500,$K44))</f>
        <v/>
      </c>
      <c r="B44" s="8">
        <f>IF($K44="","",INDEX(מלאי!$B$2:$500,$K44))</f>
        <v/>
      </c>
      <c r="C44" s="8">
        <f>IF($K44="","",INDEX(מלאי!$C$2:$500,$K44))</f>
        <v/>
      </c>
      <c r="D44" s="8">
        <f>IF($K44="","",INDEX(מלאי!$G$2:$500,$K44))</f>
        <v/>
      </c>
      <c r="E44" s="8">
        <f>IF($K44="","",INDEX(מלאי!$M$2:$500,$K44))</f>
        <v/>
      </c>
      <c r="F44" s="8">
        <f>IF($K44="","",INDEX(מלאי!$N$2:$500,$K44))</f>
        <v/>
      </c>
      <c r="G44" s="8">
        <f>IF($K44="","",INDEX(מלאי!$O$2:$500,$K44))</f>
        <v/>
      </c>
      <c r="H44" s="8">
        <f>IF($K44="","",INDEX(מלאי!$U$2:$500,$K44))</f>
        <v/>
      </c>
      <c r="I44" s="8">
        <f>IF($K44="","",INDEX(מלאי!$X$2:$500,$K44))</f>
        <v/>
      </c>
      <c r="J44" s="8">
        <f>IF($K44="","",INDEX(מלאי!$AC$2:$500,$K44))</f>
        <v/>
      </c>
      <c r="K4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24),"")</f>
        <v/>
      </c>
    </row>
    <row r="45">
      <c r="A45" s="2">
        <f>IF($K45="","",INDEX(מלאי!$D$2:$500,$K45))</f>
        <v/>
      </c>
      <c r="B45" s="2">
        <f>IF($K45="","",INDEX(מלאי!$B$2:$500,$K45))</f>
        <v/>
      </c>
      <c r="C45" s="2">
        <f>IF($K45="","",INDEX(מלאי!$C$2:$500,$K45))</f>
        <v/>
      </c>
      <c r="D45" s="2">
        <f>IF($K45="","",INDEX(מלאי!$G$2:$500,$K45))</f>
        <v/>
      </c>
      <c r="E45" s="2">
        <f>IF($K45="","",INDEX(מלאי!$M$2:$500,$K45))</f>
        <v/>
      </c>
      <c r="F45" s="2">
        <f>IF($K45="","",INDEX(מלאי!$N$2:$500,$K45))</f>
        <v/>
      </c>
      <c r="G45" s="2">
        <f>IF($K45="","",INDEX(מלאי!$O$2:$500,$K45))</f>
        <v/>
      </c>
      <c r="H45" s="2">
        <f>IF($K45="","",INDEX(מלאי!$U$2:$500,$K45))</f>
        <v/>
      </c>
      <c r="I45" s="2">
        <f>IF($K45="","",INDEX(מלאי!$X$2:$500,$K45))</f>
        <v/>
      </c>
      <c r="J45" s="2">
        <f>IF($K45="","",INDEX(מלאי!$AC$2:$500,$K45))</f>
        <v/>
      </c>
      <c r="K4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25),"")</f>
        <v/>
      </c>
    </row>
    <row r="46">
      <c r="A46" s="8">
        <f>IF($K46="","",INDEX(מלאי!$D$2:$500,$K46))</f>
        <v/>
      </c>
      <c r="B46" s="8">
        <f>IF($K46="","",INDEX(מלאי!$B$2:$500,$K46))</f>
        <v/>
      </c>
      <c r="C46" s="8">
        <f>IF($K46="","",INDEX(מלאי!$C$2:$500,$K46))</f>
        <v/>
      </c>
      <c r="D46" s="8">
        <f>IF($K46="","",INDEX(מלאי!$G$2:$500,$K46))</f>
        <v/>
      </c>
      <c r="E46" s="8">
        <f>IF($K46="","",INDEX(מלאי!$M$2:$500,$K46))</f>
        <v/>
      </c>
      <c r="F46" s="8">
        <f>IF($K46="","",INDEX(מלאי!$N$2:$500,$K46))</f>
        <v/>
      </c>
      <c r="G46" s="8">
        <f>IF($K46="","",INDEX(מלאי!$O$2:$500,$K46))</f>
        <v/>
      </c>
      <c r="H46" s="8">
        <f>IF($K46="","",INDEX(מלאי!$U$2:$500,$K46))</f>
        <v/>
      </c>
      <c r="I46" s="8">
        <f>IF($K46="","",INDEX(מלאי!$X$2:$500,$K46))</f>
        <v/>
      </c>
      <c r="J46" s="8">
        <f>IF($K46="","",INDEX(מלאי!$AC$2:$500,$K46))</f>
        <v/>
      </c>
      <c r="K4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26),"")</f>
        <v/>
      </c>
    </row>
    <row r="47">
      <c r="A47" s="2">
        <f>IF($K47="","",INDEX(מלאי!$D$2:$500,$K47))</f>
        <v/>
      </c>
      <c r="B47" s="2">
        <f>IF($K47="","",INDEX(מלאי!$B$2:$500,$K47))</f>
        <v/>
      </c>
      <c r="C47" s="2">
        <f>IF($K47="","",INDEX(מלאי!$C$2:$500,$K47))</f>
        <v/>
      </c>
      <c r="D47" s="2">
        <f>IF($K47="","",INDEX(מלאי!$G$2:$500,$K47))</f>
        <v/>
      </c>
      <c r="E47" s="2">
        <f>IF($K47="","",INDEX(מלאי!$M$2:$500,$K47))</f>
        <v/>
      </c>
      <c r="F47" s="2">
        <f>IF($K47="","",INDEX(מלאי!$N$2:$500,$K47))</f>
        <v/>
      </c>
      <c r="G47" s="2">
        <f>IF($K47="","",INDEX(מלאי!$O$2:$500,$K47))</f>
        <v/>
      </c>
      <c r="H47" s="2">
        <f>IF($K47="","",INDEX(מלאי!$U$2:$500,$K47))</f>
        <v/>
      </c>
      <c r="I47" s="2">
        <f>IF($K47="","",INDEX(מלאי!$X$2:$500,$K47))</f>
        <v/>
      </c>
      <c r="J47" s="2">
        <f>IF($K47="","",INDEX(מלאי!$AC$2:$500,$K47))</f>
        <v/>
      </c>
      <c r="K4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27),"")</f>
        <v/>
      </c>
    </row>
    <row r="48">
      <c r="A48" s="8">
        <f>IF($K48="","",INDEX(מלאי!$D$2:$500,$K48))</f>
        <v/>
      </c>
      <c r="B48" s="8">
        <f>IF($K48="","",INDEX(מלאי!$B$2:$500,$K48))</f>
        <v/>
      </c>
      <c r="C48" s="8">
        <f>IF($K48="","",INDEX(מלאי!$C$2:$500,$K48))</f>
        <v/>
      </c>
      <c r="D48" s="8">
        <f>IF($K48="","",INDEX(מלאי!$G$2:$500,$K48))</f>
        <v/>
      </c>
      <c r="E48" s="8">
        <f>IF($K48="","",INDEX(מלאי!$M$2:$500,$K48))</f>
        <v/>
      </c>
      <c r="F48" s="8">
        <f>IF($K48="","",INDEX(מלאי!$N$2:$500,$K48))</f>
        <v/>
      </c>
      <c r="G48" s="8">
        <f>IF($K48="","",INDEX(מלאי!$O$2:$500,$K48))</f>
        <v/>
      </c>
      <c r="H48" s="8">
        <f>IF($K48="","",INDEX(מלאי!$U$2:$500,$K48))</f>
        <v/>
      </c>
      <c r="I48" s="8">
        <f>IF($K48="","",INDEX(מלאי!$X$2:$500,$K48))</f>
        <v/>
      </c>
      <c r="J48" s="8">
        <f>IF($K48="","",INDEX(מלאי!$AC$2:$500,$K48))</f>
        <v/>
      </c>
      <c r="K4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28),"")</f>
        <v/>
      </c>
    </row>
    <row r="49">
      <c r="A49" s="2">
        <f>IF($K49="","",INDEX(מלאי!$D$2:$500,$K49))</f>
        <v/>
      </c>
      <c r="B49" s="2">
        <f>IF($K49="","",INDEX(מלאי!$B$2:$500,$K49))</f>
        <v/>
      </c>
      <c r="C49" s="2">
        <f>IF($K49="","",INDEX(מלאי!$C$2:$500,$K49))</f>
        <v/>
      </c>
      <c r="D49" s="2">
        <f>IF($K49="","",INDEX(מלאי!$G$2:$500,$K49))</f>
        <v/>
      </c>
      <c r="E49" s="2">
        <f>IF($K49="","",INDEX(מלאי!$M$2:$500,$K49))</f>
        <v/>
      </c>
      <c r="F49" s="2">
        <f>IF($K49="","",INDEX(מלאי!$N$2:$500,$K49))</f>
        <v/>
      </c>
      <c r="G49" s="2">
        <f>IF($K49="","",INDEX(מלאי!$O$2:$500,$K49))</f>
        <v/>
      </c>
      <c r="H49" s="2">
        <f>IF($K49="","",INDEX(מלאי!$U$2:$500,$K49))</f>
        <v/>
      </c>
      <c r="I49" s="2">
        <f>IF($K49="","",INDEX(מלאי!$X$2:$500,$K49))</f>
        <v/>
      </c>
      <c r="J49" s="2">
        <f>IF($K49="","",INDEX(מלאי!$AC$2:$500,$K49))</f>
        <v/>
      </c>
      <c r="K4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29),"")</f>
        <v/>
      </c>
    </row>
    <row r="50">
      <c r="A50" s="8">
        <f>IF($K50="","",INDEX(מלאי!$D$2:$500,$K50))</f>
        <v/>
      </c>
      <c r="B50" s="8">
        <f>IF($K50="","",INDEX(מלאי!$B$2:$500,$K50))</f>
        <v/>
      </c>
      <c r="C50" s="8">
        <f>IF($K50="","",INDEX(מלאי!$C$2:$500,$K50))</f>
        <v/>
      </c>
      <c r="D50" s="8">
        <f>IF($K50="","",INDEX(מלאי!$G$2:$500,$K50))</f>
        <v/>
      </c>
      <c r="E50" s="8">
        <f>IF($K50="","",INDEX(מלאי!$M$2:$500,$K50))</f>
        <v/>
      </c>
      <c r="F50" s="8">
        <f>IF($K50="","",INDEX(מלאי!$N$2:$500,$K50))</f>
        <v/>
      </c>
      <c r="G50" s="8">
        <f>IF($K50="","",INDEX(מלאי!$O$2:$500,$K50))</f>
        <v/>
      </c>
      <c r="H50" s="8">
        <f>IF($K50="","",INDEX(מלאי!$U$2:$500,$K50))</f>
        <v/>
      </c>
      <c r="I50" s="8">
        <f>IF($K50="","",INDEX(מלאי!$X$2:$500,$K50))</f>
        <v/>
      </c>
      <c r="J50" s="8">
        <f>IF($K50="","",INDEX(מלאי!$AC$2:$500,$K50))</f>
        <v/>
      </c>
      <c r="K5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30),"")</f>
        <v/>
      </c>
    </row>
    <row r="51">
      <c r="A51" s="2">
        <f>IF($K51="","",INDEX(מלאי!$D$2:$500,$K51))</f>
        <v/>
      </c>
      <c r="B51" s="2">
        <f>IF($K51="","",INDEX(מלאי!$B$2:$500,$K51))</f>
        <v/>
      </c>
      <c r="C51" s="2">
        <f>IF($K51="","",INDEX(מלאי!$C$2:$500,$K51))</f>
        <v/>
      </c>
      <c r="D51" s="2">
        <f>IF($K51="","",INDEX(מלאי!$G$2:$500,$K51))</f>
        <v/>
      </c>
      <c r="E51" s="2">
        <f>IF($K51="","",INDEX(מלאי!$M$2:$500,$K51))</f>
        <v/>
      </c>
      <c r="F51" s="2">
        <f>IF($K51="","",INDEX(מלאי!$N$2:$500,$K51))</f>
        <v/>
      </c>
      <c r="G51" s="2">
        <f>IF($K51="","",INDEX(מלאי!$O$2:$500,$K51))</f>
        <v/>
      </c>
      <c r="H51" s="2">
        <f>IF($K51="","",INDEX(מלאי!$U$2:$500,$K51))</f>
        <v/>
      </c>
      <c r="I51" s="2">
        <f>IF($K51="","",INDEX(מלאי!$X$2:$500,$K51))</f>
        <v/>
      </c>
      <c r="J51" s="2">
        <f>IF($K51="","",INDEX(מלאי!$AC$2:$500,$K51))</f>
        <v/>
      </c>
      <c r="K5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31),"")</f>
        <v/>
      </c>
    </row>
    <row r="52">
      <c r="A52" s="8">
        <f>IF($K52="","",INDEX(מלאי!$D$2:$500,$K52))</f>
        <v/>
      </c>
      <c r="B52" s="8">
        <f>IF($K52="","",INDEX(מלאי!$B$2:$500,$K52))</f>
        <v/>
      </c>
      <c r="C52" s="8">
        <f>IF($K52="","",INDEX(מלאי!$C$2:$500,$K52))</f>
        <v/>
      </c>
      <c r="D52" s="8">
        <f>IF($K52="","",INDEX(מלאי!$G$2:$500,$K52))</f>
        <v/>
      </c>
      <c r="E52" s="8">
        <f>IF($K52="","",INDEX(מלאי!$M$2:$500,$K52))</f>
        <v/>
      </c>
      <c r="F52" s="8">
        <f>IF($K52="","",INDEX(מלאי!$N$2:$500,$K52))</f>
        <v/>
      </c>
      <c r="G52" s="8">
        <f>IF($K52="","",INDEX(מלאי!$O$2:$500,$K52))</f>
        <v/>
      </c>
      <c r="H52" s="8">
        <f>IF($K52="","",INDEX(מלאי!$U$2:$500,$K52))</f>
        <v/>
      </c>
      <c r="I52" s="8">
        <f>IF($K52="","",INDEX(מלאי!$X$2:$500,$K52))</f>
        <v/>
      </c>
      <c r="J52" s="8">
        <f>IF($K52="","",INDEX(מלאי!$AC$2:$500,$K52))</f>
        <v/>
      </c>
      <c r="K5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32),"")</f>
        <v/>
      </c>
    </row>
    <row r="53">
      <c r="A53" s="2">
        <f>IF($K53="","",INDEX(מלאי!$D$2:$500,$K53))</f>
        <v/>
      </c>
      <c r="B53" s="2">
        <f>IF($K53="","",INDEX(מלאי!$B$2:$500,$K53))</f>
        <v/>
      </c>
      <c r="C53" s="2">
        <f>IF($K53="","",INDEX(מלאי!$C$2:$500,$K53))</f>
        <v/>
      </c>
      <c r="D53" s="2">
        <f>IF($K53="","",INDEX(מלאי!$G$2:$500,$K53))</f>
        <v/>
      </c>
      <c r="E53" s="2">
        <f>IF($K53="","",INDEX(מלאי!$M$2:$500,$K53))</f>
        <v/>
      </c>
      <c r="F53" s="2">
        <f>IF($K53="","",INDEX(מלאי!$N$2:$500,$K53))</f>
        <v/>
      </c>
      <c r="G53" s="2">
        <f>IF($K53="","",INDEX(מלאי!$O$2:$500,$K53))</f>
        <v/>
      </c>
      <c r="H53" s="2">
        <f>IF($K53="","",INDEX(מלאי!$U$2:$500,$K53))</f>
        <v/>
      </c>
      <c r="I53" s="2">
        <f>IF($K53="","",INDEX(מלאי!$X$2:$500,$K53))</f>
        <v/>
      </c>
      <c r="J53" s="2">
        <f>IF($K53="","",INDEX(מלאי!$AC$2:$500,$K53))</f>
        <v/>
      </c>
      <c r="K5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33),"")</f>
        <v/>
      </c>
    </row>
    <row r="54">
      <c r="A54" s="8">
        <f>IF($K54="","",INDEX(מלאי!$D$2:$500,$K54))</f>
        <v/>
      </c>
      <c r="B54" s="8">
        <f>IF($K54="","",INDEX(מלאי!$B$2:$500,$K54))</f>
        <v/>
      </c>
      <c r="C54" s="8">
        <f>IF($K54="","",INDEX(מלאי!$C$2:$500,$K54))</f>
        <v/>
      </c>
      <c r="D54" s="8">
        <f>IF($K54="","",INDEX(מלאי!$G$2:$500,$K54))</f>
        <v/>
      </c>
      <c r="E54" s="8">
        <f>IF($K54="","",INDEX(מלאי!$M$2:$500,$K54))</f>
        <v/>
      </c>
      <c r="F54" s="8">
        <f>IF($K54="","",INDEX(מלאי!$N$2:$500,$K54))</f>
        <v/>
      </c>
      <c r="G54" s="8">
        <f>IF($K54="","",INDEX(מלאי!$O$2:$500,$K54))</f>
        <v/>
      </c>
      <c r="H54" s="8">
        <f>IF($K54="","",INDEX(מלאי!$U$2:$500,$K54))</f>
        <v/>
      </c>
      <c r="I54" s="8">
        <f>IF($K54="","",INDEX(מלאי!$X$2:$500,$K54))</f>
        <v/>
      </c>
      <c r="J54" s="8">
        <f>IF($K54="","",INDEX(מלאי!$AC$2:$500,$K54))</f>
        <v/>
      </c>
      <c r="K5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34),"")</f>
        <v/>
      </c>
    </row>
    <row r="55">
      <c r="A55" s="2">
        <f>IF($K55="","",INDEX(מלאי!$D$2:$500,$K55))</f>
        <v/>
      </c>
      <c r="B55" s="2">
        <f>IF($K55="","",INDEX(מלאי!$B$2:$500,$K55))</f>
        <v/>
      </c>
      <c r="C55" s="2">
        <f>IF($K55="","",INDEX(מלאי!$C$2:$500,$K55))</f>
        <v/>
      </c>
      <c r="D55" s="2">
        <f>IF($K55="","",INDEX(מלאי!$G$2:$500,$K55))</f>
        <v/>
      </c>
      <c r="E55" s="2">
        <f>IF($K55="","",INDEX(מלאי!$M$2:$500,$K55))</f>
        <v/>
      </c>
      <c r="F55" s="2">
        <f>IF($K55="","",INDEX(מלאי!$N$2:$500,$K55))</f>
        <v/>
      </c>
      <c r="G55" s="2">
        <f>IF($K55="","",INDEX(מלאי!$O$2:$500,$K55))</f>
        <v/>
      </c>
      <c r="H55" s="2">
        <f>IF($K55="","",INDEX(מלאי!$U$2:$500,$K55))</f>
        <v/>
      </c>
      <c r="I55" s="2">
        <f>IF($K55="","",INDEX(מלאי!$X$2:$500,$K55))</f>
        <v/>
      </c>
      <c r="J55" s="2">
        <f>IF($K55="","",INDEX(מלאי!$AC$2:$500,$K55))</f>
        <v/>
      </c>
      <c r="K5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35),"")</f>
        <v/>
      </c>
    </row>
    <row r="56">
      <c r="A56" s="8">
        <f>IF($K56="","",INDEX(מלאי!$D$2:$500,$K56))</f>
        <v/>
      </c>
      <c r="B56" s="8">
        <f>IF($K56="","",INDEX(מלאי!$B$2:$500,$K56))</f>
        <v/>
      </c>
      <c r="C56" s="8">
        <f>IF($K56="","",INDEX(מלאי!$C$2:$500,$K56))</f>
        <v/>
      </c>
      <c r="D56" s="8">
        <f>IF($K56="","",INDEX(מלאי!$G$2:$500,$K56))</f>
        <v/>
      </c>
      <c r="E56" s="8">
        <f>IF($K56="","",INDEX(מלאי!$M$2:$500,$K56))</f>
        <v/>
      </c>
      <c r="F56" s="8">
        <f>IF($K56="","",INDEX(מלאי!$N$2:$500,$K56))</f>
        <v/>
      </c>
      <c r="G56" s="8">
        <f>IF($K56="","",INDEX(מלאי!$O$2:$500,$K56))</f>
        <v/>
      </c>
      <c r="H56" s="8">
        <f>IF($K56="","",INDEX(מלאי!$U$2:$500,$K56))</f>
        <v/>
      </c>
      <c r="I56" s="8">
        <f>IF($K56="","",INDEX(מלאי!$X$2:$500,$K56))</f>
        <v/>
      </c>
      <c r="J56" s="8">
        <f>IF($K56="","",INDEX(מלאי!$AC$2:$500,$K56))</f>
        <v/>
      </c>
      <c r="K5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36),"")</f>
        <v/>
      </c>
    </row>
    <row r="57">
      <c r="A57" s="2">
        <f>IF($K57="","",INDEX(מלאי!$D$2:$500,$K57))</f>
        <v/>
      </c>
      <c r="B57" s="2">
        <f>IF($K57="","",INDEX(מלאי!$B$2:$500,$K57))</f>
        <v/>
      </c>
      <c r="C57" s="2">
        <f>IF($K57="","",INDEX(מלאי!$C$2:$500,$K57))</f>
        <v/>
      </c>
      <c r="D57" s="2">
        <f>IF($K57="","",INDEX(מלאי!$G$2:$500,$K57))</f>
        <v/>
      </c>
      <c r="E57" s="2">
        <f>IF($K57="","",INDEX(מלאי!$M$2:$500,$K57))</f>
        <v/>
      </c>
      <c r="F57" s="2">
        <f>IF($K57="","",INDEX(מלאי!$N$2:$500,$K57))</f>
        <v/>
      </c>
      <c r="G57" s="2">
        <f>IF($K57="","",INDEX(מלאי!$O$2:$500,$K57))</f>
        <v/>
      </c>
      <c r="H57" s="2">
        <f>IF($K57="","",INDEX(מלאי!$U$2:$500,$K57))</f>
        <v/>
      </c>
      <c r="I57" s="2">
        <f>IF($K57="","",INDEX(מלאי!$X$2:$500,$K57))</f>
        <v/>
      </c>
      <c r="J57" s="2">
        <f>IF($K57="","",INDEX(מלאי!$AC$2:$500,$K57))</f>
        <v/>
      </c>
      <c r="K5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37),"")</f>
        <v/>
      </c>
    </row>
    <row r="58">
      <c r="A58" s="8">
        <f>IF($K58="","",INDEX(מלאי!$D$2:$500,$K58))</f>
        <v/>
      </c>
      <c r="B58" s="8">
        <f>IF($K58="","",INDEX(מלאי!$B$2:$500,$K58))</f>
        <v/>
      </c>
      <c r="C58" s="8">
        <f>IF($K58="","",INDEX(מלאי!$C$2:$500,$K58))</f>
        <v/>
      </c>
      <c r="D58" s="8">
        <f>IF($K58="","",INDEX(מלאי!$G$2:$500,$K58))</f>
        <v/>
      </c>
      <c r="E58" s="8">
        <f>IF($K58="","",INDEX(מלאי!$M$2:$500,$K58))</f>
        <v/>
      </c>
      <c r="F58" s="8">
        <f>IF($K58="","",INDEX(מלאי!$N$2:$500,$K58))</f>
        <v/>
      </c>
      <c r="G58" s="8">
        <f>IF($K58="","",INDEX(מלאי!$O$2:$500,$K58))</f>
        <v/>
      </c>
      <c r="H58" s="8">
        <f>IF($K58="","",INDEX(מלאי!$U$2:$500,$K58))</f>
        <v/>
      </c>
      <c r="I58" s="8">
        <f>IF($K58="","",INDEX(מלאי!$X$2:$500,$K58))</f>
        <v/>
      </c>
      <c r="J58" s="8">
        <f>IF($K58="","",INDEX(מלאי!$AC$2:$500,$K58))</f>
        <v/>
      </c>
      <c r="K5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38),"")</f>
        <v/>
      </c>
    </row>
    <row r="59">
      <c r="A59" s="2">
        <f>IF($K59="","",INDEX(מלאי!$D$2:$500,$K59))</f>
        <v/>
      </c>
      <c r="B59" s="2">
        <f>IF($K59="","",INDEX(מלאי!$B$2:$500,$K59))</f>
        <v/>
      </c>
      <c r="C59" s="2">
        <f>IF($K59="","",INDEX(מלאי!$C$2:$500,$K59))</f>
        <v/>
      </c>
      <c r="D59" s="2">
        <f>IF($K59="","",INDEX(מלאי!$G$2:$500,$K59))</f>
        <v/>
      </c>
      <c r="E59" s="2">
        <f>IF($K59="","",INDEX(מלאי!$M$2:$500,$K59))</f>
        <v/>
      </c>
      <c r="F59" s="2">
        <f>IF($K59="","",INDEX(מלאי!$N$2:$500,$K59))</f>
        <v/>
      </c>
      <c r="G59" s="2">
        <f>IF($K59="","",INDEX(מלאי!$O$2:$500,$K59))</f>
        <v/>
      </c>
      <c r="H59" s="2">
        <f>IF($K59="","",INDEX(מלאי!$U$2:$500,$K59))</f>
        <v/>
      </c>
      <c r="I59" s="2">
        <f>IF($K59="","",INDEX(מלאי!$X$2:$500,$K59))</f>
        <v/>
      </c>
      <c r="J59" s="2">
        <f>IF($K59="","",INDEX(מלאי!$AC$2:$500,$K59))</f>
        <v/>
      </c>
      <c r="K5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39),"")</f>
        <v/>
      </c>
    </row>
    <row r="60">
      <c r="A60" s="8">
        <f>IF($K60="","",INDEX(מלאי!$D$2:$500,$K60))</f>
        <v/>
      </c>
      <c r="B60" s="8">
        <f>IF($K60="","",INDEX(מלאי!$B$2:$500,$K60))</f>
        <v/>
      </c>
      <c r="C60" s="8">
        <f>IF($K60="","",INDEX(מלאי!$C$2:$500,$K60))</f>
        <v/>
      </c>
      <c r="D60" s="8">
        <f>IF($K60="","",INDEX(מלאי!$G$2:$500,$K60))</f>
        <v/>
      </c>
      <c r="E60" s="8">
        <f>IF($K60="","",INDEX(מלאי!$M$2:$500,$K60))</f>
        <v/>
      </c>
      <c r="F60" s="8">
        <f>IF($K60="","",INDEX(מלאי!$N$2:$500,$K60))</f>
        <v/>
      </c>
      <c r="G60" s="8">
        <f>IF($K60="","",INDEX(מלאי!$O$2:$500,$K60))</f>
        <v/>
      </c>
      <c r="H60" s="8">
        <f>IF($K60="","",INDEX(מלאי!$U$2:$500,$K60))</f>
        <v/>
      </c>
      <c r="I60" s="8">
        <f>IF($K60="","",INDEX(מלאי!$X$2:$500,$K60))</f>
        <v/>
      </c>
      <c r="J60" s="8">
        <f>IF($K60="","",INDEX(מלאי!$AC$2:$500,$K60))</f>
        <v/>
      </c>
      <c r="K6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40),"")</f>
        <v/>
      </c>
    </row>
    <row r="61">
      <c r="A61" s="2">
        <f>IF($K61="","",INDEX(מלאי!$D$2:$500,$K61))</f>
        <v/>
      </c>
      <c r="B61" s="2">
        <f>IF($K61="","",INDEX(מלאי!$B$2:$500,$K61))</f>
        <v/>
      </c>
      <c r="C61" s="2">
        <f>IF($K61="","",INDEX(מלאי!$C$2:$500,$K61))</f>
        <v/>
      </c>
      <c r="D61" s="2">
        <f>IF($K61="","",INDEX(מלאי!$G$2:$500,$K61))</f>
        <v/>
      </c>
      <c r="E61" s="2">
        <f>IF($K61="","",INDEX(מלאי!$M$2:$500,$K61))</f>
        <v/>
      </c>
      <c r="F61" s="2">
        <f>IF($K61="","",INDEX(מלאי!$N$2:$500,$K61))</f>
        <v/>
      </c>
      <c r="G61" s="2">
        <f>IF($K61="","",INDEX(מלאי!$O$2:$500,$K61))</f>
        <v/>
      </c>
      <c r="H61" s="2">
        <f>IF($K61="","",INDEX(מלאי!$U$2:$500,$K61))</f>
        <v/>
      </c>
      <c r="I61" s="2">
        <f>IF($K61="","",INDEX(מלאי!$X$2:$500,$K61))</f>
        <v/>
      </c>
      <c r="J61" s="2">
        <f>IF($K61="","",INDEX(מלאי!$AC$2:$500,$K61))</f>
        <v/>
      </c>
      <c r="K6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41),"")</f>
        <v/>
      </c>
    </row>
    <row r="62">
      <c r="A62" s="8">
        <f>IF($K62="","",INDEX(מלאי!$D$2:$500,$K62))</f>
        <v/>
      </c>
      <c r="B62" s="8">
        <f>IF($K62="","",INDEX(מלאי!$B$2:$500,$K62))</f>
        <v/>
      </c>
      <c r="C62" s="8">
        <f>IF($K62="","",INDEX(מלאי!$C$2:$500,$K62))</f>
        <v/>
      </c>
      <c r="D62" s="8">
        <f>IF($K62="","",INDEX(מלאי!$G$2:$500,$K62))</f>
        <v/>
      </c>
      <c r="E62" s="8">
        <f>IF($K62="","",INDEX(מלאי!$M$2:$500,$K62))</f>
        <v/>
      </c>
      <c r="F62" s="8">
        <f>IF($K62="","",INDEX(מלאי!$N$2:$500,$K62))</f>
        <v/>
      </c>
      <c r="G62" s="8">
        <f>IF($K62="","",INDEX(מלאי!$O$2:$500,$K62))</f>
        <v/>
      </c>
      <c r="H62" s="8">
        <f>IF($K62="","",INDEX(מלאי!$U$2:$500,$K62))</f>
        <v/>
      </c>
      <c r="I62" s="8">
        <f>IF($K62="","",INDEX(מלאי!$X$2:$500,$K62))</f>
        <v/>
      </c>
      <c r="J62" s="8">
        <f>IF($K62="","",INDEX(מלאי!$AC$2:$500,$K62))</f>
        <v/>
      </c>
      <c r="K6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42),"")</f>
        <v/>
      </c>
    </row>
    <row r="63">
      <c r="A63" s="2">
        <f>IF($K63="","",INDEX(מלאי!$D$2:$500,$K63))</f>
        <v/>
      </c>
      <c r="B63" s="2">
        <f>IF($K63="","",INDEX(מלאי!$B$2:$500,$K63))</f>
        <v/>
      </c>
      <c r="C63" s="2">
        <f>IF($K63="","",INDEX(מלאי!$C$2:$500,$K63))</f>
        <v/>
      </c>
      <c r="D63" s="2">
        <f>IF($K63="","",INDEX(מלאי!$G$2:$500,$K63))</f>
        <v/>
      </c>
      <c r="E63" s="2">
        <f>IF($K63="","",INDEX(מלאי!$M$2:$500,$K63))</f>
        <v/>
      </c>
      <c r="F63" s="2">
        <f>IF($K63="","",INDEX(מלאי!$N$2:$500,$K63))</f>
        <v/>
      </c>
      <c r="G63" s="2">
        <f>IF($K63="","",INDEX(מלאי!$O$2:$500,$K63))</f>
        <v/>
      </c>
      <c r="H63" s="2">
        <f>IF($K63="","",INDEX(מלאי!$U$2:$500,$K63))</f>
        <v/>
      </c>
      <c r="I63" s="2">
        <f>IF($K63="","",INDEX(מלאי!$X$2:$500,$K63))</f>
        <v/>
      </c>
      <c r="J63" s="2">
        <f>IF($K63="","",INDEX(מלאי!$AC$2:$500,$K63))</f>
        <v/>
      </c>
      <c r="K6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43),"")</f>
        <v/>
      </c>
    </row>
    <row r="64">
      <c r="A64" s="8">
        <f>IF($K64="","",INDEX(מלאי!$D$2:$500,$K64))</f>
        <v/>
      </c>
      <c r="B64" s="8">
        <f>IF($K64="","",INDEX(מלאי!$B$2:$500,$K64))</f>
        <v/>
      </c>
      <c r="C64" s="8">
        <f>IF($K64="","",INDEX(מלאי!$C$2:$500,$K64))</f>
        <v/>
      </c>
      <c r="D64" s="8">
        <f>IF($K64="","",INDEX(מלאי!$G$2:$500,$K64))</f>
        <v/>
      </c>
      <c r="E64" s="8">
        <f>IF($K64="","",INDEX(מלאי!$M$2:$500,$K64))</f>
        <v/>
      </c>
      <c r="F64" s="8">
        <f>IF($K64="","",INDEX(מלאי!$N$2:$500,$K64))</f>
        <v/>
      </c>
      <c r="G64" s="8">
        <f>IF($K64="","",INDEX(מלאי!$O$2:$500,$K64))</f>
        <v/>
      </c>
      <c r="H64" s="8">
        <f>IF($K64="","",INDEX(מלאי!$U$2:$500,$K64))</f>
        <v/>
      </c>
      <c r="I64" s="8">
        <f>IF($K64="","",INDEX(מלאי!$X$2:$500,$K64))</f>
        <v/>
      </c>
      <c r="J64" s="8">
        <f>IF($K64="","",INDEX(מלאי!$AC$2:$500,$K64))</f>
        <v/>
      </c>
      <c r="K6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44),"")</f>
        <v/>
      </c>
    </row>
    <row r="65">
      <c r="A65" s="2">
        <f>IF($K65="","",INDEX(מלאי!$D$2:$500,$K65))</f>
        <v/>
      </c>
      <c r="B65" s="2">
        <f>IF($K65="","",INDEX(מלאי!$B$2:$500,$K65))</f>
        <v/>
      </c>
      <c r="C65" s="2">
        <f>IF($K65="","",INDEX(מלאי!$C$2:$500,$K65))</f>
        <v/>
      </c>
      <c r="D65" s="2">
        <f>IF($K65="","",INDEX(מלאי!$G$2:$500,$K65))</f>
        <v/>
      </c>
      <c r="E65" s="2">
        <f>IF($K65="","",INDEX(מלאי!$M$2:$500,$K65))</f>
        <v/>
      </c>
      <c r="F65" s="2">
        <f>IF($K65="","",INDEX(מלאי!$N$2:$500,$K65))</f>
        <v/>
      </c>
      <c r="G65" s="2">
        <f>IF($K65="","",INDEX(מלאי!$O$2:$500,$K65))</f>
        <v/>
      </c>
      <c r="H65" s="2">
        <f>IF($K65="","",INDEX(מלאי!$U$2:$500,$K65))</f>
        <v/>
      </c>
      <c r="I65" s="2">
        <f>IF($K65="","",INDEX(מלאי!$X$2:$500,$K65))</f>
        <v/>
      </c>
      <c r="J65" s="2">
        <f>IF($K65="","",INDEX(מלאי!$AC$2:$500,$K65))</f>
        <v/>
      </c>
      <c r="K6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45),"")</f>
        <v/>
      </c>
    </row>
    <row r="66">
      <c r="A66" s="8">
        <f>IF($K66="","",INDEX(מלאי!$D$2:$500,$K66))</f>
        <v/>
      </c>
      <c r="B66" s="8">
        <f>IF($K66="","",INDEX(מלאי!$B$2:$500,$K66))</f>
        <v/>
      </c>
      <c r="C66" s="8">
        <f>IF($K66="","",INDEX(מלאי!$C$2:$500,$K66))</f>
        <v/>
      </c>
      <c r="D66" s="8">
        <f>IF($K66="","",INDEX(מלאי!$G$2:$500,$K66))</f>
        <v/>
      </c>
      <c r="E66" s="8">
        <f>IF($K66="","",INDEX(מלאי!$M$2:$500,$K66))</f>
        <v/>
      </c>
      <c r="F66" s="8">
        <f>IF($K66="","",INDEX(מלאי!$N$2:$500,$K66))</f>
        <v/>
      </c>
      <c r="G66" s="8">
        <f>IF($K66="","",INDEX(מלאי!$O$2:$500,$K66))</f>
        <v/>
      </c>
      <c r="H66" s="8">
        <f>IF($K66="","",INDEX(מלאי!$U$2:$500,$K66))</f>
        <v/>
      </c>
      <c r="I66" s="8">
        <f>IF($K66="","",INDEX(מלאי!$X$2:$500,$K66))</f>
        <v/>
      </c>
      <c r="J66" s="8">
        <f>IF($K66="","",INDEX(מלאי!$AC$2:$500,$K66))</f>
        <v/>
      </c>
      <c r="K6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46),"")</f>
        <v/>
      </c>
    </row>
    <row r="67">
      <c r="A67" s="2">
        <f>IF($K67="","",INDEX(מלאי!$D$2:$500,$K67))</f>
        <v/>
      </c>
      <c r="B67" s="2">
        <f>IF($K67="","",INDEX(מלאי!$B$2:$500,$K67))</f>
        <v/>
      </c>
      <c r="C67" s="2">
        <f>IF($K67="","",INDEX(מלאי!$C$2:$500,$K67))</f>
        <v/>
      </c>
      <c r="D67" s="2">
        <f>IF($K67="","",INDEX(מלאי!$G$2:$500,$K67))</f>
        <v/>
      </c>
      <c r="E67" s="2">
        <f>IF($K67="","",INDEX(מלאי!$M$2:$500,$K67))</f>
        <v/>
      </c>
      <c r="F67" s="2">
        <f>IF($K67="","",INDEX(מלאי!$N$2:$500,$K67))</f>
        <v/>
      </c>
      <c r="G67" s="2">
        <f>IF($K67="","",INDEX(מלאי!$O$2:$500,$K67))</f>
        <v/>
      </c>
      <c r="H67" s="2">
        <f>IF($K67="","",INDEX(מלאי!$U$2:$500,$K67))</f>
        <v/>
      </c>
      <c r="I67" s="2">
        <f>IF($K67="","",INDEX(מלאי!$X$2:$500,$K67))</f>
        <v/>
      </c>
      <c r="J67" s="2">
        <f>IF($K67="","",INDEX(מלאי!$AC$2:$500,$K67))</f>
        <v/>
      </c>
      <c r="K6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47),"")</f>
        <v/>
      </c>
    </row>
    <row r="68">
      <c r="A68" s="8">
        <f>IF($K68="","",INDEX(מלאי!$D$2:$500,$K68))</f>
        <v/>
      </c>
      <c r="B68" s="8">
        <f>IF($K68="","",INDEX(מלאי!$B$2:$500,$K68))</f>
        <v/>
      </c>
      <c r="C68" s="8">
        <f>IF($K68="","",INDEX(מלאי!$C$2:$500,$K68))</f>
        <v/>
      </c>
      <c r="D68" s="8">
        <f>IF($K68="","",INDEX(מלאי!$G$2:$500,$K68))</f>
        <v/>
      </c>
      <c r="E68" s="8">
        <f>IF($K68="","",INDEX(מלאי!$M$2:$500,$K68))</f>
        <v/>
      </c>
      <c r="F68" s="8">
        <f>IF($K68="","",INDEX(מלאי!$N$2:$500,$K68))</f>
        <v/>
      </c>
      <c r="G68" s="8">
        <f>IF($K68="","",INDEX(מלאי!$O$2:$500,$K68))</f>
        <v/>
      </c>
      <c r="H68" s="8">
        <f>IF($K68="","",INDEX(מלאי!$U$2:$500,$K68))</f>
        <v/>
      </c>
      <c r="I68" s="8">
        <f>IF($K68="","",INDEX(מלאי!$X$2:$500,$K68))</f>
        <v/>
      </c>
      <c r="J68" s="8">
        <f>IF($K68="","",INDEX(מלאי!$AC$2:$500,$K68))</f>
        <v/>
      </c>
      <c r="K6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48),"")</f>
        <v/>
      </c>
    </row>
    <row r="69">
      <c r="A69" s="2">
        <f>IF($K69="","",INDEX(מלאי!$D$2:$500,$K69))</f>
        <v/>
      </c>
      <c r="B69" s="2">
        <f>IF($K69="","",INDEX(מלאי!$B$2:$500,$K69))</f>
        <v/>
      </c>
      <c r="C69" s="2">
        <f>IF($K69="","",INDEX(מלאי!$C$2:$500,$K69))</f>
        <v/>
      </c>
      <c r="D69" s="2">
        <f>IF($K69="","",INDEX(מלאי!$G$2:$500,$K69))</f>
        <v/>
      </c>
      <c r="E69" s="2">
        <f>IF($K69="","",INDEX(מלאי!$M$2:$500,$K69))</f>
        <v/>
      </c>
      <c r="F69" s="2">
        <f>IF($K69="","",INDEX(מלאי!$N$2:$500,$K69))</f>
        <v/>
      </c>
      <c r="G69" s="2">
        <f>IF($K69="","",INDEX(מלאי!$O$2:$500,$K69))</f>
        <v/>
      </c>
      <c r="H69" s="2">
        <f>IF($K69="","",INDEX(מלאי!$U$2:$500,$K69))</f>
        <v/>
      </c>
      <c r="I69" s="2">
        <f>IF($K69="","",INDEX(מלאי!$X$2:$500,$K69))</f>
        <v/>
      </c>
      <c r="J69" s="2">
        <f>IF($K69="","",INDEX(מלאי!$AC$2:$500,$K69))</f>
        <v/>
      </c>
      <c r="K6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49),"")</f>
        <v/>
      </c>
    </row>
    <row r="70">
      <c r="A70" s="8">
        <f>IF($K70="","",INDEX(מלאי!$D$2:$500,$K70))</f>
        <v/>
      </c>
      <c r="B70" s="8">
        <f>IF($K70="","",INDEX(מלאי!$B$2:$500,$K70))</f>
        <v/>
      </c>
      <c r="C70" s="8">
        <f>IF($K70="","",INDEX(מלאי!$C$2:$500,$K70))</f>
        <v/>
      </c>
      <c r="D70" s="8">
        <f>IF($K70="","",INDEX(מלאי!$G$2:$500,$K70))</f>
        <v/>
      </c>
      <c r="E70" s="8">
        <f>IF($K70="","",INDEX(מלאי!$M$2:$500,$K70))</f>
        <v/>
      </c>
      <c r="F70" s="8">
        <f>IF($K70="","",INDEX(מלאי!$N$2:$500,$K70))</f>
        <v/>
      </c>
      <c r="G70" s="8">
        <f>IF($K70="","",INDEX(מלאי!$O$2:$500,$K70))</f>
        <v/>
      </c>
      <c r="H70" s="8">
        <f>IF($K70="","",INDEX(מלאי!$U$2:$500,$K70))</f>
        <v/>
      </c>
      <c r="I70" s="8">
        <f>IF($K70="","",INDEX(מלאי!$X$2:$500,$K70))</f>
        <v/>
      </c>
      <c r="J70" s="8">
        <f>IF($K70="","",INDEX(מלאי!$AC$2:$500,$K70))</f>
        <v/>
      </c>
      <c r="K7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50),"")</f>
        <v/>
      </c>
    </row>
    <row r="71">
      <c r="A71" s="2">
        <f>IF($K71="","",INDEX(מלאי!$D$2:$500,$K71))</f>
        <v/>
      </c>
      <c r="B71" s="2">
        <f>IF($K71="","",INDEX(מלאי!$B$2:$500,$K71))</f>
        <v/>
      </c>
      <c r="C71" s="2">
        <f>IF($K71="","",INDEX(מלאי!$C$2:$500,$K71))</f>
        <v/>
      </c>
      <c r="D71" s="2">
        <f>IF($K71="","",INDEX(מלאי!$G$2:$500,$K71))</f>
        <v/>
      </c>
      <c r="E71" s="2">
        <f>IF($K71="","",INDEX(מלאי!$M$2:$500,$K71))</f>
        <v/>
      </c>
      <c r="F71" s="2">
        <f>IF($K71="","",INDEX(מלאי!$N$2:$500,$K71))</f>
        <v/>
      </c>
      <c r="G71" s="2">
        <f>IF($K71="","",INDEX(מלאי!$O$2:$500,$K71))</f>
        <v/>
      </c>
      <c r="H71" s="2">
        <f>IF($K71="","",INDEX(מלאי!$U$2:$500,$K71))</f>
        <v/>
      </c>
      <c r="I71" s="2">
        <f>IF($K71="","",INDEX(מלאי!$X$2:$500,$K71))</f>
        <v/>
      </c>
      <c r="J71" s="2">
        <f>IF($K71="","",INDEX(מלאי!$AC$2:$500,$K71))</f>
        <v/>
      </c>
      <c r="K7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51),"")</f>
        <v/>
      </c>
    </row>
    <row r="72">
      <c r="A72" s="8">
        <f>IF($K72="","",INDEX(מלאי!$D$2:$500,$K72))</f>
        <v/>
      </c>
      <c r="B72" s="8">
        <f>IF($K72="","",INDEX(מלאי!$B$2:$500,$K72))</f>
        <v/>
      </c>
      <c r="C72" s="8">
        <f>IF($K72="","",INDEX(מלאי!$C$2:$500,$K72))</f>
        <v/>
      </c>
      <c r="D72" s="8">
        <f>IF($K72="","",INDEX(מלאי!$G$2:$500,$K72))</f>
        <v/>
      </c>
      <c r="E72" s="8">
        <f>IF($K72="","",INDEX(מלאי!$M$2:$500,$K72))</f>
        <v/>
      </c>
      <c r="F72" s="8">
        <f>IF($K72="","",INDEX(מלאי!$N$2:$500,$K72))</f>
        <v/>
      </c>
      <c r="G72" s="8">
        <f>IF($K72="","",INDEX(מלאי!$O$2:$500,$K72))</f>
        <v/>
      </c>
      <c r="H72" s="8">
        <f>IF($K72="","",INDEX(מלאי!$U$2:$500,$K72))</f>
        <v/>
      </c>
      <c r="I72" s="8">
        <f>IF($K72="","",INDEX(מלאי!$X$2:$500,$K72))</f>
        <v/>
      </c>
      <c r="J72" s="8">
        <f>IF($K72="","",INDEX(מלאי!$AC$2:$500,$K72))</f>
        <v/>
      </c>
      <c r="K7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52),"")</f>
        <v/>
      </c>
    </row>
    <row r="73">
      <c r="A73" s="2">
        <f>IF($K73="","",INDEX(מלאי!$D$2:$500,$K73))</f>
        <v/>
      </c>
      <c r="B73" s="2">
        <f>IF($K73="","",INDEX(מלאי!$B$2:$500,$K73))</f>
        <v/>
      </c>
      <c r="C73" s="2">
        <f>IF($K73="","",INDEX(מלאי!$C$2:$500,$K73))</f>
        <v/>
      </c>
      <c r="D73" s="2">
        <f>IF($K73="","",INDEX(מלאי!$G$2:$500,$K73))</f>
        <v/>
      </c>
      <c r="E73" s="2">
        <f>IF($K73="","",INDEX(מלאי!$M$2:$500,$K73))</f>
        <v/>
      </c>
      <c r="F73" s="2">
        <f>IF($K73="","",INDEX(מלאי!$N$2:$500,$K73))</f>
        <v/>
      </c>
      <c r="G73" s="2">
        <f>IF($K73="","",INDEX(מלאי!$O$2:$500,$K73))</f>
        <v/>
      </c>
      <c r="H73" s="2">
        <f>IF($K73="","",INDEX(מלאי!$U$2:$500,$K73))</f>
        <v/>
      </c>
      <c r="I73" s="2">
        <f>IF($K73="","",INDEX(מלאי!$X$2:$500,$K73))</f>
        <v/>
      </c>
      <c r="J73" s="2">
        <f>IF($K73="","",INDEX(מלאי!$AC$2:$500,$K73))</f>
        <v/>
      </c>
      <c r="K7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53),"")</f>
        <v/>
      </c>
    </row>
    <row r="74">
      <c r="A74" s="8">
        <f>IF($K74="","",INDEX(מלאי!$D$2:$500,$K74))</f>
        <v/>
      </c>
      <c r="B74" s="8">
        <f>IF($K74="","",INDEX(מלאי!$B$2:$500,$K74))</f>
        <v/>
      </c>
      <c r="C74" s="8">
        <f>IF($K74="","",INDEX(מלאי!$C$2:$500,$K74))</f>
        <v/>
      </c>
      <c r="D74" s="8">
        <f>IF($K74="","",INDEX(מלאי!$G$2:$500,$K74))</f>
        <v/>
      </c>
      <c r="E74" s="8">
        <f>IF($K74="","",INDEX(מלאי!$M$2:$500,$K74))</f>
        <v/>
      </c>
      <c r="F74" s="8">
        <f>IF($K74="","",INDEX(מלאי!$N$2:$500,$K74))</f>
        <v/>
      </c>
      <c r="G74" s="8">
        <f>IF($K74="","",INDEX(מלאי!$O$2:$500,$K74))</f>
        <v/>
      </c>
      <c r="H74" s="8">
        <f>IF($K74="","",INDEX(מלאי!$U$2:$500,$K74))</f>
        <v/>
      </c>
      <c r="I74" s="8">
        <f>IF($K74="","",INDEX(מלאי!$X$2:$500,$K74))</f>
        <v/>
      </c>
      <c r="J74" s="8">
        <f>IF($K74="","",INDEX(מלאי!$AC$2:$500,$K74))</f>
        <v/>
      </c>
      <c r="K7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54),"")</f>
        <v/>
      </c>
    </row>
    <row r="75">
      <c r="A75" s="2">
        <f>IF($K75="","",INDEX(מלאי!$D$2:$500,$K75))</f>
        <v/>
      </c>
      <c r="B75" s="2">
        <f>IF($K75="","",INDEX(מלאי!$B$2:$500,$K75))</f>
        <v/>
      </c>
      <c r="C75" s="2">
        <f>IF($K75="","",INDEX(מלאי!$C$2:$500,$K75))</f>
        <v/>
      </c>
      <c r="D75" s="2">
        <f>IF($K75="","",INDEX(מלאי!$G$2:$500,$K75))</f>
        <v/>
      </c>
      <c r="E75" s="2">
        <f>IF($K75="","",INDEX(מלאי!$M$2:$500,$K75))</f>
        <v/>
      </c>
      <c r="F75" s="2">
        <f>IF($K75="","",INDEX(מלאי!$N$2:$500,$K75))</f>
        <v/>
      </c>
      <c r="G75" s="2">
        <f>IF($K75="","",INDEX(מלאי!$O$2:$500,$K75))</f>
        <v/>
      </c>
      <c r="H75" s="2">
        <f>IF($K75="","",INDEX(מלאי!$U$2:$500,$K75))</f>
        <v/>
      </c>
      <c r="I75" s="2">
        <f>IF($K75="","",INDEX(מלאי!$X$2:$500,$K75))</f>
        <v/>
      </c>
      <c r="J75" s="2">
        <f>IF($K75="","",INDEX(מלאי!$AC$2:$500,$K75))</f>
        <v/>
      </c>
      <c r="K7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55),"")</f>
        <v/>
      </c>
    </row>
    <row r="76">
      <c r="A76" s="8">
        <f>IF($K76="","",INDEX(מלאי!$D$2:$500,$K76))</f>
        <v/>
      </c>
      <c r="B76" s="8">
        <f>IF($K76="","",INDEX(מלאי!$B$2:$500,$K76))</f>
        <v/>
      </c>
      <c r="C76" s="8">
        <f>IF($K76="","",INDEX(מלאי!$C$2:$500,$K76))</f>
        <v/>
      </c>
      <c r="D76" s="8">
        <f>IF($K76="","",INDEX(מלאי!$G$2:$500,$K76))</f>
        <v/>
      </c>
      <c r="E76" s="8">
        <f>IF($K76="","",INDEX(מלאי!$M$2:$500,$K76))</f>
        <v/>
      </c>
      <c r="F76" s="8">
        <f>IF($K76="","",INDEX(מלאי!$N$2:$500,$K76))</f>
        <v/>
      </c>
      <c r="G76" s="8">
        <f>IF($K76="","",INDEX(מלאי!$O$2:$500,$K76))</f>
        <v/>
      </c>
      <c r="H76" s="8">
        <f>IF($K76="","",INDEX(מלאי!$U$2:$500,$K76))</f>
        <v/>
      </c>
      <c r="I76" s="8">
        <f>IF($K76="","",INDEX(מלאי!$X$2:$500,$K76))</f>
        <v/>
      </c>
      <c r="J76" s="8">
        <f>IF($K76="","",INDEX(מלאי!$AC$2:$500,$K76))</f>
        <v/>
      </c>
      <c r="K7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56),"")</f>
        <v/>
      </c>
    </row>
    <row r="77">
      <c r="A77" s="2">
        <f>IF($K77="","",INDEX(מלאי!$D$2:$500,$K77))</f>
        <v/>
      </c>
      <c r="B77" s="2">
        <f>IF($K77="","",INDEX(מלאי!$B$2:$500,$K77))</f>
        <v/>
      </c>
      <c r="C77" s="2">
        <f>IF($K77="","",INDEX(מלאי!$C$2:$500,$K77))</f>
        <v/>
      </c>
      <c r="D77" s="2">
        <f>IF($K77="","",INDEX(מלאי!$G$2:$500,$K77))</f>
        <v/>
      </c>
      <c r="E77" s="2">
        <f>IF($K77="","",INDEX(מלאי!$M$2:$500,$K77))</f>
        <v/>
      </c>
      <c r="F77" s="2">
        <f>IF($K77="","",INDEX(מלאי!$N$2:$500,$K77))</f>
        <v/>
      </c>
      <c r="G77" s="2">
        <f>IF($K77="","",INDEX(מלאי!$O$2:$500,$K77))</f>
        <v/>
      </c>
      <c r="H77" s="2">
        <f>IF($K77="","",INDEX(מלאי!$U$2:$500,$K77))</f>
        <v/>
      </c>
      <c r="I77" s="2">
        <f>IF($K77="","",INDEX(מלאי!$X$2:$500,$K77))</f>
        <v/>
      </c>
      <c r="J77" s="2">
        <f>IF($K77="","",INDEX(מלאי!$AC$2:$500,$K77))</f>
        <v/>
      </c>
      <c r="K7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57),"")</f>
        <v/>
      </c>
    </row>
    <row r="78">
      <c r="A78" s="8">
        <f>IF($K78="","",INDEX(מלאי!$D$2:$500,$K78))</f>
        <v/>
      </c>
      <c r="B78" s="8">
        <f>IF($K78="","",INDEX(מלאי!$B$2:$500,$K78))</f>
        <v/>
      </c>
      <c r="C78" s="8">
        <f>IF($K78="","",INDEX(מלאי!$C$2:$500,$K78))</f>
        <v/>
      </c>
      <c r="D78" s="8">
        <f>IF($K78="","",INDEX(מלאי!$G$2:$500,$K78))</f>
        <v/>
      </c>
      <c r="E78" s="8">
        <f>IF($K78="","",INDEX(מלאי!$M$2:$500,$K78))</f>
        <v/>
      </c>
      <c r="F78" s="8">
        <f>IF($K78="","",INDEX(מלאי!$N$2:$500,$K78))</f>
        <v/>
      </c>
      <c r="G78" s="8">
        <f>IF($K78="","",INDEX(מלאי!$O$2:$500,$K78))</f>
        <v/>
      </c>
      <c r="H78" s="8">
        <f>IF($K78="","",INDEX(מלאי!$U$2:$500,$K78))</f>
        <v/>
      </c>
      <c r="I78" s="8">
        <f>IF($K78="","",INDEX(מלאי!$X$2:$500,$K78))</f>
        <v/>
      </c>
      <c r="J78" s="8">
        <f>IF($K78="","",INDEX(מלאי!$AC$2:$500,$K78))</f>
        <v/>
      </c>
      <c r="K7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58),"")</f>
        <v/>
      </c>
    </row>
    <row r="79">
      <c r="A79" s="2">
        <f>IF($K79="","",INDEX(מלאי!$D$2:$500,$K79))</f>
        <v/>
      </c>
      <c r="B79" s="2">
        <f>IF($K79="","",INDEX(מלאי!$B$2:$500,$K79))</f>
        <v/>
      </c>
      <c r="C79" s="2">
        <f>IF($K79="","",INDEX(מלאי!$C$2:$500,$K79))</f>
        <v/>
      </c>
      <c r="D79" s="2">
        <f>IF($K79="","",INDEX(מלאי!$G$2:$500,$K79))</f>
        <v/>
      </c>
      <c r="E79" s="2">
        <f>IF($K79="","",INDEX(מלאי!$M$2:$500,$K79))</f>
        <v/>
      </c>
      <c r="F79" s="2">
        <f>IF($K79="","",INDEX(מלאי!$N$2:$500,$K79))</f>
        <v/>
      </c>
      <c r="G79" s="2">
        <f>IF($K79="","",INDEX(מלאי!$O$2:$500,$K79))</f>
        <v/>
      </c>
      <c r="H79" s="2">
        <f>IF($K79="","",INDEX(מלאי!$U$2:$500,$K79))</f>
        <v/>
      </c>
      <c r="I79" s="2">
        <f>IF($K79="","",INDEX(מלאי!$X$2:$500,$K79))</f>
        <v/>
      </c>
      <c r="J79" s="2">
        <f>IF($K79="","",INDEX(מלאי!$AC$2:$500,$K79))</f>
        <v/>
      </c>
      <c r="K7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59),"")</f>
        <v/>
      </c>
    </row>
    <row r="80">
      <c r="A80" s="8">
        <f>IF($K80="","",INDEX(מלאי!$D$2:$500,$K80))</f>
        <v/>
      </c>
      <c r="B80" s="8">
        <f>IF($K80="","",INDEX(מלאי!$B$2:$500,$K80))</f>
        <v/>
      </c>
      <c r="C80" s="8">
        <f>IF($K80="","",INDEX(מלאי!$C$2:$500,$K80))</f>
        <v/>
      </c>
      <c r="D80" s="8">
        <f>IF($K80="","",INDEX(מלאי!$G$2:$500,$K80))</f>
        <v/>
      </c>
      <c r="E80" s="8">
        <f>IF($K80="","",INDEX(מלאי!$M$2:$500,$K80))</f>
        <v/>
      </c>
      <c r="F80" s="8">
        <f>IF($K80="","",INDEX(מלאי!$N$2:$500,$K80))</f>
        <v/>
      </c>
      <c r="G80" s="8">
        <f>IF($K80="","",INDEX(מלאי!$O$2:$500,$K80))</f>
        <v/>
      </c>
      <c r="H80" s="8">
        <f>IF($K80="","",INDEX(מלאי!$U$2:$500,$K80))</f>
        <v/>
      </c>
      <c r="I80" s="8">
        <f>IF($K80="","",INDEX(מלאי!$X$2:$500,$K80))</f>
        <v/>
      </c>
      <c r="J80" s="8">
        <f>IF($K80="","",INDEX(מלאי!$AC$2:$500,$K80))</f>
        <v/>
      </c>
      <c r="K8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60),"")</f>
        <v/>
      </c>
    </row>
    <row r="81">
      <c r="A81" s="2">
        <f>IF($K81="","",INDEX(מלאי!$D$2:$500,$K81))</f>
        <v/>
      </c>
      <c r="B81" s="2">
        <f>IF($K81="","",INDEX(מלאי!$B$2:$500,$K81))</f>
        <v/>
      </c>
      <c r="C81" s="2">
        <f>IF($K81="","",INDEX(מלאי!$C$2:$500,$K81))</f>
        <v/>
      </c>
      <c r="D81" s="2">
        <f>IF($K81="","",INDEX(מלאי!$G$2:$500,$K81))</f>
        <v/>
      </c>
      <c r="E81" s="2">
        <f>IF($K81="","",INDEX(מלאי!$M$2:$500,$K81))</f>
        <v/>
      </c>
      <c r="F81" s="2">
        <f>IF($K81="","",INDEX(מלאי!$N$2:$500,$K81))</f>
        <v/>
      </c>
      <c r="G81" s="2">
        <f>IF($K81="","",INDEX(מלאי!$O$2:$500,$K81))</f>
        <v/>
      </c>
      <c r="H81" s="2">
        <f>IF($K81="","",INDEX(מלאי!$U$2:$500,$K81))</f>
        <v/>
      </c>
      <c r="I81" s="2">
        <f>IF($K81="","",INDEX(מלאי!$X$2:$500,$K81))</f>
        <v/>
      </c>
      <c r="J81" s="2">
        <f>IF($K81="","",INDEX(מלאי!$AC$2:$500,$K81))</f>
        <v/>
      </c>
      <c r="K8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61),"")</f>
        <v/>
      </c>
    </row>
    <row r="82">
      <c r="A82" s="8">
        <f>IF($K82="","",INDEX(מלאי!$D$2:$500,$K82))</f>
        <v/>
      </c>
      <c r="B82" s="8">
        <f>IF($K82="","",INDEX(מלאי!$B$2:$500,$K82))</f>
        <v/>
      </c>
      <c r="C82" s="8">
        <f>IF($K82="","",INDEX(מלאי!$C$2:$500,$K82))</f>
        <v/>
      </c>
      <c r="D82" s="8">
        <f>IF($K82="","",INDEX(מלאי!$G$2:$500,$K82))</f>
        <v/>
      </c>
      <c r="E82" s="8">
        <f>IF($K82="","",INDEX(מלאי!$M$2:$500,$K82))</f>
        <v/>
      </c>
      <c r="F82" s="8">
        <f>IF($K82="","",INDEX(מלאי!$N$2:$500,$K82))</f>
        <v/>
      </c>
      <c r="G82" s="8">
        <f>IF($K82="","",INDEX(מלאי!$O$2:$500,$K82))</f>
        <v/>
      </c>
      <c r="H82" s="8">
        <f>IF($K82="","",INDEX(מלאי!$U$2:$500,$K82))</f>
        <v/>
      </c>
      <c r="I82" s="8">
        <f>IF($K82="","",INDEX(מלאי!$X$2:$500,$K82))</f>
        <v/>
      </c>
      <c r="J82" s="8">
        <f>IF($K82="","",INDEX(מלאי!$AC$2:$500,$K82))</f>
        <v/>
      </c>
      <c r="K8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62),"")</f>
        <v/>
      </c>
    </row>
    <row r="83">
      <c r="A83" s="2">
        <f>IF($K83="","",INDEX(מלאי!$D$2:$500,$K83))</f>
        <v/>
      </c>
      <c r="B83" s="2">
        <f>IF($K83="","",INDEX(מלאי!$B$2:$500,$K83))</f>
        <v/>
      </c>
      <c r="C83" s="2">
        <f>IF($K83="","",INDEX(מלאי!$C$2:$500,$K83))</f>
        <v/>
      </c>
      <c r="D83" s="2">
        <f>IF($K83="","",INDEX(מלאי!$G$2:$500,$K83))</f>
        <v/>
      </c>
      <c r="E83" s="2">
        <f>IF($K83="","",INDEX(מלאי!$M$2:$500,$K83))</f>
        <v/>
      </c>
      <c r="F83" s="2">
        <f>IF($K83="","",INDEX(מלאי!$N$2:$500,$K83))</f>
        <v/>
      </c>
      <c r="G83" s="2">
        <f>IF($K83="","",INDEX(מלאי!$O$2:$500,$K83))</f>
        <v/>
      </c>
      <c r="H83" s="2">
        <f>IF($K83="","",INDEX(מלאי!$U$2:$500,$K83))</f>
        <v/>
      </c>
      <c r="I83" s="2">
        <f>IF($K83="","",INDEX(מלאי!$X$2:$500,$K83))</f>
        <v/>
      </c>
      <c r="J83" s="2">
        <f>IF($K83="","",INDEX(מלאי!$AC$2:$500,$K83))</f>
        <v/>
      </c>
      <c r="K8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63),"")</f>
        <v/>
      </c>
    </row>
    <row r="84">
      <c r="A84" s="8">
        <f>IF($K84="","",INDEX(מלאי!$D$2:$500,$K84))</f>
        <v/>
      </c>
      <c r="B84" s="8">
        <f>IF($K84="","",INDEX(מלאי!$B$2:$500,$K84))</f>
        <v/>
      </c>
      <c r="C84" s="8">
        <f>IF($K84="","",INDEX(מלאי!$C$2:$500,$K84))</f>
        <v/>
      </c>
      <c r="D84" s="8">
        <f>IF($K84="","",INDEX(מלאי!$G$2:$500,$K84))</f>
        <v/>
      </c>
      <c r="E84" s="8">
        <f>IF($K84="","",INDEX(מלאי!$M$2:$500,$K84))</f>
        <v/>
      </c>
      <c r="F84" s="8">
        <f>IF($K84="","",INDEX(מלאי!$N$2:$500,$K84))</f>
        <v/>
      </c>
      <c r="G84" s="8">
        <f>IF($K84="","",INDEX(מלאי!$O$2:$500,$K84))</f>
        <v/>
      </c>
      <c r="H84" s="8">
        <f>IF($K84="","",INDEX(מלאי!$U$2:$500,$K84))</f>
        <v/>
      </c>
      <c r="I84" s="8">
        <f>IF($K84="","",INDEX(מלאי!$X$2:$500,$K84))</f>
        <v/>
      </c>
      <c r="J84" s="8">
        <f>IF($K84="","",INDEX(מלאי!$AC$2:$500,$K84))</f>
        <v/>
      </c>
      <c r="K8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64),"")</f>
        <v/>
      </c>
    </row>
    <row r="85">
      <c r="A85" s="2">
        <f>IF($K85="","",INDEX(מלאי!$D$2:$500,$K85))</f>
        <v/>
      </c>
      <c r="B85" s="2">
        <f>IF($K85="","",INDEX(מלאי!$B$2:$500,$K85))</f>
        <v/>
      </c>
      <c r="C85" s="2">
        <f>IF($K85="","",INDEX(מלאי!$C$2:$500,$K85))</f>
        <v/>
      </c>
      <c r="D85" s="2">
        <f>IF($K85="","",INDEX(מלאי!$G$2:$500,$K85))</f>
        <v/>
      </c>
      <c r="E85" s="2">
        <f>IF($K85="","",INDEX(מלאי!$M$2:$500,$K85))</f>
        <v/>
      </c>
      <c r="F85" s="2">
        <f>IF($K85="","",INDEX(מלאי!$N$2:$500,$K85))</f>
        <v/>
      </c>
      <c r="G85" s="2">
        <f>IF($K85="","",INDEX(מלאי!$O$2:$500,$K85))</f>
        <v/>
      </c>
      <c r="H85" s="2">
        <f>IF($K85="","",INDEX(מלאי!$U$2:$500,$K85))</f>
        <v/>
      </c>
      <c r="I85" s="2">
        <f>IF($K85="","",INDEX(מלאי!$X$2:$500,$K85))</f>
        <v/>
      </c>
      <c r="J85" s="2">
        <f>IF($K85="","",INDEX(מלאי!$AC$2:$500,$K85))</f>
        <v/>
      </c>
      <c r="K8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65),"")</f>
        <v/>
      </c>
    </row>
    <row r="86">
      <c r="A86" s="8">
        <f>IF($K86="","",INDEX(מלאי!$D$2:$500,$K86))</f>
        <v/>
      </c>
      <c r="B86" s="8">
        <f>IF($K86="","",INDEX(מלאי!$B$2:$500,$K86))</f>
        <v/>
      </c>
      <c r="C86" s="8">
        <f>IF($K86="","",INDEX(מלאי!$C$2:$500,$K86))</f>
        <v/>
      </c>
      <c r="D86" s="8">
        <f>IF($K86="","",INDEX(מלאי!$G$2:$500,$K86))</f>
        <v/>
      </c>
      <c r="E86" s="8">
        <f>IF($K86="","",INDEX(מלאי!$M$2:$500,$K86))</f>
        <v/>
      </c>
      <c r="F86" s="8">
        <f>IF($K86="","",INDEX(מלאי!$N$2:$500,$K86))</f>
        <v/>
      </c>
      <c r="G86" s="8">
        <f>IF($K86="","",INDEX(מלאי!$O$2:$500,$K86))</f>
        <v/>
      </c>
      <c r="H86" s="8">
        <f>IF($K86="","",INDEX(מלאי!$U$2:$500,$K86))</f>
        <v/>
      </c>
      <c r="I86" s="8">
        <f>IF($K86="","",INDEX(מלאי!$X$2:$500,$K86))</f>
        <v/>
      </c>
      <c r="J86" s="8">
        <f>IF($K86="","",INDEX(מלאי!$AC$2:$500,$K86))</f>
        <v/>
      </c>
      <c r="K8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66),"")</f>
        <v/>
      </c>
    </row>
    <row r="87">
      <c r="A87" s="2">
        <f>IF($K87="","",INDEX(מלאי!$D$2:$500,$K87))</f>
        <v/>
      </c>
      <c r="B87" s="2">
        <f>IF($K87="","",INDEX(מלאי!$B$2:$500,$K87))</f>
        <v/>
      </c>
      <c r="C87" s="2">
        <f>IF($K87="","",INDEX(מלאי!$C$2:$500,$K87))</f>
        <v/>
      </c>
      <c r="D87" s="2">
        <f>IF($K87="","",INDEX(מלאי!$G$2:$500,$K87))</f>
        <v/>
      </c>
      <c r="E87" s="2">
        <f>IF($K87="","",INDEX(מלאי!$M$2:$500,$K87))</f>
        <v/>
      </c>
      <c r="F87" s="2">
        <f>IF($K87="","",INDEX(מלאי!$N$2:$500,$K87))</f>
        <v/>
      </c>
      <c r="G87" s="2">
        <f>IF($K87="","",INDEX(מלאי!$O$2:$500,$K87))</f>
        <v/>
      </c>
      <c r="H87" s="2">
        <f>IF($K87="","",INDEX(מלאי!$U$2:$500,$K87))</f>
        <v/>
      </c>
      <c r="I87" s="2">
        <f>IF($K87="","",INDEX(מלאי!$X$2:$500,$K87))</f>
        <v/>
      </c>
      <c r="J87" s="2">
        <f>IF($K87="","",INDEX(מלאי!$AC$2:$500,$K87))</f>
        <v/>
      </c>
      <c r="K8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67),"")</f>
        <v/>
      </c>
    </row>
    <row r="88">
      <c r="A88" s="8">
        <f>IF($K88="","",INDEX(מלאי!$D$2:$500,$K88))</f>
        <v/>
      </c>
      <c r="B88" s="8">
        <f>IF($K88="","",INDEX(מלאי!$B$2:$500,$K88))</f>
        <v/>
      </c>
      <c r="C88" s="8">
        <f>IF($K88="","",INDEX(מלאי!$C$2:$500,$K88))</f>
        <v/>
      </c>
      <c r="D88" s="8">
        <f>IF($K88="","",INDEX(מלאי!$G$2:$500,$K88))</f>
        <v/>
      </c>
      <c r="E88" s="8">
        <f>IF($K88="","",INDEX(מלאי!$M$2:$500,$K88))</f>
        <v/>
      </c>
      <c r="F88" s="8">
        <f>IF($K88="","",INDEX(מלאי!$N$2:$500,$K88))</f>
        <v/>
      </c>
      <c r="G88" s="8">
        <f>IF($K88="","",INDEX(מלאי!$O$2:$500,$K88))</f>
        <v/>
      </c>
      <c r="H88" s="8">
        <f>IF($K88="","",INDEX(מלאי!$U$2:$500,$K88))</f>
        <v/>
      </c>
      <c r="I88" s="8">
        <f>IF($K88="","",INDEX(מלאי!$X$2:$500,$K88))</f>
        <v/>
      </c>
      <c r="J88" s="8">
        <f>IF($K88="","",INDEX(מלאי!$AC$2:$500,$K88))</f>
        <v/>
      </c>
      <c r="K8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68),"")</f>
        <v/>
      </c>
    </row>
    <row r="89">
      <c r="A89" s="2">
        <f>IF($K89="","",INDEX(מלאי!$D$2:$500,$K89))</f>
        <v/>
      </c>
      <c r="B89" s="2">
        <f>IF($K89="","",INDEX(מלאי!$B$2:$500,$K89))</f>
        <v/>
      </c>
      <c r="C89" s="2">
        <f>IF($K89="","",INDEX(מלאי!$C$2:$500,$K89))</f>
        <v/>
      </c>
      <c r="D89" s="2">
        <f>IF($K89="","",INDEX(מלאי!$G$2:$500,$K89))</f>
        <v/>
      </c>
      <c r="E89" s="2">
        <f>IF($K89="","",INDEX(מלאי!$M$2:$500,$K89))</f>
        <v/>
      </c>
      <c r="F89" s="2">
        <f>IF($K89="","",INDEX(מלאי!$N$2:$500,$K89))</f>
        <v/>
      </c>
      <c r="G89" s="2">
        <f>IF($K89="","",INDEX(מלאי!$O$2:$500,$K89))</f>
        <v/>
      </c>
      <c r="H89" s="2">
        <f>IF($K89="","",INDEX(מלאי!$U$2:$500,$K89))</f>
        <v/>
      </c>
      <c r="I89" s="2">
        <f>IF($K89="","",INDEX(מלאי!$X$2:$500,$K89))</f>
        <v/>
      </c>
      <c r="J89" s="2">
        <f>IF($K89="","",INDEX(מלאי!$AC$2:$500,$K89))</f>
        <v/>
      </c>
      <c r="K8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69),"")</f>
        <v/>
      </c>
    </row>
    <row r="90">
      <c r="A90" s="8">
        <f>IF($K90="","",INDEX(מלאי!$D$2:$500,$K90))</f>
        <v/>
      </c>
      <c r="B90" s="8">
        <f>IF($K90="","",INDEX(מלאי!$B$2:$500,$K90))</f>
        <v/>
      </c>
      <c r="C90" s="8">
        <f>IF($K90="","",INDEX(מלאי!$C$2:$500,$K90))</f>
        <v/>
      </c>
      <c r="D90" s="8">
        <f>IF($K90="","",INDEX(מלאי!$G$2:$500,$K90))</f>
        <v/>
      </c>
      <c r="E90" s="8">
        <f>IF($K90="","",INDEX(מלאי!$M$2:$500,$K90))</f>
        <v/>
      </c>
      <c r="F90" s="8">
        <f>IF($K90="","",INDEX(מלאי!$N$2:$500,$K90))</f>
        <v/>
      </c>
      <c r="G90" s="8">
        <f>IF($K90="","",INDEX(מלאי!$O$2:$500,$K90))</f>
        <v/>
      </c>
      <c r="H90" s="8">
        <f>IF($K90="","",INDEX(מלאי!$U$2:$500,$K90))</f>
        <v/>
      </c>
      <c r="I90" s="8">
        <f>IF($K90="","",INDEX(מלאי!$X$2:$500,$K90))</f>
        <v/>
      </c>
      <c r="J90" s="8">
        <f>IF($K90="","",INDEX(מלאי!$AC$2:$500,$K90))</f>
        <v/>
      </c>
      <c r="K9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70),"")</f>
        <v/>
      </c>
    </row>
    <row r="91">
      <c r="A91" s="2">
        <f>IF($K91="","",INDEX(מלאי!$D$2:$500,$K91))</f>
        <v/>
      </c>
      <c r="B91" s="2">
        <f>IF($K91="","",INDEX(מלאי!$B$2:$500,$K91))</f>
        <v/>
      </c>
      <c r="C91" s="2">
        <f>IF($K91="","",INDEX(מלאי!$C$2:$500,$K91))</f>
        <v/>
      </c>
      <c r="D91" s="2">
        <f>IF($K91="","",INDEX(מלאי!$G$2:$500,$K91))</f>
        <v/>
      </c>
      <c r="E91" s="2">
        <f>IF($K91="","",INDEX(מלאי!$M$2:$500,$K91))</f>
        <v/>
      </c>
      <c r="F91" s="2">
        <f>IF($K91="","",INDEX(מלאי!$N$2:$500,$K91))</f>
        <v/>
      </c>
      <c r="G91" s="2">
        <f>IF($K91="","",INDEX(מלאי!$O$2:$500,$K91))</f>
        <v/>
      </c>
      <c r="H91" s="2">
        <f>IF($K91="","",INDEX(מלאי!$U$2:$500,$K91))</f>
        <v/>
      </c>
      <c r="I91" s="2">
        <f>IF($K91="","",INDEX(מלאי!$X$2:$500,$K91))</f>
        <v/>
      </c>
      <c r="J91" s="2">
        <f>IF($K91="","",INDEX(מלאי!$AC$2:$500,$K91))</f>
        <v/>
      </c>
      <c r="K9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71),"")</f>
        <v/>
      </c>
    </row>
    <row r="92">
      <c r="A92" s="8">
        <f>IF($K92="","",INDEX(מלאי!$D$2:$500,$K92))</f>
        <v/>
      </c>
      <c r="B92" s="8">
        <f>IF($K92="","",INDEX(מלאי!$B$2:$500,$K92))</f>
        <v/>
      </c>
      <c r="C92" s="8">
        <f>IF($K92="","",INDEX(מלאי!$C$2:$500,$K92))</f>
        <v/>
      </c>
      <c r="D92" s="8">
        <f>IF($K92="","",INDEX(מלאי!$G$2:$500,$K92))</f>
        <v/>
      </c>
      <c r="E92" s="8">
        <f>IF($K92="","",INDEX(מלאי!$M$2:$500,$K92))</f>
        <v/>
      </c>
      <c r="F92" s="8">
        <f>IF($K92="","",INDEX(מלאי!$N$2:$500,$K92))</f>
        <v/>
      </c>
      <c r="G92" s="8">
        <f>IF($K92="","",INDEX(מלאי!$O$2:$500,$K92))</f>
        <v/>
      </c>
      <c r="H92" s="8">
        <f>IF($K92="","",INDEX(מלאי!$U$2:$500,$K92))</f>
        <v/>
      </c>
      <c r="I92" s="8">
        <f>IF($K92="","",INDEX(מלאי!$X$2:$500,$K92))</f>
        <v/>
      </c>
      <c r="J92" s="8">
        <f>IF($K92="","",INDEX(מלאי!$AC$2:$500,$K92))</f>
        <v/>
      </c>
      <c r="K9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72),"")</f>
        <v/>
      </c>
    </row>
    <row r="93">
      <c r="A93" s="2">
        <f>IF($K93="","",INDEX(מלאי!$D$2:$500,$K93))</f>
        <v/>
      </c>
      <c r="B93" s="2">
        <f>IF($K93="","",INDEX(מלאי!$B$2:$500,$K93))</f>
        <v/>
      </c>
      <c r="C93" s="2">
        <f>IF($K93="","",INDEX(מלאי!$C$2:$500,$K93))</f>
        <v/>
      </c>
      <c r="D93" s="2">
        <f>IF($K93="","",INDEX(מלאי!$G$2:$500,$K93))</f>
        <v/>
      </c>
      <c r="E93" s="2">
        <f>IF($K93="","",INDEX(מלאי!$M$2:$500,$K93))</f>
        <v/>
      </c>
      <c r="F93" s="2">
        <f>IF($K93="","",INDEX(מלאי!$N$2:$500,$K93))</f>
        <v/>
      </c>
      <c r="G93" s="2">
        <f>IF($K93="","",INDEX(מלאי!$O$2:$500,$K93))</f>
        <v/>
      </c>
      <c r="H93" s="2">
        <f>IF($K93="","",INDEX(מלאי!$U$2:$500,$K93))</f>
        <v/>
      </c>
      <c r="I93" s="2">
        <f>IF($K93="","",INDEX(מלאי!$X$2:$500,$K93))</f>
        <v/>
      </c>
      <c r="J93" s="2">
        <f>IF($K93="","",INDEX(מלאי!$AC$2:$500,$K93))</f>
        <v/>
      </c>
      <c r="K9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73),"")</f>
        <v/>
      </c>
    </row>
    <row r="94">
      <c r="A94" s="8">
        <f>IF($K94="","",INDEX(מלאי!$D$2:$500,$K94))</f>
        <v/>
      </c>
      <c r="B94" s="8">
        <f>IF($K94="","",INDEX(מלאי!$B$2:$500,$K94))</f>
        <v/>
      </c>
      <c r="C94" s="8">
        <f>IF($K94="","",INDEX(מלאי!$C$2:$500,$K94))</f>
        <v/>
      </c>
      <c r="D94" s="8">
        <f>IF($K94="","",INDEX(מלאי!$G$2:$500,$K94))</f>
        <v/>
      </c>
      <c r="E94" s="8">
        <f>IF($K94="","",INDEX(מלאי!$M$2:$500,$K94))</f>
        <v/>
      </c>
      <c r="F94" s="8">
        <f>IF($K94="","",INDEX(מלאי!$N$2:$500,$K94))</f>
        <v/>
      </c>
      <c r="G94" s="8">
        <f>IF($K94="","",INDEX(מלאי!$O$2:$500,$K94))</f>
        <v/>
      </c>
      <c r="H94" s="8">
        <f>IF($K94="","",INDEX(מלאי!$U$2:$500,$K94))</f>
        <v/>
      </c>
      <c r="I94" s="8">
        <f>IF($K94="","",INDEX(מלאי!$X$2:$500,$K94))</f>
        <v/>
      </c>
      <c r="J94" s="8">
        <f>IF($K94="","",INDEX(מלאי!$AC$2:$500,$K94))</f>
        <v/>
      </c>
      <c r="K9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74),"")</f>
        <v/>
      </c>
    </row>
    <row r="95">
      <c r="A95" s="2">
        <f>IF($K95="","",INDEX(מלאי!$D$2:$500,$K95))</f>
        <v/>
      </c>
      <c r="B95" s="2">
        <f>IF($K95="","",INDEX(מלאי!$B$2:$500,$K95))</f>
        <v/>
      </c>
      <c r="C95" s="2">
        <f>IF($K95="","",INDEX(מלאי!$C$2:$500,$K95))</f>
        <v/>
      </c>
      <c r="D95" s="2">
        <f>IF($K95="","",INDEX(מלאי!$G$2:$500,$K95))</f>
        <v/>
      </c>
      <c r="E95" s="2">
        <f>IF($K95="","",INDEX(מלאי!$M$2:$500,$K95))</f>
        <v/>
      </c>
      <c r="F95" s="2">
        <f>IF($K95="","",INDEX(מלאי!$N$2:$500,$K95))</f>
        <v/>
      </c>
      <c r="G95" s="2">
        <f>IF($K95="","",INDEX(מלאי!$O$2:$500,$K95))</f>
        <v/>
      </c>
      <c r="H95" s="2">
        <f>IF($K95="","",INDEX(מלאי!$U$2:$500,$K95))</f>
        <v/>
      </c>
      <c r="I95" s="2">
        <f>IF($K95="","",INDEX(מלאי!$X$2:$500,$K95))</f>
        <v/>
      </c>
      <c r="J95" s="2">
        <f>IF($K95="","",INDEX(מלאי!$AC$2:$500,$K95))</f>
        <v/>
      </c>
      <c r="K9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75),"")</f>
        <v/>
      </c>
    </row>
    <row r="96">
      <c r="A96" s="8">
        <f>IF($K96="","",INDEX(מלאי!$D$2:$500,$K96))</f>
        <v/>
      </c>
      <c r="B96" s="8">
        <f>IF($K96="","",INDEX(מלאי!$B$2:$500,$K96))</f>
        <v/>
      </c>
      <c r="C96" s="8">
        <f>IF($K96="","",INDEX(מלאי!$C$2:$500,$K96))</f>
        <v/>
      </c>
      <c r="D96" s="8">
        <f>IF($K96="","",INDEX(מלאי!$G$2:$500,$K96))</f>
        <v/>
      </c>
      <c r="E96" s="8">
        <f>IF($K96="","",INDEX(מלאי!$M$2:$500,$K96))</f>
        <v/>
      </c>
      <c r="F96" s="8">
        <f>IF($K96="","",INDEX(מלאי!$N$2:$500,$K96))</f>
        <v/>
      </c>
      <c r="G96" s="8">
        <f>IF($K96="","",INDEX(מלאי!$O$2:$500,$K96))</f>
        <v/>
      </c>
      <c r="H96" s="8">
        <f>IF($K96="","",INDEX(מלאי!$U$2:$500,$K96))</f>
        <v/>
      </c>
      <c r="I96" s="8">
        <f>IF($K96="","",INDEX(מלאי!$X$2:$500,$K96))</f>
        <v/>
      </c>
      <c r="J96" s="8">
        <f>IF($K96="","",INDEX(מלאי!$AC$2:$500,$K96))</f>
        <v/>
      </c>
      <c r="K9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76),"")</f>
        <v/>
      </c>
    </row>
    <row r="97">
      <c r="A97" s="2">
        <f>IF($K97="","",INDEX(מלאי!$D$2:$500,$K97))</f>
        <v/>
      </c>
      <c r="B97" s="2">
        <f>IF($K97="","",INDEX(מלאי!$B$2:$500,$K97))</f>
        <v/>
      </c>
      <c r="C97" s="2">
        <f>IF($K97="","",INDEX(מלאי!$C$2:$500,$K97))</f>
        <v/>
      </c>
      <c r="D97" s="2">
        <f>IF($K97="","",INDEX(מלאי!$G$2:$500,$K97))</f>
        <v/>
      </c>
      <c r="E97" s="2">
        <f>IF($K97="","",INDEX(מלאי!$M$2:$500,$K97))</f>
        <v/>
      </c>
      <c r="F97" s="2">
        <f>IF($K97="","",INDEX(מלאי!$N$2:$500,$K97))</f>
        <v/>
      </c>
      <c r="G97" s="2">
        <f>IF($K97="","",INDEX(מלאי!$O$2:$500,$K97))</f>
        <v/>
      </c>
      <c r="H97" s="2">
        <f>IF($K97="","",INDEX(מלאי!$U$2:$500,$K97))</f>
        <v/>
      </c>
      <c r="I97" s="2">
        <f>IF($K97="","",INDEX(מלאי!$X$2:$500,$K97))</f>
        <v/>
      </c>
      <c r="J97" s="2">
        <f>IF($K97="","",INDEX(מלאי!$AC$2:$500,$K97))</f>
        <v/>
      </c>
      <c r="K9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77),"")</f>
        <v/>
      </c>
    </row>
    <row r="98">
      <c r="A98" s="8">
        <f>IF($K98="","",INDEX(מלאי!$D$2:$500,$K98))</f>
        <v/>
      </c>
      <c r="B98" s="8">
        <f>IF($K98="","",INDEX(מלאי!$B$2:$500,$K98))</f>
        <v/>
      </c>
      <c r="C98" s="8">
        <f>IF($K98="","",INDEX(מלאי!$C$2:$500,$K98))</f>
        <v/>
      </c>
      <c r="D98" s="8">
        <f>IF($K98="","",INDEX(מלאי!$G$2:$500,$K98))</f>
        <v/>
      </c>
      <c r="E98" s="8">
        <f>IF($K98="","",INDEX(מלאי!$M$2:$500,$K98))</f>
        <v/>
      </c>
      <c r="F98" s="8">
        <f>IF($K98="","",INDEX(מלאי!$N$2:$500,$K98))</f>
        <v/>
      </c>
      <c r="G98" s="8">
        <f>IF($K98="","",INDEX(מלאי!$O$2:$500,$K98))</f>
        <v/>
      </c>
      <c r="H98" s="8">
        <f>IF($K98="","",INDEX(מלאי!$U$2:$500,$K98))</f>
        <v/>
      </c>
      <c r="I98" s="8">
        <f>IF($K98="","",INDEX(מלאי!$X$2:$500,$K98))</f>
        <v/>
      </c>
      <c r="J98" s="8">
        <f>IF($K98="","",INDEX(מלאי!$AC$2:$500,$K98))</f>
        <v/>
      </c>
      <c r="K9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78),"")</f>
        <v/>
      </c>
    </row>
    <row r="99">
      <c r="A99" s="2">
        <f>IF($K99="","",INDEX(מלאי!$D$2:$500,$K99))</f>
        <v/>
      </c>
      <c r="B99" s="2">
        <f>IF($K99="","",INDEX(מלאי!$B$2:$500,$K99))</f>
        <v/>
      </c>
      <c r="C99" s="2">
        <f>IF($K99="","",INDEX(מלאי!$C$2:$500,$K99))</f>
        <v/>
      </c>
      <c r="D99" s="2">
        <f>IF($K99="","",INDEX(מלאי!$G$2:$500,$K99))</f>
        <v/>
      </c>
      <c r="E99" s="2">
        <f>IF($K99="","",INDEX(מלאי!$M$2:$500,$K99))</f>
        <v/>
      </c>
      <c r="F99" s="2">
        <f>IF($K99="","",INDEX(מלאי!$N$2:$500,$K99))</f>
        <v/>
      </c>
      <c r="G99" s="2">
        <f>IF($K99="","",INDEX(מלאי!$O$2:$500,$K99))</f>
        <v/>
      </c>
      <c r="H99" s="2">
        <f>IF($K99="","",INDEX(מלאי!$U$2:$500,$K99))</f>
        <v/>
      </c>
      <c r="I99" s="2">
        <f>IF($K99="","",INDEX(מלאי!$X$2:$500,$K99))</f>
        <v/>
      </c>
      <c r="J99" s="2">
        <f>IF($K99="","",INDEX(מלאי!$AC$2:$500,$K99))</f>
        <v/>
      </c>
      <c r="K9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79),"")</f>
        <v/>
      </c>
    </row>
    <row r="100">
      <c r="A100" s="8">
        <f>IF($K100="","",INDEX(מלאי!$D$2:$500,$K100))</f>
        <v/>
      </c>
      <c r="B100" s="8">
        <f>IF($K100="","",INDEX(מלאי!$B$2:$500,$K100))</f>
        <v/>
      </c>
      <c r="C100" s="8">
        <f>IF($K100="","",INDEX(מלאי!$C$2:$500,$K100))</f>
        <v/>
      </c>
      <c r="D100" s="8">
        <f>IF($K100="","",INDEX(מלאי!$G$2:$500,$K100))</f>
        <v/>
      </c>
      <c r="E100" s="8">
        <f>IF($K100="","",INDEX(מלאי!$M$2:$500,$K100))</f>
        <v/>
      </c>
      <c r="F100" s="8">
        <f>IF($K100="","",INDEX(מלאי!$N$2:$500,$K100))</f>
        <v/>
      </c>
      <c r="G100" s="8">
        <f>IF($K100="","",INDEX(מלאי!$O$2:$500,$K100))</f>
        <v/>
      </c>
      <c r="H100" s="8">
        <f>IF($K100="","",INDEX(מלאי!$U$2:$500,$K100))</f>
        <v/>
      </c>
      <c r="I100" s="8">
        <f>IF($K100="","",INDEX(מלאי!$X$2:$500,$K100))</f>
        <v/>
      </c>
      <c r="J100" s="8">
        <f>IF($K100="","",INDEX(מלאי!$AC$2:$500,$K100))</f>
        <v/>
      </c>
      <c r="K10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80),"")</f>
        <v/>
      </c>
    </row>
    <row r="101">
      <c r="A101" s="2">
        <f>IF($K101="","",INDEX(מלאי!$D$2:$500,$K101))</f>
        <v/>
      </c>
      <c r="B101" s="2">
        <f>IF($K101="","",INDEX(מלאי!$B$2:$500,$K101))</f>
        <v/>
      </c>
      <c r="C101" s="2">
        <f>IF($K101="","",INDEX(מלאי!$C$2:$500,$K101))</f>
        <v/>
      </c>
      <c r="D101" s="2">
        <f>IF($K101="","",INDEX(מלאי!$G$2:$500,$K101))</f>
        <v/>
      </c>
      <c r="E101" s="2">
        <f>IF($K101="","",INDEX(מלאי!$M$2:$500,$K101))</f>
        <v/>
      </c>
      <c r="F101" s="2">
        <f>IF($K101="","",INDEX(מלאי!$N$2:$500,$K101))</f>
        <v/>
      </c>
      <c r="G101" s="2">
        <f>IF($K101="","",INDEX(מלאי!$O$2:$500,$K101))</f>
        <v/>
      </c>
      <c r="H101" s="2">
        <f>IF($K101="","",INDEX(מלאי!$U$2:$500,$K101))</f>
        <v/>
      </c>
      <c r="I101" s="2">
        <f>IF($K101="","",INDEX(מלאי!$X$2:$500,$K101))</f>
        <v/>
      </c>
      <c r="J101" s="2">
        <f>IF($K101="","",INDEX(מלאי!$AC$2:$500,$K101))</f>
        <v/>
      </c>
      <c r="K10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81),"")</f>
        <v/>
      </c>
    </row>
    <row r="102">
      <c r="A102" s="8">
        <f>IF($K102="","",INDEX(מלאי!$D$2:$500,$K102))</f>
        <v/>
      </c>
      <c r="B102" s="8">
        <f>IF($K102="","",INDEX(מלאי!$B$2:$500,$K102))</f>
        <v/>
      </c>
      <c r="C102" s="8">
        <f>IF($K102="","",INDEX(מלאי!$C$2:$500,$K102))</f>
        <v/>
      </c>
      <c r="D102" s="8">
        <f>IF($K102="","",INDEX(מלאי!$G$2:$500,$K102))</f>
        <v/>
      </c>
      <c r="E102" s="8">
        <f>IF($K102="","",INDEX(מלאי!$M$2:$500,$K102))</f>
        <v/>
      </c>
      <c r="F102" s="8">
        <f>IF($K102="","",INDEX(מלאי!$N$2:$500,$K102))</f>
        <v/>
      </c>
      <c r="G102" s="8">
        <f>IF($K102="","",INDEX(מלאי!$O$2:$500,$K102))</f>
        <v/>
      </c>
      <c r="H102" s="8">
        <f>IF($K102="","",INDEX(מלאי!$U$2:$500,$K102))</f>
        <v/>
      </c>
      <c r="I102" s="8">
        <f>IF($K102="","",INDEX(מלאי!$X$2:$500,$K102))</f>
        <v/>
      </c>
      <c r="J102" s="8">
        <f>IF($K102="","",INDEX(מלאי!$AC$2:$500,$K102))</f>
        <v/>
      </c>
      <c r="K10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82),"")</f>
        <v/>
      </c>
    </row>
    <row r="103">
      <c r="A103" s="2">
        <f>IF($K103="","",INDEX(מלאי!$D$2:$500,$K103))</f>
        <v/>
      </c>
      <c r="B103" s="2">
        <f>IF($K103="","",INDEX(מלאי!$B$2:$500,$K103))</f>
        <v/>
      </c>
      <c r="C103" s="2">
        <f>IF($K103="","",INDEX(מלאי!$C$2:$500,$K103))</f>
        <v/>
      </c>
      <c r="D103" s="2">
        <f>IF($K103="","",INDEX(מלאי!$G$2:$500,$K103))</f>
        <v/>
      </c>
      <c r="E103" s="2">
        <f>IF($K103="","",INDEX(מלאי!$M$2:$500,$K103))</f>
        <v/>
      </c>
      <c r="F103" s="2">
        <f>IF($K103="","",INDEX(מלאי!$N$2:$500,$K103))</f>
        <v/>
      </c>
      <c r="G103" s="2">
        <f>IF($K103="","",INDEX(מלאי!$O$2:$500,$K103))</f>
        <v/>
      </c>
      <c r="H103" s="2">
        <f>IF($K103="","",INDEX(מלאי!$U$2:$500,$K103))</f>
        <v/>
      </c>
      <c r="I103" s="2">
        <f>IF($K103="","",INDEX(מלאי!$X$2:$500,$K103))</f>
        <v/>
      </c>
      <c r="J103" s="2">
        <f>IF($K103="","",INDEX(מלאי!$AC$2:$500,$K103))</f>
        <v/>
      </c>
      <c r="K10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83),"")</f>
        <v/>
      </c>
    </row>
    <row r="104">
      <c r="A104" s="8">
        <f>IF($K104="","",INDEX(מלאי!$D$2:$500,$K104))</f>
        <v/>
      </c>
      <c r="B104" s="8">
        <f>IF($K104="","",INDEX(מלאי!$B$2:$500,$K104))</f>
        <v/>
      </c>
      <c r="C104" s="8">
        <f>IF($K104="","",INDEX(מלאי!$C$2:$500,$K104))</f>
        <v/>
      </c>
      <c r="D104" s="8">
        <f>IF($K104="","",INDEX(מלאי!$G$2:$500,$K104))</f>
        <v/>
      </c>
      <c r="E104" s="8">
        <f>IF($K104="","",INDEX(מלאי!$M$2:$500,$K104))</f>
        <v/>
      </c>
      <c r="F104" s="8">
        <f>IF($K104="","",INDEX(מלאי!$N$2:$500,$K104))</f>
        <v/>
      </c>
      <c r="G104" s="8">
        <f>IF($K104="","",INDEX(מלאי!$O$2:$500,$K104))</f>
        <v/>
      </c>
      <c r="H104" s="8">
        <f>IF($K104="","",INDEX(מלאי!$U$2:$500,$K104))</f>
        <v/>
      </c>
      <c r="I104" s="8">
        <f>IF($K104="","",INDEX(מלאי!$X$2:$500,$K104))</f>
        <v/>
      </c>
      <c r="J104" s="8">
        <f>IF($K104="","",INDEX(מלאי!$AC$2:$500,$K104))</f>
        <v/>
      </c>
      <c r="K10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84),"")</f>
        <v/>
      </c>
    </row>
    <row r="105">
      <c r="A105" s="2">
        <f>IF($K105="","",INDEX(מלאי!$D$2:$500,$K105))</f>
        <v/>
      </c>
      <c r="B105" s="2">
        <f>IF($K105="","",INDEX(מלאי!$B$2:$500,$K105))</f>
        <v/>
      </c>
      <c r="C105" s="2">
        <f>IF($K105="","",INDEX(מלאי!$C$2:$500,$K105))</f>
        <v/>
      </c>
      <c r="D105" s="2">
        <f>IF($K105="","",INDEX(מלאי!$G$2:$500,$K105))</f>
        <v/>
      </c>
      <c r="E105" s="2">
        <f>IF($K105="","",INDEX(מלאי!$M$2:$500,$K105))</f>
        <v/>
      </c>
      <c r="F105" s="2">
        <f>IF($K105="","",INDEX(מלאי!$N$2:$500,$K105))</f>
        <v/>
      </c>
      <c r="G105" s="2">
        <f>IF($K105="","",INDEX(מלאי!$O$2:$500,$K105))</f>
        <v/>
      </c>
      <c r="H105" s="2">
        <f>IF($K105="","",INDEX(מלאי!$U$2:$500,$K105))</f>
        <v/>
      </c>
      <c r="I105" s="2">
        <f>IF($K105="","",INDEX(מלאי!$X$2:$500,$K105))</f>
        <v/>
      </c>
      <c r="J105" s="2">
        <f>IF($K105="","",INDEX(מלאי!$AC$2:$500,$K105))</f>
        <v/>
      </c>
      <c r="K10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85),"")</f>
        <v/>
      </c>
    </row>
    <row r="106">
      <c r="A106" s="8">
        <f>IF($K106="","",INDEX(מלאי!$D$2:$500,$K106))</f>
        <v/>
      </c>
      <c r="B106" s="8">
        <f>IF($K106="","",INDEX(מלאי!$B$2:$500,$K106))</f>
        <v/>
      </c>
      <c r="C106" s="8">
        <f>IF($K106="","",INDEX(מלאי!$C$2:$500,$K106))</f>
        <v/>
      </c>
      <c r="D106" s="8">
        <f>IF($K106="","",INDEX(מלאי!$G$2:$500,$K106))</f>
        <v/>
      </c>
      <c r="E106" s="8">
        <f>IF($K106="","",INDEX(מלאי!$M$2:$500,$K106))</f>
        <v/>
      </c>
      <c r="F106" s="8">
        <f>IF($K106="","",INDEX(מלאי!$N$2:$500,$K106))</f>
        <v/>
      </c>
      <c r="G106" s="8">
        <f>IF($K106="","",INDEX(מלאי!$O$2:$500,$K106))</f>
        <v/>
      </c>
      <c r="H106" s="8">
        <f>IF($K106="","",INDEX(מלאי!$U$2:$500,$K106))</f>
        <v/>
      </c>
      <c r="I106" s="8">
        <f>IF($K106="","",INDEX(מלאי!$X$2:$500,$K106))</f>
        <v/>
      </c>
      <c r="J106" s="8">
        <f>IF($K106="","",INDEX(מלאי!$AC$2:$500,$K106))</f>
        <v/>
      </c>
      <c r="K10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86),"")</f>
        <v/>
      </c>
    </row>
    <row r="107">
      <c r="A107" s="2">
        <f>IF($K107="","",INDEX(מלאי!$D$2:$500,$K107))</f>
        <v/>
      </c>
      <c r="B107" s="2">
        <f>IF($K107="","",INDEX(מלאי!$B$2:$500,$K107))</f>
        <v/>
      </c>
      <c r="C107" s="2">
        <f>IF($K107="","",INDEX(מלאי!$C$2:$500,$K107))</f>
        <v/>
      </c>
      <c r="D107" s="2">
        <f>IF($K107="","",INDEX(מלאי!$G$2:$500,$K107))</f>
        <v/>
      </c>
      <c r="E107" s="2">
        <f>IF($K107="","",INDEX(מלאי!$M$2:$500,$K107))</f>
        <v/>
      </c>
      <c r="F107" s="2">
        <f>IF($K107="","",INDEX(מלאי!$N$2:$500,$K107))</f>
        <v/>
      </c>
      <c r="G107" s="2">
        <f>IF($K107="","",INDEX(מלאי!$O$2:$500,$K107))</f>
        <v/>
      </c>
      <c r="H107" s="2">
        <f>IF($K107="","",INDEX(מלאי!$U$2:$500,$K107))</f>
        <v/>
      </c>
      <c r="I107" s="2">
        <f>IF($K107="","",INDEX(מלאי!$X$2:$500,$K107))</f>
        <v/>
      </c>
      <c r="J107" s="2">
        <f>IF($K107="","",INDEX(מלאי!$AC$2:$500,$K107))</f>
        <v/>
      </c>
      <c r="K10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87),"")</f>
        <v/>
      </c>
    </row>
    <row r="108">
      <c r="A108" s="8">
        <f>IF($K108="","",INDEX(מלאי!$D$2:$500,$K108))</f>
        <v/>
      </c>
      <c r="B108" s="8">
        <f>IF($K108="","",INDEX(מלאי!$B$2:$500,$K108))</f>
        <v/>
      </c>
      <c r="C108" s="8">
        <f>IF($K108="","",INDEX(מלאי!$C$2:$500,$K108))</f>
        <v/>
      </c>
      <c r="D108" s="8">
        <f>IF($K108="","",INDEX(מלאי!$G$2:$500,$K108))</f>
        <v/>
      </c>
      <c r="E108" s="8">
        <f>IF($K108="","",INDEX(מלאי!$M$2:$500,$K108))</f>
        <v/>
      </c>
      <c r="F108" s="8">
        <f>IF($K108="","",INDEX(מלאי!$N$2:$500,$K108))</f>
        <v/>
      </c>
      <c r="G108" s="8">
        <f>IF($K108="","",INDEX(מלאי!$O$2:$500,$K108))</f>
        <v/>
      </c>
      <c r="H108" s="8">
        <f>IF($K108="","",INDEX(מלאי!$U$2:$500,$K108))</f>
        <v/>
      </c>
      <c r="I108" s="8">
        <f>IF($K108="","",INDEX(מלאי!$X$2:$500,$K108))</f>
        <v/>
      </c>
      <c r="J108" s="8">
        <f>IF($K108="","",INDEX(מלאי!$AC$2:$500,$K108))</f>
        <v/>
      </c>
      <c r="K10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88),"")</f>
        <v/>
      </c>
    </row>
    <row r="109">
      <c r="A109" s="2">
        <f>IF($K109="","",INDEX(מלאי!$D$2:$500,$K109))</f>
        <v/>
      </c>
      <c r="B109" s="2">
        <f>IF($K109="","",INDEX(מלאי!$B$2:$500,$K109))</f>
        <v/>
      </c>
      <c r="C109" s="2">
        <f>IF($K109="","",INDEX(מלאי!$C$2:$500,$K109))</f>
        <v/>
      </c>
      <c r="D109" s="2">
        <f>IF($K109="","",INDEX(מלאי!$G$2:$500,$K109))</f>
        <v/>
      </c>
      <c r="E109" s="2">
        <f>IF($K109="","",INDEX(מלאי!$M$2:$500,$K109))</f>
        <v/>
      </c>
      <c r="F109" s="2">
        <f>IF($K109="","",INDEX(מלאי!$N$2:$500,$K109))</f>
        <v/>
      </c>
      <c r="G109" s="2">
        <f>IF($K109="","",INDEX(מלאי!$O$2:$500,$K109))</f>
        <v/>
      </c>
      <c r="H109" s="2">
        <f>IF($K109="","",INDEX(מלאי!$U$2:$500,$K109))</f>
        <v/>
      </c>
      <c r="I109" s="2">
        <f>IF($K109="","",INDEX(מלאי!$X$2:$500,$K109))</f>
        <v/>
      </c>
      <c r="J109" s="2">
        <f>IF($K109="","",INDEX(מלאי!$AC$2:$500,$K109))</f>
        <v/>
      </c>
      <c r="K10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89),"")</f>
        <v/>
      </c>
    </row>
    <row r="110">
      <c r="A110" s="8">
        <f>IF($K110="","",INDEX(מלאי!$D$2:$500,$K110))</f>
        <v/>
      </c>
      <c r="B110" s="8">
        <f>IF($K110="","",INDEX(מלאי!$B$2:$500,$K110))</f>
        <v/>
      </c>
      <c r="C110" s="8">
        <f>IF($K110="","",INDEX(מלאי!$C$2:$500,$K110))</f>
        <v/>
      </c>
      <c r="D110" s="8">
        <f>IF($K110="","",INDEX(מלאי!$G$2:$500,$K110))</f>
        <v/>
      </c>
      <c r="E110" s="8">
        <f>IF($K110="","",INDEX(מלאי!$M$2:$500,$K110))</f>
        <v/>
      </c>
      <c r="F110" s="8">
        <f>IF($K110="","",INDEX(מלאי!$N$2:$500,$K110))</f>
        <v/>
      </c>
      <c r="G110" s="8">
        <f>IF($K110="","",INDEX(מלאי!$O$2:$500,$K110))</f>
        <v/>
      </c>
      <c r="H110" s="8">
        <f>IF($K110="","",INDEX(מלאי!$U$2:$500,$K110))</f>
        <v/>
      </c>
      <c r="I110" s="8">
        <f>IF($K110="","",INDEX(מלאי!$X$2:$500,$K110))</f>
        <v/>
      </c>
      <c r="J110" s="8">
        <f>IF($K110="","",INDEX(מלאי!$AC$2:$500,$K110))</f>
        <v/>
      </c>
      <c r="K11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90),"")</f>
        <v/>
      </c>
    </row>
    <row r="111">
      <c r="A111" s="2">
        <f>IF($K111="","",INDEX(מלאי!$D$2:$500,$K111))</f>
        <v/>
      </c>
      <c r="B111" s="2">
        <f>IF($K111="","",INDEX(מלאי!$B$2:$500,$K111))</f>
        <v/>
      </c>
      <c r="C111" s="2">
        <f>IF($K111="","",INDEX(מלאי!$C$2:$500,$K111))</f>
        <v/>
      </c>
      <c r="D111" s="2">
        <f>IF($K111="","",INDEX(מלאי!$G$2:$500,$K111))</f>
        <v/>
      </c>
      <c r="E111" s="2">
        <f>IF($K111="","",INDEX(מלאי!$M$2:$500,$K111))</f>
        <v/>
      </c>
      <c r="F111" s="2">
        <f>IF($K111="","",INDEX(מלאי!$N$2:$500,$K111))</f>
        <v/>
      </c>
      <c r="G111" s="2">
        <f>IF($K111="","",INDEX(מלאי!$O$2:$500,$K111))</f>
        <v/>
      </c>
      <c r="H111" s="2">
        <f>IF($K111="","",INDEX(מלאי!$U$2:$500,$K111))</f>
        <v/>
      </c>
      <c r="I111" s="2">
        <f>IF($K111="","",INDEX(מלאי!$X$2:$500,$K111))</f>
        <v/>
      </c>
      <c r="J111" s="2">
        <f>IF($K111="","",INDEX(מלאי!$AC$2:$500,$K111))</f>
        <v/>
      </c>
      <c r="K11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91),"")</f>
        <v/>
      </c>
    </row>
    <row r="112">
      <c r="A112" s="8">
        <f>IF($K112="","",INDEX(מלאי!$D$2:$500,$K112))</f>
        <v/>
      </c>
      <c r="B112" s="8">
        <f>IF($K112="","",INDEX(מלאי!$B$2:$500,$K112))</f>
        <v/>
      </c>
      <c r="C112" s="8">
        <f>IF($K112="","",INDEX(מלאי!$C$2:$500,$K112))</f>
        <v/>
      </c>
      <c r="D112" s="8">
        <f>IF($K112="","",INDEX(מלאי!$G$2:$500,$K112))</f>
        <v/>
      </c>
      <c r="E112" s="8">
        <f>IF($K112="","",INDEX(מלאי!$M$2:$500,$K112))</f>
        <v/>
      </c>
      <c r="F112" s="8">
        <f>IF($K112="","",INDEX(מלאי!$N$2:$500,$K112))</f>
        <v/>
      </c>
      <c r="G112" s="8">
        <f>IF($K112="","",INDEX(מלאי!$O$2:$500,$K112))</f>
        <v/>
      </c>
      <c r="H112" s="8">
        <f>IF($K112="","",INDEX(מלאי!$U$2:$500,$K112))</f>
        <v/>
      </c>
      <c r="I112" s="8">
        <f>IF($K112="","",INDEX(מלאי!$X$2:$500,$K112))</f>
        <v/>
      </c>
      <c r="J112" s="8">
        <f>IF($K112="","",INDEX(מלאי!$AC$2:$500,$K112))</f>
        <v/>
      </c>
      <c r="K11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92),"")</f>
        <v/>
      </c>
    </row>
    <row r="113">
      <c r="A113" s="2">
        <f>IF($K113="","",INDEX(מלאי!$D$2:$500,$K113))</f>
        <v/>
      </c>
      <c r="B113" s="2">
        <f>IF($K113="","",INDEX(מלאי!$B$2:$500,$K113))</f>
        <v/>
      </c>
      <c r="C113" s="2">
        <f>IF($K113="","",INDEX(מלאי!$C$2:$500,$K113))</f>
        <v/>
      </c>
      <c r="D113" s="2">
        <f>IF($K113="","",INDEX(מלאי!$G$2:$500,$K113))</f>
        <v/>
      </c>
      <c r="E113" s="2">
        <f>IF($K113="","",INDEX(מלאי!$M$2:$500,$K113))</f>
        <v/>
      </c>
      <c r="F113" s="2">
        <f>IF($K113="","",INDEX(מלאי!$N$2:$500,$K113))</f>
        <v/>
      </c>
      <c r="G113" s="2">
        <f>IF($K113="","",INDEX(מלאי!$O$2:$500,$K113))</f>
        <v/>
      </c>
      <c r="H113" s="2">
        <f>IF($K113="","",INDEX(מלאי!$U$2:$500,$K113))</f>
        <v/>
      </c>
      <c r="I113" s="2">
        <f>IF($K113="","",INDEX(מלאי!$X$2:$500,$K113))</f>
        <v/>
      </c>
      <c r="J113" s="2">
        <f>IF($K113="","",INDEX(מלאי!$AC$2:$500,$K113))</f>
        <v/>
      </c>
      <c r="K11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93),"")</f>
        <v/>
      </c>
    </row>
    <row r="114">
      <c r="A114" s="8">
        <f>IF($K114="","",INDEX(מלאי!$D$2:$500,$K114))</f>
        <v/>
      </c>
      <c r="B114" s="8">
        <f>IF($K114="","",INDEX(מלאי!$B$2:$500,$K114))</f>
        <v/>
      </c>
      <c r="C114" s="8">
        <f>IF($K114="","",INDEX(מלאי!$C$2:$500,$K114))</f>
        <v/>
      </c>
      <c r="D114" s="8">
        <f>IF($K114="","",INDEX(מלאי!$G$2:$500,$K114))</f>
        <v/>
      </c>
      <c r="E114" s="8">
        <f>IF($K114="","",INDEX(מלאי!$M$2:$500,$K114))</f>
        <v/>
      </c>
      <c r="F114" s="8">
        <f>IF($K114="","",INDEX(מלאי!$N$2:$500,$K114))</f>
        <v/>
      </c>
      <c r="G114" s="8">
        <f>IF($K114="","",INDEX(מלאי!$O$2:$500,$K114))</f>
        <v/>
      </c>
      <c r="H114" s="8">
        <f>IF($K114="","",INDEX(מלאי!$U$2:$500,$K114))</f>
        <v/>
      </c>
      <c r="I114" s="8">
        <f>IF($K114="","",INDEX(מלאי!$X$2:$500,$K114))</f>
        <v/>
      </c>
      <c r="J114" s="8">
        <f>IF($K114="","",INDEX(מלאי!$AC$2:$500,$K114))</f>
        <v/>
      </c>
      <c r="K11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94),"")</f>
        <v/>
      </c>
    </row>
    <row r="115">
      <c r="A115" s="2">
        <f>IF($K115="","",INDEX(מלאי!$D$2:$500,$K115))</f>
        <v/>
      </c>
      <c r="B115" s="2">
        <f>IF($K115="","",INDEX(מלאי!$B$2:$500,$K115))</f>
        <v/>
      </c>
      <c r="C115" s="2">
        <f>IF($K115="","",INDEX(מלאי!$C$2:$500,$K115))</f>
        <v/>
      </c>
      <c r="D115" s="2">
        <f>IF($K115="","",INDEX(מלאי!$G$2:$500,$K115))</f>
        <v/>
      </c>
      <c r="E115" s="2">
        <f>IF($K115="","",INDEX(מלאי!$M$2:$500,$K115))</f>
        <v/>
      </c>
      <c r="F115" s="2">
        <f>IF($K115="","",INDEX(מלאי!$N$2:$500,$K115))</f>
        <v/>
      </c>
      <c r="G115" s="2">
        <f>IF($K115="","",INDEX(מלאי!$O$2:$500,$K115))</f>
        <v/>
      </c>
      <c r="H115" s="2">
        <f>IF($K115="","",INDEX(מלאי!$U$2:$500,$K115))</f>
        <v/>
      </c>
      <c r="I115" s="2">
        <f>IF($K115="","",INDEX(מלאי!$X$2:$500,$K115))</f>
        <v/>
      </c>
      <c r="J115" s="2">
        <f>IF($K115="","",INDEX(מלאי!$AC$2:$500,$K115))</f>
        <v/>
      </c>
      <c r="K11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95),"")</f>
        <v/>
      </c>
    </row>
    <row r="116">
      <c r="A116" s="8">
        <f>IF($K116="","",INDEX(מלאי!$D$2:$500,$K116))</f>
        <v/>
      </c>
      <c r="B116" s="8">
        <f>IF($K116="","",INDEX(מלאי!$B$2:$500,$K116))</f>
        <v/>
      </c>
      <c r="C116" s="8">
        <f>IF($K116="","",INDEX(מלאי!$C$2:$500,$K116))</f>
        <v/>
      </c>
      <c r="D116" s="8">
        <f>IF($K116="","",INDEX(מלאי!$G$2:$500,$K116))</f>
        <v/>
      </c>
      <c r="E116" s="8">
        <f>IF($K116="","",INDEX(מלאי!$M$2:$500,$K116))</f>
        <v/>
      </c>
      <c r="F116" s="8">
        <f>IF($K116="","",INDEX(מלאי!$N$2:$500,$K116))</f>
        <v/>
      </c>
      <c r="G116" s="8">
        <f>IF($K116="","",INDEX(מלאי!$O$2:$500,$K116))</f>
        <v/>
      </c>
      <c r="H116" s="8">
        <f>IF($K116="","",INDEX(מלאי!$U$2:$500,$K116))</f>
        <v/>
      </c>
      <c r="I116" s="8">
        <f>IF($K116="","",INDEX(מלאי!$X$2:$500,$K116))</f>
        <v/>
      </c>
      <c r="J116" s="8">
        <f>IF($K116="","",INDEX(מלאי!$AC$2:$500,$K116))</f>
        <v/>
      </c>
      <c r="K11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96),"")</f>
        <v/>
      </c>
    </row>
    <row r="117">
      <c r="A117" s="2">
        <f>IF($K117="","",INDEX(מלאי!$D$2:$500,$K117))</f>
        <v/>
      </c>
      <c r="B117" s="2">
        <f>IF($K117="","",INDEX(מלאי!$B$2:$500,$K117))</f>
        <v/>
      </c>
      <c r="C117" s="2">
        <f>IF($K117="","",INDEX(מלאי!$C$2:$500,$K117))</f>
        <v/>
      </c>
      <c r="D117" s="2">
        <f>IF($K117="","",INDEX(מלאי!$G$2:$500,$K117))</f>
        <v/>
      </c>
      <c r="E117" s="2">
        <f>IF($K117="","",INDEX(מלאי!$M$2:$500,$K117))</f>
        <v/>
      </c>
      <c r="F117" s="2">
        <f>IF($K117="","",INDEX(מלאי!$N$2:$500,$K117))</f>
        <v/>
      </c>
      <c r="G117" s="2">
        <f>IF($K117="","",INDEX(מלאי!$O$2:$500,$K117))</f>
        <v/>
      </c>
      <c r="H117" s="2">
        <f>IF($K117="","",INDEX(מלאי!$U$2:$500,$K117))</f>
        <v/>
      </c>
      <c r="I117" s="2">
        <f>IF($K117="","",INDEX(מלאי!$X$2:$500,$K117))</f>
        <v/>
      </c>
      <c r="J117" s="2">
        <f>IF($K117="","",INDEX(מלאי!$AC$2:$500,$K117))</f>
        <v/>
      </c>
      <c r="K11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97),"")</f>
        <v/>
      </c>
    </row>
    <row r="118">
      <c r="A118" s="8">
        <f>IF($K118="","",INDEX(מלאי!$D$2:$500,$K118))</f>
        <v/>
      </c>
      <c r="B118" s="8">
        <f>IF($K118="","",INDEX(מלאי!$B$2:$500,$K118))</f>
        <v/>
      </c>
      <c r="C118" s="8">
        <f>IF($K118="","",INDEX(מלאי!$C$2:$500,$K118))</f>
        <v/>
      </c>
      <c r="D118" s="8">
        <f>IF($K118="","",INDEX(מלאי!$G$2:$500,$K118))</f>
        <v/>
      </c>
      <c r="E118" s="8">
        <f>IF($K118="","",INDEX(מלאי!$M$2:$500,$K118))</f>
        <v/>
      </c>
      <c r="F118" s="8">
        <f>IF($K118="","",INDEX(מלאי!$N$2:$500,$K118))</f>
        <v/>
      </c>
      <c r="G118" s="8">
        <f>IF($K118="","",INDEX(מלאי!$O$2:$500,$K118))</f>
        <v/>
      </c>
      <c r="H118" s="8">
        <f>IF($K118="","",INDEX(מלאי!$U$2:$500,$K118))</f>
        <v/>
      </c>
      <c r="I118" s="8">
        <f>IF($K118="","",INDEX(מלאי!$X$2:$500,$K118))</f>
        <v/>
      </c>
      <c r="J118" s="8">
        <f>IF($K118="","",INDEX(מלאי!$AC$2:$500,$K118))</f>
        <v/>
      </c>
      <c r="K11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98),"")</f>
        <v/>
      </c>
    </row>
    <row r="119">
      <c r="A119" s="2">
        <f>IF($K119="","",INDEX(מלאי!$D$2:$500,$K119))</f>
        <v/>
      </c>
      <c r="B119" s="2">
        <f>IF($K119="","",INDEX(מלאי!$B$2:$500,$K119))</f>
        <v/>
      </c>
      <c r="C119" s="2">
        <f>IF($K119="","",INDEX(מלאי!$C$2:$500,$K119))</f>
        <v/>
      </c>
      <c r="D119" s="2">
        <f>IF($K119="","",INDEX(מלאי!$G$2:$500,$K119))</f>
        <v/>
      </c>
      <c r="E119" s="2">
        <f>IF($K119="","",INDEX(מלאי!$M$2:$500,$K119))</f>
        <v/>
      </c>
      <c r="F119" s="2">
        <f>IF($K119="","",INDEX(מלאי!$N$2:$500,$K119))</f>
        <v/>
      </c>
      <c r="G119" s="2">
        <f>IF($K119="","",INDEX(מלאי!$O$2:$500,$K119))</f>
        <v/>
      </c>
      <c r="H119" s="2">
        <f>IF($K119="","",INDEX(מלאי!$U$2:$500,$K119))</f>
        <v/>
      </c>
      <c r="I119" s="2">
        <f>IF($K119="","",INDEX(מלאי!$X$2:$500,$K119))</f>
        <v/>
      </c>
      <c r="J119" s="2">
        <f>IF($K119="","",INDEX(מלאי!$AC$2:$500,$K119))</f>
        <v/>
      </c>
      <c r="K11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99),"")</f>
        <v/>
      </c>
    </row>
    <row r="120">
      <c r="A120" s="8">
        <f>IF($K120="","",INDEX(מלאי!$D$2:$500,$K120))</f>
        <v/>
      </c>
      <c r="B120" s="8">
        <f>IF($K120="","",INDEX(מלאי!$B$2:$500,$K120))</f>
        <v/>
      </c>
      <c r="C120" s="8">
        <f>IF($K120="","",INDEX(מלאי!$C$2:$500,$K120))</f>
        <v/>
      </c>
      <c r="D120" s="8">
        <f>IF($K120="","",INDEX(מלאי!$G$2:$500,$K120))</f>
        <v/>
      </c>
      <c r="E120" s="8">
        <f>IF($K120="","",INDEX(מלאי!$M$2:$500,$K120))</f>
        <v/>
      </c>
      <c r="F120" s="8">
        <f>IF($K120="","",INDEX(מלאי!$N$2:$500,$K120))</f>
        <v/>
      </c>
      <c r="G120" s="8">
        <f>IF($K120="","",INDEX(מלאי!$O$2:$500,$K120))</f>
        <v/>
      </c>
      <c r="H120" s="8">
        <f>IF($K120="","",INDEX(מלאי!$U$2:$500,$K120))</f>
        <v/>
      </c>
      <c r="I120" s="8">
        <f>IF($K120="","",INDEX(מלאי!$X$2:$500,$K120))</f>
        <v/>
      </c>
      <c r="J120" s="8">
        <f>IF($K120="","",INDEX(מלאי!$AC$2:$500,$K120))</f>
        <v/>
      </c>
      <c r="K12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100),"")</f>
        <v/>
      </c>
    </row>
    <row r="121">
      <c r="A121" s="2">
        <f>IF($K121="","",INDEX(מלאי!$D$2:$500,$K121))</f>
        <v/>
      </c>
      <c r="B121" s="2">
        <f>IF($K121="","",INDEX(מלאי!$B$2:$500,$K121))</f>
        <v/>
      </c>
      <c r="C121" s="2">
        <f>IF($K121="","",INDEX(מלאי!$C$2:$500,$K121))</f>
        <v/>
      </c>
      <c r="D121" s="2">
        <f>IF($K121="","",INDEX(מלאי!$G$2:$500,$K121))</f>
        <v/>
      </c>
      <c r="E121" s="2">
        <f>IF($K121="","",INDEX(מלאי!$M$2:$500,$K121))</f>
        <v/>
      </c>
      <c r="F121" s="2">
        <f>IF($K121="","",INDEX(מלאי!$N$2:$500,$K121))</f>
        <v/>
      </c>
      <c r="G121" s="2">
        <f>IF($K121="","",INDEX(מלאי!$O$2:$500,$K121))</f>
        <v/>
      </c>
      <c r="H121" s="2">
        <f>IF($K121="","",INDEX(מלאי!$U$2:$500,$K121))</f>
        <v/>
      </c>
      <c r="I121" s="2">
        <f>IF($K121="","",INDEX(מלאי!$X$2:$500,$K121))</f>
        <v/>
      </c>
      <c r="J121" s="2">
        <f>IF($K121="","",INDEX(מלאי!$AC$2:$500,$K121))</f>
        <v/>
      </c>
      <c r="K12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101),"")</f>
        <v/>
      </c>
    </row>
    <row r="122">
      <c r="A122" s="8">
        <f>IF($K122="","",INDEX(מלאי!$D$2:$500,$K122))</f>
        <v/>
      </c>
      <c r="B122" s="8">
        <f>IF($K122="","",INDEX(מלאי!$B$2:$500,$K122))</f>
        <v/>
      </c>
      <c r="C122" s="8">
        <f>IF($K122="","",INDEX(מלאי!$C$2:$500,$K122))</f>
        <v/>
      </c>
      <c r="D122" s="8">
        <f>IF($K122="","",INDEX(מלאי!$G$2:$500,$K122))</f>
        <v/>
      </c>
      <c r="E122" s="8">
        <f>IF($K122="","",INDEX(מלאי!$M$2:$500,$K122))</f>
        <v/>
      </c>
      <c r="F122" s="8">
        <f>IF($K122="","",INDEX(מלאי!$N$2:$500,$K122))</f>
        <v/>
      </c>
      <c r="G122" s="8">
        <f>IF($K122="","",INDEX(מלאי!$O$2:$500,$K122))</f>
        <v/>
      </c>
      <c r="H122" s="8">
        <f>IF($K122="","",INDEX(מלאי!$U$2:$500,$K122))</f>
        <v/>
      </c>
      <c r="I122" s="8">
        <f>IF($K122="","",INDEX(מלאי!$X$2:$500,$K122))</f>
        <v/>
      </c>
      <c r="J122" s="8">
        <f>IF($K122="","",INDEX(מלאי!$AC$2:$500,$K122))</f>
        <v/>
      </c>
      <c r="K12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102),"")</f>
        <v/>
      </c>
    </row>
    <row r="123">
      <c r="A123" s="2">
        <f>IF($K123="","",INDEX(מלאי!$D$2:$500,$K123))</f>
        <v/>
      </c>
      <c r="B123" s="2">
        <f>IF($K123="","",INDEX(מלאי!$B$2:$500,$K123))</f>
        <v/>
      </c>
      <c r="C123" s="2">
        <f>IF($K123="","",INDEX(מלאי!$C$2:$500,$K123))</f>
        <v/>
      </c>
      <c r="D123" s="2">
        <f>IF($K123="","",INDEX(מלאי!$G$2:$500,$K123))</f>
        <v/>
      </c>
      <c r="E123" s="2">
        <f>IF($K123="","",INDEX(מלאי!$M$2:$500,$K123))</f>
        <v/>
      </c>
      <c r="F123" s="2">
        <f>IF($K123="","",INDEX(מלאי!$N$2:$500,$K123))</f>
        <v/>
      </c>
      <c r="G123" s="2">
        <f>IF($K123="","",INDEX(מלאי!$O$2:$500,$K123))</f>
        <v/>
      </c>
      <c r="H123" s="2">
        <f>IF($K123="","",INDEX(מלאי!$U$2:$500,$K123))</f>
        <v/>
      </c>
      <c r="I123" s="2">
        <f>IF($K123="","",INDEX(מלאי!$X$2:$500,$K123))</f>
        <v/>
      </c>
      <c r="J123" s="2">
        <f>IF($K123="","",INDEX(מלאי!$AC$2:$500,$K123))</f>
        <v/>
      </c>
      <c r="K12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103),"")</f>
        <v/>
      </c>
    </row>
    <row r="124">
      <c r="A124" s="8">
        <f>IF($K124="","",INDEX(מלאי!$D$2:$500,$K124))</f>
        <v/>
      </c>
      <c r="B124" s="8">
        <f>IF($K124="","",INDEX(מלאי!$B$2:$500,$K124))</f>
        <v/>
      </c>
      <c r="C124" s="8">
        <f>IF($K124="","",INDEX(מלאי!$C$2:$500,$K124))</f>
        <v/>
      </c>
      <c r="D124" s="8">
        <f>IF($K124="","",INDEX(מלאי!$G$2:$500,$K124))</f>
        <v/>
      </c>
      <c r="E124" s="8">
        <f>IF($K124="","",INDEX(מלאי!$M$2:$500,$K124))</f>
        <v/>
      </c>
      <c r="F124" s="8">
        <f>IF($K124="","",INDEX(מלאי!$N$2:$500,$K124))</f>
        <v/>
      </c>
      <c r="G124" s="8">
        <f>IF($K124="","",INDEX(מלאי!$O$2:$500,$K124))</f>
        <v/>
      </c>
      <c r="H124" s="8">
        <f>IF($K124="","",INDEX(מלאי!$U$2:$500,$K124))</f>
        <v/>
      </c>
      <c r="I124" s="8">
        <f>IF($K124="","",INDEX(מלאי!$X$2:$500,$K124))</f>
        <v/>
      </c>
      <c r="J124" s="8">
        <f>IF($K124="","",INDEX(מלאי!$AC$2:$500,$K124))</f>
        <v/>
      </c>
      <c r="K12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104),"")</f>
        <v/>
      </c>
    </row>
    <row r="125">
      <c r="A125" s="2">
        <f>IF($K125="","",INDEX(מלאי!$D$2:$500,$K125))</f>
        <v/>
      </c>
      <c r="B125" s="2">
        <f>IF($K125="","",INDEX(מלאי!$B$2:$500,$K125))</f>
        <v/>
      </c>
      <c r="C125" s="2">
        <f>IF($K125="","",INDEX(מלאי!$C$2:$500,$K125))</f>
        <v/>
      </c>
      <c r="D125" s="2">
        <f>IF($K125="","",INDEX(מלאי!$G$2:$500,$K125))</f>
        <v/>
      </c>
      <c r="E125" s="2">
        <f>IF($K125="","",INDEX(מלאי!$M$2:$500,$K125))</f>
        <v/>
      </c>
      <c r="F125" s="2">
        <f>IF($K125="","",INDEX(מלאי!$N$2:$500,$K125))</f>
        <v/>
      </c>
      <c r="G125" s="2">
        <f>IF($K125="","",INDEX(מלאי!$O$2:$500,$K125))</f>
        <v/>
      </c>
      <c r="H125" s="2">
        <f>IF($K125="","",INDEX(מלאי!$U$2:$500,$K125))</f>
        <v/>
      </c>
      <c r="I125" s="2">
        <f>IF($K125="","",INDEX(מלאי!$X$2:$500,$K125))</f>
        <v/>
      </c>
      <c r="J125" s="2">
        <f>IF($K125="","",INDEX(מלאי!$AC$2:$500,$K125))</f>
        <v/>
      </c>
      <c r="K12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105),"")</f>
        <v/>
      </c>
    </row>
    <row r="126">
      <c r="A126" s="8">
        <f>IF($K126="","",INDEX(מלאי!$D$2:$500,$K126))</f>
        <v/>
      </c>
      <c r="B126" s="8">
        <f>IF($K126="","",INDEX(מלאי!$B$2:$500,$K126))</f>
        <v/>
      </c>
      <c r="C126" s="8">
        <f>IF($K126="","",INDEX(מלאי!$C$2:$500,$K126))</f>
        <v/>
      </c>
      <c r="D126" s="8">
        <f>IF($K126="","",INDEX(מלאי!$G$2:$500,$K126))</f>
        <v/>
      </c>
      <c r="E126" s="8">
        <f>IF($K126="","",INDEX(מלאי!$M$2:$500,$K126))</f>
        <v/>
      </c>
      <c r="F126" s="8">
        <f>IF($K126="","",INDEX(מלאי!$N$2:$500,$K126))</f>
        <v/>
      </c>
      <c r="G126" s="8">
        <f>IF($K126="","",INDEX(מלאי!$O$2:$500,$K126))</f>
        <v/>
      </c>
      <c r="H126" s="8">
        <f>IF($K126="","",INDEX(מלאי!$U$2:$500,$K126))</f>
        <v/>
      </c>
      <c r="I126" s="8">
        <f>IF($K126="","",INDEX(מלאי!$X$2:$500,$K126))</f>
        <v/>
      </c>
      <c r="J126" s="8">
        <f>IF($K126="","",INDEX(מלאי!$AC$2:$500,$K126))</f>
        <v/>
      </c>
      <c r="K12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106),"")</f>
        <v/>
      </c>
    </row>
    <row r="127">
      <c r="A127" s="2">
        <f>IF($K127="","",INDEX(מלאי!$D$2:$500,$K127))</f>
        <v/>
      </c>
      <c r="B127" s="2">
        <f>IF($K127="","",INDEX(מלאי!$B$2:$500,$K127))</f>
        <v/>
      </c>
      <c r="C127" s="2">
        <f>IF($K127="","",INDEX(מלאי!$C$2:$500,$K127))</f>
        <v/>
      </c>
      <c r="D127" s="2">
        <f>IF($K127="","",INDEX(מלאי!$G$2:$500,$K127))</f>
        <v/>
      </c>
      <c r="E127" s="2">
        <f>IF($K127="","",INDEX(מלאי!$M$2:$500,$K127))</f>
        <v/>
      </c>
      <c r="F127" s="2">
        <f>IF($K127="","",INDEX(מלאי!$N$2:$500,$K127))</f>
        <v/>
      </c>
      <c r="G127" s="2">
        <f>IF($K127="","",INDEX(מלאי!$O$2:$500,$K127))</f>
        <v/>
      </c>
      <c r="H127" s="2">
        <f>IF($K127="","",INDEX(מלאי!$U$2:$500,$K127))</f>
        <v/>
      </c>
      <c r="I127" s="2">
        <f>IF($K127="","",INDEX(מלאי!$X$2:$500,$K127))</f>
        <v/>
      </c>
      <c r="J127" s="2">
        <f>IF($K127="","",INDEX(מלאי!$AC$2:$500,$K127))</f>
        <v/>
      </c>
      <c r="K12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107),"")</f>
        <v/>
      </c>
    </row>
    <row r="128">
      <c r="A128" s="8">
        <f>IF($K128="","",INDEX(מלאי!$D$2:$500,$K128))</f>
        <v/>
      </c>
      <c r="B128" s="8">
        <f>IF($K128="","",INDEX(מלאי!$B$2:$500,$K128))</f>
        <v/>
      </c>
      <c r="C128" s="8">
        <f>IF($K128="","",INDEX(מלאי!$C$2:$500,$K128))</f>
        <v/>
      </c>
      <c r="D128" s="8">
        <f>IF($K128="","",INDEX(מלאי!$G$2:$500,$K128))</f>
        <v/>
      </c>
      <c r="E128" s="8">
        <f>IF($K128="","",INDEX(מלאי!$M$2:$500,$K128))</f>
        <v/>
      </c>
      <c r="F128" s="8">
        <f>IF($K128="","",INDEX(מלאי!$N$2:$500,$K128))</f>
        <v/>
      </c>
      <c r="G128" s="8">
        <f>IF($K128="","",INDEX(מלאי!$O$2:$500,$K128))</f>
        <v/>
      </c>
      <c r="H128" s="8">
        <f>IF($K128="","",INDEX(מלאי!$U$2:$500,$K128))</f>
        <v/>
      </c>
      <c r="I128" s="8">
        <f>IF($K128="","",INDEX(מלאי!$X$2:$500,$K128))</f>
        <v/>
      </c>
      <c r="J128" s="8">
        <f>IF($K128="","",INDEX(מלאי!$AC$2:$500,$K128))</f>
        <v/>
      </c>
      <c r="K12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108),"")</f>
        <v/>
      </c>
    </row>
    <row r="129">
      <c r="A129" s="2">
        <f>IF($K129="","",INDEX(מלאי!$D$2:$500,$K129))</f>
        <v/>
      </c>
      <c r="B129" s="2">
        <f>IF($K129="","",INDEX(מלאי!$B$2:$500,$K129))</f>
        <v/>
      </c>
      <c r="C129" s="2">
        <f>IF($K129="","",INDEX(מלאי!$C$2:$500,$K129))</f>
        <v/>
      </c>
      <c r="D129" s="2">
        <f>IF($K129="","",INDEX(מלאי!$G$2:$500,$K129))</f>
        <v/>
      </c>
      <c r="E129" s="2">
        <f>IF($K129="","",INDEX(מלאי!$M$2:$500,$K129))</f>
        <v/>
      </c>
      <c r="F129" s="2">
        <f>IF($K129="","",INDEX(מלאי!$N$2:$500,$K129))</f>
        <v/>
      </c>
      <c r="G129" s="2">
        <f>IF($K129="","",INDEX(מלאי!$O$2:$500,$K129))</f>
        <v/>
      </c>
      <c r="H129" s="2">
        <f>IF($K129="","",INDEX(מלאי!$U$2:$500,$K129))</f>
        <v/>
      </c>
      <c r="I129" s="2">
        <f>IF($K129="","",INDEX(מלאי!$X$2:$500,$K129))</f>
        <v/>
      </c>
      <c r="J129" s="2">
        <f>IF($K129="","",INDEX(מלאי!$AC$2:$500,$K129))</f>
        <v/>
      </c>
      <c r="K12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109),"")</f>
        <v/>
      </c>
    </row>
    <row r="130">
      <c r="A130" s="8">
        <f>IF($K130="","",INDEX(מלאי!$D$2:$500,$K130))</f>
        <v/>
      </c>
      <c r="B130" s="8">
        <f>IF($K130="","",INDEX(מלאי!$B$2:$500,$K130))</f>
        <v/>
      </c>
      <c r="C130" s="8">
        <f>IF($K130="","",INDEX(מלאי!$C$2:$500,$K130))</f>
        <v/>
      </c>
      <c r="D130" s="8">
        <f>IF($K130="","",INDEX(מלאי!$G$2:$500,$K130))</f>
        <v/>
      </c>
      <c r="E130" s="8">
        <f>IF($K130="","",INDEX(מלאי!$M$2:$500,$K130))</f>
        <v/>
      </c>
      <c r="F130" s="8">
        <f>IF($K130="","",INDEX(מלאי!$N$2:$500,$K130))</f>
        <v/>
      </c>
      <c r="G130" s="8">
        <f>IF($K130="","",INDEX(מלאי!$O$2:$500,$K130))</f>
        <v/>
      </c>
      <c r="H130" s="8">
        <f>IF($K130="","",INDEX(מלאי!$U$2:$500,$K130))</f>
        <v/>
      </c>
      <c r="I130" s="8">
        <f>IF($K130="","",INDEX(מלאי!$X$2:$500,$K130))</f>
        <v/>
      </c>
      <c r="J130" s="8">
        <f>IF($K130="","",INDEX(מלאי!$AC$2:$500,$K130))</f>
        <v/>
      </c>
      <c r="K13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110),"")</f>
        <v/>
      </c>
    </row>
    <row r="131">
      <c r="A131" s="2">
        <f>IF($K131="","",INDEX(מלאי!$D$2:$500,$K131))</f>
        <v/>
      </c>
      <c r="B131" s="2">
        <f>IF($K131="","",INDEX(מלאי!$B$2:$500,$K131))</f>
        <v/>
      </c>
      <c r="C131" s="2">
        <f>IF($K131="","",INDEX(מלאי!$C$2:$500,$K131))</f>
        <v/>
      </c>
      <c r="D131" s="2">
        <f>IF($K131="","",INDEX(מלאי!$G$2:$500,$K131))</f>
        <v/>
      </c>
      <c r="E131" s="2">
        <f>IF($K131="","",INDEX(מלאי!$M$2:$500,$K131))</f>
        <v/>
      </c>
      <c r="F131" s="2">
        <f>IF($K131="","",INDEX(מלאי!$N$2:$500,$K131))</f>
        <v/>
      </c>
      <c r="G131" s="2">
        <f>IF($K131="","",INDEX(מלאי!$O$2:$500,$K131))</f>
        <v/>
      </c>
      <c r="H131" s="2">
        <f>IF($K131="","",INDEX(מלאי!$U$2:$500,$K131))</f>
        <v/>
      </c>
      <c r="I131" s="2">
        <f>IF($K131="","",INDEX(מלאי!$X$2:$500,$K131))</f>
        <v/>
      </c>
      <c r="J131" s="2">
        <f>IF($K131="","",INDEX(מלאי!$AC$2:$500,$K131))</f>
        <v/>
      </c>
      <c r="K13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111),"")</f>
        <v/>
      </c>
    </row>
    <row r="132">
      <c r="A132" s="8">
        <f>IF($K132="","",INDEX(מלאי!$D$2:$500,$K132))</f>
        <v/>
      </c>
      <c r="B132" s="8">
        <f>IF($K132="","",INDEX(מלאי!$B$2:$500,$K132))</f>
        <v/>
      </c>
      <c r="C132" s="8">
        <f>IF($K132="","",INDEX(מלאי!$C$2:$500,$K132))</f>
        <v/>
      </c>
      <c r="D132" s="8">
        <f>IF($K132="","",INDEX(מלאי!$G$2:$500,$K132))</f>
        <v/>
      </c>
      <c r="E132" s="8">
        <f>IF($K132="","",INDEX(מלאי!$M$2:$500,$K132))</f>
        <v/>
      </c>
      <c r="F132" s="8">
        <f>IF($K132="","",INDEX(מלאי!$N$2:$500,$K132))</f>
        <v/>
      </c>
      <c r="G132" s="8">
        <f>IF($K132="","",INDEX(מלאי!$O$2:$500,$K132))</f>
        <v/>
      </c>
      <c r="H132" s="8">
        <f>IF($K132="","",INDEX(מלאי!$U$2:$500,$K132))</f>
        <v/>
      </c>
      <c r="I132" s="8">
        <f>IF($K132="","",INDEX(מלאי!$X$2:$500,$K132))</f>
        <v/>
      </c>
      <c r="J132" s="8">
        <f>IF($K132="","",INDEX(מלאי!$AC$2:$500,$K132))</f>
        <v/>
      </c>
      <c r="K13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112),"")</f>
        <v/>
      </c>
    </row>
    <row r="133">
      <c r="A133" s="2">
        <f>IF($K133="","",INDEX(מלאי!$D$2:$500,$K133))</f>
        <v/>
      </c>
      <c r="B133" s="2">
        <f>IF($K133="","",INDEX(מלאי!$B$2:$500,$K133))</f>
        <v/>
      </c>
      <c r="C133" s="2">
        <f>IF($K133="","",INDEX(מלאי!$C$2:$500,$K133))</f>
        <v/>
      </c>
      <c r="D133" s="2">
        <f>IF($K133="","",INDEX(מלאי!$G$2:$500,$K133))</f>
        <v/>
      </c>
      <c r="E133" s="2">
        <f>IF($K133="","",INDEX(מלאי!$M$2:$500,$K133))</f>
        <v/>
      </c>
      <c r="F133" s="2">
        <f>IF($K133="","",INDEX(מלאי!$N$2:$500,$K133))</f>
        <v/>
      </c>
      <c r="G133" s="2">
        <f>IF($K133="","",INDEX(מלאי!$O$2:$500,$K133))</f>
        <v/>
      </c>
      <c r="H133" s="2">
        <f>IF($K133="","",INDEX(מלאי!$U$2:$500,$K133))</f>
        <v/>
      </c>
      <c r="I133" s="2">
        <f>IF($K133="","",INDEX(מלאי!$X$2:$500,$K133))</f>
        <v/>
      </c>
      <c r="J133" s="2">
        <f>IF($K133="","",INDEX(מלאי!$AC$2:$500,$K133))</f>
        <v/>
      </c>
      <c r="K13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113),"")</f>
        <v/>
      </c>
    </row>
    <row r="134">
      <c r="A134" s="8">
        <f>IF($K134="","",INDEX(מלאי!$D$2:$500,$K134))</f>
        <v/>
      </c>
      <c r="B134" s="8">
        <f>IF($K134="","",INDEX(מלאי!$B$2:$500,$K134))</f>
        <v/>
      </c>
      <c r="C134" s="8">
        <f>IF($K134="","",INDEX(מלאי!$C$2:$500,$K134))</f>
        <v/>
      </c>
      <c r="D134" s="8">
        <f>IF($K134="","",INDEX(מלאי!$G$2:$500,$K134))</f>
        <v/>
      </c>
      <c r="E134" s="8">
        <f>IF($K134="","",INDEX(מלאי!$M$2:$500,$K134))</f>
        <v/>
      </c>
      <c r="F134" s="8">
        <f>IF($K134="","",INDEX(מלאי!$N$2:$500,$K134))</f>
        <v/>
      </c>
      <c r="G134" s="8">
        <f>IF($K134="","",INDEX(מלאי!$O$2:$500,$K134))</f>
        <v/>
      </c>
      <c r="H134" s="8">
        <f>IF($K134="","",INDEX(מלאי!$U$2:$500,$K134))</f>
        <v/>
      </c>
      <c r="I134" s="8">
        <f>IF($K134="","",INDEX(מלאי!$X$2:$500,$K134))</f>
        <v/>
      </c>
      <c r="J134" s="8">
        <f>IF($K134="","",INDEX(מלאי!$AC$2:$500,$K134))</f>
        <v/>
      </c>
      <c r="K13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114),"")</f>
        <v/>
      </c>
    </row>
    <row r="135">
      <c r="A135" s="2">
        <f>IF($K135="","",INDEX(מלאי!$D$2:$500,$K135))</f>
        <v/>
      </c>
      <c r="B135" s="2">
        <f>IF($K135="","",INDEX(מלאי!$B$2:$500,$K135))</f>
        <v/>
      </c>
      <c r="C135" s="2">
        <f>IF($K135="","",INDEX(מלאי!$C$2:$500,$K135))</f>
        <v/>
      </c>
      <c r="D135" s="2">
        <f>IF($K135="","",INDEX(מלאי!$G$2:$500,$K135))</f>
        <v/>
      </c>
      <c r="E135" s="2">
        <f>IF($K135="","",INDEX(מלאי!$M$2:$500,$K135))</f>
        <v/>
      </c>
      <c r="F135" s="2">
        <f>IF($K135="","",INDEX(מלאי!$N$2:$500,$K135))</f>
        <v/>
      </c>
      <c r="G135" s="2">
        <f>IF($K135="","",INDEX(מלאי!$O$2:$500,$K135))</f>
        <v/>
      </c>
      <c r="H135" s="2">
        <f>IF($K135="","",INDEX(מלאי!$U$2:$500,$K135))</f>
        <v/>
      </c>
      <c r="I135" s="2">
        <f>IF($K135="","",INDEX(מלאי!$X$2:$500,$K135))</f>
        <v/>
      </c>
      <c r="J135" s="2">
        <f>IF($K135="","",INDEX(מלאי!$AC$2:$500,$K135))</f>
        <v/>
      </c>
      <c r="K13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115),"")</f>
        <v/>
      </c>
    </row>
    <row r="136">
      <c r="A136" s="8">
        <f>IF($K136="","",INDEX(מלאי!$D$2:$500,$K136))</f>
        <v/>
      </c>
      <c r="B136" s="8">
        <f>IF($K136="","",INDEX(מלאי!$B$2:$500,$K136))</f>
        <v/>
      </c>
      <c r="C136" s="8">
        <f>IF($K136="","",INDEX(מלאי!$C$2:$500,$K136))</f>
        <v/>
      </c>
      <c r="D136" s="8">
        <f>IF($K136="","",INDEX(מלאי!$G$2:$500,$K136))</f>
        <v/>
      </c>
      <c r="E136" s="8">
        <f>IF($K136="","",INDEX(מלאי!$M$2:$500,$K136))</f>
        <v/>
      </c>
      <c r="F136" s="8">
        <f>IF($K136="","",INDEX(מלאי!$N$2:$500,$K136))</f>
        <v/>
      </c>
      <c r="G136" s="8">
        <f>IF($K136="","",INDEX(מלאי!$O$2:$500,$K136))</f>
        <v/>
      </c>
      <c r="H136" s="8">
        <f>IF($K136="","",INDEX(מלאי!$U$2:$500,$K136))</f>
        <v/>
      </c>
      <c r="I136" s="8">
        <f>IF($K136="","",INDEX(מלאי!$X$2:$500,$K136))</f>
        <v/>
      </c>
      <c r="J136" s="8">
        <f>IF($K136="","",INDEX(מלאי!$AC$2:$500,$K136))</f>
        <v/>
      </c>
      <c r="K13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116),"")</f>
        <v/>
      </c>
    </row>
    <row r="137">
      <c r="A137" s="2">
        <f>IF($K137="","",INDEX(מלאי!$D$2:$500,$K137))</f>
        <v/>
      </c>
      <c r="B137" s="2">
        <f>IF($K137="","",INDEX(מלאי!$B$2:$500,$K137))</f>
        <v/>
      </c>
      <c r="C137" s="2">
        <f>IF($K137="","",INDEX(מלאי!$C$2:$500,$K137))</f>
        <v/>
      </c>
      <c r="D137" s="2">
        <f>IF($K137="","",INDEX(מלאי!$G$2:$500,$K137))</f>
        <v/>
      </c>
      <c r="E137" s="2">
        <f>IF($K137="","",INDEX(מלאי!$M$2:$500,$K137))</f>
        <v/>
      </c>
      <c r="F137" s="2">
        <f>IF($K137="","",INDEX(מלאי!$N$2:$500,$K137))</f>
        <v/>
      </c>
      <c r="G137" s="2">
        <f>IF($K137="","",INDEX(מלאי!$O$2:$500,$K137))</f>
        <v/>
      </c>
      <c r="H137" s="2">
        <f>IF($K137="","",INDEX(מלאי!$U$2:$500,$K137))</f>
        <v/>
      </c>
      <c r="I137" s="2">
        <f>IF($K137="","",INDEX(מלאי!$X$2:$500,$K137))</f>
        <v/>
      </c>
      <c r="J137" s="2">
        <f>IF($K137="","",INDEX(מלאי!$AC$2:$500,$K137))</f>
        <v/>
      </c>
      <c r="K13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117),"")</f>
        <v/>
      </c>
    </row>
    <row r="138">
      <c r="A138" s="8">
        <f>IF($K138="","",INDEX(מלאי!$D$2:$500,$K138))</f>
        <v/>
      </c>
      <c r="B138" s="8">
        <f>IF($K138="","",INDEX(מלאי!$B$2:$500,$K138))</f>
        <v/>
      </c>
      <c r="C138" s="8">
        <f>IF($K138="","",INDEX(מלאי!$C$2:$500,$K138))</f>
        <v/>
      </c>
      <c r="D138" s="8">
        <f>IF($K138="","",INDEX(מלאי!$G$2:$500,$K138))</f>
        <v/>
      </c>
      <c r="E138" s="8">
        <f>IF($K138="","",INDEX(מלאי!$M$2:$500,$K138))</f>
        <v/>
      </c>
      <c r="F138" s="8">
        <f>IF($K138="","",INDEX(מלאי!$N$2:$500,$K138))</f>
        <v/>
      </c>
      <c r="G138" s="8">
        <f>IF($K138="","",INDEX(מלאי!$O$2:$500,$K138))</f>
        <v/>
      </c>
      <c r="H138" s="8">
        <f>IF($K138="","",INDEX(מלאי!$U$2:$500,$K138))</f>
        <v/>
      </c>
      <c r="I138" s="8">
        <f>IF($K138="","",INDEX(מלאי!$X$2:$500,$K138))</f>
        <v/>
      </c>
      <c r="J138" s="8">
        <f>IF($K138="","",INDEX(מלאי!$AC$2:$500,$K138))</f>
        <v/>
      </c>
      <c r="K13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118),"")</f>
        <v/>
      </c>
    </row>
    <row r="139">
      <c r="A139" s="2">
        <f>IF($K139="","",INDEX(מלאי!$D$2:$500,$K139))</f>
        <v/>
      </c>
      <c r="B139" s="2">
        <f>IF($K139="","",INDEX(מלאי!$B$2:$500,$K139))</f>
        <v/>
      </c>
      <c r="C139" s="2">
        <f>IF($K139="","",INDEX(מלאי!$C$2:$500,$K139))</f>
        <v/>
      </c>
      <c r="D139" s="2">
        <f>IF($K139="","",INDEX(מלאי!$G$2:$500,$K139))</f>
        <v/>
      </c>
      <c r="E139" s="2">
        <f>IF($K139="","",INDEX(מלאי!$M$2:$500,$K139))</f>
        <v/>
      </c>
      <c r="F139" s="2">
        <f>IF($K139="","",INDEX(מלאי!$N$2:$500,$K139))</f>
        <v/>
      </c>
      <c r="G139" s="2">
        <f>IF($K139="","",INDEX(מלאי!$O$2:$500,$K139))</f>
        <v/>
      </c>
      <c r="H139" s="2">
        <f>IF($K139="","",INDEX(מלאי!$U$2:$500,$K139))</f>
        <v/>
      </c>
      <c r="I139" s="2">
        <f>IF($K139="","",INDEX(מלאי!$X$2:$500,$K139))</f>
        <v/>
      </c>
      <c r="J139" s="2">
        <f>IF($K139="","",INDEX(מלאי!$AC$2:$500,$K139))</f>
        <v/>
      </c>
      <c r="K13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119),"")</f>
        <v/>
      </c>
    </row>
    <row r="140">
      <c r="A140" s="8">
        <f>IF($K140="","",INDEX(מלאי!$D$2:$500,$K140))</f>
        <v/>
      </c>
      <c r="B140" s="8">
        <f>IF($K140="","",INDEX(מלאי!$B$2:$500,$K140))</f>
        <v/>
      </c>
      <c r="C140" s="8">
        <f>IF($K140="","",INDEX(מלאי!$C$2:$500,$K140))</f>
        <v/>
      </c>
      <c r="D140" s="8">
        <f>IF($K140="","",INDEX(מלאי!$G$2:$500,$K140))</f>
        <v/>
      </c>
      <c r="E140" s="8">
        <f>IF($K140="","",INDEX(מלאי!$M$2:$500,$K140))</f>
        <v/>
      </c>
      <c r="F140" s="8">
        <f>IF($K140="","",INDEX(מלאי!$N$2:$500,$K140))</f>
        <v/>
      </c>
      <c r="G140" s="8">
        <f>IF($K140="","",INDEX(מלאי!$O$2:$500,$K140))</f>
        <v/>
      </c>
      <c r="H140" s="8">
        <f>IF($K140="","",INDEX(מלאי!$U$2:$500,$K140))</f>
        <v/>
      </c>
      <c r="I140" s="8">
        <f>IF($K140="","",INDEX(מלאי!$X$2:$500,$K140))</f>
        <v/>
      </c>
      <c r="J140" s="8">
        <f>IF($K140="","",INDEX(מלאי!$AC$2:$500,$K140))</f>
        <v/>
      </c>
      <c r="K14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120),"")</f>
        <v/>
      </c>
    </row>
    <row r="141">
      <c r="A141" s="2">
        <f>IF($K141="","",INDEX(מלאי!$D$2:$500,$K141))</f>
        <v/>
      </c>
      <c r="B141" s="2">
        <f>IF($K141="","",INDEX(מלאי!$B$2:$500,$K141))</f>
        <v/>
      </c>
      <c r="C141" s="2">
        <f>IF($K141="","",INDEX(מלאי!$C$2:$500,$K141))</f>
        <v/>
      </c>
      <c r="D141" s="2">
        <f>IF($K141="","",INDEX(מלאי!$G$2:$500,$K141))</f>
        <v/>
      </c>
      <c r="E141" s="2">
        <f>IF($K141="","",INDEX(מלאי!$M$2:$500,$K141))</f>
        <v/>
      </c>
      <c r="F141" s="2">
        <f>IF($K141="","",INDEX(מלאי!$N$2:$500,$K141))</f>
        <v/>
      </c>
      <c r="G141" s="2">
        <f>IF($K141="","",INDEX(מלאי!$O$2:$500,$K141))</f>
        <v/>
      </c>
      <c r="H141" s="2">
        <f>IF($K141="","",INDEX(מלאי!$U$2:$500,$K141))</f>
        <v/>
      </c>
      <c r="I141" s="2">
        <f>IF($K141="","",INDEX(מלאי!$X$2:$500,$K141))</f>
        <v/>
      </c>
      <c r="J141" s="2">
        <f>IF($K141="","",INDEX(מלאי!$AC$2:$500,$K141))</f>
        <v/>
      </c>
      <c r="K14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121),"")</f>
        <v/>
      </c>
    </row>
    <row r="142">
      <c r="A142" s="8">
        <f>IF($K142="","",INDEX(מלאי!$D$2:$500,$K142))</f>
        <v/>
      </c>
      <c r="B142" s="8">
        <f>IF($K142="","",INDEX(מלאי!$B$2:$500,$K142))</f>
        <v/>
      </c>
      <c r="C142" s="8">
        <f>IF($K142="","",INDEX(מלאי!$C$2:$500,$K142))</f>
        <v/>
      </c>
      <c r="D142" s="8">
        <f>IF($K142="","",INDEX(מלאי!$G$2:$500,$K142))</f>
        <v/>
      </c>
      <c r="E142" s="8">
        <f>IF($K142="","",INDEX(מלאי!$M$2:$500,$K142))</f>
        <v/>
      </c>
      <c r="F142" s="8">
        <f>IF($K142="","",INDEX(מלאי!$N$2:$500,$K142))</f>
        <v/>
      </c>
      <c r="G142" s="8">
        <f>IF($K142="","",INDEX(מלאי!$O$2:$500,$K142))</f>
        <v/>
      </c>
      <c r="H142" s="8">
        <f>IF($K142="","",INDEX(מלאי!$U$2:$500,$K142))</f>
        <v/>
      </c>
      <c r="I142" s="8">
        <f>IF($K142="","",INDEX(מלאי!$X$2:$500,$K142))</f>
        <v/>
      </c>
      <c r="J142" s="8">
        <f>IF($K142="","",INDEX(מלאי!$AC$2:$500,$K142))</f>
        <v/>
      </c>
      <c r="K14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122),"")</f>
        <v/>
      </c>
    </row>
    <row r="143">
      <c r="A143" s="2">
        <f>IF($K143="","",INDEX(מלאי!$D$2:$500,$K143))</f>
        <v/>
      </c>
      <c r="B143" s="2">
        <f>IF($K143="","",INDEX(מלאי!$B$2:$500,$K143))</f>
        <v/>
      </c>
      <c r="C143" s="2">
        <f>IF($K143="","",INDEX(מלאי!$C$2:$500,$K143))</f>
        <v/>
      </c>
      <c r="D143" s="2">
        <f>IF($K143="","",INDEX(מלאי!$G$2:$500,$K143))</f>
        <v/>
      </c>
      <c r="E143" s="2">
        <f>IF($K143="","",INDEX(מלאי!$M$2:$500,$K143))</f>
        <v/>
      </c>
      <c r="F143" s="2">
        <f>IF($K143="","",INDEX(מלאי!$N$2:$500,$K143))</f>
        <v/>
      </c>
      <c r="G143" s="2">
        <f>IF($K143="","",INDEX(מלאי!$O$2:$500,$K143))</f>
        <v/>
      </c>
      <c r="H143" s="2">
        <f>IF($K143="","",INDEX(מלאי!$U$2:$500,$K143))</f>
        <v/>
      </c>
      <c r="I143" s="2">
        <f>IF($K143="","",INDEX(מלאי!$X$2:$500,$K143))</f>
        <v/>
      </c>
      <c r="J143" s="2">
        <f>IF($K143="","",INDEX(מלאי!$AC$2:$500,$K143))</f>
        <v/>
      </c>
      <c r="K14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123),"")</f>
        <v/>
      </c>
    </row>
    <row r="144">
      <c r="A144" s="8">
        <f>IF($K144="","",INDEX(מלאי!$D$2:$500,$K144))</f>
        <v/>
      </c>
      <c r="B144" s="8">
        <f>IF($K144="","",INDEX(מלאי!$B$2:$500,$K144))</f>
        <v/>
      </c>
      <c r="C144" s="8">
        <f>IF($K144="","",INDEX(מלאי!$C$2:$500,$K144))</f>
        <v/>
      </c>
      <c r="D144" s="8">
        <f>IF($K144="","",INDEX(מלאי!$G$2:$500,$K144))</f>
        <v/>
      </c>
      <c r="E144" s="8">
        <f>IF($K144="","",INDEX(מלאי!$M$2:$500,$K144))</f>
        <v/>
      </c>
      <c r="F144" s="8">
        <f>IF($K144="","",INDEX(מלאי!$N$2:$500,$K144))</f>
        <v/>
      </c>
      <c r="G144" s="8">
        <f>IF($K144="","",INDEX(מלאי!$O$2:$500,$K144))</f>
        <v/>
      </c>
      <c r="H144" s="8">
        <f>IF($K144="","",INDEX(מלאי!$U$2:$500,$K144))</f>
        <v/>
      </c>
      <c r="I144" s="8">
        <f>IF($K144="","",INDEX(מלאי!$X$2:$500,$K144))</f>
        <v/>
      </c>
      <c r="J144" s="8">
        <f>IF($K144="","",INDEX(מלאי!$AC$2:$500,$K144))</f>
        <v/>
      </c>
      <c r="K14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124),"")</f>
        <v/>
      </c>
    </row>
    <row r="145">
      <c r="A145" s="2">
        <f>IF($K145="","",INDEX(מלאי!$D$2:$500,$K145))</f>
        <v/>
      </c>
      <c r="B145" s="2">
        <f>IF($K145="","",INDEX(מלאי!$B$2:$500,$K145))</f>
        <v/>
      </c>
      <c r="C145" s="2">
        <f>IF($K145="","",INDEX(מלאי!$C$2:$500,$K145))</f>
        <v/>
      </c>
      <c r="D145" s="2">
        <f>IF($K145="","",INDEX(מלאי!$G$2:$500,$K145))</f>
        <v/>
      </c>
      <c r="E145" s="2">
        <f>IF($K145="","",INDEX(מלאי!$M$2:$500,$K145))</f>
        <v/>
      </c>
      <c r="F145" s="2">
        <f>IF($K145="","",INDEX(מלאי!$N$2:$500,$K145))</f>
        <v/>
      </c>
      <c r="G145" s="2">
        <f>IF($K145="","",INDEX(מלאי!$O$2:$500,$K145))</f>
        <v/>
      </c>
      <c r="H145" s="2">
        <f>IF($K145="","",INDEX(מלאי!$U$2:$500,$K145))</f>
        <v/>
      </c>
      <c r="I145" s="2">
        <f>IF($K145="","",INDEX(מלאי!$X$2:$500,$K145))</f>
        <v/>
      </c>
      <c r="J145" s="2">
        <f>IF($K145="","",INDEX(מלאי!$AC$2:$500,$K145))</f>
        <v/>
      </c>
      <c r="K14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125),"")</f>
        <v/>
      </c>
    </row>
    <row r="146">
      <c r="A146" s="8">
        <f>IF($K146="","",INDEX(מלאי!$D$2:$500,$K146))</f>
        <v/>
      </c>
      <c r="B146" s="8">
        <f>IF($K146="","",INDEX(מלאי!$B$2:$500,$K146))</f>
        <v/>
      </c>
      <c r="C146" s="8">
        <f>IF($K146="","",INDEX(מלאי!$C$2:$500,$K146))</f>
        <v/>
      </c>
      <c r="D146" s="8">
        <f>IF($K146="","",INDEX(מלאי!$G$2:$500,$K146))</f>
        <v/>
      </c>
      <c r="E146" s="8">
        <f>IF($K146="","",INDEX(מלאי!$M$2:$500,$K146))</f>
        <v/>
      </c>
      <c r="F146" s="8">
        <f>IF($K146="","",INDEX(מלאי!$N$2:$500,$K146))</f>
        <v/>
      </c>
      <c r="G146" s="8">
        <f>IF($K146="","",INDEX(מלאי!$O$2:$500,$K146))</f>
        <v/>
      </c>
      <c r="H146" s="8">
        <f>IF($K146="","",INDEX(מלאי!$U$2:$500,$K146))</f>
        <v/>
      </c>
      <c r="I146" s="8">
        <f>IF($K146="","",INDEX(מלאי!$X$2:$500,$K146))</f>
        <v/>
      </c>
      <c r="J146" s="8">
        <f>IF($K146="","",INDEX(מלאי!$AC$2:$500,$K146))</f>
        <v/>
      </c>
      <c r="K14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126),"")</f>
        <v/>
      </c>
    </row>
    <row r="147">
      <c r="A147" s="2">
        <f>IF($K147="","",INDEX(מלאי!$D$2:$500,$K147))</f>
        <v/>
      </c>
      <c r="B147" s="2">
        <f>IF($K147="","",INDEX(מלאי!$B$2:$500,$K147))</f>
        <v/>
      </c>
      <c r="C147" s="2">
        <f>IF($K147="","",INDEX(מלאי!$C$2:$500,$K147))</f>
        <v/>
      </c>
      <c r="D147" s="2">
        <f>IF($K147="","",INDEX(מלאי!$G$2:$500,$K147))</f>
        <v/>
      </c>
      <c r="E147" s="2">
        <f>IF($K147="","",INDEX(מלאי!$M$2:$500,$K147))</f>
        <v/>
      </c>
      <c r="F147" s="2">
        <f>IF($K147="","",INDEX(מלאי!$N$2:$500,$K147))</f>
        <v/>
      </c>
      <c r="G147" s="2">
        <f>IF($K147="","",INDEX(מלאי!$O$2:$500,$K147))</f>
        <v/>
      </c>
      <c r="H147" s="2">
        <f>IF($K147="","",INDEX(מלאי!$U$2:$500,$K147))</f>
        <v/>
      </c>
      <c r="I147" s="2">
        <f>IF($K147="","",INDEX(מלאי!$X$2:$500,$K147))</f>
        <v/>
      </c>
      <c r="J147" s="2">
        <f>IF($K147="","",INDEX(מלאי!$AC$2:$500,$K147))</f>
        <v/>
      </c>
      <c r="K14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127),"")</f>
        <v/>
      </c>
    </row>
    <row r="148">
      <c r="A148" s="8">
        <f>IF($K148="","",INDEX(מלאי!$D$2:$500,$K148))</f>
        <v/>
      </c>
      <c r="B148" s="8">
        <f>IF($K148="","",INDEX(מלאי!$B$2:$500,$K148))</f>
        <v/>
      </c>
      <c r="C148" s="8">
        <f>IF($K148="","",INDEX(מלאי!$C$2:$500,$K148))</f>
        <v/>
      </c>
      <c r="D148" s="8">
        <f>IF($K148="","",INDEX(מלאי!$G$2:$500,$K148))</f>
        <v/>
      </c>
      <c r="E148" s="8">
        <f>IF($K148="","",INDEX(מלאי!$M$2:$500,$K148))</f>
        <v/>
      </c>
      <c r="F148" s="8">
        <f>IF($K148="","",INDEX(מלאי!$N$2:$500,$K148))</f>
        <v/>
      </c>
      <c r="G148" s="8">
        <f>IF($K148="","",INDEX(מלאי!$O$2:$500,$K148))</f>
        <v/>
      </c>
      <c r="H148" s="8">
        <f>IF($K148="","",INDEX(מלאי!$U$2:$500,$K148))</f>
        <v/>
      </c>
      <c r="I148" s="8">
        <f>IF($K148="","",INDEX(מלאי!$X$2:$500,$K148))</f>
        <v/>
      </c>
      <c r="J148" s="8">
        <f>IF($K148="","",INDEX(מלאי!$AC$2:$500,$K148))</f>
        <v/>
      </c>
      <c r="K14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128),"")</f>
        <v/>
      </c>
    </row>
    <row r="149">
      <c r="A149" s="2">
        <f>IF($K149="","",INDEX(מלאי!$D$2:$500,$K149))</f>
        <v/>
      </c>
      <c r="B149" s="2">
        <f>IF($K149="","",INDEX(מלאי!$B$2:$500,$K149))</f>
        <v/>
      </c>
      <c r="C149" s="2">
        <f>IF($K149="","",INDEX(מלאי!$C$2:$500,$K149))</f>
        <v/>
      </c>
      <c r="D149" s="2">
        <f>IF($K149="","",INDEX(מלאי!$G$2:$500,$K149))</f>
        <v/>
      </c>
      <c r="E149" s="2">
        <f>IF($K149="","",INDEX(מלאי!$M$2:$500,$K149))</f>
        <v/>
      </c>
      <c r="F149" s="2">
        <f>IF($K149="","",INDEX(מלאי!$N$2:$500,$K149))</f>
        <v/>
      </c>
      <c r="G149" s="2">
        <f>IF($K149="","",INDEX(מלאי!$O$2:$500,$K149))</f>
        <v/>
      </c>
      <c r="H149" s="2">
        <f>IF($K149="","",INDEX(מלאי!$U$2:$500,$K149))</f>
        <v/>
      </c>
      <c r="I149" s="2">
        <f>IF($K149="","",INDEX(מלאי!$X$2:$500,$K149))</f>
        <v/>
      </c>
      <c r="J149" s="2">
        <f>IF($K149="","",INDEX(מלאי!$AC$2:$500,$K149))</f>
        <v/>
      </c>
      <c r="K14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129),"")</f>
        <v/>
      </c>
    </row>
    <row r="150">
      <c r="A150" s="8">
        <f>IF($K150="","",INDEX(מלאי!$D$2:$500,$K150))</f>
        <v/>
      </c>
      <c r="B150" s="8">
        <f>IF($K150="","",INDEX(מלאי!$B$2:$500,$K150))</f>
        <v/>
      </c>
      <c r="C150" s="8">
        <f>IF($K150="","",INDEX(מלאי!$C$2:$500,$K150))</f>
        <v/>
      </c>
      <c r="D150" s="8">
        <f>IF($K150="","",INDEX(מלאי!$G$2:$500,$K150))</f>
        <v/>
      </c>
      <c r="E150" s="8">
        <f>IF($K150="","",INDEX(מלאי!$M$2:$500,$K150))</f>
        <v/>
      </c>
      <c r="F150" s="8">
        <f>IF($K150="","",INDEX(מלאי!$N$2:$500,$K150))</f>
        <v/>
      </c>
      <c r="G150" s="8">
        <f>IF($K150="","",INDEX(מלאי!$O$2:$500,$K150))</f>
        <v/>
      </c>
      <c r="H150" s="8">
        <f>IF($K150="","",INDEX(מלאי!$U$2:$500,$K150))</f>
        <v/>
      </c>
      <c r="I150" s="8">
        <f>IF($K150="","",INDEX(מלאי!$X$2:$500,$K150))</f>
        <v/>
      </c>
      <c r="J150" s="8">
        <f>IF($K150="","",INDEX(מלאי!$AC$2:$500,$K150))</f>
        <v/>
      </c>
      <c r="K15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130),"")</f>
        <v/>
      </c>
    </row>
    <row r="151">
      <c r="A151" s="2">
        <f>IF($K151="","",INDEX(מלאי!$D$2:$500,$K151))</f>
        <v/>
      </c>
      <c r="B151" s="2">
        <f>IF($K151="","",INDEX(מלאי!$B$2:$500,$K151))</f>
        <v/>
      </c>
      <c r="C151" s="2">
        <f>IF($K151="","",INDEX(מלאי!$C$2:$500,$K151))</f>
        <v/>
      </c>
      <c r="D151" s="2">
        <f>IF($K151="","",INDEX(מלאי!$G$2:$500,$K151))</f>
        <v/>
      </c>
      <c r="E151" s="2">
        <f>IF($K151="","",INDEX(מלאי!$M$2:$500,$K151))</f>
        <v/>
      </c>
      <c r="F151" s="2">
        <f>IF($K151="","",INDEX(מלאי!$N$2:$500,$K151))</f>
        <v/>
      </c>
      <c r="G151" s="2">
        <f>IF($K151="","",INDEX(מלאי!$O$2:$500,$K151))</f>
        <v/>
      </c>
      <c r="H151" s="2">
        <f>IF($K151="","",INDEX(מלאי!$U$2:$500,$K151))</f>
        <v/>
      </c>
      <c r="I151" s="2">
        <f>IF($K151="","",INDEX(מלאי!$X$2:$500,$K151))</f>
        <v/>
      </c>
      <c r="J151" s="2">
        <f>IF($K151="","",INDEX(מלאי!$AC$2:$500,$K151))</f>
        <v/>
      </c>
      <c r="K15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131),"")</f>
        <v/>
      </c>
    </row>
    <row r="152">
      <c r="A152" s="8">
        <f>IF($K152="","",INDEX(מלאי!$D$2:$500,$K152))</f>
        <v/>
      </c>
      <c r="B152" s="8">
        <f>IF($K152="","",INDEX(מלאי!$B$2:$500,$K152))</f>
        <v/>
      </c>
      <c r="C152" s="8">
        <f>IF($K152="","",INDEX(מלאי!$C$2:$500,$K152))</f>
        <v/>
      </c>
      <c r="D152" s="8">
        <f>IF($K152="","",INDEX(מלאי!$G$2:$500,$K152))</f>
        <v/>
      </c>
      <c r="E152" s="8">
        <f>IF($K152="","",INDEX(מלאי!$M$2:$500,$K152))</f>
        <v/>
      </c>
      <c r="F152" s="8">
        <f>IF($K152="","",INDEX(מלאי!$N$2:$500,$K152))</f>
        <v/>
      </c>
      <c r="G152" s="8">
        <f>IF($K152="","",INDEX(מלאי!$O$2:$500,$K152))</f>
        <v/>
      </c>
      <c r="H152" s="8">
        <f>IF($K152="","",INDEX(מלאי!$U$2:$500,$K152))</f>
        <v/>
      </c>
      <c r="I152" s="8">
        <f>IF($K152="","",INDEX(מלאי!$X$2:$500,$K152))</f>
        <v/>
      </c>
      <c r="J152" s="8">
        <f>IF($K152="","",INDEX(מלאי!$AC$2:$500,$K152))</f>
        <v/>
      </c>
      <c r="K15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132),"")</f>
        <v/>
      </c>
    </row>
    <row r="153">
      <c r="A153" s="2">
        <f>IF($K153="","",INDEX(מלאי!$D$2:$500,$K153))</f>
        <v/>
      </c>
      <c r="B153" s="2">
        <f>IF($K153="","",INDEX(מלאי!$B$2:$500,$K153))</f>
        <v/>
      </c>
      <c r="C153" s="2">
        <f>IF($K153="","",INDEX(מלאי!$C$2:$500,$K153))</f>
        <v/>
      </c>
      <c r="D153" s="2">
        <f>IF($K153="","",INDEX(מלאי!$G$2:$500,$K153))</f>
        <v/>
      </c>
      <c r="E153" s="2">
        <f>IF($K153="","",INDEX(מלאי!$M$2:$500,$K153))</f>
        <v/>
      </c>
      <c r="F153" s="2">
        <f>IF($K153="","",INDEX(מלאי!$N$2:$500,$K153))</f>
        <v/>
      </c>
      <c r="G153" s="2">
        <f>IF($K153="","",INDEX(מלאי!$O$2:$500,$K153))</f>
        <v/>
      </c>
      <c r="H153" s="2">
        <f>IF($K153="","",INDEX(מלאי!$U$2:$500,$K153))</f>
        <v/>
      </c>
      <c r="I153" s="2">
        <f>IF($K153="","",INDEX(מלאי!$X$2:$500,$K153))</f>
        <v/>
      </c>
      <c r="J153" s="2">
        <f>IF($K153="","",INDEX(מלאי!$AC$2:$500,$K153))</f>
        <v/>
      </c>
      <c r="K15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133),"")</f>
        <v/>
      </c>
    </row>
    <row r="154">
      <c r="A154" s="8">
        <f>IF($K154="","",INDEX(מלאי!$D$2:$500,$K154))</f>
        <v/>
      </c>
      <c r="B154" s="8">
        <f>IF($K154="","",INDEX(מלאי!$B$2:$500,$K154))</f>
        <v/>
      </c>
      <c r="C154" s="8">
        <f>IF($K154="","",INDEX(מלאי!$C$2:$500,$K154))</f>
        <v/>
      </c>
      <c r="D154" s="8">
        <f>IF($K154="","",INDEX(מלאי!$G$2:$500,$K154))</f>
        <v/>
      </c>
      <c r="E154" s="8">
        <f>IF($K154="","",INDEX(מלאי!$M$2:$500,$K154))</f>
        <v/>
      </c>
      <c r="F154" s="8">
        <f>IF($K154="","",INDEX(מלאי!$N$2:$500,$K154))</f>
        <v/>
      </c>
      <c r="G154" s="8">
        <f>IF($K154="","",INDEX(מלאי!$O$2:$500,$K154))</f>
        <v/>
      </c>
      <c r="H154" s="8">
        <f>IF($K154="","",INDEX(מלאי!$U$2:$500,$K154))</f>
        <v/>
      </c>
      <c r="I154" s="8">
        <f>IF($K154="","",INDEX(מלאי!$X$2:$500,$K154))</f>
        <v/>
      </c>
      <c r="J154" s="8">
        <f>IF($K154="","",INDEX(מלאי!$AC$2:$500,$K154))</f>
        <v/>
      </c>
      <c r="K15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134),"")</f>
        <v/>
      </c>
    </row>
    <row r="155">
      <c r="A155" s="2">
        <f>IF($K155="","",INDEX(מלאי!$D$2:$500,$K155))</f>
        <v/>
      </c>
      <c r="B155" s="2">
        <f>IF($K155="","",INDEX(מלאי!$B$2:$500,$K155))</f>
        <v/>
      </c>
      <c r="C155" s="2">
        <f>IF($K155="","",INDEX(מלאי!$C$2:$500,$K155))</f>
        <v/>
      </c>
      <c r="D155" s="2">
        <f>IF($K155="","",INDEX(מלאי!$G$2:$500,$K155))</f>
        <v/>
      </c>
      <c r="E155" s="2">
        <f>IF($K155="","",INDEX(מלאי!$M$2:$500,$K155))</f>
        <v/>
      </c>
      <c r="F155" s="2">
        <f>IF($K155="","",INDEX(מלאי!$N$2:$500,$K155))</f>
        <v/>
      </c>
      <c r="G155" s="2">
        <f>IF($K155="","",INDEX(מלאי!$O$2:$500,$K155))</f>
        <v/>
      </c>
      <c r="H155" s="2">
        <f>IF($K155="","",INDEX(מלאי!$U$2:$500,$K155))</f>
        <v/>
      </c>
      <c r="I155" s="2">
        <f>IF($K155="","",INDEX(מלאי!$X$2:$500,$K155))</f>
        <v/>
      </c>
      <c r="J155" s="2">
        <f>IF($K155="","",INDEX(מלאי!$AC$2:$500,$K155))</f>
        <v/>
      </c>
      <c r="K15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135),"")</f>
        <v/>
      </c>
    </row>
    <row r="156">
      <c r="A156" s="8">
        <f>IF($K156="","",INDEX(מלאי!$D$2:$500,$K156))</f>
        <v/>
      </c>
      <c r="B156" s="8">
        <f>IF($K156="","",INDEX(מלאי!$B$2:$500,$K156))</f>
        <v/>
      </c>
      <c r="C156" s="8">
        <f>IF($K156="","",INDEX(מלאי!$C$2:$500,$K156))</f>
        <v/>
      </c>
      <c r="D156" s="8">
        <f>IF($K156="","",INDEX(מלאי!$G$2:$500,$K156))</f>
        <v/>
      </c>
      <c r="E156" s="8">
        <f>IF($K156="","",INDEX(מלאי!$M$2:$500,$K156))</f>
        <v/>
      </c>
      <c r="F156" s="8">
        <f>IF($K156="","",INDEX(מלאי!$N$2:$500,$K156))</f>
        <v/>
      </c>
      <c r="G156" s="8">
        <f>IF($K156="","",INDEX(מלאי!$O$2:$500,$K156))</f>
        <v/>
      </c>
      <c r="H156" s="8">
        <f>IF($K156="","",INDEX(מלאי!$U$2:$500,$K156))</f>
        <v/>
      </c>
      <c r="I156" s="8">
        <f>IF($K156="","",INDEX(מלאי!$X$2:$500,$K156))</f>
        <v/>
      </c>
      <c r="J156" s="8">
        <f>IF($K156="","",INDEX(מלאי!$AC$2:$500,$K156))</f>
        <v/>
      </c>
      <c r="K15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136),"")</f>
        <v/>
      </c>
    </row>
    <row r="157">
      <c r="A157" s="2">
        <f>IF($K157="","",INDEX(מלאי!$D$2:$500,$K157))</f>
        <v/>
      </c>
      <c r="B157" s="2">
        <f>IF($K157="","",INDEX(מלאי!$B$2:$500,$K157))</f>
        <v/>
      </c>
      <c r="C157" s="2">
        <f>IF($K157="","",INDEX(מלאי!$C$2:$500,$K157))</f>
        <v/>
      </c>
      <c r="D157" s="2">
        <f>IF($K157="","",INDEX(מלאי!$G$2:$500,$K157))</f>
        <v/>
      </c>
      <c r="E157" s="2">
        <f>IF($K157="","",INDEX(מלאי!$M$2:$500,$K157))</f>
        <v/>
      </c>
      <c r="F157" s="2">
        <f>IF($K157="","",INDEX(מלאי!$N$2:$500,$K157))</f>
        <v/>
      </c>
      <c r="G157" s="2">
        <f>IF($K157="","",INDEX(מלאי!$O$2:$500,$K157))</f>
        <v/>
      </c>
      <c r="H157" s="2">
        <f>IF($K157="","",INDEX(מלאי!$U$2:$500,$K157))</f>
        <v/>
      </c>
      <c r="I157" s="2">
        <f>IF($K157="","",INDEX(מלאי!$X$2:$500,$K157))</f>
        <v/>
      </c>
      <c r="J157" s="2">
        <f>IF($K157="","",INDEX(מלאי!$AC$2:$500,$K157))</f>
        <v/>
      </c>
      <c r="K15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137),"")</f>
        <v/>
      </c>
    </row>
    <row r="158">
      <c r="A158" s="8">
        <f>IF($K158="","",INDEX(מלאי!$D$2:$500,$K158))</f>
        <v/>
      </c>
      <c r="B158" s="8">
        <f>IF($K158="","",INDEX(מלאי!$B$2:$500,$K158))</f>
        <v/>
      </c>
      <c r="C158" s="8">
        <f>IF($K158="","",INDEX(מלאי!$C$2:$500,$K158))</f>
        <v/>
      </c>
      <c r="D158" s="8">
        <f>IF($K158="","",INDEX(מלאי!$G$2:$500,$K158))</f>
        <v/>
      </c>
      <c r="E158" s="8">
        <f>IF($K158="","",INDEX(מלאי!$M$2:$500,$K158))</f>
        <v/>
      </c>
      <c r="F158" s="8">
        <f>IF($K158="","",INDEX(מלאי!$N$2:$500,$K158))</f>
        <v/>
      </c>
      <c r="G158" s="8">
        <f>IF($K158="","",INDEX(מלאי!$O$2:$500,$K158))</f>
        <v/>
      </c>
      <c r="H158" s="8">
        <f>IF($K158="","",INDEX(מלאי!$U$2:$500,$K158))</f>
        <v/>
      </c>
      <c r="I158" s="8">
        <f>IF($K158="","",INDEX(מלאי!$X$2:$500,$K158))</f>
        <v/>
      </c>
      <c r="J158" s="8">
        <f>IF($K158="","",INDEX(מלאי!$AC$2:$500,$K158))</f>
        <v/>
      </c>
      <c r="K15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138),"")</f>
        <v/>
      </c>
    </row>
    <row r="159">
      <c r="A159" s="2">
        <f>IF($K159="","",INDEX(מלאי!$D$2:$500,$K159))</f>
        <v/>
      </c>
      <c r="B159" s="2">
        <f>IF($K159="","",INDEX(מלאי!$B$2:$500,$K159))</f>
        <v/>
      </c>
      <c r="C159" s="2">
        <f>IF($K159="","",INDEX(מלאי!$C$2:$500,$K159))</f>
        <v/>
      </c>
      <c r="D159" s="2">
        <f>IF($K159="","",INDEX(מלאי!$G$2:$500,$K159))</f>
        <v/>
      </c>
      <c r="E159" s="2">
        <f>IF($K159="","",INDEX(מלאי!$M$2:$500,$K159))</f>
        <v/>
      </c>
      <c r="F159" s="2">
        <f>IF($K159="","",INDEX(מלאי!$N$2:$500,$K159))</f>
        <v/>
      </c>
      <c r="G159" s="2">
        <f>IF($K159="","",INDEX(מלאי!$O$2:$500,$K159))</f>
        <v/>
      </c>
      <c r="H159" s="2">
        <f>IF($K159="","",INDEX(מלאי!$U$2:$500,$K159))</f>
        <v/>
      </c>
      <c r="I159" s="2">
        <f>IF($K159="","",INDEX(מלאי!$X$2:$500,$K159))</f>
        <v/>
      </c>
      <c r="J159" s="2">
        <f>IF($K159="","",INDEX(מלאי!$AC$2:$500,$K159))</f>
        <v/>
      </c>
      <c r="K15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139),"")</f>
        <v/>
      </c>
    </row>
    <row r="160">
      <c r="A160" s="8">
        <f>IF($K160="","",INDEX(מלאי!$D$2:$500,$K160))</f>
        <v/>
      </c>
      <c r="B160" s="8">
        <f>IF($K160="","",INDEX(מלאי!$B$2:$500,$K160))</f>
        <v/>
      </c>
      <c r="C160" s="8">
        <f>IF($K160="","",INDEX(מלאי!$C$2:$500,$K160))</f>
        <v/>
      </c>
      <c r="D160" s="8">
        <f>IF($K160="","",INDEX(מלאי!$G$2:$500,$K160))</f>
        <v/>
      </c>
      <c r="E160" s="8">
        <f>IF($K160="","",INDEX(מלאי!$M$2:$500,$K160))</f>
        <v/>
      </c>
      <c r="F160" s="8">
        <f>IF($K160="","",INDEX(מלאי!$N$2:$500,$K160))</f>
        <v/>
      </c>
      <c r="G160" s="8">
        <f>IF($K160="","",INDEX(מלאי!$O$2:$500,$K160))</f>
        <v/>
      </c>
      <c r="H160" s="8">
        <f>IF($K160="","",INDEX(מלאי!$U$2:$500,$K160))</f>
        <v/>
      </c>
      <c r="I160" s="8">
        <f>IF($K160="","",INDEX(מלאי!$X$2:$500,$K160))</f>
        <v/>
      </c>
      <c r="J160" s="8">
        <f>IF($K160="","",INDEX(מלאי!$AC$2:$500,$K160))</f>
        <v/>
      </c>
      <c r="K16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140),"")</f>
        <v/>
      </c>
    </row>
    <row r="161">
      <c r="A161" s="2">
        <f>IF($K161="","",INDEX(מלאי!$D$2:$500,$K161))</f>
        <v/>
      </c>
      <c r="B161" s="2">
        <f>IF($K161="","",INDEX(מלאי!$B$2:$500,$K161))</f>
        <v/>
      </c>
      <c r="C161" s="2">
        <f>IF($K161="","",INDEX(מלאי!$C$2:$500,$K161))</f>
        <v/>
      </c>
      <c r="D161" s="2">
        <f>IF($K161="","",INDEX(מלאי!$G$2:$500,$K161))</f>
        <v/>
      </c>
      <c r="E161" s="2">
        <f>IF($K161="","",INDEX(מלאי!$M$2:$500,$K161))</f>
        <v/>
      </c>
      <c r="F161" s="2">
        <f>IF($K161="","",INDEX(מלאי!$N$2:$500,$K161))</f>
        <v/>
      </c>
      <c r="G161" s="2">
        <f>IF($K161="","",INDEX(מלאי!$O$2:$500,$K161))</f>
        <v/>
      </c>
      <c r="H161" s="2">
        <f>IF($K161="","",INDEX(מלאי!$U$2:$500,$K161))</f>
        <v/>
      </c>
      <c r="I161" s="2">
        <f>IF($K161="","",INDEX(מלאי!$X$2:$500,$K161))</f>
        <v/>
      </c>
      <c r="J161" s="2">
        <f>IF($K161="","",INDEX(מלאי!$AC$2:$500,$K161))</f>
        <v/>
      </c>
      <c r="K16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141),"")</f>
        <v/>
      </c>
    </row>
    <row r="162">
      <c r="A162" s="8">
        <f>IF($K162="","",INDEX(מלאי!$D$2:$500,$K162))</f>
        <v/>
      </c>
      <c r="B162" s="8">
        <f>IF($K162="","",INDEX(מלאי!$B$2:$500,$K162))</f>
        <v/>
      </c>
      <c r="C162" s="8">
        <f>IF($K162="","",INDEX(מלאי!$C$2:$500,$K162))</f>
        <v/>
      </c>
      <c r="D162" s="8">
        <f>IF($K162="","",INDEX(מלאי!$G$2:$500,$K162))</f>
        <v/>
      </c>
      <c r="E162" s="8">
        <f>IF($K162="","",INDEX(מלאי!$M$2:$500,$K162))</f>
        <v/>
      </c>
      <c r="F162" s="8">
        <f>IF($K162="","",INDEX(מלאי!$N$2:$500,$K162))</f>
        <v/>
      </c>
      <c r="G162" s="8">
        <f>IF($K162="","",INDEX(מלאי!$O$2:$500,$K162))</f>
        <v/>
      </c>
      <c r="H162" s="8">
        <f>IF($K162="","",INDEX(מלאי!$U$2:$500,$K162))</f>
        <v/>
      </c>
      <c r="I162" s="8">
        <f>IF($K162="","",INDEX(מלאי!$X$2:$500,$K162))</f>
        <v/>
      </c>
      <c r="J162" s="8">
        <f>IF($K162="","",INDEX(מלאי!$AC$2:$500,$K162))</f>
        <v/>
      </c>
      <c r="K16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142),"")</f>
        <v/>
      </c>
    </row>
    <row r="163">
      <c r="A163" s="2">
        <f>IF($K163="","",INDEX(מלאי!$D$2:$500,$K163))</f>
        <v/>
      </c>
      <c r="B163" s="2">
        <f>IF($K163="","",INDEX(מלאי!$B$2:$500,$K163))</f>
        <v/>
      </c>
      <c r="C163" s="2">
        <f>IF($K163="","",INDEX(מלאי!$C$2:$500,$K163))</f>
        <v/>
      </c>
      <c r="D163" s="2">
        <f>IF($K163="","",INDEX(מלאי!$G$2:$500,$K163))</f>
        <v/>
      </c>
      <c r="E163" s="2">
        <f>IF($K163="","",INDEX(מלאי!$M$2:$500,$K163))</f>
        <v/>
      </c>
      <c r="F163" s="2">
        <f>IF($K163="","",INDEX(מלאי!$N$2:$500,$K163))</f>
        <v/>
      </c>
      <c r="G163" s="2">
        <f>IF($K163="","",INDEX(מלאי!$O$2:$500,$K163))</f>
        <v/>
      </c>
      <c r="H163" s="2">
        <f>IF($K163="","",INDEX(מלאי!$U$2:$500,$K163))</f>
        <v/>
      </c>
      <c r="I163" s="2">
        <f>IF($K163="","",INDEX(מלאי!$X$2:$500,$K163))</f>
        <v/>
      </c>
      <c r="J163" s="2">
        <f>IF($K163="","",INDEX(מלאי!$AC$2:$500,$K163))</f>
        <v/>
      </c>
      <c r="K16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143),"")</f>
        <v/>
      </c>
    </row>
    <row r="164">
      <c r="A164" s="8">
        <f>IF($K164="","",INDEX(מלאי!$D$2:$500,$K164))</f>
        <v/>
      </c>
      <c r="B164" s="8">
        <f>IF($K164="","",INDEX(מלאי!$B$2:$500,$K164))</f>
        <v/>
      </c>
      <c r="C164" s="8">
        <f>IF($K164="","",INDEX(מלאי!$C$2:$500,$K164))</f>
        <v/>
      </c>
      <c r="D164" s="8">
        <f>IF($K164="","",INDEX(מלאי!$G$2:$500,$K164))</f>
        <v/>
      </c>
      <c r="E164" s="8">
        <f>IF($K164="","",INDEX(מלאי!$M$2:$500,$K164))</f>
        <v/>
      </c>
      <c r="F164" s="8">
        <f>IF($K164="","",INDEX(מלאי!$N$2:$500,$K164))</f>
        <v/>
      </c>
      <c r="G164" s="8">
        <f>IF($K164="","",INDEX(מלאי!$O$2:$500,$K164))</f>
        <v/>
      </c>
      <c r="H164" s="8">
        <f>IF($K164="","",INDEX(מלאי!$U$2:$500,$K164))</f>
        <v/>
      </c>
      <c r="I164" s="8">
        <f>IF($K164="","",INDEX(מלאי!$X$2:$500,$K164))</f>
        <v/>
      </c>
      <c r="J164" s="8">
        <f>IF($K164="","",INDEX(מלאי!$AC$2:$500,$K164))</f>
        <v/>
      </c>
      <c r="K16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144),"")</f>
        <v/>
      </c>
    </row>
    <row r="165">
      <c r="A165" s="2">
        <f>IF($K165="","",INDEX(מלאי!$D$2:$500,$K165))</f>
        <v/>
      </c>
      <c r="B165" s="2">
        <f>IF($K165="","",INDEX(מלאי!$B$2:$500,$K165))</f>
        <v/>
      </c>
      <c r="C165" s="2">
        <f>IF($K165="","",INDEX(מלאי!$C$2:$500,$K165))</f>
        <v/>
      </c>
      <c r="D165" s="2">
        <f>IF($K165="","",INDEX(מלאי!$G$2:$500,$K165))</f>
        <v/>
      </c>
      <c r="E165" s="2">
        <f>IF($K165="","",INDEX(מלאי!$M$2:$500,$K165))</f>
        <v/>
      </c>
      <c r="F165" s="2">
        <f>IF($K165="","",INDEX(מלאי!$N$2:$500,$K165))</f>
        <v/>
      </c>
      <c r="G165" s="2">
        <f>IF($K165="","",INDEX(מלאי!$O$2:$500,$K165))</f>
        <v/>
      </c>
      <c r="H165" s="2">
        <f>IF($K165="","",INDEX(מלאי!$U$2:$500,$K165))</f>
        <v/>
      </c>
      <c r="I165" s="2">
        <f>IF($K165="","",INDEX(מלאי!$X$2:$500,$K165))</f>
        <v/>
      </c>
      <c r="J165" s="2">
        <f>IF($K165="","",INDEX(מלאי!$AC$2:$500,$K165))</f>
        <v/>
      </c>
      <c r="K16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145),"")</f>
        <v/>
      </c>
    </row>
    <row r="166">
      <c r="A166" s="8">
        <f>IF($K166="","",INDEX(מלאי!$D$2:$500,$K166))</f>
        <v/>
      </c>
      <c r="B166" s="8">
        <f>IF($K166="","",INDEX(מלאי!$B$2:$500,$K166))</f>
        <v/>
      </c>
      <c r="C166" s="8">
        <f>IF($K166="","",INDEX(מלאי!$C$2:$500,$K166))</f>
        <v/>
      </c>
      <c r="D166" s="8">
        <f>IF($K166="","",INDEX(מלאי!$G$2:$500,$K166))</f>
        <v/>
      </c>
      <c r="E166" s="8">
        <f>IF($K166="","",INDEX(מלאי!$M$2:$500,$K166))</f>
        <v/>
      </c>
      <c r="F166" s="8">
        <f>IF($K166="","",INDEX(מלאי!$N$2:$500,$K166))</f>
        <v/>
      </c>
      <c r="G166" s="8">
        <f>IF($K166="","",INDEX(מלאי!$O$2:$500,$K166))</f>
        <v/>
      </c>
      <c r="H166" s="8">
        <f>IF($K166="","",INDEX(מלאי!$U$2:$500,$K166))</f>
        <v/>
      </c>
      <c r="I166" s="8">
        <f>IF($K166="","",INDEX(מלאי!$X$2:$500,$K166))</f>
        <v/>
      </c>
      <c r="J166" s="8">
        <f>IF($K166="","",INDEX(מלאי!$AC$2:$500,$K166))</f>
        <v/>
      </c>
      <c r="K16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146),"")</f>
        <v/>
      </c>
    </row>
    <row r="167">
      <c r="A167" s="2">
        <f>IF($K167="","",INDEX(מלאי!$D$2:$500,$K167))</f>
        <v/>
      </c>
      <c r="B167" s="2">
        <f>IF($K167="","",INDEX(מלאי!$B$2:$500,$K167))</f>
        <v/>
      </c>
      <c r="C167" s="2">
        <f>IF($K167="","",INDEX(מלאי!$C$2:$500,$K167))</f>
        <v/>
      </c>
      <c r="D167" s="2">
        <f>IF($K167="","",INDEX(מלאי!$G$2:$500,$K167))</f>
        <v/>
      </c>
      <c r="E167" s="2">
        <f>IF($K167="","",INDEX(מלאי!$M$2:$500,$K167))</f>
        <v/>
      </c>
      <c r="F167" s="2">
        <f>IF($K167="","",INDEX(מלאי!$N$2:$500,$K167))</f>
        <v/>
      </c>
      <c r="G167" s="2">
        <f>IF($K167="","",INDEX(מלאי!$O$2:$500,$K167))</f>
        <v/>
      </c>
      <c r="H167" s="2">
        <f>IF($K167="","",INDEX(מלאי!$U$2:$500,$K167))</f>
        <v/>
      </c>
      <c r="I167" s="2">
        <f>IF($K167="","",INDEX(מלאי!$X$2:$500,$K167))</f>
        <v/>
      </c>
      <c r="J167" s="2">
        <f>IF($K167="","",INDEX(מלאי!$AC$2:$500,$K167))</f>
        <v/>
      </c>
      <c r="K16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147),"")</f>
        <v/>
      </c>
    </row>
    <row r="168">
      <c r="A168" s="8">
        <f>IF($K168="","",INDEX(מלאי!$D$2:$500,$K168))</f>
        <v/>
      </c>
      <c r="B168" s="8">
        <f>IF($K168="","",INDEX(מלאי!$B$2:$500,$K168))</f>
        <v/>
      </c>
      <c r="C168" s="8">
        <f>IF($K168="","",INDEX(מלאי!$C$2:$500,$K168))</f>
        <v/>
      </c>
      <c r="D168" s="8">
        <f>IF($K168="","",INDEX(מלאי!$G$2:$500,$K168))</f>
        <v/>
      </c>
      <c r="E168" s="8">
        <f>IF($K168="","",INDEX(מלאי!$M$2:$500,$K168))</f>
        <v/>
      </c>
      <c r="F168" s="8">
        <f>IF($K168="","",INDEX(מלאי!$N$2:$500,$K168))</f>
        <v/>
      </c>
      <c r="G168" s="8">
        <f>IF($K168="","",INDEX(מלאי!$O$2:$500,$K168))</f>
        <v/>
      </c>
      <c r="H168" s="8">
        <f>IF($K168="","",INDEX(מלאי!$U$2:$500,$K168))</f>
        <v/>
      </c>
      <c r="I168" s="8">
        <f>IF($K168="","",INDEX(מלאי!$X$2:$500,$K168))</f>
        <v/>
      </c>
      <c r="J168" s="8">
        <f>IF($K168="","",INDEX(מלאי!$AC$2:$500,$K168))</f>
        <v/>
      </c>
      <c r="K16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148),"")</f>
        <v/>
      </c>
    </row>
    <row r="169">
      <c r="A169" s="2">
        <f>IF($K169="","",INDEX(מלאי!$D$2:$500,$K169))</f>
        <v/>
      </c>
      <c r="B169" s="2">
        <f>IF($K169="","",INDEX(מלאי!$B$2:$500,$K169))</f>
        <v/>
      </c>
      <c r="C169" s="2">
        <f>IF($K169="","",INDEX(מלאי!$C$2:$500,$K169))</f>
        <v/>
      </c>
      <c r="D169" s="2">
        <f>IF($K169="","",INDEX(מלאי!$G$2:$500,$K169))</f>
        <v/>
      </c>
      <c r="E169" s="2">
        <f>IF($K169="","",INDEX(מלאי!$M$2:$500,$K169))</f>
        <v/>
      </c>
      <c r="F169" s="2">
        <f>IF($K169="","",INDEX(מלאי!$N$2:$500,$K169))</f>
        <v/>
      </c>
      <c r="G169" s="2">
        <f>IF($K169="","",INDEX(מלאי!$O$2:$500,$K169))</f>
        <v/>
      </c>
      <c r="H169" s="2">
        <f>IF($K169="","",INDEX(מלאי!$U$2:$500,$K169))</f>
        <v/>
      </c>
      <c r="I169" s="2">
        <f>IF($K169="","",INDEX(מלאי!$X$2:$500,$K169))</f>
        <v/>
      </c>
      <c r="J169" s="2">
        <f>IF($K169="","",INDEX(מלאי!$AC$2:$500,$K169))</f>
        <v/>
      </c>
      <c r="K16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149),"")</f>
        <v/>
      </c>
    </row>
    <row r="170">
      <c r="A170" s="8">
        <f>IF($K170="","",INDEX(מלאי!$D$2:$500,$K170))</f>
        <v/>
      </c>
      <c r="B170" s="8">
        <f>IF($K170="","",INDEX(מלאי!$B$2:$500,$K170))</f>
        <v/>
      </c>
      <c r="C170" s="8">
        <f>IF($K170="","",INDEX(מלאי!$C$2:$500,$K170))</f>
        <v/>
      </c>
      <c r="D170" s="8">
        <f>IF($K170="","",INDEX(מלאי!$G$2:$500,$K170))</f>
        <v/>
      </c>
      <c r="E170" s="8">
        <f>IF($K170="","",INDEX(מלאי!$M$2:$500,$K170))</f>
        <v/>
      </c>
      <c r="F170" s="8">
        <f>IF($K170="","",INDEX(מלאי!$N$2:$500,$K170))</f>
        <v/>
      </c>
      <c r="G170" s="8">
        <f>IF($K170="","",INDEX(מלאי!$O$2:$500,$K170))</f>
        <v/>
      </c>
      <c r="H170" s="8">
        <f>IF($K170="","",INDEX(מלאי!$U$2:$500,$K170))</f>
        <v/>
      </c>
      <c r="I170" s="8">
        <f>IF($K170="","",INDEX(מלאי!$X$2:$500,$K170))</f>
        <v/>
      </c>
      <c r="J170" s="8">
        <f>IF($K170="","",INDEX(מלאי!$AC$2:$500,$K170))</f>
        <v/>
      </c>
      <c r="K17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150),"")</f>
        <v/>
      </c>
    </row>
    <row r="171">
      <c r="A171" s="2">
        <f>IF($K171="","",INDEX(מלאי!$D$2:$500,$K171))</f>
        <v/>
      </c>
      <c r="B171" s="2">
        <f>IF($K171="","",INDEX(מלאי!$B$2:$500,$K171))</f>
        <v/>
      </c>
      <c r="C171" s="2">
        <f>IF($K171="","",INDEX(מלאי!$C$2:$500,$K171))</f>
        <v/>
      </c>
      <c r="D171" s="2">
        <f>IF($K171="","",INDEX(מלאי!$G$2:$500,$K171))</f>
        <v/>
      </c>
      <c r="E171" s="2">
        <f>IF($K171="","",INDEX(מלאי!$M$2:$500,$K171))</f>
        <v/>
      </c>
      <c r="F171" s="2">
        <f>IF($K171="","",INDEX(מלאי!$N$2:$500,$K171))</f>
        <v/>
      </c>
      <c r="G171" s="2">
        <f>IF($K171="","",INDEX(מלאי!$O$2:$500,$K171))</f>
        <v/>
      </c>
      <c r="H171" s="2">
        <f>IF($K171="","",INDEX(מלאי!$U$2:$500,$K171))</f>
        <v/>
      </c>
      <c r="I171" s="2">
        <f>IF($K171="","",INDEX(מלאי!$X$2:$500,$K171))</f>
        <v/>
      </c>
      <c r="J171" s="2">
        <f>IF($K171="","",INDEX(מלאי!$AC$2:$500,$K171))</f>
        <v/>
      </c>
      <c r="K17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151),"")</f>
        <v/>
      </c>
    </row>
    <row r="172">
      <c r="A172" s="8">
        <f>IF($K172="","",INDEX(מלאי!$D$2:$500,$K172))</f>
        <v/>
      </c>
      <c r="B172" s="8">
        <f>IF($K172="","",INDEX(מלאי!$B$2:$500,$K172))</f>
        <v/>
      </c>
      <c r="C172" s="8">
        <f>IF($K172="","",INDEX(מלאי!$C$2:$500,$K172))</f>
        <v/>
      </c>
      <c r="D172" s="8">
        <f>IF($K172="","",INDEX(מלאי!$G$2:$500,$K172))</f>
        <v/>
      </c>
      <c r="E172" s="8">
        <f>IF($K172="","",INDEX(מלאי!$M$2:$500,$K172))</f>
        <v/>
      </c>
      <c r="F172" s="8">
        <f>IF($K172="","",INDEX(מלאי!$N$2:$500,$K172))</f>
        <v/>
      </c>
      <c r="G172" s="8">
        <f>IF($K172="","",INDEX(מלאי!$O$2:$500,$K172))</f>
        <v/>
      </c>
      <c r="H172" s="8">
        <f>IF($K172="","",INDEX(מלאי!$U$2:$500,$K172))</f>
        <v/>
      </c>
      <c r="I172" s="8">
        <f>IF($K172="","",INDEX(מלאי!$X$2:$500,$K172))</f>
        <v/>
      </c>
      <c r="J172" s="8">
        <f>IF($K172="","",INDEX(מלאי!$AC$2:$500,$K172))</f>
        <v/>
      </c>
      <c r="K17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152),"")</f>
        <v/>
      </c>
    </row>
    <row r="173">
      <c r="A173" s="2">
        <f>IF($K173="","",INDEX(מלאי!$D$2:$500,$K173))</f>
        <v/>
      </c>
      <c r="B173" s="2">
        <f>IF($K173="","",INDEX(מלאי!$B$2:$500,$K173))</f>
        <v/>
      </c>
      <c r="C173" s="2">
        <f>IF($K173="","",INDEX(מלאי!$C$2:$500,$K173))</f>
        <v/>
      </c>
      <c r="D173" s="2">
        <f>IF($K173="","",INDEX(מלאי!$G$2:$500,$K173))</f>
        <v/>
      </c>
      <c r="E173" s="2">
        <f>IF($K173="","",INDEX(מלאי!$M$2:$500,$K173))</f>
        <v/>
      </c>
      <c r="F173" s="2">
        <f>IF($K173="","",INDEX(מלאי!$N$2:$500,$K173))</f>
        <v/>
      </c>
      <c r="G173" s="2">
        <f>IF($K173="","",INDEX(מלאי!$O$2:$500,$K173))</f>
        <v/>
      </c>
      <c r="H173" s="2">
        <f>IF($K173="","",INDEX(מלאי!$U$2:$500,$K173))</f>
        <v/>
      </c>
      <c r="I173" s="2">
        <f>IF($K173="","",INDEX(מלאי!$X$2:$500,$K173))</f>
        <v/>
      </c>
      <c r="J173" s="2">
        <f>IF($K173="","",INDEX(מלאי!$AC$2:$500,$K173))</f>
        <v/>
      </c>
      <c r="K17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153),"")</f>
        <v/>
      </c>
    </row>
    <row r="174">
      <c r="A174" s="8">
        <f>IF($K174="","",INDEX(מלאי!$D$2:$500,$K174))</f>
        <v/>
      </c>
      <c r="B174" s="8">
        <f>IF($K174="","",INDEX(מלאי!$B$2:$500,$K174))</f>
        <v/>
      </c>
      <c r="C174" s="8">
        <f>IF($K174="","",INDEX(מלאי!$C$2:$500,$K174))</f>
        <v/>
      </c>
      <c r="D174" s="8">
        <f>IF($K174="","",INDEX(מלאי!$G$2:$500,$K174))</f>
        <v/>
      </c>
      <c r="E174" s="8">
        <f>IF($K174="","",INDEX(מלאי!$M$2:$500,$K174))</f>
        <v/>
      </c>
      <c r="F174" s="8">
        <f>IF($K174="","",INDEX(מלאי!$N$2:$500,$K174))</f>
        <v/>
      </c>
      <c r="G174" s="8">
        <f>IF($K174="","",INDEX(מלאי!$O$2:$500,$K174))</f>
        <v/>
      </c>
      <c r="H174" s="8">
        <f>IF($K174="","",INDEX(מלאי!$U$2:$500,$K174))</f>
        <v/>
      </c>
      <c r="I174" s="8">
        <f>IF($K174="","",INDEX(מלאי!$X$2:$500,$K174))</f>
        <v/>
      </c>
      <c r="J174" s="8">
        <f>IF($K174="","",INDEX(מלאי!$AC$2:$500,$K174))</f>
        <v/>
      </c>
      <c r="K17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154),"")</f>
        <v/>
      </c>
    </row>
    <row r="175">
      <c r="A175" s="2">
        <f>IF($K175="","",INDEX(מלאי!$D$2:$500,$K175))</f>
        <v/>
      </c>
      <c r="B175" s="2">
        <f>IF($K175="","",INDEX(מלאי!$B$2:$500,$K175))</f>
        <v/>
      </c>
      <c r="C175" s="2">
        <f>IF($K175="","",INDEX(מלאי!$C$2:$500,$K175))</f>
        <v/>
      </c>
      <c r="D175" s="2">
        <f>IF($K175="","",INDEX(מלאי!$G$2:$500,$K175))</f>
        <v/>
      </c>
      <c r="E175" s="2">
        <f>IF($K175="","",INDEX(מלאי!$M$2:$500,$K175))</f>
        <v/>
      </c>
      <c r="F175" s="2">
        <f>IF($K175="","",INDEX(מלאי!$N$2:$500,$K175))</f>
        <v/>
      </c>
      <c r="G175" s="2">
        <f>IF($K175="","",INDEX(מלאי!$O$2:$500,$K175))</f>
        <v/>
      </c>
      <c r="H175" s="2">
        <f>IF($K175="","",INDEX(מלאי!$U$2:$500,$K175))</f>
        <v/>
      </c>
      <c r="I175" s="2">
        <f>IF($K175="","",INDEX(מלאי!$X$2:$500,$K175))</f>
        <v/>
      </c>
      <c r="J175" s="2">
        <f>IF($K175="","",INDEX(מלאי!$AC$2:$500,$K175))</f>
        <v/>
      </c>
      <c r="K17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155),"")</f>
        <v/>
      </c>
    </row>
    <row r="176">
      <c r="A176" s="8">
        <f>IF($K176="","",INDEX(מלאי!$D$2:$500,$K176))</f>
        <v/>
      </c>
      <c r="B176" s="8">
        <f>IF($K176="","",INDEX(מלאי!$B$2:$500,$K176))</f>
        <v/>
      </c>
      <c r="C176" s="8">
        <f>IF($K176="","",INDEX(מלאי!$C$2:$500,$K176))</f>
        <v/>
      </c>
      <c r="D176" s="8">
        <f>IF($K176="","",INDEX(מלאי!$G$2:$500,$K176))</f>
        <v/>
      </c>
      <c r="E176" s="8">
        <f>IF($K176="","",INDEX(מלאי!$M$2:$500,$K176))</f>
        <v/>
      </c>
      <c r="F176" s="8">
        <f>IF($K176="","",INDEX(מלאי!$N$2:$500,$K176))</f>
        <v/>
      </c>
      <c r="G176" s="8">
        <f>IF($K176="","",INDEX(מלאי!$O$2:$500,$K176))</f>
        <v/>
      </c>
      <c r="H176" s="8">
        <f>IF($K176="","",INDEX(מלאי!$U$2:$500,$K176))</f>
        <v/>
      </c>
      <c r="I176" s="8">
        <f>IF($K176="","",INDEX(מלאי!$X$2:$500,$K176))</f>
        <v/>
      </c>
      <c r="J176" s="8">
        <f>IF($K176="","",INDEX(מלאי!$AC$2:$500,$K176))</f>
        <v/>
      </c>
      <c r="K17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156),"")</f>
        <v/>
      </c>
    </row>
    <row r="177">
      <c r="A177" s="2">
        <f>IF($K177="","",INDEX(מלאי!$D$2:$500,$K177))</f>
        <v/>
      </c>
      <c r="B177" s="2">
        <f>IF($K177="","",INDEX(מלאי!$B$2:$500,$K177))</f>
        <v/>
      </c>
      <c r="C177" s="2">
        <f>IF($K177="","",INDEX(מלאי!$C$2:$500,$K177))</f>
        <v/>
      </c>
      <c r="D177" s="2">
        <f>IF($K177="","",INDEX(מלאי!$G$2:$500,$K177))</f>
        <v/>
      </c>
      <c r="E177" s="2">
        <f>IF($K177="","",INDEX(מלאי!$M$2:$500,$K177))</f>
        <v/>
      </c>
      <c r="F177" s="2">
        <f>IF($K177="","",INDEX(מלאי!$N$2:$500,$K177))</f>
        <v/>
      </c>
      <c r="G177" s="2">
        <f>IF($K177="","",INDEX(מלאי!$O$2:$500,$K177))</f>
        <v/>
      </c>
      <c r="H177" s="2">
        <f>IF($K177="","",INDEX(מלאי!$U$2:$500,$K177))</f>
        <v/>
      </c>
      <c r="I177" s="2">
        <f>IF($K177="","",INDEX(מלאי!$X$2:$500,$K177))</f>
        <v/>
      </c>
      <c r="J177" s="2">
        <f>IF($K177="","",INDEX(מלאי!$AC$2:$500,$K177))</f>
        <v/>
      </c>
      <c r="K17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157),"")</f>
        <v/>
      </c>
    </row>
    <row r="178">
      <c r="A178" s="8">
        <f>IF($K178="","",INDEX(מלאי!$D$2:$500,$K178))</f>
        <v/>
      </c>
      <c r="B178" s="8">
        <f>IF($K178="","",INDEX(מלאי!$B$2:$500,$K178))</f>
        <v/>
      </c>
      <c r="C178" s="8">
        <f>IF($K178="","",INDEX(מלאי!$C$2:$500,$K178))</f>
        <v/>
      </c>
      <c r="D178" s="8">
        <f>IF($K178="","",INDEX(מלאי!$G$2:$500,$K178))</f>
        <v/>
      </c>
      <c r="E178" s="8">
        <f>IF($K178="","",INDEX(מלאי!$M$2:$500,$K178))</f>
        <v/>
      </c>
      <c r="F178" s="8">
        <f>IF($K178="","",INDEX(מלאי!$N$2:$500,$K178))</f>
        <v/>
      </c>
      <c r="G178" s="8">
        <f>IF($K178="","",INDEX(מלאי!$O$2:$500,$K178))</f>
        <v/>
      </c>
      <c r="H178" s="8">
        <f>IF($K178="","",INDEX(מלאי!$U$2:$500,$K178))</f>
        <v/>
      </c>
      <c r="I178" s="8">
        <f>IF($K178="","",INDEX(מלאי!$X$2:$500,$K178))</f>
        <v/>
      </c>
      <c r="J178" s="8">
        <f>IF($K178="","",INDEX(מלאי!$AC$2:$500,$K178))</f>
        <v/>
      </c>
      <c r="K17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158),"")</f>
        <v/>
      </c>
    </row>
    <row r="179">
      <c r="A179" s="2">
        <f>IF($K179="","",INDEX(מלאי!$D$2:$500,$K179))</f>
        <v/>
      </c>
      <c r="B179" s="2">
        <f>IF($K179="","",INDEX(מלאי!$B$2:$500,$K179))</f>
        <v/>
      </c>
      <c r="C179" s="2">
        <f>IF($K179="","",INDEX(מלאי!$C$2:$500,$K179))</f>
        <v/>
      </c>
      <c r="D179" s="2">
        <f>IF($K179="","",INDEX(מלאי!$G$2:$500,$K179))</f>
        <v/>
      </c>
      <c r="E179" s="2">
        <f>IF($K179="","",INDEX(מלאי!$M$2:$500,$K179))</f>
        <v/>
      </c>
      <c r="F179" s="2">
        <f>IF($K179="","",INDEX(מלאי!$N$2:$500,$K179))</f>
        <v/>
      </c>
      <c r="G179" s="2">
        <f>IF($K179="","",INDEX(מלאי!$O$2:$500,$K179))</f>
        <v/>
      </c>
      <c r="H179" s="2">
        <f>IF($K179="","",INDEX(מלאי!$U$2:$500,$K179))</f>
        <v/>
      </c>
      <c r="I179" s="2">
        <f>IF($K179="","",INDEX(מלאי!$X$2:$500,$K179))</f>
        <v/>
      </c>
      <c r="J179" s="2">
        <f>IF($K179="","",INDEX(מלאי!$AC$2:$500,$K179))</f>
        <v/>
      </c>
      <c r="K17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159),"")</f>
        <v/>
      </c>
    </row>
    <row r="180">
      <c r="A180" s="8">
        <f>IF($K180="","",INDEX(מלאי!$D$2:$500,$K180))</f>
        <v/>
      </c>
      <c r="B180" s="8">
        <f>IF($K180="","",INDEX(מלאי!$B$2:$500,$K180))</f>
        <v/>
      </c>
      <c r="C180" s="8">
        <f>IF($K180="","",INDEX(מלאי!$C$2:$500,$K180))</f>
        <v/>
      </c>
      <c r="D180" s="8">
        <f>IF($K180="","",INDEX(מלאי!$G$2:$500,$K180))</f>
        <v/>
      </c>
      <c r="E180" s="8">
        <f>IF($K180="","",INDEX(מלאי!$M$2:$500,$K180))</f>
        <v/>
      </c>
      <c r="F180" s="8">
        <f>IF($K180="","",INDEX(מלאי!$N$2:$500,$K180))</f>
        <v/>
      </c>
      <c r="G180" s="8">
        <f>IF($K180="","",INDEX(מלאי!$O$2:$500,$K180))</f>
        <v/>
      </c>
      <c r="H180" s="8">
        <f>IF($K180="","",INDEX(מלאי!$U$2:$500,$K180))</f>
        <v/>
      </c>
      <c r="I180" s="8">
        <f>IF($K180="","",INDEX(מלאי!$X$2:$500,$K180))</f>
        <v/>
      </c>
      <c r="J180" s="8">
        <f>IF($K180="","",INDEX(מלאי!$AC$2:$500,$K180))</f>
        <v/>
      </c>
      <c r="K18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160),"")</f>
        <v/>
      </c>
    </row>
    <row r="181">
      <c r="A181" s="2">
        <f>IF($K181="","",INDEX(מלאי!$D$2:$500,$K181))</f>
        <v/>
      </c>
      <c r="B181" s="2">
        <f>IF($K181="","",INDEX(מלאי!$B$2:$500,$K181))</f>
        <v/>
      </c>
      <c r="C181" s="2">
        <f>IF($K181="","",INDEX(מלאי!$C$2:$500,$K181))</f>
        <v/>
      </c>
      <c r="D181" s="2">
        <f>IF($K181="","",INDEX(מלאי!$G$2:$500,$K181))</f>
        <v/>
      </c>
      <c r="E181" s="2">
        <f>IF($K181="","",INDEX(מלאי!$M$2:$500,$K181))</f>
        <v/>
      </c>
      <c r="F181" s="2">
        <f>IF($K181="","",INDEX(מלאי!$N$2:$500,$K181))</f>
        <v/>
      </c>
      <c r="G181" s="2">
        <f>IF($K181="","",INDEX(מלאי!$O$2:$500,$K181))</f>
        <v/>
      </c>
      <c r="H181" s="2">
        <f>IF($K181="","",INDEX(מלאי!$U$2:$500,$K181))</f>
        <v/>
      </c>
      <c r="I181" s="2">
        <f>IF($K181="","",INDEX(מלאי!$X$2:$500,$K181))</f>
        <v/>
      </c>
      <c r="J181" s="2">
        <f>IF($K181="","",INDEX(מלאי!$AC$2:$500,$K181))</f>
        <v/>
      </c>
      <c r="K18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161),"")</f>
        <v/>
      </c>
    </row>
    <row r="182">
      <c r="A182" s="8">
        <f>IF($K182="","",INDEX(מלאי!$D$2:$500,$K182))</f>
        <v/>
      </c>
      <c r="B182" s="8">
        <f>IF($K182="","",INDEX(מלאי!$B$2:$500,$K182))</f>
        <v/>
      </c>
      <c r="C182" s="8">
        <f>IF($K182="","",INDEX(מלאי!$C$2:$500,$K182))</f>
        <v/>
      </c>
      <c r="D182" s="8">
        <f>IF($K182="","",INDEX(מלאי!$G$2:$500,$K182))</f>
        <v/>
      </c>
      <c r="E182" s="8">
        <f>IF($K182="","",INDEX(מלאי!$M$2:$500,$K182))</f>
        <v/>
      </c>
      <c r="F182" s="8">
        <f>IF($K182="","",INDEX(מלאי!$N$2:$500,$K182))</f>
        <v/>
      </c>
      <c r="G182" s="8">
        <f>IF($K182="","",INDEX(מלאי!$O$2:$500,$K182))</f>
        <v/>
      </c>
      <c r="H182" s="8">
        <f>IF($K182="","",INDEX(מלאי!$U$2:$500,$K182))</f>
        <v/>
      </c>
      <c r="I182" s="8">
        <f>IF($K182="","",INDEX(מלאי!$X$2:$500,$K182))</f>
        <v/>
      </c>
      <c r="J182" s="8">
        <f>IF($K182="","",INDEX(מלאי!$AC$2:$500,$K182))</f>
        <v/>
      </c>
      <c r="K18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162),"")</f>
        <v/>
      </c>
    </row>
    <row r="183">
      <c r="A183" s="2">
        <f>IF($K183="","",INDEX(מלאי!$D$2:$500,$K183))</f>
        <v/>
      </c>
      <c r="B183" s="2">
        <f>IF($K183="","",INDEX(מלאי!$B$2:$500,$K183))</f>
        <v/>
      </c>
      <c r="C183" s="2">
        <f>IF($K183="","",INDEX(מלאי!$C$2:$500,$K183))</f>
        <v/>
      </c>
      <c r="D183" s="2">
        <f>IF($K183="","",INDEX(מלאי!$G$2:$500,$K183))</f>
        <v/>
      </c>
      <c r="E183" s="2">
        <f>IF($K183="","",INDEX(מלאי!$M$2:$500,$K183))</f>
        <v/>
      </c>
      <c r="F183" s="2">
        <f>IF($K183="","",INDEX(מלאי!$N$2:$500,$K183))</f>
        <v/>
      </c>
      <c r="G183" s="2">
        <f>IF($K183="","",INDEX(מלאי!$O$2:$500,$K183))</f>
        <v/>
      </c>
      <c r="H183" s="2">
        <f>IF($K183="","",INDEX(מלאי!$U$2:$500,$K183))</f>
        <v/>
      </c>
      <c r="I183" s="2">
        <f>IF($K183="","",INDEX(מלאי!$X$2:$500,$K183))</f>
        <v/>
      </c>
      <c r="J183" s="2">
        <f>IF($K183="","",INDEX(מלאי!$AC$2:$500,$K183))</f>
        <v/>
      </c>
      <c r="K18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163),"")</f>
        <v/>
      </c>
    </row>
    <row r="184">
      <c r="A184" s="8">
        <f>IF($K184="","",INDEX(מלאי!$D$2:$500,$K184))</f>
        <v/>
      </c>
      <c r="B184" s="8">
        <f>IF($K184="","",INDEX(מלאי!$B$2:$500,$K184))</f>
        <v/>
      </c>
      <c r="C184" s="8">
        <f>IF($K184="","",INDEX(מלאי!$C$2:$500,$K184))</f>
        <v/>
      </c>
      <c r="D184" s="8">
        <f>IF($K184="","",INDEX(מלאי!$G$2:$500,$K184))</f>
        <v/>
      </c>
      <c r="E184" s="8">
        <f>IF($K184="","",INDEX(מלאי!$M$2:$500,$K184))</f>
        <v/>
      </c>
      <c r="F184" s="8">
        <f>IF($K184="","",INDEX(מלאי!$N$2:$500,$K184))</f>
        <v/>
      </c>
      <c r="G184" s="8">
        <f>IF($K184="","",INDEX(מלאי!$O$2:$500,$K184))</f>
        <v/>
      </c>
      <c r="H184" s="8">
        <f>IF($K184="","",INDEX(מלאי!$U$2:$500,$K184))</f>
        <v/>
      </c>
      <c r="I184" s="8">
        <f>IF($K184="","",INDEX(מלאי!$X$2:$500,$K184))</f>
        <v/>
      </c>
      <c r="J184" s="8">
        <f>IF($K184="","",INDEX(מלאי!$AC$2:$500,$K184))</f>
        <v/>
      </c>
      <c r="K18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164),"")</f>
        <v/>
      </c>
    </row>
    <row r="185">
      <c r="A185" s="2">
        <f>IF($K185="","",INDEX(מלאי!$D$2:$500,$K185))</f>
        <v/>
      </c>
      <c r="B185" s="2">
        <f>IF($K185="","",INDEX(מלאי!$B$2:$500,$K185))</f>
        <v/>
      </c>
      <c r="C185" s="2">
        <f>IF($K185="","",INDEX(מלאי!$C$2:$500,$K185))</f>
        <v/>
      </c>
      <c r="D185" s="2">
        <f>IF($K185="","",INDEX(מלאי!$G$2:$500,$K185))</f>
        <v/>
      </c>
      <c r="E185" s="2">
        <f>IF($K185="","",INDEX(מלאי!$M$2:$500,$K185))</f>
        <v/>
      </c>
      <c r="F185" s="2">
        <f>IF($K185="","",INDEX(מלאי!$N$2:$500,$K185))</f>
        <v/>
      </c>
      <c r="G185" s="2">
        <f>IF($K185="","",INDEX(מלאי!$O$2:$500,$K185))</f>
        <v/>
      </c>
      <c r="H185" s="2">
        <f>IF($K185="","",INDEX(מלאי!$U$2:$500,$K185))</f>
        <v/>
      </c>
      <c r="I185" s="2">
        <f>IF($K185="","",INDEX(מלאי!$X$2:$500,$K185))</f>
        <v/>
      </c>
      <c r="J185" s="2">
        <f>IF($K185="","",INDEX(מלאי!$AC$2:$500,$K185))</f>
        <v/>
      </c>
      <c r="K18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165),"")</f>
        <v/>
      </c>
    </row>
    <row r="186">
      <c r="A186" s="8">
        <f>IF($K186="","",INDEX(מלאי!$D$2:$500,$K186))</f>
        <v/>
      </c>
      <c r="B186" s="8">
        <f>IF($K186="","",INDEX(מלאי!$B$2:$500,$K186))</f>
        <v/>
      </c>
      <c r="C186" s="8">
        <f>IF($K186="","",INDEX(מלאי!$C$2:$500,$K186))</f>
        <v/>
      </c>
      <c r="D186" s="8">
        <f>IF($K186="","",INDEX(מלאי!$G$2:$500,$K186))</f>
        <v/>
      </c>
      <c r="E186" s="8">
        <f>IF($K186="","",INDEX(מלאי!$M$2:$500,$K186))</f>
        <v/>
      </c>
      <c r="F186" s="8">
        <f>IF($K186="","",INDEX(מלאי!$N$2:$500,$K186))</f>
        <v/>
      </c>
      <c r="G186" s="8">
        <f>IF($K186="","",INDEX(מלאי!$O$2:$500,$K186))</f>
        <v/>
      </c>
      <c r="H186" s="8">
        <f>IF($K186="","",INDEX(מלאי!$U$2:$500,$K186))</f>
        <v/>
      </c>
      <c r="I186" s="8">
        <f>IF($K186="","",INDEX(מלאי!$X$2:$500,$K186))</f>
        <v/>
      </c>
      <c r="J186" s="8">
        <f>IF($K186="","",INDEX(מלאי!$AC$2:$500,$K186))</f>
        <v/>
      </c>
      <c r="K18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166),"")</f>
        <v/>
      </c>
    </row>
    <row r="187">
      <c r="A187" s="2">
        <f>IF($K187="","",INDEX(מלאי!$D$2:$500,$K187))</f>
        <v/>
      </c>
      <c r="B187" s="2">
        <f>IF($K187="","",INDEX(מלאי!$B$2:$500,$K187))</f>
        <v/>
      </c>
      <c r="C187" s="2">
        <f>IF($K187="","",INDEX(מלאי!$C$2:$500,$K187))</f>
        <v/>
      </c>
      <c r="D187" s="2">
        <f>IF($K187="","",INDEX(מלאי!$G$2:$500,$K187))</f>
        <v/>
      </c>
      <c r="E187" s="2">
        <f>IF($K187="","",INDEX(מלאי!$M$2:$500,$K187))</f>
        <v/>
      </c>
      <c r="F187" s="2">
        <f>IF($K187="","",INDEX(מלאי!$N$2:$500,$K187))</f>
        <v/>
      </c>
      <c r="G187" s="2">
        <f>IF($K187="","",INDEX(מלאי!$O$2:$500,$K187))</f>
        <v/>
      </c>
      <c r="H187" s="2">
        <f>IF($K187="","",INDEX(מלאי!$U$2:$500,$K187))</f>
        <v/>
      </c>
      <c r="I187" s="2">
        <f>IF($K187="","",INDEX(מלאי!$X$2:$500,$K187))</f>
        <v/>
      </c>
      <c r="J187" s="2">
        <f>IF($K187="","",INDEX(מלאי!$AC$2:$500,$K187))</f>
        <v/>
      </c>
      <c r="K18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167),"")</f>
        <v/>
      </c>
    </row>
    <row r="188">
      <c r="A188" s="8">
        <f>IF($K188="","",INDEX(מלאי!$D$2:$500,$K188))</f>
        <v/>
      </c>
      <c r="B188" s="8">
        <f>IF($K188="","",INDEX(מלאי!$B$2:$500,$K188))</f>
        <v/>
      </c>
      <c r="C188" s="8">
        <f>IF($K188="","",INDEX(מלאי!$C$2:$500,$K188))</f>
        <v/>
      </c>
      <c r="D188" s="8">
        <f>IF($K188="","",INDEX(מלאי!$G$2:$500,$K188))</f>
        <v/>
      </c>
      <c r="E188" s="8">
        <f>IF($K188="","",INDEX(מלאי!$M$2:$500,$K188))</f>
        <v/>
      </c>
      <c r="F188" s="8">
        <f>IF($K188="","",INDEX(מלאי!$N$2:$500,$K188))</f>
        <v/>
      </c>
      <c r="G188" s="8">
        <f>IF($K188="","",INDEX(מלאי!$O$2:$500,$K188))</f>
        <v/>
      </c>
      <c r="H188" s="8">
        <f>IF($K188="","",INDEX(מלאי!$U$2:$500,$K188))</f>
        <v/>
      </c>
      <c r="I188" s="8">
        <f>IF($K188="","",INDEX(מלאי!$X$2:$500,$K188))</f>
        <v/>
      </c>
      <c r="J188" s="8">
        <f>IF($K188="","",INDEX(מלאי!$AC$2:$500,$K188))</f>
        <v/>
      </c>
      <c r="K18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168),"")</f>
        <v/>
      </c>
    </row>
    <row r="189">
      <c r="A189" s="2">
        <f>IF($K189="","",INDEX(מלאי!$D$2:$500,$K189))</f>
        <v/>
      </c>
      <c r="B189" s="2">
        <f>IF($K189="","",INDEX(מלאי!$B$2:$500,$K189))</f>
        <v/>
      </c>
      <c r="C189" s="2">
        <f>IF($K189="","",INDEX(מלאי!$C$2:$500,$K189))</f>
        <v/>
      </c>
      <c r="D189" s="2">
        <f>IF($K189="","",INDEX(מלאי!$G$2:$500,$K189))</f>
        <v/>
      </c>
      <c r="E189" s="2">
        <f>IF($K189="","",INDEX(מלאי!$M$2:$500,$K189))</f>
        <v/>
      </c>
      <c r="F189" s="2">
        <f>IF($K189="","",INDEX(מלאי!$N$2:$500,$K189))</f>
        <v/>
      </c>
      <c r="G189" s="2">
        <f>IF($K189="","",INDEX(מלאי!$O$2:$500,$K189))</f>
        <v/>
      </c>
      <c r="H189" s="2">
        <f>IF($K189="","",INDEX(מלאי!$U$2:$500,$K189))</f>
        <v/>
      </c>
      <c r="I189" s="2">
        <f>IF($K189="","",INDEX(מלאי!$X$2:$500,$K189))</f>
        <v/>
      </c>
      <c r="J189" s="2">
        <f>IF($K189="","",INDEX(מלאי!$AC$2:$500,$K189))</f>
        <v/>
      </c>
      <c r="K18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169),"")</f>
        <v/>
      </c>
    </row>
    <row r="190">
      <c r="A190" s="8">
        <f>IF($K190="","",INDEX(מלאי!$D$2:$500,$K190))</f>
        <v/>
      </c>
      <c r="B190" s="8">
        <f>IF($K190="","",INDEX(מלאי!$B$2:$500,$K190))</f>
        <v/>
      </c>
      <c r="C190" s="8">
        <f>IF($K190="","",INDEX(מלאי!$C$2:$500,$K190))</f>
        <v/>
      </c>
      <c r="D190" s="8">
        <f>IF($K190="","",INDEX(מלאי!$G$2:$500,$K190))</f>
        <v/>
      </c>
      <c r="E190" s="8">
        <f>IF($K190="","",INDEX(מלאי!$M$2:$500,$K190))</f>
        <v/>
      </c>
      <c r="F190" s="8">
        <f>IF($K190="","",INDEX(מלאי!$N$2:$500,$K190))</f>
        <v/>
      </c>
      <c r="G190" s="8">
        <f>IF($K190="","",INDEX(מלאי!$O$2:$500,$K190))</f>
        <v/>
      </c>
      <c r="H190" s="8">
        <f>IF($K190="","",INDEX(מלאי!$U$2:$500,$K190))</f>
        <v/>
      </c>
      <c r="I190" s="8">
        <f>IF($K190="","",INDEX(מלאי!$X$2:$500,$K190))</f>
        <v/>
      </c>
      <c r="J190" s="8">
        <f>IF($K190="","",INDEX(מלאי!$AC$2:$500,$K190))</f>
        <v/>
      </c>
      <c r="K19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170),"")</f>
        <v/>
      </c>
    </row>
    <row r="191">
      <c r="A191" s="2">
        <f>IF($K191="","",INDEX(מלאי!$D$2:$500,$K191))</f>
        <v/>
      </c>
      <c r="B191" s="2">
        <f>IF($K191="","",INDEX(מלאי!$B$2:$500,$K191))</f>
        <v/>
      </c>
      <c r="C191" s="2">
        <f>IF($K191="","",INDEX(מלאי!$C$2:$500,$K191))</f>
        <v/>
      </c>
      <c r="D191" s="2">
        <f>IF($K191="","",INDEX(מלאי!$G$2:$500,$K191))</f>
        <v/>
      </c>
      <c r="E191" s="2">
        <f>IF($K191="","",INDEX(מלאי!$M$2:$500,$K191))</f>
        <v/>
      </c>
      <c r="F191" s="2">
        <f>IF($K191="","",INDEX(מלאי!$N$2:$500,$K191))</f>
        <v/>
      </c>
      <c r="G191" s="2">
        <f>IF($K191="","",INDEX(מלאי!$O$2:$500,$K191))</f>
        <v/>
      </c>
      <c r="H191" s="2">
        <f>IF($K191="","",INDEX(מלאי!$U$2:$500,$K191))</f>
        <v/>
      </c>
      <c r="I191" s="2">
        <f>IF($K191="","",INDEX(מלאי!$X$2:$500,$K191))</f>
        <v/>
      </c>
      <c r="J191" s="2">
        <f>IF($K191="","",INDEX(מלאי!$AC$2:$500,$K191))</f>
        <v/>
      </c>
      <c r="K19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171),"")</f>
        <v/>
      </c>
    </row>
    <row r="192">
      <c r="A192" s="8">
        <f>IF($K192="","",INDEX(מלאי!$D$2:$500,$K192))</f>
        <v/>
      </c>
      <c r="B192" s="8">
        <f>IF($K192="","",INDEX(מלאי!$B$2:$500,$K192))</f>
        <v/>
      </c>
      <c r="C192" s="8">
        <f>IF($K192="","",INDEX(מלאי!$C$2:$500,$K192))</f>
        <v/>
      </c>
      <c r="D192" s="8">
        <f>IF($K192="","",INDEX(מלאי!$G$2:$500,$K192))</f>
        <v/>
      </c>
      <c r="E192" s="8">
        <f>IF($K192="","",INDEX(מלאי!$M$2:$500,$K192))</f>
        <v/>
      </c>
      <c r="F192" s="8">
        <f>IF($K192="","",INDEX(מלאי!$N$2:$500,$K192))</f>
        <v/>
      </c>
      <c r="G192" s="8">
        <f>IF($K192="","",INDEX(מלאי!$O$2:$500,$K192))</f>
        <v/>
      </c>
      <c r="H192" s="8">
        <f>IF($K192="","",INDEX(מלאי!$U$2:$500,$K192))</f>
        <v/>
      </c>
      <c r="I192" s="8">
        <f>IF($K192="","",INDEX(מלאי!$X$2:$500,$K192))</f>
        <v/>
      </c>
      <c r="J192" s="8">
        <f>IF($K192="","",INDEX(מלאי!$AC$2:$500,$K192))</f>
        <v/>
      </c>
      <c r="K19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172),"")</f>
        <v/>
      </c>
    </row>
    <row r="193">
      <c r="A193" s="2">
        <f>IF($K193="","",INDEX(מלאי!$D$2:$500,$K193))</f>
        <v/>
      </c>
      <c r="B193" s="2">
        <f>IF($K193="","",INDEX(מלאי!$B$2:$500,$K193))</f>
        <v/>
      </c>
      <c r="C193" s="2">
        <f>IF($K193="","",INDEX(מלאי!$C$2:$500,$K193))</f>
        <v/>
      </c>
      <c r="D193" s="2">
        <f>IF($K193="","",INDEX(מלאי!$G$2:$500,$K193))</f>
        <v/>
      </c>
      <c r="E193" s="2">
        <f>IF($K193="","",INDEX(מלאי!$M$2:$500,$K193))</f>
        <v/>
      </c>
      <c r="F193" s="2">
        <f>IF($K193="","",INDEX(מלאי!$N$2:$500,$K193))</f>
        <v/>
      </c>
      <c r="G193" s="2">
        <f>IF($K193="","",INDEX(מלאי!$O$2:$500,$K193))</f>
        <v/>
      </c>
      <c r="H193" s="2">
        <f>IF($K193="","",INDEX(מלאי!$U$2:$500,$K193))</f>
        <v/>
      </c>
      <c r="I193" s="2">
        <f>IF($K193="","",INDEX(מלאי!$X$2:$500,$K193))</f>
        <v/>
      </c>
      <c r="J193" s="2">
        <f>IF($K193="","",INDEX(מלאי!$AC$2:$500,$K193))</f>
        <v/>
      </c>
      <c r="K19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173),"")</f>
        <v/>
      </c>
    </row>
    <row r="194">
      <c r="A194" s="8">
        <f>IF($K194="","",INDEX(מלאי!$D$2:$500,$K194))</f>
        <v/>
      </c>
      <c r="B194" s="8">
        <f>IF($K194="","",INDEX(מלאי!$B$2:$500,$K194))</f>
        <v/>
      </c>
      <c r="C194" s="8">
        <f>IF($K194="","",INDEX(מלאי!$C$2:$500,$K194))</f>
        <v/>
      </c>
      <c r="D194" s="8">
        <f>IF($K194="","",INDEX(מלאי!$G$2:$500,$K194))</f>
        <v/>
      </c>
      <c r="E194" s="8">
        <f>IF($K194="","",INDEX(מלאי!$M$2:$500,$K194))</f>
        <v/>
      </c>
      <c r="F194" s="8">
        <f>IF($K194="","",INDEX(מלאי!$N$2:$500,$K194))</f>
        <v/>
      </c>
      <c r="G194" s="8">
        <f>IF($K194="","",INDEX(מלאי!$O$2:$500,$K194))</f>
        <v/>
      </c>
      <c r="H194" s="8">
        <f>IF($K194="","",INDEX(מלאי!$U$2:$500,$K194))</f>
        <v/>
      </c>
      <c r="I194" s="8">
        <f>IF($K194="","",INDEX(מלאי!$X$2:$500,$K194))</f>
        <v/>
      </c>
      <c r="J194" s="8">
        <f>IF($K194="","",INDEX(מלאי!$AC$2:$500,$K194))</f>
        <v/>
      </c>
      <c r="K19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174),"")</f>
        <v/>
      </c>
    </row>
    <row r="195">
      <c r="A195" s="2">
        <f>IF($K195="","",INDEX(מלאי!$D$2:$500,$K195))</f>
        <v/>
      </c>
      <c r="B195" s="2">
        <f>IF($K195="","",INDEX(מלאי!$B$2:$500,$K195))</f>
        <v/>
      </c>
      <c r="C195" s="2">
        <f>IF($K195="","",INDEX(מלאי!$C$2:$500,$K195))</f>
        <v/>
      </c>
      <c r="D195" s="2">
        <f>IF($K195="","",INDEX(מלאי!$G$2:$500,$K195))</f>
        <v/>
      </c>
      <c r="E195" s="2">
        <f>IF($K195="","",INDEX(מלאי!$M$2:$500,$K195))</f>
        <v/>
      </c>
      <c r="F195" s="2">
        <f>IF($K195="","",INDEX(מלאי!$N$2:$500,$K195))</f>
        <v/>
      </c>
      <c r="G195" s="2">
        <f>IF($K195="","",INDEX(מלאי!$O$2:$500,$K195))</f>
        <v/>
      </c>
      <c r="H195" s="2">
        <f>IF($K195="","",INDEX(מלאי!$U$2:$500,$K195))</f>
        <v/>
      </c>
      <c r="I195" s="2">
        <f>IF($K195="","",INDEX(מלאי!$X$2:$500,$K195))</f>
        <v/>
      </c>
      <c r="J195" s="2">
        <f>IF($K195="","",INDEX(מלאי!$AC$2:$500,$K195))</f>
        <v/>
      </c>
      <c r="K19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175),"")</f>
        <v/>
      </c>
    </row>
    <row r="196">
      <c r="A196" s="8">
        <f>IF($K196="","",INDEX(מלאי!$D$2:$500,$K196))</f>
        <v/>
      </c>
      <c r="B196" s="8">
        <f>IF($K196="","",INDEX(מלאי!$B$2:$500,$K196))</f>
        <v/>
      </c>
      <c r="C196" s="8">
        <f>IF($K196="","",INDEX(מלאי!$C$2:$500,$K196))</f>
        <v/>
      </c>
      <c r="D196" s="8">
        <f>IF($K196="","",INDEX(מלאי!$G$2:$500,$K196))</f>
        <v/>
      </c>
      <c r="E196" s="8">
        <f>IF($K196="","",INDEX(מלאי!$M$2:$500,$K196))</f>
        <v/>
      </c>
      <c r="F196" s="8">
        <f>IF($K196="","",INDEX(מלאי!$N$2:$500,$K196))</f>
        <v/>
      </c>
      <c r="G196" s="8">
        <f>IF($K196="","",INDEX(מלאי!$O$2:$500,$K196))</f>
        <v/>
      </c>
      <c r="H196" s="8">
        <f>IF($K196="","",INDEX(מלאי!$U$2:$500,$K196))</f>
        <v/>
      </c>
      <c r="I196" s="8">
        <f>IF($K196="","",INDEX(מלאי!$X$2:$500,$K196))</f>
        <v/>
      </c>
      <c r="J196" s="8">
        <f>IF($K196="","",INDEX(מלאי!$AC$2:$500,$K196))</f>
        <v/>
      </c>
      <c r="K19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176),"")</f>
        <v/>
      </c>
    </row>
    <row r="197">
      <c r="A197" s="2">
        <f>IF($K197="","",INDEX(מלאי!$D$2:$500,$K197))</f>
        <v/>
      </c>
      <c r="B197" s="2">
        <f>IF($K197="","",INDEX(מלאי!$B$2:$500,$K197))</f>
        <v/>
      </c>
      <c r="C197" s="2">
        <f>IF($K197="","",INDEX(מלאי!$C$2:$500,$K197))</f>
        <v/>
      </c>
      <c r="D197" s="2">
        <f>IF($K197="","",INDEX(מלאי!$G$2:$500,$K197))</f>
        <v/>
      </c>
      <c r="E197" s="2">
        <f>IF($K197="","",INDEX(מלאי!$M$2:$500,$K197))</f>
        <v/>
      </c>
      <c r="F197" s="2">
        <f>IF($K197="","",INDEX(מלאי!$N$2:$500,$K197))</f>
        <v/>
      </c>
      <c r="G197" s="2">
        <f>IF($K197="","",INDEX(מלאי!$O$2:$500,$K197))</f>
        <v/>
      </c>
      <c r="H197" s="2">
        <f>IF($K197="","",INDEX(מלאי!$U$2:$500,$K197))</f>
        <v/>
      </c>
      <c r="I197" s="2">
        <f>IF($K197="","",INDEX(מלאי!$X$2:$500,$K197))</f>
        <v/>
      </c>
      <c r="J197" s="2">
        <f>IF($K197="","",INDEX(מלאי!$AC$2:$500,$K197))</f>
        <v/>
      </c>
      <c r="K19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177),"")</f>
        <v/>
      </c>
    </row>
    <row r="198">
      <c r="A198" s="8">
        <f>IF($K198="","",INDEX(מלאי!$D$2:$500,$K198))</f>
        <v/>
      </c>
      <c r="B198" s="8">
        <f>IF($K198="","",INDEX(מלאי!$B$2:$500,$K198))</f>
        <v/>
      </c>
      <c r="C198" s="8">
        <f>IF($K198="","",INDEX(מלאי!$C$2:$500,$K198))</f>
        <v/>
      </c>
      <c r="D198" s="8">
        <f>IF($K198="","",INDEX(מלאי!$G$2:$500,$K198))</f>
        <v/>
      </c>
      <c r="E198" s="8">
        <f>IF($K198="","",INDEX(מלאי!$M$2:$500,$K198))</f>
        <v/>
      </c>
      <c r="F198" s="8">
        <f>IF($K198="","",INDEX(מלאי!$N$2:$500,$K198))</f>
        <v/>
      </c>
      <c r="G198" s="8">
        <f>IF($K198="","",INDEX(מלאי!$O$2:$500,$K198))</f>
        <v/>
      </c>
      <c r="H198" s="8">
        <f>IF($K198="","",INDEX(מלאי!$U$2:$500,$K198))</f>
        <v/>
      </c>
      <c r="I198" s="8">
        <f>IF($K198="","",INDEX(מלאי!$X$2:$500,$K198))</f>
        <v/>
      </c>
      <c r="J198" s="8">
        <f>IF($K198="","",INDEX(מלאי!$AC$2:$500,$K198))</f>
        <v/>
      </c>
      <c r="K19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178),"")</f>
        <v/>
      </c>
    </row>
    <row r="199">
      <c r="A199" s="2">
        <f>IF($K199="","",INDEX(מלאי!$D$2:$500,$K199))</f>
        <v/>
      </c>
      <c r="B199" s="2">
        <f>IF($K199="","",INDEX(מלאי!$B$2:$500,$K199))</f>
        <v/>
      </c>
      <c r="C199" s="2">
        <f>IF($K199="","",INDEX(מלאי!$C$2:$500,$K199))</f>
        <v/>
      </c>
      <c r="D199" s="2">
        <f>IF($K199="","",INDEX(מלאי!$G$2:$500,$K199))</f>
        <v/>
      </c>
      <c r="E199" s="2">
        <f>IF($K199="","",INDEX(מלאי!$M$2:$500,$K199))</f>
        <v/>
      </c>
      <c r="F199" s="2">
        <f>IF($K199="","",INDEX(מלאי!$N$2:$500,$K199))</f>
        <v/>
      </c>
      <c r="G199" s="2">
        <f>IF($K199="","",INDEX(מלאי!$O$2:$500,$K199))</f>
        <v/>
      </c>
      <c r="H199" s="2">
        <f>IF($K199="","",INDEX(מלאי!$U$2:$500,$K199))</f>
        <v/>
      </c>
      <c r="I199" s="2">
        <f>IF($K199="","",INDEX(מלאי!$X$2:$500,$K199))</f>
        <v/>
      </c>
      <c r="J199" s="2">
        <f>IF($K199="","",INDEX(מלאי!$AC$2:$500,$K199))</f>
        <v/>
      </c>
      <c r="K19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179),"")</f>
        <v/>
      </c>
    </row>
    <row r="200">
      <c r="A200" s="8">
        <f>IF($K200="","",INDEX(מלאי!$D$2:$500,$K200))</f>
        <v/>
      </c>
      <c r="B200" s="8">
        <f>IF($K200="","",INDEX(מלאי!$B$2:$500,$K200))</f>
        <v/>
      </c>
      <c r="C200" s="8">
        <f>IF($K200="","",INDEX(מלאי!$C$2:$500,$K200))</f>
        <v/>
      </c>
      <c r="D200" s="8">
        <f>IF($K200="","",INDEX(מלאי!$G$2:$500,$K200))</f>
        <v/>
      </c>
      <c r="E200" s="8">
        <f>IF($K200="","",INDEX(מלאי!$M$2:$500,$K200))</f>
        <v/>
      </c>
      <c r="F200" s="8">
        <f>IF($K200="","",INDEX(מלאי!$N$2:$500,$K200))</f>
        <v/>
      </c>
      <c r="G200" s="8">
        <f>IF($K200="","",INDEX(מלאי!$O$2:$500,$K200))</f>
        <v/>
      </c>
      <c r="H200" s="8">
        <f>IF($K200="","",INDEX(מלאי!$U$2:$500,$K200))</f>
        <v/>
      </c>
      <c r="I200" s="8">
        <f>IF($K200="","",INDEX(מלאי!$X$2:$500,$K200))</f>
        <v/>
      </c>
      <c r="J200" s="8">
        <f>IF($K200="","",INDEX(מלאי!$AC$2:$500,$K200))</f>
        <v/>
      </c>
      <c r="K20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180),"")</f>
        <v/>
      </c>
    </row>
    <row r="201">
      <c r="A201" s="2">
        <f>IF($K201="","",INDEX(מלאי!$D$2:$500,$K201))</f>
        <v/>
      </c>
      <c r="B201" s="2">
        <f>IF($K201="","",INDEX(מלאי!$B$2:$500,$K201))</f>
        <v/>
      </c>
      <c r="C201" s="2">
        <f>IF($K201="","",INDEX(מלאי!$C$2:$500,$K201))</f>
        <v/>
      </c>
      <c r="D201" s="2">
        <f>IF($K201="","",INDEX(מלאי!$G$2:$500,$K201))</f>
        <v/>
      </c>
      <c r="E201" s="2">
        <f>IF($K201="","",INDEX(מלאי!$M$2:$500,$K201))</f>
        <v/>
      </c>
      <c r="F201" s="2">
        <f>IF($K201="","",INDEX(מלאי!$N$2:$500,$K201))</f>
        <v/>
      </c>
      <c r="G201" s="2">
        <f>IF($K201="","",INDEX(מלאי!$O$2:$500,$K201))</f>
        <v/>
      </c>
      <c r="H201" s="2">
        <f>IF($K201="","",INDEX(מלאי!$U$2:$500,$K201))</f>
        <v/>
      </c>
      <c r="I201" s="2">
        <f>IF($K201="","",INDEX(מלאי!$X$2:$500,$K201))</f>
        <v/>
      </c>
      <c r="J201" s="2">
        <f>IF($K201="","",INDEX(מלאי!$AC$2:$500,$K201))</f>
        <v/>
      </c>
      <c r="K20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181),"")</f>
        <v/>
      </c>
    </row>
    <row r="202">
      <c r="A202" s="8">
        <f>IF($K202="","",INDEX(מלאי!$D$2:$500,$K202))</f>
        <v/>
      </c>
      <c r="B202" s="8">
        <f>IF($K202="","",INDEX(מלאי!$B$2:$500,$K202))</f>
        <v/>
      </c>
      <c r="C202" s="8">
        <f>IF($K202="","",INDEX(מלאי!$C$2:$500,$K202))</f>
        <v/>
      </c>
      <c r="D202" s="8">
        <f>IF($K202="","",INDEX(מלאי!$G$2:$500,$K202))</f>
        <v/>
      </c>
      <c r="E202" s="8">
        <f>IF($K202="","",INDEX(מלאי!$M$2:$500,$K202))</f>
        <v/>
      </c>
      <c r="F202" s="8">
        <f>IF($K202="","",INDEX(מלאי!$N$2:$500,$K202))</f>
        <v/>
      </c>
      <c r="G202" s="8">
        <f>IF($K202="","",INDEX(מלאי!$O$2:$500,$K202))</f>
        <v/>
      </c>
      <c r="H202" s="8">
        <f>IF($K202="","",INDEX(מלאי!$U$2:$500,$K202))</f>
        <v/>
      </c>
      <c r="I202" s="8">
        <f>IF($K202="","",INDEX(מלאי!$X$2:$500,$K202))</f>
        <v/>
      </c>
      <c r="J202" s="8">
        <f>IF($K202="","",INDEX(מלאי!$AC$2:$500,$K202))</f>
        <v/>
      </c>
      <c r="K20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182),"")</f>
        <v/>
      </c>
    </row>
    <row r="203">
      <c r="A203" s="2">
        <f>IF($K203="","",INDEX(מלאי!$D$2:$500,$K203))</f>
        <v/>
      </c>
      <c r="B203" s="2">
        <f>IF($K203="","",INDEX(מלאי!$B$2:$500,$K203))</f>
        <v/>
      </c>
      <c r="C203" s="2">
        <f>IF($K203="","",INDEX(מלאי!$C$2:$500,$K203))</f>
        <v/>
      </c>
      <c r="D203" s="2">
        <f>IF($K203="","",INDEX(מלאי!$G$2:$500,$K203))</f>
        <v/>
      </c>
      <c r="E203" s="2">
        <f>IF($K203="","",INDEX(מלאי!$M$2:$500,$K203))</f>
        <v/>
      </c>
      <c r="F203" s="2">
        <f>IF($K203="","",INDEX(מלאי!$N$2:$500,$K203))</f>
        <v/>
      </c>
      <c r="G203" s="2">
        <f>IF($K203="","",INDEX(מלאי!$O$2:$500,$K203))</f>
        <v/>
      </c>
      <c r="H203" s="2">
        <f>IF($K203="","",INDEX(מלאי!$U$2:$500,$K203))</f>
        <v/>
      </c>
      <c r="I203" s="2">
        <f>IF($K203="","",INDEX(מלאי!$X$2:$500,$K203))</f>
        <v/>
      </c>
      <c r="J203" s="2">
        <f>IF($K203="","",INDEX(מלאי!$AC$2:$500,$K203))</f>
        <v/>
      </c>
      <c r="K20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183),"")</f>
        <v/>
      </c>
    </row>
    <row r="204">
      <c r="A204" s="8">
        <f>IF($K204="","",INDEX(מלאי!$D$2:$500,$K204))</f>
        <v/>
      </c>
      <c r="B204" s="8">
        <f>IF($K204="","",INDEX(מלאי!$B$2:$500,$K204))</f>
        <v/>
      </c>
      <c r="C204" s="8">
        <f>IF($K204="","",INDEX(מלאי!$C$2:$500,$K204))</f>
        <v/>
      </c>
      <c r="D204" s="8">
        <f>IF($K204="","",INDEX(מלאי!$G$2:$500,$K204))</f>
        <v/>
      </c>
      <c r="E204" s="8">
        <f>IF($K204="","",INDEX(מלאי!$M$2:$500,$K204))</f>
        <v/>
      </c>
      <c r="F204" s="8">
        <f>IF($K204="","",INDEX(מלאי!$N$2:$500,$K204))</f>
        <v/>
      </c>
      <c r="G204" s="8">
        <f>IF($K204="","",INDEX(מלאי!$O$2:$500,$K204))</f>
        <v/>
      </c>
      <c r="H204" s="8">
        <f>IF($K204="","",INDEX(מלאי!$U$2:$500,$K204))</f>
        <v/>
      </c>
      <c r="I204" s="8">
        <f>IF($K204="","",INDEX(מלאי!$X$2:$500,$K204))</f>
        <v/>
      </c>
      <c r="J204" s="8">
        <f>IF($K204="","",INDEX(מלאי!$AC$2:$500,$K204))</f>
        <v/>
      </c>
      <c r="K20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184),"")</f>
        <v/>
      </c>
    </row>
    <row r="205">
      <c r="A205" s="2">
        <f>IF($K205="","",INDEX(מלאי!$D$2:$500,$K205))</f>
        <v/>
      </c>
      <c r="B205" s="2">
        <f>IF($K205="","",INDEX(מלאי!$B$2:$500,$K205))</f>
        <v/>
      </c>
      <c r="C205" s="2">
        <f>IF($K205="","",INDEX(מלאי!$C$2:$500,$K205))</f>
        <v/>
      </c>
      <c r="D205" s="2">
        <f>IF($K205="","",INDEX(מלאי!$G$2:$500,$K205))</f>
        <v/>
      </c>
      <c r="E205" s="2">
        <f>IF($K205="","",INDEX(מלאי!$M$2:$500,$K205))</f>
        <v/>
      </c>
      <c r="F205" s="2">
        <f>IF($K205="","",INDEX(מלאי!$N$2:$500,$K205))</f>
        <v/>
      </c>
      <c r="G205" s="2">
        <f>IF($K205="","",INDEX(מלאי!$O$2:$500,$K205))</f>
        <v/>
      </c>
      <c r="H205" s="2">
        <f>IF($K205="","",INDEX(מלאי!$U$2:$500,$K205))</f>
        <v/>
      </c>
      <c r="I205" s="2">
        <f>IF($K205="","",INDEX(מלאי!$X$2:$500,$K205))</f>
        <v/>
      </c>
      <c r="J205" s="2">
        <f>IF($K205="","",INDEX(מלאי!$AC$2:$500,$K205))</f>
        <v/>
      </c>
      <c r="K20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185),"")</f>
        <v/>
      </c>
    </row>
    <row r="206">
      <c r="A206" s="8">
        <f>IF($K206="","",INDEX(מלאי!$D$2:$500,$K206))</f>
        <v/>
      </c>
      <c r="B206" s="8">
        <f>IF($K206="","",INDEX(מלאי!$B$2:$500,$K206))</f>
        <v/>
      </c>
      <c r="C206" s="8">
        <f>IF($K206="","",INDEX(מלאי!$C$2:$500,$K206))</f>
        <v/>
      </c>
      <c r="D206" s="8">
        <f>IF($K206="","",INDEX(מלאי!$G$2:$500,$K206))</f>
        <v/>
      </c>
      <c r="E206" s="8">
        <f>IF($K206="","",INDEX(מלאי!$M$2:$500,$K206))</f>
        <v/>
      </c>
      <c r="F206" s="8">
        <f>IF($K206="","",INDEX(מלאי!$N$2:$500,$K206))</f>
        <v/>
      </c>
      <c r="G206" s="8">
        <f>IF($K206="","",INDEX(מלאי!$O$2:$500,$K206))</f>
        <v/>
      </c>
      <c r="H206" s="8">
        <f>IF($K206="","",INDEX(מלאי!$U$2:$500,$K206))</f>
        <v/>
      </c>
      <c r="I206" s="8">
        <f>IF($K206="","",INDEX(מלאי!$X$2:$500,$K206))</f>
        <v/>
      </c>
      <c r="J206" s="8">
        <f>IF($K206="","",INDEX(מלאי!$AC$2:$500,$K206))</f>
        <v/>
      </c>
      <c r="K20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186),"")</f>
        <v/>
      </c>
    </row>
    <row r="207">
      <c r="A207" s="2">
        <f>IF($K207="","",INDEX(מלאי!$D$2:$500,$K207))</f>
        <v/>
      </c>
      <c r="B207" s="2">
        <f>IF($K207="","",INDEX(מלאי!$B$2:$500,$K207))</f>
        <v/>
      </c>
      <c r="C207" s="2">
        <f>IF($K207="","",INDEX(מלאי!$C$2:$500,$K207))</f>
        <v/>
      </c>
      <c r="D207" s="2">
        <f>IF($K207="","",INDEX(מלאי!$G$2:$500,$K207))</f>
        <v/>
      </c>
      <c r="E207" s="2">
        <f>IF($K207="","",INDEX(מלאי!$M$2:$500,$K207))</f>
        <v/>
      </c>
      <c r="F207" s="2">
        <f>IF($K207="","",INDEX(מלאי!$N$2:$500,$K207))</f>
        <v/>
      </c>
      <c r="G207" s="2">
        <f>IF($K207="","",INDEX(מלאי!$O$2:$500,$K207))</f>
        <v/>
      </c>
      <c r="H207" s="2">
        <f>IF($K207="","",INDEX(מלאי!$U$2:$500,$K207))</f>
        <v/>
      </c>
      <c r="I207" s="2">
        <f>IF($K207="","",INDEX(מלאי!$X$2:$500,$K207))</f>
        <v/>
      </c>
      <c r="J207" s="2">
        <f>IF($K207="","",INDEX(מלאי!$AC$2:$500,$K207))</f>
        <v/>
      </c>
      <c r="K20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187),"")</f>
        <v/>
      </c>
    </row>
    <row r="208">
      <c r="A208" s="8">
        <f>IF($K208="","",INDEX(מלאי!$D$2:$500,$K208))</f>
        <v/>
      </c>
      <c r="B208" s="8">
        <f>IF($K208="","",INDEX(מלאי!$B$2:$500,$K208))</f>
        <v/>
      </c>
      <c r="C208" s="8">
        <f>IF($K208="","",INDEX(מלאי!$C$2:$500,$K208))</f>
        <v/>
      </c>
      <c r="D208" s="8">
        <f>IF($K208="","",INDEX(מלאי!$G$2:$500,$K208))</f>
        <v/>
      </c>
      <c r="E208" s="8">
        <f>IF($K208="","",INDEX(מלאי!$M$2:$500,$K208))</f>
        <v/>
      </c>
      <c r="F208" s="8">
        <f>IF($K208="","",INDEX(מלאי!$N$2:$500,$K208))</f>
        <v/>
      </c>
      <c r="G208" s="8">
        <f>IF($K208="","",INDEX(מלאי!$O$2:$500,$K208))</f>
        <v/>
      </c>
      <c r="H208" s="8">
        <f>IF($K208="","",INDEX(מלאי!$U$2:$500,$K208))</f>
        <v/>
      </c>
      <c r="I208" s="8">
        <f>IF($K208="","",INDEX(מלאי!$X$2:$500,$K208))</f>
        <v/>
      </c>
      <c r="J208" s="8">
        <f>IF($K208="","",INDEX(מלאי!$AC$2:$500,$K208))</f>
        <v/>
      </c>
      <c r="K20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188),"")</f>
        <v/>
      </c>
    </row>
    <row r="209">
      <c r="A209" s="2">
        <f>IF($K209="","",INDEX(מלאי!$D$2:$500,$K209))</f>
        <v/>
      </c>
      <c r="B209" s="2">
        <f>IF($K209="","",INDEX(מלאי!$B$2:$500,$K209))</f>
        <v/>
      </c>
      <c r="C209" s="2">
        <f>IF($K209="","",INDEX(מלאי!$C$2:$500,$K209))</f>
        <v/>
      </c>
      <c r="D209" s="2">
        <f>IF($K209="","",INDEX(מלאי!$G$2:$500,$K209))</f>
        <v/>
      </c>
      <c r="E209" s="2">
        <f>IF($K209="","",INDEX(מלאי!$M$2:$500,$K209))</f>
        <v/>
      </c>
      <c r="F209" s="2">
        <f>IF($K209="","",INDEX(מלאי!$N$2:$500,$K209))</f>
        <v/>
      </c>
      <c r="G209" s="2">
        <f>IF($K209="","",INDEX(מלאי!$O$2:$500,$K209))</f>
        <v/>
      </c>
      <c r="H209" s="2">
        <f>IF($K209="","",INDEX(מלאי!$U$2:$500,$K209))</f>
        <v/>
      </c>
      <c r="I209" s="2">
        <f>IF($K209="","",INDEX(מלאי!$X$2:$500,$K209))</f>
        <v/>
      </c>
      <c r="J209" s="2">
        <f>IF($K209="","",INDEX(מלאי!$AC$2:$500,$K209))</f>
        <v/>
      </c>
      <c r="K20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189),"")</f>
        <v/>
      </c>
    </row>
    <row r="210">
      <c r="A210" s="8">
        <f>IF($K210="","",INDEX(מלאי!$D$2:$500,$K210))</f>
        <v/>
      </c>
      <c r="B210" s="8">
        <f>IF($K210="","",INDEX(מלאי!$B$2:$500,$K210))</f>
        <v/>
      </c>
      <c r="C210" s="8">
        <f>IF($K210="","",INDEX(מלאי!$C$2:$500,$K210))</f>
        <v/>
      </c>
      <c r="D210" s="8">
        <f>IF($K210="","",INDEX(מלאי!$G$2:$500,$K210))</f>
        <v/>
      </c>
      <c r="E210" s="8">
        <f>IF($K210="","",INDEX(מלאי!$M$2:$500,$K210))</f>
        <v/>
      </c>
      <c r="F210" s="8">
        <f>IF($K210="","",INDEX(מלאי!$N$2:$500,$K210))</f>
        <v/>
      </c>
      <c r="G210" s="8">
        <f>IF($K210="","",INDEX(מלאי!$O$2:$500,$K210))</f>
        <v/>
      </c>
      <c r="H210" s="8">
        <f>IF($K210="","",INDEX(מלאי!$U$2:$500,$K210))</f>
        <v/>
      </c>
      <c r="I210" s="8">
        <f>IF($K210="","",INDEX(מלאי!$X$2:$500,$K210))</f>
        <v/>
      </c>
      <c r="J210" s="8">
        <f>IF($K210="","",INDEX(מלאי!$AC$2:$500,$K210))</f>
        <v/>
      </c>
      <c r="K21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190),"")</f>
        <v/>
      </c>
    </row>
    <row r="211">
      <c r="A211" s="2">
        <f>IF($K211="","",INDEX(מלאי!$D$2:$500,$K211))</f>
        <v/>
      </c>
      <c r="B211" s="2">
        <f>IF($K211="","",INDEX(מלאי!$B$2:$500,$K211))</f>
        <v/>
      </c>
      <c r="C211" s="2">
        <f>IF($K211="","",INDEX(מלאי!$C$2:$500,$K211))</f>
        <v/>
      </c>
      <c r="D211" s="2">
        <f>IF($K211="","",INDEX(מלאי!$G$2:$500,$K211))</f>
        <v/>
      </c>
      <c r="E211" s="2">
        <f>IF($K211="","",INDEX(מלאי!$M$2:$500,$K211))</f>
        <v/>
      </c>
      <c r="F211" s="2">
        <f>IF($K211="","",INDEX(מלאי!$N$2:$500,$K211))</f>
        <v/>
      </c>
      <c r="G211" s="2">
        <f>IF($K211="","",INDEX(מלאי!$O$2:$500,$K211))</f>
        <v/>
      </c>
      <c r="H211" s="2">
        <f>IF($K211="","",INDEX(מלאי!$U$2:$500,$K211))</f>
        <v/>
      </c>
      <c r="I211" s="2">
        <f>IF($K211="","",INDEX(מלאי!$X$2:$500,$K211))</f>
        <v/>
      </c>
      <c r="J211" s="2">
        <f>IF($K211="","",INDEX(מלאי!$AC$2:$500,$K211))</f>
        <v/>
      </c>
      <c r="K21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191),"")</f>
        <v/>
      </c>
    </row>
    <row r="212">
      <c r="A212" s="8">
        <f>IF($K212="","",INDEX(מלאי!$D$2:$500,$K212))</f>
        <v/>
      </c>
      <c r="B212" s="8">
        <f>IF($K212="","",INDEX(מלאי!$B$2:$500,$K212))</f>
        <v/>
      </c>
      <c r="C212" s="8">
        <f>IF($K212="","",INDEX(מלאי!$C$2:$500,$K212))</f>
        <v/>
      </c>
      <c r="D212" s="8">
        <f>IF($K212="","",INDEX(מלאי!$G$2:$500,$K212))</f>
        <v/>
      </c>
      <c r="E212" s="8">
        <f>IF($K212="","",INDEX(מלאי!$M$2:$500,$K212))</f>
        <v/>
      </c>
      <c r="F212" s="8">
        <f>IF($K212="","",INDEX(מלאי!$N$2:$500,$K212))</f>
        <v/>
      </c>
      <c r="G212" s="8">
        <f>IF($K212="","",INDEX(מלאי!$O$2:$500,$K212))</f>
        <v/>
      </c>
      <c r="H212" s="8">
        <f>IF($K212="","",INDEX(מלאי!$U$2:$500,$K212))</f>
        <v/>
      </c>
      <c r="I212" s="8">
        <f>IF($K212="","",INDEX(מלאי!$X$2:$500,$K212))</f>
        <v/>
      </c>
      <c r="J212" s="8">
        <f>IF($K212="","",INDEX(מלאי!$AC$2:$500,$K212))</f>
        <v/>
      </c>
      <c r="K21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192),"")</f>
        <v/>
      </c>
    </row>
    <row r="213">
      <c r="A213" s="2">
        <f>IF($K213="","",INDEX(מלאי!$D$2:$500,$K213))</f>
        <v/>
      </c>
      <c r="B213" s="2">
        <f>IF($K213="","",INDEX(מלאי!$B$2:$500,$K213))</f>
        <v/>
      </c>
      <c r="C213" s="2">
        <f>IF($K213="","",INDEX(מלאי!$C$2:$500,$K213))</f>
        <v/>
      </c>
      <c r="D213" s="2">
        <f>IF($K213="","",INDEX(מלאי!$G$2:$500,$K213))</f>
        <v/>
      </c>
      <c r="E213" s="2">
        <f>IF($K213="","",INDEX(מלאי!$M$2:$500,$K213))</f>
        <v/>
      </c>
      <c r="F213" s="2">
        <f>IF($K213="","",INDEX(מלאי!$N$2:$500,$K213))</f>
        <v/>
      </c>
      <c r="G213" s="2">
        <f>IF($K213="","",INDEX(מלאי!$O$2:$500,$K213))</f>
        <v/>
      </c>
      <c r="H213" s="2">
        <f>IF($K213="","",INDEX(מלאי!$U$2:$500,$K213))</f>
        <v/>
      </c>
      <c r="I213" s="2">
        <f>IF($K213="","",INDEX(מלאי!$X$2:$500,$K213))</f>
        <v/>
      </c>
      <c r="J213" s="2">
        <f>IF($K213="","",INDEX(מלאי!$AC$2:$500,$K213))</f>
        <v/>
      </c>
      <c r="K21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193),"")</f>
        <v/>
      </c>
    </row>
    <row r="214">
      <c r="A214" s="8">
        <f>IF($K214="","",INDEX(מלאי!$D$2:$500,$K214))</f>
        <v/>
      </c>
      <c r="B214" s="8">
        <f>IF($K214="","",INDEX(מלאי!$B$2:$500,$K214))</f>
        <v/>
      </c>
      <c r="C214" s="8">
        <f>IF($K214="","",INDEX(מלאי!$C$2:$500,$K214))</f>
        <v/>
      </c>
      <c r="D214" s="8">
        <f>IF($K214="","",INDEX(מלאי!$G$2:$500,$K214))</f>
        <v/>
      </c>
      <c r="E214" s="8">
        <f>IF($K214="","",INDEX(מלאי!$M$2:$500,$K214))</f>
        <v/>
      </c>
      <c r="F214" s="8">
        <f>IF($K214="","",INDEX(מלאי!$N$2:$500,$K214))</f>
        <v/>
      </c>
      <c r="G214" s="8">
        <f>IF($K214="","",INDEX(מלאי!$O$2:$500,$K214))</f>
        <v/>
      </c>
      <c r="H214" s="8">
        <f>IF($K214="","",INDEX(מלאי!$U$2:$500,$K214))</f>
        <v/>
      </c>
      <c r="I214" s="8">
        <f>IF($K214="","",INDEX(מלאי!$X$2:$500,$K214))</f>
        <v/>
      </c>
      <c r="J214" s="8">
        <f>IF($K214="","",INDEX(מלאי!$AC$2:$500,$K214))</f>
        <v/>
      </c>
      <c r="K21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194),"")</f>
        <v/>
      </c>
    </row>
    <row r="215">
      <c r="A215" s="2">
        <f>IF($K215="","",INDEX(מלאי!$D$2:$500,$K215))</f>
        <v/>
      </c>
      <c r="B215" s="2">
        <f>IF($K215="","",INDEX(מלאי!$B$2:$500,$K215))</f>
        <v/>
      </c>
      <c r="C215" s="2">
        <f>IF($K215="","",INDEX(מלאי!$C$2:$500,$K215))</f>
        <v/>
      </c>
      <c r="D215" s="2">
        <f>IF($K215="","",INDEX(מלאי!$G$2:$500,$K215))</f>
        <v/>
      </c>
      <c r="E215" s="2">
        <f>IF($K215="","",INDEX(מלאי!$M$2:$500,$K215))</f>
        <v/>
      </c>
      <c r="F215" s="2">
        <f>IF($K215="","",INDEX(מלאי!$N$2:$500,$K215))</f>
        <v/>
      </c>
      <c r="G215" s="2">
        <f>IF($K215="","",INDEX(מלאי!$O$2:$500,$K215))</f>
        <v/>
      </c>
      <c r="H215" s="2">
        <f>IF($K215="","",INDEX(מלאי!$U$2:$500,$K215))</f>
        <v/>
      </c>
      <c r="I215" s="2">
        <f>IF($K215="","",INDEX(מלאי!$X$2:$500,$K215))</f>
        <v/>
      </c>
      <c r="J215" s="2">
        <f>IF($K215="","",INDEX(מלאי!$AC$2:$500,$K215))</f>
        <v/>
      </c>
      <c r="K21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195),"")</f>
        <v/>
      </c>
    </row>
    <row r="216">
      <c r="A216" s="8">
        <f>IF($K216="","",INDEX(מלאי!$D$2:$500,$K216))</f>
        <v/>
      </c>
      <c r="B216" s="8">
        <f>IF($K216="","",INDEX(מלאי!$B$2:$500,$K216))</f>
        <v/>
      </c>
      <c r="C216" s="8">
        <f>IF($K216="","",INDEX(מלאי!$C$2:$500,$K216))</f>
        <v/>
      </c>
      <c r="D216" s="8">
        <f>IF($K216="","",INDEX(מלאי!$G$2:$500,$K216))</f>
        <v/>
      </c>
      <c r="E216" s="8">
        <f>IF($K216="","",INDEX(מלאי!$M$2:$500,$K216))</f>
        <v/>
      </c>
      <c r="F216" s="8">
        <f>IF($K216="","",INDEX(מלאי!$N$2:$500,$K216))</f>
        <v/>
      </c>
      <c r="G216" s="8">
        <f>IF($K216="","",INDEX(מלאי!$O$2:$500,$K216))</f>
        <v/>
      </c>
      <c r="H216" s="8">
        <f>IF($K216="","",INDEX(מלאי!$U$2:$500,$K216))</f>
        <v/>
      </c>
      <c r="I216" s="8">
        <f>IF($K216="","",INDEX(מלאי!$X$2:$500,$K216))</f>
        <v/>
      </c>
      <c r="J216" s="8">
        <f>IF($K216="","",INDEX(מלאי!$AC$2:$500,$K216))</f>
        <v/>
      </c>
      <c r="K21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196),"")</f>
        <v/>
      </c>
    </row>
    <row r="217">
      <c r="A217" s="2">
        <f>IF($K217="","",INDEX(מלאי!$D$2:$500,$K217))</f>
        <v/>
      </c>
      <c r="B217" s="2">
        <f>IF($K217="","",INDEX(מלאי!$B$2:$500,$K217))</f>
        <v/>
      </c>
      <c r="C217" s="2">
        <f>IF($K217="","",INDEX(מלאי!$C$2:$500,$K217))</f>
        <v/>
      </c>
      <c r="D217" s="2">
        <f>IF($K217="","",INDEX(מלאי!$G$2:$500,$K217))</f>
        <v/>
      </c>
      <c r="E217" s="2">
        <f>IF($K217="","",INDEX(מלאי!$M$2:$500,$K217))</f>
        <v/>
      </c>
      <c r="F217" s="2">
        <f>IF($K217="","",INDEX(מלאי!$N$2:$500,$K217))</f>
        <v/>
      </c>
      <c r="G217" s="2">
        <f>IF($K217="","",INDEX(מלאי!$O$2:$500,$K217))</f>
        <v/>
      </c>
      <c r="H217" s="2">
        <f>IF($K217="","",INDEX(מלאי!$U$2:$500,$K217))</f>
        <v/>
      </c>
      <c r="I217" s="2">
        <f>IF($K217="","",INDEX(מלאי!$X$2:$500,$K217))</f>
        <v/>
      </c>
      <c r="J217" s="2">
        <f>IF($K217="","",INDEX(מלאי!$AC$2:$500,$K217))</f>
        <v/>
      </c>
      <c r="K21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197),"")</f>
        <v/>
      </c>
    </row>
    <row r="218">
      <c r="A218" s="8">
        <f>IF($K218="","",INDEX(מלאי!$D$2:$500,$K218))</f>
        <v/>
      </c>
      <c r="B218" s="8">
        <f>IF($K218="","",INDEX(מלאי!$B$2:$500,$K218))</f>
        <v/>
      </c>
      <c r="C218" s="8">
        <f>IF($K218="","",INDEX(מלאי!$C$2:$500,$K218))</f>
        <v/>
      </c>
      <c r="D218" s="8">
        <f>IF($K218="","",INDEX(מלאי!$G$2:$500,$K218))</f>
        <v/>
      </c>
      <c r="E218" s="8">
        <f>IF($K218="","",INDEX(מלאי!$M$2:$500,$K218))</f>
        <v/>
      </c>
      <c r="F218" s="8">
        <f>IF($K218="","",INDEX(מלאי!$N$2:$500,$K218))</f>
        <v/>
      </c>
      <c r="G218" s="8">
        <f>IF($K218="","",INDEX(מלאי!$O$2:$500,$K218))</f>
        <v/>
      </c>
      <c r="H218" s="8">
        <f>IF($K218="","",INDEX(מלאי!$U$2:$500,$K218))</f>
        <v/>
      </c>
      <c r="I218" s="8">
        <f>IF($K218="","",INDEX(מלאי!$X$2:$500,$K218))</f>
        <v/>
      </c>
      <c r="J218" s="8">
        <f>IF($K218="","",INDEX(מלאי!$AC$2:$500,$K218))</f>
        <v/>
      </c>
      <c r="K21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198),"")</f>
        <v/>
      </c>
    </row>
    <row r="219">
      <c r="A219" s="2">
        <f>IF($K219="","",INDEX(מלאי!$D$2:$500,$K219))</f>
        <v/>
      </c>
      <c r="B219" s="2">
        <f>IF($K219="","",INDEX(מלאי!$B$2:$500,$K219))</f>
        <v/>
      </c>
      <c r="C219" s="2">
        <f>IF($K219="","",INDEX(מלאי!$C$2:$500,$K219))</f>
        <v/>
      </c>
      <c r="D219" s="2">
        <f>IF($K219="","",INDEX(מלאי!$G$2:$500,$K219))</f>
        <v/>
      </c>
      <c r="E219" s="2">
        <f>IF($K219="","",INDEX(מלאי!$M$2:$500,$K219))</f>
        <v/>
      </c>
      <c r="F219" s="2">
        <f>IF($K219="","",INDEX(מלאי!$N$2:$500,$K219))</f>
        <v/>
      </c>
      <c r="G219" s="2">
        <f>IF($K219="","",INDEX(מלאי!$O$2:$500,$K219))</f>
        <v/>
      </c>
      <c r="H219" s="2">
        <f>IF($K219="","",INDEX(מלאי!$U$2:$500,$K219))</f>
        <v/>
      </c>
      <c r="I219" s="2">
        <f>IF($K219="","",INDEX(מלאי!$X$2:$500,$K219))</f>
        <v/>
      </c>
      <c r="J219" s="2">
        <f>IF($K219="","",INDEX(מלאי!$AC$2:$500,$K219))</f>
        <v/>
      </c>
      <c r="K21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199),"")</f>
        <v/>
      </c>
    </row>
    <row r="220">
      <c r="A220" s="8">
        <f>IF($K220="","",INDEX(מלאי!$D$2:$500,$K220))</f>
        <v/>
      </c>
      <c r="B220" s="8">
        <f>IF($K220="","",INDEX(מלאי!$B$2:$500,$K220))</f>
        <v/>
      </c>
      <c r="C220" s="8">
        <f>IF($K220="","",INDEX(מלאי!$C$2:$500,$K220))</f>
        <v/>
      </c>
      <c r="D220" s="8">
        <f>IF($K220="","",INDEX(מלאי!$G$2:$500,$K220))</f>
        <v/>
      </c>
      <c r="E220" s="8">
        <f>IF($K220="","",INDEX(מלאי!$M$2:$500,$K220))</f>
        <v/>
      </c>
      <c r="F220" s="8">
        <f>IF($K220="","",INDEX(מלאי!$N$2:$500,$K220))</f>
        <v/>
      </c>
      <c r="G220" s="8">
        <f>IF($K220="","",INDEX(מלאי!$O$2:$500,$K220))</f>
        <v/>
      </c>
      <c r="H220" s="8">
        <f>IF($K220="","",INDEX(מלאי!$U$2:$500,$K220))</f>
        <v/>
      </c>
      <c r="I220" s="8">
        <f>IF($K220="","",INDEX(מלאי!$X$2:$500,$K220))</f>
        <v/>
      </c>
      <c r="J220" s="8">
        <f>IF($K220="","",INDEX(מלאי!$AC$2:$500,$K220))</f>
        <v/>
      </c>
      <c r="K22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200),"")</f>
        <v/>
      </c>
    </row>
    <row r="221">
      <c r="A221" s="2">
        <f>IF($K221="","",INDEX(מלאי!$D$2:$500,$K221))</f>
        <v/>
      </c>
      <c r="B221" s="2">
        <f>IF($K221="","",INDEX(מלאי!$B$2:$500,$K221))</f>
        <v/>
      </c>
      <c r="C221" s="2">
        <f>IF($K221="","",INDEX(מלאי!$C$2:$500,$K221))</f>
        <v/>
      </c>
      <c r="D221" s="2">
        <f>IF($K221="","",INDEX(מלאי!$G$2:$500,$K221))</f>
        <v/>
      </c>
      <c r="E221" s="2">
        <f>IF($K221="","",INDEX(מלאי!$M$2:$500,$K221))</f>
        <v/>
      </c>
      <c r="F221" s="2">
        <f>IF($K221="","",INDEX(מלאי!$N$2:$500,$K221))</f>
        <v/>
      </c>
      <c r="G221" s="2">
        <f>IF($K221="","",INDEX(מלאי!$O$2:$500,$K221))</f>
        <v/>
      </c>
      <c r="H221" s="2">
        <f>IF($K221="","",INDEX(מלאי!$U$2:$500,$K221))</f>
        <v/>
      </c>
      <c r="I221" s="2">
        <f>IF($K221="","",INDEX(מלאי!$X$2:$500,$K221))</f>
        <v/>
      </c>
      <c r="J221" s="2">
        <f>IF($K221="","",INDEX(מלאי!$AC$2:$500,$K221))</f>
        <v/>
      </c>
      <c r="K22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201),"")</f>
        <v/>
      </c>
    </row>
    <row r="222">
      <c r="A222" s="8">
        <f>IF($K222="","",INDEX(מלאי!$D$2:$500,$K222))</f>
        <v/>
      </c>
      <c r="B222" s="8">
        <f>IF($K222="","",INDEX(מלאי!$B$2:$500,$K222))</f>
        <v/>
      </c>
      <c r="C222" s="8">
        <f>IF($K222="","",INDEX(מלאי!$C$2:$500,$K222))</f>
        <v/>
      </c>
      <c r="D222" s="8">
        <f>IF($K222="","",INDEX(מלאי!$G$2:$500,$K222))</f>
        <v/>
      </c>
      <c r="E222" s="8">
        <f>IF($K222="","",INDEX(מלאי!$M$2:$500,$K222))</f>
        <v/>
      </c>
      <c r="F222" s="8">
        <f>IF($K222="","",INDEX(מלאי!$N$2:$500,$K222))</f>
        <v/>
      </c>
      <c r="G222" s="8">
        <f>IF($K222="","",INDEX(מלאי!$O$2:$500,$K222))</f>
        <v/>
      </c>
      <c r="H222" s="8">
        <f>IF($K222="","",INDEX(מלאי!$U$2:$500,$K222))</f>
        <v/>
      </c>
      <c r="I222" s="8">
        <f>IF($K222="","",INDEX(מלאי!$X$2:$500,$K222))</f>
        <v/>
      </c>
      <c r="J222" s="8">
        <f>IF($K222="","",INDEX(מלאי!$AC$2:$500,$K222))</f>
        <v/>
      </c>
      <c r="K22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202),"")</f>
        <v/>
      </c>
    </row>
    <row r="223">
      <c r="A223" s="2">
        <f>IF($K223="","",INDEX(מלאי!$D$2:$500,$K223))</f>
        <v/>
      </c>
      <c r="B223" s="2">
        <f>IF($K223="","",INDEX(מלאי!$B$2:$500,$K223))</f>
        <v/>
      </c>
      <c r="C223" s="2">
        <f>IF($K223="","",INDEX(מלאי!$C$2:$500,$K223))</f>
        <v/>
      </c>
      <c r="D223" s="2">
        <f>IF($K223="","",INDEX(מלאי!$G$2:$500,$K223))</f>
        <v/>
      </c>
      <c r="E223" s="2">
        <f>IF($K223="","",INDEX(מלאי!$M$2:$500,$K223))</f>
        <v/>
      </c>
      <c r="F223" s="2">
        <f>IF($K223="","",INDEX(מלאי!$N$2:$500,$K223))</f>
        <v/>
      </c>
      <c r="G223" s="2">
        <f>IF($K223="","",INDEX(מלאי!$O$2:$500,$K223))</f>
        <v/>
      </c>
      <c r="H223" s="2">
        <f>IF($K223="","",INDEX(מלאי!$U$2:$500,$K223))</f>
        <v/>
      </c>
      <c r="I223" s="2">
        <f>IF($K223="","",INDEX(מלאי!$X$2:$500,$K223))</f>
        <v/>
      </c>
      <c r="J223" s="2">
        <f>IF($K223="","",INDEX(מלאי!$AC$2:$500,$K223))</f>
        <v/>
      </c>
      <c r="K22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203),"")</f>
        <v/>
      </c>
    </row>
    <row r="224">
      <c r="A224" s="8">
        <f>IF($K224="","",INDEX(מלאי!$D$2:$500,$K224))</f>
        <v/>
      </c>
      <c r="B224" s="8">
        <f>IF($K224="","",INDEX(מלאי!$B$2:$500,$K224))</f>
        <v/>
      </c>
      <c r="C224" s="8">
        <f>IF($K224="","",INDEX(מלאי!$C$2:$500,$K224))</f>
        <v/>
      </c>
      <c r="D224" s="8">
        <f>IF($K224="","",INDEX(מלאי!$G$2:$500,$K224))</f>
        <v/>
      </c>
      <c r="E224" s="8">
        <f>IF($K224="","",INDEX(מלאי!$M$2:$500,$K224))</f>
        <v/>
      </c>
      <c r="F224" s="8">
        <f>IF($K224="","",INDEX(מלאי!$N$2:$500,$K224))</f>
        <v/>
      </c>
      <c r="G224" s="8">
        <f>IF($K224="","",INDEX(מלאי!$O$2:$500,$K224))</f>
        <v/>
      </c>
      <c r="H224" s="8">
        <f>IF($K224="","",INDEX(מלאי!$U$2:$500,$K224))</f>
        <v/>
      </c>
      <c r="I224" s="8">
        <f>IF($K224="","",INDEX(מלאי!$X$2:$500,$K224))</f>
        <v/>
      </c>
      <c r="J224" s="8">
        <f>IF($K224="","",INDEX(מלאי!$AC$2:$500,$K224))</f>
        <v/>
      </c>
      <c r="K22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204),"")</f>
        <v/>
      </c>
    </row>
    <row r="225">
      <c r="A225" s="2">
        <f>IF($K225="","",INDEX(מלאי!$D$2:$500,$K225))</f>
        <v/>
      </c>
      <c r="B225" s="2">
        <f>IF($K225="","",INDEX(מלאי!$B$2:$500,$K225))</f>
        <v/>
      </c>
      <c r="C225" s="2">
        <f>IF($K225="","",INDEX(מלאי!$C$2:$500,$K225))</f>
        <v/>
      </c>
      <c r="D225" s="2">
        <f>IF($K225="","",INDEX(מלאי!$G$2:$500,$K225))</f>
        <v/>
      </c>
      <c r="E225" s="2">
        <f>IF($K225="","",INDEX(מלאי!$M$2:$500,$K225))</f>
        <v/>
      </c>
      <c r="F225" s="2">
        <f>IF($K225="","",INDEX(מלאי!$N$2:$500,$K225))</f>
        <v/>
      </c>
      <c r="G225" s="2">
        <f>IF($K225="","",INDEX(מלאי!$O$2:$500,$K225))</f>
        <v/>
      </c>
      <c r="H225" s="2">
        <f>IF($K225="","",INDEX(מלאי!$U$2:$500,$K225))</f>
        <v/>
      </c>
      <c r="I225" s="2">
        <f>IF($K225="","",INDEX(מלאי!$X$2:$500,$K225))</f>
        <v/>
      </c>
      <c r="J225" s="2">
        <f>IF($K225="","",INDEX(מלאי!$AC$2:$500,$K225))</f>
        <v/>
      </c>
      <c r="K22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205),"")</f>
        <v/>
      </c>
    </row>
    <row r="226">
      <c r="A226" s="8">
        <f>IF($K226="","",INDEX(מלאי!$D$2:$500,$K226))</f>
        <v/>
      </c>
      <c r="B226" s="8">
        <f>IF($K226="","",INDEX(מלאי!$B$2:$500,$K226))</f>
        <v/>
      </c>
      <c r="C226" s="8">
        <f>IF($K226="","",INDEX(מלאי!$C$2:$500,$K226))</f>
        <v/>
      </c>
      <c r="D226" s="8">
        <f>IF($K226="","",INDEX(מלאי!$G$2:$500,$K226))</f>
        <v/>
      </c>
      <c r="E226" s="8">
        <f>IF($K226="","",INDEX(מלאי!$M$2:$500,$K226))</f>
        <v/>
      </c>
      <c r="F226" s="8">
        <f>IF($K226="","",INDEX(מלאי!$N$2:$500,$K226))</f>
        <v/>
      </c>
      <c r="G226" s="8">
        <f>IF($K226="","",INDEX(מלאי!$O$2:$500,$K226))</f>
        <v/>
      </c>
      <c r="H226" s="8">
        <f>IF($K226="","",INDEX(מלאי!$U$2:$500,$K226))</f>
        <v/>
      </c>
      <c r="I226" s="8">
        <f>IF($K226="","",INDEX(מלאי!$X$2:$500,$K226))</f>
        <v/>
      </c>
      <c r="J226" s="8">
        <f>IF($K226="","",INDEX(מלאי!$AC$2:$500,$K226))</f>
        <v/>
      </c>
      <c r="K22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206),"")</f>
        <v/>
      </c>
    </row>
    <row r="227">
      <c r="A227" s="2">
        <f>IF($K227="","",INDEX(מלאי!$D$2:$500,$K227))</f>
        <v/>
      </c>
      <c r="B227" s="2">
        <f>IF($K227="","",INDEX(מלאי!$B$2:$500,$K227))</f>
        <v/>
      </c>
      <c r="C227" s="2">
        <f>IF($K227="","",INDEX(מלאי!$C$2:$500,$K227))</f>
        <v/>
      </c>
      <c r="D227" s="2">
        <f>IF($K227="","",INDEX(מלאי!$G$2:$500,$K227))</f>
        <v/>
      </c>
      <c r="E227" s="2">
        <f>IF($K227="","",INDEX(מלאי!$M$2:$500,$K227))</f>
        <v/>
      </c>
      <c r="F227" s="2">
        <f>IF($K227="","",INDEX(מלאי!$N$2:$500,$K227))</f>
        <v/>
      </c>
      <c r="G227" s="2">
        <f>IF($K227="","",INDEX(מלאי!$O$2:$500,$K227))</f>
        <v/>
      </c>
      <c r="H227" s="2">
        <f>IF($K227="","",INDEX(מלאי!$U$2:$500,$K227))</f>
        <v/>
      </c>
      <c r="I227" s="2">
        <f>IF($K227="","",INDEX(מלאי!$X$2:$500,$K227))</f>
        <v/>
      </c>
      <c r="J227" s="2">
        <f>IF($K227="","",INDEX(מלאי!$AC$2:$500,$K227))</f>
        <v/>
      </c>
      <c r="K22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207),"")</f>
        <v/>
      </c>
    </row>
    <row r="228">
      <c r="A228" s="8">
        <f>IF($K228="","",INDEX(מלאי!$D$2:$500,$K228))</f>
        <v/>
      </c>
      <c r="B228" s="8">
        <f>IF($K228="","",INDEX(מלאי!$B$2:$500,$K228))</f>
        <v/>
      </c>
      <c r="C228" s="8">
        <f>IF($K228="","",INDEX(מלאי!$C$2:$500,$K228))</f>
        <v/>
      </c>
      <c r="D228" s="8">
        <f>IF($K228="","",INDEX(מלאי!$G$2:$500,$K228))</f>
        <v/>
      </c>
      <c r="E228" s="8">
        <f>IF($K228="","",INDEX(מלאי!$M$2:$500,$K228))</f>
        <v/>
      </c>
      <c r="F228" s="8">
        <f>IF($K228="","",INDEX(מלאי!$N$2:$500,$K228))</f>
        <v/>
      </c>
      <c r="G228" s="8">
        <f>IF($K228="","",INDEX(מלאי!$O$2:$500,$K228))</f>
        <v/>
      </c>
      <c r="H228" s="8">
        <f>IF($K228="","",INDEX(מלאי!$U$2:$500,$K228))</f>
        <v/>
      </c>
      <c r="I228" s="8">
        <f>IF($K228="","",INDEX(מלאי!$X$2:$500,$K228))</f>
        <v/>
      </c>
      <c r="J228" s="8">
        <f>IF($K228="","",INDEX(מלאי!$AC$2:$500,$K228))</f>
        <v/>
      </c>
      <c r="K22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208),"")</f>
        <v/>
      </c>
    </row>
    <row r="229">
      <c r="A229" s="2">
        <f>IF($K229="","",INDEX(מלאי!$D$2:$500,$K229))</f>
        <v/>
      </c>
      <c r="B229" s="2">
        <f>IF($K229="","",INDEX(מלאי!$B$2:$500,$K229))</f>
        <v/>
      </c>
      <c r="C229" s="2">
        <f>IF($K229="","",INDEX(מלאי!$C$2:$500,$K229))</f>
        <v/>
      </c>
      <c r="D229" s="2">
        <f>IF($K229="","",INDEX(מלאי!$G$2:$500,$K229))</f>
        <v/>
      </c>
      <c r="E229" s="2">
        <f>IF($K229="","",INDEX(מלאי!$M$2:$500,$K229))</f>
        <v/>
      </c>
      <c r="F229" s="2">
        <f>IF($K229="","",INDEX(מלאי!$N$2:$500,$K229))</f>
        <v/>
      </c>
      <c r="G229" s="2">
        <f>IF($K229="","",INDEX(מלאי!$O$2:$500,$K229))</f>
        <v/>
      </c>
      <c r="H229" s="2">
        <f>IF($K229="","",INDEX(מלאי!$U$2:$500,$K229))</f>
        <v/>
      </c>
      <c r="I229" s="2">
        <f>IF($K229="","",INDEX(מלאי!$X$2:$500,$K229))</f>
        <v/>
      </c>
      <c r="J229" s="2">
        <f>IF($K229="","",INDEX(מלאי!$AC$2:$500,$K229))</f>
        <v/>
      </c>
      <c r="K22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209),"")</f>
        <v/>
      </c>
    </row>
    <row r="230">
      <c r="A230" s="8">
        <f>IF($K230="","",INDEX(מלאי!$D$2:$500,$K230))</f>
        <v/>
      </c>
      <c r="B230" s="8">
        <f>IF($K230="","",INDEX(מלאי!$B$2:$500,$K230))</f>
        <v/>
      </c>
      <c r="C230" s="8">
        <f>IF($K230="","",INDEX(מלאי!$C$2:$500,$K230))</f>
        <v/>
      </c>
      <c r="D230" s="8">
        <f>IF($K230="","",INDEX(מלאי!$G$2:$500,$K230))</f>
        <v/>
      </c>
      <c r="E230" s="8">
        <f>IF($K230="","",INDEX(מלאי!$M$2:$500,$K230))</f>
        <v/>
      </c>
      <c r="F230" s="8">
        <f>IF($K230="","",INDEX(מלאי!$N$2:$500,$K230))</f>
        <v/>
      </c>
      <c r="G230" s="8">
        <f>IF($K230="","",INDEX(מלאי!$O$2:$500,$K230))</f>
        <v/>
      </c>
      <c r="H230" s="8">
        <f>IF($K230="","",INDEX(מלאי!$U$2:$500,$K230))</f>
        <v/>
      </c>
      <c r="I230" s="8">
        <f>IF($K230="","",INDEX(מלאי!$X$2:$500,$K230))</f>
        <v/>
      </c>
      <c r="J230" s="8">
        <f>IF($K230="","",INDEX(מלאי!$AC$2:$500,$K230))</f>
        <v/>
      </c>
      <c r="K23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210),"")</f>
        <v/>
      </c>
    </row>
    <row r="231">
      <c r="A231" s="2">
        <f>IF($K231="","",INDEX(מלאי!$D$2:$500,$K231))</f>
        <v/>
      </c>
      <c r="B231" s="2">
        <f>IF($K231="","",INDEX(מלאי!$B$2:$500,$K231))</f>
        <v/>
      </c>
      <c r="C231" s="2">
        <f>IF($K231="","",INDEX(מלאי!$C$2:$500,$K231))</f>
        <v/>
      </c>
      <c r="D231" s="2">
        <f>IF($K231="","",INDEX(מלאי!$G$2:$500,$K231))</f>
        <v/>
      </c>
      <c r="E231" s="2">
        <f>IF($K231="","",INDEX(מלאי!$M$2:$500,$K231))</f>
        <v/>
      </c>
      <c r="F231" s="2">
        <f>IF($K231="","",INDEX(מלאי!$N$2:$500,$K231))</f>
        <v/>
      </c>
      <c r="G231" s="2">
        <f>IF($K231="","",INDEX(מלאי!$O$2:$500,$K231))</f>
        <v/>
      </c>
      <c r="H231" s="2">
        <f>IF($K231="","",INDEX(מלאי!$U$2:$500,$K231))</f>
        <v/>
      </c>
      <c r="I231" s="2">
        <f>IF($K231="","",INDEX(מלאי!$X$2:$500,$K231))</f>
        <v/>
      </c>
      <c r="J231" s="2">
        <f>IF($K231="","",INDEX(מלאי!$AC$2:$500,$K231))</f>
        <v/>
      </c>
      <c r="K23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211),"")</f>
        <v/>
      </c>
    </row>
    <row r="232">
      <c r="A232" s="8">
        <f>IF($K232="","",INDEX(מלאי!$D$2:$500,$K232))</f>
        <v/>
      </c>
      <c r="B232" s="8">
        <f>IF($K232="","",INDEX(מלאי!$B$2:$500,$K232))</f>
        <v/>
      </c>
      <c r="C232" s="8">
        <f>IF($K232="","",INDEX(מלאי!$C$2:$500,$K232))</f>
        <v/>
      </c>
      <c r="D232" s="8">
        <f>IF($K232="","",INDEX(מלאי!$G$2:$500,$K232))</f>
        <v/>
      </c>
      <c r="E232" s="8">
        <f>IF($K232="","",INDEX(מלאי!$M$2:$500,$K232))</f>
        <v/>
      </c>
      <c r="F232" s="8">
        <f>IF($K232="","",INDEX(מלאי!$N$2:$500,$K232))</f>
        <v/>
      </c>
      <c r="G232" s="8">
        <f>IF($K232="","",INDEX(מלאי!$O$2:$500,$K232))</f>
        <v/>
      </c>
      <c r="H232" s="8">
        <f>IF($K232="","",INDEX(מלאי!$U$2:$500,$K232))</f>
        <v/>
      </c>
      <c r="I232" s="8">
        <f>IF($K232="","",INDEX(מלאי!$X$2:$500,$K232))</f>
        <v/>
      </c>
      <c r="J232" s="8">
        <f>IF($K232="","",INDEX(מלאי!$AC$2:$500,$K232))</f>
        <v/>
      </c>
      <c r="K23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212),"")</f>
        <v/>
      </c>
    </row>
    <row r="233">
      <c r="A233" s="2">
        <f>IF($K233="","",INDEX(מלאי!$D$2:$500,$K233))</f>
        <v/>
      </c>
      <c r="B233" s="2">
        <f>IF($K233="","",INDEX(מלאי!$B$2:$500,$K233))</f>
        <v/>
      </c>
      <c r="C233" s="2">
        <f>IF($K233="","",INDEX(מלאי!$C$2:$500,$K233))</f>
        <v/>
      </c>
      <c r="D233" s="2">
        <f>IF($K233="","",INDEX(מלאי!$G$2:$500,$K233))</f>
        <v/>
      </c>
      <c r="E233" s="2">
        <f>IF($K233="","",INDEX(מלאי!$M$2:$500,$K233))</f>
        <v/>
      </c>
      <c r="F233" s="2">
        <f>IF($K233="","",INDEX(מלאי!$N$2:$500,$K233))</f>
        <v/>
      </c>
      <c r="G233" s="2">
        <f>IF($K233="","",INDEX(מלאי!$O$2:$500,$K233))</f>
        <v/>
      </c>
      <c r="H233" s="2">
        <f>IF($K233="","",INDEX(מלאי!$U$2:$500,$K233))</f>
        <v/>
      </c>
      <c r="I233" s="2">
        <f>IF($K233="","",INDEX(מלאי!$X$2:$500,$K233))</f>
        <v/>
      </c>
      <c r="J233" s="2">
        <f>IF($K233="","",INDEX(מלאי!$AC$2:$500,$K233))</f>
        <v/>
      </c>
      <c r="K23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213),"")</f>
        <v/>
      </c>
    </row>
    <row r="234">
      <c r="A234" s="8">
        <f>IF($K234="","",INDEX(מלאי!$D$2:$500,$K234))</f>
        <v/>
      </c>
      <c r="B234" s="8">
        <f>IF($K234="","",INDEX(מלאי!$B$2:$500,$K234))</f>
        <v/>
      </c>
      <c r="C234" s="8">
        <f>IF($K234="","",INDEX(מלאי!$C$2:$500,$K234))</f>
        <v/>
      </c>
      <c r="D234" s="8">
        <f>IF($K234="","",INDEX(מלאי!$G$2:$500,$K234))</f>
        <v/>
      </c>
      <c r="E234" s="8">
        <f>IF($K234="","",INDEX(מלאי!$M$2:$500,$K234))</f>
        <v/>
      </c>
      <c r="F234" s="8">
        <f>IF($K234="","",INDEX(מלאי!$N$2:$500,$K234))</f>
        <v/>
      </c>
      <c r="G234" s="8">
        <f>IF($K234="","",INDEX(מלאי!$O$2:$500,$K234))</f>
        <v/>
      </c>
      <c r="H234" s="8">
        <f>IF($K234="","",INDEX(מלאי!$U$2:$500,$K234))</f>
        <v/>
      </c>
      <c r="I234" s="8">
        <f>IF($K234="","",INDEX(מלאי!$X$2:$500,$K234))</f>
        <v/>
      </c>
      <c r="J234" s="8">
        <f>IF($K234="","",INDEX(מלאי!$AC$2:$500,$K234))</f>
        <v/>
      </c>
      <c r="K23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214),"")</f>
        <v/>
      </c>
    </row>
    <row r="235">
      <c r="A235" s="2">
        <f>IF($K235="","",INDEX(מלאי!$D$2:$500,$K235))</f>
        <v/>
      </c>
      <c r="B235" s="2">
        <f>IF($K235="","",INDEX(מלאי!$B$2:$500,$K235))</f>
        <v/>
      </c>
      <c r="C235" s="2">
        <f>IF($K235="","",INDEX(מלאי!$C$2:$500,$K235))</f>
        <v/>
      </c>
      <c r="D235" s="2">
        <f>IF($K235="","",INDEX(מלאי!$G$2:$500,$K235))</f>
        <v/>
      </c>
      <c r="E235" s="2">
        <f>IF($K235="","",INDEX(מלאי!$M$2:$500,$K235))</f>
        <v/>
      </c>
      <c r="F235" s="2">
        <f>IF($K235="","",INDEX(מלאי!$N$2:$500,$K235))</f>
        <v/>
      </c>
      <c r="G235" s="2">
        <f>IF($K235="","",INDEX(מלאי!$O$2:$500,$K235))</f>
        <v/>
      </c>
      <c r="H235" s="2">
        <f>IF($K235="","",INDEX(מלאי!$U$2:$500,$K235))</f>
        <v/>
      </c>
      <c r="I235" s="2">
        <f>IF($K235="","",INDEX(מלאי!$X$2:$500,$K235))</f>
        <v/>
      </c>
      <c r="J235" s="2">
        <f>IF($K235="","",INDEX(מלאי!$AC$2:$500,$K235))</f>
        <v/>
      </c>
      <c r="K23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215),"")</f>
        <v/>
      </c>
    </row>
    <row r="236">
      <c r="A236" s="8">
        <f>IF($K236="","",INDEX(מלאי!$D$2:$500,$K236))</f>
        <v/>
      </c>
      <c r="B236" s="8">
        <f>IF($K236="","",INDEX(מלאי!$B$2:$500,$K236))</f>
        <v/>
      </c>
      <c r="C236" s="8">
        <f>IF($K236="","",INDEX(מלאי!$C$2:$500,$K236))</f>
        <v/>
      </c>
      <c r="D236" s="8">
        <f>IF($K236="","",INDEX(מלאי!$G$2:$500,$K236))</f>
        <v/>
      </c>
      <c r="E236" s="8">
        <f>IF($K236="","",INDEX(מלאי!$M$2:$500,$K236))</f>
        <v/>
      </c>
      <c r="F236" s="8">
        <f>IF($K236="","",INDEX(מלאי!$N$2:$500,$K236))</f>
        <v/>
      </c>
      <c r="G236" s="8">
        <f>IF($K236="","",INDEX(מלאי!$O$2:$500,$K236))</f>
        <v/>
      </c>
      <c r="H236" s="8">
        <f>IF($K236="","",INDEX(מלאי!$U$2:$500,$K236))</f>
        <v/>
      </c>
      <c r="I236" s="8">
        <f>IF($K236="","",INDEX(מלאי!$X$2:$500,$K236))</f>
        <v/>
      </c>
      <c r="J236" s="8">
        <f>IF($K236="","",INDEX(מלאי!$AC$2:$500,$K236))</f>
        <v/>
      </c>
      <c r="K23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216),"")</f>
        <v/>
      </c>
    </row>
    <row r="237">
      <c r="A237" s="2">
        <f>IF($K237="","",INDEX(מלאי!$D$2:$500,$K237))</f>
        <v/>
      </c>
      <c r="B237" s="2">
        <f>IF($K237="","",INDEX(מלאי!$B$2:$500,$K237))</f>
        <v/>
      </c>
      <c r="C237" s="2">
        <f>IF($K237="","",INDEX(מלאי!$C$2:$500,$K237))</f>
        <v/>
      </c>
      <c r="D237" s="2">
        <f>IF($K237="","",INDEX(מלאי!$G$2:$500,$K237))</f>
        <v/>
      </c>
      <c r="E237" s="2">
        <f>IF($K237="","",INDEX(מלאי!$M$2:$500,$K237))</f>
        <v/>
      </c>
      <c r="F237" s="2">
        <f>IF($K237="","",INDEX(מלאי!$N$2:$500,$K237))</f>
        <v/>
      </c>
      <c r="G237" s="2">
        <f>IF($K237="","",INDEX(מלאי!$O$2:$500,$K237))</f>
        <v/>
      </c>
      <c r="H237" s="2">
        <f>IF($K237="","",INDEX(מלאי!$U$2:$500,$K237))</f>
        <v/>
      </c>
      <c r="I237" s="2">
        <f>IF($K237="","",INDEX(מלאי!$X$2:$500,$K237))</f>
        <v/>
      </c>
      <c r="J237" s="2">
        <f>IF($K237="","",INDEX(מלאי!$AC$2:$500,$K237))</f>
        <v/>
      </c>
      <c r="K23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217),"")</f>
        <v/>
      </c>
    </row>
    <row r="238">
      <c r="A238" s="8">
        <f>IF($K238="","",INDEX(מלאי!$D$2:$500,$K238))</f>
        <v/>
      </c>
      <c r="B238" s="8">
        <f>IF($K238="","",INDEX(מלאי!$B$2:$500,$K238))</f>
        <v/>
      </c>
      <c r="C238" s="8">
        <f>IF($K238="","",INDEX(מלאי!$C$2:$500,$K238))</f>
        <v/>
      </c>
      <c r="D238" s="8">
        <f>IF($K238="","",INDEX(מלאי!$G$2:$500,$K238))</f>
        <v/>
      </c>
      <c r="E238" s="8">
        <f>IF($K238="","",INDEX(מלאי!$M$2:$500,$K238))</f>
        <v/>
      </c>
      <c r="F238" s="8">
        <f>IF($K238="","",INDEX(מלאי!$N$2:$500,$K238))</f>
        <v/>
      </c>
      <c r="G238" s="8">
        <f>IF($K238="","",INDEX(מלאי!$O$2:$500,$K238))</f>
        <v/>
      </c>
      <c r="H238" s="8">
        <f>IF($K238="","",INDEX(מלאי!$U$2:$500,$K238))</f>
        <v/>
      </c>
      <c r="I238" s="8">
        <f>IF($K238="","",INDEX(מלאי!$X$2:$500,$K238))</f>
        <v/>
      </c>
      <c r="J238" s="8">
        <f>IF($K238="","",INDEX(מלאי!$AC$2:$500,$K238))</f>
        <v/>
      </c>
      <c r="K23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218),"")</f>
        <v/>
      </c>
    </row>
    <row r="239">
      <c r="A239" s="2">
        <f>IF($K239="","",INDEX(מלאי!$D$2:$500,$K239))</f>
        <v/>
      </c>
      <c r="B239" s="2">
        <f>IF($K239="","",INDEX(מלאי!$B$2:$500,$K239))</f>
        <v/>
      </c>
      <c r="C239" s="2">
        <f>IF($K239="","",INDEX(מלאי!$C$2:$500,$K239))</f>
        <v/>
      </c>
      <c r="D239" s="2">
        <f>IF($K239="","",INDEX(מלאי!$G$2:$500,$K239))</f>
        <v/>
      </c>
      <c r="E239" s="2">
        <f>IF($K239="","",INDEX(מלאי!$M$2:$500,$K239))</f>
        <v/>
      </c>
      <c r="F239" s="2">
        <f>IF($K239="","",INDEX(מלאי!$N$2:$500,$K239))</f>
        <v/>
      </c>
      <c r="G239" s="2">
        <f>IF($K239="","",INDEX(מלאי!$O$2:$500,$K239))</f>
        <v/>
      </c>
      <c r="H239" s="2">
        <f>IF($K239="","",INDEX(מלאי!$U$2:$500,$K239))</f>
        <v/>
      </c>
      <c r="I239" s="2">
        <f>IF($K239="","",INDEX(מלאי!$X$2:$500,$K239))</f>
        <v/>
      </c>
      <c r="J239" s="2">
        <f>IF($K239="","",INDEX(מלאי!$AC$2:$500,$K239))</f>
        <v/>
      </c>
      <c r="K23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219),"")</f>
        <v/>
      </c>
    </row>
    <row r="240">
      <c r="A240" s="8">
        <f>IF($K240="","",INDEX(מלאי!$D$2:$500,$K240))</f>
        <v/>
      </c>
      <c r="B240" s="8">
        <f>IF($K240="","",INDEX(מלאי!$B$2:$500,$K240))</f>
        <v/>
      </c>
      <c r="C240" s="8">
        <f>IF($K240="","",INDEX(מלאי!$C$2:$500,$K240))</f>
        <v/>
      </c>
      <c r="D240" s="8">
        <f>IF($K240="","",INDEX(מלאי!$G$2:$500,$K240))</f>
        <v/>
      </c>
      <c r="E240" s="8">
        <f>IF($K240="","",INDEX(מלאי!$M$2:$500,$K240))</f>
        <v/>
      </c>
      <c r="F240" s="8">
        <f>IF($K240="","",INDEX(מלאי!$N$2:$500,$K240))</f>
        <v/>
      </c>
      <c r="G240" s="8">
        <f>IF($K240="","",INDEX(מלאי!$O$2:$500,$K240))</f>
        <v/>
      </c>
      <c r="H240" s="8">
        <f>IF($K240="","",INDEX(מלאי!$U$2:$500,$K240))</f>
        <v/>
      </c>
      <c r="I240" s="8">
        <f>IF($K240="","",INDEX(מלאי!$X$2:$500,$K240))</f>
        <v/>
      </c>
      <c r="J240" s="8">
        <f>IF($K240="","",INDEX(מלאי!$AC$2:$500,$K240))</f>
        <v/>
      </c>
      <c r="K24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220),"")</f>
        <v/>
      </c>
    </row>
    <row r="241">
      <c r="A241" s="2">
        <f>IF($K241="","",INDEX(מלאי!$D$2:$500,$K241))</f>
        <v/>
      </c>
      <c r="B241" s="2">
        <f>IF($K241="","",INDEX(מלאי!$B$2:$500,$K241))</f>
        <v/>
      </c>
      <c r="C241" s="2">
        <f>IF($K241="","",INDEX(מלאי!$C$2:$500,$K241))</f>
        <v/>
      </c>
      <c r="D241" s="2">
        <f>IF($K241="","",INDEX(מלאי!$G$2:$500,$K241))</f>
        <v/>
      </c>
      <c r="E241" s="2">
        <f>IF($K241="","",INDEX(מלאי!$M$2:$500,$K241))</f>
        <v/>
      </c>
      <c r="F241" s="2">
        <f>IF($K241="","",INDEX(מלאי!$N$2:$500,$K241))</f>
        <v/>
      </c>
      <c r="G241" s="2">
        <f>IF($K241="","",INDEX(מלאי!$O$2:$500,$K241))</f>
        <v/>
      </c>
      <c r="H241" s="2">
        <f>IF($K241="","",INDEX(מלאי!$U$2:$500,$K241))</f>
        <v/>
      </c>
      <c r="I241" s="2">
        <f>IF($K241="","",INDEX(מלאי!$X$2:$500,$K241))</f>
        <v/>
      </c>
      <c r="J241" s="2">
        <f>IF($K241="","",INDEX(מלאי!$AC$2:$500,$K241))</f>
        <v/>
      </c>
      <c r="K24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221),"")</f>
        <v/>
      </c>
    </row>
    <row r="242">
      <c r="A242" s="8">
        <f>IF($K242="","",INDEX(מלאי!$D$2:$500,$K242))</f>
        <v/>
      </c>
      <c r="B242" s="8">
        <f>IF($K242="","",INDEX(מלאי!$B$2:$500,$K242))</f>
        <v/>
      </c>
      <c r="C242" s="8">
        <f>IF($K242="","",INDEX(מלאי!$C$2:$500,$K242))</f>
        <v/>
      </c>
      <c r="D242" s="8">
        <f>IF($K242="","",INDEX(מלאי!$G$2:$500,$K242))</f>
        <v/>
      </c>
      <c r="E242" s="8">
        <f>IF($K242="","",INDEX(מלאי!$M$2:$500,$K242))</f>
        <v/>
      </c>
      <c r="F242" s="8">
        <f>IF($K242="","",INDEX(מלאי!$N$2:$500,$K242))</f>
        <v/>
      </c>
      <c r="G242" s="8">
        <f>IF($K242="","",INDEX(מלאי!$O$2:$500,$K242))</f>
        <v/>
      </c>
      <c r="H242" s="8">
        <f>IF($K242="","",INDEX(מלאי!$U$2:$500,$K242))</f>
        <v/>
      </c>
      <c r="I242" s="8">
        <f>IF($K242="","",INDEX(מלאי!$X$2:$500,$K242))</f>
        <v/>
      </c>
      <c r="J242" s="8">
        <f>IF($K242="","",INDEX(מלאי!$AC$2:$500,$K242))</f>
        <v/>
      </c>
      <c r="K24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222),"")</f>
        <v/>
      </c>
    </row>
    <row r="243">
      <c r="A243" s="2">
        <f>IF($K243="","",INDEX(מלאי!$D$2:$500,$K243))</f>
        <v/>
      </c>
      <c r="B243" s="2">
        <f>IF($K243="","",INDEX(מלאי!$B$2:$500,$K243))</f>
        <v/>
      </c>
      <c r="C243" s="2">
        <f>IF($K243="","",INDEX(מלאי!$C$2:$500,$K243))</f>
        <v/>
      </c>
      <c r="D243" s="2">
        <f>IF($K243="","",INDEX(מלאי!$G$2:$500,$K243))</f>
        <v/>
      </c>
      <c r="E243" s="2">
        <f>IF($K243="","",INDEX(מלאי!$M$2:$500,$K243))</f>
        <v/>
      </c>
      <c r="F243" s="2">
        <f>IF($K243="","",INDEX(מלאי!$N$2:$500,$K243))</f>
        <v/>
      </c>
      <c r="G243" s="2">
        <f>IF($K243="","",INDEX(מלאי!$O$2:$500,$K243))</f>
        <v/>
      </c>
      <c r="H243" s="2">
        <f>IF($K243="","",INDEX(מלאי!$U$2:$500,$K243))</f>
        <v/>
      </c>
      <c r="I243" s="2">
        <f>IF($K243="","",INDEX(מלאי!$X$2:$500,$K243))</f>
        <v/>
      </c>
      <c r="J243" s="2">
        <f>IF($K243="","",INDEX(מלאי!$AC$2:$500,$K243))</f>
        <v/>
      </c>
      <c r="K24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223),"")</f>
        <v/>
      </c>
    </row>
    <row r="244">
      <c r="A244" s="8">
        <f>IF($K244="","",INDEX(מלאי!$D$2:$500,$K244))</f>
        <v/>
      </c>
      <c r="B244" s="8">
        <f>IF($K244="","",INDEX(מלאי!$B$2:$500,$K244))</f>
        <v/>
      </c>
      <c r="C244" s="8">
        <f>IF($K244="","",INDEX(מלאי!$C$2:$500,$K244))</f>
        <v/>
      </c>
      <c r="D244" s="8">
        <f>IF($K244="","",INDEX(מלאי!$G$2:$500,$K244))</f>
        <v/>
      </c>
      <c r="E244" s="8">
        <f>IF($K244="","",INDEX(מלאי!$M$2:$500,$K244))</f>
        <v/>
      </c>
      <c r="F244" s="8">
        <f>IF($K244="","",INDEX(מלאי!$N$2:$500,$K244))</f>
        <v/>
      </c>
      <c r="G244" s="8">
        <f>IF($K244="","",INDEX(מלאי!$O$2:$500,$K244))</f>
        <v/>
      </c>
      <c r="H244" s="8">
        <f>IF($K244="","",INDEX(מלאי!$U$2:$500,$K244))</f>
        <v/>
      </c>
      <c r="I244" s="8">
        <f>IF($K244="","",INDEX(מלאי!$X$2:$500,$K244))</f>
        <v/>
      </c>
      <c r="J244" s="8">
        <f>IF($K244="","",INDEX(מלאי!$AC$2:$500,$K244))</f>
        <v/>
      </c>
      <c r="K24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224),"")</f>
        <v/>
      </c>
    </row>
    <row r="245">
      <c r="A245" s="2">
        <f>IF($K245="","",INDEX(מלאי!$D$2:$500,$K245))</f>
        <v/>
      </c>
      <c r="B245" s="2">
        <f>IF($K245="","",INDEX(מלאי!$B$2:$500,$K245))</f>
        <v/>
      </c>
      <c r="C245" s="2">
        <f>IF($K245="","",INDEX(מלאי!$C$2:$500,$K245))</f>
        <v/>
      </c>
      <c r="D245" s="2">
        <f>IF($K245="","",INDEX(מלאי!$G$2:$500,$K245))</f>
        <v/>
      </c>
      <c r="E245" s="2">
        <f>IF($K245="","",INDEX(מלאי!$M$2:$500,$K245))</f>
        <v/>
      </c>
      <c r="F245" s="2">
        <f>IF($K245="","",INDEX(מלאי!$N$2:$500,$K245))</f>
        <v/>
      </c>
      <c r="G245" s="2">
        <f>IF($K245="","",INDEX(מלאי!$O$2:$500,$K245))</f>
        <v/>
      </c>
      <c r="H245" s="2">
        <f>IF($K245="","",INDEX(מלאי!$U$2:$500,$K245))</f>
        <v/>
      </c>
      <c r="I245" s="2">
        <f>IF($K245="","",INDEX(מלאי!$X$2:$500,$K245))</f>
        <v/>
      </c>
      <c r="J245" s="2">
        <f>IF($K245="","",INDEX(מלאי!$AC$2:$500,$K245))</f>
        <v/>
      </c>
      <c r="K24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225),"")</f>
        <v/>
      </c>
    </row>
    <row r="246">
      <c r="A246" s="8">
        <f>IF($K246="","",INDEX(מלאי!$D$2:$500,$K246))</f>
        <v/>
      </c>
      <c r="B246" s="8">
        <f>IF($K246="","",INDEX(מלאי!$B$2:$500,$K246))</f>
        <v/>
      </c>
      <c r="C246" s="8">
        <f>IF($K246="","",INDEX(מלאי!$C$2:$500,$K246))</f>
        <v/>
      </c>
      <c r="D246" s="8">
        <f>IF($K246="","",INDEX(מלאי!$G$2:$500,$K246))</f>
        <v/>
      </c>
      <c r="E246" s="8">
        <f>IF($K246="","",INDEX(מלאי!$M$2:$500,$K246))</f>
        <v/>
      </c>
      <c r="F246" s="8">
        <f>IF($K246="","",INDEX(מלאי!$N$2:$500,$K246))</f>
        <v/>
      </c>
      <c r="G246" s="8">
        <f>IF($K246="","",INDEX(מלאי!$O$2:$500,$K246))</f>
        <v/>
      </c>
      <c r="H246" s="8">
        <f>IF($K246="","",INDEX(מלאי!$U$2:$500,$K246))</f>
        <v/>
      </c>
      <c r="I246" s="8">
        <f>IF($K246="","",INDEX(מלאי!$X$2:$500,$K246))</f>
        <v/>
      </c>
      <c r="J246" s="8">
        <f>IF($K246="","",INDEX(מלאי!$AC$2:$500,$K246))</f>
        <v/>
      </c>
      <c r="K24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226),"")</f>
        <v/>
      </c>
    </row>
    <row r="247">
      <c r="A247" s="2">
        <f>IF($K247="","",INDEX(מלאי!$D$2:$500,$K247))</f>
        <v/>
      </c>
      <c r="B247" s="2">
        <f>IF($K247="","",INDEX(מלאי!$B$2:$500,$K247))</f>
        <v/>
      </c>
      <c r="C247" s="2">
        <f>IF($K247="","",INDEX(מלאי!$C$2:$500,$K247))</f>
        <v/>
      </c>
      <c r="D247" s="2">
        <f>IF($K247="","",INDEX(מלאי!$G$2:$500,$K247))</f>
        <v/>
      </c>
      <c r="E247" s="2">
        <f>IF($K247="","",INDEX(מלאי!$M$2:$500,$K247))</f>
        <v/>
      </c>
      <c r="F247" s="2">
        <f>IF($K247="","",INDEX(מלאי!$N$2:$500,$K247))</f>
        <v/>
      </c>
      <c r="G247" s="2">
        <f>IF($K247="","",INDEX(מלאי!$O$2:$500,$K247))</f>
        <v/>
      </c>
      <c r="H247" s="2">
        <f>IF($K247="","",INDEX(מלאי!$U$2:$500,$K247))</f>
        <v/>
      </c>
      <c r="I247" s="2">
        <f>IF($K247="","",INDEX(מלאי!$X$2:$500,$K247))</f>
        <v/>
      </c>
      <c r="J247" s="2">
        <f>IF($K247="","",INDEX(מלאי!$AC$2:$500,$K247))</f>
        <v/>
      </c>
      <c r="K24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227),"")</f>
        <v/>
      </c>
    </row>
    <row r="248">
      <c r="A248" s="8">
        <f>IF($K248="","",INDEX(מלאי!$D$2:$500,$K248))</f>
        <v/>
      </c>
      <c r="B248" s="8">
        <f>IF($K248="","",INDEX(מלאי!$B$2:$500,$K248))</f>
        <v/>
      </c>
      <c r="C248" s="8">
        <f>IF($K248="","",INDEX(מלאי!$C$2:$500,$K248))</f>
        <v/>
      </c>
      <c r="D248" s="8">
        <f>IF($K248="","",INDEX(מלאי!$G$2:$500,$K248))</f>
        <v/>
      </c>
      <c r="E248" s="8">
        <f>IF($K248="","",INDEX(מלאי!$M$2:$500,$K248))</f>
        <v/>
      </c>
      <c r="F248" s="8">
        <f>IF($K248="","",INDEX(מלאי!$N$2:$500,$K248))</f>
        <v/>
      </c>
      <c r="G248" s="8">
        <f>IF($K248="","",INDEX(מלאי!$O$2:$500,$K248))</f>
        <v/>
      </c>
      <c r="H248" s="8">
        <f>IF($K248="","",INDEX(מלאי!$U$2:$500,$K248))</f>
        <v/>
      </c>
      <c r="I248" s="8">
        <f>IF($K248="","",INDEX(מלאי!$X$2:$500,$K248))</f>
        <v/>
      </c>
      <c r="J248" s="8">
        <f>IF($K248="","",INDEX(מלאי!$AC$2:$500,$K248))</f>
        <v/>
      </c>
      <c r="K24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228),"")</f>
        <v/>
      </c>
    </row>
    <row r="249">
      <c r="A249" s="2">
        <f>IF($K249="","",INDEX(מלאי!$D$2:$500,$K249))</f>
        <v/>
      </c>
      <c r="B249" s="2">
        <f>IF($K249="","",INDEX(מלאי!$B$2:$500,$K249))</f>
        <v/>
      </c>
      <c r="C249" s="2">
        <f>IF($K249="","",INDEX(מלאי!$C$2:$500,$K249))</f>
        <v/>
      </c>
      <c r="D249" s="2">
        <f>IF($K249="","",INDEX(מלאי!$G$2:$500,$K249))</f>
        <v/>
      </c>
      <c r="E249" s="2">
        <f>IF($K249="","",INDEX(מלאי!$M$2:$500,$K249))</f>
        <v/>
      </c>
      <c r="F249" s="2">
        <f>IF($K249="","",INDEX(מלאי!$N$2:$500,$K249))</f>
        <v/>
      </c>
      <c r="G249" s="2">
        <f>IF($K249="","",INDEX(מלאי!$O$2:$500,$K249))</f>
        <v/>
      </c>
      <c r="H249" s="2">
        <f>IF($K249="","",INDEX(מלאי!$U$2:$500,$K249))</f>
        <v/>
      </c>
      <c r="I249" s="2">
        <f>IF($K249="","",INDEX(מלאי!$X$2:$500,$K249))</f>
        <v/>
      </c>
      <c r="J249" s="2">
        <f>IF($K249="","",INDEX(מלאי!$AC$2:$500,$K249))</f>
        <v/>
      </c>
      <c r="K24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229),"")</f>
        <v/>
      </c>
    </row>
    <row r="250">
      <c r="A250" s="8">
        <f>IF($K250="","",INDEX(מלאי!$D$2:$500,$K250))</f>
        <v/>
      </c>
      <c r="B250" s="8">
        <f>IF($K250="","",INDEX(מלאי!$B$2:$500,$K250))</f>
        <v/>
      </c>
      <c r="C250" s="8">
        <f>IF($K250="","",INDEX(מלאי!$C$2:$500,$K250))</f>
        <v/>
      </c>
      <c r="D250" s="8">
        <f>IF($K250="","",INDEX(מלאי!$G$2:$500,$K250))</f>
        <v/>
      </c>
      <c r="E250" s="8">
        <f>IF($K250="","",INDEX(מלאי!$M$2:$500,$K250))</f>
        <v/>
      </c>
      <c r="F250" s="8">
        <f>IF($K250="","",INDEX(מלאי!$N$2:$500,$K250))</f>
        <v/>
      </c>
      <c r="G250" s="8">
        <f>IF($K250="","",INDEX(מלאי!$O$2:$500,$K250))</f>
        <v/>
      </c>
      <c r="H250" s="8">
        <f>IF($K250="","",INDEX(מלאי!$U$2:$500,$K250))</f>
        <v/>
      </c>
      <c r="I250" s="8">
        <f>IF($K250="","",INDEX(מלאי!$X$2:$500,$K250))</f>
        <v/>
      </c>
      <c r="J250" s="8">
        <f>IF($K250="","",INDEX(מלאי!$AC$2:$500,$K250))</f>
        <v/>
      </c>
      <c r="K25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230),"")</f>
        <v/>
      </c>
    </row>
    <row r="251">
      <c r="A251" s="2">
        <f>IF($K251="","",INDEX(מלאי!$D$2:$500,$K251))</f>
        <v/>
      </c>
      <c r="B251" s="2">
        <f>IF($K251="","",INDEX(מלאי!$B$2:$500,$K251))</f>
        <v/>
      </c>
      <c r="C251" s="2">
        <f>IF($K251="","",INDEX(מלאי!$C$2:$500,$K251))</f>
        <v/>
      </c>
      <c r="D251" s="2">
        <f>IF($K251="","",INDEX(מלאי!$G$2:$500,$K251))</f>
        <v/>
      </c>
      <c r="E251" s="2">
        <f>IF($K251="","",INDEX(מלאי!$M$2:$500,$K251))</f>
        <v/>
      </c>
      <c r="F251" s="2">
        <f>IF($K251="","",INDEX(מלאי!$N$2:$500,$K251))</f>
        <v/>
      </c>
      <c r="G251" s="2">
        <f>IF($K251="","",INDEX(מלאי!$O$2:$500,$K251))</f>
        <v/>
      </c>
      <c r="H251" s="2">
        <f>IF($K251="","",INDEX(מלאי!$U$2:$500,$K251))</f>
        <v/>
      </c>
      <c r="I251" s="2">
        <f>IF($K251="","",INDEX(מלאי!$X$2:$500,$K251))</f>
        <v/>
      </c>
      <c r="J251" s="2">
        <f>IF($K251="","",INDEX(מלאי!$AC$2:$500,$K251))</f>
        <v/>
      </c>
      <c r="K25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231),"")</f>
        <v/>
      </c>
    </row>
    <row r="252">
      <c r="A252" s="8">
        <f>IF($K252="","",INDEX(מלאי!$D$2:$500,$K252))</f>
        <v/>
      </c>
      <c r="B252" s="8">
        <f>IF($K252="","",INDEX(מלאי!$B$2:$500,$K252))</f>
        <v/>
      </c>
      <c r="C252" s="8">
        <f>IF($K252="","",INDEX(מלאי!$C$2:$500,$K252))</f>
        <v/>
      </c>
      <c r="D252" s="8">
        <f>IF($K252="","",INDEX(מלאי!$G$2:$500,$K252))</f>
        <v/>
      </c>
      <c r="E252" s="8">
        <f>IF($K252="","",INDEX(מלאי!$M$2:$500,$K252))</f>
        <v/>
      </c>
      <c r="F252" s="8">
        <f>IF($K252="","",INDEX(מלאי!$N$2:$500,$K252))</f>
        <v/>
      </c>
      <c r="G252" s="8">
        <f>IF($K252="","",INDEX(מלאי!$O$2:$500,$K252))</f>
        <v/>
      </c>
      <c r="H252" s="8">
        <f>IF($K252="","",INDEX(מלאי!$U$2:$500,$K252))</f>
        <v/>
      </c>
      <c r="I252" s="8">
        <f>IF($K252="","",INDEX(מלאי!$X$2:$500,$K252))</f>
        <v/>
      </c>
      <c r="J252" s="8">
        <f>IF($K252="","",INDEX(מלאי!$AC$2:$500,$K252))</f>
        <v/>
      </c>
      <c r="K25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232),"")</f>
        <v/>
      </c>
    </row>
    <row r="253">
      <c r="A253" s="2">
        <f>IF($K253="","",INDEX(מלאי!$D$2:$500,$K253))</f>
        <v/>
      </c>
      <c r="B253" s="2">
        <f>IF($K253="","",INDEX(מלאי!$B$2:$500,$K253))</f>
        <v/>
      </c>
      <c r="C253" s="2">
        <f>IF($K253="","",INDEX(מלאי!$C$2:$500,$K253))</f>
        <v/>
      </c>
      <c r="D253" s="2">
        <f>IF($K253="","",INDEX(מלאי!$G$2:$500,$K253))</f>
        <v/>
      </c>
      <c r="E253" s="2">
        <f>IF($K253="","",INDEX(מלאי!$M$2:$500,$K253))</f>
        <v/>
      </c>
      <c r="F253" s="2">
        <f>IF($K253="","",INDEX(מלאי!$N$2:$500,$K253))</f>
        <v/>
      </c>
      <c r="G253" s="2">
        <f>IF($K253="","",INDEX(מלאי!$O$2:$500,$K253))</f>
        <v/>
      </c>
      <c r="H253" s="2">
        <f>IF($K253="","",INDEX(מלאי!$U$2:$500,$K253))</f>
        <v/>
      </c>
      <c r="I253" s="2">
        <f>IF($K253="","",INDEX(מלאי!$X$2:$500,$K253))</f>
        <v/>
      </c>
      <c r="J253" s="2">
        <f>IF($K253="","",INDEX(מלאי!$AC$2:$500,$K253))</f>
        <v/>
      </c>
      <c r="K25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233),"")</f>
        <v/>
      </c>
    </row>
    <row r="254">
      <c r="A254" s="8">
        <f>IF($K254="","",INDEX(מלאי!$D$2:$500,$K254))</f>
        <v/>
      </c>
      <c r="B254" s="8">
        <f>IF($K254="","",INDEX(מלאי!$B$2:$500,$K254))</f>
        <v/>
      </c>
      <c r="C254" s="8">
        <f>IF($K254="","",INDEX(מלאי!$C$2:$500,$K254))</f>
        <v/>
      </c>
      <c r="D254" s="8">
        <f>IF($K254="","",INDEX(מלאי!$G$2:$500,$K254))</f>
        <v/>
      </c>
      <c r="E254" s="8">
        <f>IF($K254="","",INDEX(מלאי!$M$2:$500,$K254))</f>
        <v/>
      </c>
      <c r="F254" s="8">
        <f>IF($K254="","",INDEX(מלאי!$N$2:$500,$K254))</f>
        <v/>
      </c>
      <c r="G254" s="8">
        <f>IF($K254="","",INDEX(מלאי!$O$2:$500,$K254))</f>
        <v/>
      </c>
      <c r="H254" s="8">
        <f>IF($K254="","",INDEX(מלאי!$U$2:$500,$K254))</f>
        <v/>
      </c>
      <c r="I254" s="8">
        <f>IF($K254="","",INDEX(מלאי!$X$2:$500,$K254))</f>
        <v/>
      </c>
      <c r="J254" s="8">
        <f>IF($K254="","",INDEX(מלאי!$AC$2:$500,$K254))</f>
        <v/>
      </c>
      <c r="K25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234),"")</f>
        <v/>
      </c>
    </row>
    <row r="255">
      <c r="A255" s="2">
        <f>IF($K255="","",INDEX(מלאי!$D$2:$500,$K255))</f>
        <v/>
      </c>
      <c r="B255" s="2">
        <f>IF($K255="","",INDEX(מלאי!$B$2:$500,$K255))</f>
        <v/>
      </c>
      <c r="C255" s="2">
        <f>IF($K255="","",INDEX(מלאי!$C$2:$500,$K255))</f>
        <v/>
      </c>
      <c r="D255" s="2">
        <f>IF($K255="","",INDEX(מלאי!$G$2:$500,$K255))</f>
        <v/>
      </c>
      <c r="E255" s="2">
        <f>IF($K255="","",INDEX(מלאי!$M$2:$500,$K255))</f>
        <v/>
      </c>
      <c r="F255" s="2">
        <f>IF($K255="","",INDEX(מלאי!$N$2:$500,$K255))</f>
        <v/>
      </c>
      <c r="G255" s="2">
        <f>IF($K255="","",INDEX(מלאי!$O$2:$500,$K255))</f>
        <v/>
      </c>
      <c r="H255" s="2">
        <f>IF($K255="","",INDEX(מלאי!$U$2:$500,$K255))</f>
        <v/>
      </c>
      <c r="I255" s="2">
        <f>IF($K255="","",INDEX(מלאי!$X$2:$500,$K255))</f>
        <v/>
      </c>
      <c r="J255" s="2">
        <f>IF($K255="","",INDEX(מלאי!$AC$2:$500,$K255))</f>
        <v/>
      </c>
      <c r="K25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235),"")</f>
        <v/>
      </c>
    </row>
    <row r="256">
      <c r="A256" s="8">
        <f>IF($K256="","",INDEX(מלאי!$D$2:$500,$K256))</f>
        <v/>
      </c>
      <c r="B256" s="8">
        <f>IF($K256="","",INDEX(מלאי!$B$2:$500,$K256))</f>
        <v/>
      </c>
      <c r="C256" s="8">
        <f>IF($K256="","",INDEX(מלאי!$C$2:$500,$K256))</f>
        <v/>
      </c>
      <c r="D256" s="8">
        <f>IF($K256="","",INDEX(מלאי!$G$2:$500,$K256))</f>
        <v/>
      </c>
      <c r="E256" s="8">
        <f>IF($K256="","",INDEX(מלאי!$M$2:$500,$K256))</f>
        <v/>
      </c>
      <c r="F256" s="8">
        <f>IF($K256="","",INDEX(מלאי!$N$2:$500,$K256))</f>
        <v/>
      </c>
      <c r="G256" s="8">
        <f>IF($K256="","",INDEX(מלאי!$O$2:$500,$K256))</f>
        <v/>
      </c>
      <c r="H256" s="8">
        <f>IF($K256="","",INDEX(מלאי!$U$2:$500,$K256))</f>
        <v/>
      </c>
      <c r="I256" s="8">
        <f>IF($K256="","",INDEX(מלאי!$X$2:$500,$K256))</f>
        <v/>
      </c>
      <c r="J256" s="8">
        <f>IF($K256="","",INDEX(מלאי!$AC$2:$500,$K256))</f>
        <v/>
      </c>
      <c r="K25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236),"")</f>
        <v/>
      </c>
    </row>
    <row r="257">
      <c r="A257" s="2">
        <f>IF($K257="","",INDEX(מלאי!$D$2:$500,$K257))</f>
        <v/>
      </c>
      <c r="B257" s="2">
        <f>IF($K257="","",INDEX(מלאי!$B$2:$500,$K257))</f>
        <v/>
      </c>
      <c r="C257" s="2">
        <f>IF($K257="","",INDEX(מלאי!$C$2:$500,$K257))</f>
        <v/>
      </c>
      <c r="D257" s="2">
        <f>IF($K257="","",INDEX(מלאי!$G$2:$500,$K257))</f>
        <v/>
      </c>
      <c r="E257" s="2">
        <f>IF($K257="","",INDEX(מלאי!$M$2:$500,$K257))</f>
        <v/>
      </c>
      <c r="F257" s="2">
        <f>IF($K257="","",INDEX(מלאי!$N$2:$500,$K257))</f>
        <v/>
      </c>
      <c r="G257" s="2">
        <f>IF($K257="","",INDEX(מלאי!$O$2:$500,$K257))</f>
        <v/>
      </c>
      <c r="H257" s="2">
        <f>IF($K257="","",INDEX(מלאי!$U$2:$500,$K257))</f>
        <v/>
      </c>
      <c r="I257" s="2">
        <f>IF($K257="","",INDEX(מלאי!$X$2:$500,$K257))</f>
        <v/>
      </c>
      <c r="J257" s="2">
        <f>IF($K257="","",INDEX(מלאי!$AC$2:$500,$K257))</f>
        <v/>
      </c>
      <c r="K25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237),"")</f>
        <v/>
      </c>
    </row>
    <row r="258">
      <c r="A258" s="8">
        <f>IF($K258="","",INDEX(מלאי!$D$2:$500,$K258))</f>
        <v/>
      </c>
      <c r="B258" s="8">
        <f>IF($K258="","",INDEX(מלאי!$B$2:$500,$K258))</f>
        <v/>
      </c>
      <c r="C258" s="8">
        <f>IF($K258="","",INDEX(מלאי!$C$2:$500,$K258))</f>
        <v/>
      </c>
      <c r="D258" s="8">
        <f>IF($K258="","",INDEX(מלאי!$G$2:$500,$K258))</f>
        <v/>
      </c>
      <c r="E258" s="8">
        <f>IF($K258="","",INDEX(מלאי!$M$2:$500,$K258))</f>
        <v/>
      </c>
      <c r="F258" s="8">
        <f>IF($K258="","",INDEX(מלאי!$N$2:$500,$K258))</f>
        <v/>
      </c>
      <c r="G258" s="8">
        <f>IF($K258="","",INDEX(מלאי!$O$2:$500,$K258))</f>
        <v/>
      </c>
      <c r="H258" s="8">
        <f>IF($K258="","",INDEX(מלאי!$U$2:$500,$K258))</f>
        <v/>
      </c>
      <c r="I258" s="8">
        <f>IF($K258="","",INDEX(מלאי!$X$2:$500,$K258))</f>
        <v/>
      </c>
      <c r="J258" s="8">
        <f>IF($K258="","",INDEX(מלאי!$AC$2:$500,$K258))</f>
        <v/>
      </c>
      <c r="K25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238),"")</f>
        <v/>
      </c>
    </row>
    <row r="259">
      <c r="A259" s="2">
        <f>IF($K259="","",INDEX(מלאי!$D$2:$500,$K259))</f>
        <v/>
      </c>
      <c r="B259" s="2">
        <f>IF($K259="","",INDEX(מלאי!$B$2:$500,$K259))</f>
        <v/>
      </c>
      <c r="C259" s="2">
        <f>IF($K259="","",INDEX(מלאי!$C$2:$500,$K259))</f>
        <v/>
      </c>
      <c r="D259" s="2">
        <f>IF($K259="","",INDEX(מלאי!$G$2:$500,$K259))</f>
        <v/>
      </c>
      <c r="E259" s="2">
        <f>IF($K259="","",INDEX(מלאי!$M$2:$500,$K259))</f>
        <v/>
      </c>
      <c r="F259" s="2">
        <f>IF($K259="","",INDEX(מלאי!$N$2:$500,$K259))</f>
        <v/>
      </c>
      <c r="G259" s="2">
        <f>IF($K259="","",INDEX(מלאי!$O$2:$500,$K259))</f>
        <v/>
      </c>
      <c r="H259" s="2">
        <f>IF($K259="","",INDEX(מלאי!$U$2:$500,$K259))</f>
        <v/>
      </c>
      <c r="I259" s="2">
        <f>IF($K259="","",INDEX(מלאי!$X$2:$500,$K259))</f>
        <v/>
      </c>
      <c r="J259" s="2">
        <f>IF($K259="","",INDEX(מלאי!$AC$2:$500,$K259))</f>
        <v/>
      </c>
      <c r="K25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239),"")</f>
        <v/>
      </c>
    </row>
    <row r="260">
      <c r="A260" s="8">
        <f>IF($K260="","",INDEX(מלאי!$D$2:$500,$K260))</f>
        <v/>
      </c>
      <c r="B260" s="8">
        <f>IF($K260="","",INDEX(מלאי!$B$2:$500,$K260))</f>
        <v/>
      </c>
      <c r="C260" s="8">
        <f>IF($K260="","",INDEX(מלאי!$C$2:$500,$K260))</f>
        <v/>
      </c>
      <c r="D260" s="8">
        <f>IF($K260="","",INDEX(מלאי!$G$2:$500,$K260))</f>
        <v/>
      </c>
      <c r="E260" s="8">
        <f>IF($K260="","",INDEX(מלאי!$M$2:$500,$K260))</f>
        <v/>
      </c>
      <c r="F260" s="8">
        <f>IF($K260="","",INDEX(מלאי!$N$2:$500,$K260))</f>
        <v/>
      </c>
      <c r="G260" s="8">
        <f>IF($K260="","",INDEX(מלאי!$O$2:$500,$K260))</f>
        <v/>
      </c>
      <c r="H260" s="8">
        <f>IF($K260="","",INDEX(מלאי!$U$2:$500,$K260))</f>
        <v/>
      </c>
      <c r="I260" s="8">
        <f>IF($K260="","",INDEX(מלאי!$X$2:$500,$K260))</f>
        <v/>
      </c>
      <c r="J260" s="8">
        <f>IF($K260="","",INDEX(מלאי!$AC$2:$500,$K260))</f>
        <v/>
      </c>
      <c r="K26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240),"")</f>
        <v/>
      </c>
    </row>
    <row r="261">
      <c r="A261" s="2">
        <f>IF($K261="","",INDEX(מלאי!$D$2:$500,$K261))</f>
        <v/>
      </c>
      <c r="B261" s="2">
        <f>IF($K261="","",INDEX(מלאי!$B$2:$500,$K261))</f>
        <v/>
      </c>
      <c r="C261" s="2">
        <f>IF($K261="","",INDEX(מלאי!$C$2:$500,$K261))</f>
        <v/>
      </c>
      <c r="D261" s="2">
        <f>IF($K261="","",INDEX(מלאי!$G$2:$500,$K261))</f>
        <v/>
      </c>
      <c r="E261" s="2">
        <f>IF($K261="","",INDEX(מלאי!$M$2:$500,$K261))</f>
        <v/>
      </c>
      <c r="F261" s="2">
        <f>IF($K261="","",INDEX(מלאי!$N$2:$500,$K261))</f>
        <v/>
      </c>
      <c r="G261" s="2">
        <f>IF($K261="","",INDEX(מלאי!$O$2:$500,$K261))</f>
        <v/>
      </c>
      <c r="H261" s="2">
        <f>IF($K261="","",INDEX(מלאי!$U$2:$500,$K261))</f>
        <v/>
      </c>
      <c r="I261" s="2">
        <f>IF($K261="","",INDEX(מלאי!$X$2:$500,$K261))</f>
        <v/>
      </c>
      <c r="J261" s="2">
        <f>IF($K261="","",INDEX(מלאי!$AC$2:$500,$K261))</f>
        <v/>
      </c>
      <c r="K26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241),"")</f>
        <v/>
      </c>
    </row>
    <row r="262">
      <c r="A262" s="8">
        <f>IF($K262="","",INDEX(מלאי!$D$2:$500,$K262))</f>
        <v/>
      </c>
      <c r="B262" s="8">
        <f>IF($K262="","",INDEX(מלאי!$B$2:$500,$K262))</f>
        <v/>
      </c>
      <c r="C262" s="8">
        <f>IF($K262="","",INDEX(מלאי!$C$2:$500,$K262))</f>
        <v/>
      </c>
      <c r="D262" s="8">
        <f>IF($K262="","",INDEX(מלאי!$G$2:$500,$K262))</f>
        <v/>
      </c>
      <c r="E262" s="8">
        <f>IF($K262="","",INDEX(מלאי!$M$2:$500,$K262))</f>
        <v/>
      </c>
      <c r="F262" s="8">
        <f>IF($K262="","",INDEX(מלאי!$N$2:$500,$K262))</f>
        <v/>
      </c>
      <c r="G262" s="8">
        <f>IF($K262="","",INDEX(מלאי!$O$2:$500,$K262))</f>
        <v/>
      </c>
      <c r="H262" s="8">
        <f>IF($K262="","",INDEX(מלאי!$U$2:$500,$K262))</f>
        <v/>
      </c>
      <c r="I262" s="8">
        <f>IF($K262="","",INDEX(מלאי!$X$2:$500,$K262))</f>
        <v/>
      </c>
      <c r="J262" s="8">
        <f>IF($K262="","",INDEX(מלאי!$AC$2:$500,$K262))</f>
        <v/>
      </c>
      <c r="K26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242),"")</f>
        <v/>
      </c>
    </row>
    <row r="263">
      <c r="A263" s="2">
        <f>IF($K263="","",INDEX(מלאי!$D$2:$500,$K263))</f>
        <v/>
      </c>
      <c r="B263" s="2">
        <f>IF($K263="","",INDEX(מלאי!$B$2:$500,$K263))</f>
        <v/>
      </c>
      <c r="C263" s="2">
        <f>IF($K263="","",INDEX(מלאי!$C$2:$500,$K263))</f>
        <v/>
      </c>
      <c r="D263" s="2">
        <f>IF($K263="","",INDEX(מלאי!$G$2:$500,$K263))</f>
        <v/>
      </c>
      <c r="E263" s="2">
        <f>IF($K263="","",INDEX(מלאי!$M$2:$500,$K263))</f>
        <v/>
      </c>
      <c r="F263" s="2">
        <f>IF($K263="","",INDEX(מלאי!$N$2:$500,$K263))</f>
        <v/>
      </c>
      <c r="G263" s="2">
        <f>IF($K263="","",INDEX(מלאי!$O$2:$500,$K263))</f>
        <v/>
      </c>
      <c r="H263" s="2">
        <f>IF($K263="","",INDEX(מלאי!$U$2:$500,$K263))</f>
        <v/>
      </c>
      <c r="I263" s="2">
        <f>IF($K263="","",INDEX(מלאי!$X$2:$500,$K263))</f>
        <v/>
      </c>
      <c r="J263" s="2">
        <f>IF($K263="","",INDEX(מלאי!$AC$2:$500,$K263))</f>
        <v/>
      </c>
      <c r="K26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243),"")</f>
        <v/>
      </c>
    </row>
    <row r="264">
      <c r="A264" s="8">
        <f>IF($K264="","",INDEX(מלאי!$D$2:$500,$K264))</f>
        <v/>
      </c>
      <c r="B264" s="8">
        <f>IF($K264="","",INDEX(מלאי!$B$2:$500,$K264))</f>
        <v/>
      </c>
      <c r="C264" s="8">
        <f>IF($K264="","",INDEX(מלאי!$C$2:$500,$K264))</f>
        <v/>
      </c>
      <c r="D264" s="8">
        <f>IF($K264="","",INDEX(מלאי!$G$2:$500,$K264))</f>
        <v/>
      </c>
      <c r="E264" s="8">
        <f>IF($K264="","",INDEX(מלאי!$M$2:$500,$K264))</f>
        <v/>
      </c>
      <c r="F264" s="8">
        <f>IF($K264="","",INDEX(מלאי!$N$2:$500,$K264))</f>
        <v/>
      </c>
      <c r="G264" s="8">
        <f>IF($K264="","",INDEX(מלאי!$O$2:$500,$K264))</f>
        <v/>
      </c>
      <c r="H264" s="8">
        <f>IF($K264="","",INDEX(מלאי!$U$2:$500,$K264))</f>
        <v/>
      </c>
      <c r="I264" s="8">
        <f>IF($K264="","",INDEX(מלאי!$X$2:$500,$K264))</f>
        <v/>
      </c>
      <c r="J264" s="8">
        <f>IF($K264="","",INDEX(מלאי!$AC$2:$500,$K264))</f>
        <v/>
      </c>
      <c r="K26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244),"")</f>
        <v/>
      </c>
    </row>
    <row r="265">
      <c r="A265" s="2">
        <f>IF($K265="","",INDEX(מלאי!$D$2:$500,$K265))</f>
        <v/>
      </c>
      <c r="B265" s="2">
        <f>IF($K265="","",INDEX(מלאי!$B$2:$500,$K265))</f>
        <v/>
      </c>
      <c r="C265" s="2">
        <f>IF($K265="","",INDEX(מלאי!$C$2:$500,$K265))</f>
        <v/>
      </c>
      <c r="D265" s="2">
        <f>IF($K265="","",INDEX(מלאי!$G$2:$500,$K265))</f>
        <v/>
      </c>
      <c r="E265" s="2">
        <f>IF($K265="","",INDEX(מלאי!$M$2:$500,$K265))</f>
        <v/>
      </c>
      <c r="F265" s="2">
        <f>IF($K265="","",INDEX(מלאי!$N$2:$500,$K265))</f>
        <v/>
      </c>
      <c r="G265" s="2">
        <f>IF($K265="","",INDEX(מלאי!$O$2:$500,$K265))</f>
        <v/>
      </c>
      <c r="H265" s="2">
        <f>IF($K265="","",INDEX(מלאי!$U$2:$500,$K265))</f>
        <v/>
      </c>
      <c r="I265" s="2">
        <f>IF($K265="","",INDEX(מלאי!$X$2:$500,$K265))</f>
        <v/>
      </c>
      <c r="J265" s="2">
        <f>IF($K265="","",INDEX(מלאי!$AC$2:$500,$K265))</f>
        <v/>
      </c>
      <c r="K26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245),"")</f>
        <v/>
      </c>
    </row>
    <row r="266">
      <c r="A266" s="8">
        <f>IF($K266="","",INDEX(מלאי!$D$2:$500,$K266))</f>
        <v/>
      </c>
      <c r="B266" s="8">
        <f>IF($K266="","",INDEX(מלאי!$B$2:$500,$K266))</f>
        <v/>
      </c>
      <c r="C266" s="8">
        <f>IF($K266="","",INDEX(מלאי!$C$2:$500,$K266))</f>
        <v/>
      </c>
      <c r="D266" s="8">
        <f>IF($K266="","",INDEX(מלאי!$G$2:$500,$K266))</f>
        <v/>
      </c>
      <c r="E266" s="8">
        <f>IF($K266="","",INDEX(מלאי!$M$2:$500,$K266))</f>
        <v/>
      </c>
      <c r="F266" s="8">
        <f>IF($K266="","",INDEX(מלאי!$N$2:$500,$K266))</f>
        <v/>
      </c>
      <c r="G266" s="8">
        <f>IF($K266="","",INDEX(מלאי!$O$2:$500,$K266))</f>
        <v/>
      </c>
      <c r="H266" s="8">
        <f>IF($K266="","",INDEX(מלאי!$U$2:$500,$K266))</f>
        <v/>
      </c>
      <c r="I266" s="8">
        <f>IF($K266="","",INDEX(מלאי!$X$2:$500,$K266))</f>
        <v/>
      </c>
      <c r="J266" s="8">
        <f>IF($K266="","",INDEX(מלאי!$AC$2:$500,$K266))</f>
        <v/>
      </c>
      <c r="K26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246),"")</f>
        <v/>
      </c>
    </row>
    <row r="267">
      <c r="A267" s="2">
        <f>IF($K267="","",INDEX(מלאי!$D$2:$500,$K267))</f>
        <v/>
      </c>
      <c r="B267" s="2">
        <f>IF($K267="","",INDEX(מלאי!$B$2:$500,$K267))</f>
        <v/>
      </c>
      <c r="C267" s="2">
        <f>IF($K267="","",INDEX(מלאי!$C$2:$500,$K267))</f>
        <v/>
      </c>
      <c r="D267" s="2">
        <f>IF($K267="","",INDEX(מלאי!$G$2:$500,$K267))</f>
        <v/>
      </c>
      <c r="E267" s="2">
        <f>IF($K267="","",INDEX(מלאי!$M$2:$500,$K267))</f>
        <v/>
      </c>
      <c r="F267" s="2">
        <f>IF($K267="","",INDEX(מלאי!$N$2:$500,$K267))</f>
        <v/>
      </c>
      <c r="G267" s="2">
        <f>IF($K267="","",INDEX(מלאי!$O$2:$500,$K267))</f>
        <v/>
      </c>
      <c r="H267" s="2">
        <f>IF($K267="","",INDEX(מלאי!$U$2:$500,$K267))</f>
        <v/>
      </c>
      <c r="I267" s="2">
        <f>IF($K267="","",INDEX(מלאי!$X$2:$500,$K267))</f>
        <v/>
      </c>
      <c r="J267" s="2">
        <f>IF($K267="","",INDEX(מלאי!$AC$2:$500,$K267))</f>
        <v/>
      </c>
      <c r="K26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247),"")</f>
        <v/>
      </c>
    </row>
    <row r="268">
      <c r="A268" s="8">
        <f>IF($K268="","",INDEX(מלאי!$D$2:$500,$K268))</f>
        <v/>
      </c>
      <c r="B268" s="8">
        <f>IF($K268="","",INDEX(מלאי!$B$2:$500,$K268))</f>
        <v/>
      </c>
      <c r="C268" s="8">
        <f>IF($K268="","",INDEX(מלאי!$C$2:$500,$K268))</f>
        <v/>
      </c>
      <c r="D268" s="8">
        <f>IF($K268="","",INDEX(מלאי!$G$2:$500,$K268))</f>
        <v/>
      </c>
      <c r="E268" s="8">
        <f>IF($K268="","",INDEX(מלאי!$M$2:$500,$K268))</f>
        <v/>
      </c>
      <c r="F268" s="8">
        <f>IF($K268="","",INDEX(מלאי!$N$2:$500,$K268))</f>
        <v/>
      </c>
      <c r="G268" s="8">
        <f>IF($K268="","",INDEX(מלאי!$O$2:$500,$K268))</f>
        <v/>
      </c>
      <c r="H268" s="8">
        <f>IF($K268="","",INDEX(מלאי!$U$2:$500,$K268))</f>
        <v/>
      </c>
      <c r="I268" s="8">
        <f>IF($K268="","",INDEX(מלאי!$X$2:$500,$K268))</f>
        <v/>
      </c>
      <c r="J268" s="8">
        <f>IF($K268="","",INDEX(מלאי!$AC$2:$500,$K268))</f>
        <v/>
      </c>
      <c r="K26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248),"")</f>
        <v/>
      </c>
    </row>
    <row r="269">
      <c r="A269" s="2">
        <f>IF($K269="","",INDEX(מלאי!$D$2:$500,$K269))</f>
        <v/>
      </c>
      <c r="B269" s="2">
        <f>IF($K269="","",INDEX(מלאי!$B$2:$500,$K269))</f>
        <v/>
      </c>
      <c r="C269" s="2">
        <f>IF($K269="","",INDEX(מלאי!$C$2:$500,$K269))</f>
        <v/>
      </c>
      <c r="D269" s="2">
        <f>IF($K269="","",INDEX(מלאי!$G$2:$500,$K269))</f>
        <v/>
      </c>
      <c r="E269" s="2">
        <f>IF($K269="","",INDEX(מלאי!$M$2:$500,$K269))</f>
        <v/>
      </c>
      <c r="F269" s="2">
        <f>IF($K269="","",INDEX(מלאי!$N$2:$500,$K269))</f>
        <v/>
      </c>
      <c r="G269" s="2">
        <f>IF($K269="","",INDEX(מלאי!$O$2:$500,$K269))</f>
        <v/>
      </c>
      <c r="H269" s="2">
        <f>IF($K269="","",INDEX(מלאי!$U$2:$500,$K269))</f>
        <v/>
      </c>
      <c r="I269" s="2">
        <f>IF($K269="","",INDEX(מלאי!$X$2:$500,$K269))</f>
        <v/>
      </c>
      <c r="J269" s="2">
        <f>IF($K269="","",INDEX(מלאי!$AC$2:$500,$K269))</f>
        <v/>
      </c>
      <c r="K26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249),"")</f>
        <v/>
      </c>
    </row>
    <row r="270">
      <c r="A270" s="8">
        <f>IF($K270="","",INDEX(מלאי!$D$2:$500,$K270))</f>
        <v/>
      </c>
      <c r="B270" s="8">
        <f>IF($K270="","",INDEX(מלאי!$B$2:$500,$K270))</f>
        <v/>
      </c>
      <c r="C270" s="8">
        <f>IF($K270="","",INDEX(מלאי!$C$2:$500,$K270))</f>
        <v/>
      </c>
      <c r="D270" s="8">
        <f>IF($K270="","",INDEX(מלאי!$G$2:$500,$K270))</f>
        <v/>
      </c>
      <c r="E270" s="8">
        <f>IF($K270="","",INDEX(מלאי!$M$2:$500,$K270))</f>
        <v/>
      </c>
      <c r="F270" s="8">
        <f>IF($K270="","",INDEX(מלאי!$N$2:$500,$K270))</f>
        <v/>
      </c>
      <c r="G270" s="8">
        <f>IF($K270="","",INDEX(מלאי!$O$2:$500,$K270))</f>
        <v/>
      </c>
      <c r="H270" s="8">
        <f>IF($K270="","",INDEX(מלאי!$U$2:$500,$K270))</f>
        <v/>
      </c>
      <c r="I270" s="8">
        <f>IF($K270="","",INDEX(מלאי!$X$2:$500,$K270))</f>
        <v/>
      </c>
      <c r="J270" s="8">
        <f>IF($K270="","",INDEX(מלאי!$AC$2:$500,$K270))</f>
        <v/>
      </c>
      <c r="K27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250),"")</f>
        <v/>
      </c>
    </row>
    <row r="271">
      <c r="A271" s="2">
        <f>IF($K271="","",INDEX(מלאי!$D$2:$500,$K271))</f>
        <v/>
      </c>
      <c r="B271" s="2">
        <f>IF($K271="","",INDEX(מלאי!$B$2:$500,$K271))</f>
        <v/>
      </c>
      <c r="C271" s="2">
        <f>IF($K271="","",INDEX(מלאי!$C$2:$500,$K271))</f>
        <v/>
      </c>
      <c r="D271" s="2">
        <f>IF($K271="","",INDEX(מלאי!$G$2:$500,$K271))</f>
        <v/>
      </c>
      <c r="E271" s="2">
        <f>IF($K271="","",INDEX(מלאי!$M$2:$500,$K271))</f>
        <v/>
      </c>
      <c r="F271" s="2">
        <f>IF($K271="","",INDEX(מלאי!$N$2:$500,$K271))</f>
        <v/>
      </c>
      <c r="G271" s="2">
        <f>IF($K271="","",INDEX(מלאי!$O$2:$500,$K271))</f>
        <v/>
      </c>
      <c r="H271" s="2">
        <f>IF($K271="","",INDEX(מלאי!$U$2:$500,$K271))</f>
        <v/>
      </c>
      <c r="I271" s="2">
        <f>IF($K271="","",INDEX(מלאי!$X$2:$500,$K271))</f>
        <v/>
      </c>
      <c r="J271" s="2">
        <f>IF($K271="","",INDEX(מלאי!$AC$2:$500,$K271))</f>
        <v/>
      </c>
      <c r="K27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251),"")</f>
        <v/>
      </c>
    </row>
    <row r="272">
      <c r="A272" s="8">
        <f>IF($K272="","",INDEX(מלאי!$D$2:$500,$K272))</f>
        <v/>
      </c>
      <c r="B272" s="8">
        <f>IF($K272="","",INDEX(מלאי!$B$2:$500,$K272))</f>
        <v/>
      </c>
      <c r="C272" s="8">
        <f>IF($K272="","",INDEX(מלאי!$C$2:$500,$K272))</f>
        <v/>
      </c>
      <c r="D272" s="8">
        <f>IF($K272="","",INDEX(מלאי!$G$2:$500,$K272))</f>
        <v/>
      </c>
      <c r="E272" s="8">
        <f>IF($K272="","",INDEX(מלאי!$M$2:$500,$K272))</f>
        <v/>
      </c>
      <c r="F272" s="8">
        <f>IF($K272="","",INDEX(מלאי!$N$2:$500,$K272))</f>
        <v/>
      </c>
      <c r="G272" s="8">
        <f>IF($K272="","",INDEX(מלאי!$O$2:$500,$K272))</f>
        <v/>
      </c>
      <c r="H272" s="8">
        <f>IF($K272="","",INDEX(מלאי!$U$2:$500,$K272))</f>
        <v/>
      </c>
      <c r="I272" s="8">
        <f>IF($K272="","",INDEX(מלאי!$X$2:$500,$K272))</f>
        <v/>
      </c>
      <c r="J272" s="8">
        <f>IF($K272="","",INDEX(מלאי!$AC$2:$500,$K272))</f>
        <v/>
      </c>
      <c r="K27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252),"")</f>
        <v/>
      </c>
    </row>
    <row r="273">
      <c r="A273" s="2">
        <f>IF($K273="","",INDEX(מלאי!$D$2:$500,$K273))</f>
        <v/>
      </c>
      <c r="B273" s="2">
        <f>IF($K273="","",INDEX(מלאי!$B$2:$500,$K273))</f>
        <v/>
      </c>
      <c r="C273" s="2">
        <f>IF($K273="","",INDEX(מלאי!$C$2:$500,$K273))</f>
        <v/>
      </c>
      <c r="D273" s="2">
        <f>IF($K273="","",INDEX(מלאי!$G$2:$500,$K273))</f>
        <v/>
      </c>
      <c r="E273" s="2">
        <f>IF($K273="","",INDEX(מלאי!$M$2:$500,$K273))</f>
        <v/>
      </c>
      <c r="F273" s="2">
        <f>IF($K273="","",INDEX(מלאי!$N$2:$500,$K273))</f>
        <v/>
      </c>
      <c r="G273" s="2">
        <f>IF($K273="","",INDEX(מלאי!$O$2:$500,$K273))</f>
        <v/>
      </c>
      <c r="H273" s="2">
        <f>IF($K273="","",INDEX(מלאי!$U$2:$500,$K273))</f>
        <v/>
      </c>
      <c r="I273" s="2">
        <f>IF($K273="","",INDEX(מלאי!$X$2:$500,$K273))</f>
        <v/>
      </c>
      <c r="J273" s="2">
        <f>IF($K273="","",INDEX(מלאי!$AC$2:$500,$K273))</f>
        <v/>
      </c>
      <c r="K27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253),"")</f>
        <v/>
      </c>
    </row>
    <row r="274">
      <c r="A274" s="8">
        <f>IF($K274="","",INDEX(מלאי!$D$2:$500,$K274))</f>
        <v/>
      </c>
      <c r="B274" s="8">
        <f>IF($K274="","",INDEX(מלאי!$B$2:$500,$K274))</f>
        <v/>
      </c>
      <c r="C274" s="8">
        <f>IF($K274="","",INDEX(מלאי!$C$2:$500,$K274))</f>
        <v/>
      </c>
      <c r="D274" s="8">
        <f>IF($K274="","",INDEX(מלאי!$G$2:$500,$K274))</f>
        <v/>
      </c>
      <c r="E274" s="8">
        <f>IF($K274="","",INDEX(מלאי!$M$2:$500,$K274))</f>
        <v/>
      </c>
      <c r="F274" s="8">
        <f>IF($K274="","",INDEX(מלאי!$N$2:$500,$K274))</f>
        <v/>
      </c>
      <c r="G274" s="8">
        <f>IF($K274="","",INDEX(מלאי!$O$2:$500,$K274))</f>
        <v/>
      </c>
      <c r="H274" s="8">
        <f>IF($K274="","",INDEX(מלאי!$U$2:$500,$K274))</f>
        <v/>
      </c>
      <c r="I274" s="8">
        <f>IF($K274="","",INDEX(מלאי!$X$2:$500,$K274))</f>
        <v/>
      </c>
      <c r="J274" s="8">
        <f>IF($K274="","",INDEX(מלאי!$AC$2:$500,$K274))</f>
        <v/>
      </c>
      <c r="K27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254),"")</f>
        <v/>
      </c>
    </row>
    <row r="275">
      <c r="A275" s="2">
        <f>IF($K275="","",INDEX(מלאי!$D$2:$500,$K275))</f>
        <v/>
      </c>
      <c r="B275" s="2">
        <f>IF($K275="","",INDEX(מלאי!$B$2:$500,$K275))</f>
        <v/>
      </c>
      <c r="C275" s="2">
        <f>IF($K275="","",INDEX(מלאי!$C$2:$500,$K275))</f>
        <v/>
      </c>
      <c r="D275" s="2">
        <f>IF($K275="","",INDEX(מלאי!$G$2:$500,$K275))</f>
        <v/>
      </c>
      <c r="E275" s="2">
        <f>IF($K275="","",INDEX(מלאי!$M$2:$500,$K275))</f>
        <v/>
      </c>
      <c r="F275" s="2">
        <f>IF($K275="","",INDEX(מלאי!$N$2:$500,$K275))</f>
        <v/>
      </c>
      <c r="G275" s="2">
        <f>IF($K275="","",INDEX(מלאי!$O$2:$500,$K275))</f>
        <v/>
      </c>
      <c r="H275" s="2">
        <f>IF($K275="","",INDEX(מלאי!$U$2:$500,$K275))</f>
        <v/>
      </c>
      <c r="I275" s="2">
        <f>IF($K275="","",INDEX(מלאי!$X$2:$500,$K275))</f>
        <v/>
      </c>
      <c r="J275" s="2">
        <f>IF($K275="","",INDEX(מלאי!$AC$2:$500,$K275))</f>
        <v/>
      </c>
      <c r="K27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255),"")</f>
        <v/>
      </c>
    </row>
    <row r="276">
      <c r="A276" s="8">
        <f>IF($K276="","",INDEX(מלאי!$D$2:$500,$K276))</f>
        <v/>
      </c>
      <c r="B276" s="8">
        <f>IF($K276="","",INDEX(מלאי!$B$2:$500,$K276))</f>
        <v/>
      </c>
      <c r="C276" s="8">
        <f>IF($K276="","",INDEX(מלאי!$C$2:$500,$K276))</f>
        <v/>
      </c>
      <c r="D276" s="8">
        <f>IF($K276="","",INDEX(מלאי!$G$2:$500,$K276))</f>
        <v/>
      </c>
      <c r="E276" s="8">
        <f>IF($K276="","",INDEX(מלאי!$M$2:$500,$K276))</f>
        <v/>
      </c>
      <c r="F276" s="8">
        <f>IF($K276="","",INDEX(מלאי!$N$2:$500,$K276))</f>
        <v/>
      </c>
      <c r="G276" s="8">
        <f>IF($K276="","",INDEX(מלאי!$O$2:$500,$K276))</f>
        <v/>
      </c>
      <c r="H276" s="8">
        <f>IF($K276="","",INDEX(מלאי!$U$2:$500,$K276))</f>
        <v/>
      </c>
      <c r="I276" s="8">
        <f>IF($K276="","",INDEX(מלאי!$X$2:$500,$K276))</f>
        <v/>
      </c>
      <c r="J276" s="8">
        <f>IF($K276="","",INDEX(מלאי!$AC$2:$500,$K276))</f>
        <v/>
      </c>
      <c r="K27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256),"")</f>
        <v/>
      </c>
    </row>
    <row r="277">
      <c r="A277" s="2">
        <f>IF($K277="","",INDEX(מלאי!$D$2:$500,$K277))</f>
        <v/>
      </c>
      <c r="B277" s="2">
        <f>IF($K277="","",INDEX(מלאי!$B$2:$500,$K277))</f>
        <v/>
      </c>
      <c r="C277" s="2">
        <f>IF($K277="","",INDEX(מלאי!$C$2:$500,$K277))</f>
        <v/>
      </c>
      <c r="D277" s="2">
        <f>IF($K277="","",INDEX(מלאי!$G$2:$500,$K277))</f>
        <v/>
      </c>
      <c r="E277" s="2">
        <f>IF($K277="","",INDEX(מלאי!$M$2:$500,$K277))</f>
        <v/>
      </c>
      <c r="F277" s="2">
        <f>IF($K277="","",INDEX(מלאי!$N$2:$500,$K277))</f>
        <v/>
      </c>
      <c r="G277" s="2">
        <f>IF($K277="","",INDEX(מלאי!$O$2:$500,$K277))</f>
        <v/>
      </c>
      <c r="H277" s="2">
        <f>IF($K277="","",INDEX(מלאי!$U$2:$500,$K277))</f>
        <v/>
      </c>
      <c r="I277" s="2">
        <f>IF($K277="","",INDEX(מלאי!$X$2:$500,$K277))</f>
        <v/>
      </c>
      <c r="J277" s="2">
        <f>IF($K277="","",INDEX(מלאי!$AC$2:$500,$K277))</f>
        <v/>
      </c>
      <c r="K27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257),"")</f>
        <v/>
      </c>
    </row>
    <row r="278">
      <c r="A278" s="8">
        <f>IF($K278="","",INDEX(מלאי!$D$2:$500,$K278))</f>
        <v/>
      </c>
      <c r="B278" s="8">
        <f>IF($K278="","",INDEX(מלאי!$B$2:$500,$K278))</f>
        <v/>
      </c>
      <c r="C278" s="8">
        <f>IF($K278="","",INDEX(מלאי!$C$2:$500,$K278))</f>
        <v/>
      </c>
      <c r="D278" s="8">
        <f>IF($K278="","",INDEX(מלאי!$G$2:$500,$K278))</f>
        <v/>
      </c>
      <c r="E278" s="8">
        <f>IF($K278="","",INDEX(מלאי!$M$2:$500,$K278))</f>
        <v/>
      </c>
      <c r="F278" s="8">
        <f>IF($K278="","",INDEX(מלאי!$N$2:$500,$K278))</f>
        <v/>
      </c>
      <c r="G278" s="8">
        <f>IF($K278="","",INDEX(מלאי!$O$2:$500,$K278))</f>
        <v/>
      </c>
      <c r="H278" s="8">
        <f>IF($K278="","",INDEX(מלאי!$U$2:$500,$K278))</f>
        <v/>
      </c>
      <c r="I278" s="8">
        <f>IF($K278="","",INDEX(מלאי!$X$2:$500,$K278))</f>
        <v/>
      </c>
      <c r="J278" s="8">
        <f>IF($K278="","",INDEX(מלאי!$AC$2:$500,$K278))</f>
        <v/>
      </c>
      <c r="K27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258),"")</f>
        <v/>
      </c>
    </row>
    <row r="279">
      <c r="A279" s="2">
        <f>IF($K279="","",INDEX(מלאי!$D$2:$500,$K279))</f>
        <v/>
      </c>
      <c r="B279" s="2">
        <f>IF($K279="","",INDEX(מלאי!$B$2:$500,$K279))</f>
        <v/>
      </c>
      <c r="C279" s="2">
        <f>IF($K279="","",INDEX(מלאי!$C$2:$500,$K279))</f>
        <v/>
      </c>
      <c r="D279" s="2">
        <f>IF($K279="","",INDEX(מלאי!$G$2:$500,$K279))</f>
        <v/>
      </c>
      <c r="E279" s="2">
        <f>IF($K279="","",INDEX(מלאי!$M$2:$500,$K279))</f>
        <v/>
      </c>
      <c r="F279" s="2">
        <f>IF($K279="","",INDEX(מלאי!$N$2:$500,$K279))</f>
        <v/>
      </c>
      <c r="G279" s="2">
        <f>IF($K279="","",INDEX(מלאי!$O$2:$500,$K279))</f>
        <v/>
      </c>
      <c r="H279" s="2">
        <f>IF($K279="","",INDEX(מלאי!$U$2:$500,$K279))</f>
        <v/>
      </c>
      <c r="I279" s="2">
        <f>IF($K279="","",INDEX(מלאי!$X$2:$500,$K279))</f>
        <v/>
      </c>
      <c r="J279" s="2">
        <f>IF($K279="","",INDEX(מלאי!$AC$2:$500,$K279))</f>
        <v/>
      </c>
      <c r="K27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259),"")</f>
        <v/>
      </c>
    </row>
    <row r="280">
      <c r="A280" s="8">
        <f>IF($K280="","",INDEX(מלאי!$D$2:$500,$K280))</f>
        <v/>
      </c>
      <c r="B280" s="8">
        <f>IF($K280="","",INDEX(מלאי!$B$2:$500,$K280))</f>
        <v/>
      </c>
      <c r="C280" s="8">
        <f>IF($K280="","",INDEX(מלאי!$C$2:$500,$K280))</f>
        <v/>
      </c>
      <c r="D280" s="8">
        <f>IF($K280="","",INDEX(מלאי!$G$2:$500,$K280))</f>
        <v/>
      </c>
      <c r="E280" s="8">
        <f>IF($K280="","",INDEX(מלאי!$M$2:$500,$K280))</f>
        <v/>
      </c>
      <c r="F280" s="8">
        <f>IF($K280="","",INDEX(מלאי!$N$2:$500,$K280))</f>
        <v/>
      </c>
      <c r="G280" s="8">
        <f>IF($K280="","",INDEX(מלאי!$O$2:$500,$K280))</f>
        <v/>
      </c>
      <c r="H280" s="8">
        <f>IF($K280="","",INDEX(מלאי!$U$2:$500,$K280))</f>
        <v/>
      </c>
      <c r="I280" s="8">
        <f>IF($K280="","",INDEX(מלאי!$X$2:$500,$K280))</f>
        <v/>
      </c>
      <c r="J280" s="8">
        <f>IF($K280="","",INDEX(מלאי!$AC$2:$500,$K280))</f>
        <v/>
      </c>
      <c r="K28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260),"")</f>
        <v/>
      </c>
    </row>
    <row r="281">
      <c r="A281" s="2">
        <f>IF($K281="","",INDEX(מלאי!$D$2:$500,$K281))</f>
        <v/>
      </c>
      <c r="B281" s="2">
        <f>IF($K281="","",INDEX(מלאי!$B$2:$500,$K281))</f>
        <v/>
      </c>
      <c r="C281" s="2">
        <f>IF($K281="","",INDEX(מלאי!$C$2:$500,$K281))</f>
        <v/>
      </c>
      <c r="D281" s="2">
        <f>IF($K281="","",INDEX(מלאי!$G$2:$500,$K281))</f>
        <v/>
      </c>
      <c r="E281" s="2">
        <f>IF($K281="","",INDEX(מלאי!$M$2:$500,$K281))</f>
        <v/>
      </c>
      <c r="F281" s="2">
        <f>IF($K281="","",INDEX(מלאי!$N$2:$500,$K281))</f>
        <v/>
      </c>
      <c r="G281" s="2">
        <f>IF($K281="","",INDEX(מלאי!$O$2:$500,$K281))</f>
        <v/>
      </c>
      <c r="H281" s="2">
        <f>IF($K281="","",INDEX(מלאי!$U$2:$500,$K281))</f>
        <v/>
      </c>
      <c r="I281" s="2">
        <f>IF($K281="","",INDEX(מלאי!$X$2:$500,$K281))</f>
        <v/>
      </c>
      <c r="J281" s="2">
        <f>IF($K281="","",INDEX(מלאי!$AC$2:$500,$K281))</f>
        <v/>
      </c>
      <c r="K28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261),"")</f>
        <v/>
      </c>
    </row>
    <row r="282">
      <c r="A282" s="8">
        <f>IF($K282="","",INDEX(מלאי!$D$2:$500,$K282))</f>
        <v/>
      </c>
      <c r="B282" s="8">
        <f>IF($K282="","",INDEX(מלאי!$B$2:$500,$K282))</f>
        <v/>
      </c>
      <c r="C282" s="8">
        <f>IF($K282="","",INDEX(מלאי!$C$2:$500,$K282))</f>
        <v/>
      </c>
      <c r="D282" s="8">
        <f>IF($K282="","",INDEX(מלאי!$G$2:$500,$K282))</f>
        <v/>
      </c>
      <c r="E282" s="8">
        <f>IF($K282="","",INDEX(מלאי!$M$2:$500,$K282))</f>
        <v/>
      </c>
      <c r="F282" s="8">
        <f>IF($K282="","",INDEX(מלאי!$N$2:$500,$K282))</f>
        <v/>
      </c>
      <c r="G282" s="8">
        <f>IF($K282="","",INDEX(מלאי!$O$2:$500,$K282))</f>
        <v/>
      </c>
      <c r="H282" s="8">
        <f>IF($K282="","",INDEX(מלאי!$U$2:$500,$K282))</f>
        <v/>
      </c>
      <c r="I282" s="8">
        <f>IF($K282="","",INDEX(מלאי!$X$2:$500,$K282))</f>
        <v/>
      </c>
      <c r="J282" s="8">
        <f>IF($K282="","",INDEX(מלאי!$AC$2:$500,$K282))</f>
        <v/>
      </c>
      <c r="K28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262),"")</f>
        <v/>
      </c>
    </row>
    <row r="283">
      <c r="A283" s="2">
        <f>IF($K283="","",INDEX(מלאי!$D$2:$500,$K283))</f>
        <v/>
      </c>
      <c r="B283" s="2">
        <f>IF($K283="","",INDEX(מלאי!$B$2:$500,$K283))</f>
        <v/>
      </c>
      <c r="C283" s="2">
        <f>IF($K283="","",INDEX(מלאי!$C$2:$500,$K283))</f>
        <v/>
      </c>
      <c r="D283" s="2">
        <f>IF($K283="","",INDEX(מלאי!$G$2:$500,$K283))</f>
        <v/>
      </c>
      <c r="E283" s="2">
        <f>IF($K283="","",INDEX(מלאי!$M$2:$500,$K283))</f>
        <v/>
      </c>
      <c r="F283" s="2">
        <f>IF($K283="","",INDEX(מלאי!$N$2:$500,$K283))</f>
        <v/>
      </c>
      <c r="G283" s="2">
        <f>IF($K283="","",INDEX(מלאי!$O$2:$500,$K283))</f>
        <v/>
      </c>
      <c r="H283" s="2">
        <f>IF($K283="","",INDEX(מלאי!$U$2:$500,$K283))</f>
        <v/>
      </c>
      <c r="I283" s="2">
        <f>IF($K283="","",INDEX(מלאי!$X$2:$500,$K283))</f>
        <v/>
      </c>
      <c r="J283" s="2">
        <f>IF($K283="","",INDEX(מלאי!$AC$2:$500,$K283))</f>
        <v/>
      </c>
      <c r="K28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263),"")</f>
        <v/>
      </c>
    </row>
    <row r="284">
      <c r="A284" s="8">
        <f>IF($K284="","",INDEX(מלאי!$D$2:$500,$K284))</f>
        <v/>
      </c>
      <c r="B284" s="8">
        <f>IF($K284="","",INDEX(מלאי!$B$2:$500,$K284))</f>
        <v/>
      </c>
      <c r="C284" s="8">
        <f>IF($K284="","",INDEX(מלאי!$C$2:$500,$K284))</f>
        <v/>
      </c>
      <c r="D284" s="8">
        <f>IF($K284="","",INDEX(מלאי!$G$2:$500,$K284))</f>
        <v/>
      </c>
      <c r="E284" s="8">
        <f>IF($K284="","",INDEX(מלאי!$M$2:$500,$K284))</f>
        <v/>
      </c>
      <c r="F284" s="8">
        <f>IF($K284="","",INDEX(מלאי!$N$2:$500,$K284))</f>
        <v/>
      </c>
      <c r="G284" s="8">
        <f>IF($K284="","",INDEX(מלאי!$O$2:$500,$K284))</f>
        <v/>
      </c>
      <c r="H284" s="8">
        <f>IF($K284="","",INDEX(מלאי!$U$2:$500,$K284))</f>
        <v/>
      </c>
      <c r="I284" s="8">
        <f>IF($K284="","",INDEX(מלאי!$X$2:$500,$K284))</f>
        <v/>
      </c>
      <c r="J284" s="8">
        <f>IF($K284="","",INDEX(מלאי!$AC$2:$500,$K284))</f>
        <v/>
      </c>
      <c r="K28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264),"")</f>
        <v/>
      </c>
    </row>
    <row r="285">
      <c r="A285" s="2">
        <f>IF($K285="","",INDEX(מלאי!$D$2:$500,$K285))</f>
        <v/>
      </c>
      <c r="B285" s="2">
        <f>IF($K285="","",INDEX(מלאי!$B$2:$500,$K285))</f>
        <v/>
      </c>
      <c r="C285" s="2">
        <f>IF($K285="","",INDEX(מלאי!$C$2:$500,$K285))</f>
        <v/>
      </c>
      <c r="D285" s="2">
        <f>IF($K285="","",INDEX(מלאי!$G$2:$500,$K285))</f>
        <v/>
      </c>
      <c r="E285" s="2">
        <f>IF($K285="","",INDEX(מלאי!$M$2:$500,$K285))</f>
        <v/>
      </c>
      <c r="F285" s="2">
        <f>IF($K285="","",INDEX(מלאי!$N$2:$500,$K285))</f>
        <v/>
      </c>
      <c r="G285" s="2">
        <f>IF($K285="","",INDEX(מלאי!$O$2:$500,$K285))</f>
        <v/>
      </c>
      <c r="H285" s="2">
        <f>IF($K285="","",INDEX(מלאי!$U$2:$500,$K285))</f>
        <v/>
      </c>
      <c r="I285" s="2">
        <f>IF($K285="","",INDEX(מלאי!$X$2:$500,$K285))</f>
        <v/>
      </c>
      <c r="J285" s="2">
        <f>IF($K285="","",INDEX(מלאי!$AC$2:$500,$K285))</f>
        <v/>
      </c>
      <c r="K28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265),"")</f>
        <v/>
      </c>
    </row>
    <row r="286">
      <c r="A286" s="8">
        <f>IF($K286="","",INDEX(מלאי!$D$2:$500,$K286))</f>
        <v/>
      </c>
      <c r="B286" s="8">
        <f>IF($K286="","",INDEX(מלאי!$B$2:$500,$K286))</f>
        <v/>
      </c>
      <c r="C286" s="8">
        <f>IF($K286="","",INDEX(מלאי!$C$2:$500,$K286))</f>
        <v/>
      </c>
      <c r="D286" s="8">
        <f>IF($K286="","",INDEX(מלאי!$G$2:$500,$K286))</f>
        <v/>
      </c>
      <c r="E286" s="8">
        <f>IF($K286="","",INDEX(מלאי!$M$2:$500,$K286))</f>
        <v/>
      </c>
      <c r="F286" s="8">
        <f>IF($K286="","",INDEX(מלאי!$N$2:$500,$K286))</f>
        <v/>
      </c>
      <c r="G286" s="8">
        <f>IF($K286="","",INDEX(מלאי!$O$2:$500,$K286))</f>
        <v/>
      </c>
      <c r="H286" s="8">
        <f>IF($K286="","",INDEX(מלאי!$U$2:$500,$K286))</f>
        <v/>
      </c>
      <c r="I286" s="8">
        <f>IF($K286="","",INDEX(מלאי!$X$2:$500,$K286))</f>
        <v/>
      </c>
      <c r="J286" s="8">
        <f>IF($K286="","",INDEX(מלאי!$AC$2:$500,$K286))</f>
        <v/>
      </c>
      <c r="K28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266),"")</f>
        <v/>
      </c>
    </row>
    <row r="287">
      <c r="A287" s="2">
        <f>IF($K287="","",INDEX(מלאי!$D$2:$500,$K287))</f>
        <v/>
      </c>
      <c r="B287" s="2">
        <f>IF($K287="","",INDEX(מלאי!$B$2:$500,$K287))</f>
        <v/>
      </c>
      <c r="C287" s="2">
        <f>IF($K287="","",INDEX(מלאי!$C$2:$500,$K287))</f>
        <v/>
      </c>
      <c r="D287" s="2">
        <f>IF($K287="","",INDEX(מלאי!$G$2:$500,$K287))</f>
        <v/>
      </c>
      <c r="E287" s="2">
        <f>IF($K287="","",INDEX(מלאי!$M$2:$500,$K287))</f>
        <v/>
      </c>
      <c r="F287" s="2">
        <f>IF($K287="","",INDEX(מלאי!$N$2:$500,$K287))</f>
        <v/>
      </c>
      <c r="G287" s="2">
        <f>IF($K287="","",INDEX(מלאי!$O$2:$500,$K287))</f>
        <v/>
      </c>
      <c r="H287" s="2">
        <f>IF($K287="","",INDEX(מלאי!$U$2:$500,$K287))</f>
        <v/>
      </c>
      <c r="I287" s="2">
        <f>IF($K287="","",INDEX(מלאי!$X$2:$500,$K287))</f>
        <v/>
      </c>
      <c r="J287" s="2">
        <f>IF($K287="","",INDEX(מלאי!$AC$2:$500,$K287))</f>
        <v/>
      </c>
      <c r="K28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267),"")</f>
        <v/>
      </c>
    </row>
    <row r="288">
      <c r="A288" s="8">
        <f>IF($K288="","",INDEX(מלאי!$D$2:$500,$K288))</f>
        <v/>
      </c>
      <c r="B288" s="8">
        <f>IF($K288="","",INDEX(מלאי!$B$2:$500,$K288))</f>
        <v/>
      </c>
      <c r="C288" s="8">
        <f>IF($K288="","",INDEX(מלאי!$C$2:$500,$K288))</f>
        <v/>
      </c>
      <c r="D288" s="8">
        <f>IF($K288="","",INDEX(מלאי!$G$2:$500,$K288))</f>
        <v/>
      </c>
      <c r="E288" s="8">
        <f>IF($K288="","",INDEX(מלאי!$M$2:$500,$K288))</f>
        <v/>
      </c>
      <c r="F288" s="8">
        <f>IF($K288="","",INDEX(מלאי!$N$2:$500,$K288))</f>
        <v/>
      </c>
      <c r="G288" s="8">
        <f>IF($K288="","",INDEX(מלאי!$O$2:$500,$K288))</f>
        <v/>
      </c>
      <c r="H288" s="8">
        <f>IF($K288="","",INDEX(מלאי!$U$2:$500,$K288))</f>
        <v/>
      </c>
      <c r="I288" s="8">
        <f>IF($K288="","",INDEX(מלאי!$X$2:$500,$K288))</f>
        <v/>
      </c>
      <c r="J288" s="8">
        <f>IF($K288="","",INDEX(מלאי!$AC$2:$500,$K288))</f>
        <v/>
      </c>
      <c r="K28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268),"")</f>
        <v/>
      </c>
    </row>
    <row r="289">
      <c r="A289" s="2">
        <f>IF($K289="","",INDEX(מלאי!$D$2:$500,$K289))</f>
        <v/>
      </c>
      <c r="B289" s="2">
        <f>IF($K289="","",INDEX(מלאי!$B$2:$500,$K289))</f>
        <v/>
      </c>
      <c r="C289" s="2">
        <f>IF($K289="","",INDEX(מלאי!$C$2:$500,$K289))</f>
        <v/>
      </c>
      <c r="D289" s="2">
        <f>IF($K289="","",INDEX(מלאי!$G$2:$500,$K289))</f>
        <v/>
      </c>
      <c r="E289" s="2">
        <f>IF($K289="","",INDEX(מלאי!$M$2:$500,$K289))</f>
        <v/>
      </c>
      <c r="F289" s="2">
        <f>IF($K289="","",INDEX(מלאי!$N$2:$500,$K289))</f>
        <v/>
      </c>
      <c r="G289" s="2">
        <f>IF($K289="","",INDEX(מלאי!$O$2:$500,$K289))</f>
        <v/>
      </c>
      <c r="H289" s="2">
        <f>IF($K289="","",INDEX(מלאי!$U$2:$500,$K289))</f>
        <v/>
      </c>
      <c r="I289" s="2">
        <f>IF($K289="","",INDEX(מלאי!$X$2:$500,$K289))</f>
        <v/>
      </c>
      <c r="J289" s="2">
        <f>IF($K289="","",INDEX(מלאי!$AC$2:$500,$K289))</f>
        <v/>
      </c>
      <c r="K28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269),"")</f>
        <v/>
      </c>
    </row>
    <row r="290">
      <c r="A290" s="8">
        <f>IF($K290="","",INDEX(מלאי!$D$2:$500,$K290))</f>
        <v/>
      </c>
      <c r="B290" s="8">
        <f>IF($K290="","",INDEX(מלאי!$B$2:$500,$K290))</f>
        <v/>
      </c>
      <c r="C290" s="8">
        <f>IF($K290="","",INDEX(מלאי!$C$2:$500,$K290))</f>
        <v/>
      </c>
      <c r="D290" s="8">
        <f>IF($K290="","",INDEX(מלאי!$G$2:$500,$K290))</f>
        <v/>
      </c>
      <c r="E290" s="8">
        <f>IF($K290="","",INDEX(מלאי!$M$2:$500,$K290))</f>
        <v/>
      </c>
      <c r="F290" s="8">
        <f>IF($K290="","",INDEX(מלאי!$N$2:$500,$K290))</f>
        <v/>
      </c>
      <c r="G290" s="8">
        <f>IF($K290="","",INDEX(מלאי!$O$2:$500,$K290))</f>
        <v/>
      </c>
      <c r="H290" s="8">
        <f>IF($K290="","",INDEX(מלאי!$U$2:$500,$K290))</f>
        <v/>
      </c>
      <c r="I290" s="8">
        <f>IF($K290="","",INDEX(מלאי!$X$2:$500,$K290))</f>
        <v/>
      </c>
      <c r="J290" s="8">
        <f>IF($K290="","",INDEX(מלאי!$AC$2:$500,$K290))</f>
        <v/>
      </c>
      <c r="K29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270),"")</f>
        <v/>
      </c>
    </row>
    <row r="291">
      <c r="A291" s="2">
        <f>IF($K291="","",INDEX(מלאי!$D$2:$500,$K291))</f>
        <v/>
      </c>
      <c r="B291" s="2">
        <f>IF($K291="","",INDEX(מלאי!$B$2:$500,$K291))</f>
        <v/>
      </c>
      <c r="C291" s="2">
        <f>IF($K291="","",INDEX(מלאי!$C$2:$500,$K291))</f>
        <v/>
      </c>
      <c r="D291" s="2">
        <f>IF($K291="","",INDEX(מלאי!$G$2:$500,$K291))</f>
        <v/>
      </c>
      <c r="E291" s="2">
        <f>IF($K291="","",INDEX(מלאי!$M$2:$500,$K291))</f>
        <v/>
      </c>
      <c r="F291" s="2">
        <f>IF($K291="","",INDEX(מלאי!$N$2:$500,$K291))</f>
        <v/>
      </c>
      <c r="G291" s="2">
        <f>IF($K291="","",INDEX(מלאי!$O$2:$500,$K291))</f>
        <v/>
      </c>
      <c r="H291" s="2">
        <f>IF($K291="","",INDEX(מלאי!$U$2:$500,$K291))</f>
        <v/>
      </c>
      <c r="I291" s="2">
        <f>IF($K291="","",INDEX(מלאי!$X$2:$500,$K291))</f>
        <v/>
      </c>
      <c r="J291" s="2">
        <f>IF($K291="","",INDEX(מלאי!$AC$2:$500,$K291))</f>
        <v/>
      </c>
      <c r="K29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271),"")</f>
        <v/>
      </c>
    </row>
    <row r="292">
      <c r="A292" s="8">
        <f>IF($K292="","",INDEX(מלאי!$D$2:$500,$K292))</f>
        <v/>
      </c>
      <c r="B292" s="8">
        <f>IF($K292="","",INDEX(מלאי!$B$2:$500,$K292))</f>
        <v/>
      </c>
      <c r="C292" s="8">
        <f>IF($K292="","",INDEX(מלאי!$C$2:$500,$K292))</f>
        <v/>
      </c>
      <c r="D292" s="8">
        <f>IF($K292="","",INDEX(מלאי!$G$2:$500,$K292))</f>
        <v/>
      </c>
      <c r="E292" s="8">
        <f>IF($K292="","",INDEX(מלאי!$M$2:$500,$K292))</f>
        <v/>
      </c>
      <c r="F292" s="8">
        <f>IF($K292="","",INDEX(מלאי!$N$2:$500,$K292))</f>
        <v/>
      </c>
      <c r="G292" s="8">
        <f>IF($K292="","",INDEX(מלאי!$O$2:$500,$K292))</f>
        <v/>
      </c>
      <c r="H292" s="8">
        <f>IF($K292="","",INDEX(מלאי!$U$2:$500,$K292))</f>
        <v/>
      </c>
      <c r="I292" s="8">
        <f>IF($K292="","",INDEX(מלאי!$X$2:$500,$K292))</f>
        <v/>
      </c>
      <c r="J292" s="8">
        <f>IF($K292="","",INDEX(מלאי!$AC$2:$500,$K292))</f>
        <v/>
      </c>
      <c r="K29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272),"")</f>
        <v/>
      </c>
    </row>
    <row r="293">
      <c r="A293" s="2">
        <f>IF($K293="","",INDEX(מלאי!$D$2:$500,$K293))</f>
        <v/>
      </c>
      <c r="B293" s="2">
        <f>IF($K293="","",INDEX(מלאי!$B$2:$500,$K293))</f>
        <v/>
      </c>
      <c r="C293" s="2">
        <f>IF($K293="","",INDEX(מלאי!$C$2:$500,$K293))</f>
        <v/>
      </c>
      <c r="D293" s="2">
        <f>IF($K293="","",INDEX(מלאי!$G$2:$500,$K293))</f>
        <v/>
      </c>
      <c r="E293" s="2">
        <f>IF($K293="","",INDEX(מלאי!$M$2:$500,$K293))</f>
        <v/>
      </c>
      <c r="F293" s="2">
        <f>IF($K293="","",INDEX(מלאי!$N$2:$500,$K293))</f>
        <v/>
      </c>
      <c r="G293" s="2">
        <f>IF($K293="","",INDEX(מלאי!$O$2:$500,$K293))</f>
        <v/>
      </c>
      <c r="H293" s="2">
        <f>IF($K293="","",INDEX(מלאי!$U$2:$500,$K293))</f>
        <v/>
      </c>
      <c r="I293" s="2">
        <f>IF($K293="","",INDEX(מלאי!$X$2:$500,$K293))</f>
        <v/>
      </c>
      <c r="J293" s="2">
        <f>IF($K293="","",INDEX(מלאי!$AC$2:$500,$K293))</f>
        <v/>
      </c>
      <c r="K29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273),"")</f>
        <v/>
      </c>
    </row>
    <row r="294">
      <c r="A294" s="8">
        <f>IF($K294="","",INDEX(מלאי!$D$2:$500,$K294))</f>
        <v/>
      </c>
      <c r="B294" s="8">
        <f>IF($K294="","",INDEX(מלאי!$B$2:$500,$K294))</f>
        <v/>
      </c>
      <c r="C294" s="8">
        <f>IF($K294="","",INDEX(מלאי!$C$2:$500,$K294))</f>
        <v/>
      </c>
      <c r="D294" s="8">
        <f>IF($K294="","",INDEX(מלאי!$G$2:$500,$K294))</f>
        <v/>
      </c>
      <c r="E294" s="8">
        <f>IF($K294="","",INDEX(מלאי!$M$2:$500,$K294))</f>
        <v/>
      </c>
      <c r="F294" s="8">
        <f>IF($K294="","",INDEX(מלאי!$N$2:$500,$K294))</f>
        <v/>
      </c>
      <c r="G294" s="8">
        <f>IF($K294="","",INDEX(מלאי!$O$2:$500,$K294))</f>
        <v/>
      </c>
      <c r="H294" s="8">
        <f>IF($K294="","",INDEX(מלאי!$U$2:$500,$K294))</f>
        <v/>
      </c>
      <c r="I294" s="8">
        <f>IF($K294="","",INDEX(מלאי!$X$2:$500,$K294))</f>
        <v/>
      </c>
      <c r="J294" s="8">
        <f>IF($K294="","",INDEX(מלאי!$AC$2:$500,$K294))</f>
        <v/>
      </c>
      <c r="K29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274),"")</f>
        <v/>
      </c>
    </row>
    <row r="295">
      <c r="A295" s="2">
        <f>IF($K295="","",INDEX(מלאי!$D$2:$500,$K295))</f>
        <v/>
      </c>
      <c r="B295" s="2">
        <f>IF($K295="","",INDEX(מלאי!$B$2:$500,$K295))</f>
        <v/>
      </c>
      <c r="C295" s="2">
        <f>IF($K295="","",INDEX(מלאי!$C$2:$500,$K295))</f>
        <v/>
      </c>
      <c r="D295" s="2">
        <f>IF($K295="","",INDEX(מלאי!$G$2:$500,$K295))</f>
        <v/>
      </c>
      <c r="E295" s="2">
        <f>IF($K295="","",INDEX(מלאי!$M$2:$500,$K295))</f>
        <v/>
      </c>
      <c r="F295" s="2">
        <f>IF($K295="","",INDEX(מלאי!$N$2:$500,$K295))</f>
        <v/>
      </c>
      <c r="G295" s="2">
        <f>IF($K295="","",INDEX(מלאי!$O$2:$500,$K295))</f>
        <v/>
      </c>
      <c r="H295" s="2">
        <f>IF($K295="","",INDEX(מלאי!$U$2:$500,$K295))</f>
        <v/>
      </c>
      <c r="I295" s="2">
        <f>IF($K295="","",INDEX(מלאי!$X$2:$500,$K295))</f>
        <v/>
      </c>
      <c r="J295" s="2">
        <f>IF($K295="","",INDEX(מלאי!$AC$2:$500,$K295))</f>
        <v/>
      </c>
      <c r="K29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275),"")</f>
        <v/>
      </c>
    </row>
    <row r="296">
      <c r="A296" s="8">
        <f>IF($K296="","",INDEX(מלאי!$D$2:$500,$K296))</f>
        <v/>
      </c>
      <c r="B296" s="8">
        <f>IF($K296="","",INDEX(מלאי!$B$2:$500,$K296))</f>
        <v/>
      </c>
      <c r="C296" s="8">
        <f>IF($K296="","",INDEX(מלאי!$C$2:$500,$K296))</f>
        <v/>
      </c>
      <c r="D296" s="8">
        <f>IF($K296="","",INDEX(מלאי!$G$2:$500,$K296))</f>
        <v/>
      </c>
      <c r="E296" s="8">
        <f>IF($K296="","",INDEX(מלאי!$M$2:$500,$K296))</f>
        <v/>
      </c>
      <c r="F296" s="8">
        <f>IF($K296="","",INDEX(מלאי!$N$2:$500,$K296))</f>
        <v/>
      </c>
      <c r="G296" s="8">
        <f>IF($K296="","",INDEX(מלאי!$O$2:$500,$K296))</f>
        <v/>
      </c>
      <c r="H296" s="8">
        <f>IF($K296="","",INDEX(מלאי!$U$2:$500,$K296))</f>
        <v/>
      </c>
      <c r="I296" s="8">
        <f>IF($K296="","",INDEX(מלאי!$X$2:$500,$K296))</f>
        <v/>
      </c>
      <c r="J296" s="8">
        <f>IF($K296="","",INDEX(מלאי!$AC$2:$500,$K296))</f>
        <v/>
      </c>
      <c r="K29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276),"")</f>
        <v/>
      </c>
    </row>
    <row r="297">
      <c r="A297" s="2">
        <f>IF($K297="","",INDEX(מלאי!$D$2:$500,$K297))</f>
        <v/>
      </c>
      <c r="B297" s="2">
        <f>IF($K297="","",INDEX(מלאי!$B$2:$500,$K297))</f>
        <v/>
      </c>
      <c r="C297" s="2">
        <f>IF($K297="","",INDEX(מלאי!$C$2:$500,$K297))</f>
        <v/>
      </c>
      <c r="D297" s="2">
        <f>IF($K297="","",INDEX(מלאי!$G$2:$500,$K297))</f>
        <v/>
      </c>
      <c r="E297" s="2">
        <f>IF($K297="","",INDEX(מלאי!$M$2:$500,$K297))</f>
        <v/>
      </c>
      <c r="F297" s="2">
        <f>IF($K297="","",INDEX(מלאי!$N$2:$500,$K297))</f>
        <v/>
      </c>
      <c r="G297" s="2">
        <f>IF($K297="","",INDEX(מלאי!$O$2:$500,$K297))</f>
        <v/>
      </c>
      <c r="H297" s="2">
        <f>IF($K297="","",INDEX(מלאי!$U$2:$500,$K297))</f>
        <v/>
      </c>
      <c r="I297" s="2">
        <f>IF($K297="","",INDEX(מלאי!$X$2:$500,$K297))</f>
        <v/>
      </c>
      <c r="J297" s="2">
        <f>IF($K297="","",INDEX(מלאי!$AC$2:$500,$K297))</f>
        <v/>
      </c>
      <c r="K29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277),"")</f>
        <v/>
      </c>
    </row>
    <row r="298">
      <c r="A298" s="8">
        <f>IF($K298="","",INDEX(מלאי!$D$2:$500,$K298))</f>
        <v/>
      </c>
      <c r="B298" s="8">
        <f>IF($K298="","",INDEX(מלאי!$B$2:$500,$K298))</f>
        <v/>
      </c>
      <c r="C298" s="8">
        <f>IF($K298="","",INDEX(מלאי!$C$2:$500,$K298))</f>
        <v/>
      </c>
      <c r="D298" s="8">
        <f>IF($K298="","",INDEX(מלאי!$G$2:$500,$K298))</f>
        <v/>
      </c>
      <c r="E298" s="8">
        <f>IF($K298="","",INDEX(מלאי!$M$2:$500,$K298))</f>
        <v/>
      </c>
      <c r="F298" s="8">
        <f>IF($K298="","",INDEX(מלאי!$N$2:$500,$K298))</f>
        <v/>
      </c>
      <c r="G298" s="8">
        <f>IF($K298="","",INDEX(מלאי!$O$2:$500,$K298))</f>
        <v/>
      </c>
      <c r="H298" s="8">
        <f>IF($K298="","",INDEX(מלאי!$U$2:$500,$K298))</f>
        <v/>
      </c>
      <c r="I298" s="8">
        <f>IF($K298="","",INDEX(מלאי!$X$2:$500,$K298))</f>
        <v/>
      </c>
      <c r="J298" s="8">
        <f>IF($K298="","",INDEX(מלאי!$AC$2:$500,$K298))</f>
        <v/>
      </c>
      <c r="K29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278),"")</f>
        <v/>
      </c>
    </row>
    <row r="299">
      <c r="A299" s="2">
        <f>IF($K299="","",INDEX(מלאי!$D$2:$500,$K299))</f>
        <v/>
      </c>
      <c r="B299" s="2">
        <f>IF($K299="","",INDEX(מלאי!$B$2:$500,$K299))</f>
        <v/>
      </c>
      <c r="C299" s="2">
        <f>IF($K299="","",INDEX(מלאי!$C$2:$500,$K299))</f>
        <v/>
      </c>
      <c r="D299" s="2">
        <f>IF($K299="","",INDEX(מלאי!$G$2:$500,$K299))</f>
        <v/>
      </c>
      <c r="E299" s="2">
        <f>IF($K299="","",INDEX(מלאי!$M$2:$500,$K299))</f>
        <v/>
      </c>
      <c r="F299" s="2">
        <f>IF($K299="","",INDEX(מלאי!$N$2:$500,$K299))</f>
        <v/>
      </c>
      <c r="G299" s="2">
        <f>IF($K299="","",INDEX(מלאי!$O$2:$500,$K299))</f>
        <v/>
      </c>
      <c r="H299" s="2">
        <f>IF($K299="","",INDEX(מלאי!$U$2:$500,$K299))</f>
        <v/>
      </c>
      <c r="I299" s="2">
        <f>IF($K299="","",INDEX(מלאי!$X$2:$500,$K299))</f>
        <v/>
      </c>
      <c r="J299" s="2">
        <f>IF($K299="","",INDEX(מלאי!$AC$2:$500,$K299))</f>
        <v/>
      </c>
      <c r="K29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279),"")</f>
        <v/>
      </c>
    </row>
    <row r="300">
      <c r="A300" s="8">
        <f>IF($K300="","",INDEX(מלאי!$D$2:$500,$K300))</f>
        <v/>
      </c>
      <c r="B300" s="8">
        <f>IF($K300="","",INDEX(מלאי!$B$2:$500,$K300))</f>
        <v/>
      </c>
      <c r="C300" s="8">
        <f>IF($K300="","",INDEX(מלאי!$C$2:$500,$K300))</f>
        <v/>
      </c>
      <c r="D300" s="8">
        <f>IF($K300="","",INDEX(מלאי!$G$2:$500,$K300))</f>
        <v/>
      </c>
      <c r="E300" s="8">
        <f>IF($K300="","",INDEX(מלאי!$M$2:$500,$K300))</f>
        <v/>
      </c>
      <c r="F300" s="8">
        <f>IF($K300="","",INDEX(מלאי!$N$2:$500,$K300))</f>
        <v/>
      </c>
      <c r="G300" s="8">
        <f>IF($K300="","",INDEX(מלאי!$O$2:$500,$K300))</f>
        <v/>
      </c>
      <c r="H300" s="8">
        <f>IF($K300="","",INDEX(מלאי!$U$2:$500,$K300))</f>
        <v/>
      </c>
      <c r="I300" s="8">
        <f>IF($K300="","",INDEX(מלאי!$X$2:$500,$K300))</f>
        <v/>
      </c>
      <c r="J300" s="8">
        <f>IF($K300="","",INDEX(מלאי!$AC$2:$500,$K300))</f>
        <v/>
      </c>
      <c r="K30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280),"")</f>
        <v/>
      </c>
    </row>
    <row r="301">
      <c r="A301" s="2">
        <f>IF($K301="","",INDEX(מלאי!$D$2:$500,$K301))</f>
        <v/>
      </c>
      <c r="B301" s="2">
        <f>IF($K301="","",INDEX(מלאי!$B$2:$500,$K301))</f>
        <v/>
      </c>
      <c r="C301" s="2">
        <f>IF($K301="","",INDEX(מלאי!$C$2:$500,$K301))</f>
        <v/>
      </c>
      <c r="D301" s="2">
        <f>IF($K301="","",INDEX(מלאי!$G$2:$500,$K301))</f>
        <v/>
      </c>
      <c r="E301" s="2">
        <f>IF($K301="","",INDEX(מלאי!$M$2:$500,$K301))</f>
        <v/>
      </c>
      <c r="F301" s="2">
        <f>IF($K301="","",INDEX(מלאי!$N$2:$500,$K301))</f>
        <v/>
      </c>
      <c r="G301" s="2">
        <f>IF($K301="","",INDEX(מלאי!$O$2:$500,$K301))</f>
        <v/>
      </c>
      <c r="H301" s="2">
        <f>IF($K301="","",INDEX(מלאי!$U$2:$500,$K301))</f>
        <v/>
      </c>
      <c r="I301" s="2">
        <f>IF($K301="","",INDEX(מלאי!$X$2:$500,$K301))</f>
        <v/>
      </c>
      <c r="J301" s="2">
        <f>IF($K301="","",INDEX(מלאי!$AC$2:$500,$K301))</f>
        <v/>
      </c>
      <c r="K30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281),"")</f>
        <v/>
      </c>
    </row>
    <row r="302">
      <c r="A302" s="8">
        <f>IF($K302="","",INDEX(מלאי!$D$2:$500,$K302))</f>
        <v/>
      </c>
      <c r="B302" s="8">
        <f>IF($K302="","",INDEX(מלאי!$B$2:$500,$K302))</f>
        <v/>
      </c>
      <c r="C302" s="8">
        <f>IF($K302="","",INDEX(מלאי!$C$2:$500,$K302))</f>
        <v/>
      </c>
      <c r="D302" s="8">
        <f>IF($K302="","",INDEX(מלאי!$G$2:$500,$K302))</f>
        <v/>
      </c>
      <c r="E302" s="8">
        <f>IF($K302="","",INDEX(מלאי!$M$2:$500,$K302))</f>
        <v/>
      </c>
      <c r="F302" s="8">
        <f>IF($K302="","",INDEX(מלאי!$N$2:$500,$K302))</f>
        <v/>
      </c>
      <c r="G302" s="8">
        <f>IF($K302="","",INDEX(מלאי!$O$2:$500,$K302))</f>
        <v/>
      </c>
      <c r="H302" s="8">
        <f>IF($K302="","",INDEX(מלאי!$U$2:$500,$K302))</f>
        <v/>
      </c>
      <c r="I302" s="8">
        <f>IF($K302="","",INDEX(מלאי!$X$2:$500,$K302))</f>
        <v/>
      </c>
      <c r="J302" s="8">
        <f>IF($K302="","",INDEX(מלאי!$AC$2:$500,$K302))</f>
        <v/>
      </c>
      <c r="K30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282),"")</f>
        <v/>
      </c>
    </row>
    <row r="303">
      <c r="A303" s="2">
        <f>IF($K303="","",INDEX(מלאי!$D$2:$500,$K303))</f>
        <v/>
      </c>
      <c r="B303" s="2">
        <f>IF($K303="","",INDEX(מלאי!$B$2:$500,$K303))</f>
        <v/>
      </c>
      <c r="C303" s="2">
        <f>IF($K303="","",INDEX(מלאי!$C$2:$500,$K303))</f>
        <v/>
      </c>
      <c r="D303" s="2">
        <f>IF($K303="","",INDEX(מלאי!$G$2:$500,$K303))</f>
        <v/>
      </c>
      <c r="E303" s="2">
        <f>IF($K303="","",INDEX(מלאי!$M$2:$500,$K303))</f>
        <v/>
      </c>
      <c r="F303" s="2">
        <f>IF($K303="","",INDEX(מלאי!$N$2:$500,$K303))</f>
        <v/>
      </c>
      <c r="G303" s="2">
        <f>IF($K303="","",INDEX(מלאי!$O$2:$500,$K303))</f>
        <v/>
      </c>
      <c r="H303" s="2">
        <f>IF($K303="","",INDEX(מלאי!$U$2:$500,$K303))</f>
        <v/>
      </c>
      <c r="I303" s="2">
        <f>IF($K303="","",INDEX(מלאי!$X$2:$500,$K303))</f>
        <v/>
      </c>
      <c r="J303" s="2">
        <f>IF($K303="","",INDEX(מלאי!$AC$2:$500,$K303))</f>
        <v/>
      </c>
      <c r="K30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283),"")</f>
        <v/>
      </c>
    </row>
    <row r="304">
      <c r="A304" s="8">
        <f>IF($K304="","",INDEX(מלאי!$D$2:$500,$K304))</f>
        <v/>
      </c>
      <c r="B304" s="8">
        <f>IF($K304="","",INDEX(מלאי!$B$2:$500,$K304))</f>
        <v/>
      </c>
      <c r="C304" s="8">
        <f>IF($K304="","",INDEX(מלאי!$C$2:$500,$K304))</f>
        <v/>
      </c>
      <c r="D304" s="8">
        <f>IF($K304="","",INDEX(מלאי!$G$2:$500,$K304))</f>
        <v/>
      </c>
      <c r="E304" s="8">
        <f>IF($K304="","",INDEX(מלאי!$M$2:$500,$K304))</f>
        <v/>
      </c>
      <c r="F304" s="8">
        <f>IF($K304="","",INDEX(מלאי!$N$2:$500,$K304))</f>
        <v/>
      </c>
      <c r="G304" s="8">
        <f>IF($K304="","",INDEX(מלאי!$O$2:$500,$K304))</f>
        <v/>
      </c>
      <c r="H304" s="8">
        <f>IF($K304="","",INDEX(מלאי!$U$2:$500,$K304))</f>
        <v/>
      </c>
      <c r="I304" s="8">
        <f>IF($K304="","",INDEX(מלאי!$X$2:$500,$K304))</f>
        <v/>
      </c>
      <c r="J304" s="8">
        <f>IF($K304="","",INDEX(מלאי!$AC$2:$500,$K304))</f>
        <v/>
      </c>
      <c r="K30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284),"")</f>
        <v/>
      </c>
    </row>
    <row r="305">
      <c r="A305" s="2">
        <f>IF($K305="","",INDEX(מלאי!$D$2:$500,$K305))</f>
        <v/>
      </c>
      <c r="B305" s="2">
        <f>IF($K305="","",INDEX(מלאי!$B$2:$500,$K305))</f>
        <v/>
      </c>
      <c r="C305" s="2">
        <f>IF($K305="","",INDEX(מלאי!$C$2:$500,$K305))</f>
        <v/>
      </c>
      <c r="D305" s="2">
        <f>IF($K305="","",INDEX(מלאי!$G$2:$500,$K305))</f>
        <v/>
      </c>
      <c r="E305" s="2">
        <f>IF($K305="","",INDEX(מלאי!$M$2:$500,$K305))</f>
        <v/>
      </c>
      <c r="F305" s="2">
        <f>IF($K305="","",INDEX(מלאי!$N$2:$500,$K305))</f>
        <v/>
      </c>
      <c r="G305" s="2">
        <f>IF($K305="","",INDEX(מלאי!$O$2:$500,$K305))</f>
        <v/>
      </c>
      <c r="H305" s="2">
        <f>IF($K305="","",INDEX(מלאי!$U$2:$500,$K305))</f>
        <v/>
      </c>
      <c r="I305" s="2">
        <f>IF($K305="","",INDEX(מלאי!$X$2:$500,$K305))</f>
        <v/>
      </c>
      <c r="J305" s="2">
        <f>IF($K305="","",INDEX(מלאי!$AC$2:$500,$K305))</f>
        <v/>
      </c>
      <c r="K30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285),"")</f>
        <v/>
      </c>
    </row>
    <row r="306">
      <c r="A306" s="8">
        <f>IF($K306="","",INDEX(מלאי!$D$2:$500,$K306))</f>
        <v/>
      </c>
      <c r="B306" s="8">
        <f>IF($K306="","",INDEX(מלאי!$B$2:$500,$K306))</f>
        <v/>
      </c>
      <c r="C306" s="8">
        <f>IF($K306="","",INDEX(מלאי!$C$2:$500,$K306))</f>
        <v/>
      </c>
      <c r="D306" s="8">
        <f>IF($K306="","",INDEX(מלאי!$G$2:$500,$K306))</f>
        <v/>
      </c>
      <c r="E306" s="8">
        <f>IF($K306="","",INDEX(מלאי!$M$2:$500,$K306))</f>
        <v/>
      </c>
      <c r="F306" s="8">
        <f>IF($K306="","",INDEX(מלאי!$N$2:$500,$K306))</f>
        <v/>
      </c>
      <c r="G306" s="8">
        <f>IF($K306="","",INDEX(מלאי!$O$2:$500,$K306))</f>
        <v/>
      </c>
      <c r="H306" s="8">
        <f>IF($K306="","",INDEX(מלאי!$U$2:$500,$K306))</f>
        <v/>
      </c>
      <c r="I306" s="8">
        <f>IF($K306="","",INDEX(מלאי!$X$2:$500,$K306))</f>
        <v/>
      </c>
      <c r="J306" s="8">
        <f>IF($K306="","",INDEX(מלאי!$AC$2:$500,$K306))</f>
        <v/>
      </c>
      <c r="K30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286),"")</f>
        <v/>
      </c>
    </row>
    <row r="307">
      <c r="A307" s="2">
        <f>IF($K307="","",INDEX(מלאי!$D$2:$500,$K307))</f>
        <v/>
      </c>
      <c r="B307" s="2">
        <f>IF($K307="","",INDEX(מלאי!$B$2:$500,$K307))</f>
        <v/>
      </c>
      <c r="C307" s="2">
        <f>IF($K307="","",INDEX(מלאי!$C$2:$500,$K307))</f>
        <v/>
      </c>
      <c r="D307" s="2">
        <f>IF($K307="","",INDEX(מלאי!$G$2:$500,$K307))</f>
        <v/>
      </c>
      <c r="E307" s="2">
        <f>IF($K307="","",INDEX(מלאי!$M$2:$500,$K307))</f>
        <v/>
      </c>
      <c r="F307" s="2">
        <f>IF($K307="","",INDEX(מלאי!$N$2:$500,$K307))</f>
        <v/>
      </c>
      <c r="G307" s="2">
        <f>IF($K307="","",INDEX(מלאי!$O$2:$500,$K307))</f>
        <v/>
      </c>
      <c r="H307" s="2">
        <f>IF($K307="","",INDEX(מלאי!$U$2:$500,$K307))</f>
        <v/>
      </c>
      <c r="I307" s="2">
        <f>IF($K307="","",INDEX(מלאי!$X$2:$500,$K307))</f>
        <v/>
      </c>
      <c r="J307" s="2">
        <f>IF($K307="","",INDEX(מלאי!$AC$2:$500,$K307))</f>
        <v/>
      </c>
      <c r="K30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287),"")</f>
        <v/>
      </c>
    </row>
    <row r="308">
      <c r="A308" s="8">
        <f>IF($K308="","",INDEX(מלאי!$D$2:$500,$K308))</f>
        <v/>
      </c>
      <c r="B308" s="8">
        <f>IF($K308="","",INDEX(מלאי!$B$2:$500,$K308))</f>
        <v/>
      </c>
      <c r="C308" s="8">
        <f>IF($K308="","",INDEX(מלאי!$C$2:$500,$K308))</f>
        <v/>
      </c>
      <c r="D308" s="8">
        <f>IF($K308="","",INDEX(מלאי!$G$2:$500,$K308))</f>
        <v/>
      </c>
      <c r="E308" s="8">
        <f>IF($K308="","",INDEX(מלאי!$M$2:$500,$K308))</f>
        <v/>
      </c>
      <c r="F308" s="8">
        <f>IF($K308="","",INDEX(מלאי!$N$2:$500,$K308))</f>
        <v/>
      </c>
      <c r="G308" s="8">
        <f>IF($K308="","",INDEX(מלאי!$O$2:$500,$K308))</f>
        <v/>
      </c>
      <c r="H308" s="8">
        <f>IF($K308="","",INDEX(מלאי!$U$2:$500,$K308))</f>
        <v/>
      </c>
      <c r="I308" s="8">
        <f>IF($K308="","",INDEX(מלאי!$X$2:$500,$K308))</f>
        <v/>
      </c>
      <c r="J308" s="8">
        <f>IF($K308="","",INDEX(מלאי!$AC$2:$500,$K308))</f>
        <v/>
      </c>
      <c r="K30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288),"")</f>
        <v/>
      </c>
    </row>
    <row r="309">
      <c r="A309" s="2">
        <f>IF($K309="","",INDEX(מלאי!$D$2:$500,$K309))</f>
        <v/>
      </c>
      <c r="B309" s="2">
        <f>IF($K309="","",INDEX(מלאי!$B$2:$500,$K309))</f>
        <v/>
      </c>
      <c r="C309" s="2">
        <f>IF($K309="","",INDEX(מלאי!$C$2:$500,$K309))</f>
        <v/>
      </c>
      <c r="D309" s="2">
        <f>IF($K309="","",INDEX(מלאי!$G$2:$500,$K309))</f>
        <v/>
      </c>
      <c r="E309" s="2">
        <f>IF($K309="","",INDEX(מלאי!$M$2:$500,$K309))</f>
        <v/>
      </c>
      <c r="F309" s="2">
        <f>IF($K309="","",INDEX(מלאי!$N$2:$500,$K309))</f>
        <v/>
      </c>
      <c r="G309" s="2">
        <f>IF($K309="","",INDEX(מלאי!$O$2:$500,$K309))</f>
        <v/>
      </c>
      <c r="H309" s="2">
        <f>IF($K309="","",INDEX(מלאי!$U$2:$500,$K309))</f>
        <v/>
      </c>
      <c r="I309" s="2">
        <f>IF($K309="","",INDEX(מלאי!$X$2:$500,$K309))</f>
        <v/>
      </c>
      <c r="J309" s="2">
        <f>IF($K309="","",INDEX(מלאי!$AC$2:$500,$K309))</f>
        <v/>
      </c>
      <c r="K30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289),"")</f>
        <v/>
      </c>
    </row>
    <row r="310">
      <c r="A310" s="8">
        <f>IF($K310="","",INDEX(מלאי!$D$2:$500,$K310))</f>
        <v/>
      </c>
      <c r="B310" s="8">
        <f>IF($K310="","",INDEX(מלאי!$B$2:$500,$K310))</f>
        <v/>
      </c>
      <c r="C310" s="8">
        <f>IF($K310="","",INDEX(מלאי!$C$2:$500,$K310))</f>
        <v/>
      </c>
      <c r="D310" s="8">
        <f>IF($K310="","",INDEX(מלאי!$G$2:$500,$K310))</f>
        <v/>
      </c>
      <c r="E310" s="8">
        <f>IF($K310="","",INDEX(מלאי!$M$2:$500,$K310))</f>
        <v/>
      </c>
      <c r="F310" s="8">
        <f>IF($K310="","",INDEX(מלאי!$N$2:$500,$K310))</f>
        <v/>
      </c>
      <c r="G310" s="8">
        <f>IF($K310="","",INDEX(מלאי!$O$2:$500,$K310))</f>
        <v/>
      </c>
      <c r="H310" s="8">
        <f>IF($K310="","",INDEX(מלאי!$U$2:$500,$K310))</f>
        <v/>
      </c>
      <c r="I310" s="8">
        <f>IF($K310="","",INDEX(מלאי!$X$2:$500,$K310))</f>
        <v/>
      </c>
      <c r="J310" s="8">
        <f>IF($K310="","",INDEX(מלאי!$AC$2:$500,$K310))</f>
        <v/>
      </c>
      <c r="K31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290),"")</f>
        <v/>
      </c>
    </row>
    <row r="311">
      <c r="A311" s="2">
        <f>IF($K311="","",INDEX(מלאי!$D$2:$500,$K311))</f>
        <v/>
      </c>
      <c r="B311" s="2">
        <f>IF($K311="","",INDEX(מלאי!$B$2:$500,$K311))</f>
        <v/>
      </c>
      <c r="C311" s="2">
        <f>IF($K311="","",INDEX(מלאי!$C$2:$500,$K311))</f>
        <v/>
      </c>
      <c r="D311" s="2">
        <f>IF($K311="","",INDEX(מלאי!$G$2:$500,$K311))</f>
        <v/>
      </c>
      <c r="E311" s="2">
        <f>IF($K311="","",INDEX(מלאי!$M$2:$500,$K311))</f>
        <v/>
      </c>
      <c r="F311" s="2">
        <f>IF($K311="","",INDEX(מלאי!$N$2:$500,$K311))</f>
        <v/>
      </c>
      <c r="G311" s="2">
        <f>IF($K311="","",INDEX(מלאי!$O$2:$500,$K311))</f>
        <v/>
      </c>
      <c r="H311" s="2">
        <f>IF($K311="","",INDEX(מלאי!$U$2:$500,$K311))</f>
        <v/>
      </c>
      <c r="I311" s="2">
        <f>IF($K311="","",INDEX(מלאי!$X$2:$500,$K311))</f>
        <v/>
      </c>
      <c r="J311" s="2">
        <f>IF($K311="","",INDEX(מלאי!$AC$2:$500,$K311))</f>
        <v/>
      </c>
      <c r="K311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291),"")</f>
        <v/>
      </c>
    </row>
    <row r="312">
      <c r="A312" s="8">
        <f>IF($K312="","",INDEX(מלאי!$D$2:$500,$K312))</f>
        <v/>
      </c>
      <c r="B312" s="8">
        <f>IF($K312="","",INDEX(מלאי!$B$2:$500,$K312))</f>
        <v/>
      </c>
      <c r="C312" s="8">
        <f>IF($K312="","",INDEX(מלאי!$C$2:$500,$K312))</f>
        <v/>
      </c>
      <c r="D312" s="8">
        <f>IF($K312="","",INDEX(מלאי!$G$2:$500,$K312))</f>
        <v/>
      </c>
      <c r="E312" s="8">
        <f>IF($K312="","",INDEX(מלאי!$M$2:$500,$K312))</f>
        <v/>
      </c>
      <c r="F312" s="8">
        <f>IF($K312="","",INDEX(מלאי!$N$2:$500,$K312))</f>
        <v/>
      </c>
      <c r="G312" s="8">
        <f>IF($K312="","",INDEX(מלאי!$O$2:$500,$K312))</f>
        <v/>
      </c>
      <c r="H312" s="8">
        <f>IF($K312="","",INDEX(מלאי!$U$2:$500,$K312))</f>
        <v/>
      </c>
      <c r="I312" s="8">
        <f>IF($K312="","",INDEX(מלאי!$X$2:$500,$K312))</f>
        <v/>
      </c>
      <c r="J312" s="8">
        <f>IF($K312="","",INDEX(מלאי!$AC$2:$500,$K312))</f>
        <v/>
      </c>
      <c r="K312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292),"")</f>
        <v/>
      </c>
    </row>
    <row r="313">
      <c r="A313" s="2">
        <f>IF($K313="","",INDEX(מלאי!$D$2:$500,$K313))</f>
        <v/>
      </c>
      <c r="B313" s="2">
        <f>IF($K313="","",INDEX(מלאי!$B$2:$500,$K313))</f>
        <v/>
      </c>
      <c r="C313" s="2">
        <f>IF($K313="","",INDEX(מלאי!$C$2:$500,$K313))</f>
        <v/>
      </c>
      <c r="D313" s="2">
        <f>IF($K313="","",INDEX(מלאי!$G$2:$500,$K313))</f>
        <v/>
      </c>
      <c r="E313" s="2">
        <f>IF($K313="","",INDEX(מלאי!$M$2:$500,$K313))</f>
        <v/>
      </c>
      <c r="F313" s="2">
        <f>IF($K313="","",INDEX(מלאי!$N$2:$500,$K313))</f>
        <v/>
      </c>
      <c r="G313" s="2">
        <f>IF($K313="","",INDEX(מלאי!$O$2:$500,$K313))</f>
        <v/>
      </c>
      <c r="H313" s="2">
        <f>IF($K313="","",INDEX(מלאי!$U$2:$500,$K313))</f>
        <v/>
      </c>
      <c r="I313" s="2">
        <f>IF($K313="","",INDEX(מלאי!$X$2:$500,$K313))</f>
        <v/>
      </c>
      <c r="J313" s="2">
        <f>IF($K313="","",INDEX(מלאי!$AC$2:$500,$K313))</f>
        <v/>
      </c>
      <c r="K313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293),"")</f>
        <v/>
      </c>
    </row>
    <row r="314">
      <c r="A314" s="8">
        <f>IF($K314="","",INDEX(מלאי!$D$2:$500,$K314))</f>
        <v/>
      </c>
      <c r="B314" s="8">
        <f>IF($K314="","",INDEX(מלאי!$B$2:$500,$K314))</f>
        <v/>
      </c>
      <c r="C314" s="8">
        <f>IF($K314="","",INDEX(מלאי!$C$2:$500,$K314))</f>
        <v/>
      </c>
      <c r="D314" s="8">
        <f>IF($K314="","",INDEX(מלאי!$G$2:$500,$K314))</f>
        <v/>
      </c>
      <c r="E314" s="8">
        <f>IF($K314="","",INDEX(מלאי!$M$2:$500,$K314))</f>
        <v/>
      </c>
      <c r="F314" s="8">
        <f>IF($K314="","",INDEX(מלאי!$N$2:$500,$K314))</f>
        <v/>
      </c>
      <c r="G314" s="8">
        <f>IF($K314="","",INDEX(מלאי!$O$2:$500,$K314))</f>
        <v/>
      </c>
      <c r="H314" s="8">
        <f>IF($K314="","",INDEX(מלאי!$U$2:$500,$K314))</f>
        <v/>
      </c>
      <c r="I314" s="8">
        <f>IF($K314="","",INDEX(מלאי!$X$2:$500,$K314))</f>
        <v/>
      </c>
      <c r="J314" s="8">
        <f>IF($K314="","",INDEX(מלאי!$AC$2:$500,$K314))</f>
        <v/>
      </c>
      <c r="K314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294),"")</f>
        <v/>
      </c>
    </row>
    <row r="315">
      <c r="A315" s="2">
        <f>IF($K315="","",INDEX(מלאי!$D$2:$500,$K315))</f>
        <v/>
      </c>
      <c r="B315" s="2">
        <f>IF($K315="","",INDEX(מלאי!$B$2:$500,$K315))</f>
        <v/>
      </c>
      <c r="C315" s="2">
        <f>IF($K315="","",INDEX(מלאי!$C$2:$500,$K315))</f>
        <v/>
      </c>
      <c r="D315" s="2">
        <f>IF($K315="","",INDEX(מלאי!$G$2:$500,$K315))</f>
        <v/>
      </c>
      <c r="E315" s="2">
        <f>IF($K315="","",INDEX(מלאי!$M$2:$500,$K315))</f>
        <v/>
      </c>
      <c r="F315" s="2">
        <f>IF($K315="","",INDEX(מלאי!$N$2:$500,$K315))</f>
        <v/>
      </c>
      <c r="G315" s="2">
        <f>IF($K315="","",INDEX(מלאי!$O$2:$500,$K315))</f>
        <v/>
      </c>
      <c r="H315" s="2">
        <f>IF($K315="","",INDEX(מלאי!$U$2:$500,$K315))</f>
        <v/>
      </c>
      <c r="I315" s="2">
        <f>IF($K315="","",INDEX(מלאי!$X$2:$500,$K315))</f>
        <v/>
      </c>
      <c r="J315" s="2">
        <f>IF($K315="","",INDEX(מלאי!$AC$2:$500,$K315))</f>
        <v/>
      </c>
      <c r="K315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295),"")</f>
        <v/>
      </c>
    </row>
    <row r="316">
      <c r="A316" s="8">
        <f>IF($K316="","",INDEX(מלאי!$D$2:$500,$K316))</f>
        <v/>
      </c>
      <c r="B316" s="8">
        <f>IF($K316="","",INDEX(מלאי!$B$2:$500,$K316))</f>
        <v/>
      </c>
      <c r="C316" s="8">
        <f>IF($K316="","",INDEX(מלאי!$C$2:$500,$K316))</f>
        <v/>
      </c>
      <c r="D316" s="8">
        <f>IF($K316="","",INDEX(מלאי!$G$2:$500,$K316))</f>
        <v/>
      </c>
      <c r="E316" s="8">
        <f>IF($K316="","",INDEX(מלאי!$M$2:$500,$K316))</f>
        <v/>
      </c>
      <c r="F316" s="8">
        <f>IF($K316="","",INDEX(מלאי!$N$2:$500,$K316))</f>
        <v/>
      </c>
      <c r="G316" s="8">
        <f>IF($K316="","",INDEX(מלאי!$O$2:$500,$K316))</f>
        <v/>
      </c>
      <c r="H316" s="8">
        <f>IF($K316="","",INDEX(מלאי!$U$2:$500,$K316))</f>
        <v/>
      </c>
      <c r="I316" s="8">
        <f>IF($K316="","",INDEX(מלאי!$X$2:$500,$K316))</f>
        <v/>
      </c>
      <c r="J316" s="8">
        <f>IF($K316="","",INDEX(מלאי!$AC$2:$500,$K316))</f>
        <v/>
      </c>
      <c r="K316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296),"")</f>
        <v/>
      </c>
    </row>
    <row r="317">
      <c r="A317" s="2">
        <f>IF($K317="","",INDEX(מלאי!$D$2:$500,$K317))</f>
        <v/>
      </c>
      <c r="B317" s="2">
        <f>IF($K317="","",INDEX(מלאי!$B$2:$500,$K317))</f>
        <v/>
      </c>
      <c r="C317" s="2">
        <f>IF($K317="","",INDEX(מלאי!$C$2:$500,$K317))</f>
        <v/>
      </c>
      <c r="D317" s="2">
        <f>IF($K317="","",INDEX(מלאי!$G$2:$500,$K317))</f>
        <v/>
      </c>
      <c r="E317" s="2">
        <f>IF($K317="","",INDEX(מלאי!$M$2:$500,$K317))</f>
        <v/>
      </c>
      <c r="F317" s="2">
        <f>IF($K317="","",INDEX(מלאי!$N$2:$500,$K317))</f>
        <v/>
      </c>
      <c r="G317" s="2">
        <f>IF($K317="","",INDEX(מלאי!$O$2:$500,$K317))</f>
        <v/>
      </c>
      <c r="H317" s="2">
        <f>IF($K317="","",INDEX(מלאי!$U$2:$500,$K317))</f>
        <v/>
      </c>
      <c r="I317" s="2">
        <f>IF($K317="","",INDEX(מלאי!$X$2:$500,$K317))</f>
        <v/>
      </c>
      <c r="J317" s="2">
        <f>IF($K317="","",INDEX(מלאי!$AC$2:$500,$K317))</f>
        <v/>
      </c>
      <c r="K317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297),"")</f>
        <v/>
      </c>
    </row>
    <row r="318">
      <c r="A318" s="8">
        <f>IF($K318="","",INDEX(מלאי!$D$2:$500,$K318))</f>
        <v/>
      </c>
      <c r="B318" s="8">
        <f>IF($K318="","",INDEX(מלאי!$B$2:$500,$K318))</f>
        <v/>
      </c>
      <c r="C318" s="8">
        <f>IF($K318="","",INDEX(מלאי!$C$2:$500,$K318))</f>
        <v/>
      </c>
      <c r="D318" s="8">
        <f>IF($K318="","",INDEX(מלאי!$G$2:$500,$K318))</f>
        <v/>
      </c>
      <c r="E318" s="8">
        <f>IF($K318="","",INDEX(מלאי!$M$2:$500,$K318))</f>
        <v/>
      </c>
      <c r="F318" s="8">
        <f>IF($K318="","",INDEX(מלאי!$N$2:$500,$K318))</f>
        <v/>
      </c>
      <c r="G318" s="8">
        <f>IF($K318="","",INDEX(מלאי!$O$2:$500,$K318))</f>
        <v/>
      </c>
      <c r="H318" s="8">
        <f>IF($K318="","",INDEX(מלאי!$U$2:$500,$K318))</f>
        <v/>
      </c>
      <c r="I318" s="8">
        <f>IF($K318="","",INDEX(מלאי!$X$2:$500,$K318))</f>
        <v/>
      </c>
      <c r="J318" s="8">
        <f>IF($K318="","",INDEX(מלאי!$AC$2:$500,$K318))</f>
        <v/>
      </c>
      <c r="K318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298),"")</f>
        <v/>
      </c>
    </row>
    <row r="319">
      <c r="A319" s="2">
        <f>IF($K319="","",INDEX(מלאי!$D$2:$500,$K319))</f>
        <v/>
      </c>
      <c r="B319" s="2">
        <f>IF($K319="","",INDEX(מלאי!$B$2:$500,$K319))</f>
        <v/>
      </c>
      <c r="C319" s="2">
        <f>IF($K319="","",INDEX(מלאי!$C$2:$500,$K319))</f>
        <v/>
      </c>
      <c r="D319" s="2">
        <f>IF($K319="","",INDEX(מלאי!$G$2:$500,$K319))</f>
        <v/>
      </c>
      <c r="E319" s="2">
        <f>IF($K319="","",INDEX(מלאי!$M$2:$500,$K319))</f>
        <v/>
      </c>
      <c r="F319" s="2">
        <f>IF($K319="","",INDEX(מלאי!$N$2:$500,$K319))</f>
        <v/>
      </c>
      <c r="G319" s="2">
        <f>IF($K319="","",INDEX(מלאי!$O$2:$500,$K319))</f>
        <v/>
      </c>
      <c r="H319" s="2">
        <f>IF($K319="","",INDEX(מלאי!$U$2:$500,$K319))</f>
        <v/>
      </c>
      <c r="I319" s="2">
        <f>IF($K319="","",INDEX(מלאי!$X$2:$500,$K319))</f>
        <v/>
      </c>
      <c r="J319" s="2">
        <f>IF($K319="","",INDEX(מלאי!$AC$2:$500,$K319))</f>
        <v/>
      </c>
      <c r="K319" s="2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299),"")</f>
        <v/>
      </c>
    </row>
    <row r="320">
      <c r="A320" s="8">
        <f>IF($K320="","",INDEX(מלאי!$D$2:$500,$K320))</f>
        <v/>
      </c>
      <c r="B320" s="8">
        <f>IF($K320="","",INDEX(מלאי!$B$2:$500,$K320))</f>
        <v/>
      </c>
      <c r="C320" s="8">
        <f>IF($K320="","",INDEX(מלאי!$C$2:$500,$K320))</f>
        <v/>
      </c>
      <c r="D320" s="8">
        <f>IF($K320="","",INDEX(מלאי!$G$2:$500,$K320))</f>
        <v/>
      </c>
      <c r="E320" s="8">
        <f>IF($K320="","",INDEX(מלאי!$M$2:$500,$K320))</f>
        <v/>
      </c>
      <c r="F320" s="8">
        <f>IF($K320="","",INDEX(מלאי!$N$2:$500,$K320))</f>
        <v/>
      </c>
      <c r="G320" s="8">
        <f>IF($K320="","",INDEX(מלאי!$O$2:$500,$K320))</f>
        <v/>
      </c>
      <c r="H320" s="8">
        <f>IF($K320="","",INDEX(מלאי!$U$2:$500,$K320))</f>
        <v/>
      </c>
      <c r="I320" s="8">
        <f>IF($K320="","",INDEX(מלאי!$X$2:$500,$K320))</f>
        <v/>
      </c>
      <c r="J320" s="8">
        <f>IF($K320="","",INDEX(מלאי!$AC$2:$500,$K320))</f>
        <v/>
      </c>
      <c r="K320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300),"")</f>
        <v/>
      </c>
    </row>
    <row r="322">
      <c r="A322" s="3" t="inlineStr">
        <is>
          <t>השאלות פעילות</t>
        </is>
      </c>
    </row>
    <row r="323">
      <c r="A323" s="7" t="inlineStr">
        <is>
          <t>מזהה</t>
        </is>
      </c>
      <c r="B323" s="7" t="inlineStr">
        <is>
          <t>מוצר</t>
        </is>
      </c>
      <c r="C323" s="7" t="inlineStr">
        <is>
          <t>מושאל ל</t>
        </is>
      </c>
      <c r="D323" s="7" t="inlineStr">
        <is>
          <t>מדינה</t>
        </is>
      </c>
      <c r="E323" s="7" t="inlineStr">
        <is>
          <t>החזרה משוערת</t>
        </is>
      </c>
      <c r="F323" s="7" t="inlineStr">
        <is>
          <t>באיחור</t>
        </is>
      </c>
      <c r="K323" s="7" t="inlineStr">
        <is>
          <t>loan_ref</t>
        </is>
      </c>
    </row>
    <row r="324">
      <c r="A324" s="2">
        <f>IF($K324="","",INDEX(מלאי!$D$2:$500,$K324))</f>
        <v/>
      </c>
      <c r="B324" s="2">
        <f>IF($K324="","",INDEX(מלאי!$B$2:$500,$K324))</f>
        <v/>
      </c>
      <c r="C324" s="2">
        <f>IF($K324="","",INDEX(מלאי!$Y$2:$500,$K324))</f>
        <v/>
      </c>
      <c r="D324" s="2">
        <f>IF($K324="","",INDEX(מלאי!$Z$2:$500,$K324))</f>
        <v/>
      </c>
      <c r="E324" s="9">
        <f>IF($K324="","",INDEX(מלאי!$AB$2:$500,$K324))</f>
        <v/>
      </c>
      <c r="F324" s="2">
        <f>IF($K324="","",IF(AND(INDEX(מלאי!$AB$2:$500,$K324)&lt;&gt;"",INDEX(מלאי!$AB$2:$500,$K324)&lt;TODAY()),"באיחור!","תקין"))</f>
        <v/>
      </c>
      <c r="G324" s="2" t="n"/>
      <c r="H324" s="2" t="n"/>
      <c r="I324" s="2" t="n"/>
      <c r="J324" s="2" t="n"/>
      <c r="K324" s="2">
        <f>IFERROR(SMALL(IF((מלאי!$D$2:$500&lt;&gt;"")*(מלאי!$X$2:$500="מושאל"),ROW(מלאי!$A$2:$A$500)-ROW(מלאי!$A$2)+1,""),1),"")</f>
        <v/>
      </c>
    </row>
    <row r="325">
      <c r="A325" s="8">
        <f>IF($K325="","",INDEX(מלאי!$D$2:$500,$K325))</f>
        <v/>
      </c>
      <c r="B325" s="8">
        <f>IF($K325="","",INDEX(מלאי!$B$2:$500,$K325))</f>
        <v/>
      </c>
      <c r="C325" s="8">
        <f>IF($K325="","",INDEX(מלאי!$Y$2:$500,$K325))</f>
        <v/>
      </c>
      <c r="D325" s="8">
        <f>IF($K325="","",INDEX(מלאי!$Z$2:$500,$K325))</f>
        <v/>
      </c>
      <c r="E325" s="10">
        <f>IF($K325="","",INDEX(מלאי!$AB$2:$500,$K325))</f>
        <v/>
      </c>
      <c r="F325" s="8">
        <f>IF($K325="","",IF(AND(INDEX(מלאי!$AB$2:$500,$K325)&lt;&gt;"",INDEX(מלאי!$AB$2:$500,$K325)&lt;TODAY()),"באיחור!","תקין"))</f>
        <v/>
      </c>
      <c r="G325" s="8" t="n"/>
      <c r="H325" s="8" t="n"/>
      <c r="I325" s="8" t="n"/>
      <c r="J325" s="8" t="n"/>
      <c r="K325" s="8">
        <f>IFERROR(SMALL(IF((מלאי!$D$2:$500&lt;&gt;"")*(מלאי!$X$2:$500="מושאל"),ROW(מלאי!$A$2:$A$500)-ROW(מלאי!$A$2)+1,""),2),"")</f>
        <v/>
      </c>
    </row>
    <row r="326">
      <c r="A326" s="2">
        <f>IF($K326="","",INDEX(מלאי!$D$2:$500,$K326))</f>
        <v/>
      </c>
      <c r="B326" s="2">
        <f>IF($K326="","",INDEX(מלאי!$B$2:$500,$K326))</f>
        <v/>
      </c>
      <c r="C326" s="2">
        <f>IF($K326="","",INDEX(מלאי!$Y$2:$500,$K326))</f>
        <v/>
      </c>
      <c r="D326" s="2">
        <f>IF($K326="","",INDEX(מלאי!$Z$2:$500,$K326))</f>
        <v/>
      </c>
      <c r="E326" s="9">
        <f>IF($K326="","",INDEX(מלאי!$AB$2:$500,$K326))</f>
        <v/>
      </c>
      <c r="F326" s="2">
        <f>IF($K326="","",IF(AND(INDEX(מלאי!$AB$2:$500,$K326)&lt;&gt;"",INDEX(מלאי!$AB$2:$500,$K326)&lt;TODAY()),"באיחור!","תקין"))</f>
        <v/>
      </c>
      <c r="G326" s="2" t="n"/>
      <c r="H326" s="2" t="n"/>
      <c r="I326" s="2" t="n"/>
      <c r="J326" s="2" t="n"/>
      <c r="K326" s="2">
        <f>IFERROR(SMALL(IF((מלאי!$D$2:$500&lt;&gt;"")*(מלאי!$X$2:$500="מושאל"),ROW(מלאי!$A$2:$A$500)-ROW(מלאי!$A$2)+1,""),3),"")</f>
        <v/>
      </c>
    </row>
    <row r="327">
      <c r="A327" s="8">
        <f>IF($K327="","",INDEX(מלאי!$D$2:$500,$K327))</f>
        <v/>
      </c>
      <c r="B327" s="8">
        <f>IF($K327="","",INDEX(מלאי!$B$2:$500,$K327))</f>
        <v/>
      </c>
      <c r="C327" s="8">
        <f>IF($K327="","",INDEX(מלאי!$Y$2:$500,$K327))</f>
        <v/>
      </c>
      <c r="D327" s="8">
        <f>IF($K327="","",INDEX(מלאי!$Z$2:$500,$K327))</f>
        <v/>
      </c>
      <c r="E327" s="10">
        <f>IF($K327="","",INDEX(מלאי!$AB$2:$500,$K327))</f>
        <v/>
      </c>
      <c r="F327" s="8">
        <f>IF($K327="","",IF(AND(INDEX(מלאי!$AB$2:$500,$K327)&lt;&gt;"",INDEX(מלאי!$AB$2:$500,$K327)&lt;TODAY()),"באיחור!","תקין"))</f>
        <v/>
      </c>
      <c r="G327" s="8" t="n"/>
      <c r="H327" s="8" t="n"/>
      <c r="I327" s="8" t="n"/>
      <c r="J327" s="8" t="n"/>
      <c r="K327" s="8">
        <f>IFERROR(SMALL(IF((מלאי!$D$2:$500&lt;&gt;"")*(מלאי!$X$2:$500="מושאל"),ROW(מלאי!$A$2:$A$500)-ROW(מלאי!$A$2)+1,""),4),"")</f>
        <v/>
      </c>
    </row>
    <row r="328">
      <c r="A328" s="2">
        <f>IF($K328="","",INDEX(מלאי!$D$2:$500,$K328))</f>
        <v/>
      </c>
      <c r="B328" s="2">
        <f>IF($K328="","",INDEX(מלאי!$B$2:$500,$K328))</f>
        <v/>
      </c>
      <c r="C328" s="2">
        <f>IF($K328="","",INDEX(מלאי!$Y$2:$500,$K328))</f>
        <v/>
      </c>
      <c r="D328" s="2">
        <f>IF($K328="","",INDEX(מלאי!$Z$2:$500,$K328))</f>
        <v/>
      </c>
      <c r="E328" s="9">
        <f>IF($K328="","",INDEX(מלאי!$AB$2:$500,$K328))</f>
        <v/>
      </c>
      <c r="F328" s="2">
        <f>IF($K328="","",IF(AND(INDEX(מלאי!$AB$2:$500,$K328)&lt;&gt;"",INDEX(מלאי!$AB$2:$500,$K328)&lt;TODAY()),"באיחור!","תקין"))</f>
        <v/>
      </c>
      <c r="G328" s="2" t="n"/>
      <c r="H328" s="2" t="n"/>
      <c r="I328" s="2" t="n"/>
      <c r="J328" s="2" t="n"/>
      <c r="K328" s="2">
        <f>IFERROR(SMALL(IF((מלאי!$D$2:$500&lt;&gt;"")*(מלאי!$X$2:$500="מושאל"),ROW(מלאי!$A$2:$A$500)-ROW(מלאי!$A$2)+1,""),5),"")</f>
        <v/>
      </c>
    </row>
    <row r="329">
      <c r="A329" s="8">
        <f>IF($K329="","",INDEX(מלאי!$D$2:$500,$K329))</f>
        <v/>
      </c>
      <c r="B329" s="8">
        <f>IF($K329="","",INDEX(מלאי!$B$2:$500,$K329))</f>
        <v/>
      </c>
      <c r="C329" s="8">
        <f>IF($K329="","",INDEX(מלאי!$Y$2:$500,$K329))</f>
        <v/>
      </c>
      <c r="D329" s="8">
        <f>IF($K329="","",INDEX(מלאי!$Z$2:$500,$K329))</f>
        <v/>
      </c>
      <c r="E329" s="10">
        <f>IF($K329="","",INDEX(מלאי!$AB$2:$500,$K329))</f>
        <v/>
      </c>
      <c r="F329" s="8">
        <f>IF($K329="","",IF(AND(INDEX(מלאי!$AB$2:$500,$K329)&lt;&gt;"",INDEX(מלאי!$AB$2:$500,$K329)&lt;TODAY()),"באיחור!","תקין"))</f>
        <v/>
      </c>
      <c r="G329" s="8" t="n"/>
      <c r="H329" s="8" t="n"/>
      <c r="I329" s="8" t="n"/>
      <c r="J329" s="8" t="n"/>
      <c r="K329" s="8">
        <f>IFERROR(SMALL(IF((מלאי!$D$2:$500&lt;&gt;"")*(מלאי!$X$2:$500="מושאל"),ROW(מלאי!$A$2:$A$500)-ROW(מלאי!$A$2)+1,""),6),"")</f>
        <v/>
      </c>
    </row>
    <row r="330">
      <c r="A330" s="2">
        <f>IF($K330="","",INDEX(מלאי!$D$2:$500,$K330))</f>
        <v/>
      </c>
      <c r="B330" s="2">
        <f>IF($K330="","",INDEX(מלאי!$B$2:$500,$K330))</f>
        <v/>
      </c>
      <c r="C330" s="2">
        <f>IF($K330="","",INDEX(מלאי!$Y$2:$500,$K330))</f>
        <v/>
      </c>
      <c r="D330" s="2">
        <f>IF($K330="","",INDEX(מלאי!$Z$2:$500,$K330))</f>
        <v/>
      </c>
      <c r="E330" s="9">
        <f>IF($K330="","",INDEX(מלאי!$AB$2:$500,$K330))</f>
        <v/>
      </c>
      <c r="F330" s="2">
        <f>IF($K330="","",IF(AND(INDEX(מלאי!$AB$2:$500,$K330)&lt;&gt;"",INDEX(מלאי!$AB$2:$500,$K330)&lt;TODAY()),"באיחור!","תקין"))</f>
        <v/>
      </c>
      <c r="G330" s="2" t="n"/>
      <c r="H330" s="2" t="n"/>
      <c r="I330" s="2" t="n"/>
      <c r="J330" s="2" t="n"/>
      <c r="K330" s="2">
        <f>IFERROR(SMALL(IF((מלאי!$D$2:$500&lt;&gt;"")*(מלאי!$X$2:$500="מושאל"),ROW(מלאי!$A$2:$A$500)-ROW(מלאי!$A$2)+1,""),7),"")</f>
        <v/>
      </c>
    </row>
    <row r="331">
      <c r="A331" s="8">
        <f>IF($K331="","",INDEX(מלאי!$D$2:$500,$K331))</f>
        <v/>
      </c>
      <c r="B331" s="8">
        <f>IF($K331="","",INDEX(מלאי!$B$2:$500,$K331))</f>
        <v/>
      </c>
      <c r="C331" s="8">
        <f>IF($K331="","",INDEX(מלאי!$Y$2:$500,$K331))</f>
        <v/>
      </c>
      <c r="D331" s="8">
        <f>IF($K331="","",INDEX(מלאי!$Z$2:$500,$K331))</f>
        <v/>
      </c>
      <c r="E331" s="10">
        <f>IF($K331="","",INDEX(מלאי!$AB$2:$500,$K331))</f>
        <v/>
      </c>
      <c r="F331" s="8">
        <f>IF($K331="","",IF(AND(INDEX(מלאי!$AB$2:$500,$K331)&lt;&gt;"",INDEX(מלאי!$AB$2:$500,$K331)&lt;TODAY()),"באיחור!","תקין"))</f>
        <v/>
      </c>
      <c r="G331" s="8" t="n"/>
      <c r="H331" s="8" t="n"/>
      <c r="I331" s="8" t="n"/>
      <c r="J331" s="8" t="n"/>
      <c r="K331" s="8">
        <f>IFERROR(SMALL(IF((מלאי!$D$2:$500&lt;&gt;"")*(מלאי!$X$2:$500="מושאל"),ROW(מלאי!$A$2:$A$500)-ROW(מלאי!$A$2)+1,""),8),"")</f>
        <v/>
      </c>
    </row>
    <row r="332">
      <c r="A332" s="2">
        <f>IF($K332="","",INDEX(מלאי!$D$2:$500,$K332))</f>
        <v/>
      </c>
      <c r="B332" s="2">
        <f>IF($K332="","",INDEX(מלאי!$B$2:$500,$K332))</f>
        <v/>
      </c>
      <c r="C332" s="2">
        <f>IF($K332="","",INDEX(מלאי!$Y$2:$500,$K332))</f>
        <v/>
      </c>
      <c r="D332" s="2">
        <f>IF($K332="","",INDEX(מלאי!$Z$2:$500,$K332))</f>
        <v/>
      </c>
      <c r="E332" s="9">
        <f>IF($K332="","",INDEX(מלאי!$AB$2:$500,$K332))</f>
        <v/>
      </c>
      <c r="F332" s="2">
        <f>IF($K332="","",IF(AND(INDEX(מלאי!$AB$2:$500,$K332)&lt;&gt;"",INDEX(מלאי!$AB$2:$500,$K332)&lt;TODAY()),"באיחור!","תקין"))</f>
        <v/>
      </c>
      <c r="G332" s="2" t="n"/>
      <c r="H332" s="2" t="n"/>
      <c r="I332" s="2" t="n"/>
      <c r="J332" s="2" t="n"/>
      <c r="K332" s="2">
        <f>IFERROR(SMALL(IF((מלאי!$D$2:$500&lt;&gt;"")*(מלאי!$X$2:$500="מושאל"),ROW(מלאי!$A$2:$A$500)-ROW(מלאי!$A$2)+1,""),9),"")</f>
        <v/>
      </c>
    </row>
    <row r="333">
      <c r="A333" s="8">
        <f>IF($K333="","",INDEX(מלאי!$D$2:$500,$K333))</f>
        <v/>
      </c>
      <c r="B333" s="8">
        <f>IF($K333="","",INDEX(מלאי!$B$2:$500,$K333))</f>
        <v/>
      </c>
      <c r="C333" s="8">
        <f>IF($K333="","",INDEX(מלאי!$Y$2:$500,$K333))</f>
        <v/>
      </c>
      <c r="D333" s="8">
        <f>IF($K333="","",INDEX(מלאי!$Z$2:$500,$K333))</f>
        <v/>
      </c>
      <c r="E333" s="10">
        <f>IF($K333="","",INDEX(מלאי!$AB$2:$500,$K333))</f>
        <v/>
      </c>
      <c r="F333" s="8">
        <f>IF($K333="","",IF(AND(INDEX(מלאי!$AB$2:$500,$K333)&lt;&gt;"",INDEX(מלאי!$AB$2:$500,$K333)&lt;TODAY()),"באיחור!","תקין"))</f>
        <v/>
      </c>
      <c r="G333" s="8" t="n"/>
      <c r="H333" s="8" t="n"/>
      <c r="I333" s="8" t="n"/>
      <c r="J333" s="8" t="n"/>
      <c r="K333" s="8">
        <f>IFERROR(SMALL(IF((מלאי!$D$2:$500&lt;&gt;"")*(מלאי!$X$2:$500="מושאל"),ROW(מלאי!$A$2:$A$500)-ROW(מלאי!$A$2)+1,""),10),"")</f>
        <v/>
      </c>
    </row>
    <row r="334">
      <c r="A334" s="2">
        <f>IF($K334="","",INDEX(מלאי!$D$2:$500,$K334))</f>
        <v/>
      </c>
      <c r="B334" s="2">
        <f>IF($K334="","",INDEX(מלאי!$B$2:$500,$K334))</f>
        <v/>
      </c>
      <c r="C334" s="2">
        <f>IF($K334="","",INDEX(מלאי!$Y$2:$500,$K334))</f>
        <v/>
      </c>
      <c r="D334" s="2">
        <f>IF($K334="","",INDEX(מלאי!$Z$2:$500,$K334))</f>
        <v/>
      </c>
      <c r="E334" s="9">
        <f>IF($K334="","",INDEX(מלאי!$AB$2:$500,$K334))</f>
        <v/>
      </c>
      <c r="F334" s="2">
        <f>IF($K334="","",IF(AND(INDEX(מלאי!$AB$2:$500,$K334)&lt;&gt;"",INDEX(מלאי!$AB$2:$500,$K334)&lt;TODAY()),"באיחור!","תקין"))</f>
        <v/>
      </c>
      <c r="G334" s="2" t="n"/>
      <c r="H334" s="2" t="n"/>
      <c r="I334" s="2" t="n"/>
      <c r="J334" s="2" t="n"/>
      <c r="K334" s="2">
        <f>IFERROR(SMALL(IF((מלאי!$D$2:$500&lt;&gt;"")*(מלאי!$X$2:$500="מושאל"),ROW(מלאי!$A$2:$A$500)-ROW(מלאי!$A$2)+1,""),11),"")</f>
        <v/>
      </c>
    </row>
    <row r="335">
      <c r="A335" s="8">
        <f>IF($K335="","",INDEX(מלאי!$D$2:$500,$K335))</f>
        <v/>
      </c>
      <c r="B335" s="8">
        <f>IF($K335="","",INDEX(מלאי!$B$2:$500,$K335))</f>
        <v/>
      </c>
      <c r="C335" s="8">
        <f>IF($K335="","",INDEX(מלאי!$Y$2:$500,$K335))</f>
        <v/>
      </c>
      <c r="D335" s="8">
        <f>IF($K335="","",INDEX(מלאי!$Z$2:$500,$K335))</f>
        <v/>
      </c>
      <c r="E335" s="10">
        <f>IF($K335="","",INDEX(מלאי!$AB$2:$500,$K335))</f>
        <v/>
      </c>
      <c r="F335" s="8">
        <f>IF($K335="","",IF(AND(INDEX(מלאי!$AB$2:$500,$K335)&lt;&gt;"",INDEX(מלאי!$AB$2:$500,$K335)&lt;TODAY()),"באיחור!","תקין"))</f>
        <v/>
      </c>
      <c r="G335" s="8" t="n"/>
      <c r="H335" s="8" t="n"/>
      <c r="I335" s="8" t="n"/>
      <c r="J335" s="8" t="n"/>
      <c r="K335" s="8">
        <f>IFERROR(SMALL(IF((מלאי!$D$2:$500&lt;&gt;"")*(מלאי!$X$2:$500="מושאל"),ROW(מלאי!$A$2:$A$500)-ROW(מלאי!$A$2)+1,""),12),"")</f>
        <v/>
      </c>
    </row>
    <row r="336">
      <c r="A336" s="2">
        <f>IF($K336="","",INDEX(מלאי!$D$2:$500,$K336))</f>
        <v/>
      </c>
      <c r="B336" s="2">
        <f>IF($K336="","",INDEX(מלאי!$B$2:$500,$K336))</f>
        <v/>
      </c>
      <c r="C336" s="2">
        <f>IF($K336="","",INDEX(מלאי!$Y$2:$500,$K336))</f>
        <v/>
      </c>
      <c r="D336" s="2">
        <f>IF($K336="","",INDEX(מלאי!$Z$2:$500,$K336))</f>
        <v/>
      </c>
      <c r="E336" s="9">
        <f>IF($K336="","",INDEX(מלאי!$AB$2:$500,$K336))</f>
        <v/>
      </c>
      <c r="F336" s="2">
        <f>IF($K336="","",IF(AND(INDEX(מלאי!$AB$2:$500,$K336)&lt;&gt;"",INDEX(מלאי!$AB$2:$500,$K336)&lt;TODAY()),"באיחור!","תקין"))</f>
        <v/>
      </c>
      <c r="G336" s="2" t="n"/>
      <c r="H336" s="2" t="n"/>
      <c r="I336" s="2" t="n"/>
      <c r="J336" s="2" t="n"/>
      <c r="K336" s="2">
        <f>IFERROR(SMALL(IF((מלאי!$D$2:$500&lt;&gt;"")*(מלאי!$X$2:$500="מושאל"),ROW(מלאי!$A$2:$A$500)-ROW(מלאי!$A$2)+1,""),13),"")</f>
        <v/>
      </c>
    </row>
    <row r="337">
      <c r="A337" s="8">
        <f>IF($K337="","",INDEX(מלאי!$D$2:$500,$K337))</f>
        <v/>
      </c>
      <c r="B337" s="8">
        <f>IF($K337="","",INDEX(מלאי!$B$2:$500,$K337))</f>
        <v/>
      </c>
      <c r="C337" s="8">
        <f>IF($K337="","",INDEX(מלאי!$Y$2:$500,$K337))</f>
        <v/>
      </c>
      <c r="D337" s="8">
        <f>IF($K337="","",INDEX(מלאי!$Z$2:$500,$K337))</f>
        <v/>
      </c>
      <c r="E337" s="10">
        <f>IF($K337="","",INDEX(מלאי!$AB$2:$500,$K337))</f>
        <v/>
      </c>
      <c r="F337" s="8">
        <f>IF($K337="","",IF(AND(INDEX(מלאי!$AB$2:$500,$K337)&lt;&gt;"",INDEX(מלאי!$AB$2:$500,$K337)&lt;TODAY()),"באיחור!","תקין"))</f>
        <v/>
      </c>
      <c r="G337" s="8" t="n"/>
      <c r="H337" s="8" t="n"/>
      <c r="I337" s="8" t="n"/>
      <c r="J337" s="8" t="n"/>
      <c r="K337" s="8">
        <f>IFERROR(SMALL(IF((מלאי!$D$2:$500&lt;&gt;"")*(מלאי!$X$2:$500="מושאל"),ROW(מלאי!$A$2:$A$500)-ROW(מלאי!$A$2)+1,""),14),"")</f>
        <v/>
      </c>
    </row>
    <row r="338">
      <c r="A338" s="2">
        <f>IF($K338="","",INDEX(מלאי!$D$2:$500,$K338))</f>
        <v/>
      </c>
      <c r="B338" s="2">
        <f>IF($K338="","",INDEX(מלאי!$B$2:$500,$K338))</f>
        <v/>
      </c>
      <c r="C338" s="2">
        <f>IF($K338="","",INDEX(מלאי!$Y$2:$500,$K338))</f>
        <v/>
      </c>
      <c r="D338" s="2">
        <f>IF($K338="","",INDEX(מלאי!$Z$2:$500,$K338))</f>
        <v/>
      </c>
      <c r="E338" s="9">
        <f>IF($K338="","",INDEX(מלאי!$AB$2:$500,$K338))</f>
        <v/>
      </c>
      <c r="F338" s="2">
        <f>IF($K338="","",IF(AND(INDEX(מלאי!$AB$2:$500,$K338)&lt;&gt;"",INDEX(מלאי!$AB$2:$500,$K338)&lt;TODAY()),"באיחור!","תקין"))</f>
        <v/>
      </c>
      <c r="G338" s="2" t="n"/>
      <c r="H338" s="2" t="n"/>
      <c r="I338" s="2" t="n"/>
      <c r="J338" s="2" t="n"/>
      <c r="K338" s="2">
        <f>IFERROR(SMALL(IF((מלאי!$D$2:$500&lt;&gt;"")*(מלאי!$X$2:$500="מושאל"),ROW(מלאי!$A$2:$A$500)-ROW(מלאי!$A$2)+1,""),15),"")</f>
        <v/>
      </c>
    </row>
    <row r="339">
      <c r="A339" s="8">
        <f>IF($K339="","",INDEX(מלאי!$D$2:$500,$K339))</f>
        <v/>
      </c>
      <c r="B339" s="8">
        <f>IF($K339="","",INDEX(מלאי!$B$2:$500,$K339))</f>
        <v/>
      </c>
      <c r="C339" s="8">
        <f>IF($K339="","",INDEX(מלאי!$Y$2:$500,$K339))</f>
        <v/>
      </c>
      <c r="D339" s="8">
        <f>IF($K339="","",INDEX(מלאי!$Z$2:$500,$K339))</f>
        <v/>
      </c>
      <c r="E339" s="10">
        <f>IF($K339="","",INDEX(מלאי!$AB$2:$500,$K339))</f>
        <v/>
      </c>
      <c r="F339" s="8">
        <f>IF($K339="","",IF(AND(INDEX(מלאי!$AB$2:$500,$K339)&lt;&gt;"",INDEX(מלאי!$AB$2:$500,$K339)&lt;TODAY()),"באיחור!","תקין"))</f>
        <v/>
      </c>
      <c r="G339" s="8" t="n"/>
      <c r="H339" s="8" t="n"/>
      <c r="I339" s="8" t="n"/>
      <c r="J339" s="8" t="n"/>
      <c r="K339" s="8">
        <f>IFERROR(SMALL(IF((מלאי!$D$2:$500&lt;&gt;"")*(מלאי!$X$2:$500="מושאל"),ROW(מלאי!$A$2:$A$500)-ROW(מלאי!$A$2)+1,""),16),"")</f>
        <v/>
      </c>
    </row>
    <row r="340">
      <c r="A340" s="2">
        <f>IF($K340="","",INDEX(מלאי!$D$2:$500,$K340))</f>
        <v/>
      </c>
      <c r="B340" s="2">
        <f>IF($K340="","",INDEX(מלאי!$B$2:$500,$K340))</f>
        <v/>
      </c>
      <c r="C340" s="2">
        <f>IF($K340="","",INDEX(מלאי!$Y$2:$500,$K340))</f>
        <v/>
      </c>
      <c r="D340" s="2">
        <f>IF($K340="","",INDEX(מלאי!$Z$2:$500,$K340))</f>
        <v/>
      </c>
      <c r="E340" s="9">
        <f>IF($K340="","",INDEX(מלאי!$AB$2:$500,$K340))</f>
        <v/>
      </c>
      <c r="F340" s="2">
        <f>IF($K340="","",IF(AND(INDEX(מלאי!$AB$2:$500,$K340)&lt;&gt;"",INDEX(מלאי!$AB$2:$500,$K340)&lt;TODAY()),"באיחור!","תקין"))</f>
        <v/>
      </c>
      <c r="G340" s="2" t="n"/>
      <c r="H340" s="2" t="n"/>
      <c r="I340" s="2" t="n"/>
      <c r="J340" s="2" t="n"/>
      <c r="K340" s="2">
        <f>IFERROR(SMALL(IF((מלאי!$D$2:$500&lt;&gt;"")*(מלאי!$X$2:$500="מושאל"),ROW(מלאי!$A$2:$A$500)-ROW(מלאי!$A$2)+1,""),17),"")</f>
        <v/>
      </c>
    </row>
    <row r="341">
      <c r="A341" s="8">
        <f>IF($K341="","",INDEX(מלאי!$D$2:$500,$K341))</f>
        <v/>
      </c>
      <c r="B341" s="8">
        <f>IF($K341="","",INDEX(מלאי!$B$2:$500,$K341))</f>
        <v/>
      </c>
      <c r="C341" s="8">
        <f>IF($K341="","",INDEX(מלאי!$Y$2:$500,$K341))</f>
        <v/>
      </c>
      <c r="D341" s="8">
        <f>IF($K341="","",INDEX(מלאי!$Z$2:$500,$K341))</f>
        <v/>
      </c>
      <c r="E341" s="10">
        <f>IF($K341="","",INDEX(מלאי!$AB$2:$500,$K341))</f>
        <v/>
      </c>
      <c r="F341" s="8">
        <f>IF($K341="","",IF(AND(INDEX(מלאי!$AB$2:$500,$K341)&lt;&gt;"",INDEX(מלאי!$AB$2:$500,$K341)&lt;TODAY()),"באיחור!","תקין"))</f>
        <v/>
      </c>
      <c r="G341" s="8" t="n"/>
      <c r="H341" s="8" t="n"/>
      <c r="I341" s="8" t="n"/>
      <c r="J341" s="8" t="n"/>
      <c r="K341" s="8">
        <f>IFERROR(SMALL(IF((מלאי!$D$2:$500&lt;&gt;"")*(מלאי!$X$2:$500="מושאל"),ROW(מלאי!$A$2:$A$500)-ROW(מלאי!$A$2)+1,""),18),"")</f>
        <v/>
      </c>
    </row>
    <row r="342">
      <c r="A342" s="2">
        <f>IF($K342="","",INDEX(מלאי!$D$2:$500,$K342))</f>
        <v/>
      </c>
      <c r="B342" s="2">
        <f>IF($K342="","",INDEX(מלאי!$B$2:$500,$K342))</f>
        <v/>
      </c>
      <c r="C342" s="2">
        <f>IF($K342="","",INDEX(מלאי!$Y$2:$500,$K342))</f>
        <v/>
      </c>
      <c r="D342" s="2">
        <f>IF($K342="","",INDEX(מלאי!$Z$2:$500,$K342))</f>
        <v/>
      </c>
      <c r="E342" s="9">
        <f>IF($K342="","",INDEX(מלאי!$AB$2:$500,$K342))</f>
        <v/>
      </c>
      <c r="F342" s="2">
        <f>IF($K342="","",IF(AND(INDEX(מלאי!$AB$2:$500,$K342)&lt;&gt;"",INDEX(מלאי!$AB$2:$500,$K342)&lt;TODAY()),"באיחור!","תקין"))</f>
        <v/>
      </c>
      <c r="G342" s="2" t="n"/>
      <c r="H342" s="2" t="n"/>
      <c r="I342" s="2" t="n"/>
      <c r="J342" s="2" t="n"/>
      <c r="K342" s="2">
        <f>IFERROR(SMALL(IF((מלאי!$D$2:$500&lt;&gt;"")*(מלאי!$X$2:$500="מושאל"),ROW(מלאי!$A$2:$A$500)-ROW(מלאי!$A$2)+1,""),19),"")</f>
        <v/>
      </c>
    </row>
    <row r="343">
      <c r="A343" s="8">
        <f>IF($K343="","",INDEX(מלאי!$D$2:$500,$K343))</f>
        <v/>
      </c>
      <c r="B343" s="8">
        <f>IF($K343="","",INDEX(מלאי!$B$2:$500,$K343))</f>
        <v/>
      </c>
      <c r="C343" s="8">
        <f>IF($K343="","",INDEX(מלאי!$Y$2:$500,$K343))</f>
        <v/>
      </c>
      <c r="D343" s="8">
        <f>IF($K343="","",INDEX(מלאי!$Z$2:$500,$K343))</f>
        <v/>
      </c>
      <c r="E343" s="10">
        <f>IF($K343="","",INDEX(מלאי!$AB$2:$500,$K343))</f>
        <v/>
      </c>
      <c r="F343" s="8">
        <f>IF($K343="","",IF(AND(INDEX(מלאי!$AB$2:$500,$K343)&lt;&gt;"",INDEX(מלאי!$AB$2:$500,$K343)&lt;TODAY()),"באיחור!","תקין"))</f>
        <v/>
      </c>
      <c r="G343" s="8" t="n"/>
      <c r="H343" s="8" t="n"/>
      <c r="I343" s="8" t="n"/>
      <c r="J343" s="8" t="n"/>
      <c r="K343" s="8">
        <f>IFERROR(SMALL(IF((מלאי!$D$2:$500&lt;&gt;"")*(מלאי!$X$2:$500="מושאל"),ROW(מלאי!$A$2:$A$500)-ROW(מלאי!$A$2)+1,""),20),"")</f>
        <v/>
      </c>
    </row>
    <row r="344">
      <c r="A344" s="2">
        <f>IF($K344="","",INDEX(מלאי!$D$2:$500,$K344))</f>
        <v/>
      </c>
      <c r="B344" s="2">
        <f>IF($K344="","",INDEX(מלאי!$B$2:$500,$K344))</f>
        <v/>
      </c>
      <c r="C344" s="2">
        <f>IF($K344="","",INDEX(מלאי!$Y$2:$500,$K344))</f>
        <v/>
      </c>
      <c r="D344" s="2">
        <f>IF($K344="","",INDEX(מלאי!$Z$2:$500,$K344))</f>
        <v/>
      </c>
      <c r="E344" s="9">
        <f>IF($K344="","",INDEX(מלאי!$AB$2:$500,$K344))</f>
        <v/>
      </c>
      <c r="F344" s="2">
        <f>IF($K344="","",IF(AND(INDEX(מלאי!$AB$2:$500,$K344)&lt;&gt;"",INDEX(מלאי!$AB$2:$500,$K344)&lt;TODAY()),"באיחור!","תקין"))</f>
        <v/>
      </c>
      <c r="G344" s="2" t="n"/>
      <c r="H344" s="2" t="n"/>
      <c r="I344" s="2" t="n"/>
      <c r="J344" s="2" t="n"/>
      <c r="K344" s="2">
        <f>IFERROR(SMALL(IF((מלאי!$D$2:$500&lt;&gt;"")*(מלאי!$X$2:$500="מושאל"),ROW(מלאי!$A$2:$A$500)-ROW(מלאי!$A$2)+1,""),21),"")</f>
        <v/>
      </c>
    </row>
    <row r="345">
      <c r="A345" s="8">
        <f>IF($K345="","",INDEX(מלאי!$D$2:$500,$K345))</f>
        <v/>
      </c>
      <c r="B345" s="8">
        <f>IF($K345="","",INDEX(מלאי!$B$2:$500,$K345))</f>
        <v/>
      </c>
      <c r="C345" s="8">
        <f>IF($K345="","",INDEX(מלאי!$Y$2:$500,$K345))</f>
        <v/>
      </c>
      <c r="D345" s="8">
        <f>IF($K345="","",INDEX(מלאי!$Z$2:$500,$K345))</f>
        <v/>
      </c>
      <c r="E345" s="10">
        <f>IF($K345="","",INDEX(מלאי!$AB$2:$500,$K345))</f>
        <v/>
      </c>
      <c r="F345" s="8">
        <f>IF($K345="","",IF(AND(INDEX(מלאי!$AB$2:$500,$K345)&lt;&gt;"",INDEX(מלאי!$AB$2:$500,$K345)&lt;TODAY()),"באיחור!","תקין"))</f>
        <v/>
      </c>
      <c r="G345" s="8" t="n"/>
      <c r="H345" s="8" t="n"/>
      <c r="I345" s="8" t="n"/>
      <c r="J345" s="8" t="n"/>
      <c r="K345" s="8">
        <f>IFERROR(SMALL(IF((מלאי!$D$2:$500&lt;&gt;"")*(מלאי!$X$2:$500="מושאל"),ROW(מלאי!$A$2:$A$500)-ROW(מלאי!$A$2)+1,""),22),"")</f>
        <v/>
      </c>
    </row>
    <row r="346">
      <c r="A346" s="2">
        <f>IF($K346="","",INDEX(מלאי!$D$2:$500,$K346))</f>
        <v/>
      </c>
      <c r="B346" s="2">
        <f>IF($K346="","",INDEX(מלאי!$B$2:$500,$K346))</f>
        <v/>
      </c>
      <c r="C346" s="2">
        <f>IF($K346="","",INDEX(מלאי!$Y$2:$500,$K346))</f>
        <v/>
      </c>
      <c r="D346" s="2">
        <f>IF($K346="","",INDEX(מלאי!$Z$2:$500,$K346))</f>
        <v/>
      </c>
      <c r="E346" s="9">
        <f>IF($K346="","",INDEX(מלאי!$AB$2:$500,$K346))</f>
        <v/>
      </c>
      <c r="F346" s="2">
        <f>IF($K346="","",IF(AND(INDEX(מלאי!$AB$2:$500,$K346)&lt;&gt;"",INDEX(מלאי!$AB$2:$500,$K346)&lt;TODAY()),"באיחור!","תקין"))</f>
        <v/>
      </c>
      <c r="G346" s="2" t="n"/>
      <c r="H346" s="2" t="n"/>
      <c r="I346" s="2" t="n"/>
      <c r="J346" s="2" t="n"/>
      <c r="K346" s="2">
        <f>IFERROR(SMALL(IF((מלאי!$D$2:$500&lt;&gt;"")*(מלאי!$X$2:$500="מושאל"),ROW(מלאי!$A$2:$A$500)-ROW(מלאי!$A$2)+1,""),23),"")</f>
        <v/>
      </c>
    </row>
    <row r="347">
      <c r="A347" s="8">
        <f>IF($K347="","",INDEX(מלאי!$D$2:$500,$K347))</f>
        <v/>
      </c>
      <c r="B347" s="8">
        <f>IF($K347="","",INDEX(מלאי!$B$2:$500,$K347))</f>
        <v/>
      </c>
      <c r="C347" s="8">
        <f>IF($K347="","",INDEX(מלאי!$Y$2:$500,$K347))</f>
        <v/>
      </c>
      <c r="D347" s="8">
        <f>IF($K347="","",INDEX(מלאי!$Z$2:$500,$K347))</f>
        <v/>
      </c>
      <c r="E347" s="10">
        <f>IF($K347="","",INDEX(מלאי!$AB$2:$500,$K347))</f>
        <v/>
      </c>
      <c r="F347" s="8">
        <f>IF($K347="","",IF(AND(INDEX(מלאי!$AB$2:$500,$K347)&lt;&gt;"",INDEX(מלאי!$AB$2:$500,$K347)&lt;TODAY()),"באיחור!","תקין"))</f>
        <v/>
      </c>
      <c r="G347" s="8" t="n"/>
      <c r="H347" s="8" t="n"/>
      <c r="I347" s="8" t="n"/>
      <c r="J347" s="8" t="n"/>
      <c r="K347" s="8">
        <f>IFERROR(SMALL(IF((מלאי!$D$2:$500&lt;&gt;"")*(מלאי!$X$2:$500="מושאל"),ROW(מלאי!$A$2:$A$500)-ROW(מלאי!$A$2)+1,""),24),"")</f>
        <v/>
      </c>
    </row>
    <row r="348">
      <c r="A348" s="2">
        <f>IF($K348="","",INDEX(מלאי!$D$2:$500,$K348))</f>
        <v/>
      </c>
      <c r="B348" s="2">
        <f>IF($K348="","",INDEX(מלאי!$B$2:$500,$K348))</f>
        <v/>
      </c>
      <c r="C348" s="2">
        <f>IF($K348="","",INDEX(מלאי!$Y$2:$500,$K348))</f>
        <v/>
      </c>
      <c r="D348" s="2">
        <f>IF($K348="","",INDEX(מלאי!$Z$2:$500,$K348))</f>
        <v/>
      </c>
      <c r="E348" s="9">
        <f>IF($K348="","",INDEX(מלאי!$AB$2:$500,$K348))</f>
        <v/>
      </c>
      <c r="F348" s="2">
        <f>IF($K348="","",IF(AND(INDEX(מלאי!$AB$2:$500,$K348)&lt;&gt;"",INDEX(מלאי!$AB$2:$500,$K348)&lt;TODAY()),"באיחור!","תקין"))</f>
        <v/>
      </c>
      <c r="G348" s="2" t="n"/>
      <c r="H348" s="2" t="n"/>
      <c r="I348" s="2" t="n"/>
      <c r="J348" s="2" t="n"/>
      <c r="K348" s="2">
        <f>IFERROR(SMALL(IF((מלאי!$D$2:$500&lt;&gt;"")*(מלאי!$X$2:$500="מושאל"),ROW(מלאי!$A$2:$A$500)-ROW(מלאי!$A$2)+1,""),25),"")</f>
        <v/>
      </c>
    </row>
    <row r="349">
      <c r="A349" s="8">
        <f>IF($K349="","",INDEX(מלאי!$D$2:$500,$K349))</f>
        <v/>
      </c>
      <c r="B349" s="8">
        <f>IF($K349="","",INDEX(מלאי!$B$2:$500,$K349))</f>
        <v/>
      </c>
      <c r="C349" s="8">
        <f>IF($K349="","",INDEX(מלאי!$Y$2:$500,$K349))</f>
        <v/>
      </c>
      <c r="D349" s="8">
        <f>IF($K349="","",INDEX(מלאי!$Z$2:$500,$K349))</f>
        <v/>
      </c>
      <c r="E349" s="10">
        <f>IF($K349="","",INDEX(מלאי!$AB$2:$500,$K349))</f>
        <v/>
      </c>
      <c r="F349" s="8">
        <f>IF($K349="","",IF(AND(INDEX(מלאי!$AB$2:$500,$K349)&lt;&gt;"",INDEX(מלאי!$AB$2:$500,$K349)&lt;TODAY()),"באיחור!","תקין"))</f>
        <v/>
      </c>
      <c r="G349" s="8" t="n"/>
      <c r="H349" s="8" t="n"/>
      <c r="I349" s="8" t="n"/>
      <c r="J349" s="8" t="n"/>
      <c r="K349" s="8">
        <f>IFERROR(SMALL(IF((מלאי!$D$2:$500&lt;&gt;"")*(מלאי!$X$2:$500="מושאל"),ROW(מלאי!$A$2:$A$500)-ROW(מלאי!$A$2)+1,""),26),"")</f>
        <v/>
      </c>
    </row>
    <row r="350">
      <c r="A350" s="2">
        <f>IF($K350="","",INDEX(מלאי!$D$2:$500,$K350))</f>
        <v/>
      </c>
      <c r="B350" s="2">
        <f>IF($K350="","",INDEX(מלאי!$B$2:$500,$K350))</f>
        <v/>
      </c>
      <c r="C350" s="2">
        <f>IF($K350="","",INDEX(מלאי!$Y$2:$500,$K350))</f>
        <v/>
      </c>
      <c r="D350" s="2">
        <f>IF($K350="","",INDEX(מלאי!$Z$2:$500,$K350))</f>
        <v/>
      </c>
      <c r="E350" s="9">
        <f>IF($K350="","",INDEX(מלאי!$AB$2:$500,$K350))</f>
        <v/>
      </c>
      <c r="F350" s="2">
        <f>IF($K350="","",IF(AND(INDEX(מלאי!$AB$2:$500,$K350)&lt;&gt;"",INDEX(מלאי!$AB$2:$500,$K350)&lt;TODAY()),"באיחור!","תקין"))</f>
        <v/>
      </c>
      <c r="G350" s="2" t="n"/>
      <c r="H350" s="2" t="n"/>
      <c r="I350" s="2" t="n"/>
      <c r="J350" s="2" t="n"/>
      <c r="K350" s="2">
        <f>IFERROR(SMALL(IF((מלאי!$D$2:$500&lt;&gt;"")*(מלאי!$X$2:$500="מושאל"),ROW(מלאי!$A$2:$A$500)-ROW(מלאי!$A$2)+1,""),27),"")</f>
        <v/>
      </c>
    </row>
    <row r="351">
      <c r="A351" s="8">
        <f>IF($K351="","",INDEX(מלאי!$D$2:$500,$K351))</f>
        <v/>
      </c>
      <c r="B351" s="8">
        <f>IF($K351="","",INDEX(מלאי!$B$2:$500,$K351))</f>
        <v/>
      </c>
      <c r="C351" s="8">
        <f>IF($K351="","",INDEX(מלאי!$Y$2:$500,$K351))</f>
        <v/>
      </c>
      <c r="D351" s="8">
        <f>IF($K351="","",INDEX(מלאי!$Z$2:$500,$K351))</f>
        <v/>
      </c>
      <c r="E351" s="10">
        <f>IF($K351="","",INDEX(מלאי!$AB$2:$500,$K351))</f>
        <v/>
      </c>
      <c r="F351" s="8">
        <f>IF($K351="","",IF(AND(INDEX(מלאי!$AB$2:$500,$K351)&lt;&gt;"",INDEX(מלאי!$AB$2:$500,$K351)&lt;TODAY()),"באיחור!","תקין"))</f>
        <v/>
      </c>
      <c r="G351" s="8" t="n"/>
      <c r="H351" s="8" t="n"/>
      <c r="I351" s="8" t="n"/>
      <c r="J351" s="8" t="n"/>
      <c r="K351" s="8">
        <f>IFERROR(SMALL(IF((מלאי!$D$2:$500&lt;&gt;"")*(מלאי!$X$2:$500="מושאל"),ROW(מלאי!$A$2:$A$500)-ROW(מלאי!$A$2)+1,""),28),"")</f>
        <v/>
      </c>
    </row>
    <row r="352">
      <c r="A352" s="2">
        <f>IF($K352="","",INDEX(מלאי!$D$2:$500,$K352))</f>
        <v/>
      </c>
      <c r="B352" s="2">
        <f>IF($K352="","",INDEX(מלאי!$B$2:$500,$K352))</f>
        <v/>
      </c>
      <c r="C352" s="2">
        <f>IF($K352="","",INDEX(מלאי!$Y$2:$500,$K352))</f>
        <v/>
      </c>
      <c r="D352" s="2">
        <f>IF($K352="","",INDEX(מלאי!$Z$2:$500,$K352))</f>
        <v/>
      </c>
      <c r="E352" s="9">
        <f>IF($K352="","",INDEX(מלאי!$AB$2:$500,$K352))</f>
        <v/>
      </c>
      <c r="F352" s="2">
        <f>IF($K352="","",IF(AND(INDEX(מלאי!$AB$2:$500,$K352)&lt;&gt;"",INDEX(מלאי!$AB$2:$500,$K352)&lt;TODAY()),"באיחור!","תקין"))</f>
        <v/>
      </c>
      <c r="G352" s="2" t="n"/>
      <c r="H352" s="2" t="n"/>
      <c r="I352" s="2" t="n"/>
      <c r="J352" s="2" t="n"/>
      <c r="K352" s="2">
        <f>IFERROR(SMALL(IF((מלאי!$D$2:$500&lt;&gt;"")*(מלאי!$X$2:$500="מושאל"),ROW(מלאי!$A$2:$A$500)-ROW(מלאי!$A$2)+1,""),29),"")</f>
        <v/>
      </c>
    </row>
    <row r="353">
      <c r="A353" s="8">
        <f>IF($K353="","",INDEX(מלאי!$D$2:$500,$K353))</f>
        <v/>
      </c>
      <c r="B353" s="8">
        <f>IF($K353="","",INDEX(מלאי!$B$2:$500,$K353))</f>
        <v/>
      </c>
      <c r="C353" s="8">
        <f>IF($K353="","",INDEX(מלאי!$Y$2:$500,$K353))</f>
        <v/>
      </c>
      <c r="D353" s="8">
        <f>IF($K353="","",INDEX(מלאי!$Z$2:$500,$K353))</f>
        <v/>
      </c>
      <c r="E353" s="10">
        <f>IF($K353="","",INDEX(מלאי!$AB$2:$500,$K353))</f>
        <v/>
      </c>
      <c r="F353" s="8">
        <f>IF($K353="","",IF(AND(INDEX(מלאי!$AB$2:$500,$K353)&lt;&gt;"",INDEX(מלאי!$AB$2:$500,$K353)&lt;TODAY()),"באיחור!","תקין"))</f>
        <v/>
      </c>
      <c r="G353" s="8" t="n"/>
      <c r="H353" s="8" t="n"/>
      <c r="I353" s="8" t="n"/>
      <c r="J353" s="8" t="n"/>
      <c r="K353" s="8">
        <f>IFERROR(SMALL(IF((מלאי!$D$2:$500&lt;&gt;"")*(מלאי!$X$2:$500="מושאל"),ROW(מלאי!$A$2:$A$500)-ROW(מלאי!$A$2)+1,""),30),"")</f>
        <v/>
      </c>
    </row>
    <row r="354">
      <c r="A354" s="2">
        <f>IF($K354="","",INDEX(מלאי!$D$2:$500,$K354))</f>
        <v/>
      </c>
      <c r="B354" s="2">
        <f>IF($K354="","",INDEX(מלאי!$B$2:$500,$K354))</f>
        <v/>
      </c>
      <c r="C354" s="2">
        <f>IF($K354="","",INDEX(מלאי!$Y$2:$500,$K354))</f>
        <v/>
      </c>
      <c r="D354" s="2">
        <f>IF($K354="","",INDEX(מלאי!$Z$2:$500,$K354))</f>
        <v/>
      </c>
      <c r="E354" s="9">
        <f>IF($K354="","",INDEX(מלאי!$AB$2:$500,$K354))</f>
        <v/>
      </c>
      <c r="F354" s="2">
        <f>IF($K354="","",IF(AND(INDEX(מלאי!$AB$2:$500,$K354)&lt;&gt;"",INDEX(מלאי!$AB$2:$500,$K354)&lt;TODAY()),"באיחור!","תקין"))</f>
        <v/>
      </c>
      <c r="G354" s="2" t="n"/>
      <c r="H354" s="2" t="n"/>
      <c r="I354" s="2" t="n"/>
      <c r="J354" s="2" t="n"/>
      <c r="K354" s="2">
        <f>IFERROR(SMALL(IF((מלאי!$D$2:$500&lt;&gt;"")*(מלאי!$X$2:$500="מושאל"),ROW(מלאי!$A$2:$A$500)-ROW(מלאי!$A$2)+1,""),31),"")</f>
        <v/>
      </c>
    </row>
    <row r="355">
      <c r="A355" s="8">
        <f>IF($K355="","",INDEX(מלאי!$D$2:$500,$K355))</f>
        <v/>
      </c>
      <c r="B355" s="8">
        <f>IF($K355="","",INDEX(מלאי!$B$2:$500,$K355))</f>
        <v/>
      </c>
      <c r="C355" s="8">
        <f>IF($K355="","",INDEX(מלאי!$Y$2:$500,$K355))</f>
        <v/>
      </c>
      <c r="D355" s="8">
        <f>IF($K355="","",INDEX(מלאי!$Z$2:$500,$K355))</f>
        <v/>
      </c>
      <c r="E355" s="10">
        <f>IF($K355="","",INDEX(מלאי!$AB$2:$500,$K355))</f>
        <v/>
      </c>
      <c r="F355" s="8">
        <f>IF($K355="","",IF(AND(INDEX(מלאי!$AB$2:$500,$K355)&lt;&gt;"",INDEX(מלאי!$AB$2:$500,$K355)&lt;TODAY()),"באיחור!","תקין"))</f>
        <v/>
      </c>
      <c r="G355" s="8" t="n"/>
      <c r="H355" s="8" t="n"/>
      <c r="I355" s="8" t="n"/>
      <c r="J355" s="8" t="n"/>
      <c r="K355" s="8">
        <f>IFERROR(SMALL(IF((מלאי!$D$2:$500&lt;&gt;"")*(מלאי!$X$2:$500="מושאל"),ROW(מלאי!$A$2:$A$500)-ROW(מלאי!$A$2)+1,""),32),"")</f>
        <v/>
      </c>
    </row>
    <row r="356">
      <c r="A356" s="2">
        <f>IF($K356="","",INDEX(מלאי!$D$2:$500,$K356))</f>
        <v/>
      </c>
      <c r="B356" s="2">
        <f>IF($K356="","",INDEX(מלאי!$B$2:$500,$K356))</f>
        <v/>
      </c>
      <c r="C356" s="2">
        <f>IF($K356="","",INDEX(מלאי!$Y$2:$500,$K356))</f>
        <v/>
      </c>
      <c r="D356" s="2">
        <f>IF($K356="","",INDEX(מלאי!$Z$2:$500,$K356))</f>
        <v/>
      </c>
      <c r="E356" s="9">
        <f>IF($K356="","",INDEX(מלאי!$AB$2:$500,$K356))</f>
        <v/>
      </c>
      <c r="F356" s="2">
        <f>IF($K356="","",IF(AND(INDEX(מלאי!$AB$2:$500,$K356)&lt;&gt;"",INDEX(מלאי!$AB$2:$500,$K356)&lt;TODAY()),"באיחור!","תקין"))</f>
        <v/>
      </c>
      <c r="G356" s="2" t="n"/>
      <c r="H356" s="2" t="n"/>
      <c r="I356" s="2" t="n"/>
      <c r="J356" s="2" t="n"/>
      <c r="K356" s="2">
        <f>IFERROR(SMALL(IF((מלאי!$D$2:$500&lt;&gt;"")*(מלאי!$X$2:$500="מושאל"),ROW(מלאי!$A$2:$A$500)-ROW(מלאי!$A$2)+1,""),33),"")</f>
        <v/>
      </c>
    </row>
    <row r="357">
      <c r="A357" s="8">
        <f>IF($K357="","",INDEX(מלאי!$D$2:$500,$K357))</f>
        <v/>
      </c>
      <c r="B357" s="8">
        <f>IF($K357="","",INDEX(מלאי!$B$2:$500,$K357))</f>
        <v/>
      </c>
      <c r="C357" s="8">
        <f>IF($K357="","",INDEX(מלאי!$Y$2:$500,$K357))</f>
        <v/>
      </c>
      <c r="D357" s="8">
        <f>IF($K357="","",INDEX(מלאי!$Z$2:$500,$K357))</f>
        <v/>
      </c>
      <c r="E357" s="10">
        <f>IF($K357="","",INDEX(מלאי!$AB$2:$500,$K357))</f>
        <v/>
      </c>
      <c r="F357" s="8">
        <f>IF($K357="","",IF(AND(INDEX(מלאי!$AB$2:$500,$K357)&lt;&gt;"",INDEX(מלאי!$AB$2:$500,$K357)&lt;TODAY()),"באיחור!","תקין"))</f>
        <v/>
      </c>
      <c r="G357" s="8" t="n"/>
      <c r="H357" s="8" t="n"/>
      <c r="I357" s="8" t="n"/>
      <c r="J357" s="8" t="n"/>
      <c r="K357" s="8">
        <f>IFERROR(SMALL(IF((מלאי!$D$2:$500&lt;&gt;"")*(מלאי!$X$2:$500="מושאל"),ROW(מלאי!$A$2:$A$500)-ROW(מלאי!$A$2)+1,""),34),"")</f>
        <v/>
      </c>
    </row>
    <row r="358">
      <c r="A358" s="2">
        <f>IF($K358="","",INDEX(מלאי!$D$2:$500,$K358))</f>
        <v/>
      </c>
      <c r="B358" s="2">
        <f>IF($K358="","",INDEX(מלאי!$B$2:$500,$K358))</f>
        <v/>
      </c>
      <c r="C358" s="2">
        <f>IF($K358="","",INDEX(מלאי!$Y$2:$500,$K358))</f>
        <v/>
      </c>
      <c r="D358" s="2">
        <f>IF($K358="","",INDEX(מלאי!$Z$2:$500,$K358))</f>
        <v/>
      </c>
      <c r="E358" s="9">
        <f>IF($K358="","",INDEX(מלאי!$AB$2:$500,$K358))</f>
        <v/>
      </c>
      <c r="F358" s="2">
        <f>IF($K358="","",IF(AND(INDEX(מלאי!$AB$2:$500,$K358)&lt;&gt;"",INDEX(מלאי!$AB$2:$500,$K358)&lt;TODAY()),"באיחור!","תקין"))</f>
        <v/>
      </c>
      <c r="G358" s="2" t="n"/>
      <c r="H358" s="2" t="n"/>
      <c r="I358" s="2" t="n"/>
      <c r="J358" s="2" t="n"/>
      <c r="K358" s="2">
        <f>IFERROR(SMALL(IF((מלאי!$D$2:$500&lt;&gt;"")*(מלאי!$X$2:$500="מושאל"),ROW(מלאי!$A$2:$A$500)-ROW(מלאי!$A$2)+1,""),35),"")</f>
        <v/>
      </c>
    </row>
    <row r="359">
      <c r="A359" s="8">
        <f>IF($K359="","",INDEX(מלאי!$D$2:$500,$K359))</f>
        <v/>
      </c>
      <c r="B359" s="8">
        <f>IF($K359="","",INDEX(מלאי!$B$2:$500,$K359))</f>
        <v/>
      </c>
      <c r="C359" s="8">
        <f>IF($K359="","",INDEX(מלאי!$Y$2:$500,$K359))</f>
        <v/>
      </c>
      <c r="D359" s="8">
        <f>IF($K359="","",INDEX(מלאי!$Z$2:$500,$K359))</f>
        <v/>
      </c>
      <c r="E359" s="10">
        <f>IF($K359="","",INDEX(מלאי!$AB$2:$500,$K359))</f>
        <v/>
      </c>
      <c r="F359" s="8">
        <f>IF($K359="","",IF(AND(INDEX(מלאי!$AB$2:$500,$K359)&lt;&gt;"",INDEX(מלאי!$AB$2:$500,$K359)&lt;TODAY()),"באיחור!","תקין"))</f>
        <v/>
      </c>
      <c r="G359" s="8" t="n"/>
      <c r="H359" s="8" t="n"/>
      <c r="I359" s="8" t="n"/>
      <c r="J359" s="8" t="n"/>
      <c r="K359" s="8">
        <f>IFERROR(SMALL(IF((מלאי!$D$2:$500&lt;&gt;"")*(מלאי!$X$2:$500="מושאל"),ROW(מלאי!$A$2:$A$500)-ROW(מלאי!$A$2)+1,""),36),"")</f>
        <v/>
      </c>
    </row>
    <row r="360">
      <c r="A360" s="2">
        <f>IF($K360="","",INDEX(מלאי!$D$2:$500,$K360))</f>
        <v/>
      </c>
      <c r="B360" s="2">
        <f>IF($K360="","",INDEX(מלאי!$B$2:$500,$K360))</f>
        <v/>
      </c>
      <c r="C360" s="2">
        <f>IF($K360="","",INDEX(מלאי!$Y$2:$500,$K360))</f>
        <v/>
      </c>
      <c r="D360" s="2">
        <f>IF($K360="","",INDEX(מלאי!$Z$2:$500,$K360))</f>
        <v/>
      </c>
      <c r="E360" s="9">
        <f>IF($K360="","",INDEX(מלאי!$AB$2:$500,$K360))</f>
        <v/>
      </c>
      <c r="F360" s="2">
        <f>IF($K360="","",IF(AND(INDEX(מלאי!$AB$2:$500,$K360)&lt;&gt;"",INDEX(מלאי!$AB$2:$500,$K360)&lt;TODAY()),"באיחור!","תקין"))</f>
        <v/>
      </c>
      <c r="G360" s="2" t="n"/>
      <c r="H360" s="2" t="n"/>
      <c r="I360" s="2" t="n"/>
      <c r="J360" s="2" t="n"/>
      <c r="K360" s="2">
        <f>IFERROR(SMALL(IF((מלאי!$D$2:$500&lt;&gt;"")*(מלאי!$X$2:$500="מושאל"),ROW(מלאי!$A$2:$A$500)-ROW(מלאי!$A$2)+1,""),37),"")</f>
        <v/>
      </c>
    </row>
    <row r="361">
      <c r="A361" s="8">
        <f>IF($K361="","",INDEX(מלאי!$D$2:$500,$K361))</f>
        <v/>
      </c>
      <c r="B361" s="8">
        <f>IF($K361="","",INDEX(מלאי!$B$2:$500,$K361))</f>
        <v/>
      </c>
      <c r="C361" s="8">
        <f>IF($K361="","",INDEX(מלאי!$Y$2:$500,$K361))</f>
        <v/>
      </c>
      <c r="D361" s="8">
        <f>IF($K361="","",INDEX(מלאי!$Z$2:$500,$K361))</f>
        <v/>
      </c>
      <c r="E361" s="10">
        <f>IF($K361="","",INDEX(מלאי!$AB$2:$500,$K361))</f>
        <v/>
      </c>
      <c r="F361" s="8">
        <f>IF($K361="","",IF(AND(INDEX(מלאי!$AB$2:$500,$K361)&lt;&gt;"",INDEX(מלאי!$AB$2:$500,$K361)&lt;TODAY()),"באיחור!","תקין"))</f>
        <v/>
      </c>
      <c r="G361" s="8" t="n"/>
      <c r="H361" s="8" t="n"/>
      <c r="I361" s="8" t="n"/>
      <c r="J361" s="8" t="n"/>
      <c r="K361" s="8">
        <f>IFERROR(SMALL(IF((מלאי!$D$2:$500&lt;&gt;"")*(מלאי!$X$2:$500="מושאל"),ROW(מלאי!$A$2:$A$500)-ROW(מלאי!$A$2)+1,""),38),"")</f>
        <v/>
      </c>
    </row>
    <row r="362">
      <c r="A362" s="2">
        <f>IF($K362="","",INDEX(מלאי!$D$2:$500,$K362))</f>
        <v/>
      </c>
      <c r="B362" s="2">
        <f>IF($K362="","",INDEX(מלאי!$B$2:$500,$K362))</f>
        <v/>
      </c>
      <c r="C362" s="2">
        <f>IF($K362="","",INDEX(מלאי!$Y$2:$500,$K362))</f>
        <v/>
      </c>
      <c r="D362" s="2">
        <f>IF($K362="","",INDEX(מלאי!$Z$2:$500,$K362))</f>
        <v/>
      </c>
      <c r="E362" s="9">
        <f>IF($K362="","",INDEX(מלאי!$AB$2:$500,$K362))</f>
        <v/>
      </c>
      <c r="F362" s="2">
        <f>IF($K362="","",IF(AND(INDEX(מלאי!$AB$2:$500,$K362)&lt;&gt;"",INDEX(מלאי!$AB$2:$500,$K362)&lt;TODAY()),"באיחור!","תקין"))</f>
        <v/>
      </c>
      <c r="G362" s="2" t="n"/>
      <c r="H362" s="2" t="n"/>
      <c r="I362" s="2" t="n"/>
      <c r="J362" s="2" t="n"/>
      <c r="K362" s="2">
        <f>IFERROR(SMALL(IF((מלאי!$D$2:$500&lt;&gt;"")*(מלאי!$X$2:$500="מושאל"),ROW(מלאי!$A$2:$A$500)-ROW(מלאי!$A$2)+1,""),39),"")</f>
        <v/>
      </c>
    </row>
    <row r="363">
      <c r="A363" s="8">
        <f>IF($K363="","",INDEX(מלאי!$D$2:$500,$K363))</f>
        <v/>
      </c>
      <c r="B363" s="8">
        <f>IF($K363="","",INDEX(מלאי!$B$2:$500,$K363))</f>
        <v/>
      </c>
      <c r="C363" s="8">
        <f>IF($K363="","",INDEX(מלאי!$Y$2:$500,$K363))</f>
        <v/>
      </c>
      <c r="D363" s="8">
        <f>IF($K363="","",INDEX(מלאי!$Z$2:$500,$K363))</f>
        <v/>
      </c>
      <c r="E363" s="10">
        <f>IF($K363="","",INDEX(מלאי!$AB$2:$500,$K363))</f>
        <v/>
      </c>
      <c r="F363" s="8">
        <f>IF($K363="","",IF(AND(INDEX(מלאי!$AB$2:$500,$K363)&lt;&gt;"",INDEX(מלאי!$AB$2:$500,$K363)&lt;TODAY()),"באיחור!","תקין"))</f>
        <v/>
      </c>
      <c r="G363" s="8" t="n"/>
      <c r="H363" s="8" t="n"/>
      <c r="I363" s="8" t="n"/>
      <c r="J363" s="8" t="n"/>
      <c r="K363" s="8">
        <f>IFERROR(SMALL(IF((מלאי!$D$2:$500&lt;&gt;"")*(מלאי!$X$2:$500="מושאל"),ROW(מלאי!$A$2:$A$500)-ROW(מלאי!$A$2)+1,""),40),"")</f>
        <v/>
      </c>
    </row>
    <row r="364">
      <c r="A364" s="2">
        <f>IF($K364="","",INDEX(מלאי!$D$2:$500,$K364))</f>
        <v/>
      </c>
      <c r="B364" s="2">
        <f>IF($K364="","",INDEX(מלאי!$B$2:$500,$K364))</f>
        <v/>
      </c>
      <c r="C364" s="2">
        <f>IF($K364="","",INDEX(מלאי!$Y$2:$500,$K364))</f>
        <v/>
      </c>
      <c r="D364" s="2">
        <f>IF($K364="","",INDEX(מלאי!$Z$2:$500,$K364))</f>
        <v/>
      </c>
      <c r="E364" s="9">
        <f>IF($K364="","",INDEX(מלאי!$AB$2:$500,$K364))</f>
        <v/>
      </c>
      <c r="F364" s="2">
        <f>IF($K364="","",IF(AND(INDEX(מלאי!$AB$2:$500,$K364)&lt;&gt;"",INDEX(מלאי!$AB$2:$500,$K364)&lt;TODAY()),"באיחור!","תקין"))</f>
        <v/>
      </c>
      <c r="G364" s="2" t="n"/>
      <c r="H364" s="2" t="n"/>
      <c r="I364" s="2" t="n"/>
      <c r="J364" s="2" t="n"/>
      <c r="K364" s="2">
        <f>IFERROR(SMALL(IF((מלאי!$D$2:$500&lt;&gt;"")*(מלאי!$X$2:$500="מושאל"),ROW(מלאי!$A$2:$A$500)-ROW(מלאי!$A$2)+1,""),41),"")</f>
        <v/>
      </c>
    </row>
    <row r="365">
      <c r="A365" s="8">
        <f>IF($K365="","",INDEX(מלאי!$D$2:$500,$K365))</f>
        <v/>
      </c>
      <c r="B365" s="8">
        <f>IF($K365="","",INDEX(מלאי!$B$2:$500,$K365))</f>
        <v/>
      </c>
      <c r="C365" s="8">
        <f>IF($K365="","",INDEX(מלאי!$Y$2:$500,$K365))</f>
        <v/>
      </c>
      <c r="D365" s="8">
        <f>IF($K365="","",INDEX(מלאי!$Z$2:$500,$K365))</f>
        <v/>
      </c>
      <c r="E365" s="10">
        <f>IF($K365="","",INDEX(מלאי!$AB$2:$500,$K365))</f>
        <v/>
      </c>
      <c r="F365" s="8">
        <f>IF($K365="","",IF(AND(INDEX(מלאי!$AB$2:$500,$K365)&lt;&gt;"",INDEX(מלאי!$AB$2:$500,$K365)&lt;TODAY()),"באיחור!","תקין"))</f>
        <v/>
      </c>
      <c r="G365" s="8" t="n"/>
      <c r="H365" s="8" t="n"/>
      <c r="I365" s="8" t="n"/>
      <c r="J365" s="8" t="n"/>
      <c r="K365" s="8">
        <f>IFERROR(SMALL(IF((מלאי!$D$2:$500&lt;&gt;"")*(מלאי!$X$2:$500="מושאל"),ROW(מלאי!$A$2:$A$500)-ROW(מלאי!$A$2)+1,""),42),"")</f>
        <v/>
      </c>
    </row>
    <row r="366">
      <c r="A366" s="2">
        <f>IF($K366="","",INDEX(מלאי!$D$2:$500,$K366))</f>
        <v/>
      </c>
      <c r="B366" s="2">
        <f>IF($K366="","",INDEX(מלאי!$B$2:$500,$K366))</f>
        <v/>
      </c>
      <c r="C366" s="2">
        <f>IF($K366="","",INDEX(מלאי!$Y$2:$500,$K366))</f>
        <v/>
      </c>
      <c r="D366" s="2">
        <f>IF($K366="","",INDEX(מלאי!$Z$2:$500,$K366))</f>
        <v/>
      </c>
      <c r="E366" s="9">
        <f>IF($K366="","",INDEX(מלאי!$AB$2:$500,$K366))</f>
        <v/>
      </c>
      <c r="F366" s="2">
        <f>IF($K366="","",IF(AND(INDEX(מלאי!$AB$2:$500,$K366)&lt;&gt;"",INDEX(מלאי!$AB$2:$500,$K366)&lt;TODAY()),"באיחור!","תקין"))</f>
        <v/>
      </c>
      <c r="G366" s="2" t="n"/>
      <c r="H366" s="2" t="n"/>
      <c r="I366" s="2" t="n"/>
      <c r="J366" s="2" t="n"/>
      <c r="K366" s="2">
        <f>IFERROR(SMALL(IF((מלאי!$D$2:$500&lt;&gt;"")*(מלאי!$X$2:$500="מושאל"),ROW(מלאי!$A$2:$A$500)-ROW(מלאי!$A$2)+1,""),43),"")</f>
        <v/>
      </c>
    </row>
    <row r="367">
      <c r="A367" s="8">
        <f>IF($K367="","",INDEX(מלאי!$D$2:$500,$K367))</f>
        <v/>
      </c>
      <c r="B367" s="8">
        <f>IF($K367="","",INDEX(מלאי!$B$2:$500,$K367))</f>
        <v/>
      </c>
      <c r="C367" s="8">
        <f>IF($K367="","",INDEX(מלאי!$Y$2:$500,$K367))</f>
        <v/>
      </c>
      <c r="D367" s="8">
        <f>IF($K367="","",INDEX(מלאי!$Z$2:$500,$K367))</f>
        <v/>
      </c>
      <c r="E367" s="10">
        <f>IF($K367="","",INDEX(מלאי!$AB$2:$500,$K367))</f>
        <v/>
      </c>
      <c r="F367" s="8">
        <f>IF($K367="","",IF(AND(INDEX(מלאי!$AB$2:$500,$K367)&lt;&gt;"",INDEX(מלאי!$AB$2:$500,$K367)&lt;TODAY()),"באיחור!","תקין"))</f>
        <v/>
      </c>
      <c r="G367" s="8" t="n"/>
      <c r="H367" s="8" t="n"/>
      <c r="I367" s="8" t="n"/>
      <c r="J367" s="8" t="n"/>
      <c r="K367" s="8">
        <f>IFERROR(SMALL(IF((מלאי!$D$2:$500&lt;&gt;"")*(מלאי!$X$2:$500="מושאל"),ROW(מלאי!$A$2:$A$500)-ROW(מלאי!$A$2)+1,""),44),"")</f>
        <v/>
      </c>
    </row>
    <row r="368">
      <c r="A368" s="2">
        <f>IF($K368="","",INDEX(מלאי!$D$2:$500,$K368))</f>
        <v/>
      </c>
      <c r="B368" s="2">
        <f>IF($K368="","",INDEX(מלאי!$B$2:$500,$K368))</f>
        <v/>
      </c>
      <c r="C368" s="2">
        <f>IF($K368="","",INDEX(מלאי!$Y$2:$500,$K368))</f>
        <v/>
      </c>
      <c r="D368" s="2">
        <f>IF($K368="","",INDEX(מלאי!$Z$2:$500,$K368))</f>
        <v/>
      </c>
      <c r="E368" s="9">
        <f>IF($K368="","",INDEX(מלאי!$AB$2:$500,$K368))</f>
        <v/>
      </c>
      <c r="F368" s="2">
        <f>IF($K368="","",IF(AND(INDEX(מלאי!$AB$2:$500,$K368)&lt;&gt;"",INDEX(מלאי!$AB$2:$500,$K368)&lt;TODAY()),"באיחור!","תקין"))</f>
        <v/>
      </c>
      <c r="G368" s="2" t="n"/>
      <c r="H368" s="2" t="n"/>
      <c r="I368" s="2" t="n"/>
      <c r="J368" s="2" t="n"/>
      <c r="K368" s="2">
        <f>IFERROR(SMALL(IF((מלאי!$D$2:$500&lt;&gt;"")*(מלאי!$X$2:$500="מושאל"),ROW(מלאי!$A$2:$A$500)-ROW(מלאי!$A$2)+1,""),45),"")</f>
        <v/>
      </c>
    </row>
    <row r="369">
      <c r="A369" s="8">
        <f>IF($K369="","",INDEX(מלאי!$D$2:$500,$K369))</f>
        <v/>
      </c>
      <c r="B369" s="8">
        <f>IF($K369="","",INDEX(מלאי!$B$2:$500,$K369))</f>
        <v/>
      </c>
      <c r="C369" s="8">
        <f>IF($K369="","",INDEX(מלאי!$Y$2:$500,$K369))</f>
        <v/>
      </c>
      <c r="D369" s="8">
        <f>IF($K369="","",INDEX(מלאי!$Z$2:$500,$K369))</f>
        <v/>
      </c>
      <c r="E369" s="10">
        <f>IF($K369="","",INDEX(מלאי!$AB$2:$500,$K369))</f>
        <v/>
      </c>
      <c r="F369" s="8">
        <f>IF($K369="","",IF(AND(INDEX(מלאי!$AB$2:$500,$K369)&lt;&gt;"",INDEX(מלאי!$AB$2:$500,$K369)&lt;TODAY()),"באיחור!","תקין"))</f>
        <v/>
      </c>
      <c r="G369" s="8" t="n"/>
      <c r="H369" s="8" t="n"/>
      <c r="I369" s="8" t="n"/>
      <c r="J369" s="8" t="n"/>
      <c r="K369" s="8">
        <f>IFERROR(SMALL(IF((מלאי!$D$2:$500&lt;&gt;"")*(מלאי!$X$2:$500="מושאל"),ROW(מלאי!$A$2:$A$500)-ROW(מלאי!$A$2)+1,""),46),"")</f>
        <v/>
      </c>
    </row>
    <row r="370">
      <c r="A370" s="2">
        <f>IF($K370="","",INDEX(מלאי!$D$2:$500,$K370))</f>
        <v/>
      </c>
      <c r="B370" s="2">
        <f>IF($K370="","",INDEX(מלאי!$B$2:$500,$K370))</f>
        <v/>
      </c>
      <c r="C370" s="2">
        <f>IF($K370="","",INDEX(מלאי!$Y$2:$500,$K370))</f>
        <v/>
      </c>
      <c r="D370" s="2">
        <f>IF($K370="","",INDEX(מלאי!$Z$2:$500,$K370))</f>
        <v/>
      </c>
      <c r="E370" s="9">
        <f>IF($K370="","",INDEX(מלאי!$AB$2:$500,$K370))</f>
        <v/>
      </c>
      <c r="F370" s="2">
        <f>IF($K370="","",IF(AND(INDEX(מלאי!$AB$2:$500,$K370)&lt;&gt;"",INDEX(מלאי!$AB$2:$500,$K370)&lt;TODAY()),"באיחור!","תקין"))</f>
        <v/>
      </c>
      <c r="G370" s="2" t="n"/>
      <c r="H370" s="2" t="n"/>
      <c r="I370" s="2" t="n"/>
      <c r="J370" s="2" t="n"/>
      <c r="K370" s="2">
        <f>IFERROR(SMALL(IF((מלאי!$D$2:$500&lt;&gt;"")*(מלאי!$X$2:$500="מושאל"),ROW(מלאי!$A$2:$A$500)-ROW(מלאי!$A$2)+1,""),47),"")</f>
        <v/>
      </c>
    </row>
    <row r="371">
      <c r="A371" s="8">
        <f>IF($K371="","",INDEX(מלאי!$D$2:$500,$K371))</f>
        <v/>
      </c>
      <c r="B371" s="8">
        <f>IF($K371="","",INDEX(מלאי!$B$2:$500,$K371))</f>
        <v/>
      </c>
      <c r="C371" s="8">
        <f>IF($K371="","",INDEX(מלאי!$Y$2:$500,$K371))</f>
        <v/>
      </c>
      <c r="D371" s="8">
        <f>IF($K371="","",INDEX(מלאי!$Z$2:$500,$K371))</f>
        <v/>
      </c>
      <c r="E371" s="10">
        <f>IF($K371="","",INDEX(מלאי!$AB$2:$500,$K371))</f>
        <v/>
      </c>
      <c r="F371" s="8">
        <f>IF($K371="","",IF(AND(INDEX(מלאי!$AB$2:$500,$K371)&lt;&gt;"",INDEX(מלאי!$AB$2:$500,$K371)&lt;TODAY()),"באיחור!","תקין"))</f>
        <v/>
      </c>
      <c r="G371" s="8" t="n"/>
      <c r="H371" s="8" t="n"/>
      <c r="I371" s="8" t="n"/>
      <c r="J371" s="8" t="n"/>
      <c r="K371" s="8">
        <f>IFERROR(SMALL(IF((מלאי!$D$2:$500&lt;&gt;"")*(מלאי!$X$2:$500="מושאל"),ROW(מלאי!$A$2:$A$500)-ROW(מלאי!$A$2)+1,""),48),"")</f>
        <v/>
      </c>
    </row>
    <row r="372">
      <c r="A372" s="2">
        <f>IF($K372="","",INDEX(מלאי!$D$2:$500,$K372))</f>
        <v/>
      </c>
      <c r="B372" s="2">
        <f>IF($K372="","",INDEX(מלאי!$B$2:$500,$K372))</f>
        <v/>
      </c>
      <c r="C372" s="2">
        <f>IF($K372="","",INDEX(מלאי!$Y$2:$500,$K372))</f>
        <v/>
      </c>
      <c r="D372" s="2">
        <f>IF($K372="","",INDEX(מלאי!$Z$2:$500,$K372))</f>
        <v/>
      </c>
      <c r="E372" s="9">
        <f>IF($K372="","",INDEX(מלאי!$AB$2:$500,$K372))</f>
        <v/>
      </c>
      <c r="F372" s="2">
        <f>IF($K372="","",IF(AND(INDEX(מלאי!$AB$2:$500,$K372)&lt;&gt;"",INDEX(מלאי!$AB$2:$500,$K372)&lt;TODAY()),"באיחור!","תקין"))</f>
        <v/>
      </c>
      <c r="G372" s="2" t="n"/>
      <c r="H372" s="2" t="n"/>
      <c r="I372" s="2" t="n"/>
      <c r="J372" s="2" t="n"/>
      <c r="K372" s="2">
        <f>IFERROR(SMALL(IF((מלאי!$D$2:$500&lt;&gt;"")*(מלאי!$X$2:$500="מושאל"),ROW(מלאי!$A$2:$A$500)-ROW(מלאי!$A$2)+1,""),49),"")</f>
        <v/>
      </c>
    </row>
    <row r="373">
      <c r="A373" s="8">
        <f>IF($K373="","",INDEX(מלאי!$D$2:$500,$K373))</f>
        <v/>
      </c>
      <c r="B373" s="8">
        <f>IF($K373="","",INDEX(מלאי!$B$2:$500,$K373))</f>
        <v/>
      </c>
      <c r="C373" s="8">
        <f>IF($K373="","",INDEX(מלאי!$Y$2:$500,$K373))</f>
        <v/>
      </c>
      <c r="D373" s="8">
        <f>IF($K373="","",INDEX(מלאי!$Z$2:$500,$K373))</f>
        <v/>
      </c>
      <c r="E373" s="10">
        <f>IF($K373="","",INDEX(מלאי!$AB$2:$500,$K373))</f>
        <v/>
      </c>
      <c r="F373" s="8">
        <f>IF($K373="","",IF(AND(INDEX(מלאי!$AB$2:$500,$K373)&lt;&gt;"",INDEX(מלאי!$AB$2:$500,$K373)&lt;TODAY()),"באיחור!","תקין"))</f>
        <v/>
      </c>
      <c r="G373" s="8" t="n"/>
      <c r="H373" s="8" t="n"/>
      <c r="I373" s="8" t="n"/>
      <c r="J373" s="8" t="n"/>
      <c r="K373" s="8">
        <f>IFERROR(SMALL(IF((מלאי!$D$2:$500&lt;&gt;"")*(מלאי!$X$2:$500="מושאל"),ROW(מלאי!$A$2:$A$500)-ROW(מלאי!$A$2)+1,""),50),"")</f>
        <v/>
      </c>
    </row>
    <row r="374">
      <c r="A374" s="2">
        <f>IF($K374="","",INDEX(מלאי!$D$2:$500,$K374))</f>
        <v/>
      </c>
      <c r="B374" s="2">
        <f>IF($K374="","",INDEX(מלאי!$B$2:$500,$K374))</f>
        <v/>
      </c>
      <c r="C374" s="2">
        <f>IF($K374="","",INDEX(מלאי!$Y$2:$500,$K374))</f>
        <v/>
      </c>
      <c r="D374" s="2">
        <f>IF($K374="","",INDEX(מלאי!$Z$2:$500,$K374))</f>
        <v/>
      </c>
      <c r="E374" s="9">
        <f>IF($K374="","",INDEX(מלאי!$AB$2:$500,$K374))</f>
        <v/>
      </c>
      <c r="F374" s="2">
        <f>IF($K374="","",IF(AND(INDEX(מלאי!$AB$2:$500,$K374)&lt;&gt;"",INDEX(מלאי!$AB$2:$500,$K374)&lt;TODAY()),"באיחור!","תקין"))</f>
        <v/>
      </c>
      <c r="G374" s="2" t="n"/>
      <c r="H374" s="2" t="n"/>
      <c r="I374" s="2" t="n"/>
      <c r="J374" s="2" t="n"/>
      <c r="K374" s="2">
        <f>IFERROR(SMALL(IF((מלאי!$D$2:$500&lt;&gt;"")*(מלאי!$X$2:$500="מושאל"),ROW(מלאי!$A$2:$A$500)-ROW(מלאי!$A$2)+1,""),51),"")</f>
        <v/>
      </c>
    </row>
    <row r="375">
      <c r="A375" s="8">
        <f>IF($K375="","",INDEX(מלאי!$D$2:$500,$K375))</f>
        <v/>
      </c>
      <c r="B375" s="8">
        <f>IF($K375="","",INDEX(מלאי!$B$2:$500,$K375))</f>
        <v/>
      </c>
      <c r="C375" s="8">
        <f>IF($K375="","",INDEX(מלאי!$Y$2:$500,$K375))</f>
        <v/>
      </c>
      <c r="D375" s="8">
        <f>IF($K375="","",INDEX(מלאי!$Z$2:$500,$K375))</f>
        <v/>
      </c>
      <c r="E375" s="10">
        <f>IF($K375="","",INDEX(מלאי!$AB$2:$500,$K375))</f>
        <v/>
      </c>
      <c r="F375" s="8">
        <f>IF($K375="","",IF(AND(INDEX(מלאי!$AB$2:$500,$K375)&lt;&gt;"",INDEX(מלאי!$AB$2:$500,$K375)&lt;TODAY()),"באיחור!","תקין"))</f>
        <v/>
      </c>
      <c r="G375" s="8" t="n"/>
      <c r="H375" s="8" t="n"/>
      <c r="I375" s="8" t="n"/>
      <c r="J375" s="8" t="n"/>
      <c r="K375" s="8">
        <f>IFERROR(SMALL(IF((מלאי!$D$2:$500&lt;&gt;"")*(מלאי!$X$2:$500="מושאל"),ROW(מלאי!$A$2:$A$500)-ROW(מלאי!$A$2)+1,""),52),"")</f>
        <v/>
      </c>
    </row>
    <row r="376">
      <c r="A376" s="2">
        <f>IF($K376="","",INDEX(מלאי!$D$2:$500,$K376))</f>
        <v/>
      </c>
      <c r="B376" s="2">
        <f>IF($K376="","",INDEX(מלאי!$B$2:$500,$K376))</f>
        <v/>
      </c>
      <c r="C376" s="2">
        <f>IF($K376="","",INDEX(מלאי!$Y$2:$500,$K376))</f>
        <v/>
      </c>
      <c r="D376" s="2">
        <f>IF($K376="","",INDEX(מלאי!$Z$2:$500,$K376))</f>
        <v/>
      </c>
      <c r="E376" s="9">
        <f>IF($K376="","",INDEX(מלאי!$AB$2:$500,$K376))</f>
        <v/>
      </c>
      <c r="F376" s="2">
        <f>IF($K376="","",IF(AND(INDEX(מלאי!$AB$2:$500,$K376)&lt;&gt;"",INDEX(מלאי!$AB$2:$500,$K376)&lt;TODAY()),"באיחור!","תקין"))</f>
        <v/>
      </c>
      <c r="G376" s="2" t="n"/>
      <c r="H376" s="2" t="n"/>
      <c r="I376" s="2" t="n"/>
      <c r="J376" s="2" t="n"/>
      <c r="K376" s="2">
        <f>IFERROR(SMALL(IF((מלאי!$D$2:$500&lt;&gt;"")*(מלאי!$X$2:$500="מושאל"),ROW(מלאי!$A$2:$A$500)-ROW(מלאי!$A$2)+1,""),53),"")</f>
        <v/>
      </c>
    </row>
    <row r="377">
      <c r="A377" s="8">
        <f>IF($K377="","",INDEX(מלאי!$D$2:$500,$K377))</f>
        <v/>
      </c>
      <c r="B377" s="8">
        <f>IF($K377="","",INDEX(מלאי!$B$2:$500,$K377))</f>
        <v/>
      </c>
      <c r="C377" s="8">
        <f>IF($K377="","",INDEX(מלאי!$Y$2:$500,$K377))</f>
        <v/>
      </c>
      <c r="D377" s="8">
        <f>IF($K377="","",INDEX(מלאי!$Z$2:$500,$K377))</f>
        <v/>
      </c>
      <c r="E377" s="10">
        <f>IF($K377="","",INDEX(מלאי!$AB$2:$500,$K377))</f>
        <v/>
      </c>
      <c r="F377" s="8">
        <f>IF($K377="","",IF(AND(INDEX(מלאי!$AB$2:$500,$K377)&lt;&gt;"",INDEX(מלאי!$AB$2:$500,$K377)&lt;TODAY()),"באיחור!","תקין"))</f>
        <v/>
      </c>
      <c r="G377" s="8" t="n"/>
      <c r="H377" s="8" t="n"/>
      <c r="I377" s="8" t="n"/>
      <c r="J377" s="8" t="n"/>
      <c r="K377" s="8">
        <f>IFERROR(SMALL(IF((מלאי!$D$2:$500&lt;&gt;"")*(מלאי!$X$2:$500="מושאל"),ROW(מלאי!$A$2:$A$500)-ROW(מלאי!$A$2)+1,""),54),"")</f>
        <v/>
      </c>
    </row>
    <row r="378">
      <c r="A378" s="2">
        <f>IF($K378="","",INDEX(מלאי!$D$2:$500,$K378))</f>
        <v/>
      </c>
      <c r="B378" s="2">
        <f>IF($K378="","",INDEX(מלאי!$B$2:$500,$K378))</f>
        <v/>
      </c>
      <c r="C378" s="2">
        <f>IF($K378="","",INDEX(מלאי!$Y$2:$500,$K378))</f>
        <v/>
      </c>
      <c r="D378" s="2">
        <f>IF($K378="","",INDEX(מלאי!$Z$2:$500,$K378))</f>
        <v/>
      </c>
      <c r="E378" s="9">
        <f>IF($K378="","",INDEX(מלאי!$AB$2:$500,$K378))</f>
        <v/>
      </c>
      <c r="F378" s="2">
        <f>IF($K378="","",IF(AND(INDEX(מלאי!$AB$2:$500,$K378)&lt;&gt;"",INDEX(מלאי!$AB$2:$500,$K378)&lt;TODAY()),"באיחור!","תקין"))</f>
        <v/>
      </c>
      <c r="G378" s="2" t="n"/>
      <c r="H378" s="2" t="n"/>
      <c r="I378" s="2" t="n"/>
      <c r="J378" s="2" t="n"/>
      <c r="K378" s="2">
        <f>IFERROR(SMALL(IF((מלאי!$D$2:$500&lt;&gt;"")*(מלאי!$X$2:$500="מושאל"),ROW(מלאי!$A$2:$A$500)-ROW(מלאי!$A$2)+1,""),55),"")</f>
        <v/>
      </c>
    </row>
    <row r="379">
      <c r="A379" s="8">
        <f>IF($K379="","",INDEX(מלאי!$D$2:$500,$K379))</f>
        <v/>
      </c>
      <c r="B379" s="8">
        <f>IF($K379="","",INDEX(מלאי!$B$2:$500,$K379))</f>
        <v/>
      </c>
      <c r="C379" s="8">
        <f>IF($K379="","",INDEX(מלאי!$Y$2:$500,$K379))</f>
        <v/>
      </c>
      <c r="D379" s="8">
        <f>IF($K379="","",INDEX(מלאי!$Z$2:$500,$K379))</f>
        <v/>
      </c>
      <c r="E379" s="10">
        <f>IF($K379="","",INDEX(מלאי!$AB$2:$500,$K379))</f>
        <v/>
      </c>
      <c r="F379" s="8">
        <f>IF($K379="","",IF(AND(INDEX(מלאי!$AB$2:$500,$K379)&lt;&gt;"",INDEX(מלאי!$AB$2:$500,$K379)&lt;TODAY()),"באיחור!","תקין"))</f>
        <v/>
      </c>
      <c r="G379" s="8" t="n"/>
      <c r="H379" s="8" t="n"/>
      <c r="I379" s="8" t="n"/>
      <c r="J379" s="8" t="n"/>
      <c r="K379" s="8">
        <f>IFERROR(SMALL(IF((מלאי!$D$2:$500&lt;&gt;"")*(מלאי!$X$2:$500="מושאל"),ROW(מלאי!$A$2:$A$500)-ROW(מלאי!$A$2)+1,""),56),"")</f>
        <v/>
      </c>
    </row>
    <row r="380">
      <c r="A380" s="2">
        <f>IF($K380="","",INDEX(מלאי!$D$2:$500,$K380))</f>
        <v/>
      </c>
      <c r="B380" s="2">
        <f>IF($K380="","",INDEX(מלאי!$B$2:$500,$K380))</f>
        <v/>
      </c>
      <c r="C380" s="2">
        <f>IF($K380="","",INDEX(מלאי!$Y$2:$500,$K380))</f>
        <v/>
      </c>
      <c r="D380" s="2">
        <f>IF($K380="","",INDEX(מלאי!$Z$2:$500,$K380))</f>
        <v/>
      </c>
      <c r="E380" s="9">
        <f>IF($K380="","",INDEX(מלאי!$AB$2:$500,$K380))</f>
        <v/>
      </c>
      <c r="F380" s="2">
        <f>IF($K380="","",IF(AND(INDEX(מלאי!$AB$2:$500,$K380)&lt;&gt;"",INDEX(מלאי!$AB$2:$500,$K380)&lt;TODAY()),"באיחור!","תקין"))</f>
        <v/>
      </c>
      <c r="G380" s="2" t="n"/>
      <c r="H380" s="2" t="n"/>
      <c r="I380" s="2" t="n"/>
      <c r="J380" s="2" t="n"/>
      <c r="K380" s="2">
        <f>IFERROR(SMALL(IF((מלאי!$D$2:$500&lt;&gt;"")*(מלאי!$X$2:$500="מושאל"),ROW(מלאי!$A$2:$A$500)-ROW(מלאי!$A$2)+1,""),57),"")</f>
        <v/>
      </c>
    </row>
    <row r="381">
      <c r="A381" s="8">
        <f>IF($K381="","",INDEX(מלאי!$D$2:$500,$K381))</f>
        <v/>
      </c>
      <c r="B381" s="8">
        <f>IF($K381="","",INDEX(מלאי!$B$2:$500,$K381))</f>
        <v/>
      </c>
      <c r="C381" s="8">
        <f>IF($K381="","",INDEX(מלאי!$Y$2:$500,$K381))</f>
        <v/>
      </c>
      <c r="D381" s="8">
        <f>IF($K381="","",INDEX(מלאי!$Z$2:$500,$K381))</f>
        <v/>
      </c>
      <c r="E381" s="10">
        <f>IF($K381="","",INDEX(מלאי!$AB$2:$500,$K381))</f>
        <v/>
      </c>
      <c r="F381" s="8">
        <f>IF($K381="","",IF(AND(INDEX(מלאי!$AB$2:$500,$K381)&lt;&gt;"",INDEX(מלאי!$AB$2:$500,$K381)&lt;TODAY()),"באיחור!","תקין"))</f>
        <v/>
      </c>
      <c r="G381" s="8" t="n"/>
      <c r="H381" s="8" t="n"/>
      <c r="I381" s="8" t="n"/>
      <c r="J381" s="8" t="n"/>
      <c r="K381" s="8">
        <f>IFERROR(SMALL(IF((מלאי!$D$2:$500&lt;&gt;"")*(מלאי!$X$2:$500="מושאל"),ROW(מלאי!$A$2:$A$500)-ROW(מלאי!$A$2)+1,""),58),"")</f>
        <v/>
      </c>
    </row>
    <row r="382">
      <c r="A382" s="2">
        <f>IF($K382="","",INDEX(מלאי!$D$2:$500,$K382))</f>
        <v/>
      </c>
      <c r="B382" s="2">
        <f>IF($K382="","",INDEX(מלאי!$B$2:$500,$K382))</f>
        <v/>
      </c>
      <c r="C382" s="2">
        <f>IF($K382="","",INDEX(מלאי!$Y$2:$500,$K382))</f>
        <v/>
      </c>
      <c r="D382" s="2">
        <f>IF($K382="","",INDEX(מלאי!$Z$2:$500,$K382))</f>
        <v/>
      </c>
      <c r="E382" s="9">
        <f>IF($K382="","",INDEX(מלאי!$AB$2:$500,$K382))</f>
        <v/>
      </c>
      <c r="F382" s="2">
        <f>IF($K382="","",IF(AND(INDEX(מלאי!$AB$2:$500,$K382)&lt;&gt;"",INDEX(מלאי!$AB$2:$500,$K382)&lt;TODAY()),"באיחור!","תקין"))</f>
        <v/>
      </c>
      <c r="G382" s="2" t="n"/>
      <c r="H382" s="2" t="n"/>
      <c r="I382" s="2" t="n"/>
      <c r="J382" s="2" t="n"/>
      <c r="K382" s="2">
        <f>IFERROR(SMALL(IF((מלאי!$D$2:$500&lt;&gt;"")*(מלאי!$X$2:$500="מושאל"),ROW(מלאי!$A$2:$A$500)-ROW(מלאי!$A$2)+1,""),59),"")</f>
        <v/>
      </c>
    </row>
    <row r="383">
      <c r="A383" s="8">
        <f>IF($K383="","",INDEX(מלאי!$D$2:$500,$K383))</f>
        <v/>
      </c>
      <c r="B383" s="8">
        <f>IF($K383="","",INDEX(מלאי!$B$2:$500,$K383))</f>
        <v/>
      </c>
      <c r="C383" s="8">
        <f>IF($K383="","",INDEX(מלאי!$Y$2:$500,$K383))</f>
        <v/>
      </c>
      <c r="D383" s="8">
        <f>IF($K383="","",INDEX(מלאי!$Z$2:$500,$K383))</f>
        <v/>
      </c>
      <c r="E383" s="10">
        <f>IF($K383="","",INDEX(מלאי!$AB$2:$500,$K383))</f>
        <v/>
      </c>
      <c r="F383" s="8">
        <f>IF($K383="","",IF(AND(INDEX(מלאי!$AB$2:$500,$K383)&lt;&gt;"",INDEX(מלאי!$AB$2:$500,$K383)&lt;TODAY()),"באיחור!","תקין"))</f>
        <v/>
      </c>
      <c r="G383" s="8" t="n"/>
      <c r="H383" s="8" t="n"/>
      <c r="I383" s="8" t="n"/>
      <c r="J383" s="8" t="n"/>
      <c r="K383" s="8">
        <f>IFERROR(SMALL(IF((מלאי!$D$2:$500&lt;&gt;"")*(מלאי!$X$2:$500="מושאל"),ROW(מלאי!$A$2:$A$500)-ROW(מלאי!$A$2)+1,""),60),"")</f>
        <v/>
      </c>
    </row>
    <row r="384">
      <c r="A384" s="2">
        <f>IF($K384="","",INDEX(מלאי!$D$2:$500,$K384))</f>
        <v/>
      </c>
      <c r="B384" s="2">
        <f>IF($K384="","",INDEX(מלאי!$B$2:$500,$K384))</f>
        <v/>
      </c>
      <c r="C384" s="2">
        <f>IF($K384="","",INDEX(מלאי!$Y$2:$500,$K384))</f>
        <v/>
      </c>
      <c r="D384" s="2">
        <f>IF($K384="","",INDEX(מלאי!$Z$2:$500,$K384))</f>
        <v/>
      </c>
      <c r="E384" s="9">
        <f>IF($K384="","",INDEX(מלאי!$AB$2:$500,$K384))</f>
        <v/>
      </c>
      <c r="F384" s="2">
        <f>IF($K384="","",IF(AND(INDEX(מלאי!$AB$2:$500,$K384)&lt;&gt;"",INDEX(מלאי!$AB$2:$500,$K384)&lt;TODAY()),"באיחור!","תקין"))</f>
        <v/>
      </c>
      <c r="G384" s="2" t="n"/>
      <c r="H384" s="2" t="n"/>
      <c r="I384" s="2" t="n"/>
      <c r="J384" s="2" t="n"/>
      <c r="K384" s="2">
        <f>IFERROR(SMALL(IF((מלאי!$D$2:$500&lt;&gt;"")*(מלאי!$X$2:$500="מושאל"),ROW(מלאי!$A$2:$A$500)-ROW(מלאי!$A$2)+1,""),61),"")</f>
        <v/>
      </c>
    </row>
    <row r="385">
      <c r="A385" s="8">
        <f>IF($K385="","",INDEX(מלאי!$D$2:$500,$K385))</f>
        <v/>
      </c>
      <c r="B385" s="8">
        <f>IF($K385="","",INDEX(מלאי!$B$2:$500,$K385))</f>
        <v/>
      </c>
      <c r="C385" s="8">
        <f>IF($K385="","",INDEX(מלאי!$Y$2:$500,$K385))</f>
        <v/>
      </c>
      <c r="D385" s="8">
        <f>IF($K385="","",INDEX(מלאי!$Z$2:$500,$K385))</f>
        <v/>
      </c>
      <c r="E385" s="10">
        <f>IF($K385="","",INDEX(מלאי!$AB$2:$500,$K385))</f>
        <v/>
      </c>
      <c r="F385" s="8">
        <f>IF($K385="","",IF(AND(INDEX(מלאי!$AB$2:$500,$K385)&lt;&gt;"",INDEX(מלאי!$AB$2:$500,$K385)&lt;TODAY()),"באיחור!","תקין"))</f>
        <v/>
      </c>
      <c r="G385" s="8" t="n"/>
      <c r="H385" s="8" t="n"/>
      <c r="I385" s="8" t="n"/>
      <c r="J385" s="8" t="n"/>
      <c r="K385" s="8">
        <f>IFERROR(SMALL(IF((מלאי!$D$2:$500&lt;&gt;"")*(מלאי!$X$2:$500="מושאל"),ROW(מלאי!$A$2:$A$500)-ROW(מלאי!$A$2)+1,""),62),"")</f>
        <v/>
      </c>
    </row>
    <row r="386">
      <c r="A386" s="2">
        <f>IF($K386="","",INDEX(מלאי!$D$2:$500,$K386))</f>
        <v/>
      </c>
      <c r="B386" s="2">
        <f>IF($K386="","",INDEX(מלאי!$B$2:$500,$K386))</f>
        <v/>
      </c>
      <c r="C386" s="2">
        <f>IF($K386="","",INDEX(מלאי!$Y$2:$500,$K386))</f>
        <v/>
      </c>
      <c r="D386" s="2">
        <f>IF($K386="","",INDEX(מלאי!$Z$2:$500,$K386))</f>
        <v/>
      </c>
      <c r="E386" s="9">
        <f>IF($K386="","",INDEX(מלאי!$AB$2:$500,$K386))</f>
        <v/>
      </c>
      <c r="F386" s="2">
        <f>IF($K386="","",IF(AND(INDEX(מלאי!$AB$2:$500,$K386)&lt;&gt;"",INDEX(מלאי!$AB$2:$500,$K386)&lt;TODAY()),"באיחור!","תקין"))</f>
        <v/>
      </c>
      <c r="G386" s="2" t="n"/>
      <c r="H386" s="2" t="n"/>
      <c r="I386" s="2" t="n"/>
      <c r="J386" s="2" t="n"/>
      <c r="K386" s="2">
        <f>IFERROR(SMALL(IF((מלאי!$D$2:$500&lt;&gt;"")*(מלאי!$X$2:$500="מושאל"),ROW(מלאי!$A$2:$A$500)-ROW(מלאי!$A$2)+1,""),63),"")</f>
        <v/>
      </c>
    </row>
    <row r="387">
      <c r="A387" s="8">
        <f>IF($K387="","",INDEX(מלאי!$D$2:$500,$K387))</f>
        <v/>
      </c>
      <c r="B387" s="8">
        <f>IF($K387="","",INDEX(מלאי!$B$2:$500,$K387))</f>
        <v/>
      </c>
      <c r="C387" s="8">
        <f>IF($K387="","",INDEX(מלאי!$Y$2:$500,$K387))</f>
        <v/>
      </c>
      <c r="D387" s="8">
        <f>IF($K387="","",INDEX(מלאי!$Z$2:$500,$K387))</f>
        <v/>
      </c>
      <c r="E387" s="10">
        <f>IF($K387="","",INDEX(מלאי!$AB$2:$500,$K387))</f>
        <v/>
      </c>
      <c r="F387" s="8">
        <f>IF($K387="","",IF(AND(INDEX(מלאי!$AB$2:$500,$K387)&lt;&gt;"",INDEX(מלאי!$AB$2:$500,$K387)&lt;TODAY()),"באיחור!","תקין"))</f>
        <v/>
      </c>
      <c r="G387" s="8" t="n"/>
      <c r="H387" s="8" t="n"/>
      <c r="I387" s="8" t="n"/>
      <c r="J387" s="8" t="n"/>
      <c r="K387" s="8">
        <f>IFERROR(SMALL(IF((מלאי!$D$2:$500&lt;&gt;"")*(מלאי!$X$2:$500="מושאל"),ROW(מלאי!$A$2:$A$500)-ROW(מלאי!$A$2)+1,""),64),"")</f>
        <v/>
      </c>
    </row>
    <row r="388">
      <c r="A388" s="2">
        <f>IF($K388="","",INDEX(מלאי!$D$2:$500,$K388))</f>
        <v/>
      </c>
      <c r="B388" s="2">
        <f>IF($K388="","",INDEX(מלאי!$B$2:$500,$K388))</f>
        <v/>
      </c>
      <c r="C388" s="2">
        <f>IF($K388="","",INDEX(מלאי!$Y$2:$500,$K388))</f>
        <v/>
      </c>
      <c r="D388" s="2">
        <f>IF($K388="","",INDEX(מלאי!$Z$2:$500,$K388))</f>
        <v/>
      </c>
      <c r="E388" s="9">
        <f>IF($K388="","",INDEX(מלאי!$AB$2:$500,$K388))</f>
        <v/>
      </c>
      <c r="F388" s="2">
        <f>IF($K388="","",IF(AND(INDEX(מלאי!$AB$2:$500,$K388)&lt;&gt;"",INDEX(מלאי!$AB$2:$500,$K388)&lt;TODAY()),"באיחור!","תקין"))</f>
        <v/>
      </c>
      <c r="G388" s="2" t="n"/>
      <c r="H388" s="2" t="n"/>
      <c r="I388" s="2" t="n"/>
      <c r="J388" s="2" t="n"/>
      <c r="K388" s="2">
        <f>IFERROR(SMALL(IF((מלאי!$D$2:$500&lt;&gt;"")*(מלאי!$X$2:$500="מושאל"),ROW(מלאי!$A$2:$A$500)-ROW(מלאי!$A$2)+1,""),65),"")</f>
        <v/>
      </c>
    </row>
    <row r="389">
      <c r="A389" s="8">
        <f>IF($K389="","",INDEX(מלאי!$D$2:$500,$K389))</f>
        <v/>
      </c>
      <c r="B389" s="8">
        <f>IF($K389="","",INDEX(מלאי!$B$2:$500,$K389))</f>
        <v/>
      </c>
      <c r="C389" s="8">
        <f>IF($K389="","",INDEX(מלאי!$Y$2:$500,$K389))</f>
        <v/>
      </c>
      <c r="D389" s="8">
        <f>IF($K389="","",INDEX(מלאי!$Z$2:$500,$K389))</f>
        <v/>
      </c>
      <c r="E389" s="10">
        <f>IF($K389="","",INDEX(מלאי!$AB$2:$500,$K389))</f>
        <v/>
      </c>
      <c r="F389" s="8">
        <f>IF($K389="","",IF(AND(INDEX(מלאי!$AB$2:$500,$K389)&lt;&gt;"",INDEX(מלאי!$AB$2:$500,$K389)&lt;TODAY()),"באיחור!","תקין"))</f>
        <v/>
      </c>
      <c r="G389" s="8" t="n"/>
      <c r="H389" s="8" t="n"/>
      <c r="I389" s="8" t="n"/>
      <c r="J389" s="8" t="n"/>
      <c r="K389" s="8">
        <f>IFERROR(SMALL(IF((מלאי!$D$2:$500&lt;&gt;"")*(מלאי!$X$2:$500="מושאל"),ROW(מלאי!$A$2:$A$500)-ROW(מלאי!$A$2)+1,""),66),"")</f>
        <v/>
      </c>
    </row>
    <row r="390">
      <c r="A390" s="2">
        <f>IF($K390="","",INDEX(מלאי!$D$2:$500,$K390))</f>
        <v/>
      </c>
      <c r="B390" s="2">
        <f>IF($K390="","",INDEX(מלאי!$B$2:$500,$K390))</f>
        <v/>
      </c>
      <c r="C390" s="2">
        <f>IF($K390="","",INDEX(מלאי!$Y$2:$500,$K390))</f>
        <v/>
      </c>
      <c r="D390" s="2">
        <f>IF($K390="","",INDEX(מלאי!$Z$2:$500,$K390))</f>
        <v/>
      </c>
      <c r="E390" s="9">
        <f>IF($K390="","",INDEX(מלאי!$AB$2:$500,$K390))</f>
        <v/>
      </c>
      <c r="F390" s="2">
        <f>IF($K390="","",IF(AND(INDEX(מלאי!$AB$2:$500,$K390)&lt;&gt;"",INDEX(מלאי!$AB$2:$500,$K390)&lt;TODAY()),"באיחור!","תקין"))</f>
        <v/>
      </c>
      <c r="G390" s="2" t="n"/>
      <c r="H390" s="2" t="n"/>
      <c r="I390" s="2" t="n"/>
      <c r="J390" s="2" t="n"/>
      <c r="K390" s="2">
        <f>IFERROR(SMALL(IF((מלאי!$D$2:$500&lt;&gt;"")*(מלאי!$X$2:$500="מושאל"),ROW(מלאי!$A$2:$A$500)-ROW(מלאי!$A$2)+1,""),67),"")</f>
        <v/>
      </c>
    </row>
    <row r="391">
      <c r="A391" s="8">
        <f>IF($K391="","",INDEX(מלאי!$D$2:$500,$K391))</f>
        <v/>
      </c>
      <c r="B391" s="8">
        <f>IF($K391="","",INDEX(מלאי!$B$2:$500,$K391))</f>
        <v/>
      </c>
      <c r="C391" s="8">
        <f>IF($K391="","",INDEX(מלאי!$Y$2:$500,$K391))</f>
        <v/>
      </c>
      <c r="D391" s="8">
        <f>IF($K391="","",INDEX(מלאי!$Z$2:$500,$K391))</f>
        <v/>
      </c>
      <c r="E391" s="10">
        <f>IF($K391="","",INDEX(מלאי!$AB$2:$500,$K391))</f>
        <v/>
      </c>
      <c r="F391" s="8">
        <f>IF($K391="","",IF(AND(INDEX(מלאי!$AB$2:$500,$K391)&lt;&gt;"",INDEX(מלאי!$AB$2:$500,$K391)&lt;TODAY()),"באיחור!","תקין"))</f>
        <v/>
      </c>
      <c r="G391" s="8" t="n"/>
      <c r="H391" s="8" t="n"/>
      <c r="I391" s="8" t="n"/>
      <c r="J391" s="8" t="n"/>
      <c r="K391" s="8">
        <f>IFERROR(SMALL(IF((מלאי!$D$2:$500&lt;&gt;"")*(מלאי!$X$2:$500="מושאל"),ROW(מלאי!$A$2:$A$500)-ROW(מלאי!$A$2)+1,""),68),"")</f>
        <v/>
      </c>
    </row>
    <row r="392">
      <c r="A392" s="2">
        <f>IF($K392="","",INDEX(מלאי!$D$2:$500,$K392))</f>
        <v/>
      </c>
      <c r="B392" s="2">
        <f>IF($K392="","",INDEX(מלאי!$B$2:$500,$K392))</f>
        <v/>
      </c>
      <c r="C392" s="2">
        <f>IF($K392="","",INDEX(מלאי!$Y$2:$500,$K392))</f>
        <v/>
      </c>
      <c r="D392" s="2">
        <f>IF($K392="","",INDEX(מלאי!$Z$2:$500,$K392))</f>
        <v/>
      </c>
      <c r="E392" s="9">
        <f>IF($K392="","",INDEX(מלאי!$AB$2:$500,$K392))</f>
        <v/>
      </c>
      <c r="F392" s="2">
        <f>IF($K392="","",IF(AND(INDEX(מלאי!$AB$2:$500,$K392)&lt;&gt;"",INDEX(מלאי!$AB$2:$500,$K392)&lt;TODAY()),"באיחור!","תקין"))</f>
        <v/>
      </c>
      <c r="G392" s="2" t="n"/>
      <c r="H392" s="2" t="n"/>
      <c r="I392" s="2" t="n"/>
      <c r="J392" s="2" t="n"/>
      <c r="K392" s="2">
        <f>IFERROR(SMALL(IF((מלאי!$D$2:$500&lt;&gt;"")*(מלאי!$X$2:$500="מושאל"),ROW(מלאי!$A$2:$A$500)-ROW(מלאי!$A$2)+1,""),69),"")</f>
        <v/>
      </c>
    </row>
    <row r="393">
      <c r="A393" s="8">
        <f>IF($K393="","",INDEX(מלאי!$D$2:$500,$K393))</f>
        <v/>
      </c>
      <c r="B393" s="8">
        <f>IF($K393="","",INDEX(מלאי!$B$2:$500,$K393))</f>
        <v/>
      </c>
      <c r="C393" s="8">
        <f>IF($K393="","",INDEX(מלאי!$Y$2:$500,$K393))</f>
        <v/>
      </c>
      <c r="D393" s="8">
        <f>IF($K393="","",INDEX(מלאי!$Z$2:$500,$K393))</f>
        <v/>
      </c>
      <c r="E393" s="10">
        <f>IF($K393="","",INDEX(מלאי!$AB$2:$500,$K393))</f>
        <v/>
      </c>
      <c r="F393" s="8">
        <f>IF($K393="","",IF(AND(INDEX(מלאי!$AB$2:$500,$K393)&lt;&gt;"",INDEX(מלאי!$AB$2:$500,$K393)&lt;TODAY()),"באיחור!","תקין"))</f>
        <v/>
      </c>
      <c r="G393" s="8" t="n"/>
      <c r="H393" s="8" t="n"/>
      <c r="I393" s="8" t="n"/>
      <c r="J393" s="8" t="n"/>
      <c r="K393" s="8">
        <f>IFERROR(SMALL(IF((מלאי!$D$2:$500&lt;&gt;"")*(מלאי!$X$2:$500="מושאל"),ROW(מלאי!$A$2:$A$500)-ROW(מלאי!$A$2)+1,""),70),"")</f>
        <v/>
      </c>
    </row>
    <row r="394">
      <c r="A394" s="2">
        <f>IF($K394="","",INDEX(מלאי!$D$2:$500,$K394))</f>
        <v/>
      </c>
      <c r="B394" s="2">
        <f>IF($K394="","",INDEX(מלאי!$B$2:$500,$K394))</f>
        <v/>
      </c>
      <c r="C394" s="2">
        <f>IF($K394="","",INDEX(מלאי!$Y$2:$500,$K394))</f>
        <v/>
      </c>
      <c r="D394" s="2">
        <f>IF($K394="","",INDEX(מלאי!$Z$2:$500,$K394))</f>
        <v/>
      </c>
      <c r="E394" s="9">
        <f>IF($K394="","",INDEX(מלאי!$AB$2:$500,$K394))</f>
        <v/>
      </c>
      <c r="F394" s="2">
        <f>IF($K394="","",IF(AND(INDEX(מלאי!$AB$2:$500,$K394)&lt;&gt;"",INDEX(מלאי!$AB$2:$500,$K394)&lt;TODAY()),"באיחור!","תקין"))</f>
        <v/>
      </c>
      <c r="G394" s="2" t="n"/>
      <c r="H394" s="2" t="n"/>
      <c r="I394" s="2" t="n"/>
      <c r="J394" s="2" t="n"/>
      <c r="K394" s="2">
        <f>IFERROR(SMALL(IF((מלאי!$D$2:$500&lt;&gt;"")*(מלאי!$X$2:$500="מושאל"),ROW(מלאי!$A$2:$A$500)-ROW(מלאי!$A$2)+1,""),71),"")</f>
        <v/>
      </c>
    </row>
    <row r="395">
      <c r="A395" s="8">
        <f>IF($K395="","",INDEX(מלאי!$D$2:$500,$K395))</f>
        <v/>
      </c>
      <c r="B395" s="8">
        <f>IF($K395="","",INDEX(מלאי!$B$2:$500,$K395))</f>
        <v/>
      </c>
      <c r="C395" s="8">
        <f>IF($K395="","",INDEX(מלאי!$Y$2:$500,$K395))</f>
        <v/>
      </c>
      <c r="D395" s="8">
        <f>IF($K395="","",INDEX(מלאי!$Z$2:$500,$K395))</f>
        <v/>
      </c>
      <c r="E395" s="10">
        <f>IF($K395="","",INDEX(מלאי!$AB$2:$500,$K395))</f>
        <v/>
      </c>
      <c r="F395" s="8">
        <f>IF($K395="","",IF(AND(INDEX(מלאי!$AB$2:$500,$K395)&lt;&gt;"",INDEX(מלאי!$AB$2:$500,$K395)&lt;TODAY()),"באיחור!","תקין"))</f>
        <v/>
      </c>
      <c r="G395" s="8" t="n"/>
      <c r="H395" s="8" t="n"/>
      <c r="I395" s="8" t="n"/>
      <c r="J395" s="8" t="n"/>
      <c r="K395" s="8">
        <f>IFERROR(SMALL(IF((מלאי!$D$2:$500&lt;&gt;"")*(מלאי!$X$2:$500="מושאל"),ROW(מלאי!$A$2:$A$500)-ROW(מלאי!$A$2)+1,""),72),"")</f>
        <v/>
      </c>
    </row>
    <row r="396">
      <c r="A396" s="2">
        <f>IF($K396="","",INDEX(מלאי!$D$2:$500,$K396))</f>
        <v/>
      </c>
      <c r="B396" s="2">
        <f>IF($K396="","",INDEX(מלאי!$B$2:$500,$K396))</f>
        <v/>
      </c>
      <c r="C396" s="2">
        <f>IF($K396="","",INDEX(מלאי!$Y$2:$500,$K396))</f>
        <v/>
      </c>
      <c r="D396" s="2">
        <f>IF($K396="","",INDEX(מלאי!$Z$2:$500,$K396))</f>
        <v/>
      </c>
      <c r="E396" s="9">
        <f>IF($K396="","",INDEX(מלאי!$AB$2:$500,$K396))</f>
        <v/>
      </c>
      <c r="F396" s="2">
        <f>IF($K396="","",IF(AND(INDEX(מלאי!$AB$2:$500,$K396)&lt;&gt;"",INDEX(מלאי!$AB$2:$500,$K396)&lt;TODAY()),"באיחור!","תקין"))</f>
        <v/>
      </c>
      <c r="G396" s="2" t="n"/>
      <c r="H396" s="2" t="n"/>
      <c r="I396" s="2" t="n"/>
      <c r="J396" s="2" t="n"/>
      <c r="K396" s="2">
        <f>IFERROR(SMALL(IF((מלאי!$D$2:$500&lt;&gt;"")*(מלאי!$X$2:$500="מושאל"),ROW(מלאי!$A$2:$A$500)-ROW(מלאי!$A$2)+1,""),73),"")</f>
        <v/>
      </c>
    </row>
    <row r="397">
      <c r="A397" s="8">
        <f>IF($K397="","",INDEX(מלאי!$D$2:$500,$K397))</f>
        <v/>
      </c>
      <c r="B397" s="8">
        <f>IF($K397="","",INDEX(מלאי!$B$2:$500,$K397))</f>
        <v/>
      </c>
      <c r="C397" s="8">
        <f>IF($K397="","",INDEX(מלאי!$Y$2:$500,$K397))</f>
        <v/>
      </c>
      <c r="D397" s="8">
        <f>IF($K397="","",INDEX(מלאי!$Z$2:$500,$K397))</f>
        <v/>
      </c>
      <c r="E397" s="10">
        <f>IF($K397="","",INDEX(מלאי!$AB$2:$500,$K397))</f>
        <v/>
      </c>
      <c r="F397" s="8">
        <f>IF($K397="","",IF(AND(INDEX(מלאי!$AB$2:$500,$K397)&lt;&gt;"",INDEX(מלאי!$AB$2:$500,$K397)&lt;TODAY()),"באיחור!","תקין"))</f>
        <v/>
      </c>
      <c r="G397" s="8" t="n"/>
      <c r="H397" s="8" t="n"/>
      <c r="I397" s="8" t="n"/>
      <c r="J397" s="8" t="n"/>
      <c r="K397" s="8">
        <f>IFERROR(SMALL(IF((מלאי!$D$2:$500&lt;&gt;"")*(מלאי!$X$2:$500="מושאל"),ROW(מלאי!$A$2:$A$500)-ROW(מלאי!$A$2)+1,""),74),"")</f>
        <v/>
      </c>
    </row>
    <row r="398">
      <c r="A398" s="2">
        <f>IF($K398="","",INDEX(מלאי!$D$2:$500,$K398))</f>
        <v/>
      </c>
      <c r="B398" s="2">
        <f>IF($K398="","",INDEX(מלאי!$B$2:$500,$K398))</f>
        <v/>
      </c>
      <c r="C398" s="2">
        <f>IF($K398="","",INDEX(מלאי!$Y$2:$500,$K398))</f>
        <v/>
      </c>
      <c r="D398" s="2">
        <f>IF($K398="","",INDEX(מלאי!$Z$2:$500,$K398))</f>
        <v/>
      </c>
      <c r="E398" s="9">
        <f>IF($K398="","",INDEX(מלאי!$AB$2:$500,$K398))</f>
        <v/>
      </c>
      <c r="F398" s="2">
        <f>IF($K398="","",IF(AND(INDEX(מלאי!$AB$2:$500,$K398)&lt;&gt;"",INDEX(מלאי!$AB$2:$500,$K398)&lt;TODAY()),"באיחור!","תקין"))</f>
        <v/>
      </c>
      <c r="G398" s="2" t="n"/>
      <c r="H398" s="2" t="n"/>
      <c r="I398" s="2" t="n"/>
      <c r="J398" s="2" t="n"/>
      <c r="K398" s="2">
        <f>IFERROR(SMALL(IF((מלאי!$D$2:$500&lt;&gt;"")*(מלאי!$X$2:$500="מושאל"),ROW(מלאי!$A$2:$A$500)-ROW(מלאי!$A$2)+1,""),75),"")</f>
        <v/>
      </c>
    </row>
    <row r="399">
      <c r="A399" s="8">
        <f>IF($K399="","",INDEX(מלאי!$D$2:$500,$K399))</f>
        <v/>
      </c>
      <c r="B399" s="8">
        <f>IF($K399="","",INDEX(מלאי!$B$2:$500,$K399))</f>
        <v/>
      </c>
      <c r="C399" s="8">
        <f>IF($K399="","",INDEX(מלאי!$Y$2:$500,$K399))</f>
        <v/>
      </c>
      <c r="D399" s="8">
        <f>IF($K399="","",INDEX(מלאי!$Z$2:$500,$K399))</f>
        <v/>
      </c>
      <c r="E399" s="10">
        <f>IF($K399="","",INDEX(מלאי!$AB$2:$500,$K399))</f>
        <v/>
      </c>
      <c r="F399" s="8">
        <f>IF($K399="","",IF(AND(INDEX(מלאי!$AB$2:$500,$K399)&lt;&gt;"",INDEX(מלאי!$AB$2:$500,$K399)&lt;TODAY()),"באיחור!","תקין"))</f>
        <v/>
      </c>
      <c r="G399" s="8" t="n"/>
      <c r="H399" s="8" t="n"/>
      <c r="I399" s="8" t="n"/>
      <c r="J399" s="8" t="n"/>
      <c r="K399" s="8">
        <f>IFERROR(SMALL(IF((מלאי!$D$2:$500&lt;&gt;"")*(מלאי!$X$2:$500="מושאל"),ROW(מלאי!$A$2:$A$500)-ROW(מלאי!$A$2)+1,""),76),"")</f>
        <v/>
      </c>
    </row>
    <row r="400">
      <c r="A400" s="2">
        <f>IF($K400="","",INDEX(מלאי!$D$2:$500,$K400))</f>
        <v/>
      </c>
      <c r="B400" s="2">
        <f>IF($K400="","",INDEX(מלאי!$B$2:$500,$K400))</f>
        <v/>
      </c>
      <c r="C400" s="2">
        <f>IF($K400="","",INDEX(מלאי!$Y$2:$500,$K400))</f>
        <v/>
      </c>
      <c r="D400" s="2">
        <f>IF($K400="","",INDEX(מלאי!$Z$2:$500,$K400))</f>
        <v/>
      </c>
      <c r="E400" s="9">
        <f>IF($K400="","",INDEX(מלאי!$AB$2:$500,$K400))</f>
        <v/>
      </c>
      <c r="F400" s="2">
        <f>IF($K400="","",IF(AND(INDEX(מלאי!$AB$2:$500,$K400)&lt;&gt;"",INDEX(מלאי!$AB$2:$500,$K400)&lt;TODAY()),"באיחור!","תקין"))</f>
        <v/>
      </c>
      <c r="G400" s="2" t="n"/>
      <c r="H400" s="2" t="n"/>
      <c r="I400" s="2" t="n"/>
      <c r="J400" s="2" t="n"/>
      <c r="K400" s="2">
        <f>IFERROR(SMALL(IF((מלאי!$D$2:$500&lt;&gt;"")*(מלאי!$X$2:$500="מושאל"),ROW(מלאי!$A$2:$A$500)-ROW(מלאי!$A$2)+1,""),77),"")</f>
        <v/>
      </c>
    </row>
    <row r="401">
      <c r="A401" s="8">
        <f>IF($K401="","",INDEX(מלאי!$D$2:$500,$K401))</f>
        <v/>
      </c>
      <c r="B401" s="8">
        <f>IF($K401="","",INDEX(מלאי!$B$2:$500,$K401))</f>
        <v/>
      </c>
      <c r="C401" s="8">
        <f>IF($K401="","",INDEX(מלאי!$Y$2:$500,$K401))</f>
        <v/>
      </c>
      <c r="D401" s="8">
        <f>IF($K401="","",INDEX(מלאי!$Z$2:$500,$K401))</f>
        <v/>
      </c>
      <c r="E401" s="10">
        <f>IF($K401="","",INDEX(מלאי!$AB$2:$500,$K401))</f>
        <v/>
      </c>
      <c r="F401" s="8">
        <f>IF($K401="","",IF(AND(INDEX(מלאי!$AB$2:$500,$K401)&lt;&gt;"",INDEX(מלאי!$AB$2:$500,$K401)&lt;TODAY()),"באיחור!","תקין"))</f>
        <v/>
      </c>
      <c r="G401" s="8" t="n"/>
      <c r="H401" s="8" t="n"/>
      <c r="I401" s="8" t="n"/>
      <c r="J401" s="8" t="n"/>
      <c r="K401" s="8">
        <f>IFERROR(SMALL(IF((מלאי!$D$2:$500&lt;&gt;"")*(מלאי!$X$2:$500="מושאל"),ROW(מלאי!$A$2:$A$500)-ROW(מלאי!$A$2)+1,""),78),"")</f>
        <v/>
      </c>
    </row>
    <row r="402">
      <c r="A402" s="2">
        <f>IF($K402="","",INDEX(מלאי!$D$2:$500,$K402))</f>
        <v/>
      </c>
      <c r="B402" s="2">
        <f>IF($K402="","",INDEX(מלאי!$B$2:$500,$K402))</f>
        <v/>
      </c>
      <c r="C402" s="2">
        <f>IF($K402="","",INDEX(מלאי!$Y$2:$500,$K402))</f>
        <v/>
      </c>
      <c r="D402" s="2">
        <f>IF($K402="","",INDEX(מלאי!$Z$2:$500,$K402))</f>
        <v/>
      </c>
      <c r="E402" s="9">
        <f>IF($K402="","",INDEX(מלאי!$AB$2:$500,$K402))</f>
        <v/>
      </c>
      <c r="F402" s="2">
        <f>IF($K402="","",IF(AND(INDEX(מלאי!$AB$2:$500,$K402)&lt;&gt;"",INDEX(מלאי!$AB$2:$500,$K402)&lt;TODAY()),"באיחור!","תקין"))</f>
        <v/>
      </c>
      <c r="G402" s="2" t="n"/>
      <c r="H402" s="2" t="n"/>
      <c r="I402" s="2" t="n"/>
      <c r="J402" s="2" t="n"/>
      <c r="K402" s="2">
        <f>IFERROR(SMALL(IF((מלאי!$D$2:$500&lt;&gt;"")*(מלאי!$X$2:$500="מושאל"),ROW(מלאי!$A$2:$A$500)-ROW(מלאי!$A$2)+1,""),79),"")</f>
        <v/>
      </c>
    </row>
    <row r="403">
      <c r="A403" s="8">
        <f>IF($K403="","",INDEX(מלאי!$D$2:$500,$K403))</f>
        <v/>
      </c>
      <c r="B403" s="8">
        <f>IF($K403="","",INDEX(מלאי!$B$2:$500,$K403))</f>
        <v/>
      </c>
      <c r="C403" s="8">
        <f>IF($K403="","",INDEX(מלאי!$Y$2:$500,$K403))</f>
        <v/>
      </c>
      <c r="D403" s="8">
        <f>IF($K403="","",INDEX(מלאי!$Z$2:$500,$K403))</f>
        <v/>
      </c>
      <c r="E403" s="10">
        <f>IF($K403="","",INDEX(מלאי!$AB$2:$500,$K403))</f>
        <v/>
      </c>
      <c r="F403" s="8">
        <f>IF($K403="","",IF(AND(INDEX(מלאי!$AB$2:$500,$K403)&lt;&gt;"",INDEX(מלאי!$AB$2:$500,$K403)&lt;TODAY()),"באיחור!","תקין"))</f>
        <v/>
      </c>
      <c r="G403" s="8" t="n"/>
      <c r="H403" s="8" t="n"/>
      <c r="I403" s="8" t="n"/>
      <c r="J403" s="8" t="n"/>
      <c r="K403" s="8">
        <f>IFERROR(SMALL(IF((מלאי!$D$2:$500&lt;&gt;"")*(מלאי!$X$2:$500="מושאל"),ROW(מלאי!$A$2:$A$500)-ROW(מלאי!$A$2)+1,""),80),"")</f>
        <v/>
      </c>
    </row>
    <row r="404">
      <c r="A404" s="2">
        <f>IF($K404="","",INDEX(מלאי!$D$2:$500,$K404))</f>
        <v/>
      </c>
      <c r="B404" s="2">
        <f>IF($K404="","",INDEX(מלאי!$B$2:$500,$K404))</f>
        <v/>
      </c>
      <c r="C404" s="2">
        <f>IF($K404="","",INDEX(מלאי!$Y$2:$500,$K404))</f>
        <v/>
      </c>
      <c r="D404" s="2">
        <f>IF($K404="","",INDEX(מלאי!$Z$2:$500,$K404))</f>
        <v/>
      </c>
      <c r="E404" s="9">
        <f>IF($K404="","",INDEX(מלאי!$AB$2:$500,$K404))</f>
        <v/>
      </c>
      <c r="F404" s="2">
        <f>IF($K404="","",IF(AND(INDEX(מלאי!$AB$2:$500,$K404)&lt;&gt;"",INDEX(מלאי!$AB$2:$500,$K404)&lt;TODAY()),"באיחור!","תקין"))</f>
        <v/>
      </c>
      <c r="G404" s="2" t="n"/>
      <c r="H404" s="2" t="n"/>
      <c r="I404" s="2" t="n"/>
      <c r="J404" s="2" t="n"/>
      <c r="K404" s="2">
        <f>IFERROR(SMALL(IF((מלאי!$D$2:$500&lt;&gt;"")*(מלאי!$X$2:$500="מושאל"),ROW(מלאי!$A$2:$A$500)-ROW(מלאי!$A$2)+1,""),81),"")</f>
        <v/>
      </c>
    </row>
    <row r="405">
      <c r="A405" s="8">
        <f>IF($K405="","",INDEX(מלאי!$D$2:$500,$K405))</f>
        <v/>
      </c>
      <c r="B405" s="8">
        <f>IF($K405="","",INDEX(מלאי!$B$2:$500,$K405))</f>
        <v/>
      </c>
      <c r="C405" s="8">
        <f>IF($K405="","",INDEX(מלאי!$Y$2:$500,$K405))</f>
        <v/>
      </c>
      <c r="D405" s="8">
        <f>IF($K405="","",INDEX(מלאי!$Z$2:$500,$K405))</f>
        <v/>
      </c>
      <c r="E405" s="10">
        <f>IF($K405="","",INDEX(מלאי!$AB$2:$500,$K405))</f>
        <v/>
      </c>
      <c r="F405" s="8">
        <f>IF($K405="","",IF(AND(INDEX(מלאי!$AB$2:$500,$K405)&lt;&gt;"",INDEX(מלאי!$AB$2:$500,$K405)&lt;TODAY()),"באיחור!","תקין"))</f>
        <v/>
      </c>
      <c r="G405" s="8" t="n"/>
      <c r="H405" s="8" t="n"/>
      <c r="I405" s="8" t="n"/>
      <c r="J405" s="8" t="n"/>
      <c r="K405" s="8">
        <f>IFERROR(SMALL(IF((מלאי!$D$2:$500&lt;&gt;"")*(מלאי!$X$2:$500="מושאל"),ROW(מלאי!$A$2:$A$500)-ROW(מלאי!$A$2)+1,""),82),"")</f>
        <v/>
      </c>
    </row>
    <row r="406">
      <c r="A406" s="2">
        <f>IF($K406="","",INDEX(מלאי!$D$2:$500,$K406))</f>
        <v/>
      </c>
      <c r="B406" s="2">
        <f>IF($K406="","",INDEX(מלאי!$B$2:$500,$K406))</f>
        <v/>
      </c>
      <c r="C406" s="2">
        <f>IF($K406="","",INDEX(מלאי!$Y$2:$500,$K406))</f>
        <v/>
      </c>
      <c r="D406" s="2">
        <f>IF($K406="","",INDEX(מלאי!$Z$2:$500,$K406))</f>
        <v/>
      </c>
      <c r="E406" s="9">
        <f>IF($K406="","",INDEX(מלאי!$AB$2:$500,$K406))</f>
        <v/>
      </c>
      <c r="F406" s="2">
        <f>IF($K406="","",IF(AND(INDEX(מלאי!$AB$2:$500,$K406)&lt;&gt;"",INDEX(מלאי!$AB$2:$500,$K406)&lt;TODAY()),"באיחור!","תקין"))</f>
        <v/>
      </c>
      <c r="G406" s="2" t="n"/>
      <c r="H406" s="2" t="n"/>
      <c r="I406" s="2" t="n"/>
      <c r="J406" s="2" t="n"/>
      <c r="K406" s="2">
        <f>IFERROR(SMALL(IF((מלאי!$D$2:$500&lt;&gt;"")*(מלאי!$X$2:$500="מושאל"),ROW(מלאי!$A$2:$A$500)-ROW(מלאי!$A$2)+1,""),83),"")</f>
        <v/>
      </c>
    </row>
    <row r="407">
      <c r="A407" s="8">
        <f>IF($K407="","",INDEX(מלאי!$D$2:$500,$K407))</f>
        <v/>
      </c>
      <c r="B407" s="8">
        <f>IF($K407="","",INDEX(מלאי!$B$2:$500,$K407))</f>
        <v/>
      </c>
      <c r="C407" s="8">
        <f>IF($K407="","",INDEX(מלאי!$Y$2:$500,$K407))</f>
        <v/>
      </c>
      <c r="D407" s="8">
        <f>IF($K407="","",INDEX(מלאי!$Z$2:$500,$K407))</f>
        <v/>
      </c>
      <c r="E407" s="10">
        <f>IF($K407="","",INDEX(מלאי!$AB$2:$500,$K407))</f>
        <v/>
      </c>
      <c r="F407" s="8">
        <f>IF($K407="","",IF(AND(INDEX(מלאי!$AB$2:$500,$K407)&lt;&gt;"",INDEX(מלאי!$AB$2:$500,$K407)&lt;TODAY()),"באיחור!","תקין"))</f>
        <v/>
      </c>
      <c r="G407" s="8" t="n"/>
      <c r="H407" s="8" t="n"/>
      <c r="I407" s="8" t="n"/>
      <c r="J407" s="8" t="n"/>
      <c r="K407" s="8">
        <f>IFERROR(SMALL(IF((מלאי!$D$2:$500&lt;&gt;"")*(מלאי!$X$2:$500="מושאל"),ROW(מלאי!$A$2:$A$500)-ROW(מלאי!$A$2)+1,""),84),"")</f>
        <v/>
      </c>
    </row>
    <row r="408">
      <c r="A408" s="2">
        <f>IF($K408="","",INDEX(מלאי!$D$2:$500,$K408))</f>
        <v/>
      </c>
      <c r="B408" s="2">
        <f>IF($K408="","",INDEX(מלאי!$B$2:$500,$K408))</f>
        <v/>
      </c>
      <c r="C408" s="2">
        <f>IF($K408="","",INDEX(מלאי!$Y$2:$500,$K408))</f>
        <v/>
      </c>
      <c r="D408" s="2">
        <f>IF($K408="","",INDEX(מלאי!$Z$2:$500,$K408))</f>
        <v/>
      </c>
      <c r="E408" s="9">
        <f>IF($K408="","",INDEX(מלאי!$AB$2:$500,$K408))</f>
        <v/>
      </c>
      <c r="F408" s="2">
        <f>IF($K408="","",IF(AND(INDEX(מלאי!$AB$2:$500,$K408)&lt;&gt;"",INDEX(מלאי!$AB$2:$500,$K408)&lt;TODAY()),"באיחור!","תקין"))</f>
        <v/>
      </c>
      <c r="G408" s="2" t="n"/>
      <c r="H408" s="2" t="n"/>
      <c r="I408" s="2" t="n"/>
      <c r="J408" s="2" t="n"/>
      <c r="K408" s="2">
        <f>IFERROR(SMALL(IF((מלאי!$D$2:$500&lt;&gt;"")*(מלאי!$X$2:$500="מושאל"),ROW(מלאי!$A$2:$A$500)-ROW(מלאי!$A$2)+1,""),85),"")</f>
        <v/>
      </c>
    </row>
    <row r="409">
      <c r="A409" s="8">
        <f>IF($K409="","",INDEX(מלאי!$D$2:$500,$K409))</f>
        <v/>
      </c>
      <c r="B409" s="8">
        <f>IF($K409="","",INDEX(מלאי!$B$2:$500,$K409))</f>
        <v/>
      </c>
      <c r="C409" s="8">
        <f>IF($K409="","",INDEX(מלאי!$Y$2:$500,$K409))</f>
        <v/>
      </c>
      <c r="D409" s="8">
        <f>IF($K409="","",INDEX(מלאי!$Z$2:$500,$K409))</f>
        <v/>
      </c>
      <c r="E409" s="10">
        <f>IF($K409="","",INDEX(מלאי!$AB$2:$500,$K409))</f>
        <v/>
      </c>
      <c r="F409" s="8">
        <f>IF($K409="","",IF(AND(INDEX(מלאי!$AB$2:$500,$K409)&lt;&gt;"",INDEX(מלאי!$AB$2:$500,$K409)&lt;TODAY()),"באיחור!","תקין"))</f>
        <v/>
      </c>
      <c r="G409" s="8" t="n"/>
      <c r="H409" s="8" t="n"/>
      <c r="I409" s="8" t="n"/>
      <c r="J409" s="8" t="n"/>
      <c r="K409" s="8">
        <f>IFERROR(SMALL(IF((מלאי!$D$2:$500&lt;&gt;"")*(מלאי!$X$2:$500="מושאל"),ROW(מלאי!$A$2:$A$500)-ROW(מלאי!$A$2)+1,""),86),"")</f>
        <v/>
      </c>
    </row>
    <row r="410">
      <c r="A410" s="2">
        <f>IF($K410="","",INDEX(מלאי!$D$2:$500,$K410))</f>
        <v/>
      </c>
      <c r="B410" s="2">
        <f>IF($K410="","",INDEX(מלאי!$B$2:$500,$K410))</f>
        <v/>
      </c>
      <c r="C410" s="2">
        <f>IF($K410="","",INDEX(מלאי!$Y$2:$500,$K410))</f>
        <v/>
      </c>
      <c r="D410" s="2">
        <f>IF($K410="","",INDEX(מלאי!$Z$2:$500,$K410))</f>
        <v/>
      </c>
      <c r="E410" s="9">
        <f>IF($K410="","",INDEX(מלאי!$AB$2:$500,$K410))</f>
        <v/>
      </c>
      <c r="F410" s="2">
        <f>IF($K410="","",IF(AND(INDEX(מלאי!$AB$2:$500,$K410)&lt;&gt;"",INDEX(מלאי!$AB$2:$500,$K410)&lt;TODAY()),"באיחור!","תקין"))</f>
        <v/>
      </c>
      <c r="G410" s="2" t="n"/>
      <c r="H410" s="2" t="n"/>
      <c r="I410" s="2" t="n"/>
      <c r="J410" s="2" t="n"/>
      <c r="K410" s="2">
        <f>IFERROR(SMALL(IF((מלאי!$D$2:$500&lt;&gt;"")*(מלאי!$X$2:$500="מושאל"),ROW(מלאי!$A$2:$A$500)-ROW(מלאי!$A$2)+1,""),87),"")</f>
        <v/>
      </c>
    </row>
    <row r="411">
      <c r="A411" s="8">
        <f>IF($K411="","",INDEX(מלאי!$D$2:$500,$K411))</f>
        <v/>
      </c>
      <c r="B411" s="8">
        <f>IF($K411="","",INDEX(מלאי!$B$2:$500,$K411))</f>
        <v/>
      </c>
      <c r="C411" s="8">
        <f>IF($K411="","",INDEX(מלאי!$Y$2:$500,$K411))</f>
        <v/>
      </c>
      <c r="D411" s="8">
        <f>IF($K411="","",INDEX(מלאי!$Z$2:$500,$K411))</f>
        <v/>
      </c>
      <c r="E411" s="10">
        <f>IF($K411="","",INDEX(מלאי!$AB$2:$500,$K411))</f>
        <v/>
      </c>
      <c r="F411" s="8">
        <f>IF($K411="","",IF(AND(INDEX(מלאי!$AB$2:$500,$K411)&lt;&gt;"",INDEX(מלאי!$AB$2:$500,$K411)&lt;TODAY()),"באיחור!","תקין"))</f>
        <v/>
      </c>
      <c r="G411" s="8" t="n"/>
      <c r="H411" s="8" t="n"/>
      <c r="I411" s="8" t="n"/>
      <c r="J411" s="8" t="n"/>
      <c r="K411" s="8">
        <f>IFERROR(SMALL(IF((מלאי!$D$2:$500&lt;&gt;"")*(מלאי!$X$2:$500="מושאל"),ROW(מלאי!$A$2:$A$500)-ROW(מלאי!$A$2)+1,""),88),"")</f>
        <v/>
      </c>
    </row>
    <row r="412">
      <c r="A412" s="2">
        <f>IF($K412="","",INDEX(מלאי!$D$2:$500,$K412))</f>
        <v/>
      </c>
      <c r="B412" s="2">
        <f>IF($K412="","",INDEX(מלאי!$B$2:$500,$K412))</f>
        <v/>
      </c>
      <c r="C412" s="2">
        <f>IF($K412="","",INDEX(מלאי!$Y$2:$500,$K412))</f>
        <v/>
      </c>
      <c r="D412" s="2">
        <f>IF($K412="","",INDEX(מלאי!$Z$2:$500,$K412))</f>
        <v/>
      </c>
      <c r="E412" s="9">
        <f>IF($K412="","",INDEX(מלאי!$AB$2:$500,$K412))</f>
        <v/>
      </c>
      <c r="F412" s="2">
        <f>IF($K412="","",IF(AND(INDEX(מלאי!$AB$2:$500,$K412)&lt;&gt;"",INDEX(מלאי!$AB$2:$500,$K412)&lt;TODAY()),"באיחור!","תקין"))</f>
        <v/>
      </c>
      <c r="G412" s="2" t="n"/>
      <c r="H412" s="2" t="n"/>
      <c r="I412" s="2" t="n"/>
      <c r="J412" s="2" t="n"/>
      <c r="K412" s="2">
        <f>IFERROR(SMALL(IF((מלאי!$D$2:$500&lt;&gt;"")*(מלאי!$X$2:$500="מושאל"),ROW(מלאי!$A$2:$A$500)-ROW(מלאי!$A$2)+1,""),89),"")</f>
        <v/>
      </c>
    </row>
    <row r="413">
      <c r="A413" s="8">
        <f>IF($K413="","",INDEX(מלאי!$D$2:$500,$K413))</f>
        <v/>
      </c>
      <c r="B413" s="8">
        <f>IF($K413="","",INDEX(מלאי!$B$2:$500,$K413))</f>
        <v/>
      </c>
      <c r="C413" s="8">
        <f>IF($K413="","",INDEX(מלאי!$Y$2:$500,$K413))</f>
        <v/>
      </c>
      <c r="D413" s="8">
        <f>IF($K413="","",INDEX(מלאי!$Z$2:$500,$K413))</f>
        <v/>
      </c>
      <c r="E413" s="10">
        <f>IF($K413="","",INDEX(מלאי!$AB$2:$500,$K413))</f>
        <v/>
      </c>
      <c r="F413" s="8">
        <f>IF($K413="","",IF(AND(INDEX(מלאי!$AB$2:$500,$K413)&lt;&gt;"",INDEX(מלאי!$AB$2:$500,$K413)&lt;TODAY()),"באיחור!","תקין"))</f>
        <v/>
      </c>
      <c r="G413" s="8" t="n"/>
      <c r="H413" s="8" t="n"/>
      <c r="I413" s="8" t="n"/>
      <c r="J413" s="8" t="n"/>
      <c r="K413" s="8">
        <f>IFERROR(SMALL(IF((מלאי!$D$2:$500&lt;&gt;"")*(מלאי!$X$2:$500="מושאל"),ROW(מלאי!$A$2:$A$500)-ROW(מלאי!$A$2)+1,""),90),"")</f>
        <v/>
      </c>
    </row>
    <row r="414">
      <c r="A414" s="2">
        <f>IF($K414="","",INDEX(מלאי!$D$2:$500,$K414))</f>
        <v/>
      </c>
      <c r="B414" s="2">
        <f>IF($K414="","",INDEX(מלאי!$B$2:$500,$K414))</f>
        <v/>
      </c>
      <c r="C414" s="2">
        <f>IF($K414="","",INDEX(מלאי!$Y$2:$500,$K414))</f>
        <v/>
      </c>
      <c r="D414" s="2">
        <f>IF($K414="","",INDEX(מלאי!$Z$2:$500,$K414))</f>
        <v/>
      </c>
      <c r="E414" s="9">
        <f>IF($K414="","",INDEX(מלאי!$AB$2:$500,$K414))</f>
        <v/>
      </c>
      <c r="F414" s="2">
        <f>IF($K414="","",IF(AND(INDEX(מלאי!$AB$2:$500,$K414)&lt;&gt;"",INDEX(מלאי!$AB$2:$500,$K414)&lt;TODAY()),"באיחור!","תקין"))</f>
        <v/>
      </c>
      <c r="G414" s="2" t="n"/>
      <c r="H414" s="2" t="n"/>
      <c r="I414" s="2" t="n"/>
      <c r="J414" s="2" t="n"/>
      <c r="K414" s="2">
        <f>IFERROR(SMALL(IF((מלאי!$D$2:$500&lt;&gt;"")*(מלאי!$X$2:$500="מושאל"),ROW(מלאי!$A$2:$A$500)-ROW(מלאי!$A$2)+1,""),91),"")</f>
        <v/>
      </c>
    </row>
    <row r="415">
      <c r="A415" s="8">
        <f>IF($K415="","",INDEX(מלאי!$D$2:$500,$K415))</f>
        <v/>
      </c>
      <c r="B415" s="8">
        <f>IF($K415="","",INDEX(מלאי!$B$2:$500,$K415))</f>
        <v/>
      </c>
      <c r="C415" s="8">
        <f>IF($K415="","",INDEX(מלאי!$Y$2:$500,$K415))</f>
        <v/>
      </c>
      <c r="D415" s="8">
        <f>IF($K415="","",INDEX(מלאי!$Z$2:$500,$K415))</f>
        <v/>
      </c>
      <c r="E415" s="10">
        <f>IF($K415="","",INDEX(מלאי!$AB$2:$500,$K415))</f>
        <v/>
      </c>
      <c r="F415" s="8">
        <f>IF($K415="","",IF(AND(INDEX(מלאי!$AB$2:$500,$K415)&lt;&gt;"",INDEX(מלאי!$AB$2:$500,$K415)&lt;TODAY()),"באיחור!","תקין"))</f>
        <v/>
      </c>
      <c r="G415" s="8" t="n"/>
      <c r="H415" s="8" t="n"/>
      <c r="I415" s="8" t="n"/>
      <c r="J415" s="8" t="n"/>
      <c r="K415" s="8">
        <f>IFERROR(SMALL(IF((מלאי!$D$2:$500&lt;&gt;"")*(מלאי!$X$2:$500="מושאל"),ROW(מלאי!$A$2:$A$500)-ROW(מלאי!$A$2)+1,""),92),"")</f>
        <v/>
      </c>
    </row>
    <row r="416">
      <c r="A416" s="2">
        <f>IF($K416="","",INDEX(מלאי!$D$2:$500,$K416))</f>
        <v/>
      </c>
      <c r="B416" s="2">
        <f>IF($K416="","",INDEX(מלאי!$B$2:$500,$K416))</f>
        <v/>
      </c>
      <c r="C416" s="2">
        <f>IF($K416="","",INDEX(מלאי!$Y$2:$500,$K416))</f>
        <v/>
      </c>
      <c r="D416" s="2">
        <f>IF($K416="","",INDEX(מלאי!$Z$2:$500,$K416))</f>
        <v/>
      </c>
      <c r="E416" s="9">
        <f>IF($K416="","",INDEX(מלאי!$AB$2:$500,$K416))</f>
        <v/>
      </c>
      <c r="F416" s="2">
        <f>IF($K416="","",IF(AND(INDEX(מלאי!$AB$2:$500,$K416)&lt;&gt;"",INDEX(מלאי!$AB$2:$500,$K416)&lt;TODAY()),"באיחור!","תקין"))</f>
        <v/>
      </c>
      <c r="G416" s="2" t="n"/>
      <c r="H416" s="2" t="n"/>
      <c r="I416" s="2" t="n"/>
      <c r="J416" s="2" t="n"/>
      <c r="K416" s="2">
        <f>IFERROR(SMALL(IF((מלאי!$D$2:$500&lt;&gt;"")*(מלאי!$X$2:$500="מושאל"),ROW(מלאי!$A$2:$A$500)-ROW(מלאי!$A$2)+1,""),93),"")</f>
        <v/>
      </c>
    </row>
    <row r="417">
      <c r="A417" s="8">
        <f>IF($K417="","",INDEX(מלאי!$D$2:$500,$K417))</f>
        <v/>
      </c>
      <c r="B417" s="8">
        <f>IF($K417="","",INDEX(מלאי!$B$2:$500,$K417))</f>
        <v/>
      </c>
      <c r="C417" s="8">
        <f>IF($K417="","",INDEX(מלאי!$Y$2:$500,$K417))</f>
        <v/>
      </c>
      <c r="D417" s="8">
        <f>IF($K417="","",INDEX(מלאי!$Z$2:$500,$K417))</f>
        <v/>
      </c>
      <c r="E417" s="10">
        <f>IF($K417="","",INDEX(מלאי!$AB$2:$500,$K417))</f>
        <v/>
      </c>
      <c r="F417" s="8">
        <f>IF($K417="","",IF(AND(INDEX(מלאי!$AB$2:$500,$K417)&lt;&gt;"",INDEX(מלאי!$AB$2:$500,$K417)&lt;TODAY()),"באיחור!","תקין"))</f>
        <v/>
      </c>
      <c r="G417" s="8" t="n"/>
      <c r="H417" s="8" t="n"/>
      <c r="I417" s="8" t="n"/>
      <c r="J417" s="8" t="n"/>
      <c r="K417" s="8">
        <f>IFERROR(SMALL(IF((מלאי!$D$2:$500&lt;&gt;"")*(מלאי!$X$2:$500="מושאל"),ROW(מלאי!$A$2:$A$500)-ROW(מלאי!$A$2)+1,""),94),"")</f>
        <v/>
      </c>
    </row>
    <row r="418">
      <c r="A418" s="2">
        <f>IF($K418="","",INDEX(מלאי!$D$2:$500,$K418))</f>
        <v/>
      </c>
      <c r="B418" s="2">
        <f>IF($K418="","",INDEX(מלאי!$B$2:$500,$K418))</f>
        <v/>
      </c>
      <c r="C418" s="2">
        <f>IF($K418="","",INDEX(מלאי!$Y$2:$500,$K418))</f>
        <v/>
      </c>
      <c r="D418" s="2">
        <f>IF($K418="","",INDEX(מלאי!$Z$2:$500,$K418))</f>
        <v/>
      </c>
      <c r="E418" s="9">
        <f>IF($K418="","",INDEX(מלאי!$AB$2:$500,$K418))</f>
        <v/>
      </c>
      <c r="F418" s="2">
        <f>IF($K418="","",IF(AND(INDEX(מלאי!$AB$2:$500,$K418)&lt;&gt;"",INDEX(מלאי!$AB$2:$500,$K418)&lt;TODAY()),"באיחור!","תקין"))</f>
        <v/>
      </c>
      <c r="G418" s="2" t="n"/>
      <c r="H418" s="2" t="n"/>
      <c r="I418" s="2" t="n"/>
      <c r="J418" s="2" t="n"/>
      <c r="K418" s="2">
        <f>IFERROR(SMALL(IF((מלאי!$D$2:$500&lt;&gt;"")*(מלאי!$X$2:$500="מושאל"),ROW(מלאי!$A$2:$A$500)-ROW(מלאי!$A$2)+1,""),95),"")</f>
        <v/>
      </c>
    </row>
    <row r="419">
      <c r="A419" s="8">
        <f>IF($K419="","",INDEX(מלאי!$D$2:$500,$K419))</f>
        <v/>
      </c>
      <c r="B419" s="8">
        <f>IF($K419="","",INDEX(מלאי!$B$2:$500,$K419))</f>
        <v/>
      </c>
      <c r="C419" s="8">
        <f>IF($K419="","",INDEX(מלאי!$Y$2:$500,$K419))</f>
        <v/>
      </c>
      <c r="D419" s="8">
        <f>IF($K419="","",INDEX(מלאי!$Z$2:$500,$K419))</f>
        <v/>
      </c>
      <c r="E419" s="10">
        <f>IF($K419="","",INDEX(מלאי!$AB$2:$500,$K419))</f>
        <v/>
      </c>
      <c r="F419" s="8">
        <f>IF($K419="","",IF(AND(INDEX(מלאי!$AB$2:$500,$K419)&lt;&gt;"",INDEX(מלאי!$AB$2:$500,$K419)&lt;TODAY()),"באיחור!","תקין"))</f>
        <v/>
      </c>
      <c r="G419" s="8" t="n"/>
      <c r="H419" s="8" t="n"/>
      <c r="I419" s="8" t="n"/>
      <c r="J419" s="8" t="n"/>
      <c r="K419" s="8">
        <f>IFERROR(SMALL(IF((מלאי!$D$2:$500&lt;&gt;"")*(מלאי!$X$2:$500="מושאל"),ROW(מלאי!$A$2:$A$500)-ROW(מלאי!$A$2)+1,""),96),"")</f>
        <v/>
      </c>
    </row>
    <row r="420">
      <c r="A420" s="2">
        <f>IF($K420="","",INDEX(מלאי!$D$2:$500,$K420))</f>
        <v/>
      </c>
      <c r="B420" s="2">
        <f>IF($K420="","",INDEX(מלאי!$B$2:$500,$K420))</f>
        <v/>
      </c>
      <c r="C420" s="2">
        <f>IF($K420="","",INDEX(מלאי!$Y$2:$500,$K420))</f>
        <v/>
      </c>
      <c r="D420" s="2">
        <f>IF($K420="","",INDEX(מלאי!$Z$2:$500,$K420))</f>
        <v/>
      </c>
      <c r="E420" s="9">
        <f>IF($K420="","",INDEX(מלאי!$AB$2:$500,$K420))</f>
        <v/>
      </c>
      <c r="F420" s="2">
        <f>IF($K420="","",IF(AND(INDEX(מלאי!$AB$2:$500,$K420)&lt;&gt;"",INDEX(מלאי!$AB$2:$500,$K420)&lt;TODAY()),"באיחור!","תקין"))</f>
        <v/>
      </c>
      <c r="G420" s="2" t="n"/>
      <c r="H420" s="2" t="n"/>
      <c r="I420" s="2" t="n"/>
      <c r="J420" s="2" t="n"/>
      <c r="K420" s="2">
        <f>IFERROR(SMALL(IF((מלאי!$D$2:$500&lt;&gt;"")*(מלאי!$X$2:$500="מושאל"),ROW(מלאי!$A$2:$A$500)-ROW(מלאי!$A$2)+1,""),97),"")</f>
        <v/>
      </c>
    </row>
    <row r="421">
      <c r="A421" s="8">
        <f>IF($K421="","",INDEX(מלאי!$D$2:$500,$K421))</f>
        <v/>
      </c>
      <c r="B421" s="8">
        <f>IF($K421="","",INDEX(מלאי!$B$2:$500,$K421))</f>
        <v/>
      </c>
      <c r="C421" s="8">
        <f>IF($K421="","",INDEX(מלאי!$Y$2:$500,$K421))</f>
        <v/>
      </c>
      <c r="D421" s="8">
        <f>IF($K421="","",INDEX(מלאי!$Z$2:$500,$K421))</f>
        <v/>
      </c>
      <c r="E421" s="10">
        <f>IF($K421="","",INDEX(מלאי!$AB$2:$500,$K421))</f>
        <v/>
      </c>
      <c r="F421" s="8">
        <f>IF($K421="","",IF(AND(INDEX(מלאי!$AB$2:$500,$K421)&lt;&gt;"",INDEX(מלאי!$AB$2:$500,$K421)&lt;TODAY()),"באיחור!","תקין"))</f>
        <v/>
      </c>
      <c r="G421" s="8" t="n"/>
      <c r="H421" s="8" t="n"/>
      <c r="I421" s="8" t="n"/>
      <c r="J421" s="8" t="n"/>
      <c r="K421" s="8">
        <f>IFERROR(SMALL(IF((מלאי!$D$2:$500&lt;&gt;"")*(מלאי!$X$2:$500="מושאל"),ROW(מלאי!$A$2:$A$500)-ROW(מלאי!$A$2)+1,""),98),"")</f>
        <v/>
      </c>
    </row>
    <row r="422">
      <c r="A422" s="2">
        <f>IF($K422="","",INDEX(מלאי!$D$2:$500,$K422))</f>
        <v/>
      </c>
      <c r="B422" s="2">
        <f>IF($K422="","",INDEX(מלאי!$B$2:$500,$K422))</f>
        <v/>
      </c>
      <c r="C422" s="2">
        <f>IF($K422="","",INDEX(מלאי!$Y$2:$500,$K422))</f>
        <v/>
      </c>
      <c r="D422" s="2">
        <f>IF($K422="","",INDEX(מלאי!$Z$2:$500,$K422))</f>
        <v/>
      </c>
      <c r="E422" s="9">
        <f>IF($K422="","",INDEX(מלאי!$AB$2:$500,$K422))</f>
        <v/>
      </c>
      <c r="F422" s="2">
        <f>IF($K422="","",IF(AND(INDEX(מלאי!$AB$2:$500,$K422)&lt;&gt;"",INDEX(מלאי!$AB$2:$500,$K422)&lt;TODAY()),"באיחור!","תקין"))</f>
        <v/>
      </c>
      <c r="G422" s="2" t="n"/>
      <c r="H422" s="2" t="n"/>
      <c r="I422" s="2" t="n"/>
      <c r="J422" s="2" t="n"/>
      <c r="K422" s="2">
        <f>IFERROR(SMALL(IF((מלאי!$D$2:$500&lt;&gt;"")*(מלאי!$X$2:$500="מושאל"),ROW(מלאי!$A$2:$A$500)-ROW(מלאי!$A$2)+1,""),99),"")</f>
        <v/>
      </c>
    </row>
    <row r="423">
      <c r="A423" s="8">
        <f>IF($K423="","",INDEX(מלאי!$D$2:$500,$K423))</f>
        <v/>
      </c>
      <c r="B423" s="8">
        <f>IF($K423="","",INDEX(מלאי!$B$2:$500,$K423))</f>
        <v/>
      </c>
      <c r="C423" s="8">
        <f>IF($K423="","",INDEX(מלאי!$Y$2:$500,$K423))</f>
        <v/>
      </c>
      <c r="D423" s="8">
        <f>IF($K423="","",INDEX(מלאי!$Z$2:$500,$K423))</f>
        <v/>
      </c>
      <c r="E423" s="10">
        <f>IF($K423="","",INDEX(מלאי!$AB$2:$500,$K423))</f>
        <v/>
      </c>
      <c r="F423" s="8">
        <f>IF($K423="","",IF(AND(INDEX(מלאי!$AB$2:$500,$K423)&lt;&gt;"",INDEX(מלאי!$AB$2:$500,$K423)&lt;TODAY()),"באיחור!","תקין"))</f>
        <v/>
      </c>
      <c r="G423" s="8" t="n"/>
      <c r="H423" s="8" t="n"/>
      <c r="I423" s="8" t="n"/>
      <c r="J423" s="8" t="n"/>
      <c r="K423" s="8">
        <f>IFERROR(SMALL(IF((מלאי!$D$2:$500&lt;&gt;"")*(מלאי!$X$2:$500="מושאל"),ROW(מלאי!$A$2:$A$500)-ROW(מלאי!$A$2)+1,""),100),"")</f>
        <v/>
      </c>
    </row>
  </sheetData>
  <mergeCells count="13">
    <mergeCell ref="A10:C10"/>
    <mergeCell ref="A13:C13"/>
    <mergeCell ref="A11:C11"/>
    <mergeCell ref="D17:J17"/>
    <mergeCell ref="A8:C8"/>
    <mergeCell ref="A14:C14"/>
    <mergeCell ref="A6:C6"/>
    <mergeCell ref="A17:C17"/>
    <mergeCell ref="A9:C9"/>
    <mergeCell ref="A12:C12"/>
    <mergeCell ref="A7:C7"/>
    <mergeCell ref="A16:C16"/>
    <mergeCell ref="A15:C15"/>
  </mergeCells>
  <conditionalFormatting sqref="F324:F423">
    <cfRule type="expression" priority="1" dxfId="0">
      <formula>F324="באיחור!"</formula>
    </cfRule>
  </conditionalFormatting>
  <conditionalFormatting sqref="A324:F423">
    <cfRule type="expression" priority="2" dxfId="1">
      <formula>$F324="באיחור!"</formula>
    </cfRule>
  </conditionalFormatting>
  <dataValidations count="8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"הכל,Sahar,Inbar,SRV,Gabardine,Meron,Arber,IRR,Polar,Nylon,Mesh,PVC,Other"</formula1>
    </dataValidation>
    <dataValidation sqref="F2" showDropDown="0" showInputMessage="0" showErrorMessage="0" allowBlank="1" type="list">
      <formula1>"הכל,S,M,L,XL,XXL,One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7" t="inlineStr">
        <is>
          <t>קו מוצר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מזהה ייחודי</t>
        </is>
      </c>
      <c r="E1" s="7" t="inlineStr">
        <is>
          <t>מק"ט</t>
        </is>
      </c>
      <c r="F1" s="7" t="inlineStr">
        <is>
          <t>תאריך השאלה</t>
        </is>
      </c>
      <c r="G1" s="7" t="inlineStr">
        <is>
          <t>סוג בד 1</t>
        </is>
      </c>
      <c r="H1" s="7" t="inlineStr">
        <is>
          <t>סוג בד 2</t>
        </is>
      </c>
      <c r="I1" s="7" t="inlineStr">
        <is>
          <t>מידה</t>
        </is>
      </c>
      <c r="J1" s="7" t="inlineStr">
        <is>
          <t>גרסה מיוחדת - פיתוח</t>
        </is>
      </c>
      <c r="K1" s="7" t="inlineStr">
        <is>
          <t>גרסה סופית</t>
        </is>
      </c>
      <c r="L1" s="7" t="inlineStr">
        <is>
          <t>הערות גרסה/פיצ׳רים</t>
        </is>
      </c>
      <c r="M1" s="7" t="inlineStr">
        <is>
          <t>הדפס צד A</t>
        </is>
      </c>
      <c r="N1" s="7" t="inlineStr">
        <is>
          <t>הדפס צד B</t>
        </is>
      </c>
      <c r="O1" s="7" t="inlineStr">
        <is>
          <t>תקין ויזואלית צד A</t>
        </is>
      </c>
      <c r="P1" s="7" t="inlineStr">
        <is>
          <t>תקין ויזואלית צד B</t>
        </is>
      </c>
      <c r="Q1" s="7" t="inlineStr">
        <is>
          <t>סביבה A</t>
        </is>
      </c>
      <c r="R1" s="7" t="inlineStr">
        <is>
          <t>סביבה משנית A</t>
        </is>
      </c>
      <c r="S1" s="7" t="inlineStr">
        <is>
          <t>סביבה B</t>
        </is>
      </c>
      <c r="T1" s="7" t="inlineStr">
        <is>
          <t>סביבה משנית B</t>
        </is>
      </c>
      <c r="U1" s="7" t="inlineStr">
        <is>
          <t>תקין תרמית צד A</t>
        </is>
      </c>
      <c r="V1" s="7" t="inlineStr">
        <is>
          <t>תקין תרמית צד B</t>
        </is>
      </c>
      <c r="W1" s="7" t="inlineStr">
        <is>
          <t>פיצ׳רים תקינים</t>
        </is>
      </c>
      <c r="X1" s="7" t="inlineStr">
        <is>
          <t>סטטוס</t>
        </is>
      </c>
      <c r="Y1" s="7" t="inlineStr">
        <is>
          <t>מושאל ל</t>
        </is>
      </c>
      <c r="Z1" s="7" t="inlineStr">
        <is>
          <t>מדינה</t>
        </is>
      </c>
      <c r="AA1" s="7" t="inlineStr">
        <is>
          <t>אחראי מהחברה</t>
        </is>
      </c>
      <c r="AB1" s="7" t="inlineStr">
        <is>
          <t>החזרה משוערת</t>
        </is>
      </c>
      <c r="AC1" s="7" t="inlineStr">
        <is>
          <t>הערות</t>
        </is>
      </c>
      <c r="AD1" s="7" t="inlineStr">
        <is>
          <t>פער בתכולה</t>
        </is>
      </c>
      <c r="AE1" s="7" t="inlineStr">
        <is>
          <t>מתאים_סביבה</t>
        </is>
      </c>
      <c r="AF1" s="7" t="inlineStr">
        <is>
          <t>תקין_לגמרי</t>
        </is>
      </c>
      <c r="AG1" s="7" t="inlineStr">
        <is>
          <t>תקין_ויזואלי_בלבד</t>
        </is>
      </c>
      <c r="AH1" s="7" t="inlineStr">
        <is>
          <t>תקין_תרמי_בלבד</t>
        </is>
      </c>
      <c r="AI1" s="7" t="inlineStr">
        <is>
          <t>באיחור</t>
        </is>
      </c>
    </row>
    <row r="2">
      <c r="A2" s="2" t="inlineStr">
        <is>
          <t>OverGarment</t>
        </is>
      </c>
      <c r="B2" s="2" t="inlineStr">
        <is>
          <t>Poncho Inbar</t>
        </is>
      </c>
      <c r="C2" s="2" t="n"/>
      <c r="D2" s="2" t="inlineStr">
        <is>
          <t>INV-001</t>
        </is>
      </c>
      <c r="E2" s="2">
        <f>IFERROR(INDEX('הגדרות'!$D$104:$D$123,MATCH(B2&amp;G2&amp;C2,'הגדרות'!$A$104:$A$123&amp;'הגדרות'!$B$104:$B$123&amp;'הגדרות'!$C$104:$C$123,0)),"")</f>
        <v/>
      </c>
      <c r="F2" s="9" t="n">
        <v>45971</v>
      </c>
      <c r="G2" s="2" t="inlineStr">
        <is>
          <t>Inbar</t>
        </is>
      </c>
      <c r="H2" s="2" t="n"/>
      <c r="I2" s="2" t="inlineStr">
        <is>
          <t>L</t>
        </is>
      </c>
      <c r="J2" s="2" t="inlineStr">
        <is>
          <t>לא</t>
        </is>
      </c>
      <c r="K2" s="2" t="inlineStr">
        <is>
          <t>כן</t>
        </is>
      </c>
      <c r="L2" s="2" t="n"/>
      <c r="M2" s="2" t="inlineStr">
        <is>
          <t>Desert</t>
        </is>
      </c>
      <c r="N2" s="2" t="inlineStr">
        <is>
          <t>Forest Green</t>
        </is>
      </c>
      <c r="O2" s="2" t="inlineStr">
        <is>
          <t>לא</t>
        </is>
      </c>
      <c r="P2" s="2" t="inlineStr">
        <is>
          <t>כן</t>
        </is>
      </c>
      <c r="Q2" s="2">
        <f>IFERROR(VLOOKUP(M2,'הגדרות'!$A$11:$D$25,2,FALSE),"")</f>
        <v/>
      </c>
      <c r="R2" s="2">
        <f>IFERROR(VLOOKUP(M2,'הגדרות'!$A$11:$D$25,3,FALSE),"")</f>
        <v/>
      </c>
      <c r="S2" s="2">
        <f>IFERROR(VLOOKUP(N2,'הגדרות'!$A$11:$D$25,2,FALSE),"")</f>
        <v/>
      </c>
      <c r="T2" s="2">
        <f>IFERROR(VLOOKUP(N2,'הגדרות'!$A$11:$D$25,3,FALSE),"")</f>
        <v/>
      </c>
      <c r="U2" s="2" t="inlineStr">
        <is>
          <t>כן</t>
        </is>
      </c>
      <c r="V2" s="2" t="inlineStr">
        <is>
          <t>כן</t>
        </is>
      </c>
      <c r="W2" s="2" t="inlineStr">
        <is>
          <t>כן</t>
        </is>
      </c>
      <c r="X2" s="2" t="inlineStr">
        <is>
          <t>במלאי</t>
        </is>
      </c>
      <c r="Y2" s="2" t="n"/>
      <c r="Z2" s="2" t="inlineStr">
        <is>
          <t>ישראל</t>
        </is>
      </c>
      <c r="AA2" s="2" t="n"/>
      <c r="AB2" s="9" t="n"/>
      <c r="AC2" s="2" t="inlineStr">
        <is>
          <t>הדפס Desert ישן — אינו תקין ויזואלית</t>
        </is>
      </c>
      <c r="AD2" s="2" t="inlineStr">
        <is>
          <t>לא</t>
        </is>
      </c>
      <c r="AE2" s="2">
        <f>IF('לוח בקרה'!$A$2="הכל",TRUE,OR(Q2='לוח בקרה'!$A$2,R2='לוח בקרה'!$A$2,S2='לוח בקרה'!$A$2,T2='לוח בקרה'!$A$2))</f>
        <v/>
      </c>
      <c r="AF2" s="2">
        <f>AND(AE2,OR(AND(O2="כן",U2="כן"),AND(P2="כן",V2="כן")))</f>
        <v/>
      </c>
      <c r="AG2" s="2">
        <f>AND(AE2,OR(O2="כן",P2="כן"),NOT(OR(AND(O2="כן",U2="כן"),AND(P2="כן",V2="כן"))))</f>
        <v/>
      </c>
      <c r="AH2" s="2">
        <f>AND(AE2,OR(U2="כן",V2="כן"),NOT(OR(O2="כן",P2="כן")))</f>
        <v/>
      </c>
      <c r="AI2" s="2">
        <f>AND(X2="מושאל",AB2&lt;&gt;"",AB2&lt;TODAY())</f>
        <v/>
      </c>
    </row>
    <row r="3">
      <c r="A3" s="8" t="inlineStr">
        <is>
          <t>Hide Site</t>
        </is>
      </c>
      <c r="B3" s="8" t="inlineStr">
        <is>
          <t>Hide Site Standard</t>
        </is>
      </c>
      <c r="C3" s="8" t="n"/>
      <c r="D3" s="8" t="inlineStr">
        <is>
          <t>INV-002</t>
        </is>
      </c>
      <c r="E3" s="8">
        <f>IFERROR(INDEX('הגדרות'!$D$104:$D$123,MATCH(B3&amp;G3&amp;C3,'הגדרות'!$A$104:$A$123&amp;'הגדרות'!$B$104:$B$123&amp;'הגדרות'!$C$104:$C$123,0)),"")</f>
        <v/>
      </c>
      <c r="F3" s="10" t="n">
        <v>45870</v>
      </c>
      <c r="G3" s="8" t="inlineStr">
        <is>
          <t>Sahar</t>
        </is>
      </c>
      <c r="H3" s="8" t="inlineStr">
        <is>
          <t>Gabardine</t>
        </is>
      </c>
      <c r="I3" s="8" t="inlineStr">
        <is>
          <t>One Size</t>
        </is>
      </c>
      <c r="J3" s="8" t="inlineStr">
        <is>
          <t>לא</t>
        </is>
      </c>
      <c r="K3" s="8" t="inlineStr">
        <is>
          <t>כן</t>
        </is>
      </c>
      <c r="L3" s="8" t="n"/>
      <c r="M3" s="8" t="inlineStr">
        <is>
          <t>Woodland</t>
        </is>
      </c>
      <c r="N3" s="8" t="n"/>
      <c r="O3" s="8" t="inlineStr">
        <is>
          <t>כן</t>
        </is>
      </c>
      <c r="P3" s="8" t="n"/>
      <c r="Q3" s="8">
        <f>IFERROR(VLOOKUP(M3,'הגדרות'!$A$11:$D$25,2,FALSE),"")</f>
        <v/>
      </c>
      <c r="R3" s="8">
        <f>IFERROR(VLOOKUP(M3,'הגדרות'!$A$11:$D$25,3,FALSE),"")</f>
        <v/>
      </c>
      <c r="S3" s="8">
        <f>IFERROR(VLOOKUP(N3,'הגדרות'!$A$11:$D$25,2,FALSE),"")</f>
        <v/>
      </c>
      <c r="T3" s="8">
        <f>IFERROR(VLOOKUP(N3,'הגדרות'!$A$11:$D$25,3,FALSE),"")</f>
        <v/>
      </c>
      <c r="U3" s="8" t="inlineStr">
        <is>
          <t>כן</t>
        </is>
      </c>
      <c r="V3" s="8" t="n"/>
      <c r="W3" s="8" t="inlineStr">
        <is>
          <t>כן</t>
        </is>
      </c>
      <c r="X3" s="8" t="inlineStr">
        <is>
          <t>מושאל</t>
        </is>
      </c>
      <c r="Y3" s="8" t="inlineStr">
        <is>
          <t>צה"ל</t>
        </is>
      </c>
      <c r="Z3" s="8" t="inlineStr">
        <is>
          <t>ישראל</t>
        </is>
      </c>
      <c r="AA3" s="8" t="inlineStr">
        <is>
          <t>יוסי כהן</t>
        </is>
      </c>
      <c r="AB3" s="10" t="n">
        <v>46068</v>
      </c>
      <c r="AC3" s="8" t="n"/>
      <c r="AD3" s="8" t="inlineStr">
        <is>
          <t>לא</t>
        </is>
      </c>
      <c r="AE3" s="8">
        <f>IF('לוח בקרה'!$A$2="הכל",TRUE,OR(Q3='לוח בקרה'!$A$2,R3='לוח בקרה'!$A$2,S3='לוח בקרה'!$A$2,T3='לוח בקרה'!$A$2))</f>
        <v/>
      </c>
      <c r="AF3" s="8">
        <f>AND(AE3,OR(AND(O3="כן",U3="כן"),AND(P3="כן",V3="כן")))</f>
        <v/>
      </c>
      <c r="AG3" s="8">
        <f>AND(AE3,OR(O3="כן",P3="כן"),NOT(OR(AND(O3="כן",U3="כן"),AND(P3="כן",V3="כן"))))</f>
        <v/>
      </c>
      <c r="AH3" s="8">
        <f>AND(AE3,OR(U3="כן",V3="כן"),NOT(OR(O3="כן",P3="כן")))</f>
        <v/>
      </c>
      <c r="AI3" s="8">
        <f>AND(X3="מושאל",AB3&lt;&gt;"",AB3&lt;TODAY())</f>
        <v/>
      </c>
    </row>
    <row r="4">
      <c r="A4" s="2" t="inlineStr">
        <is>
          <t>Uniform</t>
        </is>
      </c>
      <c r="B4" s="2" t="inlineStr">
        <is>
          <t>Shirt</t>
        </is>
      </c>
      <c r="C4" s="2" t="n"/>
      <c r="D4" s="2" t="inlineStr">
        <is>
          <t>INV-003</t>
        </is>
      </c>
      <c r="E4" s="2">
        <f>IFERROR(INDEX('הגדרות'!$D$104:$D$123,MATCH(B4&amp;G4&amp;C4,'הגדרות'!$A$104:$A$123&amp;'הגדרות'!$B$104:$B$123&amp;'הגדרות'!$C$104:$C$123,0)),"")</f>
        <v/>
      </c>
      <c r="F4" s="9" t="n"/>
      <c r="G4" s="2" t="inlineStr">
        <is>
          <t>Meron</t>
        </is>
      </c>
      <c r="H4" s="2" t="n"/>
      <c r="I4" s="2" t="inlineStr">
        <is>
          <t>M</t>
        </is>
      </c>
      <c r="J4" s="2" t="inlineStr">
        <is>
          <t>לא</t>
        </is>
      </c>
      <c r="K4" s="2" t="inlineStr">
        <is>
          <t>לא</t>
        </is>
      </c>
      <c r="L4" s="2" t="inlineStr">
        <is>
          <t>דורש בדיקה נוספת</t>
        </is>
      </c>
      <c r="M4" s="2" t="inlineStr">
        <is>
          <t>Urban Green</t>
        </is>
      </c>
      <c r="N4" s="2" t="inlineStr">
        <is>
          <t>Urban</t>
        </is>
      </c>
      <c r="O4" s="2" t="inlineStr">
        <is>
          <t>כן</t>
        </is>
      </c>
      <c r="P4" s="2" t="inlineStr">
        <is>
          <t>כן</t>
        </is>
      </c>
      <c r="Q4" s="2">
        <f>IFERROR(VLOOKUP(M4,'הגדרות'!$A$11:$D$25,2,FALSE),"")</f>
        <v/>
      </c>
      <c r="R4" s="2">
        <f>IFERROR(VLOOKUP(M4,'הגדרות'!$A$11:$D$25,3,FALSE),"")</f>
        <v/>
      </c>
      <c r="S4" s="2">
        <f>IFERROR(VLOOKUP(N4,'הגדרות'!$A$11:$D$25,2,FALSE),"")</f>
        <v/>
      </c>
      <c r="T4" s="2">
        <f>IFERROR(VLOOKUP(N4,'הגדרות'!$A$11:$D$25,3,FALSE),"")</f>
        <v/>
      </c>
      <c r="U4" s="2" t="inlineStr">
        <is>
          <t>כן</t>
        </is>
      </c>
      <c r="V4" s="2" t="inlineStr">
        <is>
          <t>כן</t>
        </is>
      </c>
      <c r="W4" s="2" t="inlineStr">
        <is>
          <t>כן</t>
        </is>
      </c>
      <c r="X4" s="2" t="inlineStr">
        <is>
          <t>בחדר תצוגה</t>
        </is>
      </c>
      <c r="Y4" s="2" t="n"/>
      <c r="Z4" s="2" t="inlineStr">
        <is>
          <t>ישראל</t>
        </is>
      </c>
      <c r="AA4" s="2" t="n"/>
      <c r="AB4" s="9" t="n"/>
      <c r="AC4" s="2" t="inlineStr">
        <is>
          <t>גרסת ביניים — ממתין לאישור סופי</t>
        </is>
      </c>
      <c r="AD4" s="2" t="inlineStr">
        <is>
          <t>לא</t>
        </is>
      </c>
      <c r="AE4" s="2">
        <f>IF('לוח בקרה'!$A$2="הכל",TRUE,OR(Q4='לוח בקרה'!$A$2,R4='לוח בקרה'!$A$2,S4='לוח בקרה'!$A$2,T4='לוח בקרה'!$A$2))</f>
        <v/>
      </c>
      <c r="AF4" s="2">
        <f>AND(AE4,OR(AND(O4="כן",U4="כן"),AND(P4="כן",V4="כן")))</f>
        <v/>
      </c>
      <c r="AG4" s="2">
        <f>AND(AE4,OR(O4="כן",P4="כן"),NOT(OR(AND(O4="כן",U4="כן"),AND(P4="כן",V4="כן"))))</f>
        <v/>
      </c>
      <c r="AH4" s="2">
        <f>AND(AE4,OR(U4="כן",V4="כן"),NOT(OR(O4="כן",P4="כן")))</f>
        <v/>
      </c>
      <c r="AI4" s="2">
        <f>AND(X4="מושאל",AB4&lt;&gt;"",AB4&lt;TODAY())</f>
        <v/>
      </c>
    </row>
    <row r="5">
      <c r="A5" s="8" t="inlineStr">
        <is>
          <t>Blankets</t>
        </is>
      </c>
      <c r="B5" s="8" t="inlineStr">
        <is>
          <t>Survival Blanket</t>
        </is>
      </c>
      <c r="C5" s="8" t="n"/>
      <c r="D5" s="8" t="inlineStr">
        <is>
          <t>INV-004</t>
        </is>
      </c>
      <c r="E5" s="8">
        <f>IFERROR(INDEX('הגדרות'!$D$104:$D$123,MATCH(B5&amp;G5&amp;C5,'הגדרות'!$A$104:$A$123&amp;'הגדרות'!$B$104:$B$123&amp;'הגדרות'!$C$104:$C$123,0)),"")</f>
        <v/>
      </c>
      <c r="F5" s="10" t="n"/>
      <c r="G5" s="8" t="inlineStr">
        <is>
          <t>IRR</t>
        </is>
      </c>
      <c r="H5" s="8" t="n"/>
      <c r="I5" s="8" t="inlineStr">
        <is>
          <t>One Size</t>
        </is>
      </c>
      <c r="J5" s="8" t="inlineStr">
        <is>
          <t>כן</t>
        </is>
      </c>
      <c r="K5" s="8" t="inlineStr">
        <is>
          <t>לא</t>
        </is>
      </c>
      <c r="L5" s="8" t="inlineStr">
        <is>
          <t>פרוטוטייפ</t>
        </is>
      </c>
      <c r="M5" s="8" t="inlineStr">
        <is>
          <t>Fresh Snow</t>
        </is>
      </c>
      <c r="N5" s="8" t="n"/>
      <c r="O5" s="8" t="inlineStr">
        <is>
          <t>כן</t>
        </is>
      </c>
      <c r="P5" s="8" t="n"/>
      <c r="Q5" s="8">
        <f>IFERROR(VLOOKUP(M5,'הגדרות'!$A$11:$D$25,2,FALSE),"")</f>
        <v/>
      </c>
      <c r="R5" s="8">
        <f>IFERROR(VLOOKUP(M5,'הגדרות'!$A$11:$D$25,3,FALSE),"")</f>
        <v/>
      </c>
      <c r="S5" s="8">
        <f>IFERROR(VLOOKUP(N5,'הגדרות'!$A$11:$D$25,2,FALSE),"")</f>
        <v/>
      </c>
      <c r="T5" s="8">
        <f>IFERROR(VLOOKUP(N5,'הגדרות'!$A$11:$D$25,3,FALSE),"")</f>
        <v/>
      </c>
      <c r="U5" s="8" t="inlineStr">
        <is>
          <t>לא</t>
        </is>
      </c>
      <c r="V5" s="8" t="n"/>
      <c r="W5" s="8" t="inlineStr">
        <is>
          <t>כן</t>
        </is>
      </c>
      <c r="X5" s="8" t="inlineStr">
        <is>
          <t>במלאי</t>
        </is>
      </c>
      <c r="Y5" s="8" t="n"/>
      <c r="Z5" s="8" t="inlineStr">
        <is>
          <t>ישראל</t>
        </is>
      </c>
      <c r="AA5" s="8" t="n"/>
      <c r="AB5" s="10" t="n"/>
      <c r="AC5" s="8" t="inlineStr">
        <is>
          <t>דגם ניסיוני — לא לשלוח ללקוח</t>
        </is>
      </c>
      <c r="AD5" s="8" t="inlineStr">
        <is>
          <t>לא</t>
        </is>
      </c>
      <c r="AE5" s="8">
        <f>IF('לוח בקרה'!$A$2="הכל",TRUE,OR(Q5='לוח בקרה'!$A$2,R5='לוח בקרה'!$A$2,S5='לוח בקרה'!$A$2,T5='לוח בקרה'!$A$2))</f>
        <v/>
      </c>
      <c r="AF5" s="8">
        <f>AND(AE5,OR(AND(O5="כן",U5="כן"),AND(P5="כן",V5="כן")))</f>
        <v/>
      </c>
      <c r="AG5" s="8">
        <f>AND(AE5,OR(O5="כן",P5="כן"),NOT(OR(AND(O5="כן",U5="כן"),AND(P5="כן",V5="כן"))))</f>
        <v/>
      </c>
      <c r="AH5" s="8">
        <f>AND(AE5,OR(U5="כן",V5="כן"),NOT(OR(O5="כן",P5="כן")))</f>
        <v/>
      </c>
      <c r="AI5" s="8">
        <f>AND(X5="מושאל",AB5&lt;&gt;"",AB5&lt;TODAY())</f>
        <v/>
      </c>
    </row>
    <row r="6">
      <c r="A6" s="2" t="inlineStr">
        <is>
          <t>OverGarment</t>
        </is>
      </c>
      <c r="B6" s="2" t="inlineStr">
        <is>
          <t>Hobey Elite</t>
        </is>
      </c>
      <c r="C6" s="2" t="n"/>
      <c r="D6" s="2" t="inlineStr">
        <is>
          <t>INV-005</t>
        </is>
      </c>
      <c r="E6" s="2">
        <f>IFERROR(INDEX('הגדרות'!$D$104:$D$123,MATCH(B6&amp;G6&amp;C6,'הגדרות'!$A$104:$A$123&amp;'הגדרות'!$B$104:$B$123&amp;'הגדרות'!$C$104:$C$123,0)),"")</f>
        <v/>
      </c>
      <c r="F6" s="9" t="n">
        <v>45992</v>
      </c>
      <c r="G6" s="2" t="inlineStr">
        <is>
          <t>SRV</t>
        </is>
      </c>
      <c r="H6" s="2" t="inlineStr">
        <is>
          <t>Arber</t>
        </is>
      </c>
      <c r="I6" s="2" t="inlineStr">
        <is>
          <t>XL</t>
        </is>
      </c>
      <c r="J6" s="2" t="inlineStr">
        <is>
          <t>לא</t>
        </is>
      </c>
      <c r="K6" s="2" t="inlineStr">
        <is>
          <t>כן</t>
        </is>
      </c>
      <c r="L6" s="2" t="n"/>
      <c r="M6" s="2" t="inlineStr">
        <is>
          <t>Sand</t>
        </is>
      </c>
      <c r="N6" s="2" t="inlineStr">
        <is>
          <t>Ever-Green</t>
        </is>
      </c>
      <c r="O6" s="2" t="inlineStr">
        <is>
          <t>כן</t>
        </is>
      </c>
      <c r="P6" s="2" t="inlineStr">
        <is>
          <t>כן</t>
        </is>
      </c>
      <c r="Q6" s="2">
        <f>IFERROR(VLOOKUP(M6,'הגדרות'!$A$11:$D$25,2,FALSE),"")</f>
        <v/>
      </c>
      <c r="R6" s="2">
        <f>IFERROR(VLOOKUP(M6,'הגדרות'!$A$11:$D$25,3,FALSE),"")</f>
        <v/>
      </c>
      <c r="S6" s="2">
        <f>IFERROR(VLOOKUP(N6,'הגדרות'!$A$11:$D$25,2,FALSE),"")</f>
        <v/>
      </c>
      <c r="T6" s="2">
        <f>IFERROR(VLOOKUP(N6,'הגדרות'!$A$11:$D$25,3,FALSE),"")</f>
        <v/>
      </c>
      <c r="U6" s="2" t="inlineStr">
        <is>
          <t>כן</t>
        </is>
      </c>
      <c r="V6" s="2" t="inlineStr">
        <is>
          <t>כן</t>
        </is>
      </c>
      <c r="W6" s="2" t="inlineStr">
        <is>
          <t>כן</t>
        </is>
      </c>
      <c r="X6" s="2" t="inlineStr">
        <is>
          <t>מושאל</t>
        </is>
      </c>
      <c r="Y6" s="2" t="inlineStr">
        <is>
          <t>לוקהיד מרטין</t>
        </is>
      </c>
      <c r="Z6" s="2" t="inlineStr">
        <is>
          <t>ארה"ב</t>
        </is>
      </c>
      <c r="AA6" s="2" t="inlineStr">
        <is>
          <t>דני לוי</t>
        </is>
      </c>
      <c r="AB6" s="9" t="n">
        <v>46032</v>
      </c>
      <c r="AC6" s="2" t="n"/>
      <c r="AD6" s="2" t="inlineStr">
        <is>
          <t>לא</t>
        </is>
      </c>
      <c r="AE6" s="2">
        <f>IF('לוח בקרה'!$A$2="הכל",TRUE,OR(Q6='לוח בקרה'!$A$2,R6='לוח בקרה'!$A$2,S6='לוח בקרה'!$A$2,T6='לוח בקרה'!$A$2))</f>
        <v/>
      </c>
      <c r="AF6" s="2">
        <f>AND(AE6,OR(AND(O6="כן",U6="כן"),AND(P6="כן",V6="כן")))</f>
        <v/>
      </c>
      <c r="AG6" s="2">
        <f>AND(AE6,OR(O6="כן",P6="כן"),NOT(OR(AND(O6="כן",U6="כן"),AND(P6="כן",V6="כן"))))</f>
        <v/>
      </c>
      <c r="AH6" s="2">
        <f>AND(AE6,OR(U6="כן",V6="כן"),NOT(OR(O6="כן",P6="כן")))</f>
        <v/>
      </c>
      <c r="AI6" s="2">
        <f>AND(X6="מושאל",AB6&lt;&gt;"",AB6&lt;TODAY())</f>
        <v/>
      </c>
    </row>
    <row r="7">
      <c r="E7">
        <f>IFERROR(INDEX('הגדרות'!$D$104:$D$123,MATCH(B7&amp;G7&amp;C7,'הגדרות'!$A$104:$A$123&amp;'הגדרות'!$B$104:$B$123&amp;'הגדרות'!$C$104:$C$123,0)),"")</f>
        <v/>
      </c>
      <c r="F7" s="11" t="n"/>
      <c r="Q7">
        <f>IFERROR(VLOOKUP(M7,'הגדרות'!$A$11:$D$25,2,FALSE),"")</f>
        <v/>
      </c>
      <c r="R7">
        <f>IFERROR(VLOOKUP(M7,'הגדרות'!$A$11:$D$25,3,FALSE),"")</f>
        <v/>
      </c>
      <c r="S7">
        <f>IFERROR(VLOOKUP(N7,'הגדרות'!$A$11:$D$25,2,FALSE),"")</f>
        <v/>
      </c>
      <c r="T7">
        <f>IFERROR(VLOOKUP(N7,'הגדרות'!$A$11:$D$25,3,FALSE),"")</f>
        <v/>
      </c>
      <c r="AB7" s="11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E8">
        <f>IFERROR(INDEX('הגדרות'!$D$104:$D$123,MATCH(B8&amp;G8&amp;C8,'הגדרות'!$A$104:$A$123&amp;'הגדרות'!$B$104:$B$123&amp;'הגדרות'!$C$104:$C$123,0)),"")</f>
        <v/>
      </c>
      <c r="F8" s="11" t="n"/>
      <c r="Q8">
        <f>IFERROR(VLOOKUP(M8,'הגדרות'!$A$11:$D$25,2,FALSE),"")</f>
        <v/>
      </c>
      <c r="R8">
        <f>IFERROR(VLOOKUP(M8,'הגדרות'!$A$11:$D$25,3,FALSE),"")</f>
        <v/>
      </c>
      <c r="S8">
        <f>IFERROR(VLOOKUP(N8,'הגדרות'!$A$11:$D$25,2,FALSE),"")</f>
        <v/>
      </c>
      <c r="T8">
        <f>IFERROR(VLOOKUP(N8,'הגדרות'!$A$11:$D$25,3,FALSE),"")</f>
        <v/>
      </c>
      <c r="AB8" s="11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E9">
        <f>IFERROR(INDEX('הגדרות'!$D$104:$D$123,MATCH(B9&amp;G9&amp;C9,'הגדרות'!$A$104:$A$123&amp;'הגדרות'!$B$104:$B$123&amp;'הגדרות'!$C$104:$C$123,0)),"")</f>
        <v/>
      </c>
      <c r="F9" s="11" t="n"/>
      <c r="Q9">
        <f>IFERROR(VLOOKUP(M9,'הגדרות'!$A$11:$D$25,2,FALSE),"")</f>
        <v/>
      </c>
      <c r="R9">
        <f>IFERROR(VLOOKUP(M9,'הגדרות'!$A$11:$D$25,3,FALSE),"")</f>
        <v/>
      </c>
      <c r="S9">
        <f>IFERROR(VLOOKUP(N9,'הגדרות'!$A$11:$D$25,2,FALSE),"")</f>
        <v/>
      </c>
      <c r="T9">
        <f>IFERROR(VLOOKUP(N9,'הגדרות'!$A$11:$D$25,3,FALSE),"")</f>
        <v/>
      </c>
      <c r="AB9" s="11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E10">
        <f>IFERROR(INDEX('הגדרות'!$D$104:$D$123,MATCH(B10&amp;G10&amp;C10,'הגדרות'!$A$104:$A$123&amp;'הגדרות'!$B$104:$B$123&amp;'הגדרות'!$C$104:$C$123,0)),"")</f>
        <v/>
      </c>
      <c r="F10" s="11" t="n"/>
      <c r="Q10">
        <f>IFERROR(VLOOKUP(M10,'הגדרות'!$A$11:$D$25,2,FALSE),"")</f>
        <v/>
      </c>
      <c r="R10">
        <f>IFERROR(VLOOKUP(M10,'הגדרות'!$A$11:$D$25,3,FALSE),"")</f>
        <v/>
      </c>
      <c r="S10">
        <f>IFERROR(VLOOKUP(N10,'הגדרות'!$A$11:$D$25,2,FALSE),"")</f>
        <v/>
      </c>
      <c r="T10">
        <f>IFERROR(VLOOKUP(N10,'הגדרות'!$A$11:$D$25,3,FALSE),"")</f>
        <v/>
      </c>
      <c r="AB10" s="11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E11">
        <f>IFERROR(INDEX('הגדרות'!$D$104:$D$123,MATCH(B11&amp;G11&amp;C11,'הגדרות'!$A$104:$A$123&amp;'הגדרות'!$B$104:$B$123&amp;'הגדרות'!$C$104:$C$123,0)),"")</f>
        <v/>
      </c>
      <c r="F11" s="11" t="n"/>
      <c r="Q11">
        <f>IFERROR(VLOOKUP(M11,'הגדרות'!$A$11:$D$25,2,FALSE),"")</f>
        <v/>
      </c>
      <c r="R11">
        <f>IFERROR(VLOOKUP(M11,'הגדרות'!$A$11:$D$25,3,FALSE),"")</f>
        <v/>
      </c>
      <c r="S11">
        <f>IFERROR(VLOOKUP(N11,'הגדרות'!$A$11:$D$25,2,FALSE),"")</f>
        <v/>
      </c>
      <c r="T11">
        <f>IFERROR(VLOOKUP(N11,'הגדרות'!$A$11:$D$25,3,FALSE),"")</f>
        <v/>
      </c>
      <c r="AB11" s="11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E12">
        <f>IFERROR(INDEX('הגדרות'!$D$104:$D$123,MATCH(B12&amp;G12&amp;C12,'הגדרות'!$A$104:$A$123&amp;'הגדרות'!$B$104:$B$123&amp;'הגדרות'!$C$104:$C$123,0)),"")</f>
        <v/>
      </c>
      <c r="F12" s="11" t="n"/>
      <c r="Q12">
        <f>IFERROR(VLOOKUP(M12,'הגדרות'!$A$11:$D$25,2,FALSE),"")</f>
        <v/>
      </c>
      <c r="R12">
        <f>IFERROR(VLOOKUP(M12,'הגדרות'!$A$11:$D$25,3,FALSE),"")</f>
        <v/>
      </c>
      <c r="S12">
        <f>IFERROR(VLOOKUP(N12,'הגדרות'!$A$11:$D$25,2,FALSE),"")</f>
        <v/>
      </c>
      <c r="T12">
        <f>IFERROR(VLOOKUP(N12,'הגדרות'!$A$11:$D$25,3,FALSE),"")</f>
        <v/>
      </c>
      <c r="AB12" s="11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E13">
        <f>IFERROR(INDEX('הגדרות'!$D$104:$D$123,MATCH(B13&amp;G13&amp;C13,'הגדרות'!$A$104:$A$123&amp;'הגדרות'!$B$104:$B$123&amp;'הגדרות'!$C$104:$C$123,0)),"")</f>
        <v/>
      </c>
      <c r="F13" s="11" t="n"/>
      <c r="Q13">
        <f>IFERROR(VLOOKUP(M13,'הגדרות'!$A$11:$D$25,2,FALSE),"")</f>
        <v/>
      </c>
      <c r="R13">
        <f>IFERROR(VLOOKUP(M13,'הגדרות'!$A$11:$D$25,3,FALSE),"")</f>
        <v/>
      </c>
      <c r="S13">
        <f>IFERROR(VLOOKUP(N13,'הגדרות'!$A$11:$D$25,2,FALSE),"")</f>
        <v/>
      </c>
      <c r="T13">
        <f>IFERROR(VLOOKUP(N13,'הגדרות'!$A$11:$D$25,3,FALSE),"")</f>
        <v/>
      </c>
      <c r="AB13" s="11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E14">
        <f>IFERROR(INDEX('הגדרות'!$D$104:$D$123,MATCH(B14&amp;G14&amp;C14,'הגדרות'!$A$104:$A$123&amp;'הגדרות'!$B$104:$B$123&amp;'הגדרות'!$C$104:$C$123,0)),"")</f>
        <v/>
      </c>
      <c r="F14" s="11" t="n"/>
      <c r="Q14">
        <f>IFERROR(VLOOKUP(M14,'הגדרות'!$A$11:$D$25,2,FALSE),"")</f>
        <v/>
      </c>
      <c r="R14">
        <f>IFERROR(VLOOKUP(M14,'הגדרות'!$A$11:$D$25,3,FALSE),"")</f>
        <v/>
      </c>
      <c r="S14">
        <f>IFERROR(VLOOKUP(N14,'הגדרות'!$A$11:$D$25,2,FALSE),"")</f>
        <v/>
      </c>
      <c r="T14">
        <f>IFERROR(VLOOKUP(N14,'הגדרות'!$A$11:$D$25,3,FALSE),"")</f>
        <v/>
      </c>
      <c r="AB14" s="11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E15">
        <f>IFERROR(INDEX('הגדרות'!$D$104:$D$123,MATCH(B15&amp;G15&amp;C15,'הגדרות'!$A$104:$A$123&amp;'הגדרות'!$B$104:$B$123&amp;'הגדרות'!$C$104:$C$123,0)),"")</f>
        <v/>
      </c>
      <c r="F15" s="11" t="n"/>
      <c r="Q15">
        <f>IFERROR(VLOOKUP(M15,'הגדרות'!$A$11:$D$25,2,FALSE),"")</f>
        <v/>
      </c>
      <c r="R15">
        <f>IFERROR(VLOOKUP(M15,'הגדרות'!$A$11:$D$25,3,FALSE),"")</f>
        <v/>
      </c>
      <c r="S15">
        <f>IFERROR(VLOOKUP(N15,'הגדרות'!$A$11:$D$25,2,FALSE),"")</f>
        <v/>
      </c>
      <c r="T15">
        <f>IFERROR(VLOOKUP(N15,'הגדרות'!$A$11:$D$25,3,FALSE),"")</f>
        <v/>
      </c>
      <c r="AB15" s="11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E16">
        <f>IFERROR(INDEX('הגדרות'!$D$104:$D$123,MATCH(B16&amp;G16&amp;C16,'הגדרות'!$A$104:$A$123&amp;'הגדרות'!$B$104:$B$123&amp;'הגדרות'!$C$104:$C$123,0)),"")</f>
        <v/>
      </c>
      <c r="F16" s="11" t="n"/>
      <c r="Q16">
        <f>IFERROR(VLOOKUP(M16,'הגדרות'!$A$11:$D$25,2,FALSE),"")</f>
        <v/>
      </c>
      <c r="R16">
        <f>IFERROR(VLOOKUP(M16,'הגדרות'!$A$11:$D$25,3,FALSE),"")</f>
        <v/>
      </c>
      <c r="S16">
        <f>IFERROR(VLOOKUP(N16,'הגדרות'!$A$11:$D$25,2,FALSE),"")</f>
        <v/>
      </c>
      <c r="T16">
        <f>IFERROR(VLOOKUP(N16,'הגדרות'!$A$11:$D$25,3,FALSE),"")</f>
        <v/>
      </c>
      <c r="AB16" s="11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E17">
        <f>IFERROR(INDEX('הגדרות'!$D$104:$D$123,MATCH(B17&amp;G17&amp;C17,'הגדרות'!$A$104:$A$123&amp;'הגדרות'!$B$104:$B$123&amp;'הגדרות'!$C$104:$C$123,0)),"")</f>
        <v/>
      </c>
      <c r="F17" s="11" t="n"/>
      <c r="Q17">
        <f>IFERROR(VLOOKUP(M17,'הגדרות'!$A$11:$D$25,2,FALSE),"")</f>
        <v/>
      </c>
      <c r="R17">
        <f>IFERROR(VLOOKUP(M17,'הגדרות'!$A$11:$D$25,3,FALSE),"")</f>
        <v/>
      </c>
      <c r="S17">
        <f>IFERROR(VLOOKUP(N17,'הגדרות'!$A$11:$D$25,2,FALSE),"")</f>
        <v/>
      </c>
      <c r="T17">
        <f>IFERROR(VLOOKUP(N17,'הגדרות'!$A$11:$D$25,3,FALSE),"")</f>
        <v/>
      </c>
      <c r="AB17" s="11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E18">
        <f>IFERROR(INDEX('הגדרות'!$D$104:$D$123,MATCH(B18&amp;G18&amp;C18,'הגדרות'!$A$104:$A$123&amp;'הגדרות'!$B$104:$B$123&amp;'הגדרות'!$C$104:$C$123,0)),"")</f>
        <v/>
      </c>
      <c r="F18" s="11" t="n"/>
      <c r="Q18">
        <f>IFERROR(VLOOKUP(M18,'הגדרות'!$A$11:$D$25,2,FALSE),"")</f>
        <v/>
      </c>
      <c r="R18">
        <f>IFERROR(VLOOKUP(M18,'הגדרות'!$A$11:$D$25,3,FALSE),"")</f>
        <v/>
      </c>
      <c r="S18">
        <f>IFERROR(VLOOKUP(N18,'הגדרות'!$A$11:$D$25,2,FALSE),"")</f>
        <v/>
      </c>
      <c r="T18">
        <f>IFERROR(VLOOKUP(N18,'הגדרות'!$A$11:$D$25,3,FALSE),"")</f>
        <v/>
      </c>
      <c r="AB18" s="11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E19">
        <f>IFERROR(INDEX('הגדרות'!$D$104:$D$123,MATCH(B19&amp;G19&amp;C19,'הגדרות'!$A$104:$A$123&amp;'הגדרות'!$B$104:$B$123&amp;'הגדרות'!$C$104:$C$123,0)),"")</f>
        <v/>
      </c>
      <c r="F19" s="11" t="n"/>
      <c r="Q19">
        <f>IFERROR(VLOOKUP(M19,'הגדרות'!$A$11:$D$25,2,FALSE),"")</f>
        <v/>
      </c>
      <c r="R19">
        <f>IFERROR(VLOOKUP(M19,'הגדרות'!$A$11:$D$25,3,FALSE),"")</f>
        <v/>
      </c>
      <c r="S19">
        <f>IFERROR(VLOOKUP(N19,'הגדרות'!$A$11:$D$25,2,FALSE),"")</f>
        <v/>
      </c>
      <c r="T19">
        <f>IFERROR(VLOOKUP(N19,'הגדרות'!$A$11:$D$25,3,FALSE),"")</f>
        <v/>
      </c>
      <c r="AB19" s="11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E20">
        <f>IFERROR(INDEX('הגדרות'!$D$104:$D$123,MATCH(B20&amp;G20&amp;C20,'הגדרות'!$A$104:$A$123&amp;'הגדרות'!$B$104:$B$123&amp;'הגדרות'!$C$104:$C$123,0)),"")</f>
        <v/>
      </c>
      <c r="F20" s="11" t="n"/>
      <c r="Q20">
        <f>IFERROR(VLOOKUP(M20,'הגדרות'!$A$11:$D$25,2,FALSE),"")</f>
        <v/>
      </c>
      <c r="R20">
        <f>IFERROR(VLOOKUP(M20,'הגדרות'!$A$11:$D$25,3,FALSE),"")</f>
        <v/>
      </c>
      <c r="S20">
        <f>IFERROR(VLOOKUP(N20,'הגדרות'!$A$11:$D$25,2,FALSE),"")</f>
        <v/>
      </c>
      <c r="T20">
        <f>IFERROR(VLOOKUP(N20,'הגדרות'!$A$11:$D$25,3,FALSE),"")</f>
        <v/>
      </c>
      <c r="AB20" s="11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E21">
        <f>IFERROR(INDEX('הגדרות'!$D$104:$D$123,MATCH(B21&amp;G21&amp;C21,'הגדרות'!$A$104:$A$123&amp;'הגדרות'!$B$104:$B$123&amp;'הגדרות'!$C$104:$C$123,0)),"")</f>
        <v/>
      </c>
      <c r="F21" s="11" t="n"/>
      <c r="Q21">
        <f>IFERROR(VLOOKUP(M21,'הגדרות'!$A$11:$D$25,2,FALSE),"")</f>
        <v/>
      </c>
      <c r="R21">
        <f>IFERROR(VLOOKUP(M21,'הגדרות'!$A$11:$D$25,3,FALSE),"")</f>
        <v/>
      </c>
      <c r="S21">
        <f>IFERROR(VLOOKUP(N21,'הגדרות'!$A$11:$D$25,2,FALSE),"")</f>
        <v/>
      </c>
      <c r="T21">
        <f>IFERROR(VLOOKUP(N21,'הגדרות'!$A$11:$D$25,3,FALSE),"")</f>
        <v/>
      </c>
      <c r="AB21" s="11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E22">
        <f>IFERROR(INDEX('הגדרות'!$D$104:$D$123,MATCH(B22&amp;G22&amp;C22,'הגדרות'!$A$104:$A$123&amp;'הגדרות'!$B$104:$B$123&amp;'הגדרות'!$C$104:$C$123,0)),"")</f>
        <v/>
      </c>
      <c r="F22" s="11" t="n"/>
      <c r="Q22">
        <f>IFERROR(VLOOKUP(M22,'הגדרות'!$A$11:$D$25,2,FALSE),"")</f>
        <v/>
      </c>
      <c r="R22">
        <f>IFERROR(VLOOKUP(M22,'הגדרות'!$A$11:$D$25,3,FALSE),"")</f>
        <v/>
      </c>
      <c r="S22">
        <f>IFERROR(VLOOKUP(N22,'הגדרות'!$A$11:$D$25,2,FALSE),"")</f>
        <v/>
      </c>
      <c r="T22">
        <f>IFERROR(VLOOKUP(N22,'הגדרות'!$A$11:$D$25,3,FALSE),"")</f>
        <v/>
      </c>
      <c r="AB22" s="11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E23">
        <f>IFERROR(INDEX('הגדרות'!$D$104:$D$123,MATCH(B23&amp;G23&amp;C23,'הגדרות'!$A$104:$A$123&amp;'הגדרות'!$B$104:$B$123&amp;'הגדרות'!$C$104:$C$123,0)),"")</f>
        <v/>
      </c>
      <c r="F23" s="11" t="n"/>
      <c r="Q23">
        <f>IFERROR(VLOOKUP(M23,'הגדרות'!$A$11:$D$25,2,FALSE),"")</f>
        <v/>
      </c>
      <c r="R23">
        <f>IFERROR(VLOOKUP(M23,'הגדרות'!$A$11:$D$25,3,FALSE),"")</f>
        <v/>
      </c>
      <c r="S23">
        <f>IFERROR(VLOOKUP(N23,'הגדרות'!$A$11:$D$25,2,FALSE),"")</f>
        <v/>
      </c>
      <c r="T23">
        <f>IFERROR(VLOOKUP(N23,'הגדרות'!$A$11:$D$25,3,FALSE),"")</f>
        <v/>
      </c>
      <c r="AB23" s="11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E24">
        <f>IFERROR(INDEX('הגדרות'!$D$104:$D$123,MATCH(B24&amp;G24&amp;C24,'הגדרות'!$A$104:$A$123&amp;'הגדרות'!$B$104:$B$123&amp;'הגדרות'!$C$104:$C$123,0)),"")</f>
        <v/>
      </c>
      <c r="F24" s="11" t="n"/>
      <c r="Q24">
        <f>IFERROR(VLOOKUP(M24,'הגדרות'!$A$11:$D$25,2,FALSE),"")</f>
        <v/>
      </c>
      <c r="R24">
        <f>IFERROR(VLOOKUP(M24,'הגדרות'!$A$11:$D$25,3,FALSE),"")</f>
        <v/>
      </c>
      <c r="S24">
        <f>IFERROR(VLOOKUP(N24,'הגדרות'!$A$11:$D$25,2,FALSE),"")</f>
        <v/>
      </c>
      <c r="T24">
        <f>IFERROR(VLOOKUP(N24,'הגדרות'!$A$11:$D$25,3,FALSE),"")</f>
        <v/>
      </c>
      <c r="AB24" s="11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E25">
        <f>IFERROR(INDEX('הגדרות'!$D$104:$D$123,MATCH(B25&amp;G25&amp;C25,'הגדרות'!$A$104:$A$123&amp;'הגדרות'!$B$104:$B$123&amp;'הגדרות'!$C$104:$C$123,0)),"")</f>
        <v/>
      </c>
      <c r="F25" s="11" t="n"/>
      <c r="Q25">
        <f>IFERROR(VLOOKUP(M25,'הגדרות'!$A$11:$D$25,2,FALSE),"")</f>
        <v/>
      </c>
      <c r="R25">
        <f>IFERROR(VLOOKUP(M25,'הגדרות'!$A$11:$D$25,3,FALSE),"")</f>
        <v/>
      </c>
      <c r="S25">
        <f>IFERROR(VLOOKUP(N25,'הגדרות'!$A$11:$D$25,2,FALSE),"")</f>
        <v/>
      </c>
      <c r="T25">
        <f>IFERROR(VLOOKUP(N25,'הגדרות'!$A$11:$D$25,3,FALSE),"")</f>
        <v/>
      </c>
      <c r="AB25" s="11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E26">
        <f>IFERROR(INDEX('הגדרות'!$D$104:$D$123,MATCH(B26&amp;G26&amp;C26,'הגדרות'!$A$104:$A$123&amp;'הגדרות'!$B$104:$B$123&amp;'הגדרות'!$C$104:$C$123,0)),"")</f>
        <v/>
      </c>
      <c r="F26" s="11" t="n"/>
      <c r="Q26">
        <f>IFERROR(VLOOKUP(M26,'הגדרות'!$A$11:$D$25,2,FALSE),"")</f>
        <v/>
      </c>
      <c r="R26">
        <f>IFERROR(VLOOKUP(M26,'הגדרות'!$A$11:$D$25,3,FALSE),"")</f>
        <v/>
      </c>
      <c r="S26">
        <f>IFERROR(VLOOKUP(N26,'הגדרות'!$A$11:$D$25,2,FALSE),"")</f>
        <v/>
      </c>
      <c r="T26">
        <f>IFERROR(VLOOKUP(N26,'הגדרות'!$A$11:$D$25,3,FALSE),"")</f>
        <v/>
      </c>
      <c r="AB26" s="11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E27">
        <f>IFERROR(INDEX('הגדרות'!$D$104:$D$123,MATCH(B27&amp;G27&amp;C27,'הגדרות'!$A$104:$A$123&amp;'הגדרות'!$B$104:$B$123&amp;'הגדרות'!$C$104:$C$123,0)),"")</f>
        <v/>
      </c>
      <c r="F27" s="11" t="n"/>
      <c r="Q27">
        <f>IFERROR(VLOOKUP(M27,'הגדרות'!$A$11:$D$25,2,FALSE),"")</f>
        <v/>
      </c>
      <c r="R27">
        <f>IFERROR(VLOOKUP(M27,'הגדרות'!$A$11:$D$25,3,FALSE),"")</f>
        <v/>
      </c>
      <c r="S27">
        <f>IFERROR(VLOOKUP(N27,'הגדרות'!$A$11:$D$25,2,FALSE),"")</f>
        <v/>
      </c>
      <c r="T27">
        <f>IFERROR(VLOOKUP(N27,'הגדרות'!$A$11:$D$25,3,FALSE),"")</f>
        <v/>
      </c>
      <c r="AB27" s="11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E28">
        <f>IFERROR(INDEX('הגדרות'!$D$104:$D$123,MATCH(B28&amp;G28&amp;C28,'הגדרות'!$A$104:$A$123&amp;'הגדרות'!$B$104:$B$123&amp;'הגדרות'!$C$104:$C$123,0)),"")</f>
        <v/>
      </c>
      <c r="F28" s="11" t="n"/>
      <c r="Q28">
        <f>IFERROR(VLOOKUP(M28,'הגדרות'!$A$11:$D$25,2,FALSE),"")</f>
        <v/>
      </c>
      <c r="R28">
        <f>IFERROR(VLOOKUP(M28,'הגדרות'!$A$11:$D$25,3,FALSE),"")</f>
        <v/>
      </c>
      <c r="S28">
        <f>IFERROR(VLOOKUP(N28,'הגדרות'!$A$11:$D$25,2,FALSE),"")</f>
        <v/>
      </c>
      <c r="T28">
        <f>IFERROR(VLOOKUP(N28,'הגדרות'!$A$11:$D$25,3,FALSE),"")</f>
        <v/>
      </c>
      <c r="AB28" s="11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E29">
        <f>IFERROR(INDEX('הגדרות'!$D$104:$D$123,MATCH(B29&amp;G29&amp;C29,'הגדרות'!$A$104:$A$123&amp;'הגדרות'!$B$104:$B$123&amp;'הגדרות'!$C$104:$C$123,0)),"")</f>
        <v/>
      </c>
      <c r="F29" s="11" t="n"/>
      <c r="Q29">
        <f>IFERROR(VLOOKUP(M29,'הגדרות'!$A$11:$D$25,2,FALSE),"")</f>
        <v/>
      </c>
      <c r="R29">
        <f>IFERROR(VLOOKUP(M29,'הגדרות'!$A$11:$D$25,3,FALSE),"")</f>
        <v/>
      </c>
      <c r="S29">
        <f>IFERROR(VLOOKUP(N29,'הגדרות'!$A$11:$D$25,2,FALSE),"")</f>
        <v/>
      </c>
      <c r="T29">
        <f>IFERROR(VLOOKUP(N29,'הגדרות'!$A$11:$D$25,3,FALSE),"")</f>
        <v/>
      </c>
      <c r="AB29" s="11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E30">
        <f>IFERROR(INDEX('הגדרות'!$D$104:$D$123,MATCH(B30&amp;G30&amp;C30,'הגדרות'!$A$104:$A$123&amp;'הגדרות'!$B$104:$B$123&amp;'הגדרות'!$C$104:$C$123,0)),"")</f>
        <v/>
      </c>
      <c r="F30" s="11" t="n"/>
      <c r="Q30">
        <f>IFERROR(VLOOKUP(M30,'הגדרות'!$A$11:$D$25,2,FALSE),"")</f>
        <v/>
      </c>
      <c r="R30">
        <f>IFERROR(VLOOKUP(M30,'הגדרות'!$A$11:$D$25,3,FALSE),"")</f>
        <v/>
      </c>
      <c r="S30">
        <f>IFERROR(VLOOKUP(N30,'הגדרות'!$A$11:$D$25,2,FALSE),"")</f>
        <v/>
      </c>
      <c r="T30">
        <f>IFERROR(VLOOKUP(N30,'הגדרות'!$A$11:$D$25,3,FALSE),"")</f>
        <v/>
      </c>
      <c r="AB30" s="11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E31">
        <f>IFERROR(INDEX('הגדרות'!$D$104:$D$123,MATCH(B31&amp;G31&amp;C31,'הגדרות'!$A$104:$A$123&amp;'הגדרות'!$B$104:$B$123&amp;'הגדרות'!$C$104:$C$123,0)),"")</f>
        <v/>
      </c>
      <c r="F31" s="11" t="n"/>
      <c r="Q31">
        <f>IFERROR(VLOOKUP(M31,'הגדרות'!$A$11:$D$25,2,FALSE),"")</f>
        <v/>
      </c>
      <c r="R31">
        <f>IFERROR(VLOOKUP(M31,'הגדרות'!$A$11:$D$25,3,FALSE),"")</f>
        <v/>
      </c>
      <c r="S31">
        <f>IFERROR(VLOOKUP(N31,'הגדרות'!$A$11:$D$25,2,FALSE),"")</f>
        <v/>
      </c>
      <c r="T31">
        <f>IFERROR(VLOOKUP(N31,'הגדרות'!$A$11:$D$25,3,FALSE),"")</f>
        <v/>
      </c>
      <c r="AB31" s="11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E32">
        <f>IFERROR(INDEX('הגדרות'!$D$104:$D$123,MATCH(B32&amp;G32&amp;C32,'הגדרות'!$A$104:$A$123&amp;'הגדרות'!$B$104:$B$123&amp;'הגדרות'!$C$104:$C$123,0)),"")</f>
        <v/>
      </c>
      <c r="F32" s="11" t="n"/>
      <c r="Q32">
        <f>IFERROR(VLOOKUP(M32,'הגדרות'!$A$11:$D$25,2,FALSE),"")</f>
        <v/>
      </c>
      <c r="R32">
        <f>IFERROR(VLOOKUP(M32,'הגדרות'!$A$11:$D$25,3,FALSE),"")</f>
        <v/>
      </c>
      <c r="S32">
        <f>IFERROR(VLOOKUP(N32,'הגדרות'!$A$11:$D$25,2,FALSE),"")</f>
        <v/>
      </c>
      <c r="T32">
        <f>IFERROR(VLOOKUP(N32,'הגדרות'!$A$11:$D$25,3,FALSE),"")</f>
        <v/>
      </c>
      <c r="AB32" s="11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E33">
        <f>IFERROR(INDEX('הגדרות'!$D$104:$D$123,MATCH(B33&amp;G33&amp;C33,'הגדרות'!$A$104:$A$123&amp;'הגדרות'!$B$104:$B$123&amp;'הגדרות'!$C$104:$C$123,0)),"")</f>
        <v/>
      </c>
      <c r="F33" s="11" t="n"/>
      <c r="Q33">
        <f>IFERROR(VLOOKUP(M33,'הגדרות'!$A$11:$D$25,2,FALSE),"")</f>
        <v/>
      </c>
      <c r="R33">
        <f>IFERROR(VLOOKUP(M33,'הגדרות'!$A$11:$D$25,3,FALSE),"")</f>
        <v/>
      </c>
      <c r="S33">
        <f>IFERROR(VLOOKUP(N33,'הגדרות'!$A$11:$D$25,2,FALSE),"")</f>
        <v/>
      </c>
      <c r="T33">
        <f>IFERROR(VLOOKUP(N33,'הגדרות'!$A$11:$D$25,3,FALSE),"")</f>
        <v/>
      </c>
      <c r="AB33" s="11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E34">
        <f>IFERROR(INDEX('הגדרות'!$D$104:$D$123,MATCH(B34&amp;G34&amp;C34,'הגדרות'!$A$104:$A$123&amp;'הגדרות'!$B$104:$B$123&amp;'הגדרות'!$C$104:$C$123,0)),"")</f>
        <v/>
      </c>
      <c r="F34" s="11" t="n"/>
      <c r="Q34">
        <f>IFERROR(VLOOKUP(M34,'הגדרות'!$A$11:$D$25,2,FALSE),"")</f>
        <v/>
      </c>
      <c r="R34">
        <f>IFERROR(VLOOKUP(M34,'הגדרות'!$A$11:$D$25,3,FALSE),"")</f>
        <v/>
      </c>
      <c r="S34">
        <f>IFERROR(VLOOKUP(N34,'הגדרות'!$A$11:$D$25,2,FALSE),"")</f>
        <v/>
      </c>
      <c r="T34">
        <f>IFERROR(VLOOKUP(N34,'הגדרות'!$A$11:$D$25,3,FALSE),"")</f>
        <v/>
      </c>
      <c r="AB34" s="11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E35">
        <f>IFERROR(INDEX('הגדרות'!$D$104:$D$123,MATCH(B35&amp;G35&amp;C35,'הגדרות'!$A$104:$A$123&amp;'הגדרות'!$B$104:$B$123&amp;'הגדרות'!$C$104:$C$123,0)),"")</f>
        <v/>
      </c>
      <c r="F35" s="11" t="n"/>
      <c r="Q35">
        <f>IFERROR(VLOOKUP(M35,'הגדרות'!$A$11:$D$25,2,FALSE),"")</f>
        <v/>
      </c>
      <c r="R35">
        <f>IFERROR(VLOOKUP(M35,'הגדרות'!$A$11:$D$25,3,FALSE),"")</f>
        <v/>
      </c>
      <c r="S35">
        <f>IFERROR(VLOOKUP(N35,'הגדרות'!$A$11:$D$25,2,FALSE),"")</f>
        <v/>
      </c>
      <c r="T35">
        <f>IFERROR(VLOOKUP(N35,'הגדרות'!$A$11:$D$25,3,FALSE),"")</f>
        <v/>
      </c>
      <c r="AB35" s="11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E36">
        <f>IFERROR(INDEX('הגדרות'!$D$104:$D$123,MATCH(B36&amp;G36&amp;C36,'הגדרות'!$A$104:$A$123&amp;'הגדרות'!$B$104:$B$123&amp;'הגדרות'!$C$104:$C$123,0)),"")</f>
        <v/>
      </c>
      <c r="F36" s="11" t="n"/>
      <c r="Q36">
        <f>IFERROR(VLOOKUP(M36,'הגדרות'!$A$11:$D$25,2,FALSE),"")</f>
        <v/>
      </c>
      <c r="R36">
        <f>IFERROR(VLOOKUP(M36,'הגדרות'!$A$11:$D$25,3,FALSE),"")</f>
        <v/>
      </c>
      <c r="S36">
        <f>IFERROR(VLOOKUP(N36,'הגדרות'!$A$11:$D$25,2,FALSE),"")</f>
        <v/>
      </c>
      <c r="T36">
        <f>IFERROR(VLOOKUP(N36,'הגדרות'!$A$11:$D$25,3,FALSE),"")</f>
        <v/>
      </c>
      <c r="AB36" s="11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E37">
        <f>IFERROR(INDEX('הגדרות'!$D$104:$D$123,MATCH(B37&amp;G37&amp;C37,'הגדרות'!$A$104:$A$123&amp;'הגדרות'!$B$104:$B$123&amp;'הגדרות'!$C$104:$C$123,0)),"")</f>
        <v/>
      </c>
      <c r="F37" s="11" t="n"/>
      <c r="Q37">
        <f>IFERROR(VLOOKUP(M37,'הגדרות'!$A$11:$D$25,2,FALSE),"")</f>
        <v/>
      </c>
      <c r="R37">
        <f>IFERROR(VLOOKUP(M37,'הגדרות'!$A$11:$D$25,3,FALSE),"")</f>
        <v/>
      </c>
      <c r="S37">
        <f>IFERROR(VLOOKUP(N37,'הגדרות'!$A$11:$D$25,2,FALSE),"")</f>
        <v/>
      </c>
      <c r="T37">
        <f>IFERROR(VLOOKUP(N37,'הגדרות'!$A$11:$D$25,3,FALSE),"")</f>
        <v/>
      </c>
      <c r="AB37" s="11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E38">
        <f>IFERROR(INDEX('הגדרות'!$D$104:$D$123,MATCH(B38&amp;G38&amp;C38,'הגדרות'!$A$104:$A$123&amp;'הגדרות'!$B$104:$B$123&amp;'הגדרות'!$C$104:$C$123,0)),"")</f>
        <v/>
      </c>
      <c r="F38" s="11" t="n"/>
      <c r="Q38">
        <f>IFERROR(VLOOKUP(M38,'הגדרות'!$A$11:$D$25,2,FALSE),"")</f>
        <v/>
      </c>
      <c r="R38">
        <f>IFERROR(VLOOKUP(M38,'הגדרות'!$A$11:$D$25,3,FALSE),"")</f>
        <v/>
      </c>
      <c r="S38">
        <f>IFERROR(VLOOKUP(N38,'הגדרות'!$A$11:$D$25,2,FALSE),"")</f>
        <v/>
      </c>
      <c r="T38">
        <f>IFERROR(VLOOKUP(N38,'הגדרות'!$A$11:$D$25,3,FALSE),"")</f>
        <v/>
      </c>
      <c r="AB38" s="11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E39">
        <f>IFERROR(INDEX('הגדרות'!$D$104:$D$123,MATCH(B39&amp;G39&amp;C39,'הגדרות'!$A$104:$A$123&amp;'הגדרות'!$B$104:$B$123&amp;'הגדרות'!$C$104:$C$123,0)),"")</f>
        <v/>
      </c>
      <c r="F39" s="11" t="n"/>
      <c r="Q39">
        <f>IFERROR(VLOOKUP(M39,'הגדרות'!$A$11:$D$25,2,FALSE),"")</f>
        <v/>
      </c>
      <c r="R39">
        <f>IFERROR(VLOOKUP(M39,'הגדרות'!$A$11:$D$25,3,FALSE),"")</f>
        <v/>
      </c>
      <c r="S39">
        <f>IFERROR(VLOOKUP(N39,'הגדרות'!$A$11:$D$25,2,FALSE),"")</f>
        <v/>
      </c>
      <c r="T39">
        <f>IFERROR(VLOOKUP(N39,'הגדרות'!$A$11:$D$25,3,FALSE),"")</f>
        <v/>
      </c>
      <c r="AB39" s="11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E40">
        <f>IFERROR(INDEX('הגדרות'!$D$104:$D$123,MATCH(B40&amp;G40&amp;C40,'הגדרות'!$A$104:$A$123&amp;'הגדרות'!$B$104:$B$123&amp;'הגדרות'!$C$104:$C$123,0)),"")</f>
        <v/>
      </c>
      <c r="F40" s="11" t="n"/>
      <c r="Q40">
        <f>IFERROR(VLOOKUP(M40,'הגדרות'!$A$11:$D$25,2,FALSE),"")</f>
        <v/>
      </c>
      <c r="R40">
        <f>IFERROR(VLOOKUP(M40,'הגדרות'!$A$11:$D$25,3,FALSE),"")</f>
        <v/>
      </c>
      <c r="S40">
        <f>IFERROR(VLOOKUP(N40,'הגדרות'!$A$11:$D$25,2,FALSE),"")</f>
        <v/>
      </c>
      <c r="T40">
        <f>IFERROR(VLOOKUP(N40,'הגדרות'!$A$11:$D$25,3,FALSE),"")</f>
        <v/>
      </c>
      <c r="AB40" s="11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E41">
        <f>IFERROR(INDEX('הגדרות'!$D$104:$D$123,MATCH(B41&amp;G41&amp;C41,'הגדרות'!$A$104:$A$123&amp;'הגדרות'!$B$104:$B$123&amp;'הגדרות'!$C$104:$C$123,0)),"")</f>
        <v/>
      </c>
      <c r="F41" s="11" t="n"/>
      <c r="Q41">
        <f>IFERROR(VLOOKUP(M41,'הגדרות'!$A$11:$D$25,2,FALSE),"")</f>
        <v/>
      </c>
      <c r="R41">
        <f>IFERROR(VLOOKUP(M41,'הגדרות'!$A$11:$D$25,3,FALSE),"")</f>
        <v/>
      </c>
      <c r="S41">
        <f>IFERROR(VLOOKUP(N41,'הגדרות'!$A$11:$D$25,2,FALSE),"")</f>
        <v/>
      </c>
      <c r="T41">
        <f>IFERROR(VLOOKUP(N41,'הגדרות'!$A$11:$D$25,3,FALSE),"")</f>
        <v/>
      </c>
      <c r="AB41" s="11" t="n"/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E42">
        <f>IFERROR(INDEX('הגדרות'!$D$104:$D$123,MATCH(B42&amp;G42&amp;C42,'הגדרות'!$A$104:$A$123&amp;'הגדרות'!$B$104:$B$123&amp;'הגדרות'!$C$104:$C$123,0)),"")</f>
        <v/>
      </c>
      <c r="F42" s="11" t="n"/>
      <c r="Q42">
        <f>IFERROR(VLOOKUP(M42,'הגדרות'!$A$11:$D$25,2,FALSE),"")</f>
        <v/>
      </c>
      <c r="R42">
        <f>IFERROR(VLOOKUP(M42,'הגדרות'!$A$11:$D$25,3,FALSE),"")</f>
        <v/>
      </c>
      <c r="S42">
        <f>IFERROR(VLOOKUP(N42,'הגדרות'!$A$11:$D$25,2,FALSE),"")</f>
        <v/>
      </c>
      <c r="T42">
        <f>IFERROR(VLOOKUP(N42,'הגדרות'!$A$11:$D$25,3,FALSE),"")</f>
        <v/>
      </c>
      <c r="AB42" s="11" t="n"/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E43">
        <f>IFERROR(INDEX('הגדרות'!$D$104:$D$123,MATCH(B43&amp;G43&amp;C43,'הגדרות'!$A$104:$A$123&amp;'הגדרות'!$B$104:$B$123&amp;'הגדרות'!$C$104:$C$123,0)),"")</f>
        <v/>
      </c>
      <c r="F43" s="11" t="n"/>
      <c r="Q43">
        <f>IFERROR(VLOOKUP(M43,'הגדרות'!$A$11:$D$25,2,FALSE),"")</f>
        <v/>
      </c>
      <c r="R43">
        <f>IFERROR(VLOOKUP(M43,'הגדרות'!$A$11:$D$25,3,FALSE),"")</f>
        <v/>
      </c>
      <c r="S43">
        <f>IFERROR(VLOOKUP(N43,'הגדרות'!$A$11:$D$25,2,FALSE),"")</f>
        <v/>
      </c>
      <c r="T43">
        <f>IFERROR(VLOOKUP(N43,'הגדרות'!$A$11:$D$25,3,FALSE),"")</f>
        <v/>
      </c>
      <c r="AB43" s="11" t="n"/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E44">
        <f>IFERROR(INDEX('הגדרות'!$D$104:$D$123,MATCH(B44&amp;G44&amp;C44,'הגדרות'!$A$104:$A$123&amp;'הגדרות'!$B$104:$B$123&amp;'הגדרות'!$C$104:$C$123,0)),"")</f>
        <v/>
      </c>
      <c r="F44" s="11" t="n"/>
      <c r="Q44">
        <f>IFERROR(VLOOKUP(M44,'הגדרות'!$A$11:$D$25,2,FALSE),"")</f>
        <v/>
      </c>
      <c r="R44">
        <f>IFERROR(VLOOKUP(M44,'הגדרות'!$A$11:$D$25,3,FALSE),"")</f>
        <v/>
      </c>
      <c r="S44">
        <f>IFERROR(VLOOKUP(N44,'הגדרות'!$A$11:$D$25,2,FALSE),"")</f>
        <v/>
      </c>
      <c r="T44">
        <f>IFERROR(VLOOKUP(N44,'הגדרות'!$A$11:$D$25,3,FALSE),"")</f>
        <v/>
      </c>
      <c r="AB44" s="11" t="n"/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E45">
        <f>IFERROR(INDEX('הגדרות'!$D$104:$D$123,MATCH(B45&amp;G45&amp;C45,'הגדרות'!$A$104:$A$123&amp;'הגדרות'!$B$104:$B$123&amp;'הגדרות'!$C$104:$C$123,0)),"")</f>
        <v/>
      </c>
      <c r="F45" s="11" t="n"/>
      <c r="Q45">
        <f>IFERROR(VLOOKUP(M45,'הגדרות'!$A$11:$D$25,2,FALSE),"")</f>
        <v/>
      </c>
      <c r="R45">
        <f>IFERROR(VLOOKUP(M45,'הגדרות'!$A$11:$D$25,3,FALSE),"")</f>
        <v/>
      </c>
      <c r="S45">
        <f>IFERROR(VLOOKUP(N45,'הגדרות'!$A$11:$D$25,2,FALSE),"")</f>
        <v/>
      </c>
      <c r="T45">
        <f>IFERROR(VLOOKUP(N45,'הגדרות'!$A$11:$D$25,3,FALSE),"")</f>
        <v/>
      </c>
      <c r="AB45" s="11" t="n"/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E46">
        <f>IFERROR(INDEX('הגדרות'!$D$104:$D$123,MATCH(B46&amp;G46&amp;C46,'הגדרות'!$A$104:$A$123&amp;'הגדרות'!$B$104:$B$123&amp;'הגדרות'!$C$104:$C$123,0)),"")</f>
        <v/>
      </c>
      <c r="F46" s="11" t="n"/>
      <c r="Q46">
        <f>IFERROR(VLOOKUP(M46,'הגדרות'!$A$11:$D$25,2,FALSE),"")</f>
        <v/>
      </c>
      <c r="R46">
        <f>IFERROR(VLOOKUP(M46,'הגדרות'!$A$11:$D$25,3,FALSE),"")</f>
        <v/>
      </c>
      <c r="S46">
        <f>IFERROR(VLOOKUP(N46,'הגדרות'!$A$11:$D$25,2,FALSE),"")</f>
        <v/>
      </c>
      <c r="T46">
        <f>IFERROR(VLOOKUP(N46,'הגדרות'!$A$11:$D$25,3,FALSE),"")</f>
        <v/>
      </c>
      <c r="AB46" s="11" t="n"/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E47">
        <f>IFERROR(INDEX('הגדרות'!$D$104:$D$123,MATCH(B47&amp;G47&amp;C47,'הגדרות'!$A$104:$A$123&amp;'הגדרות'!$B$104:$B$123&amp;'הגדרות'!$C$104:$C$123,0)),"")</f>
        <v/>
      </c>
      <c r="F47" s="11" t="n"/>
      <c r="Q47">
        <f>IFERROR(VLOOKUP(M47,'הגדרות'!$A$11:$D$25,2,FALSE),"")</f>
        <v/>
      </c>
      <c r="R47">
        <f>IFERROR(VLOOKUP(M47,'הגדרות'!$A$11:$D$25,3,FALSE),"")</f>
        <v/>
      </c>
      <c r="S47">
        <f>IFERROR(VLOOKUP(N47,'הגדרות'!$A$11:$D$25,2,FALSE),"")</f>
        <v/>
      </c>
      <c r="T47">
        <f>IFERROR(VLOOKUP(N47,'הגדרות'!$A$11:$D$25,3,FALSE),"")</f>
        <v/>
      </c>
      <c r="AB47" s="11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E48">
        <f>IFERROR(INDEX('הגדרות'!$D$104:$D$123,MATCH(B48&amp;G48&amp;C48,'הגדרות'!$A$104:$A$123&amp;'הגדרות'!$B$104:$B$123&amp;'הגדרות'!$C$104:$C$123,0)),"")</f>
        <v/>
      </c>
      <c r="F48" s="11" t="n"/>
      <c r="Q48">
        <f>IFERROR(VLOOKUP(M48,'הגדרות'!$A$11:$D$25,2,FALSE),"")</f>
        <v/>
      </c>
      <c r="R48">
        <f>IFERROR(VLOOKUP(M48,'הגדרות'!$A$11:$D$25,3,FALSE),"")</f>
        <v/>
      </c>
      <c r="S48">
        <f>IFERROR(VLOOKUP(N48,'הגדרות'!$A$11:$D$25,2,FALSE),"")</f>
        <v/>
      </c>
      <c r="T48">
        <f>IFERROR(VLOOKUP(N48,'הגדרות'!$A$11:$D$25,3,FALSE),"")</f>
        <v/>
      </c>
      <c r="AB48" s="11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E49">
        <f>IFERROR(INDEX('הגדרות'!$D$104:$D$123,MATCH(B49&amp;G49&amp;C49,'הגדרות'!$A$104:$A$123&amp;'הגדרות'!$B$104:$B$123&amp;'הגדרות'!$C$104:$C$123,0)),"")</f>
        <v/>
      </c>
      <c r="F49" s="11" t="n"/>
      <c r="Q49">
        <f>IFERROR(VLOOKUP(M49,'הגדרות'!$A$11:$D$25,2,FALSE),"")</f>
        <v/>
      </c>
      <c r="R49">
        <f>IFERROR(VLOOKUP(M49,'הגדרות'!$A$11:$D$25,3,FALSE),"")</f>
        <v/>
      </c>
      <c r="S49">
        <f>IFERROR(VLOOKUP(N49,'הגדרות'!$A$11:$D$25,2,FALSE),"")</f>
        <v/>
      </c>
      <c r="T49">
        <f>IFERROR(VLOOKUP(N49,'הגדרות'!$A$11:$D$25,3,FALSE),"")</f>
        <v/>
      </c>
      <c r="AB49" s="11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E50">
        <f>IFERROR(INDEX('הגדרות'!$D$104:$D$123,MATCH(B50&amp;G50&amp;C50,'הגדרות'!$A$104:$A$123&amp;'הגדרות'!$B$104:$B$123&amp;'הגדרות'!$C$104:$C$123,0)),"")</f>
        <v/>
      </c>
      <c r="F50" s="11" t="n"/>
      <c r="Q50">
        <f>IFERROR(VLOOKUP(M50,'הגדרות'!$A$11:$D$25,2,FALSE),"")</f>
        <v/>
      </c>
      <c r="R50">
        <f>IFERROR(VLOOKUP(M50,'הגדרות'!$A$11:$D$25,3,FALSE),"")</f>
        <v/>
      </c>
      <c r="S50">
        <f>IFERROR(VLOOKUP(N50,'הגדרות'!$A$11:$D$25,2,FALSE),"")</f>
        <v/>
      </c>
      <c r="T50">
        <f>IFERROR(VLOOKUP(N50,'הגדרות'!$A$11:$D$25,3,FALSE),"")</f>
        <v/>
      </c>
      <c r="AB50" s="11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E51">
        <f>IFERROR(INDEX('הגדרות'!$D$104:$D$123,MATCH(B51&amp;G51&amp;C51,'הגדרות'!$A$104:$A$123&amp;'הגדרות'!$B$104:$B$123&amp;'הגדרות'!$C$104:$C$123,0)),"")</f>
        <v/>
      </c>
      <c r="F51" s="11" t="n"/>
      <c r="Q51">
        <f>IFERROR(VLOOKUP(M51,'הגדרות'!$A$11:$D$25,2,FALSE),"")</f>
        <v/>
      </c>
      <c r="R51">
        <f>IFERROR(VLOOKUP(M51,'הגדרות'!$A$11:$D$25,3,FALSE),"")</f>
        <v/>
      </c>
      <c r="S51">
        <f>IFERROR(VLOOKUP(N51,'הגדרות'!$A$11:$D$25,2,FALSE),"")</f>
        <v/>
      </c>
      <c r="T51">
        <f>IFERROR(VLOOKUP(N51,'הגדרות'!$A$11:$D$25,3,FALSE),"")</f>
        <v/>
      </c>
      <c r="AB51" s="11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E52">
        <f>IFERROR(INDEX('הגדרות'!$D$104:$D$123,MATCH(B52&amp;G52&amp;C52,'הגדרות'!$A$104:$A$123&amp;'הגדרות'!$B$104:$B$123&amp;'הגדרות'!$C$104:$C$123,0)),"")</f>
        <v/>
      </c>
      <c r="F52" s="11" t="n"/>
      <c r="Q52">
        <f>IFERROR(VLOOKUP(M52,'הגדרות'!$A$11:$D$25,2,FALSE),"")</f>
        <v/>
      </c>
      <c r="R52">
        <f>IFERROR(VLOOKUP(M52,'הגדרות'!$A$11:$D$25,3,FALSE),"")</f>
        <v/>
      </c>
      <c r="S52">
        <f>IFERROR(VLOOKUP(N52,'הגדרות'!$A$11:$D$25,2,FALSE),"")</f>
        <v/>
      </c>
      <c r="T52">
        <f>IFERROR(VLOOKUP(N52,'הגדרות'!$A$11:$D$25,3,FALSE),"")</f>
        <v/>
      </c>
      <c r="AB52" s="11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E53">
        <f>IFERROR(INDEX('הגדרות'!$D$104:$D$123,MATCH(B53&amp;G53&amp;C53,'הגדרות'!$A$104:$A$123&amp;'הגדרות'!$B$104:$B$123&amp;'הגדרות'!$C$104:$C$123,0)),"")</f>
        <v/>
      </c>
      <c r="F53" s="11" t="n"/>
      <c r="Q53">
        <f>IFERROR(VLOOKUP(M53,'הגדרות'!$A$11:$D$25,2,FALSE),"")</f>
        <v/>
      </c>
      <c r="R53">
        <f>IFERROR(VLOOKUP(M53,'הגדרות'!$A$11:$D$25,3,FALSE),"")</f>
        <v/>
      </c>
      <c r="S53">
        <f>IFERROR(VLOOKUP(N53,'הגדרות'!$A$11:$D$25,2,FALSE),"")</f>
        <v/>
      </c>
      <c r="T53">
        <f>IFERROR(VLOOKUP(N53,'הגדרות'!$A$11:$D$25,3,FALSE),"")</f>
        <v/>
      </c>
      <c r="AB53" s="11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E54">
        <f>IFERROR(INDEX('הגדרות'!$D$104:$D$123,MATCH(B54&amp;G54&amp;C54,'הגדרות'!$A$104:$A$123&amp;'הגדרות'!$B$104:$B$123&amp;'הגדרות'!$C$104:$C$123,0)),"")</f>
        <v/>
      </c>
      <c r="F54" s="11" t="n"/>
      <c r="Q54">
        <f>IFERROR(VLOOKUP(M54,'הגדרות'!$A$11:$D$25,2,FALSE),"")</f>
        <v/>
      </c>
      <c r="R54">
        <f>IFERROR(VLOOKUP(M54,'הגדרות'!$A$11:$D$25,3,FALSE),"")</f>
        <v/>
      </c>
      <c r="S54">
        <f>IFERROR(VLOOKUP(N54,'הגדרות'!$A$11:$D$25,2,FALSE),"")</f>
        <v/>
      </c>
      <c r="T54">
        <f>IFERROR(VLOOKUP(N54,'הגדרות'!$A$11:$D$25,3,FALSE),"")</f>
        <v/>
      </c>
      <c r="AB54" s="11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E55">
        <f>IFERROR(INDEX('הגדרות'!$D$104:$D$123,MATCH(B55&amp;G55&amp;C55,'הגדרות'!$A$104:$A$123&amp;'הגדרות'!$B$104:$B$123&amp;'הגדרות'!$C$104:$C$123,0)),"")</f>
        <v/>
      </c>
      <c r="F55" s="11" t="n"/>
      <c r="Q55">
        <f>IFERROR(VLOOKUP(M55,'הגדרות'!$A$11:$D$25,2,FALSE),"")</f>
        <v/>
      </c>
      <c r="R55">
        <f>IFERROR(VLOOKUP(M55,'הגדרות'!$A$11:$D$25,3,FALSE),"")</f>
        <v/>
      </c>
      <c r="S55">
        <f>IFERROR(VLOOKUP(N55,'הגדרות'!$A$11:$D$25,2,FALSE),"")</f>
        <v/>
      </c>
      <c r="T55">
        <f>IFERROR(VLOOKUP(N55,'הגדרות'!$A$11:$D$25,3,FALSE),"")</f>
        <v/>
      </c>
      <c r="AB55" s="11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E56">
        <f>IFERROR(INDEX('הגדרות'!$D$104:$D$123,MATCH(B56&amp;G56&amp;C56,'הגדרות'!$A$104:$A$123&amp;'הגדרות'!$B$104:$B$123&amp;'הגדרות'!$C$104:$C$123,0)),"")</f>
        <v/>
      </c>
      <c r="F56" s="11" t="n"/>
      <c r="Q56">
        <f>IFERROR(VLOOKUP(M56,'הגדרות'!$A$11:$D$25,2,FALSE),"")</f>
        <v/>
      </c>
      <c r="R56">
        <f>IFERROR(VLOOKUP(M56,'הגדרות'!$A$11:$D$25,3,FALSE),"")</f>
        <v/>
      </c>
      <c r="S56">
        <f>IFERROR(VLOOKUP(N56,'הגדרות'!$A$11:$D$25,2,FALSE),"")</f>
        <v/>
      </c>
      <c r="T56">
        <f>IFERROR(VLOOKUP(N56,'הגדרות'!$A$11:$D$25,3,FALSE),"")</f>
        <v/>
      </c>
      <c r="AB56" s="11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E57">
        <f>IFERROR(INDEX('הגדרות'!$D$104:$D$123,MATCH(B57&amp;G57&amp;C57,'הגדרות'!$A$104:$A$123&amp;'הגדרות'!$B$104:$B$123&amp;'הגדרות'!$C$104:$C$123,0)),"")</f>
        <v/>
      </c>
      <c r="F57" s="11" t="n"/>
      <c r="Q57">
        <f>IFERROR(VLOOKUP(M57,'הגדרות'!$A$11:$D$25,2,FALSE),"")</f>
        <v/>
      </c>
      <c r="R57">
        <f>IFERROR(VLOOKUP(M57,'הגדרות'!$A$11:$D$25,3,FALSE),"")</f>
        <v/>
      </c>
      <c r="S57">
        <f>IFERROR(VLOOKUP(N57,'הגדרות'!$A$11:$D$25,2,FALSE),"")</f>
        <v/>
      </c>
      <c r="T57">
        <f>IFERROR(VLOOKUP(N57,'הגדרות'!$A$11:$D$25,3,FALSE),"")</f>
        <v/>
      </c>
      <c r="AB57" s="11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E58">
        <f>IFERROR(INDEX('הגדרות'!$D$104:$D$123,MATCH(B58&amp;G58&amp;C58,'הגדרות'!$A$104:$A$123&amp;'הגדרות'!$B$104:$B$123&amp;'הגדרות'!$C$104:$C$123,0)),"")</f>
        <v/>
      </c>
      <c r="F58" s="11" t="n"/>
      <c r="Q58">
        <f>IFERROR(VLOOKUP(M58,'הגדרות'!$A$11:$D$25,2,FALSE),"")</f>
        <v/>
      </c>
      <c r="R58">
        <f>IFERROR(VLOOKUP(M58,'הגדרות'!$A$11:$D$25,3,FALSE),"")</f>
        <v/>
      </c>
      <c r="S58">
        <f>IFERROR(VLOOKUP(N58,'הגדרות'!$A$11:$D$25,2,FALSE),"")</f>
        <v/>
      </c>
      <c r="T58">
        <f>IFERROR(VLOOKUP(N58,'הגדרות'!$A$11:$D$25,3,FALSE),"")</f>
        <v/>
      </c>
      <c r="AB58" s="11" t="n"/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E59">
        <f>IFERROR(INDEX('הגדרות'!$D$104:$D$123,MATCH(B59&amp;G59&amp;C59,'הגדרות'!$A$104:$A$123&amp;'הגדרות'!$B$104:$B$123&amp;'הגדרות'!$C$104:$C$123,0)),"")</f>
        <v/>
      </c>
      <c r="F59" s="11" t="n"/>
      <c r="Q59">
        <f>IFERROR(VLOOKUP(M59,'הגדרות'!$A$11:$D$25,2,FALSE),"")</f>
        <v/>
      </c>
      <c r="R59">
        <f>IFERROR(VLOOKUP(M59,'הגדרות'!$A$11:$D$25,3,FALSE),"")</f>
        <v/>
      </c>
      <c r="S59">
        <f>IFERROR(VLOOKUP(N59,'הגדרות'!$A$11:$D$25,2,FALSE),"")</f>
        <v/>
      </c>
      <c r="T59">
        <f>IFERROR(VLOOKUP(N59,'הגדרות'!$A$11:$D$25,3,FALSE),"")</f>
        <v/>
      </c>
      <c r="AB59" s="11" t="n"/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E60">
        <f>IFERROR(INDEX('הגדרות'!$D$104:$D$123,MATCH(B60&amp;G60&amp;C60,'הגדרות'!$A$104:$A$123&amp;'הגדרות'!$B$104:$B$123&amp;'הגדרות'!$C$104:$C$123,0)),"")</f>
        <v/>
      </c>
      <c r="F60" s="11" t="n"/>
      <c r="Q60">
        <f>IFERROR(VLOOKUP(M60,'הגדרות'!$A$11:$D$25,2,FALSE),"")</f>
        <v/>
      </c>
      <c r="R60">
        <f>IFERROR(VLOOKUP(M60,'הגדרות'!$A$11:$D$25,3,FALSE),"")</f>
        <v/>
      </c>
      <c r="S60">
        <f>IFERROR(VLOOKUP(N60,'הגדרות'!$A$11:$D$25,2,FALSE),"")</f>
        <v/>
      </c>
      <c r="T60">
        <f>IFERROR(VLOOKUP(N60,'הגדרות'!$A$11:$D$25,3,FALSE),"")</f>
        <v/>
      </c>
      <c r="AB60" s="11" t="n"/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E61">
        <f>IFERROR(INDEX('הגדרות'!$D$104:$D$123,MATCH(B61&amp;G61&amp;C61,'הגדרות'!$A$104:$A$123&amp;'הגדרות'!$B$104:$B$123&amp;'הגדרות'!$C$104:$C$123,0)),"")</f>
        <v/>
      </c>
      <c r="F61" s="11" t="n"/>
      <c r="Q61">
        <f>IFERROR(VLOOKUP(M61,'הגדרות'!$A$11:$D$25,2,FALSE),"")</f>
        <v/>
      </c>
      <c r="R61">
        <f>IFERROR(VLOOKUP(M61,'הגדרות'!$A$11:$D$25,3,FALSE),"")</f>
        <v/>
      </c>
      <c r="S61">
        <f>IFERROR(VLOOKUP(N61,'הגדרות'!$A$11:$D$25,2,FALSE),"")</f>
        <v/>
      </c>
      <c r="T61">
        <f>IFERROR(VLOOKUP(N61,'הגדרות'!$A$11:$D$25,3,FALSE),"")</f>
        <v/>
      </c>
      <c r="AB61" s="11" t="n"/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E62">
        <f>IFERROR(INDEX('הגדרות'!$D$104:$D$123,MATCH(B62&amp;G62&amp;C62,'הגדרות'!$A$104:$A$123&amp;'הגדרות'!$B$104:$B$123&amp;'הגדרות'!$C$104:$C$123,0)),"")</f>
        <v/>
      </c>
      <c r="F62" s="11" t="n"/>
      <c r="Q62">
        <f>IFERROR(VLOOKUP(M62,'הגדרות'!$A$11:$D$25,2,FALSE),"")</f>
        <v/>
      </c>
      <c r="R62">
        <f>IFERROR(VLOOKUP(M62,'הגדרות'!$A$11:$D$25,3,FALSE),"")</f>
        <v/>
      </c>
      <c r="S62">
        <f>IFERROR(VLOOKUP(N62,'הגדרות'!$A$11:$D$25,2,FALSE),"")</f>
        <v/>
      </c>
      <c r="T62">
        <f>IFERROR(VLOOKUP(N62,'הגדרות'!$A$11:$D$25,3,FALSE),"")</f>
        <v/>
      </c>
      <c r="AB62" s="11" t="n"/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E63">
        <f>IFERROR(INDEX('הגדרות'!$D$104:$D$123,MATCH(B63&amp;G63&amp;C63,'הגדרות'!$A$104:$A$123&amp;'הגדרות'!$B$104:$B$123&amp;'הגדרות'!$C$104:$C$123,0)),"")</f>
        <v/>
      </c>
      <c r="F63" s="11" t="n"/>
      <c r="Q63">
        <f>IFERROR(VLOOKUP(M63,'הגדרות'!$A$11:$D$25,2,FALSE),"")</f>
        <v/>
      </c>
      <c r="R63">
        <f>IFERROR(VLOOKUP(M63,'הגדרות'!$A$11:$D$25,3,FALSE),"")</f>
        <v/>
      </c>
      <c r="S63">
        <f>IFERROR(VLOOKUP(N63,'הגדרות'!$A$11:$D$25,2,FALSE),"")</f>
        <v/>
      </c>
      <c r="T63">
        <f>IFERROR(VLOOKUP(N63,'הגדרות'!$A$11:$D$25,3,FALSE),"")</f>
        <v/>
      </c>
      <c r="AB63" s="11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E64">
        <f>IFERROR(INDEX('הגדרות'!$D$104:$D$123,MATCH(B64&amp;G64&amp;C64,'הגדרות'!$A$104:$A$123&amp;'הגדרות'!$B$104:$B$123&amp;'הגדרות'!$C$104:$C$123,0)),"")</f>
        <v/>
      </c>
      <c r="F64" s="11" t="n"/>
      <c r="Q64">
        <f>IFERROR(VLOOKUP(M64,'הגדרות'!$A$11:$D$25,2,FALSE),"")</f>
        <v/>
      </c>
      <c r="R64">
        <f>IFERROR(VLOOKUP(M64,'הגדרות'!$A$11:$D$25,3,FALSE),"")</f>
        <v/>
      </c>
      <c r="S64">
        <f>IFERROR(VLOOKUP(N64,'הגדרות'!$A$11:$D$25,2,FALSE),"")</f>
        <v/>
      </c>
      <c r="T64">
        <f>IFERROR(VLOOKUP(N64,'הגדרות'!$A$11:$D$25,3,FALSE),"")</f>
        <v/>
      </c>
      <c r="AB64" s="11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E65">
        <f>IFERROR(INDEX('הגדרות'!$D$104:$D$123,MATCH(B65&amp;G65&amp;C65,'הגדרות'!$A$104:$A$123&amp;'הגדרות'!$B$104:$B$123&amp;'הגדרות'!$C$104:$C$123,0)),"")</f>
        <v/>
      </c>
      <c r="F65" s="11" t="n"/>
      <c r="Q65">
        <f>IFERROR(VLOOKUP(M65,'הגדרות'!$A$11:$D$25,2,FALSE),"")</f>
        <v/>
      </c>
      <c r="R65">
        <f>IFERROR(VLOOKUP(M65,'הגדרות'!$A$11:$D$25,3,FALSE),"")</f>
        <v/>
      </c>
      <c r="S65">
        <f>IFERROR(VLOOKUP(N65,'הגדרות'!$A$11:$D$25,2,FALSE),"")</f>
        <v/>
      </c>
      <c r="T65">
        <f>IFERROR(VLOOKUP(N65,'הגדרות'!$A$11:$D$25,3,FALSE),"")</f>
        <v/>
      </c>
      <c r="AB65" s="11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E66">
        <f>IFERROR(INDEX('הגדרות'!$D$104:$D$123,MATCH(B66&amp;G66&amp;C66,'הגדרות'!$A$104:$A$123&amp;'הגדרות'!$B$104:$B$123&amp;'הגדרות'!$C$104:$C$123,0)),"")</f>
        <v/>
      </c>
      <c r="F66" s="11" t="n"/>
      <c r="Q66">
        <f>IFERROR(VLOOKUP(M66,'הגדרות'!$A$11:$D$25,2,FALSE),"")</f>
        <v/>
      </c>
      <c r="R66">
        <f>IFERROR(VLOOKUP(M66,'הגדרות'!$A$11:$D$25,3,FALSE),"")</f>
        <v/>
      </c>
      <c r="S66">
        <f>IFERROR(VLOOKUP(N66,'הגדרות'!$A$11:$D$25,2,FALSE),"")</f>
        <v/>
      </c>
      <c r="T66">
        <f>IFERROR(VLOOKUP(N66,'הגדרות'!$A$11:$D$25,3,FALSE),"")</f>
        <v/>
      </c>
      <c r="AB66" s="11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E67">
        <f>IFERROR(INDEX('הגדרות'!$D$104:$D$123,MATCH(B67&amp;G67&amp;C67,'הגדרות'!$A$104:$A$123&amp;'הגדרות'!$B$104:$B$123&amp;'הגדרות'!$C$104:$C$123,0)),"")</f>
        <v/>
      </c>
      <c r="F67" s="11" t="n"/>
      <c r="Q67">
        <f>IFERROR(VLOOKUP(M67,'הגדרות'!$A$11:$D$25,2,FALSE),"")</f>
        <v/>
      </c>
      <c r="R67">
        <f>IFERROR(VLOOKUP(M67,'הגדרות'!$A$11:$D$25,3,FALSE),"")</f>
        <v/>
      </c>
      <c r="S67">
        <f>IFERROR(VLOOKUP(N67,'הגדרות'!$A$11:$D$25,2,FALSE),"")</f>
        <v/>
      </c>
      <c r="T67">
        <f>IFERROR(VLOOKUP(N67,'הגדרות'!$A$11:$D$25,3,FALSE),"")</f>
        <v/>
      </c>
      <c r="AB67" s="11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E68">
        <f>IFERROR(INDEX('הגדרות'!$D$104:$D$123,MATCH(B68&amp;G68&amp;C68,'הגדרות'!$A$104:$A$123&amp;'הגדרות'!$B$104:$B$123&amp;'הגדרות'!$C$104:$C$123,0)),"")</f>
        <v/>
      </c>
      <c r="F68" s="11" t="n"/>
      <c r="Q68">
        <f>IFERROR(VLOOKUP(M68,'הגדרות'!$A$11:$D$25,2,FALSE),"")</f>
        <v/>
      </c>
      <c r="R68">
        <f>IFERROR(VLOOKUP(M68,'הגדרות'!$A$11:$D$25,3,FALSE),"")</f>
        <v/>
      </c>
      <c r="S68">
        <f>IFERROR(VLOOKUP(N68,'הגדרות'!$A$11:$D$25,2,FALSE),"")</f>
        <v/>
      </c>
      <c r="T68">
        <f>IFERROR(VLOOKUP(N68,'הגדרות'!$A$11:$D$25,3,FALSE),"")</f>
        <v/>
      </c>
      <c r="AB68" s="11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E69">
        <f>IFERROR(INDEX('הגדרות'!$D$104:$D$123,MATCH(B69&amp;G69&amp;C69,'הגדרות'!$A$104:$A$123&amp;'הגדרות'!$B$104:$B$123&amp;'הגדרות'!$C$104:$C$123,0)),"")</f>
        <v/>
      </c>
      <c r="F69" s="11" t="n"/>
      <c r="Q69">
        <f>IFERROR(VLOOKUP(M69,'הגדרות'!$A$11:$D$25,2,FALSE),"")</f>
        <v/>
      </c>
      <c r="R69">
        <f>IFERROR(VLOOKUP(M69,'הגדרות'!$A$11:$D$25,3,FALSE),"")</f>
        <v/>
      </c>
      <c r="S69">
        <f>IFERROR(VLOOKUP(N69,'הגדרות'!$A$11:$D$25,2,FALSE),"")</f>
        <v/>
      </c>
      <c r="T69">
        <f>IFERROR(VLOOKUP(N69,'הגדרות'!$A$11:$D$25,3,FALSE),"")</f>
        <v/>
      </c>
      <c r="AB69" s="11" t="n"/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E70">
        <f>IFERROR(INDEX('הגדרות'!$D$104:$D$123,MATCH(B70&amp;G70&amp;C70,'הגדרות'!$A$104:$A$123&amp;'הגדרות'!$B$104:$B$123&amp;'הגדרות'!$C$104:$C$123,0)),"")</f>
        <v/>
      </c>
      <c r="F70" s="11" t="n"/>
      <c r="Q70">
        <f>IFERROR(VLOOKUP(M70,'הגדרות'!$A$11:$D$25,2,FALSE),"")</f>
        <v/>
      </c>
      <c r="R70">
        <f>IFERROR(VLOOKUP(M70,'הגדרות'!$A$11:$D$25,3,FALSE),"")</f>
        <v/>
      </c>
      <c r="S70">
        <f>IFERROR(VLOOKUP(N70,'הגדרות'!$A$11:$D$25,2,FALSE),"")</f>
        <v/>
      </c>
      <c r="T70">
        <f>IFERROR(VLOOKUP(N70,'הגדרות'!$A$11:$D$25,3,FALSE),"")</f>
        <v/>
      </c>
      <c r="AB70" s="11" t="n"/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E71">
        <f>IFERROR(INDEX('הגדרות'!$D$104:$D$123,MATCH(B71&amp;G71&amp;C71,'הגדרות'!$A$104:$A$123&amp;'הגדרות'!$B$104:$B$123&amp;'הגדרות'!$C$104:$C$123,0)),"")</f>
        <v/>
      </c>
      <c r="F71" s="11" t="n"/>
      <c r="Q71">
        <f>IFERROR(VLOOKUP(M71,'הגדרות'!$A$11:$D$25,2,FALSE),"")</f>
        <v/>
      </c>
      <c r="R71">
        <f>IFERROR(VLOOKUP(M71,'הגדרות'!$A$11:$D$25,3,FALSE),"")</f>
        <v/>
      </c>
      <c r="S71">
        <f>IFERROR(VLOOKUP(N71,'הגדרות'!$A$11:$D$25,2,FALSE),"")</f>
        <v/>
      </c>
      <c r="T71">
        <f>IFERROR(VLOOKUP(N71,'הגדרות'!$A$11:$D$25,3,FALSE),"")</f>
        <v/>
      </c>
      <c r="AB71" s="11" t="n"/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E72">
        <f>IFERROR(INDEX('הגדרות'!$D$104:$D$123,MATCH(B72&amp;G72&amp;C72,'הגדרות'!$A$104:$A$123&amp;'הגדרות'!$B$104:$B$123&amp;'הגדרות'!$C$104:$C$123,0)),"")</f>
        <v/>
      </c>
      <c r="F72" s="11" t="n"/>
      <c r="Q72">
        <f>IFERROR(VLOOKUP(M72,'הגדרות'!$A$11:$D$25,2,FALSE),"")</f>
        <v/>
      </c>
      <c r="R72">
        <f>IFERROR(VLOOKUP(M72,'הגדרות'!$A$11:$D$25,3,FALSE),"")</f>
        <v/>
      </c>
      <c r="S72">
        <f>IFERROR(VLOOKUP(N72,'הגדרות'!$A$11:$D$25,2,FALSE),"")</f>
        <v/>
      </c>
      <c r="T72">
        <f>IFERROR(VLOOKUP(N72,'הגדרות'!$A$11:$D$25,3,FALSE),"")</f>
        <v/>
      </c>
      <c r="AB72" s="11" t="n"/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E73">
        <f>IFERROR(INDEX('הגדרות'!$D$104:$D$123,MATCH(B73&amp;G73&amp;C73,'הגדרות'!$A$104:$A$123&amp;'הגדרות'!$B$104:$B$123&amp;'הגדרות'!$C$104:$C$123,0)),"")</f>
        <v/>
      </c>
      <c r="F73" s="11" t="n"/>
      <c r="Q73">
        <f>IFERROR(VLOOKUP(M73,'הגדרות'!$A$11:$D$25,2,FALSE),"")</f>
        <v/>
      </c>
      <c r="R73">
        <f>IFERROR(VLOOKUP(M73,'הגדרות'!$A$11:$D$25,3,FALSE),"")</f>
        <v/>
      </c>
      <c r="S73">
        <f>IFERROR(VLOOKUP(N73,'הגדרות'!$A$11:$D$25,2,FALSE),"")</f>
        <v/>
      </c>
      <c r="T73">
        <f>IFERROR(VLOOKUP(N73,'הגדרות'!$A$11:$D$25,3,FALSE),"")</f>
        <v/>
      </c>
      <c r="AB73" s="11" t="n"/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E74">
        <f>IFERROR(INDEX('הגדרות'!$D$104:$D$123,MATCH(B74&amp;G74&amp;C74,'הגדרות'!$A$104:$A$123&amp;'הגדרות'!$B$104:$B$123&amp;'הגדרות'!$C$104:$C$123,0)),"")</f>
        <v/>
      </c>
      <c r="F74" s="11" t="n"/>
      <c r="Q74">
        <f>IFERROR(VLOOKUP(M74,'הגדרות'!$A$11:$D$25,2,FALSE),"")</f>
        <v/>
      </c>
      <c r="R74">
        <f>IFERROR(VLOOKUP(M74,'הגדרות'!$A$11:$D$25,3,FALSE),"")</f>
        <v/>
      </c>
      <c r="S74">
        <f>IFERROR(VLOOKUP(N74,'הגדרות'!$A$11:$D$25,2,FALSE),"")</f>
        <v/>
      </c>
      <c r="T74">
        <f>IFERROR(VLOOKUP(N74,'הגדרות'!$A$11:$D$25,3,FALSE),"")</f>
        <v/>
      </c>
      <c r="AB74" s="11" t="n"/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E75">
        <f>IFERROR(INDEX('הגדרות'!$D$104:$D$123,MATCH(B75&amp;G75&amp;C75,'הגדרות'!$A$104:$A$123&amp;'הגדרות'!$B$104:$B$123&amp;'הגדרות'!$C$104:$C$123,0)),"")</f>
        <v/>
      </c>
      <c r="F75" s="11" t="n"/>
      <c r="Q75">
        <f>IFERROR(VLOOKUP(M75,'הגדרות'!$A$11:$D$25,2,FALSE),"")</f>
        <v/>
      </c>
      <c r="R75">
        <f>IFERROR(VLOOKUP(M75,'הגדרות'!$A$11:$D$25,3,FALSE),"")</f>
        <v/>
      </c>
      <c r="S75">
        <f>IFERROR(VLOOKUP(N75,'הגדרות'!$A$11:$D$25,2,FALSE),"")</f>
        <v/>
      </c>
      <c r="T75">
        <f>IFERROR(VLOOKUP(N75,'הגדרות'!$A$11:$D$25,3,FALSE),"")</f>
        <v/>
      </c>
      <c r="AB75" s="11" t="n"/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E76">
        <f>IFERROR(INDEX('הגדרות'!$D$104:$D$123,MATCH(B76&amp;G76&amp;C76,'הגדרות'!$A$104:$A$123&amp;'הגדרות'!$B$104:$B$123&amp;'הגדרות'!$C$104:$C$123,0)),"")</f>
        <v/>
      </c>
      <c r="F76" s="11" t="n"/>
      <c r="Q76">
        <f>IFERROR(VLOOKUP(M76,'הגדרות'!$A$11:$D$25,2,FALSE),"")</f>
        <v/>
      </c>
      <c r="R76">
        <f>IFERROR(VLOOKUP(M76,'הגדרות'!$A$11:$D$25,3,FALSE),"")</f>
        <v/>
      </c>
      <c r="S76">
        <f>IFERROR(VLOOKUP(N76,'הגדרות'!$A$11:$D$25,2,FALSE),"")</f>
        <v/>
      </c>
      <c r="T76">
        <f>IFERROR(VLOOKUP(N76,'הגדרות'!$A$11:$D$25,3,FALSE),"")</f>
        <v/>
      </c>
      <c r="AB76" s="11" t="n"/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E77">
        <f>IFERROR(INDEX('הגדרות'!$D$104:$D$123,MATCH(B77&amp;G77&amp;C77,'הגדרות'!$A$104:$A$123&amp;'הגדרות'!$B$104:$B$123&amp;'הגדרות'!$C$104:$C$123,0)),"")</f>
        <v/>
      </c>
      <c r="F77" s="11" t="n"/>
      <c r="Q77">
        <f>IFERROR(VLOOKUP(M77,'הגדרות'!$A$11:$D$25,2,FALSE),"")</f>
        <v/>
      </c>
      <c r="R77">
        <f>IFERROR(VLOOKUP(M77,'הגדרות'!$A$11:$D$25,3,FALSE),"")</f>
        <v/>
      </c>
      <c r="S77">
        <f>IFERROR(VLOOKUP(N77,'הגדרות'!$A$11:$D$25,2,FALSE),"")</f>
        <v/>
      </c>
      <c r="T77">
        <f>IFERROR(VLOOKUP(N77,'הגדרות'!$A$11:$D$25,3,FALSE),"")</f>
        <v/>
      </c>
      <c r="AB77" s="11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E78">
        <f>IFERROR(INDEX('הגדרות'!$D$104:$D$123,MATCH(B78&amp;G78&amp;C78,'הגדרות'!$A$104:$A$123&amp;'הגדרות'!$B$104:$B$123&amp;'הגדרות'!$C$104:$C$123,0)),"")</f>
        <v/>
      </c>
      <c r="F78" s="11" t="n"/>
      <c r="Q78">
        <f>IFERROR(VLOOKUP(M78,'הגדרות'!$A$11:$D$25,2,FALSE),"")</f>
        <v/>
      </c>
      <c r="R78">
        <f>IFERROR(VLOOKUP(M78,'הגדרות'!$A$11:$D$25,3,FALSE),"")</f>
        <v/>
      </c>
      <c r="S78">
        <f>IFERROR(VLOOKUP(N78,'הגדרות'!$A$11:$D$25,2,FALSE),"")</f>
        <v/>
      </c>
      <c r="T78">
        <f>IFERROR(VLOOKUP(N78,'הגדרות'!$A$11:$D$25,3,FALSE),"")</f>
        <v/>
      </c>
      <c r="AB78" s="11" t="n"/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E79">
        <f>IFERROR(INDEX('הגדרות'!$D$104:$D$123,MATCH(B79&amp;G79&amp;C79,'הגדרות'!$A$104:$A$123&amp;'הגדרות'!$B$104:$B$123&amp;'הגדרות'!$C$104:$C$123,0)),"")</f>
        <v/>
      </c>
      <c r="F79" s="11" t="n"/>
      <c r="Q79">
        <f>IFERROR(VLOOKUP(M79,'הגדרות'!$A$11:$D$25,2,FALSE),"")</f>
        <v/>
      </c>
      <c r="R79">
        <f>IFERROR(VLOOKUP(M79,'הגדרות'!$A$11:$D$25,3,FALSE),"")</f>
        <v/>
      </c>
      <c r="S79">
        <f>IFERROR(VLOOKUP(N79,'הגדרות'!$A$11:$D$25,2,FALSE),"")</f>
        <v/>
      </c>
      <c r="T79">
        <f>IFERROR(VLOOKUP(N79,'הגדרות'!$A$11:$D$25,3,FALSE),"")</f>
        <v/>
      </c>
      <c r="AB79" s="11" t="n"/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E80">
        <f>IFERROR(INDEX('הגדרות'!$D$104:$D$123,MATCH(B80&amp;G80&amp;C80,'הגדרות'!$A$104:$A$123&amp;'הגדרות'!$B$104:$B$123&amp;'הגדרות'!$C$104:$C$123,0)),"")</f>
        <v/>
      </c>
      <c r="F80" s="11" t="n"/>
      <c r="Q80">
        <f>IFERROR(VLOOKUP(M80,'הגדרות'!$A$11:$D$25,2,FALSE),"")</f>
        <v/>
      </c>
      <c r="R80">
        <f>IFERROR(VLOOKUP(M80,'הגדרות'!$A$11:$D$25,3,FALSE),"")</f>
        <v/>
      </c>
      <c r="S80">
        <f>IFERROR(VLOOKUP(N80,'הגדרות'!$A$11:$D$25,2,FALSE),"")</f>
        <v/>
      </c>
      <c r="T80">
        <f>IFERROR(VLOOKUP(N80,'הגדרות'!$A$11:$D$25,3,FALSE),"")</f>
        <v/>
      </c>
      <c r="AB80" s="11" t="n"/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E81">
        <f>IFERROR(INDEX('הגדרות'!$D$104:$D$123,MATCH(B81&amp;G81&amp;C81,'הגדרות'!$A$104:$A$123&amp;'הגדרות'!$B$104:$B$123&amp;'הגדרות'!$C$104:$C$123,0)),"")</f>
        <v/>
      </c>
      <c r="F81" s="11" t="n"/>
      <c r="Q81">
        <f>IFERROR(VLOOKUP(M81,'הגדרות'!$A$11:$D$25,2,FALSE),"")</f>
        <v/>
      </c>
      <c r="R81">
        <f>IFERROR(VLOOKUP(M81,'הגדרות'!$A$11:$D$25,3,FALSE),"")</f>
        <v/>
      </c>
      <c r="S81">
        <f>IFERROR(VLOOKUP(N81,'הגדרות'!$A$11:$D$25,2,FALSE),"")</f>
        <v/>
      </c>
      <c r="T81">
        <f>IFERROR(VLOOKUP(N81,'הגדרות'!$A$11:$D$25,3,FALSE),"")</f>
        <v/>
      </c>
      <c r="AB81" s="11" t="n"/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E82">
        <f>IFERROR(INDEX('הגדרות'!$D$104:$D$123,MATCH(B82&amp;G82&amp;C82,'הגדרות'!$A$104:$A$123&amp;'הגדרות'!$B$104:$B$123&amp;'הגדרות'!$C$104:$C$123,0)),"")</f>
        <v/>
      </c>
      <c r="F82" s="11" t="n"/>
      <c r="Q82">
        <f>IFERROR(VLOOKUP(M82,'הגדרות'!$A$11:$D$25,2,FALSE),"")</f>
        <v/>
      </c>
      <c r="R82">
        <f>IFERROR(VLOOKUP(M82,'הגדרות'!$A$11:$D$25,3,FALSE),"")</f>
        <v/>
      </c>
      <c r="S82">
        <f>IFERROR(VLOOKUP(N82,'הגדרות'!$A$11:$D$25,2,FALSE),"")</f>
        <v/>
      </c>
      <c r="T82">
        <f>IFERROR(VLOOKUP(N82,'הגדרות'!$A$11:$D$25,3,FALSE),"")</f>
        <v/>
      </c>
      <c r="AB82" s="11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E83">
        <f>IFERROR(INDEX('הגדרות'!$D$104:$D$123,MATCH(B83&amp;G83&amp;C83,'הגדרות'!$A$104:$A$123&amp;'הגדרות'!$B$104:$B$123&amp;'הגדרות'!$C$104:$C$123,0)),"")</f>
        <v/>
      </c>
      <c r="F83" s="11" t="n"/>
      <c r="Q83">
        <f>IFERROR(VLOOKUP(M83,'הגדרות'!$A$11:$D$25,2,FALSE),"")</f>
        <v/>
      </c>
      <c r="R83">
        <f>IFERROR(VLOOKUP(M83,'הגדרות'!$A$11:$D$25,3,FALSE),"")</f>
        <v/>
      </c>
      <c r="S83">
        <f>IFERROR(VLOOKUP(N83,'הגדרות'!$A$11:$D$25,2,FALSE),"")</f>
        <v/>
      </c>
      <c r="T83">
        <f>IFERROR(VLOOKUP(N83,'הגדרות'!$A$11:$D$25,3,FALSE),"")</f>
        <v/>
      </c>
      <c r="AB83" s="11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E84">
        <f>IFERROR(INDEX('הגדרות'!$D$104:$D$123,MATCH(B84&amp;G84&amp;C84,'הגדרות'!$A$104:$A$123&amp;'הגדרות'!$B$104:$B$123&amp;'הגדרות'!$C$104:$C$123,0)),"")</f>
        <v/>
      </c>
      <c r="F84" s="11" t="n"/>
      <c r="Q84">
        <f>IFERROR(VLOOKUP(M84,'הגדרות'!$A$11:$D$25,2,FALSE),"")</f>
        <v/>
      </c>
      <c r="R84">
        <f>IFERROR(VLOOKUP(M84,'הגדרות'!$A$11:$D$25,3,FALSE),"")</f>
        <v/>
      </c>
      <c r="S84">
        <f>IFERROR(VLOOKUP(N84,'הגדרות'!$A$11:$D$25,2,FALSE),"")</f>
        <v/>
      </c>
      <c r="T84">
        <f>IFERROR(VLOOKUP(N84,'הגדרות'!$A$11:$D$25,3,FALSE),"")</f>
        <v/>
      </c>
      <c r="AB84" s="11" t="n"/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E85">
        <f>IFERROR(INDEX('הגדרות'!$D$104:$D$123,MATCH(B85&amp;G85&amp;C85,'הגדרות'!$A$104:$A$123&amp;'הגדרות'!$B$104:$B$123&amp;'הגדרות'!$C$104:$C$123,0)),"")</f>
        <v/>
      </c>
      <c r="F85" s="11" t="n"/>
      <c r="Q85">
        <f>IFERROR(VLOOKUP(M85,'הגדרות'!$A$11:$D$25,2,FALSE),"")</f>
        <v/>
      </c>
      <c r="R85">
        <f>IFERROR(VLOOKUP(M85,'הגדרות'!$A$11:$D$25,3,FALSE),"")</f>
        <v/>
      </c>
      <c r="S85">
        <f>IFERROR(VLOOKUP(N85,'הגדרות'!$A$11:$D$25,2,FALSE),"")</f>
        <v/>
      </c>
      <c r="T85">
        <f>IFERROR(VLOOKUP(N85,'הגדרות'!$A$11:$D$25,3,FALSE),"")</f>
        <v/>
      </c>
      <c r="AB85" s="11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E86">
        <f>IFERROR(INDEX('הגדרות'!$D$104:$D$123,MATCH(B86&amp;G86&amp;C86,'הגדרות'!$A$104:$A$123&amp;'הגדרות'!$B$104:$B$123&amp;'הגדרות'!$C$104:$C$123,0)),"")</f>
        <v/>
      </c>
      <c r="F86" s="11" t="n"/>
      <c r="Q86">
        <f>IFERROR(VLOOKUP(M86,'הגדרות'!$A$11:$D$25,2,FALSE),"")</f>
        <v/>
      </c>
      <c r="R86">
        <f>IFERROR(VLOOKUP(M86,'הגדרות'!$A$11:$D$25,3,FALSE),"")</f>
        <v/>
      </c>
      <c r="S86">
        <f>IFERROR(VLOOKUP(N86,'הגדרות'!$A$11:$D$25,2,FALSE),"")</f>
        <v/>
      </c>
      <c r="T86">
        <f>IFERROR(VLOOKUP(N86,'הגדרות'!$A$11:$D$25,3,FALSE),"")</f>
        <v/>
      </c>
      <c r="AB86" s="11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E87">
        <f>IFERROR(INDEX('הגדרות'!$D$104:$D$123,MATCH(B87&amp;G87&amp;C87,'הגדרות'!$A$104:$A$123&amp;'הגדרות'!$B$104:$B$123&amp;'הגדרות'!$C$104:$C$123,0)),"")</f>
        <v/>
      </c>
      <c r="F87" s="11" t="n"/>
      <c r="Q87">
        <f>IFERROR(VLOOKUP(M87,'הגדרות'!$A$11:$D$25,2,FALSE),"")</f>
        <v/>
      </c>
      <c r="R87">
        <f>IFERROR(VLOOKUP(M87,'הגדרות'!$A$11:$D$25,3,FALSE),"")</f>
        <v/>
      </c>
      <c r="S87">
        <f>IFERROR(VLOOKUP(N87,'הגדרות'!$A$11:$D$25,2,FALSE),"")</f>
        <v/>
      </c>
      <c r="T87">
        <f>IFERROR(VLOOKUP(N87,'הגדרות'!$A$11:$D$25,3,FALSE),"")</f>
        <v/>
      </c>
      <c r="AB87" s="11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E88">
        <f>IFERROR(INDEX('הגדרות'!$D$104:$D$123,MATCH(B88&amp;G88&amp;C88,'הגדרות'!$A$104:$A$123&amp;'הגדרות'!$B$104:$B$123&amp;'הגדרות'!$C$104:$C$123,0)),"")</f>
        <v/>
      </c>
      <c r="F88" s="11" t="n"/>
      <c r="Q88">
        <f>IFERROR(VLOOKUP(M88,'הגדרות'!$A$11:$D$25,2,FALSE),"")</f>
        <v/>
      </c>
      <c r="R88">
        <f>IFERROR(VLOOKUP(M88,'הגדרות'!$A$11:$D$25,3,FALSE),"")</f>
        <v/>
      </c>
      <c r="S88">
        <f>IFERROR(VLOOKUP(N88,'הגדרות'!$A$11:$D$25,2,FALSE),"")</f>
        <v/>
      </c>
      <c r="T88">
        <f>IFERROR(VLOOKUP(N88,'הגדרות'!$A$11:$D$25,3,FALSE),"")</f>
        <v/>
      </c>
      <c r="AB88" s="11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E89">
        <f>IFERROR(INDEX('הגדרות'!$D$104:$D$123,MATCH(B89&amp;G89&amp;C89,'הגדרות'!$A$104:$A$123&amp;'הגדרות'!$B$104:$B$123&amp;'הגדרות'!$C$104:$C$123,0)),"")</f>
        <v/>
      </c>
      <c r="F89" s="11" t="n"/>
      <c r="Q89">
        <f>IFERROR(VLOOKUP(M89,'הגדרות'!$A$11:$D$25,2,FALSE),"")</f>
        <v/>
      </c>
      <c r="R89">
        <f>IFERROR(VLOOKUP(M89,'הגדרות'!$A$11:$D$25,3,FALSE),"")</f>
        <v/>
      </c>
      <c r="S89">
        <f>IFERROR(VLOOKUP(N89,'הגדרות'!$A$11:$D$25,2,FALSE),"")</f>
        <v/>
      </c>
      <c r="T89">
        <f>IFERROR(VLOOKUP(N89,'הגדרות'!$A$11:$D$25,3,FALSE),"")</f>
        <v/>
      </c>
      <c r="AB89" s="11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E90">
        <f>IFERROR(INDEX('הגדרות'!$D$104:$D$123,MATCH(B90&amp;G90&amp;C90,'הגדרות'!$A$104:$A$123&amp;'הגדרות'!$B$104:$B$123&amp;'הגדרות'!$C$104:$C$123,0)),"")</f>
        <v/>
      </c>
      <c r="F90" s="11" t="n"/>
      <c r="Q90">
        <f>IFERROR(VLOOKUP(M90,'הגדרות'!$A$11:$D$25,2,FALSE),"")</f>
        <v/>
      </c>
      <c r="R90">
        <f>IFERROR(VLOOKUP(M90,'הגדרות'!$A$11:$D$25,3,FALSE),"")</f>
        <v/>
      </c>
      <c r="S90">
        <f>IFERROR(VLOOKUP(N90,'הגדרות'!$A$11:$D$25,2,FALSE),"")</f>
        <v/>
      </c>
      <c r="T90">
        <f>IFERROR(VLOOKUP(N90,'הגדרות'!$A$11:$D$25,3,FALSE),"")</f>
        <v/>
      </c>
      <c r="AB90" s="11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E91">
        <f>IFERROR(INDEX('הגדרות'!$D$104:$D$123,MATCH(B91&amp;G91&amp;C91,'הגדרות'!$A$104:$A$123&amp;'הגדרות'!$B$104:$B$123&amp;'הגדרות'!$C$104:$C$123,0)),"")</f>
        <v/>
      </c>
      <c r="F91" s="11" t="n"/>
      <c r="Q91">
        <f>IFERROR(VLOOKUP(M91,'הגדרות'!$A$11:$D$25,2,FALSE),"")</f>
        <v/>
      </c>
      <c r="R91">
        <f>IFERROR(VLOOKUP(M91,'הגדרות'!$A$11:$D$25,3,FALSE),"")</f>
        <v/>
      </c>
      <c r="S91">
        <f>IFERROR(VLOOKUP(N91,'הגדרות'!$A$11:$D$25,2,FALSE),"")</f>
        <v/>
      </c>
      <c r="T91">
        <f>IFERROR(VLOOKUP(N91,'הגדרות'!$A$11:$D$25,3,FALSE),"")</f>
        <v/>
      </c>
      <c r="AB91" s="11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E92">
        <f>IFERROR(INDEX('הגדרות'!$D$104:$D$123,MATCH(B92&amp;G92&amp;C92,'הגדרות'!$A$104:$A$123&amp;'הגדרות'!$B$104:$B$123&amp;'הגדרות'!$C$104:$C$123,0)),"")</f>
        <v/>
      </c>
      <c r="F92" s="11" t="n"/>
      <c r="Q92">
        <f>IFERROR(VLOOKUP(M92,'הגדרות'!$A$11:$D$25,2,FALSE),"")</f>
        <v/>
      </c>
      <c r="R92">
        <f>IFERROR(VLOOKUP(M92,'הגדרות'!$A$11:$D$25,3,FALSE),"")</f>
        <v/>
      </c>
      <c r="S92">
        <f>IFERROR(VLOOKUP(N92,'הגדרות'!$A$11:$D$25,2,FALSE),"")</f>
        <v/>
      </c>
      <c r="T92">
        <f>IFERROR(VLOOKUP(N92,'הגדרות'!$A$11:$D$25,3,FALSE),"")</f>
        <v/>
      </c>
      <c r="AB92" s="11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E93">
        <f>IFERROR(INDEX('הגדרות'!$D$104:$D$123,MATCH(B93&amp;G93&amp;C93,'הגדרות'!$A$104:$A$123&amp;'הגדרות'!$B$104:$B$123&amp;'הגדרות'!$C$104:$C$123,0)),"")</f>
        <v/>
      </c>
      <c r="F93" s="11" t="n"/>
      <c r="Q93">
        <f>IFERROR(VLOOKUP(M93,'הגדרות'!$A$11:$D$25,2,FALSE),"")</f>
        <v/>
      </c>
      <c r="R93">
        <f>IFERROR(VLOOKUP(M93,'הגדרות'!$A$11:$D$25,3,FALSE),"")</f>
        <v/>
      </c>
      <c r="S93">
        <f>IFERROR(VLOOKUP(N93,'הגדרות'!$A$11:$D$25,2,FALSE),"")</f>
        <v/>
      </c>
      <c r="T93">
        <f>IFERROR(VLOOKUP(N93,'הגדרות'!$A$11:$D$25,3,FALSE),"")</f>
        <v/>
      </c>
      <c r="AB93" s="11" t="n"/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E94">
        <f>IFERROR(INDEX('הגדרות'!$D$104:$D$123,MATCH(B94&amp;G94&amp;C94,'הגדרות'!$A$104:$A$123&amp;'הגדרות'!$B$104:$B$123&amp;'הגדרות'!$C$104:$C$123,0)),"")</f>
        <v/>
      </c>
      <c r="F94" s="11" t="n"/>
      <c r="Q94">
        <f>IFERROR(VLOOKUP(M94,'הגדרות'!$A$11:$D$25,2,FALSE),"")</f>
        <v/>
      </c>
      <c r="R94">
        <f>IFERROR(VLOOKUP(M94,'הגדרות'!$A$11:$D$25,3,FALSE),"")</f>
        <v/>
      </c>
      <c r="S94">
        <f>IFERROR(VLOOKUP(N94,'הגדרות'!$A$11:$D$25,2,FALSE),"")</f>
        <v/>
      </c>
      <c r="T94">
        <f>IFERROR(VLOOKUP(N94,'הגדרות'!$A$11:$D$25,3,FALSE),"")</f>
        <v/>
      </c>
      <c r="AB94" s="11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E95">
        <f>IFERROR(INDEX('הגדרות'!$D$104:$D$123,MATCH(B95&amp;G95&amp;C95,'הגדרות'!$A$104:$A$123&amp;'הגדרות'!$B$104:$B$123&amp;'הגדרות'!$C$104:$C$123,0)),"")</f>
        <v/>
      </c>
      <c r="F95" s="11" t="n"/>
      <c r="Q95">
        <f>IFERROR(VLOOKUP(M95,'הגדרות'!$A$11:$D$25,2,FALSE),"")</f>
        <v/>
      </c>
      <c r="R95">
        <f>IFERROR(VLOOKUP(M95,'הגדרות'!$A$11:$D$25,3,FALSE),"")</f>
        <v/>
      </c>
      <c r="S95">
        <f>IFERROR(VLOOKUP(N95,'הגדרות'!$A$11:$D$25,2,FALSE),"")</f>
        <v/>
      </c>
      <c r="T95">
        <f>IFERROR(VLOOKUP(N95,'הגדרות'!$A$11:$D$25,3,FALSE),"")</f>
        <v/>
      </c>
      <c r="AB95" s="11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E96">
        <f>IFERROR(INDEX('הגדרות'!$D$104:$D$123,MATCH(B96&amp;G96&amp;C96,'הגדרות'!$A$104:$A$123&amp;'הגדרות'!$B$104:$B$123&amp;'הגדרות'!$C$104:$C$123,0)),"")</f>
        <v/>
      </c>
      <c r="F96" s="11" t="n"/>
      <c r="Q96">
        <f>IFERROR(VLOOKUP(M96,'הגדרות'!$A$11:$D$25,2,FALSE),"")</f>
        <v/>
      </c>
      <c r="R96">
        <f>IFERROR(VLOOKUP(M96,'הגדרות'!$A$11:$D$25,3,FALSE),"")</f>
        <v/>
      </c>
      <c r="S96">
        <f>IFERROR(VLOOKUP(N96,'הגדרות'!$A$11:$D$25,2,FALSE),"")</f>
        <v/>
      </c>
      <c r="T96">
        <f>IFERROR(VLOOKUP(N96,'הגדרות'!$A$11:$D$25,3,FALSE),"")</f>
        <v/>
      </c>
      <c r="AB96" s="11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E97">
        <f>IFERROR(INDEX('הגדרות'!$D$104:$D$123,MATCH(B97&amp;G97&amp;C97,'הגדרות'!$A$104:$A$123&amp;'הגדרות'!$B$104:$B$123&amp;'הגדרות'!$C$104:$C$123,0)),"")</f>
        <v/>
      </c>
      <c r="F97" s="11" t="n"/>
      <c r="Q97">
        <f>IFERROR(VLOOKUP(M97,'הגדרות'!$A$11:$D$25,2,FALSE),"")</f>
        <v/>
      </c>
      <c r="R97">
        <f>IFERROR(VLOOKUP(M97,'הגדרות'!$A$11:$D$25,3,FALSE),"")</f>
        <v/>
      </c>
      <c r="S97">
        <f>IFERROR(VLOOKUP(N97,'הגדרות'!$A$11:$D$25,2,FALSE),"")</f>
        <v/>
      </c>
      <c r="T97">
        <f>IFERROR(VLOOKUP(N97,'הגדרות'!$A$11:$D$25,3,FALSE),"")</f>
        <v/>
      </c>
      <c r="AB97" s="11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E98">
        <f>IFERROR(INDEX('הגדרות'!$D$104:$D$123,MATCH(B98&amp;G98&amp;C98,'הגדרות'!$A$104:$A$123&amp;'הגדרות'!$B$104:$B$123&amp;'הגדרות'!$C$104:$C$123,0)),"")</f>
        <v/>
      </c>
      <c r="F98" s="11" t="n"/>
      <c r="Q98">
        <f>IFERROR(VLOOKUP(M98,'הגדרות'!$A$11:$D$25,2,FALSE),"")</f>
        <v/>
      </c>
      <c r="R98">
        <f>IFERROR(VLOOKUP(M98,'הגדרות'!$A$11:$D$25,3,FALSE),"")</f>
        <v/>
      </c>
      <c r="S98">
        <f>IFERROR(VLOOKUP(N98,'הגדרות'!$A$11:$D$25,2,FALSE),"")</f>
        <v/>
      </c>
      <c r="T98">
        <f>IFERROR(VLOOKUP(N98,'הגדרות'!$A$11:$D$25,3,FALSE),"")</f>
        <v/>
      </c>
      <c r="AB98" s="11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E99">
        <f>IFERROR(INDEX('הגדרות'!$D$104:$D$123,MATCH(B99&amp;G99&amp;C99,'הגדרות'!$A$104:$A$123&amp;'הגדרות'!$B$104:$B$123&amp;'הגדרות'!$C$104:$C$123,0)),"")</f>
        <v/>
      </c>
      <c r="F99" s="11" t="n"/>
      <c r="Q99">
        <f>IFERROR(VLOOKUP(M99,'הגדרות'!$A$11:$D$25,2,FALSE),"")</f>
        <v/>
      </c>
      <c r="R99">
        <f>IFERROR(VLOOKUP(M99,'הגדרות'!$A$11:$D$25,3,FALSE),"")</f>
        <v/>
      </c>
      <c r="S99">
        <f>IFERROR(VLOOKUP(N99,'הגדרות'!$A$11:$D$25,2,FALSE),"")</f>
        <v/>
      </c>
      <c r="T99">
        <f>IFERROR(VLOOKUP(N99,'הגדרות'!$A$11:$D$25,3,FALSE),"")</f>
        <v/>
      </c>
      <c r="AB99" s="11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E100">
        <f>IFERROR(INDEX('הגדרות'!$D$104:$D$123,MATCH(B100&amp;G100&amp;C100,'הגדרות'!$A$104:$A$123&amp;'הגדרות'!$B$104:$B$123&amp;'הגדרות'!$C$104:$C$123,0)),"")</f>
        <v/>
      </c>
      <c r="F100" s="11" t="n"/>
      <c r="Q100">
        <f>IFERROR(VLOOKUP(M100,'הגדרות'!$A$11:$D$25,2,FALSE),"")</f>
        <v/>
      </c>
      <c r="R100">
        <f>IFERROR(VLOOKUP(M100,'הגדרות'!$A$11:$D$25,3,FALSE),"")</f>
        <v/>
      </c>
      <c r="S100">
        <f>IFERROR(VLOOKUP(N100,'הגדרות'!$A$11:$D$25,2,FALSE),"")</f>
        <v/>
      </c>
      <c r="T100">
        <f>IFERROR(VLOOKUP(N100,'הגדרות'!$A$11:$D$25,3,FALSE),"")</f>
        <v/>
      </c>
      <c r="AB100" s="11" t="n"/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E101">
        <f>IFERROR(INDEX('הגדרות'!$D$104:$D$123,MATCH(B101&amp;G101&amp;C101,'הגדרות'!$A$104:$A$123&amp;'הגדרות'!$B$104:$B$123&amp;'הגדרות'!$C$104:$C$123,0)),"")</f>
        <v/>
      </c>
      <c r="F101" s="11" t="n"/>
      <c r="Q101">
        <f>IFERROR(VLOOKUP(M101,'הגדרות'!$A$11:$D$25,2,FALSE),"")</f>
        <v/>
      </c>
      <c r="R101">
        <f>IFERROR(VLOOKUP(M101,'הגדרות'!$A$11:$D$25,3,FALSE),"")</f>
        <v/>
      </c>
      <c r="S101">
        <f>IFERROR(VLOOKUP(N101,'הגדרות'!$A$11:$D$25,2,FALSE),"")</f>
        <v/>
      </c>
      <c r="T101">
        <f>IFERROR(VLOOKUP(N101,'הגדרות'!$A$11:$D$25,3,FALSE),"")</f>
        <v/>
      </c>
      <c r="AB101" s="11" t="n"/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E102">
        <f>IFERROR(INDEX('הגדרות'!$D$104:$D$123,MATCH(B102&amp;G102&amp;C102,'הגדרות'!$A$104:$A$123&amp;'הגדרות'!$B$104:$B$123&amp;'הגדרות'!$C$104:$C$123,0)),"")</f>
        <v/>
      </c>
      <c r="F102" s="11" t="n"/>
      <c r="Q102">
        <f>IFERROR(VLOOKUP(M102,'הגדרות'!$A$11:$D$25,2,FALSE),"")</f>
        <v/>
      </c>
      <c r="R102">
        <f>IFERROR(VLOOKUP(M102,'הגדרות'!$A$11:$D$25,3,FALSE),"")</f>
        <v/>
      </c>
      <c r="S102">
        <f>IFERROR(VLOOKUP(N102,'הגדרות'!$A$11:$D$25,2,FALSE),"")</f>
        <v/>
      </c>
      <c r="T102">
        <f>IFERROR(VLOOKUP(N102,'הגדרות'!$A$11:$D$25,3,FALSE),"")</f>
        <v/>
      </c>
      <c r="AB102" s="11" t="n"/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E103">
        <f>IFERROR(INDEX('הגדרות'!$D$104:$D$123,MATCH(B103&amp;G103&amp;C103,'הגדרות'!$A$104:$A$123&amp;'הגדרות'!$B$104:$B$123&amp;'הגדרות'!$C$104:$C$123,0)),"")</f>
        <v/>
      </c>
      <c r="F103" s="11" t="n"/>
      <c r="Q103">
        <f>IFERROR(VLOOKUP(M103,'הגדרות'!$A$11:$D$25,2,FALSE),"")</f>
        <v/>
      </c>
      <c r="R103">
        <f>IFERROR(VLOOKUP(M103,'הגדרות'!$A$11:$D$25,3,FALSE),"")</f>
        <v/>
      </c>
      <c r="S103">
        <f>IFERROR(VLOOKUP(N103,'הגדרות'!$A$11:$D$25,2,FALSE),"")</f>
        <v/>
      </c>
      <c r="T103">
        <f>IFERROR(VLOOKUP(N103,'הגדרות'!$A$11:$D$25,3,FALSE),"")</f>
        <v/>
      </c>
      <c r="AB103" s="11" t="n"/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E104">
        <f>IFERROR(INDEX('הגדרות'!$D$104:$D$123,MATCH(B104&amp;G104&amp;C104,'הגדרות'!$A$104:$A$123&amp;'הגדרות'!$B$104:$B$123&amp;'הגדרות'!$C$104:$C$123,0)),"")</f>
        <v/>
      </c>
      <c r="F104" s="11" t="n"/>
      <c r="Q104">
        <f>IFERROR(VLOOKUP(M104,'הגדרות'!$A$11:$D$25,2,FALSE),"")</f>
        <v/>
      </c>
      <c r="R104">
        <f>IFERROR(VLOOKUP(M104,'הגדרות'!$A$11:$D$25,3,FALSE),"")</f>
        <v/>
      </c>
      <c r="S104">
        <f>IFERROR(VLOOKUP(N104,'הגדרות'!$A$11:$D$25,2,FALSE),"")</f>
        <v/>
      </c>
      <c r="T104">
        <f>IFERROR(VLOOKUP(N104,'הגדרות'!$A$11:$D$25,3,FALSE),"")</f>
        <v/>
      </c>
      <c r="AB104" s="11" t="n"/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E105">
        <f>IFERROR(INDEX('הגדרות'!$D$104:$D$123,MATCH(B105&amp;G105&amp;C105,'הגדרות'!$A$104:$A$123&amp;'הגדרות'!$B$104:$B$123&amp;'הגדרות'!$C$104:$C$123,0)),"")</f>
        <v/>
      </c>
      <c r="F105" s="11" t="n"/>
      <c r="Q105">
        <f>IFERROR(VLOOKUP(M105,'הגדרות'!$A$11:$D$25,2,FALSE),"")</f>
        <v/>
      </c>
      <c r="R105">
        <f>IFERROR(VLOOKUP(M105,'הגדרות'!$A$11:$D$25,3,FALSE),"")</f>
        <v/>
      </c>
      <c r="S105">
        <f>IFERROR(VLOOKUP(N105,'הגדרות'!$A$11:$D$25,2,FALSE),"")</f>
        <v/>
      </c>
      <c r="T105">
        <f>IFERROR(VLOOKUP(N105,'הגדרות'!$A$11:$D$25,3,FALSE),"")</f>
        <v/>
      </c>
      <c r="AB105" s="11" t="n"/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E106">
        <f>IFERROR(INDEX('הגדרות'!$D$104:$D$123,MATCH(B106&amp;G106&amp;C106,'הגדרות'!$A$104:$A$123&amp;'הגדרות'!$B$104:$B$123&amp;'הגדרות'!$C$104:$C$123,0)),"")</f>
        <v/>
      </c>
      <c r="F106" s="11" t="n"/>
      <c r="Q106">
        <f>IFERROR(VLOOKUP(M106,'הגדרות'!$A$11:$D$25,2,FALSE),"")</f>
        <v/>
      </c>
      <c r="R106">
        <f>IFERROR(VLOOKUP(M106,'הגדרות'!$A$11:$D$25,3,FALSE),"")</f>
        <v/>
      </c>
      <c r="S106">
        <f>IFERROR(VLOOKUP(N106,'הגדרות'!$A$11:$D$25,2,FALSE),"")</f>
        <v/>
      </c>
      <c r="T106">
        <f>IFERROR(VLOOKUP(N106,'הגדרות'!$A$11:$D$25,3,FALSE),"")</f>
        <v/>
      </c>
      <c r="AB106" s="11" t="n"/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E107">
        <f>IFERROR(INDEX('הגדרות'!$D$104:$D$123,MATCH(B107&amp;G107&amp;C107,'הגדרות'!$A$104:$A$123&amp;'הגדרות'!$B$104:$B$123&amp;'הגדרות'!$C$104:$C$123,0)),"")</f>
        <v/>
      </c>
      <c r="F107" s="11" t="n"/>
      <c r="Q107">
        <f>IFERROR(VLOOKUP(M107,'הגדרות'!$A$11:$D$25,2,FALSE),"")</f>
        <v/>
      </c>
      <c r="R107">
        <f>IFERROR(VLOOKUP(M107,'הגדרות'!$A$11:$D$25,3,FALSE),"")</f>
        <v/>
      </c>
      <c r="S107">
        <f>IFERROR(VLOOKUP(N107,'הגדרות'!$A$11:$D$25,2,FALSE),"")</f>
        <v/>
      </c>
      <c r="T107">
        <f>IFERROR(VLOOKUP(N107,'הגדרות'!$A$11:$D$25,3,FALSE),"")</f>
        <v/>
      </c>
      <c r="AB107" s="11" t="n"/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E108">
        <f>IFERROR(INDEX('הגדרות'!$D$104:$D$123,MATCH(B108&amp;G108&amp;C108,'הגדרות'!$A$104:$A$123&amp;'הגדרות'!$B$104:$B$123&amp;'הגדרות'!$C$104:$C$123,0)),"")</f>
        <v/>
      </c>
      <c r="F108" s="11" t="n"/>
      <c r="Q108">
        <f>IFERROR(VLOOKUP(M108,'הגדרות'!$A$11:$D$25,2,FALSE),"")</f>
        <v/>
      </c>
      <c r="R108">
        <f>IFERROR(VLOOKUP(M108,'הגדרות'!$A$11:$D$25,3,FALSE),"")</f>
        <v/>
      </c>
      <c r="S108">
        <f>IFERROR(VLOOKUP(N108,'הגדרות'!$A$11:$D$25,2,FALSE),"")</f>
        <v/>
      </c>
      <c r="T108">
        <f>IFERROR(VLOOKUP(N108,'הגדרות'!$A$11:$D$25,3,FALSE),"")</f>
        <v/>
      </c>
      <c r="AB108" s="11" t="n"/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E109">
        <f>IFERROR(INDEX('הגדרות'!$D$104:$D$123,MATCH(B109&amp;G109&amp;C109,'הגדרות'!$A$104:$A$123&amp;'הגדרות'!$B$104:$B$123&amp;'הגדרות'!$C$104:$C$123,0)),"")</f>
        <v/>
      </c>
      <c r="F109" s="11" t="n"/>
      <c r="Q109">
        <f>IFERROR(VLOOKUP(M109,'הגדרות'!$A$11:$D$25,2,FALSE),"")</f>
        <v/>
      </c>
      <c r="R109">
        <f>IFERROR(VLOOKUP(M109,'הגדרות'!$A$11:$D$25,3,FALSE),"")</f>
        <v/>
      </c>
      <c r="S109">
        <f>IFERROR(VLOOKUP(N109,'הגדרות'!$A$11:$D$25,2,FALSE),"")</f>
        <v/>
      </c>
      <c r="T109">
        <f>IFERROR(VLOOKUP(N109,'הגדרות'!$A$11:$D$25,3,FALSE),"")</f>
        <v/>
      </c>
      <c r="AB109" s="11" t="n"/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E110">
        <f>IFERROR(INDEX('הגדרות'!$D$104:$D$123,MATCH(B110&amp;G110&amp;C110,'הגדרות'!$A$104:$A$123&amp;'הגדרות'!$B$104:$B$123&amp;'הגדרות'!$C$104:$C$123,0)),"")</f>
        <v/>
      </c>
      <c r="F110" s="11" t="n"/>
      <c r="Q110">
        <f>IFERROR(VLOOKUP(M110,'הגדרות'!$A$11:$D$25,2,FALSE),"")</f>
        <v/>
      </c>
      <c r="R110">
        <f>IFERROR(VLOOKUP(M110,'הגדרות'!$A$11:$D$25,3,FALSE),"")</f>
        <v/>
      </c>
      <c r="S110">
        <f>IFERROR(VLOOKUP(N110,'הגדרות'!$A$11:$D$25,2,FALSE),"")</f>
        <v/>
      </c>
      <c r="T110">
        <f>IFERROR(VLOOKUP(N110,'הגדרות'!$A$11:$D$25,3,FALSE),"")</f>
        <v/>
      </c>
      <c r="AB110" s="11" t="n"/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E111">
        <f>IFERROR(INDEX('הגדרות'!$D$104:$D$123,MATCH(B111&amp;G111&amp;C111,'הגדרות'!$A$104:$A$123&amp;'הגדרות'!$B$104:$B$123&amp;'הגדרות'!$C$104:$C$123,0)),"")</f>
        <v/>
      </c>
      <c r="F111" s="11" t="n"/>
      <c r="Q111">
        <f>IFERROR(VLOOKUP(M111,'הגדרות'!$A$11:$D$25,2,FALSE),"")</f>
        <v/>
      </c>
      <c r="R111">
        <f>IFERROR(VLOOKUP(M111,'הגדרות'!$A$11:$D$25,3,FALSE),"")</f>
        <v/>
      </c>
      <c r="S111">
        <f>IFERROR(VLOOKUP(N111,'הגדרות'!$A$11:$D$25,2,FALSE),"")</f>
        <v/>
      </c>
      <c r="T111">
        <f>IFERROR(VLOOKUP(N111,'הגדרות'!$A$11:$D$25,3,FALSE),"")</f>
        <v/>
      </c>
      <c r="AB111" s="11" t="n"/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E112">
        <f>IFERROR(INDEX('הגדרות'!$D$104:$D$123,MATCH(B112&amp;G112&amp;C112,'הגדרות'!$A$104:$A$123&amp;'הגדרות'!$B$104:$B$123&amp;'הגדרות'!$C$104:$C$123,0)),"")</f>
        <v/>
      </c>
      <c r="F112" s="11" t="n"/>
      <c r="Q112">
        <f>IFERROR(VLOOKUP(M112,'הגדרות'!$A$11:$D$25,2,FALSE),"")</f>
        <v/>
      </c>
      <c r="R112">
        <f>IFERROR(VLOOKUP(M112,'הגדרות'!$A$11:$D$25,3,FALSE),"")</f>
        <v/>
      </c>
      <c r="S112">
        <f>IFERROR(VLOOKUP(N112,'הגדרות'!$A$11:$D$25,2,FALSE),"")</f>
        <v/>
      </c>
      <c r="T112">
        <f>IFERROR(VLOOKUP(N112,'הגדרות'!$A$11:$D$25,3,FALSE),"")</f>
        <v/>
      </c>
      <c r="AB112" s="11" t="n"/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E113">
        <f>IFERROR(INDEX('הגדרות'!$D$104:$D$123,MATCH(B113&amp;G113&amp;C113,'הגדרות'!$A$104:$A$123&amp;'הגדרות'!$B$104:$B$123&amp;'הגדרות'!$C$104:$C$123,0)),"")</f>
        <v/>
      </c>
      <c r="F113" s="11" t="n"/>
      <c r="Q113">
        <f>IFERROR(VLOOKUP(M113,'הגדרות'!$A$11:$D$25,2,FALSE),"")</f>
        <v/>
      </c>
      <c r="R113">
        <f>IFERROR(VLOOKUP(M113,'הגדרות'!$A$11:$D$25,3,FALSE),"")</f>
        <v/>
      </c>
      <c r="S113">
        <f>IFERROR(VLOOKUP(N113,'הגדרות'!$A$11:$D$25,2,FALSE),"")</f>
        <v/>
      </c>
      <c r="T113">
        <f>IFERROR(VLOOKUP(N113,'הגדרות'!$A$11:$D$25,3,FALSE),"")</f>
        <v/>
      </c>
      <c r="AB113" s="11" t="n"/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E114">
        <f>IFERROR(INDEX('הגדרות'!$D$104:$D$123,MATCH(B114&amp;G114&amp;C114,'הגדרות'!$A$104:$A$123&amp;'הגדרות'!$B$104:$B$123&amp;'הגדרות'!$C$104:$C$123,0)),"")</f>
        <v/>
      </c>
      <c r="F114" s="11" t="n"/>
      <c r="Q114">
        <f>IFERROR(VLOOKUP(M114,'הגדרות'!$A$11:$D$25,2,FALSE),"")</f>
        <v/>
      </c>
      <c r="R114">
        <f>IFERROR(VLOOKUP(M114,'הגדרות'!$A$11:$D$25,3,FALSE),"")</f>
        <v/>
      </c>
      <c r="S114">
        <f>IFERROR(VLOOKUP(N114,'הגדרות'!$A$11:$D$25,2,FALSE),"")</f>
        <v/>
      </c>
      <c r="T114">
        <f>IFERROR(VLOOKUP(N114,'הגדרות'!$A$11:$D$25,3,FALSE),"")</f>
        <v/>
      </c>
      <c r="AB114" s="11" t="n"/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E115">
        <f>IFERROR(INDEX('הגדרות'!$D$104:$D$123,MATCH(B115&amp;G115&amp;C115,'הגדרות'!$A$104:$A$123&amp;'הגדרות'!$B$104:$B$123&amp;'הגדרות'!$C$104:$C$123,0)),"")</f>
        <v/>
      </c>
      <c r="F115" s="11" t="n"/>
      <c r="Q115">
        <f>IFERROR(VLOOKUP(M115,'הגדרות'!$A$11:$D$25,2,FALSE),"")</f>
        <v/>
      </c>
      <c r="R115">
        <f>IFERROR(VLOOKUP(M115,'הגדרות'!$A$11:$D$25,3,FALSE),"")</f>
        <v/>
      </c>
      <c r="S115">
        <f>IFERROR(VLOOKUP(N115,'הגדרות'!$A$11:$D$25,2,FALSE),"")</f>
        <v/>
      </c>
      <c r="T115">
        <f>IFERROR(VLOOKUP(N115,'הגדרות'!$A$11:$D$25,3,FALSE),"")</f>
        <v/>
      </c>
      <c r="AB115" s="11" t="n"/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E116">
        <f>IFERROR(INDEX('הגדרות'!$D$104:$D$123,MATCH(B116&amp;G116&amp;C116,'הגדרות'!$A$104:$A$123&amp;'הגדרות'!$B$104:$B$123&amp;'הגדרות'!$C$104:$C$123,0)),"")</f>
        <v/>
      </c>
      <c r="F116" s="11" t="n"/>
      <c r="Q116">
        <f>IFERROR(VLOOKUP(M116,'הגדרות'!$A$11:$D$25,2,FALSE),"")</f>
        <v/>
      </c>
      <c r="R116">
        <f>IFERROR(VLOOKUP(M116,'הגדרות'!$A$11:$D$25,3,FALSE),"")</f>
        <v/>
      </c>
      <c r="S116">
        <f>IFERROR(VLOOKUP(N116,'הגדרות'!$A$11:$D$25,2,FALSE),"")</f>
        <v/>
      </c>
      <c r="T116">
        <f>IFERROR(VLOOKUP(N116,'הגדרות'!$A$11:$D$25,3,FALSE),"")</f>
        <v/>
      </c>
      <c r="AB116" s="11" t="n"/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E117">
        <f>IFERROR(INDEX('הגדרות'!$D$104:$D$123,MATCH(B117&amp;G117&amp;C117,'הגדרות'!$A$104:$A$123&amp;'הגדרות'!$B$104:$B$123&amp;'הגדרות'!$C$104:$C$123,0)),"")</f>
        <v/>
      </c>
      <c r="F117" s="11" t="n"/>
      <c r="Q117">
        <f>IFERROR(VLOOKUP(M117,'הגדרות'!$A$11:$D$25,2,FALSE),"")</f>
        <v/>
      </c>
      <c r="R117">
        <f>IFERROR(VLOOKUP(M117,'הגדרות'!$A$11:$D$25,3,FALSE),"")</f>
        <v/>
      </c>
      <c r="S117">
        <f>IFERROR(VLOOKUP(N117,'הגדרות'!$A$11:$D$25,2,FALSE),"")</f>
        <v/>
      </c>
      <c r="T117">
        <f>IFERROR(VLOOKUP(N117,'הגדרות'!$A$11:$D$25,3,FALSE),"")</f>
        <v/>
      </c>
      <c r="AB117" s="11" t="n"/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E118">
        <f>IFERROR(INDEX('הגדרות'!$D$104:$D$123,MATCH(B118&amp;G118&amp;C118,'הגדרות'!$A$104:$A$123&amp;'הגדרות'!$B$104:$B$123&amp;'הגדרות'!$C$104:$C$123,0)),"")</f>
        <v/>
      </c>
      <c r="F118" s="11" t="n"/>
      <c r="Q118">
        <f>IFERROR(VLOOKUP(M118,'הגדרות'!$A$11:$D$25,2,FALSE),"")</f>
        <v/>
      </c>
      <c r="R118">
        <f>IFERROR(VLOOKUP(M118,'הגדרות'!$A$11:$D$25,3,FALSE),"")</f>
        <v/>
      </c>
      <c r="S118">
        <f>IFERROR(VLOOKUP(N118,'הגדרות'!$A$11:$D$25,2,FALSE),"")</f>
        <v/>
      </c>
      <c r="T118">
        <f>IFERROR(VLOOKUP(N118,'הגדרות'!$A$11:$D$25,3,FALSE),"")</f>
        <v/>
      </c>
      <c r="AB118" s="11" t="n"/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E119">
        <f>IFERROR(INDEX('הגדרות'!$D$104:$D$123,MATCH(B119&amp;G119&amp;C119,'הגדרות'!$A$104:$A$123&amp;'הגדרות'!$B$104:$B$123&amp;'הגדרות'!$C$104:$C$123,0)),"")</f>
        <v/>
      </c>
      <c r="F119" s="11" t="n"/>
      <c r="Q119">
        <f>IFERROR(VLOOKUP(M119,'הגדרות'!$A$11:$D$25,2,FALSE),"")</f>
        <v/>
      </c>
      <c r="R119">
        <f>IFERROR(VLOOKUP(M119,'הגדרות'!$A$11:$D$25,3,FALSE),"")</f>
        <v/>
      </c>
      <c r="S119">
        <f>IFERROR(VLOOKUP(N119,'הגדרות'!$A$11:$D$25,2,FALSE),"")</f>
        <v/>
      </c>
      <c r="T119">
        <f>IFERROR(VLOOKUP(N119,'הגדרות'!$A$11:$D$25,3,FALSE),"")</f>
        <v/>
      </c>
      <c r="AB119" s="11" t="n"/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E120">
        <f>IFERROR(INDEX('הגדרות'!$D$104:$D$123,MATCH(B120&amp;G120&amp;C120,'הגדרות'!$A$104:$A$123&amp;'הגדרות'!$B$104:$B$123&amp;'הגדרות'!$C$104:$C$123,0)),"")</f>
        <v/>
      </c>
      <c r="F120" s="11" t="n"/>
      <c r="Q120">
        <f>IFERROR(VLOOKUP(M120,'הגדרות'!$A$11:$D$25,2,FALSE),"")</f>
        <v/>
      </c>
      <c r="R120">
        <f>IFERROR(VLOOKUP(M120,'הגדרות'!$A$11:$D$25,3,FALSE),"")</f>
        <v/>
      </c>
      <c r="S120">
        <f>IFERROR(VLOOKUP(N120,'הגדרות'!$A$11:$D$25,2,FALSE),"")</f>
        <v/>
      </c>
      <c r="T120">
        <f>IFERROR(VLOOKUP(N120,'הגדרות'!$A$11:$D$25,3,FALSE),"")</f>
        <v/>
      </c>
      <c r="AB120" s="11" t="n"/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E121">
        <f>IFERROR(INDEX('הגדרות'!$D$104:$D$123,MATCH(B121&amp;G121&amp;C121,'הגדרות'!$A$104:$A$123&amp;'הגדרות'!$B$104:$B$123&amp;'הגדרות'!$C$104:$C$123,0)),"")</f>
        <v/>
      </c>
      <c r="F121" s="11" t="n"/>
      <c r="Q121">
        <f>IFERROR(VLOOKUP(M121,'הגדרות'!$A$11:$D$25,2,FALSE),"")</f>
        <v/>
      </c>
      <c r="R121">
        <f>IFERROR(VLOOKUP(M121,'הגדרות'!$A$11:$D$25,3,FALSE),"")</f>
        <v/>
      </c>
      <c r="S121">
        <f>IFERROR(VLOOKUP(N121,'הגדרות'!$A$11:$D$25,2,FALSE),"")</f>
        <v/>
      </c>
      <c r="T121">
        <f>IFERROR(VLOOKUP(N121,'הגדרות'!$A$11:$D$25,3,FALSE),"")</f>
        <v/>
      </c>
      <c r="AB121" s="11" t="n"/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E122">
        <f>IFERROR(INDEX('הגדרות'!$D$104:$D$123,MATCH(B122&amp;G122&amp;C122,'הגדרות'!$A$104:$A$123&amp;'הגדרות'!$B$104:$B$123&amp;'הגדרות'!$C$104:$C$123,0)),"")</f>
        <v/>
      </c>
      <c r="F122" s="11" t="n"/>
      <c r="Q122">
        <f>IFERROR(VLOOKUP(M122,'הגדרות'!$A$11:$D$25,2,FALSE),"")</f>
        <v/>
      </c>
      <c r="R122">
        <f>IFERROR(VLOOKUP(M122,'הגדרות'!$A$11:$D$25,3,FALSE),"")</f>
        <v/>
      </c>
      <c r="S122">
        <f>IFERROR(VLOOKUP(N122,'הגדרות'!$A$11:$D$25,2,FALSE),"")</f>
        <v/>
      </c>
      <c r="T122">
        <f>IFERROR(VLOOKUP(N122,'הגדרות'!$A$11:$D$25,3,FALSE),"")</f>
        <v/>
      </c>
      <c r="AB122" s="11" t="n"/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E123">
        <f>IFERROR(INDEX('הגדרות'!$D$104:$D$123,MATCH(B123&amp;G123&amp;C123,'הגדרות'!$A$104:$A$123&amp;'הגדרות'!$B$104:$B$123&amp;'הגדרות'!$C$104:$C$123,0)),"")</f>
        <v/>
      </c>
      <c r="F123" s="11" t="n"/>
      <c r="Q123">
        <f>IFERROR(VLOOKUP(M123,'הגדרות'!$A$11:$D$25,2,FALSE),"")</f>
        <v/>
      </c>
      <c r="R123">
        <f>IFERROR(VLOOKUP(M123,'הגדרות'!$A$11:$D$25,3,FALSE),"")</f>
        <v/>
      </c>
      <c r="S123">
        <f>IFERROR(VLOOKUP(N123,'הגדרות'!$A$11:$D$25,2,FALSE),"")</f>
        <v/>
      </c>
      <c r="T123">
        <f>IFERROR(VLOOKUP(N123,'הגדרות'!$A$11:$D$25,3,FALSE),"")</f>
        <v/>
      </c>
      <c r="AB123" s="11" t="n"/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E124">
        <f>IFERROR(INDEX('הגדרות'!$D$104:$D$123,MATCH(B124&amp;G124&amp;C124,'הגדרות'!$A$104:$A$123&amp;'הגדרות'!$B$104:$B$123&amp;'הגדרות'!$C$104:$C$123,0)),"")</f>
        <v/>
      </c>
      <c r="F124" s="11" t="n"/>
      <c r="Q124">
        <f>IFERROR(VLOOKUP(M124,'הגדרות'!$A$11:$D$25,2,FALSE),"")</f>
        <v/>
      </c>
      <c r="R124">
        <f>IFERROR(VLOOKUP(M124,'הגדרות'!$A$11:$D$25,3,FALSE),"")</f>
        <v/>
      </c>
      <c r="S124">
        <f>IFERROR(VLOOKUP(N124,'הגדרות'!$A$11:$D$25,2,FALSE),"")</f>
        <v/>
      </c>
      <c r="T124">
        <f>IFERROR(VLOOKUP(N124,'הגדרות'!$A$11:$D$25,3,FALSE),"")</f>
        <v/>
      </c>
      <c r="AB124" s="11" t="n"/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E125">
        <f>IFERROR(INDEX('הגדרות'!$D$104:$D$123,MATCH(B125&amp;G125&amp;C125,'הגדרות'!$A$104:$A$123&amp;'הגדרות'!$B$104:$B$123&amp;'הגדרות'!$C$104:$C$123,0)),"")</f>
        <v/>
      </c>
      <c r="F125" s="11" t="n"/>
      <c r="Q125">
        <f>IFERROR(VLOOKUP(M125,'הגדרות'!$A$11:$D$25,2,FALSE),"")</f>
        <v/>
      </c>
      <c r="R125">
        <f>IFERROR(VLOOKUP(M125,'הגדרות'!$A$11:$D$25,3,FALSE),"")</f>
        <v/>
      </c>
      <c r="S125">
        <f>IFERROR(VLOOKUP(N125,'הגדרות'!$A$11:$D$25,2,FALSE),"")</f>
        <v/>
      </c>
      <c r="T125">
        <f>IFERROR(VLOOKUP(N125,'הגדרות'!$A$11:$D$25,3,FALSE),"")</f>
        <v/>
      </c>
      <c r="AB125" s="11" t="n"/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E126">
        <f>IFERROR(INDEX('הגדרות'!$D$104:$D$123,MATCH(B126&amp;G126&amp;C126,'הגדרות'!$A$104:$A$123&amp;'הגדרות'!$B$104:$B$123&amp;'הגדרות'!$C$104:$C$123,0)),"")</f>
        <v/>
      </c>
      <c r="F126" s="11" t="n"/>
      <c r="Q126">
        <f>IFERROR(VLOOKUP(M126,'הגדרות'!$A$11:$D$25,2,FALSE),"")</f>
        <v/>
      </c>
      <c r="R126">
        <f>IFERROR(VLOOKUP(M126,'הגדרות'!$A$11:$D$25,3,FALSE),"")</f>
        <v/>
      </c>
      <c r="S126">
        <f>IFERROR(VLOOKUP(N126,'הגדרות'!$A$11:$D$25,2,FALSE),"")</f>
        <v/>
      </c>
      <c r="T126">
        <f>IFERROR(VLOOKUP(N126,'הגדרות'!$A$11:$D$25,3,FALSE),"")</f>
        <v/>
      </c>
      <c r="AB126" s="11" t="n"/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E127">
        <f>IFERROR(INDEX('הגדרות'!$D$104:$D$123,MATCH(B127&amp;G127&amp;C127,'הגדרות'!$A$104:$A$123&amp;'הגדרות'!$B$104:$B$123&amp;'הגדרות'!$C$104:$C$123,0)),"")</f>
        <v/>
      </c>
      <c r="F127" s="11" t="n"/>
      <c r="Q127">
        <f>IFERROR(VLOOKUP(M127,'הגדרות'!$A$11:$D$25,2,FALSE),"")</f>
        <v/>
      </c>
      <c r="R127">
        <f>IFERROR(VLOOKUP(M127,'הגדרות'!$A$11:$D$25,3,FALSE),"")</f>
        <v/>
      </c>
      <c r="S127">
        <f>IFERROR(VLOOKUP(N127,'הגדרות'!$A$11:$D$25,2,FALSE),"")</f>
        <v/>
      </c>
      <c r="T127">
        <f>IFERROR(VLOOKUP(N127,'הגדרות'!$A$11:$D$25,3,FALSE),"")</f>
        <v/>
      </c>
      <c r="AB127" s="11" t="n"/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E128">
        <f>IFERROR(INDEX('הגדרות'!$D$104:$D$123,MATCH(B128&amp;G128&amp;C128,'הגדרות'!$A$104:$A$123&amp;'הגדרות'!$B$104:$B$123&amp;'הגדרות'!$C$104:$C$123,0)),"")</f>
        <v/>
      </c>
      <c r="F128" s="11" t="n"/>
      <c r="Q128">
        <f>IFERROR(VLOOKUP(M128,'הגדרות'!$A$11:$D$25,2,FALSE),"")</f>
        <v/>
      </c>
      <c r="R128">
        <f>IFERROR(VLOOKUP(M128,'הגדרות'!$A$11:$D$25,3,FALSE),"")</f>
        <v/>
      </c>
      <c r="S128">
        <f>IFERROR(VLOOKUP(N128,'הגדרות'!$A$11:$D$25,2,FALSE),"")</f>
        <v/>
      </c>
      <c r="T128">
        <f>IFERROR(VLOOKUP(N128,'הגדרות'!$A$11:$D$25,3,FALSE),"")</f>
        <v/>
      </c>
      <c r="AB128" s="11" t="n"/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E129">
        <f>IFERROR(INDEX('הגדרות'!$D$104:$D$123,MATCH(B129&amp;G129&amp;C129,'הגדרות'!$A$104:$A$123&amp;'הגדרות'!$B$104:$B$123&amp;'הגדרות'!$C$104:$C$123,0)),"")</f>
        <v/>
      </c>
      <c r="F129" s="11" t="n"/>
      <c r="Q129">
        <f>IFERROR(VLOOKUP(M129,'הגדרות'!$A$11:$D$25,2,FALSE),"")</f>
        <v/>
      </c>
      <c r="R129">
        <f>IFERROR(VLOOKUP(M129,'הגדרות'!$A$11:$D$25,3,FALSE),"")</f>
        <v/>
      </c>
      <c r="S129">
        <f>IFERROR(VLOOKUP(N129,'הגדרות'!$A$11:$D$25,2,FALSE),"")</f>
        <v/>
      </c>
      <c r="T129">
        <f>IFERROR(VLOOKUP(N129,'הגדרות'!$A$11:$D$25,3,FALSE),"")</f>
        <v/>
      </c>
      <c r="AB129" s="11" t="n"/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E130">
        <f>IFERROR(INDEX('הגדרות'!$D$104:$D$123,MATCH(B130&amp;G130&amp;C130,'הגדרות'!$A$104:$A$123&amp;'הגדרות'!$B$104:$B$123&amp;'הגדרות'!$C$104:$C$123,0)),"")</f>
        <v/>
      </c>
      <c r="F130" s="11" t="n"/>
      <c r="Q130">
        <f>IFERROR(VLOOKUP(M130,'הגדרות'!$A$11:$D$25,2,FALSE),"")</f>
        <v/>
      </c>
      <c r="R130">
        <f>IFERROR(VLOOKUP(M130,'הגדרות'!$A$11:$D$25,3,FALSE),"")</f>
        <v/>
      </c>
      <c r="S130">
        <f>IFERROR(VLOOKUP(N130,'הגדרות'!$A$11:$D$25,2,FALSE),"")</f>
        <v/>
      </c>
      <c r="T130">
        <f>IFERROR(VLOOKUP(N130,'הגדרות'!$A$11:$D$25,3,FALSE),"")</f>
        <v/>
      </c>
      <c r="AB130" s="11" t="n"/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E131">
        <f>IFERROR(INDEX('הגדרות'!$D$104:$D$123,MATCH(B131&amp;G131&amp;C131,'הגדרות'!$A$104:$A$123&amp;'הגדרות'!$B$104:$B$123&amp;'הגדרות'!$C$104:$C$123,0)),"")</f>
        <v/>
      </c>
      <c r="F131" s="11" t="n"/>
      <c r="Q131">
        <f>IFERROR(VLOOKUP(M131,'הגדרות'!$A$11:$D$25,2,FALSE),"")</f>
        <v/>
      </c>
      <c r="R131">
        <f>IFERROR(VLOOKUP(M131,'הגדרות'!$A$11:$D$25,3,FALSE),"")</f>
        <v/>
      </c>
      <c r="S131">
        <f>IFERROR(VLOOKUP(N131,'הגדרות'!$A$11:$D$25,2,FALSE),"")</f>
        <v/>
      </c>
      <c r="T131">
        <f>IFERROR(VLOOKUP(N131,'הגדרות'!$A$11:$D$25,3,FALSE),"")</f>
        <v/>
      </c>
      <c r="AB131" s="11" t="n"/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E132">
        <f>IFERROR(INDEX('הגדרות'!$D$104:$D$123,MATCH(B132&amp;G132&amp;C132,'הגדרות'!$A$104:$A$123&amp;'הגדרות'!$B$104:$B$123&amp;'הגדרות'!$C$104:$C$123,0)),"")</f>
        <v/>
      </c>
      <c r="F132" s="11" t="n"/>
      <c r="Q132">
        <f>IFERROR(VLOOKUP(M132,'הגדרות'!$A$11:$D$25,2,FALSE),"")</f>
        <v/>
      </c>
      <c r="R132">
        <f>IFERROR(VLOOKUP(M132,'הגדרות'!$A$11:$D$25,3,FALSE),"")</f>
        <v/>
      </c>
      <c r="S132">
        <f>IFERROR(VLOOKUP(N132,'הגדרות'!$A$11:$D$25,2,FALSE),"")</f>
        <v/>
      </c>
      <c r="T132">
        <f>IFERROR(VLOOKUP(N132,'הגדרות'!$A$11:$D$25,3,FALSE),"")</f>
        <v/>
      </c>
      <c r="AB132" s="11" t="n"/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E133">
        <f>IFERROR(INDEX('הגדרות'!$D$104:$D$123,MATCH(B133&amp;G133&amp;C133,'הגדרות'!$A$104:$A$123&amp;'הגדרות'!$B$104:$B$123&amp;'הגדרות'!$C$104:$C$123,0)),"")</f>
        <v/>
      </c>
      <c r="F133" s="11" t="n"/>
      <c r="Q133">
        <f>IFERROR(VLOOKUP(M133,'הגדרות'!$A$11:$D$25,2,FALSE),"")</f>
        <v/>
      </c>
      <c r="R133">
        <f>IFERROR(VLOOKUP(M133,'הגדרות'!$A$11:$D$25,3,FALSE),"")</f>
        <v/>
      </c>
      <c r="S133">
        <f>IFERROR(VLOOKUP(N133,'הגדרות'!$A$11:$D$25,2,FALSE),"")</f>
        <v/>
      </c>
      <c r="T133">
        <f>IFERROR(VLOOKUP(N133,'הגדרות'!$A$11:$D$25,3,FALSE),"")</f>
        <v/>
      </c>
      <c r="AB133" s="11" t="n"/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E134">
        <f>IFERROR(INDEX('הגדרות'!$D$104:$D$123,MATCH(B134&amp;G134&amp;C134,'הגדרות'!$A$104:$A$123&amp;'הגדרות'!$B$104:$B$123&amp;'הגדרות'!$C$104:$C$123,0)),"")</f>
        <v/>
      </c>
      <c r="F134" s="11" t="n"/>
      <c r="Q134">
        <f>IFERROR(VLOOKUP(M134,'הגדרות'!$A$11:$D$25,2,FALSE),"")</f>
        <v/>
      </c>
      <c r="R134">
        <f>IFERROR(VLOOKUP(M134,'הגדרות'!$A$11:$D$25,3,FALSE),"")</f>
        <v/>
      </c>
      <c r="S134">
        <f>IFERROR(VLOOKUP(N134,'הגדרות'!$A$11:$D$25,2,FALSE),"")</f>
        <v/>
      </c>
      <c r="T134">
        <f>IFERROR(VLOOKUP(N134,'הגדרות'!$A$11:$D$25,3,FALSE),"")</f>
        <v/>
      </c>
      <c r="AB134" s="11" t="n"/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E135">
        <f>IFERROR(INDEX('הגדרות'!$D$104:$D$123,MATCH(B135&amp;G135&amp;C135,'הגדרות'!$A$104:$A$123&amp;'הגדרות'!$B$104:$B$123&amp;'הגדרות'!$C$104:$C$123,0)),"")</f>
        <v/>
      </c>
      <c r="F135" s="11" t="n"/>
      <c r="Q135">
        <f>IFERROR(VLOOKUP(M135,'הגדרות'!$A$11:$D$25,2,FALSE),"")</f>
        <v/>
      </c>
      <c r="R135">
        <f>IFERROR(VLOOKUP(M135,'הגדרות'!$A$11:$D$25,3,FALSE),"")</f>
        <v/>
      </c>
      <c r="S135">
        <f>IFERROR(VLOOKUP(N135,'הגדרות'!$A$11:$D$25,2,FALSE),"")</f>
        <v/>
      </c>
      <c r="T135">
        <f>IFERROR(VLOOKUP(N135,'הגדרות'!$A$11:$D$25,3,FALSE),"")</f>
        <v/>
      </c>
      <c r="AB135" s="11" t="n"/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E136">
        <f>IFERROR(INDEX('הגדרות'!$D$104:$D$123,MATCH(B136&amp;G136&amp;C136,'הגדרות'!$A$104:$A$123&amp;'הגדרות'!$B$104:$B$123&amp;'הגדרות'!$C$104:$C$123,0)),"")</f>
        <v/>
      </c>
      <c r="F136" s="11" t="n"/>
      <c r="Q136">
        <f>IFERROR(VLOOKUP(M136,'הגדרות'!$A$11:$D$25,2,FALSE),"")</f>
        <v/>
      </c>
      <c r="R136">
        <f>IFERROR(VLOOKUP(M136,'הגדרות'!$A$11:$D$25,3,FALSE),"")</f>
        <v/>
      </c>
      <c r="S136">
        <f>IFERROR(VLOOKUP(N136,'הגדרות'!$A$11:$D$25,2,FALSE),"")</f>
        <v/>
      </c>
      <c r="T136">
        <f>IFERROR(VLOOKUP(N136,'הגדרות'!$A$11:$D$25,3,FALSE),"")</f>
        <v/>
      </c>
      <c r="AB136" s="11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E137">
        <f>IFERROR(INDEX('הגדרות'!$D$104:$D$123,MATCH(B137&amp;G137&amp;C137,'הגדרות'!$A$104:$A$123&amp;'הגדרות'!$B$104:$B$123&amp;'הגדרות'!$C$104:$C$123,0)),"")</f>
        <v/>
      </c>
      <c r="F137" s="11" t="n"/>
      <c r="Q137">
        <f>IFERROR(VLOOKUP(M137,'הגדרות'!$A$11:$D$25,2,FALSE),"")</f>
        <v/>
      </c>
      <c r="R137">
        <f>IFERROR(VLOOKUP(M137,'הגדרות'!$A$11:$D$25,3,FALSE),"")</f>
        <v/>
      </c>
      <c r="S137">
        <f>IFERROR(VLOOKUP(N137,'הגדרות'!$A$11:$D$25,2,FALSE),"")</f>
        <v/>
      </c>
      <c r="T137">
        <f>IFERROR(VLOOKUP(N137,'הגדרות'!$A$11:$D$25,3,FALSE),"")</f>
        <v/>
      </c>
      <c r="AB137" s="11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E138">
        <f>IFERROR(INDEX('הגדרות'!$D$104:$D$123,MATCH(B138&amp;G138&amp;C138,'הגדרות'!$A$104:$A$123&amp;'הגדרות'!$B$104:$B$123&amp;'הגדרות'!$C$104:$C$123,0)),"")</f>
        <v/>
      </c>
      <c r="F138" s="11" t="n"/>
      <c r="Q138">
        <f>IFERROR(VLOOKUP(M138,'הגדרות'!$A$11:$D$25,2,FALSE),"")</f>
        <v/>
      </c>
      <c r="R138">
        <f>IFERROR(VLOOKUP(M138,'הגדרות'!$A$11:$D$25,3,FALSE),"")</f>
        <v/>
      </c>
      <c r="S138">
        <f>IFERROR(VLOOKUP(N138,'הגדרות'!$A$11:$D$25,2,FALSE),"")</f>
        <v/>
      </c>
      <c r="T138">
        <f>IFERROR(VLOOKUP(N138,'הגדרות'!$A$11:$D$25,3,FALSE),"")</f>
        <v/>
      </c>
      <c r="AB138" s="11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E139">
        <f>IFERROR(INDEX('הגדרות'!$D$104:$D$123,MATCH(B139&amp;G139&amp;C139,'הגדרות'!$A$104:$A$123&amp;'הגדרות'!$B$104:$B$123&amp;'הגדרות'!$C$104:$C$123,0)),"")</f>
        <v/>
      </c>
      <c r="F139" s="11" t="n"/>
      <c r="Q139">
        <f>IFERROR(VLOOKUP(M139,'הגדרות'!$A$11:$D$25,2,FALSE),"")</f>
        <v/>
      </c>
      <c r="R139">
        <f>IFERROR(VLOOKUP(M139,'הגדרות'!$A$11:$D$25,3,FALSE),"")</f>
        <v/>
      </c>
      <c r="S139">
        <f>IFERROR(VLOOKUP(N139,'הגדרות'!$A$11:$D$25,2,FALSE),"")</f>
        <v/>
      </c>
      <c r="T139">
        <f>IFERROR(VLOOKUP(N139,'הגדרות'!$A$11:$D$25,3,FALSE),"")</f>
        <v/>
      </c>
      <c r="AB139" s="11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E140">
        <f>IFERROR(INDEX('הגדרות'!$D$104:$D$123,MATCH(B140&amp;G140&amp;C140,'הגדרות'!$A$104:$A$123&amp;'הגדרות'!$B$104:$B$123&amp;'הגדרות'!$C$104:$C$123,0)),"")</f>
        <v/>
      </c>
      <c r="F140" s="11" t="n"/>
      <c r="Q140">
        <f>IFERROR(VLOOKUP(M140,'הגדרות'!$A$11:$D$25,2,FALSE),"")</f>
        <v/>
      </c>
      <c r="R140">
        <f>IFERROR(VLOOKUP(M140,'הגדרות'!$A$11:$D$25,3,FALSE),"")</f>
        <v/>
      </c>
      <c r="S140">
        <f>IFERROR(VLOOKUP(N140,'הגדרות'!$A$11:$D$25,2,FALSE),"")</f>
        <v/>
      </c>
      <c r="T140">
        <f>IFERROR(VLOOKUP(N140,'הגדרות'!$A$11:$D$25,3,FALSE),"")</f>
        <v/>
      </c>
      <c r="AB140" s="11" t="n"/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E141">
        <f>IFERROR(INDEX('הגדרות'!$D$104:$D$123,MATCH(B141&amp;G141&amp;C141,'הגדרות'!$A$104:$A$123&amp;'הגדרות'!$B$104:$B$123&amp;'הגדרות'!$C$104:$C$123,0)),"")</f>
        <v/>
      </c>
      <c r="F141" s="11" t="n"/>
      <c r="Q141">
        <f>IFERROR(VLOOKUP(M141,'הגדרות'!$A$11:$D$25,2,FALSE),"")</f>
        <v/>
      </c>
      <c r="R141">
        <f>IFERROR(VLOOKUP(M141,'הגדרות'!$A$11:$D$25,3,FALSE),"")</f>
        <v/>
      </c>
      <c r="S141">
        <f>IFERROR(VLOOKUP(N141,'הגדרות'!$A$11:$D$25,2,FALSE),"")</f>
        <v/>
      </c>
      <c r="T141">
        <f>IFERROR(VLOOKUP(N141,'הגדרות'!$A$11:$D$25,3,FALSE),"")</f>
        <v/>
      </c>
      <c r="AB141" s="11" t="n"/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E142">
        <f>IFERROR(INDEX('הגדרות'!$D$104:$D$123,MATCH(B142&amp;G142&amp;C142,'הגדרות'!$A$104:$A$123&amp;'הגדרות'!$B$104:$B$123&amp;'הגדרות'!$C$104:$C$123,0)),"")</f>
        <v/>
      </c>
      <c r="F142" s="11" t="n"/>
      <c r="Q142">
        <f>IFERROR(VLOOKUP(M142,'הגדרות'!$A$11:$D$25,2,FALSE),"")</f>
        <v/>
      </c>
      <c r="R142">
        <f>IFERROR(VLOOKUP(M142,'הגדרות'!$A$11:$D$25,3,FALSE),"")</f>
        <v/>
      </c>
      <c r="S142">
        <f>IFERROR(VLOOKUP(N142,'הגדרות'!$A$11:$D$25,2,FALSE),"")</f>
        <v/>
      </c>
      <c r="T142">
        <f>IFERROR(VLOOKUP(N142,'הגדרות'!$A$11:$D$25,3,FALSE),"")</f>
        <v/>
      </c>
      <c r="AB142" s="11" t="n"/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E143">
        <f>IFERROR(INDEX('הגדרות'!$D$104:$D$123,MATCH(B143&amp;G143&amp;C143,'הגדרות'!$A$104:$A$123&amp;'הגדרות'!$B$104:$B$123&amp;'הגדרות'!$C$104:$C$123,0)),"")</f>
        <v/>
      </c>
      <c r="F143" s="11" t="n"/>
      <c r="Q143">
        <f>IFERROR(VLOOKUP(M143,'הגדרות'!$A$11:$D$25,2,FALSE),"")</f>
        <v/>
      </c>
      <c r="R143">
        <f>IFERROR(VLOOKUP(M143,'הגדרות'!$A$11:$D$25,3,FALSE),"")</f>
        <v/>
      </c>
      <c r="S143">
        <f>IFERROR(VLOOKUP(N143,'הגדרות'!$A$11:$D$25,2,FALSE),"")</f>
        <v/>
      </c>
      <c r="T143">
        <f>IFERROR(VLOOKUP(N143,'הגדרות'!$A$11:$D$25,3,FALSE),"")</f>
        <v/>
      </c>
      <c r="AB143" s="11" t="n"/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E144">
        <f>IFERROR(INDEX('הגדרות'!$D$104:$D$123,MATCH(B144&amp;G144&amp;C144,'הגדרות'!$A$104:$A$123&amp;'הגדרות'!$B$104:$B$123&amp;'הגדרות'!$C$104:$C$123,0)),"")</f>
        <v/>
      </c>
      <c r="F144" s="11" t="n"/>
      <c r="Q144">
        <f>IFERROR(VLOOKUP(M144,'הגדרות'!$A$11:$D$25,2,FALSE),"")</f>
        <v/>
      </c>
      <c r="R144">
        <f>IFERROR(VLOOKUP(M144,'הגדרות'!$A$11:$D$25,3,FALSE),"")</f>
        <v/>
      </c>
      <c r="S144">
        <f>IFERROR(VLOOKUP(N144,'הגדרות'!$A$11:$D$25,2,FALSE),"")</f>
        <v/>
      </c>
      <c r="T144">
        <f>IFERROR(VLOOKUP(N144,'הגדרות'!$A$11:$D$25,3,FALSE),"")</f>
        <v/>
      </c>
      <c r="AB144" s="11" t="n"/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E145">
        <f>IFERROR(INDEX('הגדרות'!$D$104:$D$123,MATCH(B145&amp;G145&amp;C145,'הגדרות'!$A$104:$A$123&amp;'הגדרות'!$B$104:$B$123&amp;'הגדרות'!$C$104:$C$123,0)),"")</f>
        <v/>
      </c>
      <c r="F145" s="11" t="n"/>
      <c r="Q145">
        <f>IFERROR(VLOOKUP(M145,'הגדרות'!$A$11:$D$25,2,FALSE),"")</f>
        <v/>
      </c>
      <c r="R145">
        <f>IFERROR(VLOOKUP(M145,'הגדרות'!$A$11:$D$25,3,FALSE),"")</f>
        <v/>
      </c>
      <c r="S145">
        <f>IFERROR(VLOOKUP(N145,'הגדרות'!$A$11:$D$25,2,FALSE),"")</f>
        <v/>
      </c>
      <c r="T145">
        <f>IFERROR(VLOOKUP(N145,'הגדרות'!$A$11:$D$25,3,FALSE),"")</f>
        <v/>
      </c>
      <c r="AB145" s="11" t="n"/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E146">
        <f>IFERROR(INDEX('הגדרות'!$D$104:$D$123,MATCH(B146&amp;G146&amp;C146,'הגדרות'!$A$104:$A$123&amp;'הגדרות'!$B$104:$B$123&amp;'הגדרות'!$C$104:$C$123,0)),"")</f>
        <v/>
      </c>
      <c r="F146" s="11" t="n"/>
      <c r="Q146">
        <f>IFERROR(VLOOKUP(M146,'הגדרות'!$A$11:$D$25,2,FALSE),"")</f>
        <v/>
      </c>
      <c r="R146">
        <f>IFERROR(VLOOKUP(M146,'הגדרות'!$A$11:$D$25,3,FALSE),"")</f>
        <v/>
      </c>
      <c r="S146">
        <f>IFERROR(VLOOKUP(N146,'הגדרות'!$A$11:$D$25,2,FALSE),"")</f>
        <v/>
      </c>
      <c r="T146">
        <f>IFERROR(VLOOKUP(N146,'הגדרות'!$A$11:$D$25,3,FALSE),"")</f>
        <v/>
      </c>
      <c r="AB146" s="11" t="n"/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E147">
        <f>IFERROR(INDEX('הגדרות'!$D$104:$D$123,MATCH(B147&amp;G147&amp;C147,'הגדרות'!$A$104:$A$123&amp;'הגדרות'!$B$104:$B$123&amp;'הגדרות'!$C$104:$C$123,0)),"")</f>
        <v/>
      </c>
      <c r="F147" s="11" t="n"/>
      <c r="Q147">
        <f>IFERROR(VLOOKUP(M147,'הגדרות'!$A$11:$D$25,2,FALSE),"")</f>
        <v/>
      </c>
      <c r="R147">
        <f>IFERROR(VLOOKUP(M147,'הגדרות'!$A$11:$D$25,3,FALSE),"")</f>
        <v/>
      </c>
      <c r="S147">
        <f>IFERROR(VLOOKUP(N147,'הגדרות'!$A$11:$D$25,2,FALSE),"")</f>
        <v/>
      </c>
      <c r="T147">
        <f>IFERROR(VLOOKUP(N147,'הגדרות'!$A$11:$D$25,3,FALSE),"")</f>
        <v/>
      </c>
      <c r="AB147" s="11" t="n"/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E148">
        <f>IFERROR(INDEX('הגדרות'!$D$104:$D$123,MATCH(B148&amp;G148&amp;C148,'הגדרות'!$A$104:$A$123&amp;'הגדרות'!$B$104:$B$123&amp;'הגדרות'!$C$104:$C$123,0)),"")</f>
        <v/>
      </c>
      <c r="F148" s="11" t="n"/>
      <c r="Q148">
        <f>IFERROR(VLOOKUP(M148,'הגדרות'!$A$11:$D$25,2,FALSE),"")</f>
        <v/>
      </c>
      <c r="R148">
        <f>IFERROR(VLOOKUP(M148,'הגדרות'!$A$11:$D$25,3,FALSE),"")</f>
        <v/>
      </c>
      <c r="S148">
        <f>IFERROR(VLOOKUP(N148,'הגדרות'!$A$11:$D$25,2,FALSE),"")</f>
        <v/>
      </c>
      <c r="T148">
        <f>IFERROR(VLOOKUP(N148,'הגדרות'!$A$11:$D$25,3,FALSE),"")</f>
        <v/>
      </c>
      <c r="AB148" s="11" t="n"/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E149">
        <f>IFERROR(INDEX('הגדרות'!$D$104:$D$123,MATCH(B149&amp;G149&amp;C149,'הגדרות'!$A$104:$A$123&amp;'הגדרות'!$B$104:$B$123&amp;'הגדרות'!$C$104:$C$123,0)),"")</f>
        <v/>
      </c>
      <c r="F149" s="11" t="n"/>
      <c r="Q149">
        <f>IFERROR(VLOOKUP(M149,'הגדרות'!$A$11:$D$25,2,FALSE),"")</f>
        <v/>
      </c>
      <c r="R149">
        <f>IFERROR(VLOOKUP(M149,'הגדרות'!$A$11:$D$25,3,FALSE),"")</f>
        <v/>
      </c>
      <c r="S149">
        <f>IFERROR(VLOOKUP(N149,'הגדרות'!$A$11:$D$25,2,FALSE),"")</f>
        <v/>
      </c>
      <c r="T149">
        <f>IFERROR(VLOOKUP(N149,'הגדרות'!$A$11:$D$25,3,FALSE),"")</f>
        <v/>
      </c>
      <c r="AB149" s="11" t="n"/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E150">
        <f>IFERROR(INDEX('הגדרות'!$D$104:$D$123,MATCH(B150&amp;G150&amp;C150,'הגדרות'!$A$104:$A$123&amp;'הגדרות'!$B$104:$B$123&amp;'הגדרות'!$C$104:$C$123,0)),"")</f>
        <v/>
      </c>
      <c r="F150" s="11" t="n"/>
      <c r="Q150">
        <f>IFERROR(VLOOKUP(M150,'הגדרות'!$A$11:$D$25,2,FALSE),"")</f>
        <v/>
      </c>
      <c r="R150">
        <f>IFERROR(VLOOKUP(M150,'הגדרות'!$A$11:$D$25,3,FALSE),"")</f>
        <v/>
      </c>
      <c r="S150">
        <f>IFERROR(VLOOKUP(N150,'הגדרות'!$A$11:$D$25,2,FALSE),"")</f>
        <v/>
      </c>
      <c r="T150">
        <f>IFERROR(VLOOKUP(N150,'הגדרות'!$A$11:$D$25,3,FALSE),"")</f>
        <v/>
      </c>
      <c r="AB150" s="11" t="n"/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E151">
        <f>IFERROR(INDEX('הגדרות'!$D$104:$D$123,MATCH(B151&amp;G151&amp;C151,'הגדרות'!$A$104:$A$123&amp;'הגדרות'!$B$104:$B$123&amp;'הגדרות'!$C$104:$C$123,0)),"")</f>
        <v/>
      </c>
      <c r="F151" s="11" t="n"/>
      <c r="Q151">
        <f>IFERROR(VLOOKUP(M151,'הגדרות'!$A$11:$D$25,2,FALSE),"")</f>
        <v/>
      </c>
      <c r="R151">
        <f>IFERROR(VLOOKUP(M151,'הגדרות'!$A$11:$D$25,3,FALSE),"")</f>
        <v/>
      </c>
      <c r="S151">
        <f>IFERROR(VLOOKUP(N151,'הגדרות'!$A$11:$D$25,2,FALSE),"")</f>
        <v/>
      </c>
      <c r="T151">
        <f>IFERROR(VLOOKUP(N151,'הגדרות'!$A$11:$D$25,3,FALSE),"")</f>
        <v/>
      </c>
      <c r="AB151" s="11" t="n"/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E152">
        <f>IFERROR(INDEX('הגדרות'!$D$104:$D$123,MATCH(B152&amp;G152&amp;C152,'הגדרות'!$A$104:$A$123&amp;'הגדרות'!$B$104:$B$123&amp;'הגדרות'!$C$104:$C$123,0)),"")</f>
        <v/>
      </c>
      <c r="F152" s="11" t="n"/>
      <c r="Q152">
        <f>IFERROR(VLOOKUP(M152,'הגדרות'!$A$11:$D$25,2,FALSE),"")</f>
        <v/>
      </c>
      <c r="R152">
        <f>IFERROR(VLOOKUP(M152,'הגדרות'!$A$11:$D$25,3,FALSE),"")</f>
        <v/>
      </c>
      <c r="S152">
        <f>IFERROR(VLOOKUP(N152,'הגדרות'!$A$11:$D$25,2,FALSE),"")</f>
        <v/>
      </c>
      <c r="T152">
        <f>IFERROR(VLOOKUP(N152,'הגדרות'!$A$11:$D$25,3,FALSE),"")</f>
        <v/>
      </c>
      <c r="AB152" s="11" t="n"/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E153">
        <f>IFERROR(INDEX('הגדרות'!$D$104:$D$123,MATCH(B153&amp;G153&amp;C153,'הגדרות'!$A$104:$A$123&amp;'הגדרות'!$B$104:$B$123&amp;'הגדרות'!$C$104:$C$123,0)),"")</f>
        <v/>
      </c>
      <c r="F153" s="11" t="n"/>
      <c r="Q153">
        <f>IFERROR(VLOOKUP(M153,'הגדרות'!$A$11:$D$25,2,FALSE),"")</f>
        <v/>
      </c>
      <c r="R153">
        <f>IFERROR(VLOOKUP(M153,'הגדרות'!$A$11:$D$25,3,FALSE),"")</f>
        <v/>
      </c>
      <c r="S153">
        <f>IFERROR(VLOOKUP(N153,'הגדרות'!$A$11:$D$25,2,FALSE),"")</f>
        <v/>
      </c>
      <c r="T153">
        <f>IFERROR(VLOOKUP(N153,'הגדרות'!$A$11:$D$25,3,FALSE),"")</f>
        <v/>
      </c>
      <c r="AB153" s="11" t="n"/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E154">
        <f>IFERROR(INDEX('הגדרות'!$D$104:$D$123,MATCH(B154&amp;G154&amp;C154,'הגדרות'!$A$104:$A$123&amp;'הגדרות'!$B$104:$B$123&amp;'הגדרות'!$C$104:$C$123,0)),"")</f>
        <v/>
      </c>
      <c r="F154" s="11" t="n"/>
      <c r="Q154">
        <f>IFERROR(VLOOKUP(M154,'הגדרות'!$A$11:$D$25,2,FALSE),"")</f>
        <v/>
      </c>
      <c r="R154">
        <f>IFERROR(VLOOKUP(M154,'הגדרות'!$A$11:$D$25,3,FALSE),"")</f>
        <v/>
      </c>
      <c r="S154">
        <f>IFERROR(VLOOKUP(N154,'הגדרות'!$A$11:$D$25,2,FALSE),"")</f>
        <v/>
      </c>
      <c r="T154">
        <f>IFERROR(VLOOKUP(N154,'הגדרות'!$A$11:$D$25,3,FALSE),"")</f>
        <v/>
      </c>
      <c r="AB154" s="11" t="n"/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E155">
        <f>IFERROR(INDEX('הגדרות'!$D$104:$D$123,MATCH(B155&amp;G155&amp;C155,'הגדרות'!$A$104:$A$123&amp;'הגדרות'!$B$104:$B$123&amp;'הגדרות'!$C$104:$C$123,0)),"")</f>
        <v/>
      </c>
      <c r="F155" s="11" t="n"/>
      <c r="Q155">
        <f>IFERROR(VLOOKUP(M155,'הגדרות'!$A$11:$D$25,2,FALSE),"")</f>
        <v/>
      </c>
      <c r="R155">
        <f>IFERROR(VLOOKUP(M155,'הגדרות'!$A$11:$D$25,3,FALSE),"")</f>
        <v/>
      </c>
      <c r="S155">
        <f>IFERROR(VLOOKUP(N155,'הגדרות'!$A$11:$D$25,2,FALSE),"")</f>
        <v/>
      </c>
      <c r="T155">
        <f>IFERROR(VLOOKUP(N155,'הגדרות'!$A$11:$D$25,3,FALSE),"")</f>
        <v/>
      </c>
      <c r="AB155" s="11" t="n"/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E156">
        <f>IFERROR(INDEX('הגדרות'!$D$104:$D$123,MATCH(B156&amp;G156&amp;C156,'הגדרות'!$A$104:$A$123&amp;'הגדרות'!$B$104:$B$123&amp;'הגדרות'!$C$104:$C$123,0)),"")</f>
        <v/>
      </c>
      <c r="F156" s="11" t="n"/>
      <c r="Q156">
        <f>IFERROR(VLOOKUP(M156,'הגדרות'!$A$11:$D$25,2,FALSE),"")</f>
        <v/>
      </c>
      <c r="R156">
        <f>IFERROR(VLOOKUP(M156,'הגדרות'!$A$11:$D$25,3,FALSE),"")</f>
        <v/>
      </c>
      <c r="S156">
        <f>IFERROR(VLOOKUP(N156,'הגדרות'!$A$11:$D$25,2,FALSE),"")</f>
        <v/>
      </c>
      <c r="T156">
        <f>IFERROR(VLOOKUP(N156,'הגדרות'!$A$11:$D$25,3,FALSE),"")</f>
        <v/>
      </c>
      <c r="AB156" s="11" t="n"/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E157">
        <f>IFERROR(INDEX('הגדרות'!$D$104:$D$123,MATCH(B157&amp;G157&amp;C157,'הגדרות'!$A$104:$A$123&amp;'הגדרות'!$B$104:$B$123&amp;'הגדרות'!$C$104:$C$123,0)),"")</f>
        <v/>
      </c>
      <c r="F157" s="11" t="n"/>
      <c r="Q157">
        <f>IFERROR(VLOOKUP(M157,'הגדרות'!$A$11:$D$25,2,FALSE),"")</f>
        <v/>
      </c>
      <c r="R157">
        <f>IFERROR(VLOOKUP(M157,'הגדרות'!$A$11:$D$25,3,FALSE),"")</f>
        <v/>
      </c>
      <c r="S157">
        <f>IFERROR(VLOOKUP(N157,'הגדרות'!$A$11:$D$25,2,FALSE),"")</f>
        <v/>
      </c>
      <c r="T157">
        <f>IFERROR(VLOOKUP(N157,'הגדרות'!$A$11:$D$25,3,FALSE),"")</f>
        <v/>
      </c>
      <c r="AB157" s="11" t="n"/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E158">
        <f>IFERROR(INDEX('הגדרות'!$D$104:$D$123,MATCH(B158&amp;G158&amp;C158,'הגדרות'!$A$104:$A$123&amp;'הגדרות'!$B$104:$B$123&amp;'הגדרות'!$C$104:$C$123,0)),"")</f>
        <v/>
      </c>
      <c r="F158" s="11" t="n"/>
      <c r="Q158">
        <f>IFERROR(VLOOKUP(M158,'הגדרות'!$A$11:$D$25,2,FALSE),"")</f>
        <v/>
      </c>
      <c r="R158">
        <f>IFERROR(VLOOKUP(M158,'הגדרות'!$A$11:$D$25,3,FALSE),"")</f>
        <v/>
      </c>
      <c r="S158">
        <f>IFERROR(VLOOKUP(N158,'הגדרות'!$A$11:$D$25,2,FALSE),"")</f>
        <v/>
      </c>
      <c r="T158">
        <f>IFERROR(VLOOKUP(N158,'הגדרות'!$A$11:$D$25,3,FALSE),"")</f>
        <v/>
      </c>
      <c r="AB158" s="11" t="n"/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E159">
        <f>IFERROR(INDEX('הגדרות'!$D$104:$D$123,MATCH(B159&amp;G159&amp;C159,'הגדרות'!$A$104:$A$123&amp;'הגדרות'!$B$104:$B$123&amp;'הגדרות'!$C$104:$C$123,0)),"")</f>
        <v/>
      </c>
      <c r="F159" s="11" t="n"/>
      <c r="Q159">
        <f>IFERROR(VLOOKUP(M159,'הגדרות'!$A$11:$D$25,2,FALSE),"")</f>
        <v/>
      </c>
      <c r="R159">
        <f>IFERROR(VLOOKUP(M159,'הגדרות'!$A$11:$D$25,3,FALSE),"")</f>
        <v/>
      </c>
      <c r="S159">
        <f>IFERROR(VLOOKUP(N159,'הגדרות'!$A$11:$D$25,2,FALSE),"")</f>
        <v/>
      </c>
      <c r="T159">
        <f>IFERROR(VLOOKUP(N159,'הגדרות'!$A$11:$D$25,3,FALSE),"")</f>
        <v/>
      </c>
      <c r="AB159" s="11" t="n"/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E160">
        <f>IFERROR(INDEX('הגדרות'!$D$104:$D$123,MATCH(B160&amp;G160&amp;C160,'הגדרות'!$A$104:$A$123&amp;'הגדרות'!$B$104:$B$123&amp;'הגדרות'!$C$104:$C$123,0)),"")</f>
        <v/>
      </c>
      <c r="F160" s="11" t="n"/>
      <c r="Q160">
        <f>IFERROR(VLOOKUP(M160,'הגדרות'!$A$11:$D$25,2,FALSE),"")</f>
        <v/>
      </c>
      <c r="R160">
        <f>IFERROR(VLOOKUP(M160,'הגדרות'!$A$11:$D$25,3,FALSE),"")</f>
        <v/>
      </c>
      <c r="S160">
        <f>IFERROR(VLOOKUP(N160,'הגדרות'!$A$11:$D$25,2,FALSE),"")</f>
        <v/>
      </c>
      <c r="T160">
        <f>IFERROR(VLOOKUP(N160,'הגדרות'!$A$11:$D$25,3,FALSE),"")</f>
        <v/>
      </c>
      <c r="AB160" s="11" t="n"/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E161">
        <f>IFERROR(INDEX('הגדרות'!$D$104:$D$123,MATCH(B161&amp;G161&amp;C161,'הגדרות'!$A$104:$A$123&amp;'הגדרות'!$B$104:$B$123&amp;'הגדרות'!$C$104:$C$123,0)),"")</f>
        <v/>
      </c>
      <c r="F161" s="11" t="n"/>
      <c r="Q161">
        <f>IFERROR(VLOOKUP(M161,'הגדרות'!$A$11:$D$25,2,FALSE),"")</f>
        <v/>
      </c>
      <c r="R161">
        <f>IFERROR(VLOOKUP(M161,'הגדרות'!$A$11:$D$25,3,FALSE),"")</f>
        <v/>
      </c>
      <c r="S161">
        <f>IFERROR(VLOOKUP(N161,'הגדרות'!$A$11:$D$25,2,FALSE),"")</f>
        <v/>
      </c>
      <c r="T161">
        <f>IFERROR(VLOOKUP(N161,'הגדרות'!$A$11:$D$25,3,FALSE),"")</f>
        <v/>
      </c>
      <c r="AB161" s="11" t="n"/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E162">
        <f>IFERROR(INDEX('הגדרות'!$D$104:$D$123,MATCH(B162&amp;G162&amp;C162,'הגדרות'!$A$104:$A$123&amp;'הגדרות'!$B$104:$B$123&amp;'הגדרות'!$C$104:$C$123,0)),"")</f>
        <v/>
      </c>
      <c r="F162" s="11" t="n"/>
      <c r="Q162">
        <f>IFERROR(VLOOKUP(M162,'הגדרות'!$A$11:$D$25,2,FALSE),"")</f>
        <v/>
      </c>
      <c r="R162">
        <f>IFERROR(VLOOKUP(M162,'הגדרות'!$A$11:$D$25,3,FALSE),"")</f>
        <v/>
      </c>
      <c r="S162">
        <f>IFERROR(VLOOKUP(N162,'הגדרות'!$A$11:$D$25,2,FALSE),"")</f>
        <v/>
      </c>
      <c r="T162">
        <f>IFERROR(VLOOKUP(N162,'הגדרות'!$A$11:$D$25,3,FALSE),"")</f>
        <v/>
      </c>
      <c r="AB162" s="11" t="n"/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E163">
        <f>IFERROR(INDEX('הגדרות'!$D$104:$D$123,MATCH(B163&amp;G163&amp;C163,'הגדרות'!$A$104:$A$123&amp;'הגדרות'!$B$104:$B$123&amp;'הגדרות'!$C$104:$C$123,0)),"")</f>
        <v/>
      </c>
      <c r="F163" s="11" t="n"/>
      <c r="Q163">
        <f>IFERROR(VLOOKUP(M163,'הגדרות'!$A$11:$D$25,2,FALSE),"")</f>
        <v/>
      </c>
      <c r="R163">
        <f>IFERROR(VLOOKUP(M163,'הגדרות'!$A$11:$D$25,3,FALSE),"")</f>
        <v/>
      </c>
      <c r="S163">
        <f>IFERROR(VLOOKUP(N163,'הגדרות'!$A$11:$D$25,2,FALSE),"")</f>
        <v/>
      </c>
      <c r="T163">
        <f>IFERROR(VLOOKUP(N163,'הגדרות'!$A$11:$D$25,3,FALSE),"")</f>
        <v/>
      </c>
      <c r="AB163" s="11" t="n"/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E164">
        <f>IFERROR(INDEX('הגדרות'!$D$104:$D$123,MATCH(B164&amp;G164&amp;C164,'הגדרות'!$A$104:$A$123&amp;'הגדרות'!$B$104:$B$123&amp;'הגדרות'!$C$104:$C$123,0)),"")</f>
        <v/>
      </c>
      <c r="F164" s="11" t="n"/>
      <c r="Q164">
        <f>IFERROR(VLOOKUP(M164,'הגדרות'!$A$11:$D$25,2,FALSE),"")</f>
        <v/>
      </c>
      <c r="R164">
        <f>IFERROR(VLOOKUP(M164,'הגדרות'!$A$11:$D$25,3,FALSE),"")</f>
        <v/>
      </c>
      <c r="S164">
        <f>IFERROR(VLOOKUP(N164,'הגדרות'!$A$11:$D$25,2,FALSE),"")</f>
        <v/>
      </c>
      <c r="T164">
        <f>IFERROR(VLOOKUP(N164,'הגדרות'!$A$11:$D$25,3,FALSE),"")</f>
        <v/>
      </c>
      <c r="AB164" s="11" t="n"/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E165">
        <f>IFERROR(INDEX('הגדרות'!$D$104:$D$123,MATCH(B165&amp;G165&amp;C165,'הגדרות'!$A$104:$A$123&amp;'הגדרות'!$B$104:$B$123&amp;'הגדרות'!$C$104:$C$123,0)),"")</f>
        <v/>
      </c>
      <c r="F165" s="11" t="n"/>
      <c r="Q165">
        <f>IFERROR(VLOOKUP(M165,'הגדרות'!$A$11:$D$25,2,FALSE),"")</f>
        <v/>
      </c>
      <c r="R165">
        <f>IFERROR(VLOOKUP(M165,'הגדרות'!$A$11:$D$25,3,FALSE),"")</f>
        <v/>
      </c>
      <c r="S165">
        <f>IFERROR(VLOOKUP(N165,'הגדרות'!$A$11:$D$25,2,FALSE),"")</f>
        <v/>
      </c>
      <c r="T165">
        <f>IFERROR(VLOOKUP(N165,'הגדרות'!$A$11:$D$25,3,FALSE),"")</f>
        <v/>
      </c>
      <c r="AB165" s="11" t="n"/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E166">
        <f>IFERROR(INDEX('הגדרות'!$D$104:$D$123,MATCH(B166&amp;G166&amp;C166,'הגדרות'!$A$104:$A$123&amp;'הגדרות'!$B$104:$B$123&amp;'הגדרות'!$C$104:$C$123,0)),"")</f>
        <v/>
      </c>
      <c r="F166" s="11" t="n"/>
      <c r="Q166">
        <f>IFERROR(VLOOKUP(M166,'הגדרות'!$A$11:$D$25,2,FALSE),"")</f>
        <v/>
      </c>
      <c r="R166">
        <f>IFERROR(VLOOKUP(M166,'הגדרות'!$A$11:$D$25,3,FALSE),"")</f>
        <v/>
      </c>
      <c r="S166">
        <f>IFERROR(VLOOKUP(N166,'הגדרות'!$A$11:$D$25,2,FALSE),"")</f>
        <v/>
      </c>
      <c r="T166">
        <f>IFERROR(VLOOKUP(N166,'הגדרות'!$A$11:$D$25,3,FALSE),"")</f>
        <v/>
      </c>
      <c r="AB166" s="11" t="n"/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E167">
        <f>IFERROR(INDEX('הגדרות'!$D$104:$D$123,MATCH(B167&amp;G167&amp;C167,'הגדרות'!$A$104:$A$123&amp;'הגדרות'!$B$104:$B$123&amp;'הגדרות'!$C$104:$C$123,0)),"")</f>
        <v/>
      </c>
      <c r="F167" s="11" t="n"/>
      <c r="Q167">
        <f>IFERROR(VLOOKUP(M167,'הגדרות'!$A$11:$D$25,2,FALSE),"")</f>
        <v/>
      </c>
      <c r="R167">
        <f>IFERROR(VLOOKUP(M167,'הגדרות'!$A$11:$D$25,3,FALSE),"")</f>
        <v/>
      </c>
      <c r="S167">
        <f>IFERROR(VLOOKUP(N167,'הגדרות'!$A$11:$D$25,2,FALSE),"")</f>
        <v/>
      </c>
      <c r="T167">
        <f>IFERROR(VLOOKUP(N167,'הגדרות'!$A$11:$D$25,3,FALSE),"")</f>
        <v/>
      </c>
      <c r="AB167" s="11" t="n"/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E168">
        <f>IFERROR(INDEX('הגדרות'!$D$104:$D$123,MATCH(B168&amp;G168&amp;C168,'הגדרות'!$A$104:$A$123&amp;'הגדרות'!$B$104:$B$123&amp;'הגדרות'!$C$104:$C$123,0)),"")</f>
        <v/>
      </c>
      <c r="F168" s="11" t="n"/>
      <c r="Q168">
        <f>IFERROR(VLOOKUP(M168,'הגדרות'!$A$11:$D$25,2,FALSE),"")</f>
        <v/>
      </c>
      <c r="R168">
        <f>IFERROR(VLOOKUP(M168,'הגדרות'!$A$11:$D$25,3,FALSE),"")</f>
        <v/>
      </c>
      <c r="S168">
        <f>IFERROR(VLOOKUP(N168,'הגדרות'!$A$11:$D$25,2,FALSE),"")</f>
        <v/>
      </c>
      <c r="T168">
        <f>IFERROR(VLOOKUP(N168,'הגדרות'!$A$11:$D$25,3,FALSE),"")</f>
        <v/>
      </c>
      <c r="AB168" s="11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E169">
        <f>IFERROR(INDEX('הגדרות'!$D$104:$D$123,MATCH(B169&amp;G169&amp;C169,'הגדרות'!$A$104:$A$123&amp;'הגדרות'!$B$104:$B$123&amp;'הגדרות'!$C$104:$C$123,0)),"")</f>
        <v/>
      </c>
      <c r="F169" s="11" t="n"/>
      <c r="Q169">
        <f>IFERROR(VLOOKUP(M169,'הגדרות'!$A$11:$D$25,2,FALSE),"")</f>
        <v/>
      </c>
      <c r="R169">
        <f>IFERROR(VLOOKUP(M169,'הגדרות'!$A$11:$D$25,3,FALSE),"")</f>
        <v/>
      </c>
      <c r="S169">
        <f>IFERROR(VLOOKUP(N169,'הגדרות'!$A$11:$D$25,2,FALSE),"")</f>
        <v/>
      </c>
      <c r="T169">
        <f>IFERROR(VLOOKUP(N169,'הגדרות'!$A$11:$D$25,3,FALSE),"")</f>
        <v/>
      </c>
      <c r="AB169" s="11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E170">
        <f>IFERROR(INDEX('הגדרות'!$D$104:$D$123,MATCH(B170&amp;G170&amp;C170,'הגדרות'!$A$104:$A$123&amp;'הגדרות'!$B$104:$B$123&amp;'הגדרות'!$C$104:$C$123,0)),"")</f>
        <v/>
      </c>
      <c r="F170" s="11" t="n"/>
      <c r="Q170">
        <f>IFERROR(VLOOKUP(M170,'הגדרות'!$A$11:$D$25,2,FALSE),"")</f>
        <v/>
      </c>
      <c r="R170">
        <f>IFERROR(VLOOKUP(M170,'הגדרות'!$A$11:$D$25,3,FALSE),"")</f>
        <v/>
      </c>
      <c r="S170">
        <f>IFERROR(VLOOKUP(N170,'הגדרות'!$A$11:$D$25,2,FALSE),"")</f>
        <v/>
      </c>
      <c r="T170">
        <f>IFERROR(VLOOKUP(N170,'הגדרות'!$A$11:$D$25,3,FALSE),"")</f>
        <v/>
      </c>
      <c r="AB170" s="11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E171">
        <f>IFERROR(INDEX('הגדרות'!$D$104:$D$123,MATCH(B171&amp;G171&amp;C171,'הגדרות'!$A$104:$A$123&amp;'הגדרות'!$B$104:$B$123&amp;'הגדרות'!$C$104:$C$123,0)),"")</f>
        <v/>
      </c>
      <c r="F171" s="11" t="n"/>
      <c r="Q171">
        <f>IFERROR(VLOOKUP(M171,'הגדרות'!$A$11:$D$25,2,FALSE),"")</f>
        <v/>
      </c>
      <c r="R171">
        <f>IFERROR(VLOOKUP(M171,'הגדרות'!$A$11:$D$25,3,FALSE),"")</f>
        <v/>
      </c>
      <c r="S171">
        <f>IFERROR(VLOOKUP(N171,'הגדרות'!$A$11:$D$25,2,FALSE),"")</f>
        <v/>
      </c>
      <c r="T171">
        <f>IFERROR(VLOOKUP(N171,'הגדרות'!$A$11:$D$25,3,FALSE),"")</f>
        <v/>
      </c>
      <c r="AB171" s="11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E172">
        <f>IFERROR(INDEX('הגדרות'!$D$104:$D$123,MATCH(B172&amp;G172&amp;C172,'הגדרות'!$A$104:$A$123&amp;'הגדרות'!$B$104:$B$123&amp;'הגדרות'!$C$104:$C$123,0)),"")</f>
        <v/>
      </c>
      <c r="F172" s="11" t="n"/>
      <c r="Q172">
        <f>IFERROR(VLOOKUP(M172,'הגדרות'!$A$11:$D$25,2,FALSE),"")</f>
        <v/>
      </c>
      <c r="R172">
        <f>IFERROR(VLOOKUP(M172,'הגדרות'!$A$11:$D$25,3,FALSE),"")</f>
        <v/>
      </c>
      <c r="S172">
        <f>IFERROR(VLOOKUP(N172,'הגדרות'!$A$11:$D$25,2,FALSE),"")</f>
        <v/>
      </c>
      <c r="T172">
        <f>IFERROR(VLOOKUP(N172,'הגדרות'!$A$11:$D$25,3,FALSE),"")</f>
        <v/>
      </c>
      <c r="AB172" s="11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E173">
        <f>IFERROR(INDEX('הגדרות'!$D$104:$D$123,MATCH(B173&amp;G173&amp;C173,'הגדרות'!$A$104:$A$123&amp;'הגדרות'!$B$104:$B$123&amp;'הגדרות'!$C$104:$C$123,0)),"")</f>
        <v/>
      </c>
      <c r="F173" s="11" t="n"/>
      <c r="Q173">
        <f>IFERROR(VLOOKUP(M173,'הגדרות'!$A$11:$D$25,2,FALSE),"")</f>
        <v/>
      </c>
      <c r="R173">
        <f>IFERROR(VLOOKUP(M173,'הגדרות'!$A$11:$D$25,3,FALSE),"")</f>
        <v/>
      </c>
      <c r="S173">
        <f>IFERROR(VLOOKUP(N173,'הגדרות'!$A$11:$D$25,2,FALSE),"")</f>
        <v/>
      </c>
      <c r="T173">
        <f>IFERROR(VLOOKUP(N173,'הגדרות'!$A$11:$D$25,3,FALSE),"")</f>
        <v/>
      </c>
      <c r="AB173" s="11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E174">
        <f>IFERROR(INDEX('הגדרות'!$D$104:$D$123,MATCH(B174&amp;G174&amp;C174,'הגדרות'!$A$104:$A$123&amp;'הגדרות'!$B$104:$B$123&amp;'הגדרות'!$C$104:$C$123,0)),"")</f>
        <v/>
      </c>
      <c r="F174" s="11" t="n"/>
      <c r="Q174">
        <f>IFERROR(VLOOKUP(M174,'הגדרות'!$A$11:$D$25,2,FALSE),"")</f>
        <v/>
      </c>
      <c r="R174">
        <f>IFERROR(VLOOKUP(M174,'הגדרות'!$A$11:$D$25,3,FALSE),"")</f>
        <v/>
      </c>
      <c r="S174">
        <f>IFERROR(VLOOKUP(N174,'הגדרות'!$A$11:$D$25,2,FALSE),"")</f>
        <v/>
      </c>
      <c r="T174">
        <f>IFERROR(VLOOKUP(N174,'הגדרות'!$A$11:$D$25,3,FALSE),"")</f>
        <v/>
      </c>
      <c r="AB174" s="11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E175">
        <f>IFERROR(INDEX('הגדרות'!$D$104:$D$123,MATCH(B175&amp;G175&amp;C175,'הגדרות'!$A$104:$A$123&amp;'הגדרות'!$B$104:$B$123&amp;'הגדרות'!$C$104:$C$123,0)),"")</f>
        <v/>
      </c>
      <c r="F175" s="11" t="n"/>
      <c r="Q175">
        <f>IFERROR(VLOOKUP(M175,'הגדרות'!$A$11:$D$25,2,FALSE),"")</f>
        <v/>
      </c>
      <c r="R175">
        <f>IFERROR(VLOOKUP(M175,'הגדרות'!$A$11:$D$25,3,FALSE),"")</f>
        <v/>
      </c>
      <c r="S175">
        <f>IFERROR(VLOOKUP(N175,'הגדרות'!$A$11:$D$25,2,FALSE),"")</f>
        <v/>
      </c>
      <c r="T175">
        <f>IFERROR(VLOOKUP(N175,'הגדרות'!$A$11:$D$25,3,FALSE),"")</f>
        <v/>
      </c>
      <c r="AB175" s="11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E176">
        <f>IFERROR(INDEX('הגדרות'!$D$104:$D$123,MATCH(B176&amp;G176&amp;C176,'הגדרות'!$A$104:$A$123&amp;'הגדרות'!$B$104:$B$123&amp;'הגדרות'!$C$104:$C$123,0)),"")</f>
        <v/>
      </c>
      <c r="F176" s="11" t="n"/>
      <c r="Q176">
        <f>IFERROR(VLOOKUP(M176,'הגדרות'!$A$11:$D$25,2,FALSE),"")</f>
        <v/>
      </c>
      <c r="R176">
        <f>IFERROR(VLOOKUP(M176,'הגדרות'!$A$11:$D$25,3,FALSE),"")</f>
        <v/>
      </c>
      <c r="S176">
        <f>IFERROR(VLOOKUP(N176,'הגדרות'!$A$11:$D$25,2,FALSE),"")</f>
        <v/>
      </c>
      <c r="T176">
        <f>IFERROR(VLOOKUP(N176,'הגדרות'!$A$11:$D$25,3,FALSE),"")</f>
        <v/>
      </c>
      <c r="AB176" s="11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E177">
        <f>IFERROR(INDEX('הגדרות'!$D$104:$D$123,MATCH(B177&amp;G177&amp;C177,'הגדרות'!$A$104:$A$123&amp;'הגדרות'!$B$104:$B$123&amp;'הגדרות'!$C$104:$C$123,0)),"")</f>
        <v/>
      </c>
      <c r="F177" s="11" t="n"/>
      <c r="Q177">
        <f>IFERROR(VLOOKUP(M177,'הגדרות'!$A$11:$D$25,2,FALSE),"")</f>
        <v/>
      </c>
      <c r="R177">
        <f>IFERROR(VLOOKUP(M177,'הגדרות'!$A$11:$D$25,3,FALSE),"")</f>
        <v/>
      </c>
      <c r="S177">
        <f>IFERROR(VLOOKUP(N177,'הגדרות'!$A$11:$D$25,2,FALSE),"")</f>
        <v/>
      </c>
      <c r="T177">
        <f>IFERROR(VLOOKUP(N177,'הגדרות'!$A$11:$D$25,3,FALSE),"")</f>
        <v/>
      </c>
      <c r="AB177" s="11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E178">
        <f>IFERROR(INDEX('הגדרות'!$D$104:$D$123,MATCH(B178&amp;G178&amp;C178,'הגדרות'!$A$104:$A$123&amp;'הגדרות'!$B$104:$B$123&amp;'הגדרות'!$C$104:$C$123,0)),"")</f>
        <v/>
      </c>
      <c r="F178" s="11" t="n"/>
      <c r="Q178">
        <f>IFERROR(VLOOKUP(M178,'הגדרות'!$A$11:$D$25,2,FALSE),"")</f>
        <v/>
      </c>
      <c r="R178">
        <f>IFERROR(VLOOKUP(M178,'הגדרות'!$A$11:$D$25,3,FALSE),"")</f>
        <v/>
      </c>
      <c r="S178">
        <f>IFERROR(VLOOKUP(N178,'הגדרות'!$A$11:$D$25,2,FALSE),"")</f>
        <v/>
      </c>
      <c r="T178">
        <f>IFERROR(VLOOKUP(N178,'הגדרות'!$A$11:$D$25,3,FALSE),"")</f>
        <v/>
      </c>
      <c r="AB178" s="11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E179">
        <f>IFERROR(INDEX('הגדרות'!$D$104:$D$123,MATCH(B179&amp;G179&amp;C179,'הגדרות'!$A$104:$A$123&amp;'הגדרות'!$B$104:$B$123&amp;'הגדרות'!$C$104:$C$123,0)),"")</f>
        <v/>
      </c>
      <c r="F179" s="11" t="n"/>
      <c r="Q179">
        <f>IFERROR(VLOOKUP(M179,'הגדרות'!$A$11:$D$25,2,FALSE),"")</f>
        <v/>
      </c>
      <c r="R179">
        <f>IFERROR(VLOOKUP(M179,'הגדרות'!$A$11:$D$25,3,FALSE),"")</f>
        <v/>
      </c>
      <c r="S179">
        <f>IFERROR(VLOOKUP(N179,'הגדרות'!$A$11:$D$25,2,FALSE),"")</f>
        <v/>
      </c>
      <c r="T179">
        <f>IFERROR(VLOOKUP(N179,'הגדרות'!$A$11:$D$25,3,FALSE),"")</f>
        <v/>
      </c>
      <c r="AB179" s="11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E180">
        <f>IFERROR(INDEX('הגדרות'!$D$104:$D$123,MATCH(B180&amp;G180&amp;C180,'הגדרות'!$A$104:$A$123&amp;'הגדרות'!$B$104:$B$123&amp;'הגדרות'!$C$104:$C$123,0)),"")</f>
        <v/>
      </c>
      <c r="F180" s="11" t="n"/>
      <c r="Q180">
        <f>IFERROR(VLOOKUP(M180,'הגדרות'!$A$11:$D$25,2,FALSE),"")</f>
        <v/>
      </c>
      <c r="R180">
        <f>IFERROR(VLOOKUP(M180,'הגדרות'!$A$11:$D$25,3,FALSE),"")</f>
        <v/>
      </c>
      <c r="S180">
        <f>IFERROR(VLOOKUP(N180,'הגדרות'!$A$11:$D$25,2,FALSE),"")</f>
        <v/>
      </c>
      <c r="T180">
        <f>IFERROR(VLOOKUP(N180,'הגדרות'!$A$11:$D$25,3,FALSE),"")</f>
        <v/>
      </c>
      <c r="AB180" s="11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E181">
        <f>IFERROR(INDEX('הגדרות'!$D$104:$D$123,MATCH(B181&amp;G181&amp;C181,'הגדרות'!$A$104:$A$123&amp;'הגדרות'!$B$104:$B$123&amp;'הגדרות'!$C$104:$C$123,0)),"")</f>
        <v/>
      </c>
      <c r="F181" s="11" t="n"/>
      <c r="Q181">
        <f>IFERROR(VLOOKUP(M181,'הגדרות'!$A$11:$D$25,2,FALSE),"")</f>
        <v/>
      </c>
      <c r="R181">
        <f>IFERROR(VLOOKUP(M181,'הגדרות'!$A$11:$D$25,3,FALSE),"")</f>
        <v/>
      </c>
      <c r="S181">
        <f>IFERROR(VLOOKUP(N181,'הגדרות'!$A$11:$D$25,2,FALSE),"")</f>
        <v/>
      </c>
      <c r="T181">
        <f>IFERROR(VLOOKUP(N181,'הגדרות'!$A$11:$D$25,3,FALSE),"")</f>
        <v/>
      </c>
      <c r="AB181" s="11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E182">
        <f>IFERROR(INDEX('הגדרות'!$D$104:$D$123,MATCH(B182&amp;G182&amp;C182,'הגדרות'!$A$104:$A$123&amp;'הגדרות'!$B$104:$B$123&amp;'הגדרות'!$C$104:$C$123,0)),"")</f>
        <v/>
      </c>
      <c r="F182" s="11" t="n"/>
      <c r="Q182">
        <f>IFERROR(VLOOKUP(M182,'הגדרות'!$A$11:$D$25,2,FALSE),"")</f>
        <v/>
      </c>
      <c r="R182">
        <f>IFERROR(VLOOKUP(M182,'הגדרות'!$A$11:$D$25,3,FALSE),"")</f>
        <v/>
      </c>
      <c r="S182">
        <f>IFERROR(VLOOKUP(N182,'הגדרות'!$A$11:$D$25,2,FALSE),"")</f>
        <v/>
      </c>
      <c r="T182">
        <f>IFERROR(VLOOKUP(N182,'הגדרות'!$A$11:$D$25,3,FALSE),"")</f>
        <v/>
      </c>
      <c r="AB182" s="11" t="n"/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E183">
        <f>IFERROR(INDEX('הגדרות'!$D$104:$D$123,MATCH(B183&amp;G183&amp;C183,'הגדרות'!$A$104:$A$123&amp;'הגדרות'!$B$104:$B$123&amp;'הגדרות'!$C$104:$C$123,0)),"")</f>
        <v/>
      </c>
      <c r="F183" s="11" t="n"/>
      <c r="Q183">
        <f>IFERROR(VLOOKUP(M183,'הגדרות'!$A$11:$D$25,2,FALSE),"")</f>
        <v/>
      </c>
      <c r="R183">
        <f>IFERROR(VLOOKUP(M183,'הגדרות'!$A$11:$D$25,3,FALSE),"")</f>
        <v/>
      </c>
      <c r="S183">
        <f>IFERROR(VLOOKUP(N183,'הגדרות'!$A$11:$D$25,2,FALSE),"")</f>
        <v/>
      </c>
      <c r="T183">
        <f>IFERROR(VLOOKUP(N183,'הגדרות'!$A$11:$D$25,3,FALSE),"")</f>
        <v/>
      </c>
      <c r="AB183" s="11" t="n"/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E184">
        <f>IFERROR(INDEX('הגדרות'!$D$104:$D$123,MATCH(B184&amp;G184&amp;C184,'הגדרות'!$A$104:$A$123&amp;'הגדרות'!$B$104:$B$123&amp;'הגדרות'!$C$104:$C$123,0)),"")</f>
        <v/>
      </c>
      <c r="F184" s="11" t="n"/>
      <c r="Q184">
        <f>IFERROR(VLOOKUP(M184,'הגדרות'!$A$11:$D$25,2,FALSE),"")</f>
        <v/>
      </c>
      <c r="R184">
        <f>IFERROR(VLOOKUP(M184,'הגדרות'!$A$11:$D$25,3,FALSE),"")</f>
        <v/>
      </c>
      <c r="S184">
        <f>IFERROR(VLOOKUP(N184,'הגדרות'!$A$11:$D$25,2,FALSE),"")</f>
        <v/>
      </c>
      <c r="T184">
        <f>IFERROR(VLOOKUP(N184,'הגדרות'!$A$11:$D$25,3,FALSE),"")</f>
        <v/>
      </c>
      <c r="AB184" s="11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E185">
        <f>IFERROR(INDEX('הגדרות'!$D$104:$D$123,MATCH(B185&amp;G185&amp;C185,'הגדרות'!$A$104:$A$123&amp;'הגדרות'!$B$104:$B$123&amp;'הגדרות'!$C$104:$C$123,0)),"")</f>
        <v/>
      </c>
      <c r="F185" s="11" t="n"/>
      <c r="Q185">
        <f>IFERROR(VLOOKUP(M185,'הגדרות'!$A$11:$D$25,2,FALSE),"")</f>
        <v/>
      </c>
      <c r="R185">
        <f>IFERROR(VLOOKUP(M185,'הגדרות'!$A$11:$D$25,3,FALSE),"")</f>
        <v/>
      </c>
      <c r="S185">
        <f>IFERROR(VLOOKUP(N185,'הגדרות'!$A$11:$D$25,2,FALSE),"")</f>
        <v/>
      </c>
      <c r="T185">
        <f>IFERROR(VLOOKUP(N185,'הגדרות'!$A$11:$D$25,3,FALSE),"")</f>
        <v/>
      </c>
      <c r="AB185" s="11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E186">
        <f>IFERROR(INDEX('הגדרות'!$D$104:$D$123,MATCH(B186&amp;G186&amp;C186,'הגדרות'!$A$104:$A$123&amp;'הגדרות'!$B$104:$B$123&amp;'הגדרות'!$C$104:$C$123,0)),"")</f>
        <v/>
      </c>
      <c r="F186" s="11" t="n"/>
      <c r="Q186">
        <f>IFERROR(VLOOKUP(M186,'הגדרות'!$A$11:$D$25,2,FALSE),"")</f>
        <v/>
      </c>
      <c r="R186">
        <f>IFERROR(VLOOKUP(M186,'הגדרות'!$A$11:$D$25,3,FALSE),"")</f>
        <v/>
      </c>
      <c r="S186">
        <f>IFERROR(VLOOKUP(N186,'הגדרות'!$A$11:$D$25,2,FALSE),"")</f>
        <v/>
      </c>
      <c r="T186">
        <f>IFERROR(VLOOKUP(N186,'הגדרות'!$A$11:$D$25,3,FALSE),"")</f>
        <v/>
      </c>
      <c r="AB186" s="11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E187">
        <f>IFERROR(INDEX('הגדרות'!$D$104:$D$123,MATCH(B187&amp;G187&amp;C187,'הגדרות'!$A$104:$A$123&amp;'הגדרות'!$B$104:$B$123&amp;'הגדרות'!$C$104:$C$123,0)),"")</f>
        <v/>
      </c>
      <c r="F187" s="11" t="n"/>
      <c r="Q187">
        <f>IFERROR(VLOOKUP(M187,'הגדרות'!$A$11:$D$25,2,FALSE),"")</f>
        <v/>
      </c>
      <c r="R187">
        <f>IFERROR(VLOOKUP(M187,'הגדרות'!$A$11:$D$25,3,FALSE),"")</f>
        <v/>
      </c>
      <c r="S187">
        <f>IFERROR(VLOOKUP(N187,'הגדרות'!$A$11:$D$25,2,FALSE),"")</f>
        <v/>
      </c>
      <c r="T187">
        <f>IFERROR(VLOOKUP(N187,'הגדרות'!$A$11:$D$25,3,FALSE),"")</f>
        <v/>
      </c>
      <c r="AB187" s="11" t="n"/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E188">
        <f>IFERROR(INDEX('הגדרות'!$D$104:$D$123,MATCH(B188&amp;G188&amp;C188,'הגדרות'!$A$104:$A$123&amp;'הגדרות'!$B$104:$B$123&amp;'הגדרות'!$C$104:$C$123,0)),"")</f>
        <v/>
      </c>
      <c r="F188" s="11" t="n"/>
      <c r="Q188">
        <f>IFERROR(VLOOKUP(M188,'הגדרות'!$A$11:$D$25,2,FALSE),"")</f>
        <v/>
      </c>
      <c r="R188">
        <f>IFERROR(VLOOKUP(M188,'הגדרות'!$A$11:$D$25,3,FALSE),"")</f>
        <v/>
      </c>
      <c r="S188">
        <f>IFERROR(VLOOKUP(N188,'הגדרות'!$A$11:$D$25,2,FALSE),"")</f>
        <v/>
      </c>
      <c r="T188">
        <f>IFERROR(VLOOKUP(N188,'הגדרות'!$A$11:$D$25,3,FALSE),"")</f>
        <v/>
      </c>
      <c r="AB188" s="11" t="n"/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E189">
        <f>IFERROR(INDEX('הגדרות'!$D$104:$D$123,MATCH(B189&amp;G189&amp;C189,'הגדרות'!$A$104:$A$123&amp;'הגדרות'!$B$104:$B$123&amp;'הגדרות'!$C$104:$C$123,0)),"")</f>
        <v/>
      </c>
      <c r="F189" s="11" t="n"/>
      <c r="Q189">
        <f>IFERROR(VLOOKUP(M189,'הגדרות'!$A$11:$D$25,2,FALSE),"")</f>
        <v/>
      </c>
      <c r="R189">
        <f>IFERROR(VLOOKUP(M189,'הגדרות'!$A$11:$D$25,3,FALSE),"")</f>
        <v/>
      </c>
      <c r="S189">
        <f>IFERROR(VLOOKUP(N189,'הגדרות'!$A$11:$D$25,2,FALSE),"")</f>
        <v/>
      </c>
      <c r="T189">
        <f>IFERROR(VLOOKUP(N189,'הגדרות'!$A$11:$D$25,3,FALSE),"")</f>
        <v/>
      </c>
      <c r="AB189" s="11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E190">
        <f>IFERROR(INDEX('הגדרות'!$D$104:$D$123,MATCH(B190&amp;G190&amp;C190,'הגדרות'!$A$104:$A$123&amp;'הגדרות'!$B$104:$B$123&amp;'הגדרות'!$C$104:$C$123,0)),"")</f>
        <v/>
      </c>
      <c r="F190" s="11" t="n"/>
      <c r="Q190">
        <f>IFERROR(VLOOKUP(M190,'הגדרות'!$A$11:$D$25,2,FALSE),"")</f>
        <v/>
      </c>
      <c r="R190">
        <f>IFERROR(VLOOKUP(M190,'הגדרות'!$A$11:$D$25,3,FALSE),"")</f>
        <v/>
      </c>
      <c r="S190">
        <f>IFERROR(VLOOKUP(N190,'הגדרות'!$A$11:$D$25,2,FALSE),"")</f>
        <v/>
      </c>
      <c r="T190">
        <f>IFERROR(VLOOKUP(N190,'הגדרות'!$A$11:$D$25,3,FALSE),"")</f>
        <v/>
      </c>
      <c r="AB190" s="11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E191">
        <f>IFERROR(INDEX('הגדרות'!$D$104:$D$123,MATCH(B191&amp;G191&amp;C191,'הגדרות'!$A$104:$A$123&amp;'הגדרות'!$B$104:$B$123&amp;'הגדרות'!$C$104:$C$123,0)),"")</f>
        <v/>
      </c>
      <c r="F191" s="11" t="n"/>
      <c r="Q191">
        <f>IFERROR(VLOOKUP(M191,'הגדרות'!$A$11:$D$25,2,FALSE),"")</f>
        <v/>
      </c>
      <c r="R191">
        <f>IFERROR(VLOOKUP(M191,'הגדרות'!$A$11:$D$25,3,FALSE),"")</f>
        <v/>
      </c>
      <c r="S191">
        <f>IFERROR(VLOOKUP(N191,'הגדרות'!$A$11:$D$25,2,FALSE),"")</f>
        <v/>
      </c>
      <c r="T191">
        <f>IFERROR(VLOOKUP(N191,'הגדרות'!$A$11:$D$25,3,FALSE),"")</f>
        <v/>
      </c>
      <c r="AB191" s="11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E192">
        <f>IFERROR(INDEX('הגדרות'!$D$104:$D$123,MATCH(B192&amp;G192&amp;C192,'הגדרות'!$A$104:$A$123&amp;'הגדרות'!$B$104:$B$123&amp;'הגדרות'!$C$104:$C$123,0)),"")</f>
        <v/>
      </c>
      <c r="F192" s="11" t="n"/>
      <c r="Q192">
        <f>IFERROR(VLOOKUP(M192,'הגדרות'!$A$11:$D$25,2,FALSE),"")</f>
        <v/>
      </c>
      <c r="R192">
        <f>IFERROR(VLOOKUP(M192,'הגדרות'!$A$11:$D$25,3,FALSE),"")</f>
        <v/>
      </c>
      <c r="S192">
        <f>IFERROR(VLOOKUP(N192,'הגדרות'!$A$11:$D$25,2,FALSE),"")</f>
        <v/>
      </c>
      <c r="T192">
        <f>IFERROR(VLOOKUP(N192,'הגדרות'!$A$11:$D$25,3,FALSE),"")</f>
        <v/>
      </c>
      <c r="AB192" s="11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E193">
        <f>IFERROR(INDEX('הגדרות'!$D$104:$D$123,MATCH(B193&amp;G193&amp;C193,'הגדרות'!$A$104:$A$123&amp;'הגדרות'!$B$104:$B$123&amp;'הגדרות'!$C$104:$C$123,0)),"")</f>
        <v/>
      </c>
      <c r="F193" s="11" t="n"/>
      <c r="Q193">
        <f>IFERROR(VLOOKUP(M193,'הגדרות'!$A$11:$D$25,2,FALSE),"")</f>
        <v/>
      </c>
      <c r="R193">
        <f>IFERROR(VLOOKUP(M193,'הגדרות'!$A$11:$D$25,3,FALSE),"")</f>
        <v/>
      </c>
      <c r="S193">
        <f>IFERROR(VLOOKUP(N193,'הגדרות'!$A$11:$D$25,2,FALSE),"")</f>
        <v/>
      </c>
      <c r="T193">
        <f>IFERROR(VLOOKUP(N193,'הגדרות'!$A$11:$D$25,3,FALSE),"")</f>
        <v/>
      </c>
      <c r="AB193" s="11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E194">
        <f>IFERROR(INDEX('הגדרות'!$D$104:$D$123,MATCH(B194&amp;G194&amp;C194,'הגדרות'!$A$104:$A$123&amp;'הגדרות'!$B$104:$B$123&amp;'הגדרות'!$C$104:$C$123,0)),"")</f>
        <v/>
      </c>
      <c r="F194" s="11" t="n"/>
      <c r="Q194">
        <f>IFERROR(VLOOKUP(M194,'הגדרות'!$A$11:$D$25,2,FALSE),"")</f>
        <v/>
      </c>
      <c r="R194">
        <f>IFERROR(VLOOKUP(M194,'הגדרות'!$A$11:$D$25,3,FALSE),"")</f>
        <v/>
      </c>
      <c r="S194">
        <f>IFERROR(VLOOKUP(N194,'הגדרות'!$A$11:$D$25,2,FALSE),"")</f>
        <v/>
      </c>
      <c r="T194">
        <f>IFERROR(VLOOKUP(N194,'הגדרות'!$A$11:$D$25,3,FALSE),"")</f>
        <v/>
      </c>
      <c r="AB194" s="11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E195">
        <f>IFERROR(INDEX('הגדרות'!$D$104:$D$123,MATCH(B195&amp;G195&amp;C195,'הגדרות'!$A$104:$A$123&amp;'הגדרות'!$B$104:$B$123&amp;'הגדרות'!$C$104:$C$123,0)),"")</f>
        <v/>
      </c>
      <c r="F195" s="11" t="n"/>
      <c r="Q195">
        <f>IFERROR(VLOOKUP(M195,'הגדרות'!$A$11:$D$25,2,FALSE),"")</f>
        <v/>
      </c>
      <c r="R195">
        <f>IFERROR(VLOOKUP(M195,'הגדרות'!$A$11:$D$25,3,FALSE),"")</f>
        <v/>
      </c>
      <c r="S195">
        <f>IFERROR(VLOOKUP(N195,'הגדרות'!$A$11:$D$25,2,FALSE),"")</f>
        <v/>
      </c>
      <c r="T195">
        <f>IFERROR(VLOOKUP(N195,'הגדרות'!$A$11:$D$25,3,FALSE),"")</f>
        <v/>
      </c>
      <c r="AB195" s="11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E196">
        <f>IFERROR(INDEX('הגדרות'!$D$104:$D$123,MATCH(B196&amp;G196&amp;C196,'הגדרות'!$A$104:$A$123&amp;'הגדרות'!$B$104:$B$123&amp;'הגדרות'!$C$104:$C$123,0)),"")</f>
        <v/>
      </c>
      <c r="F196" s="11" t="n"/>
      <c r="Q196">
        <f>IFERROR(VLOOKUP(M196,'הגדרות'!$A$11:$D$25,2,FALSE),"")</f>
        <v/>
      </c>
      <c r="R196">
        <f>IFERROR(VLOOKUP(M196,'הגדרות'!$A$11:$D$25,3,FALSE),"")</f>
        <v/>
      </c>
      <c r="S196">
        <f>IFERROR(VLOOKUP(N196,'הגדרות'!$A$11:$D$25,2,FALSE),"")</f>
        <v/>
      </c>
      <c r="T196">
        <f>IFERROR(VLOOKUP(N196,'הגדרות'!$A$11:$D$25,3,FALSE),"")</f>
        <v/>
      </c>
      <c r="AB196" s="11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E197">
        <f>IFERROR(INDEX('הגדרות'!$D$104:$D$123,MATCH(B197&amp;G197&amp;C197,'הגדרות'!$A$104:$A$123&amp;'הגדרות'!$B$104:$B$123&amp;'הגדרות'!$C$104:$C$123,0)),"")</f>
        <v/>
      </c>
      <c r="F197" s="11" t="n"/>
      <c r="Q197">
        <f>IFERROR(VLOOKUP(M197,'הגדרות'!$A$11:$D$25,2,FALSE),"")</f>
        <v/>
      </c>
      <c r="R197">
        <f>IFERROR(VLOOKUP(M197,'הגדרות'!$A$11:$D$25,3,FALSE),"")</f>
        <v/>
      </c>
      <c r="S197">
        <f>IFERROR(VLOOKUP(N197,'הגדרות'!$A$11:$D$25,2,FALSE),"")</f>
        <v/>
      </c>
      <c r="T197">
        <f>IFERROR(VLOOKUP(N197,'הגדרות'!$A$11:$D$25,3,FALSE),"")</f>
        <v/>
      </c>
      <c r="AB197" s="11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E198">
        <f>IFERROR(INDEX('הגדרות'!$D$104:$D$123,MATCH(B198&amp;G198&amp;C198,'הגדרות'!$A$104:$A$123&amp;'הגדרות'!$B$104:$B$123&amp;'הגדרות'!$C$104:$C$123,0)),"")</f>
        <v/>
      </c>
      <c r="F198" s="11" t="n"/>
      <c r="Q198">
        <f>IFERROR(VLOOKUP(M198,'הגדרות'!$A$11:$D$25,2,FALSE),"")</f>
        <v/>
      </c>
      <c r="R198">
        <f>IFERROR(VLOOKUP(M198,'הגדרות'!$A$11:$D$25,3,FALSE),"")</f>
        <v/>
      </c>
      <c r="S198">
        <f>IFERROR(VLOOKUP(N198,'הגדרות'!$A$11:$D$25,2,FALSE),"")</f>
        <v/>
      </c>
      <c r="T198">
        <f>IFERROR(VLOOKUP(N198,'הגדרות'!$A$11:$D$25,3,FALSE),"")</f>
        <v/>
      </c>
      <c r="AB198" s="11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E199">
        <f>IFERROR(INDEX('הגדרות'!$D$104:$D$123,MATCH(B199&amp;G199&amp;C199,'הגדרות'!$A$104:$A$123&amp;'הגדרות'!$B$104:$B$123&amp;'הגדרות'!$C$104:$C$123,0)),"")</f>
        <v/>
      </c>
      <c r="F199" s="11" t="n"/>
      <c r="Q199">
        <f>IFERROR(VLOOKUP(M199,'הגדרות'!$A$11:$D$25,2,FALSE),"")</f>
        <v/>
      </c>
      <c r="R199">
        <f>IFERROR(VLOOKUP(M199,'הגדרות'!$A$11:$D$25,3,FALSE),"")</f>
        <v/>
      </c>
      <c r="S199">
        <f>IFERROR(VLOOKUP(N199,'הגדרות'!$A$11:$D$25,2,FALSE),"")</f>
        <v/>
      </c>
      <c r="T199">
        <f>IFERROR(VLOOKUP(N199,'הגדרות'!$A$11:$D$25,3,FALSE),"")</f>
        <v/>
      </c>
      <c r="AB199" s="11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E200">
        <f>IFERROR(INDEX('הגדרות'!$D$104:$D$123,MATCH(B200&amp;G200&amp;C200,'הגדרות'!$A$104:$A$123&amp;'הגדרות'!$B$104:$B$123&amp;'הגדרות'!$C$104:$C$123,0)),"")</f>
        <v/>
      </c>
      <c r="F200" s="11" t="n"/>
      <c r="Q200">
        <f>IFERROR(VLOOKUP(M200,'הגדרות'!$A$11:$D$25,2,FALSE),"")</f>
        <v/>
      </c>
      <c r="R200">
        <f>IFERROR(VLOOKUP(M200,'הגדרות'!$A$11:$D$25,3,FALSE),"")</f>
        <v/>
      </c>
      <c r="S200">
        <f>IFERROR(VLOOKUP(N200,'הגדרות'!$A$11:$D$25,2,FALSE),"")</f>
        <v/>
      </c>
      <c r="T200">
        <f>IFERROR(VLOOKUP(N200,'הגדרות'!$A$11:$D$25,3,FALSE),"")</f>
        <v/>
      </c>
      <c r="AB200" s="11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E201">
        <f>IFERROR(INDEX('הגדרות'!$D$104:$D$123,MATCH(B201&amp;G201&amp;C201,'הגדרות'!$A$104:$A$123&amp;'הגדרות'!$B$104:$B$123&amp;'הגדרות'!$C$104:$C$123,0)),"")</f>
        <v/>
      </c>
      <c r="F201" s="11" t="n"/>
      <c r="Q201">
        <f>IFERROR(VLOOKUP(M201,'הגדרות'!$A$11:$D$25,2,FALSE),"")</f>
        <v/>
      </c>
      <c r="R201">
        <f>IFERROR(VLOOKUP(M201,'הגדרות'!$A$11:$D$25,3,FALSE),"")</f>
        <v/>
      </c>
      <c r="S201">
        <f>IFERROR(VLOOKUP(N201,'הגדרות'!$A$11:$D$25,2,FALSE),"")</f>
        <v/>
      </c>
      <c r="T201">
        <f>IFERROR(VLOOKUP(N201,'הגדרות'!$A$11:$D$25,3,FALSE),"")</f>
        <v/>
      </c>
      <c r="AB201" s="11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E202">
        <f>IFERROR(INDEX('הגדרות'!$D$104:$D$123,MATCH(B202&amp;G202&amp;C202,'הגדרות'!$A$104:$A$123&amp;'הגדרות'!$B$104:$B$123&amp;'הגדרות'!$C$104:$C$123,0)),"")</f>
        <v/>
      </c>
      <c r="F202" s="11" t="n"/>
      <c r="Q202">
        <f>IFERROR(VLOOKUP(M202,'הגדרות'!$A$11:$D$25,2,FALSE),"")</f>
        <v/>
      </c>
      <c r="R202">
        <f>IFERROR(VLOOKUP(M202,'הגדרות'!$A$11:$D$25,3,FALSE),"")</f>
        <v/>
      </c>
      <c r="S202">
        <f>IFERROR(VLOOKUP(N202,'הגדרות'!$A$11:$D$25,2,FALSE),"")</f>
        <v/>
      </c>
      <c r="T202">
        <f>IFERROR(VLOOKUP(N202,'הגדרות'!$A$11:$D$25,3,FALSE),"")</f>
        <v/>
      </c>
      <c r="AB202" s="11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E203">
        <f>IFERROR(INDEX('הגדרות'!$D$104:$D$123,MATCH(B203&amp;G203&amp;C203,'הגדרות'!$A$104:$A$123&amp;'הגדרות'!$B$104:$B$123&amp;'הגדרות'!$C$104:$C$123,0)),"")</f>
        <v/>
      </c>
      <c r="F203" s="11" t="n"/>
      <c r="Q203">
        <f>IFERROR(VLOOKUP(M203,'הגדרות'!$A$11:$D$25,2,FALSE),"")</f>
        <v/>
      </c>
      <c r="R203">
        <f>IFERROR(VLOOKUP(M203,'הגדרות'!$A$11:$D$25,3,FALSE),"")</f>
        <v/>
      </c>
      <c r="S203">
        <f>IFERROR(VLOOKUP(N203,'הגדרות'!$A$11:$D$25,2,FALSE),"")</f>
        <v/>
      </c>
      <c r="T203">
        <f>IFERROR(VLOOKUP(N203,'הגדרות'!$A$11:$D$25,3,FALSE),"")</f>
        <v/>
      </c>
      <c r="AB203" s="11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E204">
        <f>IFERROR(INDEX('הגדרות'!$D$104:$D$123,MATCH(B204&amp;G204&amp;C204,'הגדרות'!$A$104:$A$123&amp;'הגדרות'!$B$104:$B$123&amp;'הגדרות'!$C$104:$C$123,0)),"")</f>
        <v/>
      </c>
      <c r="F204" s="11" t="n"/>
      <c r="Q204">
        <f>IFERROR(VLOOKUP(M204,'הגדרות'!$A$11:$D$25,2,FALSE),"")</f>
        <v/>
      </c>
      <c r="R204">
        <f>IFERROR(VLOOKUP(M204,'הגדרות'!$A$11:$D$25,3,FALSE),"")</f>
        <v/>
      </c>
      <c r="S204">
        <f>IFERROR(VLOOKUP(N204,'הגדרות'!$A$11:$D$25,2,FALSE),"")</f>
        <v/>
      </c>
      <c r="T204">
        <f>IFERROR(VLOOKUP(N204,'הגדרות'!$A$11:$D$25,3,FALSE),"")</f>
        <v/>
      </c>
      <c r="AB204" s="11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E205">
        <f>IFERROR(INDEX('הגדרות'!$D$104:$D$123,MATCH(B205&amp;G205&amp;C205,'הגדרות'!$A$104:$A$123&amp;'הגדרות'!$B$104:$B$123&amp;'הגדרות'!$C$104:$C$123,0)),"")</f>
        <v/>
      </c>
      <c r="F205" s="11" t="n"/>
      <c r="Q205">
        <f>IFERROR(VLOOKUP(M205,'הגדרות'!$A$11:$D$25,2,FALSE),"")</f>
        <v/>
      </c>
      <c r="R205">
        <f>IFERROR(VLOOKUP(M205,'הגדרות'!$A$11:$D$25,3,FALSE),"")</f>
        <v/>
      </c>
      <c r="S205">
        <f>IFERROR(VLOOKUP(N205,'הגדרות'!$A$11:$D$25,2,FALSE),"")</f>
        <v/>
      </c>
      <c r="T205">
        <f>IFERROR(VLOOKUP(N205,'הגדרות'!$A$11:$D$25,3,FALSE),"")</f>
        <v/>
      </c>
      <c r="AB205" s="11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E206">
        <f>IFERROR(INDEX('הגדרות'!$D$104:$D$123,MATCH(B206&amp;G206&amp;C206,'הגדרות'!$A$104:$A$123&amp;'הגדרות'!$B$104:$B$123&amp;'הגדרות'!$C$104:$C$123,0)),"")</f>
        <v/>
      </c>
      <c r="F206" s="11" t="n"/>
      <c r="Q206">
        <f>IFERROR(VLOOKUP(M206,'הגדרות'!$A$11:$D$25,2,FALSE),"")</f>
        <v/>
      </c>
      <c r="R206">
        <f>IFERROR(VLOOKUP(M206,'הגדרות'!$A$11:$D$25,3,FALSE),"")</f>
        <v/>
      </c>
      <c r="S206">
        <f>IFERROR(VLOOKUP(N206,'הגדרות'!$A$11:$D$25,2,FALSE),"")</f>
        <v/>
      </c>
      <c r="T206">
        <f>IFERROR(VLOOKUP(N206,'הגדרות'!$A$11:$D$25,3,FALSE),"")</f>
        <v/>
      </c>
      <c r="AB206" s="11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E207">
        <f>IFERROR(INDEX('הגדרות'!$D$104:$D$123,MATCH(B207&amp;G207&amp;C207,'הגדרות'!$A$104:$A$123&amp;'הגדרות'!$B$104:$B$123&amp;'הגדרות'!$C$104:$C$123,0)),"")</f>
        <v/>
      </c>
      <c r="F207" s="11" t="n"/>
      <c r="Q207">
        <f>IFERROR(VLOOKUP(M207,'הגדרות'!$A$11:$D$25,2,FALSE),"")</f>
        <v/>
      </c>
      <c r="R207">
        <f>IFERROR(VLOOKUP(M207,'הגדרות'!$A$11:$D$25,3,FALSE),"")</f>
        <v/>
      </c>
      <c r="S207">
        <f>IFERROR(VLOOKUP(N207,'הגדרות'!$A$11:$D$25,2,FALSE),"")</f>
        <v/>
      </c>
      <c r="T207">
        <f>IFERROR(VLOOKUP(N207,'הגדרות'!$A$11:$D$25,3,FALSE),"")</f>
        <v/>
      </c>
      <c r="AB207" s="11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E208">
        <f>IFERROR(INDEX('הגדרות'!$D$104:$D$123,MATCH(B208&amp;G208&amp;C208,'הגדרות'!$A$104:$A$123&amp;'הגדרות'!$B$104:$B$123&amp;'הגדרות'!$C$104:$C$123,0)),"")</f>
        <v/>
      </c>
      <c r="F208" s="11" t="n"/>
      <c r="Q208">
        <f>IFERROR(VLOOKUP(M208,'הגדרות'!$A$11:$D$25,2,FALSE),"")</f>
        <v/>
      </c>
      <c r="R208">
        <f>IFERROR(VLOOKUP(M208,'הגדרות'!$A$11:$D$25,3,FALSE),"")</f>
        <v/>
      </c>
      <c r="S208">
        <f>IFERROR(VLOOKUP(N208,'הגדרות'!$A$11:$D$25,2,FALSE),"")</f>
        <v/>
      </c>
      <c r="T208">
        <f>IFERROR(VLOOKUP(N208,'הגדרות'!$A$11:$D$25,3,FALSE),"")</f>
        <v/>
      </c>
      <c r="AB208" s="11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E209">
        <f>IFERROR(INDEX('הגדרות'!$D$104:$D$123,MATCH(B209&amp;G209&amp;C209,'הגדרות'!$A$104:$A$123&amp;'הגדרות'!$B$104:$B$123&amp;'הגדרות'!$C$104:$C$123,0)),"")</f>
        <v/>
      </c>
      <c r="F209" s="11" t="n"/>
      <c r="Q209">
        <f>IFERROR(VLOOKUP(M209,'הגדרות'!$A$11:$D$25,2,FALSE),"")</f>
        <v/>
      </c>
      <c r="R209">
        <f>IFERROR(VLOOKUP(M209,'הגדרות'!$A$11:$D$25,3,FALSE),"")</f>
        <v/>
      </c>
      <c r="S209">
        <f>IFERROR(VLOOKUP(N209,'הגדרות'!$A$11:$D$25,2,FALSE),"")</f>
        <v/>
      </c>
      <c r="T209">
        <f>IFERROR(VLOOKUP(N209,'הגדרות'!$A$11:$D$25,3,FALSE),"")</f>
        <v/>
      </c>
      <c r="AB209" s="11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E210">
        <f>IFERROR(INDEX('הגדרות'!$D$104:$D$123,MATCH(B210&amp;G210&amp;C210,'הגדרות'!$A$104:$A$123&amp;'הגדרות'!$B$104:$B$123&amp;'הגדרות'!$C$104:$C$123,0)),"")</f>
        <v/>
      </c>
      <c r="F210" s="11" t="n"/>
      <c r="Q210">
        <f>IFERROR(VLOOKUP(M210,'הגדרות'!$A$11:$D$25,2,FALSE),"")</f>
        <v/>
      </c>
      <c r="R210">
        <f>IFERROR(VLOOKUP(M210,'הגדרות'!$A$11:$D$25,3,FALSE),"")</f>
        <v/>
      </c>
      <c r="S210">
        <f>IFERROR(VLOOKUP(N210,'הגדרות'!$A$11:$D$25,2,FALSE),"")</f>
        <v/>
      </c>
      <c r="T210">
        <f>IFERROR(VLOOKUP(N210,'הגדרות'!$A$11:$D$25,3,FALSE),"")</f>
        <v/>
      </c>
      <c r="AB210" s="11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E211">
        <f>IFERROR(INDEX('הגדרות'!$D$104:$D$123,MATCH(B211&amp;G211&amp;C211,'הגדרות'!$A$104:$A$123&amp;'הגדרות'!$B$104:$B$123&amp;'הגדרות'!$C$104:$C$123,0)),"")</f>
        <v/>
      </c>
      <c r="F211" s="11" t="n"/>
      <c r="Q211">
        <f>IFERROR(VLOOKUP(M211,'הגדרות'!$A$11:$D$25,2,FALSE),"")</f>
        <v/>
      </c>
      <c r="R211">
        <f>IFERROR(VLOOKUP(M211,'הגדרות'!$A$11:$D$25,3,FALSE),"")</f>
        <v/>
      </c>
      <c r="S211">
        <f>IFERROR(VLOOKUP(N211,'הגדרות'!$A$11:$D$25,2,FALSE),"")</f>
        <v/>
      </c>
      <c r="T211">
        <f>IFERROR(VLOOKUP(N211,'הגדרות'!$A$11:$D$25,3,FALSE),"")</f>
        <v/>
      </c>
      <c r="AB211" s="11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E212">
        <f>IFERROR(INDEX('הגדרות'!$D$104:$D$123,MATCH(B212&amp;G212&amp;C212,'הגדרות'!$A$104:$A$123&amp;'הגדרות'!$B$104:$B$123&amp;'הגדרות'!$C$104:$C$123,0)),"")</f>
        <v/>
      </c>
      <c r="F212" s="11" t="n"/>
      <c r="Q212">
        <f>IFERROR(VLOOKUP(M212,'הגדרות'!$A$11:$D$25,2,FALSE),"")</f>
        <v/>
      </c>
      <c r="R212">
        <f>IFERROR(VLOOKUP(M212,'הגדרות'!$A$11:$D$25,3,FALSE),"")</f>
        <v/>
      </c>
      <c r="S212">
        <f>IFERROR(VLOOKUP(N212,'הגדרות'!$A$11:$D$25,2,FALSE),"")</f>
        <v/>
      </c>
      <c r="T212">
        <f>IFERROR(VLOOKUP(N212,'הגדרות'!$A$11:$D$25,3,FALSE),"")</f>
        <v/>
      </c>
      <c r="AB212" s="11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E213">
        <f>IFERROR(INDEX('הגדרות'!$D$104:$D$123,MATCH(B213&amp;G213&amp;C213,'הגדרות'!$A$104:$A$123&amp;'הגדרות'!$B$104:$B$123&amp;'הגדרות'!$C$104:$C$123,0)),"")</f>
        <v/>
      </c>
      <c r="F213" s="11" t="n"/>
      <c r="Q213">
        <f>IFERROR(VLOOKUP(M213,'הגדרות'!$A$11:$D$25,2,FALSE),"")</f>
        <v/>
      </c>
      <c r="R213">
        <f>IFERROR(VLOOKUP(M213,'הגדרות'!$A$11:$D$25,3,FALSE),"")</f>
        <v/>
      </c>
      <c r="S213">
        <f>IFERROR(VLOOKUP(N213,'הגדרות'!$A$11:$D$25,2,FALSE),"")</f>
        <v/>
      </c>
      <c r="T213">
        <f>IFERROR(VLOOKUP(N213,'הגדרות'!$A$11:$D$25,3,FALSE),"")</f>
        <v/>
      </c>
      <c r="AB213" s="11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E214">
        <f>IFERROR(INDEX('הגדרות'!$D$104:$D$123,MATCH(B214&amp;G214&amp;C214,'הגדרות'!$A$104:$A$123&amp;'הגדרות'!$B$104:$B$123&amp;'הגדרות'!$C$104:$C$123,0)),"")</f>
        <v/>
      </c>
      <c r="F214" s="11" t="n"/>
      <c r="Q214">
        <f>IFERROR(VLOOKUP(M214,'הגדרות'!$A$11:$D$25,2,FALSE),"")</f>
        <v/>
      </c>
      <c r="R214">
        <f>IFERROR(VLOOKUP(M214,'הגדרות'!$A$11:$D$25,3,FALSE),"")</f>
        <v/>
      </c>
      <c r="S214">
        <f>IFERROR(VLOOKUP(N214,'הגדרות'!$A$11:$D$25,2,FALSE),"")</f>
        <v/>
      </c>
      <c r="T214">
        <f>IFERROR(VLOOKUP(N214,'הגדרות'!$A$11:$D$25,3,FALSE),"")</f>
        <v/>
      </c>
      <c r="AB214" s="11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E215">
        <f>IFERROR(INDEX('הגדרות'!$D$104:$D$123,MATCH(B215&amp;G215&amp;C215,'הגדרות'!$A$104:$A$123&amp;'הגדרות'!$B$104:$B$123&amp;'הגדרות'!$C$104:$C$123,0)),"")</f>
        <v/>
      </c>
      <c r="F215" s="11" t="n"/>
      <c r="Q215">
        <f>IFERROR(VLOOKUP(M215,'הגדרות'!$A$11:$D$25,2,FALSE),"")</f>
        <v/>
      </c>
      <c r="R215">
        <f>IFERROR(VLOOKUP(M215,'הגדרות'!$A$11:$D$25,3,FALSE),"")</f>
        <v/>
      </c>
      <c r="S215">
        <f>IFERROR(VLOOKUP(N215,'הגדרות'!$A$11:$D$25,2,FALSE),"")</f>
        <v/>
      </c>
      <c r="T215">
        <f>IFERROR(VLOOKUP(N215,'הגדרות'!$A$11:$D$25,3,FALSE),"")</f>
        <v/>
      </c>
      <c r="AB215" s="11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E216">
        <f>IFERROR(INDEX('הגדרות'!$D$104:$D$123,MATCH(B216&amp;G216&amp;C216,'הגדרות'!$A$104:$A$123&amp;'הגדרות'!$B$104:$B$123&amp;'הגדרות'!$C$104:$C$123,0)),"")</f>
        <v/>
      </c>
      <c r="F216" s="11" t="n"/>
      <c r="Q216">
        <f>IFERROR(VLOOKUP(M216,'הגדרות'!$A$11:$D$25,2,FALSE),"")</f>
        <v/>
      </c>
      <c r="R216">
        <f>IFERROR(VLOOKUP(M216,'הגדרות'!$A$11:$D$25,3,FALSE),"")</f>
        <v/>
      </c>
      <c r="S216">
        <f>IFERROR(VLOOKUP(N216,'הגדרות'!$A$11:$D$25,2,FALSE),"")</f>
        <v/>
      </c>
      <c r="T216">
        <f>IFERROR(VLOOKUP(N216,'הגדרות'!$A$11:$D$25,3,FALSE),"")</f>
        <v/>
      </c>
      <c r="AB216" s="11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E217">
        <f>IFERROR(INDEX('הגדרות'!$D$104:$D$123,MATCH(B217&amp;G217&amp;C217,'הגדרות'!$A$104:$A$123&amp;'הגדרות'!$B$104:$B$123&amp;'הגדרות'!$C$104:$C$123,0)),"")</f>
        <v/>
      </c>
      <c r="F217" s="11" t="n"/>
      <c r="Q217">
        <f>IFERROR(VLOOKUP(M217,'הגדרות'!$A$11:$D$25,2,FALSE),"")</f>
        <v/>
      </c>
      <c r="R217">
        <f>IFERROR(VLOOKUP(M217,'הגדרות'!$A$11:$D$25,3,FALSE),"")</f>
        <v/>
      </c>
      <c r="S217">
        <f>IFERROR(VLOOKUP(N217,'הגדרות'!$A$11:$D$25,2,FALSE),"")</f>
        <v/>
      </c>
      <c r="T217">
        <f>IFERROR(VLOOKUP(N217,'הגדרות'!$A$11:$D$25,3,FALSE),"")</f>
        <v/>
      </c>
      <c r="AB217" s="11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E218">
        <f>IFERROR(INDEX('הגדרות'!$D$104:$D$123,MATCH(B218&amp;G218&amp;C218,'הגדרות'!$A$104:$A$123&amp;'הגדרות'!$B$104:$B$123&amp;'הגדרות'!$C$104:$C$123,0)),"")</f>
        <v/>
      </c>
      <c r="F218" s="11" t="n"/>
      <c r="Q218">
        <f>IFERROR(VLOOKUP(M218,'הגדרות'!$A$11:$D$25,2,FALSE),"")</f>
        <v/>
      </c>
      <c r="R218">
        <f>IFERROR(VLOOKUP(M218,'הגדרות'!$A$11:$D$25,3,FALSE),"")</f>
        <v/>
      </c>
      <c r="S218">
        <f>IFERROR(VLOOKUP(N218,'הגדרות'!$A$11:$D$25,2,FALSE),"")</f>
        <v/>
      </c>
      <c r="T218">
        <f>IFERROR(VLOOKUP(N218,'הגדרות'!$A$11:$D$25,3,FALSE),"")</f>
        <v/>
      </c>
      <c r="AB218" s="11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E219">
        <f>IFERROR(INDEX('הגדרות'!$D$104:$D$123,MATCH(B219&amp;G219&amp;C219,'הגדרות'!$A$104:$A$123&amp;'הגדרות'!$B$104:$B$123&amp;'הגדרות'!$C$104:$C$123,0)),"")</f>
        <v/>
      </c>
      <c r="F219" s="11" t="n"/>
      <c r="Q219">
        <f>IFERROR(VLOOKUP(M219,'הגדרות'!$A$11:$D$25,2,FALSE),"")</f>
        <v/>
      </c>
      <c r="R219">
        <f>IFERROR(VLOOKUP(M219,'הגדרות'!$A$11:$D$25,3,FALSE),"")</f>
        <v/>
      </c>
      <c r="S219">
        <f>IFERROR(VLOOKUP(N219,'הגדרות'!$A$11:$D$25,2,FALSE),"")</f>
        <v/>
      </c>
      <c r="T219">
        <f>IFERROR(VLOOKUP(N219,'הגדרות'!$A$11:$D$25,3,FALSE),"")</f>
        <v/>
      </c>
      <c r="AB219" s="11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E220">
        <f>IFERROR(INDEX('הגדרות'!$D$104:$D$123,MATCH(B220&amp;G220&amp;C220,'הגדרות'!$A$104:$A$123&amp;'הגדרות'!$B$104:$B$123&amp;'הגדרות'!$C$104:$C$123,0)),"")</f>
        <v/>
      </c>
      <c r="F220" s="11" t="n"/>
      <c r="Q220">
        <f>IFERROR(VLOOKUP(M220,'הגדרות'!$A$11:$D$25,2,FALSE),"")</f>
        <v/>
      </c>
      <c r="R220">
        <f>IFERROR(VLOOKUP(M220,'הגדרות'!$A$11:$D$25,3,FALSE),"")</f>
        <v/>
      </c>
      <c r="S220">
        <f>IFERROR(VLOOKUP(N220,'הגדרות'!$A$11:$D$25,2,FALSE),"")</f>
        <v/>
      </c>
      <c r="T220">
        <f>IFERROR(VLOOKUP(N220,'הגדרות'!$A$11:$D$25,3,FALSE),"")</f>
        <v/>
      </c>
      <c r="AB220" s="11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E221">
        <f>IFERROR(INDEX('הגדרות'!$D$104:$D$123,MATCH(B221&amp;G221&amp;C221,'הגדרות'!$A$104:$A$123&amp;'הגדרות'!$B$104:$B$123&amp;'הגדרות'!$C$104:$C$123,0)),"")</f>
        <v/>
      </c>
      <c r="F221" s="11" t="n"/>
      <c r="Q221">
        <f>IFERROR(VLOOKUP(M221,'הגדרות'!$A$11:$D$25,2,FALSE),"")</f>
        <v/>
      </c>
      <c r="R221">
        <f>IFERROR(VLOOKUP(M221,'הגדרות'!$A$11:$D$25,3,FALSE),"")</f>
        <v/>
      </c>
      <c r="S221">
        <f>IFERROR(VLOOKUP(N221,'הגדרות'!$A$11:$D$25,2,FALSE),"")</f>
        <v/>
      </c>
      <c r="T221">
        <f>IFERROR(VLOOKUP(N221,'הגדרות'!$A$11:$D$25,3,FALSE),"")</f>
        <v/>
      </c>
      <c r="AB221" s="11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E222">
        <f>IFERROR(INDEX('הגדרות'!$D$104:$D$123,MATCH(B222&amp;G222&amp;C222,'הגדרות'!$A$104:$A$123&amp;'הגדרות'!$B$104:$B$123&amp;'הגדרות'!$C$104:$C$123,0)),"")</f>
        <v/>
      </c>
      <c r="F222" s="11" t="n"/>
      <c r="Q222">
        <f>IFERROR(VLOOKUP(M222,'הגדרות'!$A$11:$D$25,2,FALSE),"")</f>
        <v/>
      </c>
      <c r="R222">
        <f>IFERROR(VLOOKUP(M222,'הגדרות'!$A$11:$D$25,3,FALSE),"")</f>
        <v/>
      </c>
      <c r="S222">
        <f>IFERROR(VLOOKUP(N222,'הגדרות'!$A$11:$D$25,2,FALSE),"")</f>
        <v/>
      </c>
      <c r="T222">
        <f>IFERROR(VLOOKUP(N222,'הגדרות'!$A$11:$D$25,3,FALSE),"")</f>
        <v/>
      </c>
      <c r="AB222" s="11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E223">
        <f>IFERROR(INDEX('הגדרות'!$D$104:$D$123,MATCH(B223&amp;G223&amp;C223,'הגדרות'!$A$104:$A$123&amp;'הגדרות'!$B$104:$B$123&amp;'הגדרות'!$C$104:$C$123,0)),"")</f>
        <v/>
      </c>
      <c r="F223" s="11" t="n"/>
      <c r="Q223">
        <f>IFERROR(VLOOKUP(M223,'הגדרות'!$A$11:$D$25,2,FALSE),"")</f>
        <v/>
      </c>
      <c r="R223">
        <f>IFERROR(VLOOKUP(M223,'הגדרות'!$A$11:$D$25,3,FALSE),"")</f>
        <v/>
      </c>
      <c r="S223">
        <f>IFERROR(VLOOKUP(N223,'הגדרות'!$A$11:$D$25,2,FALSE),"")</f>
        <v/>
      </c>
      <c r="T223">
        <f>IFERROR(VLOOKUP(N223,'הגדרות'!$A$11:$D$25,3,FALSE),"")</f>
        <v/>
      </c>
      <c r="AB223" s="11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E224">
        <f>IFERROR(INDEX('הגדרות'!$D$104:$D$123,MATCH(B224&amp;G224&amp;C224,'הגדרות'!$A$104:$A$123&amp;'הגדרות'!$B$104:$B$123&amp;'הגדרות'!$C$104:$C$123,0)),"")</f>
        <v/>
      </c>
      <c r="F224" s="11" t="n"/>
      <c r="Q224">
        <f>IFERROR(VLOOKUP(M224,'הגדרות'!$A$11:$D$25,2,FALSE),"")</f>
        <v/>
      </c>
      <c r="R224">
        <f>IFERROR(VLOOKUP(M224,'הגדרות'!$A$11:$D$25,3,FALSE),"")</f>
        <v/>
      </c>
      <c r="S224">
        <f>IFERROR(VLOOKUP(N224,'הגדרות'!$A$11:$D$25,2,FALSE),"")</f>
        <v/>
      </c>
      <c r="T224">
        <f>IFERROR(VLOOKUP(N224,'הגדרות'!$A$11:$D$25,3,FALSE),"")</f>
        <v/>
      </c>
      <c r="AB224" s="11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E225">
        <f>IFERROR(INDEX('הגדרות'!$D$104:$D$123,MATCH(B225&amp;G225&amp;C225,'הגדרות'!$A$104:$A$123&amp;'הגדרות'!$B$104:$B$123&amp;'הגדרות'!$C$104:$C$123,0)),"")</f>
        <v/>
      </c>
      <c r="F225" s="11" t="n"/>
      <c r="Q225">
        <f>IFERROR(VLOOKUP(M225,'הגדרות'!$A$11:$D$25,2,FALSE),"")</f>
        <v/>
      </c>
      <c r="R225">
        <f>IFERROR(VLOOKUP(M225,'הגדרות'!$A$11:$D$25,3,FALSE),"")</f>
        <v/>
      </c>
      <c r="S225">
        <f>IFERROR(VLOOKUP(N225,'הגדרות'!$A$11:$D$25,2,FALSE),"")</f>
        <v/>
      </c>
      <c r="T225">
        <f>IFERROR(VLOOKUP(N225,'הגדרות'!$A$11:$D$25,3,FALSE),"")</f>
        <v/>
      </c>
      <c r="AB225" s="11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E226">
        <f>IFERROR(INDEX('הגדרות'!$D$104:$D$123,MATCH(B226&amp;G226&amp;C226,'הגדרות'!$A$104:$A$123&amp;'הגדרות'!$B$104:$B$123&amp;'הגדרות'!$C$104:$C$123,0)),"")</f>
        <v/>
      </c>
      <c r="F226" s="11" t="n"/>
      <c r="Q226">
        <f>IFERROR(VLOOKUP(M226,'הגדרות'!$A$11:$D$25,2,FALSE),"")</f>
        <v/>
      </c>
      <c r="R226">
        <f>IFERROR(VLOOKUP(M226,'הגדרות'!$A$11:$D$25,3,FALSE),"")</f>
        <v/>
      </c>
      <c r="S226">
        <f>IFERROR(VLOOKUP(N226,'הגדרות'!$A$11:$D$25,2,FALSE),"")</f>
        <v/>
      </c>
      <c r="T226">
        <f>IFERROR(VLOOKUP(N226,'הגדרות'!$A$11:$D$25,3,FALSE),"")</f>
        <v/>
      </c>
      <c r="AB226" s="11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E227">
        <f>IFERROR(INDEX('הגדרות'!$D$104:$D$123,MATCH(B227&amp;G227&amp;C227,'הגדרות'!$A$104:$A$123&amp;'הגדרות'!$B$104:$B$123&amp;'הגדרות'!$C$104:$C$123,0)),"")</f>
        <v/>
      </c>
      <c r="F227" s="11" t="n"/>
      <c r="Q227">
        <f>IFERROR(VLOOKUP(M227,'הגדרות'!$A$11:$D$25,2,FALSE),"")</f>
        <v/>
      </c>
      <c r="R227">
        <f>IFERROR(VLOOKUP(M227,'הגדרות'!$A$11:$D$25,3,FALSE),"")</f>
        <v/>
      </c>
      <c r="S227">
        <f>IFERROR(VLOOKUP(N227,'הגדרות'!$A$11:$D$25,2,FALSE),"")</f>
        <v/>
      </c>
      <c r="T227">
        <f>IFERROR(VLOOKUP(N227,'הגדרות'!$A$11:$D$25,3,FALSE),"")</f>
        <v/>
      </c>
      <c r="AB227" s="11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E228">
        <f>IFERROR(INDEX('הגדרות'!$D$104:$D$123,MATCH(B228&amp;G228&amp;C228,'הגדרות'!$A$104:$A$123&amp;'הגדרות'!$B$104:$B$123&amp;'הגדרות'!$C$104:$C$123,0)),"")</f>
        <v/>
      </c>
      <c r="F228" s="11" t="n"/>
      <c r="Q228">
        <f>IFERROR(VLOOKUP(M228,'הגדרות'!$A$11:$D$25,2,FALSE),"")</f>
        <v/>
      </c>
      <c r="R228">
        <f>IFERROR(VLOOKUP(M228,'הגדרות'!$A$11:$D$25,3,FALSE),"")</f>
        <v/>
      </c>
      <c r="S228">
        <f>IFERROR(VLOOKUP(N228,'הגדרות'!$A$11:$D$25,2,FALSE),"")</f>
        <v/>
      </c>
      <c r="T228">
        <f>IFERROR(VLOOKUP(N228,'הגדרות'!$A$11:$D$25,3,FALSE),"")</f>
        <v/>
      </c>
      <c r="AB228" s="11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E229">
        <f>IFERROR(INDEX('הגדרות'!$D$104:$D$123,MATCH(B229&amp;G229&amp;C229,'הגדרות'!$A$104:$A$123&amp;'הגדרות'!$B$104:$B$123&amp;'הגדרות'!$C$104:$C$123,0)),"")</f>
        <v/>
      </c>
      <c r="F229" s="11" t="n"/>
      <c r="Q229">
        <f>IFERROR(VLOOKUP(M229,'הגדרות'!$A$11:$D$25,2,FALSE),"")</f>
        <v/>
      </c>
      <c r="R229">
        <f>IFERROR(VLOOKUP(M229,'הגדרות'!$A$11:$D$25,3,FALSE),"")</f>
        <v/>
      </c>
      <c r="S229">
        <f>IFERROR(VLOOKUP(N229,'הגדרות'!$A$11:$D$25,2,FALSE),"")</f>
        <v/>
      </c>
      <c r="T229">
        <f>IFERROR(VLOOKUP(N229,'הגדרות'!$A$11:$D$25,3,FALSE),"")</f>
        <v/>
      </c>
      <c r="AB229" s="11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E230">
        <f>IFERROR(INDEX('הגדרות'!$D$104:$D$123,MATCH(B230&amp;G230&amp;C230,'הגדרות'!$A$104:$A$123&amp;'הגדרות'!$B$104:$B$123&amp;'הגדרות'!$C$104:$C$123,0)),"")</f>
        <v/>
      </c>
      <c r="F230" s="11" t="n"/>
      <c r="Q230">
        <f>IFERROR(VLOOKUP(M230,'הגדרות'!$A$11:$D$25,2,FALSE),"")</f>
        <v/>
      </c>
      <c r="R230">
        <f>IFERROR(VLOOKUP(M230,'הגדרות'!$A$11:$D$25,3,FALSE),"")</f>
        <v/>
      </c>
      <c r="S230">
        <f>IFERROR(VLOOKUP(N230,'הגדרות'!$A$11:$D$25,2,FALSE),"")</f>
        <v/>
      </c>
      <c r="T230">
        <f>IFERROR(VLOOKUP(N230,'הגדרות'!$A$11:$D$25,3,FALSE),"")</f>
        <v/>
      </c>
      <c r="AB230" s="11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E231">
        <f>IFERROR(INDEX('הגדרות'!$D$104:$D$123,MATCH(B231&amp;G231&amp;C231,'הגדרות'!$A$104:$A$123&amp;'הגדרות'!$B$104:$B$123&amp;'הגדרות'!$C$104:$C$123,0)),"")</f>
        <v/>
      </c>
      <c r="F231" s="11" t="n"/>
      <c r="Q231">
        <f>IFERROR(VLOOKUP(M231,'הגדרות'!$A$11:$D$25,2,FALSE),"")</f>
        <v/>
      </c>
      <c r="R231">
        <f>IFERROR(VLOOKUP(M231,'הגדרות'!$A$11:$D$25,3,FALSE),"")</f>
        <v/>
      </c>
      <c r="S231">
        <f>IFERROR(VLOOKUP(N231,'הגדרות'!$A$11:$D$25,2,FALSE),"")</f>
        <v/>
      </c>
      <c r="T231">
        <f>IFERROR(VLOOKUP(N231,'הגדרות'!$A$11:$D$25,3,FALSE),"")</f>
        <v/>
      </c>
      <c r="AB231" s="11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E232">
        <f>IFERROR(INDEX('הגדרות'!$D$104:$D$123,MATCH(B232&amp;G232&amp;C232,'הגדרות'!$A$104:$A$123&amp;'הגדרות'!$B$104:$B$123&amp;'הגדרות'!$C$104:$C$123,0)),"")</f>
        <v/>
      </c>
      <c r="F232" s="11" t="n"/>
      <c r="Q232">
        <f>IFERROR(VLOOKUP(M232,'הגדרות'!$A$11:$D$25,2,FALSE),"")</f>
        <v/>
      </c>
      <c r="R232">
        <f>IFERROR(VLOOKUP(M232,'הגדרות'!$A$11:$D$25,3,FALSE),"")</f>
        <v/>
      </c>
      <c r="S232">
        <f>IFERROR(VLOOKUP(N232,'הגדרות'!$A$11:$D$25,2,FALSE),"")</f>
        <v/>
      </c>
      <c r="T232">
        <f>IFERROR(VLOOKUP(N232,'הגדרות'!$A$11:$D$25,3,FALSE),"")</f>
        <v/>
      </c>
      <c r="AB232" s="11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E233">
        <f>IFERROR(INDEX('הגדרות'!$D$104:$D$123,MATCH(B233&amp;G233&amp;C233,'הגדרות'!$A$104:$A$123&amp;'הגדרות'!$B$104:$B$123&amp;'הגדרות'!$C$104:$C$123,0)),"")</f>
        <v/>
      </c>
      <c r="F233" s="11" t="n"/>
      <c r="Q233">
        <f>IFERROR(VLOOKUP(M233,'הגדרות'!$A$11:$D$25,2,FALSE),"")</f>
        <v/>
      </c>
      <c r="R233">
        <f>IFERROR(VLOOKUP(M233,'הגדרות'!$A$11:$D$25,3,FALSE),"")</f>
        <v/>
      </c>
      <c r="S233">
        <f>IFERROR(VLOOKUP(N233,'הגדרות'!$A$11:$D$25,2,FALSE),"")</f>
        <v/>
      </c>
      <c r="T233">
        <f>IFERROR(VLOOKUP(N233,'הגדרות'!$A$11:$D$25,3,FALSE),"")</f>
        <v/>
      </c>
      <c r="AB233" s="11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E234">
        <f>IFERROR(INDEX('הגדרות'!$D$104:$D$123,MATCH(B234&amp;G234&amp;C234,'הגדרות'!$A$104:$A$123&amp;'הגדרות'!$B$104:$B$123&amp;'הגדרות'!$C$104:$C$123,0)),"")</f>
        <v/>
      </c>
      <c r="F234" s="11" t="n"/>
      <c r="Q234">
        <f>IFERROR(VLOOKUP(M234,'הגדרות'!$A$11:$D$25,2,FALSE),"")</f>
        <v/>
      </c>
      <c r="R234">
        <f>IFERROR(VLOOKUP(M234,'הגדרות'!$A$11:$D$25,3,FALSE),"")</f>
        <v/>
      </c>
      <c r="S234">
        <f>IFERROR(VLOOKUP(N234,'הגדרות'!$A$11:$D$25,2,FALSE),"")</f>
        <v/>
      </c>
      <c r="T234">
        <f>IFERROR(VLOOKUP(N234,'הגדרות'!$A$11:$D$25,3,FALSE),"")</f>
        <v/>
      </c>
      <c r="AB234" s="11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E235">
        <f>IFERROR(INDEX('הגדרות'!$D$104:$D$123,MATCH(B235&amp;G235&amp;C235,'הגדרות'!$A$104:$A$123&amp;'הגדרות'!$B$104:$B$123&amp;'הגדרות'!$C$104:$C$123,0)),"")</f>
        <v/>
      </c>
      <c r="F235" s="11" t="n"/>
      <c r="Q235">
        <f>IFERROR(VLOOKUP(M235,'הגדרות'!$A$11:$D$25,2,FALSE),"")</f>
        <v/>
      </c>
      <c r="R235">
        <f>IFERROR(VLOOKUP(M235,'הגדרות'!$A$11:$D$25,3,FALSE),"")</f>
        <v/>
      </c>
      <c r="S235">
        <f>IFERROR(VLOOKUP(N235,'הגדרות'!$A$11:$D$25,2,FALSE),"")</f>
        <v/>
      </c>
      <c r="T235">
        <f>IFERROR(VLOOKUP(N235,'הגדרות'!$A$11:$D$25,3,FALSE),"")</f>
        <v/>
      </c>
      <c r="AB235" s="11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E236">
        <f>IFERROR(INDEX('הגדרות'!$D$104:$D$123,MATCH(B236&amp;G236&amp;C236,'הגדרות'!$A$104:$A$123&amp;'הגדרות'!$B$104:$B$123&amp;'הגדרות'!$C$104:$C$123,0)),"")</f>
        <v/>
      </c>
      <c r="F236" s="11" t="n"/>
      <c r="Q236">
        <f>IFERROR(VLOOKUP(M236,'הגדרות'!$A$11:$D$25,2,FALSE),"")</f>
        <v/>
      </c>
      <c r="R236">
        <f>IFERROR(VLOOKUP(M236,'הגדרות'!$A$11:$D$25,3,FALSE),"")</f>
        <v/>
      </c>
      <c r="S236">
        <f>IFERROR(VLOOKUP(N236,'הגדרות'!$A$11:$D$25,2,FALSE),"")</f>
        <v/>
      </c>
      <c r="T236">
        <f>IFERROR(VLOOKUP(N236,'הגדרות'!$A$11:$D$25,3,FALSE),"")</f>
        <v/>
      </c>
      <c r="AB236" s="11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E237">
        <f>IFERROR(INDEX('הגדרות'!$D$104:$D$123,MATCH(B237&amp;G237&amp;C237,'הגדרות'!$A$104:$A$123&amp;'הגדרות'!$B$104:$B$123&amp;'הגדרות'!$C$104:$C$123,0)),"")</f>
        <v/>
      </c>
      <c r="F237" s="11" t="n"/>
      <c r="Q237">
        <f>IFERROR(VLOOKUP(M237,'הגדרות'!$A$11:$D$25,2,FALSE),"")</f>
        <v/>
      </c>
      <c r="R237">
        <f>IFERROR(VLOOKUP(M237,'הגדרות'!$A$11:$D$25,3,FALSE),"")</f>
        <v/>
      </c>
      <c r="S237">
        <f>IFERROR(VLOOKUP(N237,'הגדרות'!$A$11:$D$25,2,FALSE),"")</f>
        <v/>
      </c>
      <c r="T237">
        <f>IFERROR(VLOOKUP(N237,'הגדרות'!$A$11:$D$25,3,FALSE),"")</f>
        <v/>
      </c>
      <c r="AB237" s="11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E238">
        <f>IFERROR(INDEX('הגדרות'!$D$104:$D$123,MATCH(B238&amp;G238&amp;C238,'הגדרות'!$A$104:$A$123&amp;'הגדרות'!$B$104:$B$123&amp;'הגדרות'!$C$104:$C$123,0)),"")</f>
        <v/>
      </c>
      <c r="F238" s="11" t="n"/>
      <c r="Q238">
        <f>IFERROR(VLOOKUP(M238,'הגדרות'!$A$11:$D$25,2,FALSE),"")</f>
        <v/>
      </c>
      <c r="R238">
        <f>IFERROR(VLOOKUP(M238,'הגדרות'!$A$11:$D$25,3,FALSE),"")</f>
        <v/>
      </c>
      <c r="S238">
        <f>IFERROR(VLOOKUP(N238,'הגדרות'!$A$11:$D$25,2,FALSE),"")</f>
        <v/>
      </c>
      <c r="T238">
        <f>IFERROR(VLOOKUP(N238,'הגדרות'!$A$11:$D$25,3,FALSE),"")</f>
        <v/>
      </c>
      <c r="AB238" s="11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E239">
        <f>IFERROR(INDEX('הגדרות'!$D$104:$D$123,MATCH(B239&amp;G239&amp;C239,'הגדרות'!$A$104:$A$123&amp;'הגדרות'!$B$104:$B$123&amp;'הגדרות'!$C$104:$C$123,0)),"")</f>
        <v/>
      </c>
      <c r="F239" s="11" t="n"/>
      <c r="Q239">
        <f>IFERROR(VLOOKUP(M239,'הגדרות'!$A$11:$D$25,2,FALSE),"")</f>
        <v/>
      </c>
      <c r="R239">
        <f>IFERROR(VLOOKUP(M239,'הגדרות'!$A$11:$D$25,3,FALSE),"")</f>
        <v/>
      </c>
      <c r="S239">
        <f>IFERROR(VLOOKUP(N239,'הגדרות'!$A$11:$D$25,2,FALSE),"")</f>
        <v/>
      </c>
      <c r="T239">
        <f>IFERROR(VLOOKUP(N239,'הגדרות'!$A$11:$D$25,3,FALSE),"")</f>
        <v/>
      </c>
      <c r="AB239" s="11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E240">
        <f>IFERROR(INDEX('הגדרות'!$D$104:$D$123,MATCH(B240&amp;G240&amp;C240,'הגדרות'!$A$104:$A$123&amp;'הגדרות'!$B$104:$B$123&amp;'הגדרות'!$C$104:$C$123,0)),"")</f>
        <v/>
      </c>
      <c r="F240" s="11" t="n"/>
      <c r="Q240">
        <f>IFERROR(VLOOKUP(M240,'הגדרות'!$A$11:$D$25,2,FALSE),"")</f>
        <v/>
      </c>
      <c r="R240">
        <f>IFERROR(VLOOKUP(M240,'הגדרות'!$A$11:$D$25,3,FALSE),"")</f>
        <v/>
      </c>
      <c r="S240">
        <f>IFERROR(VLOOKUP(N240,'הגדרות'!$A$11:$D$25,2,FALSE),"")</f>
        <v/>
      </c>
      <c r="T240">
        <f>IFERROR(VLOOKUP(N240,'הגדרות'!$A$11:$D$25,3,FALSE),"")</f>
        <v/>
      </c>
      <c r="AB240" s="11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E241">
        <f>IFERROR(INDEX('הגדרות'!$D$104:$D$123,MATCH(B241&amp;G241&amp;C241,'הגדרות'!$A$104:$A$123&amp;'הגדרות'!$B$104:$B$123&amp;'הגדרות'!$C$104:$C$123,0)),"")</f>
        <v/>
      </c>
      <c r="F241" s="11" t="n"/>
      <c r="Q241">
        <f>IFERROR(VLOOKUP(M241,'הגדרות'!$A$11:$D$25,2,FALSE),"")</f>
        <v/>
      </c>
      <c r="R241">
        <f>IFERROR(VLOOKUP(M241,'הגדרות'!$A$11:$D$25,3,FALSE),"")</f>
        <v/>
      </c>
      <c r="S241">
        <f>IFERROR(VLOOKUP(N241,'הגדרות'!$A$11:$D$25,2,FALSE),"")</f>
        <v/>
      </c>
      <c r="T241">
        <f>IFERROR(VLOOKUP(N241,'הגדרות'!$A$11:$D$25,3,FALSE),"")</f>
        <v/>
      </c>
      <c r="AB241" s="11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E242">
        <f>IFERROR(INDEX('הגדרות'!$D$104:$D$123,MATCH(B242&amp;G242&amp;C242,'הגדרות'!$A$104:$A$123&amp;'הגדרות'!$B$104:$B$123&amp;'הגדרות'!$C$104:$C$123,0)),"")</f>
        <v/>
      </c>
      <c r="F242" s="11" t="n"/>
      <c r="Q242">
        <f>IFERROR(VLOOKUP(M242,'הגדרות'!$A$11:$D$25,2,FALSE),"")</f>
        <v/>
      </c>
      <c r="R242">
        <f>IFERROR(VLOOKUP(M242,'הגדרות'!$A$11:$D$25,3,FALSE),"")</f>
        <v/>
      </c>
      <c r="S242">
        <f>IFERROR(VLOOKUP(N242,'הגדרות'!$A$11:$D$25,2,FALSE),"")</f>
        <v/>
      </c>
      <c r="T242">
        <f>IFERROR(VLOOKUP(N242,'הגדרות'!$A$11:$D$25,3,FALSE),"")</f>
        <v/>
      </c>
      <c r="AB242" s="11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E243">
        <f>IFERROR(INDEX('הגדרות'!$D$104:$D$123,MATCH(B243&amp;G243&amp;C243,'הגדרות'!$A$104:$A$123&amp;'הגדרות'!$B$104:$B$123&amp;'הגדרות'!$C$104:$C$123,0)),"")</f>
        <v/>
      </c>
      <c r="F243" s="11" t="n"/>
      <c r="Q243">
        <f>IFERROR(VLOOKUP(M243,'הגדרות'!$A$11:$D$25,2,FALSE),"")</f>
        <v/>
      </c>
      <c r="R243">
        <f>IFERROR(VLOOKUP(M243,'הגדרות'!$A$11:$D$25,3,FALSE),"")</f>
        <v/>
      </c>
      <c r="S243">
        <f>IFERROR(VLOOKUP(N243,'הגדרות'!$A$11:$D$25,2,FALSE),"")</f>
        <v/>
      </c>
      <c r="T243">
        <f>IFERROR(VLOOKUP(N243,'הגדרות'!$A$11:$D$25,3,FALSE),"")</f>
        <v/>
      </c>
      <c r="AB243" s="11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E244">
        <f>IFERROR(INDEX('הגדרות'!$D$104:$D$123,MATCH(B244&amp;G244&amp;C244,'הגדרות'!$A$104:$A$123&amp;'הגדרות'!$B$104:$B$123&amp;'הגדרות'!$C$104:$C$123,0)),"")</f>
        <v/>
      </c>
      <c r="F244" s="11" t="n"/>
      <c r="Q244">
        <f>IFERROR(VLOOKUP(M244,'הגדרות'!$A$11:$D$25,2,FALSE),"")</f>
        <v/>
      </c>
      <c r="R244">
        <f>IFERROR(VLOOKUP(M244,'הגדרות'!$A$11:$D$25,3,FALSE),"")</f>
        <v/>
      </c>
      <c r="S244">
        <f>IFERROR(VLOOKUP(N244,'הגדרות'!$A$11:$D$25,2,FALSE),"")</f>
        <v/>
      </c>
      <c r="T244">
        <f>IFERROR(VLOOKUP(N244,'הגדרות'!$A$11:$D$25,3,FALSE),"")</f>
        <v/>
      </c>
      <c r="AB244" s="11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E245">
        <f>IFERROR(INDEX('הגדרות'!$D$104:$D$123,MATCH(B245&amp;G245&amp;C245,'הגדרות'!$A$104:$A$123&amp;'הגדרות'!$B$104:$B$123&amp;'הגדרות'!$C$104:$C$123,0)),"")</f>
        <v/>
      </c>
      <c r="F245" s="11" t="n"/>
      <c r="Q245">
        <f>IFERROR(VLOOKUP(M245,'הגדרות'!$A$11:$D$25,2,FALSE),"")</f>
        <v/>
      </c>
      <c r="R245">
        <f>IFERROR(VLOOKUP(M245,'הגדרות'!$A$11:$D$25,3,FALSE),"")</f>
        <v/>
      </c>
      <c r="S245">
        <f>IFERROR(VLOOKUP(N245,'הגדרות'!$A$11:$D$25,2,FALSE),"")</f>
        <v/>
      </c>
      <c r="T245">
        <f>IFERROR(VLOOKUP(N245,'הגדרות'!$A$11:$D$25,3,FALSE),"")</f>
        <v/>
      </c>
      <c r="AB245" s="11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E246">
        <f>IFERROR(INDEX('הגדרות'!$D$104:$D$123,MATCH(B246&amp;G246&amp;C246,'הגדרות'!$A$104:$A$123&amp;'הגדרות'!$B$104:$B$123&amp;'הגדרות'!$C$104:$C$123,0)),"")</f>
        <v/>
      </c>
      <c r="F246" s="11" t="n"/>
      <c r="Q246">
        <f>IFERROR(VLOOKUP(M246,'הגדרות'!$A$11:$D$25,2,FALSE),"")</f>
        <v/>
      </c>
      <c r="R246">
        <f>IFERROR(VLOOKUP(M246,'הגדרות'!$A$11:$D$25,3,FALSE),"")</f>
        <v/>
      </c>
      <c r="S246">
        <f>IFERROR(VLOOKUP(N246,'הגדרות'!$A$11:$D$25,2,FALSE),"")</f>
        <v/>
      </c>
      <c r="T246">
        <f>IFERROR(VLOOKUP(N246,'הגדרות'!$A$11:$D$25,3,FALSE),"")</f>
        <v/>
      </c>
      <c r="AB246" s="11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E247">
        <f>IFERROR(INDEX('הגדרות'!$D$104:$D$123,MATCH(B247&amp;G247&amp;C247,'הגדרות'!$A$104:$A$123&amp;'הגדרות'!$B$104:$B$123&amp;'הגדרות'!$C$104:$C$123,0)),"")</f>
        <v/>
      </c>
      <c r="F247" s="11" t="n"/>
      <c r="Q247">
        <f>IFERROR(VLOOKUP(M247,'הגדרות'!$A$11:$D$25,2,FALSE),"")</f>
        <v/>
      </c>
      <c r="R247">
        <f>IFERROR(VLOOKUP(M247,'הגדרות'!$A$11:$D$25,3,FALSE),"")</f>
        <v/>
      </c>
      <c r="S247">
        <f>IFERROR(VLOOKUP(N247,'הגדרות'!$A$11:$D$25,2,FALSE),"")</f>
        <v/>
      </c>
      <c r="T247">
        <f>IFERROR(VLOOKUP(N247,'הגדרות'!$A$11:$D$25,3,FALSE),"")</f>
        <v/>
      </c>
      <c r="AB247" s="11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E248">
        <f>IFERROR(INDEX('הגדרות'!$D$104:$D$123,MATCH(B248&amp;G248&amp;C248,'הגדרות'!$A$104:$A$123&amp;'הגדרות'!$B$104:$B$123&amp;'הגדרות'!$C$104:$C$123,0)),"")</f>
        <v/>
      </c>
      <c r="F248" s="11" t="n"/>
      <c r="Q248">
        <f>IFERROR(VLOOKUP(M248,'הגדרות'!$A$11:$D$25,2,FALSE),"")</f>
        <v/>
      </c>
      <c r="R248">
        <f>IFERROR(VLOOKUP(M248,'הגדרות'!$A$11:$D$25,3,FALSE),"")</f>
        <v/>
      </c>
      <c r="S248">
        <f>IFERROR(VLOOKUP(N248,'הגדרות'!$A$11:$D$25,2,FALSE),"")</f>
        <v/>
      </c>
      <c r="T248">
        <f>IFERROR(VLOOKUP(N248,'הגדרות'!$A$11:$D$25,3,FALSE),"")</f>
        <v/>
      </c>
      <c r="AB248" s="11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E249">
        <f>IFERROR(INDEX('הגדרות'!$D$104:$D$123,MATCH(B249&amp;G249&amp;C249,'הגדרות'!$A$104:$A$123&amp;'הגדרות'!$B$104:$B$123&amp;'הגדרות'!$C$104:$C$123,0)),"")</f>
        <v/>
      </c>
      <c r="F249" s="11" t="n"/>
      <c r="Q249">
        <f>IFERROR(VLOOKUP(M249,'הגדרות'!$A$11:$D$25,2,FALSE),"")</f>
        <v/>
      </c>
      <c r="R249">
        <f>IFERROR(VLOOKUP(M249,'הגדרות'!$A$11:$D$25,3,FALSE),"")</f>
        <v/>
      </c>
      <c r="S249">
        <f>IFERROR(VLOOKUP(N249,'הגדרות'!$A$11:$D$25,2,FALSE),"")</f>
        <v/>
      </c>
      <c r="T249">
        <f>IFERROR(VLOOKUP(N249,'הגדרות'!$A$11:$D$25,3,FALSE),"")</f>
        <v/>
      </c>
      <c r="AB249" s="11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E250">
        <f>IFERROR(INDEX('הגדרות'!$D$104:$D$123,MATCH(B250&amp;G250&amp;C250,'הגדרות'!$A$104:$A$123&amp;'הגדרות'!$B$104:$B$123&amp;'הגדרות'!$C$104:$C$123,0)),"")</f>
        <v/>
      </c>
      <c r="F250" s="11" t="n"/>
      <c r="Q250">
        <f>IFERROR(VLOOKUP(M250,'הגדרות'!$A$11:$D$25,2,FALSE),"")</f>
        <v/>
      </c>
      <c r="R250">
        <f>IFERROR(VLOOKUP(M250,'הגדרות'!$A$11:$D$25,3,FALSE),"")</f>
        <v/>
      </c>
      <c r="S250">
        <f>IFERROR(VLOOKUP(N250,'הגדרות'!$A$11:$D$25,2,FALSE),"")</f>
        <v/>
      </c>
      <c r="T250">
        <f>IFERROR(VLOOKUP(N250,'הגדרות'!$A$11:$D$25,3,FALSE),"")</f>
        <v/>
      </c>
      <c r="AB250" s="11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E251">
        <f>IFERROR(INDEX('הגדרות'!$D$104:$D$123,MATCH(B251&amp;G251&amp;C251,'הגדרות'!$A$104:$A$123&amp;'הגדרות'!$B$104:$B$123&amp;'הגדרות'!$C$104:$C$123,0)),"")</f>
        <v/>
      </c>
      <c r="F251" s="11" t="n"/>
      <c r="Q251">
        <f>IFERROR(VLOOKUP(M251,'הגדרות'!$A$11:$D$25,2,FALSE),"")</f>
        <v/>
      </c>
      <c r="R251">
        <f>IFERROR(VLOOKUP(M251,'הגדרות'!$A$11:$D$25,3,FALSE),"")</f>
        <v/>
      </c>
      <c r="S251">
        <f>IFERROR(VLOOKUP(N251,'הגדרות'!$A$11:$D$25,2,FALSE),"")</f>
        <v/>
      </c>
      <c r="T251">
        <f>IFERROR(VLOOKUP(N251,'הגדרות'!$A$11:$D$25,3,FALSE),"")</f>
        <v/>
      </c>
      <c r="AB251" s="11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E252">
        <f>IFERROR(INDEX('הגדרות'!$D$104:$D$123,MATCH(B252&amp;G252&amp;C252,'הגדרות'!$A$104:$A$123&amp;'הגדרות'!$B$104:$B$123&amp;'הגדרות'!$C$104:$C$123,0)),"")</f>
        <v/>
      </c>
      <c r="F252" s="11" t="n"/>
      <c r="Q252">
        <f>IFERROR(VLOOKUP(M252,'הגדרות'!$A$11:$D$25,2,FALSE),"")</f>
        <v/>
      </c>
      <c r="R252">
        <f>IFERROR(VLOOKUP(M252,'הגדרות'!$A$11:$D$25,3,FALSE),"")</f>
        <v/>
      </c>
      <c r="S252">
        <f>IFERROR(VLOOKUP(N252,'הגדרות'!$A$11:$D$25,2,FALSE),"")</f>
        <v/>
      </c>
      <c r="T252">
        <f>IFERROR(VLOOKUP(N252,'הגדרות'!$A$11:$D$25,3,FALSE),"")</f>
        <v/>
      </c>
      <c r="AB252" s="11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E253">
        <f>IFERROR(INDEX('הגדרות'!$D$104:$D$123,MATCH(B253&amp;G253&amp;C253,'הגדרות'!$A$104:$A$123&amp;'הגדרות'!$B$104:$B$123&amp;'הגדרות'!$C$104:$C$123,0)),"")</f>
        <v/>
      </c>
      <c r="F253" s="11" t="n"/>
      <c r="Q253">
        <f>IFERROR(VLOOKUP(M253,'הגדרות'!$A$11:$D$25,2,FALSE),"")</f>
        <v/>
      </c>
      <c r="R253">
        <f>IFERROR(VLOOKUP(M253,'הגדרות'!$A$11:$D$25,3,FALSE),"")</f>
        <v/>
      </c>
      <c r="S253">
        <f>IFERROR(VLOOKUP(N253,'הגדרות'!$A$11:$D$25,2,FALSE),"")</f>
        <v/>
      </c>
      <c r="T253">
        <f>IFERROR(VLOOKUP(N253,'הגדרות'!$A$11:$D$25,3,FALSE),"")</f>
        <v/>
      </c>
      <c r="AB253" s="11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E254">
        <f>IFERROR(INDEX('הגדרות'!$D$104:$D$123,MATCH(B254&amp;G254&amp;C254,'הגדרות'!$A$104:$A$123&amp;'הגדרות'!$B$104:$B$123&amp;'הגדרות'!$C$104:$C$123,0)),"")</f>
        <v/>
      </c>
      <c r="F254" s="11" t="n"/>
      <c r="Q254">
        <f>IFERROR(VLOOKUP(M254,'הגדרות'!$A$11:$D$25,2,FALSE),"")</f>
        <v/>
      </c>
      <c r="R254">
        <f>IFERROR(VLOOKUP(M254,'הגדרות'!$A$11:$D$25,3,FALSE),"")</f>
        <v/>
      </c>
      <c r="S254">
        <f>IFERROR(VLOOKUP(N254,'הגדרות'!$A$11:$D$25,2,FALSE),"")</f>
        <v/>
      </c>
      <c r="T254">
        <f>IFERROR(VLOOKUP(N254,'הגדרות'!$A$11:$D$25,3,FALSE),"")</f>
        <v/>
      </c>
      <c r="AB254" s="11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E255">
        <f>IFERROR(INDEX('הגדרות'!$D$104:$D$123,MATCH(B255&amp;G255&amp;C255,'הגדרות'!$A$104:$A$123&amp;'הגדרות'!$B$104:$B$123&amp;'הגדרות'!$C$104:$C$123,0)),"")</f>
        <v/>
      </c>
      <c r="F255" s="11" t="n"/>
      <c r="Q255">
        <f>IFERROR(VLOOKUP(M255,'הגדרות'!$A$11:$D$25,2,FALSE),"")</f>
        <v/>
      </c>
      <c r="R255">
        <f>IFERROR(VLOOKUP(M255,'הגדרות'!$A$11:$D$25,3,FALSE),"")</f>
        <v/>
      </c>
      <c r="S255">
        <f>IFERROR(VLOOKUP(N255,'הגדרות'!$A$11:$D$25,2,FALSE),"")</f>
        <v/>
      </c>
      <c r="T255">
        <f>IFERROR(VLOOKUP(N255,'הגדרות'!$A$11:$D$25,3,FALSE),"")</f>
        <v/>
      </c>
      <c r="AB255" s="11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E256">
        <f>IFERROR(INDEX('הגדרות'!$D$104:$D$123,MATCH(B256&amp;G256&amp;C256,'הגדרות'!$A$104:$A$123&amp;'הגדרות'!$B$104:$B$123&amp;'הגדרות'!$C$104:$C$123,0)),"")</f>
        <v/>
      </c>
      <c r="F256" s="11" t="n"/>
      <c r="Q256">
        <f>IFERROR(VLOOKUP(M256,'הגדרות'!$A$11:$D$25,2,FALSE),"")</f>
        <v/>
      </c>
      <c r="R256">
        <f>IFERROR(VLOOKUP(M256,'הגדרות'!$A$11:$D$25,3,FALSE),"")</f>
        <v/>
      </c>
      <c r="S256">
        <f>IFERROR(VLOOKUP(N256,'הגדרות'!$A$11:$D$25,2,FALSE),"")</f>
        <v/>
      </c>
      <c r="T256">
        <f>IFERROR(VLOOKUP(N256,'הגדרות'!$A$11:$D$25,3,FALSE),"")</f>
        <v/>
      </c>
      <c r="AB256" s="11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E257">
        <f>IFERROR(INDEX('הגדרות'!$D$104:$D$123,MATCH(B257&amp;G257&amp;C257,'הגדרות'!$A$104:$A$123&amp;'הגדרות'!$B$104:$B$123&amp;'הגדרות'!$C$104:$C$123,0)),"")</f>
        <v/>
      </c>
      <c r="F257" s="11" t="n"/>
      <c r="Q257">
        <f>IFERROR(VLOOKUP(M257,'הגדרות'!$A$11:$D$25,2,FALSE),"")</f>
        <v/>
      </c>
      <c r="R257">
        <f>IFERROR(VLOOKUP(M257,'הגדרות'!$A$11:$D$25,3,FALSE),"")</f>
        <v/>
      </c>
      <c r="S257">
        <f>IFERROR(VLOOKUP(N257,'הגדרות'!$A$11:$D$25,2,FALSE),"")</f>
        <v/>
      </c>
      <c r="T257">
        <f>IFERROR(VLOOKUP(N257,'הגדרות'!$A$11:$D$25,3,FALSE),"")</f>
        <v/>
      </c>
      <c r="AB257" s="11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E258">
        <f>IFERROR(INDEX('הגדרות'!$D$104:$D$123,MATCH(B258&amp;G258&amp;C258,'הגדרות'!$A$104:$A$123&amp;'הגדרות'!$B$104:$B$123&amp;'הגדרות'!$C$104:$C$123,0)),"")</f>
        <v/>
      </c>
      <c r="F258" s="11" t="n"/>
      <c r="Q258">
        <f>IFERROR(VLOOKUP(M258,'הגדרות'!$A$11:$D$25,2,FALSE),"")</f>
        <v/>
      </c>
      <c r="R258">
        <f>IFERROR(VLOOKUP(M258,'הגדרות'!$A$11:$D$25,3,FALSE),"")</f>
        <v/>
      </c>
      <c r="S258">
        <f>IFERROR(VLOOKUP(N258,'הגדרות'!$A$11:$D$25,2,FALSE),"")</f>
        <v/>
      </c>
      <c r="T258">
        <f>IFERROR(VLOOKUP(N258,'הגדרות'!$A$11:$D$25,3,FALSE),"")</f>
        <v/>
      </c>
      <c r="AB258" s="11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E259">
        <f>IFERROR(INDEX('הגדרות'!$D$104:$D$123,MATCH(B259&amp;G259&amp;C259,'הגדרות'!$A$104:$A$123&amp;'הגדרות'!$B$104:$B$123&amp;'הגדרות'!$C$104:$C$123,0)),"")</f>
        <v/>
      </c>
      <c r="F259" s="11" t="n"/>
      <c r="Q259">
        <f>IFERROR(VLOOKUP(M259,'הגדרות'!$A$11:$D$25,2,FALSE),"")</f>
        <v/>
      </c>
      <c r="R259">
        <f>IFERROR(VLOOKUP(M259,'הגדרות'!$A$11:$D$25,3,FALSE),"")</f>
        <v/>
      </c>
      <c r="S259">
        <f>IFERROR(VLOOKUP(N259,'הגדרות'!$A$11:$D$25,2,FALSE),"")</f>
        <v/>
      </c>
      <c r="T259">
        <f>IFERROR(VLOOKUP(N259,'הגדרות'!$A$11:$D$25,3,FALSE),"")</f>
        <v/>
      </c>
      <c r="AB259" s="11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E260">
        <f>IFERROR(INDEX('הגדרות'!$D$104:$D$123,MATCH(B260&amp;G260&amp;C260,'הגדרות'!$A$104:$A$123&amp;'הגדרות'!$B$104:$B$123&amp;'הגדרות'!$C$104:$C$123,0)),"")</f>
        <v/>
      </c>
      <c r="F260" s="11" t="n"/>
      <c r="Q260">
        <f>IFERROR(VLOOKUP(M260,'הגדרות'!$A$11:$D$25,2,FALSE),"")</f>
        <v/>
      </c>
      <c r="R260">
        <f>IFERROR(VLOOKUP(M260,'הגדרות'!$A$11:$D$25,3,FALSE),"")</f>
        <v/>
      </c>
      <c r="S260">
        <f>IFERROR(VLOOKUP(N260,'הגדרות'!$A$11:$D$25,2,FALSE),"")</f>
        <v/>
      </c>
      <c r="T260">
        <f>IFERROR(VLOOKUP(N260,'הגדרות'!$A$11:$D$25,3,FALSE),"")</f>
        <v/>
      </c>
      <c r="AB260" s="11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E261">
        <f>IFERROR(INDEX('הגדרות'!$D$104:$D$123,MATCH(B261&amp;G261&amp;C261,'הגדרות'!$A$104:$A$123&amp;'הגדרות'!$B$104:$B$123&amp;'הגדרות'!$C$104:$C$123,0)),"")</f>
        <v/>
      </c>
      <c r="F261" s="11" t="n"/>
      <c r="Q261">
        <f>IFERROR(VLOOKUP(M261,'הגדרות'!$A$11:$D$25,2,FALSE),"")</f>
        <v/>
      </c>
      <c r="R261">
        <f>IFERROR(VLOOKUP(M261,'הגדרות'!$A$11:$D$25,3,FALSE),"")</f>
        <v/>
      </c>
      <c r="S261">
        <f>IFERROR(VLOOKUP(N261,'הגדרות'!$A$11:$D$25,2,FALSE),"")</f>
        <v/>
      </c>
      <c r="T261">
        <f>IFERROR(VLOOKUP(N261,'הגדרות'!$A$11:$D$25,3,FALSE),"")</f>
        <v/>
      </c>
      <c r="AB261" s="11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E262">
        <f>IFERROR(INDEX('הגדרות'!$D$104:$D$123,MATCH(B262&amp;G262&amp;C262,'הגדרות'!$A$104:$A$123&amp;'הגדרות'!$B$104:$B$123&amp;'הגדרות'!$C$104:$C$123,0)),"")</f>
        <v/>
      </c>
      <c r="F262" s="11" t="n"/>
      <c r="Q262">
        <f>IFERROR(VLOOKUP(M262,'הגדרות'!$A$11:$D$25,2,FALSE),"")</f>
        <v/>
      </c>
      <c r="R262">
        <f>IFERROR(VLOOKUP(M262,'הגדרות'!$A$11:$D$25,3,FALSE),"")</f>
        <v/>
      </c>
      <c r="S262">
        <f>IFERROR(VLOOKUP(N262,'הגדרות'!$A$11:$D$25,2,FALSE),"")</f>
        <v/>
      </c>
      <c r="T262">
        <f>IFERROR(VLOOKUP(N262,'הגדרות'!$A$11:$D$25,3,FALSE),"")</f>
        <v/>
      </c>
      <c r="AB262" s="11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E263">
        <f>IFERROR(INDEX('הגדרות'!$D$104:$D$123,MATCH(B263&amp;G263&amp;C263,'הגדרות'!$A$104:$A$123&amp;'הגדרות'!$B$104:$B$123&amp;'הגדרות'!$C$104:$C$123,0)),"")</f>
        <v/>
      </c>
      <c r="F263" s="11" t="n"/>
      <c r="Q263">
        <f>IFERROR(VLOOKUP(M263,'הגדרות'!$A$11:$D$25,2,FALSE),"")</f>
        <v/>
      </c>
      <c r="R263">
        <f>IFERROR(VLOOKUP(M263,'הגדרות'!$A$11:$D$25,3,FALSE),"")</f>
        <v/>
      </c>
      <c r="S263">
        <f>IFERROR(VLOOKUP(N263,'הגדרות'!$A$11:$D$25,2,FALSE),"")</f>
        <v/>
      </c>
      <c r="T263">
        <f>IFERROR(VLOOKUP(N263,'הגדרות'!$A$11:$D$25,3,FALSE),"")</f>
        <v/>
      </c>
      <c r="AB263" s="11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E264">
        <f>IFERROR(INDEX('הגדרות'!$D$104:$D$123,MATCH(B264&amp;G264&amp;C264,'הגדרות'!$A$104:$A$123&amp;'הגדרות'!$B$104:$B$123&amp;'הגדרות'!$C$104:$C$123,0)),"")</f>
        <v/>
      </c>
      <c r="F264" s="11" t="n"/>
      <c r="Q264">
        <f>IFERROR(VLOOKUP(M264,'הגדרות'!$A$11:$D$25,2,FALSE),"")</f>
        <v/>
      </c>
      <c r="R264">
        <f>IFERROR(VLOOKUP(M264,'הגדרות'!$A$11:$D$25,3,FALSE),"")</f>
        <v/>
      </c>
      <c r="S264">
        <f>IFERROR(VLOOKUP(N264,'הגדרות'!$A$11:$D$25,2,FALSE),"")</f>
        <v/>
      </c>
      <c r="T264">
        <f>IFERROR(VLOOKUP(N264,'הגדרות'!$A$11:$D$25,3,FALSE),"")</f>
        <v/>
      </c>
      <c r="AB264" s="11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E265">
        <f>IFERROR(INDEX('הגדרות'!$D$104:$D$123,MATCH(B265&amp;G265&amp;C265,'הגדרות'!$A$104:$A$123&amp;'הגדרות'!$B$104:$B$123&amp;'הגדרות'!$C$104:$C$123,0)),"")</f>
        <v/>
      </c>
      <c r="F265" s="11" t="n"/>
      <c r="Q265">
        <f>IFERROR(VLOOKUP(M265,'הגדרות'!$A$11:$D$25,2,FALSE),"")</f>
        <v/>
      </c>
      <c r="R265">
        <f>IFERROR(VLOOKUP(M265,'הגדרות'!$A$11:$D$25,3,FALSE),"")</f>
        <v/>
      </c>
      <c r="S265">
        <f>IFERROR(VLOOKUP(N265,'הגדרות'!$A$11:$D$25,2,FALSE),"")</f>
        <v/>
      </c>
      <c r="T265">
        <f>IFERROR(VLOOKUP(N265,'הגדרות'!$A$11:$D$25,3,FALSE),"")</f>
        <v/>
      </c>
      <c r="AB265" s="11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E266">
        <f>IFERROR(INDEX('הגדרות'!$D$104:$D$123,MATCH(B266&amp;G266&amp;C266,'הגדרות'!$A$104:$A$123&amp;'הגדרות'!$B$104:$B$123&amp;'הגדרות'!$C$104:$C$123,0)),"")</f>
        <v/>
      </c>
      <c r="F266" s="11" t="n"/>
      <c r="Q266">
        <f>IFERROR(VLOOKUP(M266,'הגדרות'!$A$11:$D$25,2,FALSE),"")</f>
        <v/>
      </c>
      <c r="R266">
        <f>IFERROR(VLOOKUP(M266,'הגדרות'!$A$11:$D$25,3,FALSE),"")</f>
        <v/>
      </c>
      <c r="S266">
        <f>IFERROR(VLOOKUP(N266,'הגדרות'!$A$11:$D$25,2,FALSE),"")</f>
        <v/>
      </c>
      <c r="T266">
        <f>IFERROR(VLOOKUP(N266,'הגדרות'!$A$11:$D$25,3,FALSE),"")</f>
        <v/>
      </c>
      <c r="AB266" s="11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E267">
        <f>IFERROR(INDEX('הגדרות'!$D$104:$D$123,MATCH(B267&amp;G267&amp;C267,'הגדרות'!$A$104:$A$123&amp;'הגדרות'!$B$104:$B$123&amp;'הגדרות'!$C$104:$C$123,0)),"")</f>
        <v/>
      </c>
      <c r="F267" s="11" t="n"/>
      <c r="Q267">
        <f>IFERROR(VLOOKUP(M267,'הגדרות'!$A$11:$D$25,2,FALSE),"")</f>
        <v/>
      </c>
      <c r="R267">
        <f>IFERROR(VLOOKUP(M267,'הגדרות'!$A$11:$D$25,3,FALSE),"")</f>
        <v/>
      </c>
      <c r="S267">
        <f>IFERROR(VLOOKUP(N267,'הגדרות'!$A$11:$D$25,2,FALSE),"")</f>
        <v/>
      </c>
      <c r="T267">
        <f>IFERROR(VLOOKUP(N267,'הגדרות'!$A$11:$D$25,3,FALSE),"")</f>
        <v/>
      </c>
      <c r="AB267" s="11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E268">
        <f>IFERROR(INDEX('הגדרות'!$D$104:$D$123,MATCH(B268&amp;G268&amp;C268,'הגדרות'!$A$104:$A$123&amp;'הגדרות'!$B$104:$B$123&amp;'הגדרות'!$C$104:$C$123,0)),"")</f>
        <v/>
      </c>
      <c r="F268" s="11" t="n"/>
      <c r="Q268">
        <f>IFERROR(VLOOKUP(M268,'הגדרות'!$A$11:$D$25,2,FALSE),"")</f>
        <v/>
      </c>
      <c r="R268">
        <f>IFERROR(VLOOKUP(M268,'הגדרות'!$A$11:$D$25,3,FALSE),"")</f>
        <v/>
      </c>
      <c r="S268">
        <f>IFERROR(VLOOKUP(N268,'הגדרות'!$A$11:$D$25,2,FALSE),"")</f>
        <v/>
      </c>
      <c r="T268">
        <f>IFERROR(VLOOKUP(N268,'הגדרות'!$A$11:$D$25,3,FALSE),"")</f>
        <v/>
      </c>
      <c r="AB268" s="11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E269">
        <f>IFERROR(INDEX('הגדרות'!$D$104:$D$123,MATCH(B269&amp;G269&amp;C269,'הגדרות'!$A$104:$A$123&amp;'הגדרות'!$B$104:$B$123&amp;'הגדרות'!$C$104:$C$123,0)),"")</f>
        <v/>
      </c>
      <c r="F269" s="11" t="n"/>
      <c r="Q269">
        <f>IFERROR(VLOOKUP(M269,'הגדרות'!$A$11:$D$25,2,FALSE),"")</f>
        <v/>
      </c>
      <c r="R269">
        <f>IFERROR(VLOOKUP(M269,'הגדרות'!$A$11:$D$25,3,FALSE),"")</f>
        <v/>
      </c>
      <c r="S269">
        <f>IFERROR(VLOOKUP(N269,'הגדרות'!$A$11:$D$25,2,FALSE),"")</f>
        <v/>
      </c>
      <c r="T269">
        <f>IFERROR(VLOOKUP(N269,'הגדרות'!$A$11:$D$25,3,FALSE),"")</f>
        <v/>
      </c>
      <c r="AB269" s="11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E270">
        <f>IFERROR(INDEX('הגדרות'!$D$104:$D$123,MATCH(B270&amp;G270&amp;C270,'הגדרות'!$A$104:$A$123&amp;'הגדרות'!$B$104:$B$123&amp;'הגדרות'!$C$104:$C$123,0)),"")</f>
        <v/>
      </c>
      <c r="F270" s="11" t="n"/>
      <c r="Q270">
        <f>IFERROR(VLOOKUP(M270,'הגדרות'!$A$11:$D$25,2,FALSE),"")</f>
        <v/>
      </c>
      <c r="R270">
        <f>IFERROR(VLOOKUP(M270,'הגדרות'!$A$11:$D$25,3,FALSE),"")</f>
        <v/>
      </c>
      <c r="S270">
        <f>IFERROR(VLOOKUP(N270,'הגדרות'!$A$11:$D$25,2,FALSE),"")</f>
        <v/>
      </c>
      <c r="T270">
        <f>IFERROR(VLOOKUP(N270,'הגדרות'!$A$11:$D$25,3,FALSE),"")</f>
        <v/>
      </c>
      <c r="AB270" s="11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E271">
        <f>IFERROR(INDEX('הגדרות'!$D$104:$D$123,MATCH(B271&amp;G271&amp;C271,'הגדרות'!$A$104:$A$123&amp;'הגדרות'!$B$104:$B$123&amp;'הגדרות'!$C$104:$C$123,0)),"")</f>
        <v/>
      </c>
      <c r="F271" s="11" t="n"/>
      <c r="Q271">
        <f>IFERROR(VLOOKUP(M271,'הגדרות'!$A$11:$D$25,2,FALSE),"")</f>
        <v/>
      </c>
      <c r="R271">
        <f>IFERROR(VLOOKUP(M271,'הגדרות'!$A$11:$D$25,3,FALSE),"")</f>
        <v/>
      </c>
      <c r="S271">
        <f>IFERROR(VLOOKUP(N271,'הגדרות'!$A$11:$D$25,2,FALSE),"")</f>
        <v/>
      </c>
      <c r="T271">
        <f>IFERROR(VLOOKUP(N271,'הגדרות'!$A$11:$D$25,3,FALSE),"")</f>
        <v/>
      </c>
      <c r="AB271" s="11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E272">
        <f>IFERROR(INDEX('הגדרות'!$D$104:$D$123,MATCH(B272&amp;G272&amp;C272,'הגדרות'!$A$104:$A$123&amp;'הגדרות'!$B$104:$B$123&amp;'הגדרות'!$C$104:$C$123,0)),"")</f>
        <v/>
      </c>
      <c r="F272" s="11" t="n"/>
      <c r="Q272">
        <f>IFERROR(VLOOKUP(M272,'הגדרות'!$A$11:$D$25,2,FALSE),"")</f>
        <v/>
      </c>
      <c r="R272">
        <f>IFERROR(VLOOKUP(M272,'הגדרות'!$A$11:$D$25,3,FALSE),"")</f>
        <v/>
      </c>
      <c r="S272">
        <f>IFERROR(VLOOKUP(N272,'הגדרות'!$A$11:$D$25,2,FALSE),"")</f>
        <v/>
      </c>
      <c r="T272">
        <f>IFERROR(VLOOKUP(N272,'הגדרות'!$A$11:$D$25,3,FALSE),"")</f>
        <v/>
      </c>
      <c r="AB272" s="11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E273">
        <f>IFERROR(INDEX('הגדרות'!$D$104:$D$123,MATCH(B273&amp;G273&amp;C273,'הגדרות'!$A$104:$A$123&amp;'הגדרות'!$B$104:$B$123&amp;'הגדרות'!$C$104:$C$123,0)),"")</f>
        <v/>
      </c>
      <c r="F273" s="11" t="n"/>
      <c r="Q273">
        <f>IFERROR(VLOOKUP(M273,'הגדרות'!$A$11:$D$25,2,FALSE),"")</f>
        <v/>
      </c>
      <c r="R273">
        <f>IFERROR(VLOOKUP(M273,'הגדרות'!$A$11:$D$25,3,FALSE),"")</f>
        <v/>
      </c>
      <c r="S273">
        <f>IFERROR(VLOOKUP(N273,'הגדרות'!$A$11:$D$25,2,FALSE),"")</f>
        <v/>
      </c>
      <c r="T273">
        <f>IFERROR(VLOOKUP(N273,'הגדרות'!$A$11:$D$25,3,FALSE),"")</f>
        <v/>
      </c>
      <c r="AB273" s="11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E274">
        <f>IFERROR(INDEX('הגדרות'!$D$104:$D$123,MATCH(B274&amp;G274&amp;C274,'הגדרות'!$A$104:$A$123&amp;'הגדרות'!$B$104:$B$123&amp;'הגדרות'!$C$104:$C$123,0)),"")</f>
        <v/>
      </c>
      <c r="F274" s="11" t="n"/>
      <c r="Q274">
        <f>IFERROR(VLOOKUP(M274,'הגדרות'!$A$11:$D$25,2,FALSE),"")</f>
        <v/>
      </c>
      <c r="R274">
        <f>IFERROR(VLOOKUP(M274,'הגדרות'!$A$11:$D$25,3,FALSE),"")</f>
        <v/>
      </c>
      <c r="S274">
        <f>IFERROR(VLOOKUP(N274,'הגדרות'!$A$11:$D$25,2,FALSE),"")</f>
        <v/>
      </c>
      <c r="T274">
        <f>IFERROR(VLOOKUP(N274,'הגדרות'!$A$11:$D$25,3,FALSE),"")</f>
        <v/>
      </c>
      <c r="AB274" s="11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E275">
        <f>IFERROR(INDEX('הגדרות'!$D$104:$D$123,MATCH(B275&amp;G275&amp;C275,'הגדרות'!$A$104:$A$123&amp;'הגדרות'!$B$104:$B$123&amp;'הגדרות'!$C$104:$C$123,0)),"")</f>
        <v/>
      </c>
      <c r="F275" s="11" t="n"/>
      <c r="Q275">
        <f>IFERROR(VLOOKUP(M275,'הגדרות'!$A$11:$D$25,2,FALSE),"")</f>
        <v/>
      </c>
      <c r="R275">
        <f>IFERROR(VLOOKUP(M275,'הגדרות'!$A$11:$D$25,3,FALSE),"")</f>
        <v/>
      </c>
      <c r="S275">
        <f>IFERROR(VLOOKUP(N275,'הגדרות'!$A$11:$D$25,2,FALSE),"")</f>
        <v/>
      </c>
      <c r="T275">
        <f>IFERROR(VLOOKUP(N275,'הגדרות'!$A$11:$D$25,3,FALSE),"")</f>
        <v/>
      </c>
      <c r="AB275" s="11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E276">
        <f>IFERROR(INDEX('הגדרות'!$D$104:$D$123,MATCH(B276&amp;G276&amp;C276,'הגדרות'!$A$104:$A$123&amp;'הגדרות'!$B$104:$B$123&amp;'הגדרות'!$C$104:$C$123,0)),"")</f>
        <v/>
      </c>
      <c r="F276" s="11" t="n"/>
      <c r="Q276">
        <f>IFERROR(VLOOKUP(M276,'הגדרות'!$A$11:$D$25,2,FALSE),"")</f>
        <v/>
      </c>
      <c r="R276">
        <f>IFERROR(VLOOKUP(M276,'הגדרות'!$A$11:$D$25,3,FALSE),"")</f>
        <v/>
      </c>
      <c r="S276">
        <f>IFERROR(VLOOKUP(N276,'הגדרות'!$A$11:$D$25,2,FALSE),"")</f>
        <v/>
      </c>
      <c r="T276">
        <f>IFERROR(VLOOKUP(N276,'הגדרות'!$A$11:$D$25,3,FALSE),"")</f>
        <v/>
      </c>
      <c r="AB276" s="11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E277">
        <f>IFERROR(INDEX('הגדרות'!$D$104:$D$123,MATCH(B277&amp;G277&amp;C277,'הגדרות'!$A$104:$A$123&amp;'הגדרות'!$B$104:$B$123&amp;'הגדרות'!$C$104:$C$123,0)),"")</f>
        <v/>
      </c>
      <c r="F277" s="11" t="n"/>
      <c r="Q277">
        <f>IFERROR(VLOOKUP(M277,'הגדרות'!$A$11:$D$25,2,FALSE),"")</f>
        <v/>
      </c>
      <c r="R277">
        <f>IFERROR(VLOOKUP(M277,'הגדרות'!$A$11:$D$25,3,FALSE),"")</f>
        <v/>
      </c>
      <c r="S277">
        <f>IFERROR(VLOOKUP(N277,'הגדרות'!$A$11:$D$25,2,FALSE),"")</f>
        <v/>
      </c>
      <c r="T277">
        <f>IFERROR(VLOOKUP(N277,'הגדרות'!$A$11:$D$25,3,FALSE),"")</f>
        <v/>
      </c>
      <c r="AB277" s="11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E278">
        <f>IFERROR(INDEX('הגדרות'!$D$104:$D$123,MATCH(B278&amp;G278&amp;C278,'הגדרות'!$A$104:$A$123&amp;'הגדרות'!$B$104:$B$123&amp;'הגדרות'!$C$104:$C$123,0)),"")</f>
        <v/>
      </c>
      <c r="F278" s="11" t="n"/>
      <c r="Q278">
        <f>IFERROR(VLOOKUP(M278,'הגדרות'!$A$11:$D$25,2,FALSE),"")</f>
        <v/>
      </c>
      <c r="R278">
        <f>IFERROR(VLOOKUP(M278,'הגדרות'!$A$11:$D$25,3,FALSE),"")</f>
        <v/>
      </c>
      <c r="S278">
        <f>IFERROR(VLOOKUP(N278,'הגדרות'!$A$11:$D$25,2,FALSE),"")</f>
        <v/>
      </c>
      <c r="T278">
        <f>IFERROR(VLOOKUP(N278,'הגדרות'!$A$11:$D$25,3,FALSE),"")</f>
        <v/>
      </c>
      <c r="AB278" s="11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E279">
        <f>IFERROR(INDEX('הגדרות'!$D$104:$D$123,MATCH(B279&amp;G279&amp;C279,'הגדרות'!$A$104:$A$123&amp;'הגדרות'!$B$104:$B$123&amp;'הגדרות'!$C$104:$C$123,0)),"")</f>
        <v/>
      </c>
      <c r="F279" s="11" t="n"/>
      <c r="Q279">
        <f>IFERROR(VLOOKUP(M279,'הגדרות'!$A$11:$D$25,2,FALSE),"")</f>
        <v/>
      </c>
      <c r="R279">
        <f>IFERROR(VLOOKUP(M279,'הגדרות'!$A$11:$D$25,3,FALSE),"")</f>
        <v/>
      </c>
      <c r="S279">
        <f>IFERROR(VLOOKUP(N279,'הגדרות'!$A$11:$D$25,2,FALSE),"")</f>
        <v/>
      </c>
      <c r="T279">
        <f>IFERROR(VLOOKUP(N279,'הגדרות'!$A$11:$D$25,3,FALSE),"")</f>
        <v/>
      </c>
      <c r="AB279" s="11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E280">
        <f>IFERROR(INDEX('הגדרות'!$D$104:$D$123,MATCH(B280&amp;G280&amp;C280,'הגדרות'!$A$104:$A$123&amp;'הגדרות'!$B$104:$B$123&amp;'הגדרות'!$C$104:$C$123,0)),"")</f>
        <v/>
      </c>
      <c r="F280" s="11" t="n"/>
      <c r="Q280">
        <f>IFERROR(VLOOKUP(M280,'הגדרות'!$A$11:$D$25,2,FALSE),"")</f>
        <v/>
      </c>
      <c r="R280">
        <f>IFERROR(VLOOKUP(M280,'הגדרות'!$A$11:$D$25,3,FALSE),"")</f>
        <v/>
      </c>
      <c r="S280">
        <f>IFERROR(VLOOKUP(N280,'הגדרות'!$A$11:$D$25,2,FALSE),"")</f>
        <v/>
      </c>
      <c r="T280">
        <f>IFERROR(VLOOKUP(N280,'הגדרות'!$A$11:$D$25,3,FALSE),"")</f>
        <v/>
      </c>
      <c r="AB280" s="11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E281">
        <f>IFERROR(INDEX('הגדרות'!$D$104:$D$123,MATCH(B281&amp;G281&amp;C281,'הגדרות'!$A$104:$A$123&amp;'הגדרות'!$B$104:$B$123&amp;'הגדרות'!$C$104:$C$123,0)),"")</f>
        <v/>
      </c>
      <c r="F281" s="11" t="n"/>
      <c r="Q281">
        <f>IFERROR(VLOOKUP(M281,'הגדרות'!$A$11:$D$25,2,FALSE),"")</f>
        <v/>
      </c>
      <c r="R281">
        <f>IFERROR(VLOOKUP(M281,'הגדרות'!$A$11:$D$25,3,FALSE),"")</f>
        <v/>
      </c>
      <c r="S281">
        <f>IFERROR(VLOOKUP(N281,'הגדרות'!$A$11:$D$25,2,FALSE),"")</f>
        <v/>
      </c>
      <c r="T281">
        <f>IFERROR(VLOOKUP(N281,'הגדרות'!$A$11:$D$25,3,FALSE),"")</f>
        <v/>
      </c>
      <c r="AB281" s="11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E282">
        <f>IFERROR(INDEX('הגדרות'!$D$104:$D$123,MATCH(B282&amp;G282&amp;C282,'הגדרות'!$A$104:$A$123&amp;'הגדרות'!$B$104:$B$123&amp;'הגדרות'!$C$104:$C$123,0)),"")</f>
        <v/>
      </c>
      <c r="F282" s="11" t="n"/>
      <c r="Q282">
        <f>IFERROR(VLOOKUP(M282,'הגדרות'!$A$11:$D$25,2,FALSE),"")</f>
        <v/>
      </c>
      <c r="R282">
        <f>IFERROR(VLOOKUP(M282,'הגדרות'!$A$11:$D$25,3,FALSE),"")</f>
        <v/>
      </c>
      <c r="S282">
        <f>IFERROR(VLOOKUP(N282,'הגדרות'!$A$11:$D$25,2,FALSE),"")</f>
        <v/>
      </c>
      <c r="T282">
        <f>IFERROR(VLOOKUP(N282,'הגדרות'!$A$11:$D$25,3,FALSE),"")</f>
        <v/>
      </c>
      <c r="AB282" s="11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E283">
        <f>IFERROR(INDEX('הגדרות'!$D$104:$D$123,MATCH(B283&amp;G283&amp;C283,'הגדרות'!$A$104:$A$123&amp;'הגדרות'!$B$104:$B$123&amp;'הגדרות'!$C$104:$C$123,0)),"")</f>
        <v/>
      </c>
      <c r="F283" s="11" t="n"/>
      <c r="Q283">
        <f>IFERROR(VLOOKUP(M283,'הגדרות'!$A$11:$D$25,2,FALSE),"")</f>
        <v/>
      </c>
      <c r="R283">
        <f>IFERROR(VLOOKUP(M283,'הגדרות'!$A$11:$D$25,3,FALSE),"")</f>
        <v/>
      </c>
      <c r="S283">
        <f>IFERROR(VLOOKUP(N283,'הגדרות'!$A$11:$D$25,2,FALSE),"")</f>
        <v/>
      </c>
      <c r="T283">
        <f>IFERROR(VLOOKUP(N283,'הגדרות'!$A$11:$D$25,3,FALSE),"")</f>
        <v/>
      </c>
      <c r="AB283" s="11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E284">
        <f>IFERROR(INDEX('הגדרות'!$D$104:$D$123,MATCH(B284&amp;G284&amp;C284,'הגדרות'!$A$104:$A$123&amp;'הגדרות'!$B$104:$B$123&amp;'הגדרות'!$C$104:$C$123,0)),"")</f>
        <v/>
      </c>
      <c r="F284" s="11" t="n"/>
      <c r="Q284">
        <f>IFERROR(VLOOKUP(M284,'הגדרות'!$A$11:$D$25,2,FALSE),"")</f>
        <v/>
      </c>
      <c r="R284">
        <f>IFERROR(VLOOKUP(M284,'הגדרות'!$A$11:$D$25,3,FALSE),"")</f>
        <v/>
      </c>
      <c r="S284">
        <f>IFERROR(VLOOKUP(N284,'הגדרות'!$A$11:$D$25,2,FALSE),"")</f>
        <v/>
      </c>
      <c r="T284">
        <f>IFERROR(VLOOKUP(N284,'הגדרות'!$A$11:$D$25,3,FALSE),"")</f>
        <v/>
      </c>
      <c r="AB284" s="11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E285">
        <f>IFERROR(INDEX('הגדרות'!$D$104:$D$123,MATCH(B285&amp;G285&amp;C285,'הגדרות'!$A$104:$A$123&amp;'הגדרות'!$B$104:$B$123&amp;'הגדרות'!$C$104:$C$123,0)),"")</f>
        <v/>
      </c>
      <c r="F285" s="11" t="n"/>
      <c r="Q285">
        <f>IFERROR(VLOOKUP(M285,'הגדרות'!$A$11:$D$25,2,FALSE),"")</f>
        <v/>
      </c>
      <c r="R285">
        <f>IFERROR(VLOOKUP(M285,'הגדרות'!$A$11:$D$25,3,FALSE),"")</f>
        <v/>
      </c>
      <c r="S285">
        <f>IFERROR(VLOOKUP(N285,'הגדרות'!$A$11:$D$25,2,FALSE),"")</f>
        <v/>
      </c>
      <c r="T285">
        <f>IFERROR(VLOOKUP(N285,'הגדרות'!$A$11:$D$25,3,FALSE),"")</f>
        <v/>
      </c>
      <c r="AB285" s="11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E286">
        <f>IFERROR(INDEX('הגדרות'!$D$104:$D$123,MATCH(B286&amp;G286&amp;C286,'הגדרות'!$A$104:$A$123&amp;'הגדרות'!$B$104:$B$123&amp;'הגדרות'!$C$104:$C$123,0)),"")</f>
        <v/>
      </c>
      <c r="F286" s="11" t="n"/>
      <c r="Q286">
        <f>IFERROR(VLOOKUP(M286,'הגדרות'!$A$11:$D$25,2,FALSE),"")</f>
        <v/>
      </c>
      <c r="R286">
        <f>IFERROR(VLOOKUP(M286,'הגדרות'!$A$11:$D$25,3,FALSE),"")</f>
        <v/>
      </c>
      <c r="S286">
        <f>IFERROR(VLOOKUP(N286,'הגדרות'!$A$11:$D$25,2,FALSE),"")</f>
        <v/>
      </c>
      <c r="T286">
        <f>IFERROR(VLOOKUP(N286,'הגדרות'!$A$11:$D$25,3,FALSE),"")</f>
        <v/>
      </c>
      <c r="AB286" s="11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E287">
        <f>IFERROR(INDEX('הגדרות'!$D$104:$D$123,MATCH(B287&amp;G287&amp;C287,'הגדרות'!$A$104:$A$123&amp;'הגדרות'!$B$104:$B$123&amp;'הגדרות'!$C$104:$C$123,0)),"")</f>
        <v/>
      </c>
      <c r="F287" s="11" t="n"/>
      <c r="Q287">
        <f>IFERROR(VLOOKUP(M287,'הגדרות'!$A$11:$D$25,2,FALSE),"")</f>
        <v/>
      </c>
      <c r="R287">
        <f>IFERROR(VLOOKUP(M287,'הגדרות'!$A$11:$D$25,3,FALSE),"")</f>
        <v/>
      </c>
      <c r="S287">
        <f>IFERROR(VLOOKUP(N287,'הגדרות'!$A$11:$D$25,2,FALSE),"")</f>
        <v/>
      </c>
      <c r="T287">
        <f>IFERROR(VLOOKUP(N287,'הגדרות'!$A$11:$D$25,3,FALSE),"")</f>
        <v/>
      </c>
      <c r="AB287" s="11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E288">
        <f>IFERROR(INDEX('הגדרות'!$D$104:$D$123,MATCH(B288&amp;G288&amp;C288,'הגדרות'!$A$104:$A$123&amp;'הגדרות'!$B$104:$B$123&amp;'הגדרות'!$C$104:$C$123,0)),"")</f>
        <v/>
      </c>
      <c r="F288" s="11" t="n"/>
      <c r="Q288">
        <f>IFERROR(VLOOKUP(M288,'הגדרות'!$A$11:$D$25,2,FALSE),"")</f>
        <v/>
      </c>
      <c r="R288">
        <f>IFERROR(VLOOKUP(M288,'הגדרות'!$A$11:$D$25,3,FALSE),"")</f>
        <v/>
      </c>
      <c r="S288">
        <f>IFERROR(VLOOKUP(N288,'הגדרות'!$A$11:$D$25,2,FALSE),"")</f>
        <v/>
      </c>
      <c r="T288">
        <f>IFERROR(VLOOKUP(N288,'הגדרות'!$A$11:$D$25,3,FALSE),"")</f>
        <v/>
      </c>
      <c r="AB288" s="11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E289">
        <f>IFERROR(INDEX('הגדרות'!$D$104:$D$123,MATCH(B289&amp;G289&amp;C289,'הגדרות'!$A$104:$A$123&amp;'הגדרות'!$B$104:$B$123&amp;'הגדרות'!$C$104:$C$123,0)),"")</f>
        <v/>
      </c>
      <c r="F289" s="11" t="n"/>
      <c r="Q289">
        <f>IFERROR(VLOOKUP(M289,'הגדרות'!$A$11:$D$25,2,FALSE),"")</f>
        <v/>
      </c>
      <c r="R289">
        <f>IFERROR(VLOOKUP(M289,'הגדרות'!$A$11:$D$25,3,FALSE),"")</f>
        <v/>
      </c>
      <c r="S289">
        <f>IFERROR(VLOOKUP(N289,'הגדרות'!$A$11:$D$25,2,FALSE),"")</f>
        <v/>
      </c>
      <c r="T289">
        <f>IFERROR(VLOOKUP(N289,'הגדרות'!$A$11:$D$25,3,FALSE),"")</f>
        <v/>
      </c>
      <c r="AB289" s="11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E290">
        <f>IFERROR(INDEX('הגדרות'!$D$104:$D$123,MATCH(B290&amp;G290&amp;C290,'הגדרות'!$A$104:$A$123&amp;'הגדרות'!$B$104:$B$123&amp;'הגדרות'!$C$104:$C$123,0)),"")</f>
        <v/>
      </c>
      <c r="F290" s="11" t="n"/>
      <c r="Q290">
        <f>IFERROR(VLOOKUP(M290,'הגדרות'!$A$11:$D$25,2,FALSE),"")</f>
        <v/>
      </c>
      <c r="R290">
        <f>IFERROR(VLOOKUP(M290,'הגדרות'!$A$11:$D$25,3,FALSE),"")</f>
        <v/>
      </c>
      <c r="S290">
        <f>IFERROR(VLOOKUP(N290,'הגדרות'!$A$11:$D$25,2,FALSE),"")</f>
        <v/>
      </c>
      <c r="T290">
        <f>IFERROR(VLOOKUP(N290,'הגדרות'!$A$11:$D$25,3,FALSE),"")</f>
        <v/>
      </c>
      <c r="AB290" s="11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E291">
        <f>IFERROR(INDEX('הגדרות'!$D$104:$D$123,MATCH(B291&amp;G291&amp;C291,'הגדרות'!$A$104:$A$123&amp;'הגדרות'!$B$104:$B$123&amp;'הגדרות'!$C$104:$C$123,0)),"")</f>
        <v/>
      </c>
      <c r="F291" s="11" t="n"/>
      <c r="Q291">
        <f>IFERROR(VLOOKUP(M291,'הגדרות'!$A$11:$D$25,2,FALSE),"")</f>
        <v/>
      </c>
      <c r="R291">
        <f>IFERROR(VLOOKUP(M291,'הגדרות'!$A$11:$D$25,3,FALSE),"")</f>
        <v/>
      </c>
      <c r="S291">
        <f>IFERROR(VLOOKUP(N291,'הגדרות'!$A$11:$D$25,2,FALSE),"")</f>
        <v/>
      </c>
      <c r="T291">
        <f>IFERROR(VLOOKUP(N291,'הגדרות'!$A$11:$D$25,3,FALSE),"")</f>
        <v/>
      </c>
      <c r="AB291" s="11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E292">
        <f>IFERROR(INDEX('הגדרות'!$D$104:$D$123,MATCH(B292&amp;G292&amp;C292,'הגדרות'!$A$104:$A$123&amp;'הגדרות'!$B$104:$B$123&amp;'הגדרות'!$C$104:$C$123,0)),"")</f>
        <v/>
      </c>
      <c r="F292" s="11" t="n"/>
      <c r="Q292">
        <f>IFERROR(VLOOKUP(M292,'הגדרות'!$A$11:$D$25,2,FALSE),"")</f>
        <v/>
      </c>
      <c r="R292">
        <f>IFERROR(VLOOKUP(M292,'הגדרות'!$A$11:$D$25,3,FALSE),"")</f>
        <v/>
      </c>
      <c r="S292">
        <f>IFERROR(VLOOKUP(N292,'הגדרות'!$A$11:$D$25,2,FALSE),"")</f>
        <v/>
      </c>
      <c r="T292">
        <f>IFERROR(VLOOKUP(N292,'הגדרות'!$A$11:$D$25,3,FALSE),"")</f>
        <v/>
      </c>
      <c r="AB292" s="11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E293">
        <f>IFERROR(INDEX('הגדרות'!$D$104:$D$123,MATCH(B293&amp;G293&amp;C293,'הגדרות'!$A$104:$A$123&amp;'הגדרות'!$B$104:$B$123&amp;'הגדרות'!$C$104:$C$123,0)),"")</f>
        <v/>
      </c>
      <c r="F293" s="11" t="n"/>
      <c r="Q293">
        <f>IFERROR(VLOOKUP(M293,'הגדרות'!$A$11:$D$25,2,FALSE),"")</f>
        <v/>
      </c>
      <c r="R293">
        <f>IFERROR(VLOOKUP(M293,'הגדרות'!$A$11:$D$25,3,FALSE),"")</f>
        <v/>
      </c>
      <c r="S293">
        <f>IFERROR(VLOOKUP(N293,'הגדרות'!$A$11:$D$25,2,FALSE),"")</f>
        <v/>
      </c>
      <c r="T293">
        <f>IFERROR(VLOOKUP(N293,'הגדרות'!$A$11:$D$25,3,FALSE),"")</f>
        <v/>
      </c>
      <c r="AB293" s="11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E294">
        <f>IFERROR(INDEX('הגדרות'!$D$104:$D$123,MATCH(B294&amp;G294&amp;C294,'הגדרות'!$A$104:$A$123&amp;'הגדרות'!$B$104:$B$123&amp;'הגדרות'!$C$104:$C$123,0)),"")</f>
        <v/>
      </c>
      <c r="F294" s="11" t="n"/>
      <c r="Q294">
        <f>IFERROR(VLOOKUP(M294,'הגדרות'!$A$11:$D$25,2,FALSE),"")</f>
        <v/>
      </c>
      <c r="R294">
        <f>IFERROR(VLOOKUP(M294,'הגדרות'!$A$11:$D$25,3,FALSE),"")</f>
        <v/>
      </c>
      <c r="S294">
        <f>IFERROR(VLOOKUP(N294,'הגדרות'!$A$11:$D$25,2,FALSE),"")</f>
        <v/>
      </c>
      <c r="T294">
        <f>IFERROR(VLOOKUP(N294,'הגדרות'!$A$11:$D$25,3,FALSE),"")</f>
        <v/>
      </c>
      <c r="AB294" s="11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E295">
        <f>IFERROR(INDEX('הגדרות'!$D$104:$D$123,MATCH(B295&amp;G295&amp;C295,'הגדרות'!$A$104:$A$123&amp;'הגדרות'!$B$104:$B$123&amp;'הגדרות'!$C$104:$C$123,0)),"")</f>
        <v/>
      </c>
      <c r="F295" s="11" t="n"/>
      <c r="Q295">
        <f>IFERROR(VLOOKUP(M295,'הגדרות'!$A$11:$D$25,2,FALSE),"")</f>
        <v/>
      </c>
      <c r="R295">
        <f>IFERROR(VLOOKUP(M295,'הגדרות'!$A$11:$D$25,3,FALSE),"")</f>
        <v/>
      </c>
      <c r="S295">
        <f>IFERROR(VLOOKUP(N295,'הגדרות'!$A$11:$D$25,2,FALSE),"")</f>
        <v/>
      </c>
      <c r="T295">
        <f>IFERROR(VLOOKUP(N295,'הגדרות'!$A$11:$D$25,3,FALSE),"")</f>
        <v/>
      </c>
      <c r="AB295" s="11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E296">
        <f>IFERROR(INDEX('הגדרות'!$D$104:$D$123,MATCH(B296&amp;G296&amp;C296,'הגדרות'!$A$104:$A$123&amp;'הגדרות'!$B$104:$B$123&amp;'הגדרות'!$C$104:$C$123,0)),"")</f>
        <v/>
      </c>
      <c r="F296" s="11" t="n"/>
      <c r="Q296">
        <f>IFERROR(VLOOKUP(M296,'הגדרות'!$A$11:$D$25,2,FALSE),"")</f>
        <v/>
      </c>
      <c r="R296">
        <f>IFERROR(VLOOKUP(M296,'הגדרות'!$A$11:$D$25,3,FALSE),"")</f>
        <v/>
      </c>
      <c r="S296">
        <f>IFERROR(VLOOKUP(N296,'הגדרות'!$A$11:$D$25,2,FALSE),"")</f>
        <v/>
      </c>
      <c r="T296">
        <f>IFERROR(VLOOKUP(N296,'הגדרות'!$A$11:$D$25,3,FALSE),"")</f>
        <v/>
      </c>
      <c r="AB296" s="11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E297">
        <f>IFERROR(INDEX('הגדרות'!$D$104:$D$123,MATCH(B297&amp;G297&amp;C297,'הגדרות'!$A$104:$A$123&amp;'הגדרות'!$B$104:$B$123&amp;'הגדרות'!$C$104:$C$123,0)),"")</f>
        <v/>
      </c>
      <c r="F297" s="11" t="n"/>
      <c r="Q297">
        <f>IFERROR(VLOOKUP(M297,'הגדרות'!$A$11:$D$25,2,FALSE),"")</f>
        <v/>
      </c>
      <c r="R297">
        <f>IFERROR(VLOOKUP(M297,'הגדרות'!$A$11:$D$25,3,FALSE),"")</f>
        <v/>
      </c>
      <c r="S297">
        <f>IFERROR(VLOOKUP(N297,'הגדרות'!$A$11:$D$25,2,FALSE),"")</f>
        <v/>
      </c>
      <c r="T297">
        <f>IFERROR(VLOOKUP(N297,'הגדרות'!$A$11:$D$25,3,FALSE),"")</f>
        <v/>
      </c>
      <c r="AB297" s="11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E298">
        <f>IFERROR(INDEX('הגדרות'!$D$104:$D$123,MATCH(B298&amp;G298&amp;C298,'הגדרות'!$A$104:$A$123&amp;'הגדרות'!$B$104:$B$123&amp;'הגדרות'!$C$104:$C$123,0)),"")</f>
        <v/>
      </c>
      <c r="F298" s="11" t="n"/>
      <c r="Q298">
        <f>IFERROR(VLOOKUP(M298,'הגדרות'!$A$11:$D$25,2,FALSE),"")</f>
        <v/>
      </c>
      <c r="R298">
        <f>IFERROR(VLOOKUP(M298,'הגדרות'!$A$11:$D$25,3,FALSE),"")</f>
        <v/>
      </c>
      <c r="S298">
        <f>IFERROR(VLOOKUP(N298,'הגדרות'!$A$11:$D$25,2,FALSE),"")</f>
        <v/>
      </c>
      <c r="T298">
        <f>IFERROR(VLOOKUP(N298,'הגדרות'!$A$11:$D$25,3,FALSE),"")</f>
        <v/>
      </c>
      <c r="AB298" s="11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E299">
        <f>IFERROR(INDEX('הגדרות'!$D$104:$D$123,MATCH(B299&amp;G299&amp;C299,'הגדרות'!$A$104:$A$123&amp;'הגדרות'!$B$104:$B$123&amp;'הגדרות'!$C$104:$C$123,0)),"")</f>
        <v/>
      </c>
      <c r="F299" s="11" t="n"/>
      <c r="Q299">
        <f>IFERROR(VLOOKUP(M299,'הגדרות'!$A$11:$D$25,2,FALSE),"")</f>
        <v/>
      </c>
      <c r="R299">
        <f>IFERROR(VLOOKUP(M299,'הגדרות'!$A$11:$D$25,3,FALSE),"")</f>
        <v/>
      </c>
      <c r="S299">
        <f>IFERROR(VLOOKUP(N299,'הגדרות'!$A$11:$D$25,2,FALSE),"")</f>
        <v/>
      </c>
      <c r="T299">
        <f>IFERROR(VLOOKUP(N299,'הגדרות'!$A$11:$D$25,3,FALSE),"")</f>
        <v/>
      </c>
      <c r="AB299" s="11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E300">
        <f>IFERROR(INDEX('הגדרות'!$D$104:$D$123,MATCH(B300&amp;G300&amp;C300,'הגדרות'!$A$104:$A$123&amp;'הגדרות'!$B$104:$B$123&amp;'הגדרות'!$C$104:$C$123,0)),"")</f>
        <v/>
      </c>
      <c r="F300" s="11" t="n"/>
      <c r="Q300">
        <f>IFERROR(VLOOKUP(M300,'הגדרות'!$A$11:$D$25,2,FALSE),"")</f>
        <v/>
      </c>
      <c r="R300">
        <f>IFERROR(VLOOKUP(M300,'הגדרות'!$A$11:$D$25,3,FALSE),"")</f>
        <v/>
      </c>
      <c r="S300">
        <f>IFERROR(VLOOKUP(N300,'הגדרות'!$A$11:$D$25,2,FALSE),"")</f>
        <v/>
      </c>
      <c r="T300">
        <f>IFERROR(VLOOKUP(N300,'הגדרות'!$A$11:$D$25,3,FALSE),"")</f>
        <v/>
      </c>
      <c r="AB300" s="11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E301">
        <f>IFERROR(INDEX('הגדרות'!$D$104:$D$123,MATCH(B301&amp;G301&amp;C301,'הגדרות'!$A$104:$A$123&amp;'הגדרות'!$B$104:$B$123&amp;'הגדרות'!$C$104:$C$123,0)),"")</f>
        <v/>
      </c>
      <c r="F301" s="11" t="n"/>
      <c r="Q301">
        <f>IFERROR(VLOOKUP(M301,'הגדרות'!$A$11:$D$25,2,FALSE),"")</f>
        <v/>
      </c>
      <c r="R301">
        <f>IFERROR(VLOOKUP(M301,'הגדרות'!$A$11:$D$25,3,FALSE),"")</f>
        <v/>
      </c>
      <c r="S301">
        <f>IFERROR(VLOOKUP(N301,'הגדרות'!$A$11:$D$25,2,FALSE),"")</f>
        <v/>
      </c>
      <c r="T301">
        <f>IFERROR(VLOOKUP(N301,'הגדרות'!$A$11:$D$25,3,FALSE),"")</f>
        <v/>
      </c>
      <c r="AB301" s="11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E302">
        <f>IFERROR(INDEX('הגדרות'!$D$104:$D$123,MATCH(B302&amp;G302&amp;C302,'הגדרות'!$A$104:$A$123&amp;'הגדרות'!$B$104:$B$123&amp;'הגדרות'!$C$104:$C$123,0)),"")</f>
        <v/>
      </c>
      <c r="F302" s="11" t="n"/>
      <c r="Q302">
        <f>IFERROR(VLOOKUP(M302,'הגדרות'!$A$11:$D$25,2,FALSE),"")</f>
        <v/>
      </c>
      <c r="R302">
        <f>IFERROR(VLOOKUP(M302,'הגדרות'!$A$11:$D$25,3,FALSE),"")</f>
        <v/>
      </c>
      <c r="S302">
        <f>IFERROR(VLOOKUP(N302,'הגדרות'!$A$11:$D$25,2,FALSE),"")</f>
        <v/>
      </c>
      <c r="T302">
        <f>IFERROR(VLOOKUP(N302,'הגדרות'!$A$11:$D$25,3,FALSE),"")</f>
        <v/>
      </c>
      <c r="AB302" s="11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E303">
        <f>IFERROR(INDEX('הגדרות'!$D$104:$D$123,MATCH(B303&amp;G303&amp;C303,'הגדרות'!$A$104:$A$123&amp;'הגדרות'!$B$104:$B$123&amp;'הגדרות'!$C$104:$C$123,0)),"")</f>
        <v/>
      </c>
      <c r="F303" s="11" t="n"/>
      <c r="Q303">
        <f>IFERROR(VLOOKUP(M303,'הגדרות'!$A$11:$D$25,2,FALSE),"")</f>
        <v/>
      </c>
      <c r="R303">
        <f>IFERROR(VLOOKUP(M303,'הגדרות'!$A$11:$D$25,3,FALSE),"")</f>
        <v/>
      </c>
      <c r="S303">
        <f>IFERROR(VLOOKUP(N303,'הגדרות'!$A$11:$D$25,2,FALSE),"")</f>
        <v/>
      </c>
      <c r="T303">
        <f>IFERROR(VLOOKUP(N303,'הגדרות'!$A$11:$D$25,3,FALSE),"")</f>
        <v/>
      </c>
      <c r="AB303" s="11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E304">
        <f>IFERROR(INDEX('הגדרות'!$D$104:$D$123,MATCH(B304&amp;G304&amp;C304,'הגדרות'!$A$104:$A$123&amp;'הגדרות'!$B$104:$B$123&amp;'הגדרות'!$C$104:$C$123,0)),"")</f>
        <v/>
      </c>
      <c r="F304" s="11" t="n"/>
      <c r="Q304">
        <f>IFERROR(VLOOKUP(M304,'הגדרות'!$A$11:$D$25,2,FALSE),"")</f>
        <v/>
      </c>
      <c r="R304">
        <f>IFERROR(VLOOKUP(M304,'הגדרות'!$A$11:$D$25,3,FALSE),"")</f>
        <v/>
      </c>
      <c r="S304">
        <f>IFERROR(VLOOKUP(N304,'הגדרות'!$A$11:$D$25,2,FALSE),"")</f>
        <v/>
      </c>
      <c r="T304">
        <f>IFERROR(VLOOKUP(N304,'הגדרות'!$A$11:$D$25,3,FALSE),"")</f>
        <v/>
      </c>
      <c r="AB304" s="11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E305">
        <f>IFERROR(INDEX('הגדרות'!$D$104:$D$123,MATCH(B305&amp;G305&amp;C305,'הגדרות'!$A$104:$A$123&amp;'הגדרות'!$B$104:$B$123&amp;'הגדרות'!$C$104:$C$123,0)),"")</f>
        <v/>
      </c>
      <c r="F305" s="11" t="n"/>
      <c r="Q305">
        <f>IFERROR(VLOOKUP(M305,'הגדרות'!$A$11:$D$25,2,FALSE),"")</f>
        <v/>
      </c>
      <c r="R305">
        <f>IFERROR(VLOOKUP(M305,'הגדרות'!$A$11:$D$25,3,FALSE),"")</f>
        <v/>
      </c>
      <c r="S305">
        <f>IFERROR(VLOOKUP(N305,'הגדרות'!$A$11:$D$25,2,FALSE),"")</f>
        <v/>
      </c>
      <c r="T305">
        <f>IFERROR(VLOOKUP(N305,'הגדרות'!$A$11:$D$25,3,FALSE),"")</f>
        <v/>
      </c>
      <c r="AB305" s="11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E306">
        <f>IFERROR(INDEX('הגדרות'!$D$104:$D$123,MATCH(B306&amp;G306&amp;C306,'הגדרות'!$A$104:$A$123&amp;'הגדרות'!$B$104:$B$123&amp;'הגדרות'!$C$104:$C$123,0)),"")</f>
        <v/>
      </c>
      <c r="F306" s="11" t="n"/>
      <c r="Q306">
        <f>IFERROR(VLOOKUP(M306,'הגדרות'!$A$11:$D$25,2,FALSE),"")</f>
        <v/>
      </c>
      <c r="R306">
        <f>IFERROR(VLOOKUP(M306,'הגדרות'!$A$11:$D$25,3,FALSE),"")</f>
        <v/>
      </c>
      <c r="S306">
        <f>IFERROR(VLOOKUP(N306,'הגדרות'!$A$11:$D$25,2,FALSE),"")</f>
        <v/>
      </c>
      <c r="T306">
        <f>IFERROR(VLOOKUP(N306,'הגדרות'!$A$11:$D$25,3,FALSE),"")</f>
        <v/>
      </c>
      <c r="AB306" s="11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E307">
        <f>IFERROR(INDEX('הגדרות'!$D$104:$D$123,MATCH(B307&amp;G307&amp;C307,'הגדרות'!$A$104:$A$123&amp;'הגדרות'!$B$104:$B$123&amp;'הגדרות'!$C$104:$C$123,0)),"")</f>
        <v/>
      </c>
      <c r="F307" s="11" t="n"/>
      <c r="Q307">
        <f>IFERROR(VLOOKUP(M307,'הגדרות'!$A$11:$D$25,2,FALSE),"")</f>
        <v/>
      </c>
      <c r="R307">
        <f>IFERROR(VLOOKUP(M307,'הגדרות'!$A$11:$D$25,3,FALSE),"")</f>
        <v/>
      </c>
      <c r="S307">
        <f>IFERROR(VLOOKUP(N307,'הגדרות'!$A$11:$D$25,2,FALSE),"")</f>
        <v/>
      </c>
      <c r="T307">
        <f>IFERROR(VLOOKUP(N307,'הגדרות'!$A$11:$D$25,3,FALSE),"")</f>
        <v/>
      </c>
      <c r="AB307" s="11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E308">
        <f>IFERROR(INDEX('הגדרות'!$D$104:$D$123,MATCH(B308&amp;G308&amp;C308,'הגדרות'!$A$104:$A$123&amp;'הגדרות'!$B$104:$B$123&amp;'הגדרות'!$C$104:$C$123,0)),"")</f>
        <v/>
      </c>
      <c r="F308" s="11" t="n"/>
      <c r="Q308">
        <f>IFERROR(VLOOKUP(M308,'הגדרות'!$A$11:$D$25,2,FALSE),"")</f>
        <v/>
      </c>
      <c r="R308">
        <f>IFERROR(VLOOKUP(M308,'הגדרות'!$A$11:$D$25,3,FALSE),"")</f>
        <v/>
      </c>
      <c r="S308">
        <f>IFERROR(VLOOKUP(N308,'הגדרות'!$A$11:$D$25,2,FALSE),"")</f>
        <v/>
      </c>
      <c r="T308">
        <f>IFERROR(VLOOKUP(N308,'הגדרות'!$A$11:$D$25,3,FALSE),"")</f>
        <v/>
      </c>
      <c r="AB308" s="11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E309">
        <f>IFERROR(INDEX('הגדרות'!$D$104:$D$123,MATCH(B309&amp;G309&amp;C309,'הגדרות'!$A$104:$A$123&amp;'הגדרות'!$B$104:$B$123&amp;'הגדרות'!$C$104:$C$123,0)),"")</f>
        <v/>
      </c>
      <c r="F309" s="11" t="n"/>
      <c r="Q309">
        <f>IFERROR(VLOOKUP(M309,'הגדרות'!$A$11:$D$25,2,FALSE),"")</f>
        <v/>
      </c>
      <c r="R309">
        <f>IFERROR(VLOOKUP(M309,'הגדרות'!$A$11:$D$25,3,FALSE),"")</f>
        <v/>
      </c>
      <c r="S309">
        <f>IFERROR(VLOOKUP(N309,'הגדרות'!$A$11:$D$25,2,FALSE),"")</f>
        <v/>
      </c>
      <c r="T309">
        <f>IFERROR(VLOOKUP(N309,'הגדרות'!$A$11:$D$25,3,FALSE),"")</f>
        <v/>
      </c>
      <c r="AB309" s="11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E310">
        <f>IFERROR(INDEX('הגדרות'!$D$104:$D$123,MATCH(B310&amp;G310&amp;C310,'הגדרות'!$A$104:$A$123&amp;'הגדרות'!$B$104:$B$123&amp;'הגדרות'!$C$104:$C$123,0)),"")</f>
        <v/>
      </c>
      <c r="F310" s="11" t="n"/>
      <c r="Q310">
        <f>IFERROR(VLOOKUP(M310,'הגדרות'!$A$11:$D$25,2,FALSE),"")</f>
        <v/>
      </c>
      <c r="R310">
        <f>IFERROR(VLOOKUP(M310,'הגדרות'!$A$11:$D$25,3,FALSE),"")</f>
        <v/>
      </c>
      <c r="S310">
        <f>IFERROR(VLOOKUP(N310,'הגדרות'!$A$11:$D$25,2,FALSE),"")</f>
        <v/>
      </c>
      <c r="T310">
        <f>IFERROR(VLOOKUP(N310,'הגדרות'!$A$11:$D$25,3,FALSE),"")</f>
        <v/>
      </c>
      <c r="AB310" s="11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E311">
        <f>IFERROR(INDEX('הגדרות'!$D$104:$D$123,MATCH(B311&amp;G311&amp;C311,'הגדרות'!$A$104:$A$123&amp;'הגדרות'!$B$104:$B$123&amp;'הגדרות'!$C$104:$C$123,0)),"")</f>
        <v/>
      </c>
      <c r="F311" s="11" t="n"/>
      <c r="Q311">
        <f>IFERROR(VLOOKUP(M311,'הגדרות'!$A$11:$D$25,2,FALSE),"")</f>
        <v/>
      </c>
      <c r="R311">
        <f>IFERROR(VLOOKUP(M311,'הגדרות'!$A$11:$D$25,3,FALSE),"")</f>
        <v/>
      </c>
      <c r="S311">
        <f>IFERROR(VLOOKUP(N311,'הגדרות'!$A$11:$D$25,2,FALSE),"")</f>
        <v/>
      </c>
      <c r="T311">
        <f>IFERROR(VLOOKUP(N311,'הגדרות'!$A$11:$D$25,3,FALSE),"")</f>
        <v/>
      </c>
      <c r="AB311" s="11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E312">
        <f>IFERROR(INDEX('הגדרות'!$D$104:$D$123,MATCH(B312&amp;G312&amp;C312,'הגדרות'!$A$104:$A$123&amp;'הגדרות'!$B$104:$B$123&amp;'הגדרות'!$C$104:$C$123,0)),"")</f>
        <v/>
      </c>
      <c r="F312" s="11" t="n"/>
      <c r="Q312">
        <f>IFERROR(VLOOKUP(M312,'הגדרות'!$A$11:$D$25,2,FALSE),"")</f>
        <v/>
      </c>
      <c r="R312">
        <f>IFERROR(VLOOKUP(M312,'הגדרות'!$A$11:$D$25,3,FALSE),"")</f>
        <v/>
      </c>
      <c r="S312">
        <f>IFERROR(VLOOKUP(N312,'הגדרות'!$A$11:$D$25,2,FALSE),"")</f>
        <v/>
      </c>
      <c r="T312">
        <f>IFERROR(VLOOKUP(N312,'הגדרות'!$A$11:$D$25,3,FALSE),"")</f>
        <v/>
      </c>
      <c r="AB312" s="11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E313">
        <f>IFERROR(INDEX('הגדרות'!$D$104:$D$123,MATCH(B313&amp;G313&amp;C313,'הגדרות'!$A$104:$A$123&amp;'הגדרות'!$B$104:$B$123&amp;'הגדרות'!$C$104:$C$123,0)),"")</f>
        <v/>
      </c>
      <c r="F313" s="11" t="n"/>
      <c r="Q313">
        <f>IFERROR(VLOOKUP(M313,'הגדרות'!$A$11:$D$25,2,FALSE),"")</f>
        <v/>
      </c>
      <c r="R313">
        <f>IFERROR(VLOOKUP(M313,'הגדרות'!$A$11:$D$25,3,FALSE),"")</f>
        <v/>
      </c>
      <c r="S313">
        <f>IFERROR(VLOOKUP(N313,'הגדרות'!$A$11:$D$25,2,FALSE),"")</f>
        <v/>
      </c>
      <c r="T313">
        <f>IFERROR(VLOOKUP(N313,'הגדרות'!$A$11:$D$25,3,FALSE),"")</f>
        <v/>
      </c>
      <c r="AB313" s="11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E314">
        <f>IFERROR(INDEX('הגדרות'!$D$104:$D$123,MATCH(B314&amp;G314&amp;C314,'הגדרות'!$A$104:$A$123&amp;'הגדרות'!$B$104:$B$123&amp;'הגדרות'!$C$104:$C$123,0)),"")</f>
        <v/>
      </c>
      <c r="F314" s="11" t="n"/>
      <c r="Q314">
        <f>IFERROR(VLOOKUP(M314,'הגדרות'!$A$11:$D$25,2,FALSE),"")</f>
        <v/>
      </c>
      <c r="R314">
        <f>IFERROR(VLOOKUP(M314,'הגדרות'!$A$11:$D$25,3,FALSE),"")</f>
        <v/>
      </c>
      <c r="S314">
        <f>IFERROR(VLOOKUP(N314,'הגדרות'!$A$11:$D$25,2,FALSE),"")</f>
        <v/>
      </c>
      <c r="T314">
        <f>IFERROR(VLOOKUP(N314,'הגדרות'!$A$11:$D$25,3,FALSE),"")</f>
        <v/>
      </c>
      <c r="AB314" s="11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E315">
        <f>IFERROR(INDEX('הגדרות'!$D$104:$D$123,MATCH(B315&amp;G315&amp;C315,'הגדרות'!$A$104:$A$123&amp;'הגדרות'!$B$104:$B$123&amp;'הגדרות'!$C$104:$C$123,0)),"")</f>
        <v/>
      </c>
      <c r="F315" s="11" t="n"/>
      <c r="Q315">
        <f>IFERROR(VLOOKUP(M315,'הגדרות'!$A$11:$D$25,2,FALSE),"")</f>
        <v/>
      </c>
      <c r="R315">
        <f>IFERROR(VLOOKUP(M315,'הגדרות'!$A$11:$D$25,3,FALSE),"")</f>
        <v/>
      </c>
      <c r="S315">
        <f>IFERROR(VLOOKUP(N315,'הגדרות'!$A$11:$D$25,2,FALSE),"")</f>
        <v/>
      </c>
      <c r="T315">
        <f>IFERROR(VLOOKUP(N315,'הגדרות'!$A$11:$D$25,3,FALSE),"")</f>
        <v/>
      </c>
      <c r="AB315" s="11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E316">
        <f>IFERROR(INDEX('הגדרות'!$D$104:$D$123,MATCH(B316&amp;G316&amp;C316,'הגדרות'!$A$104:$A$123&amp;'הגדרות'!$B$104:$B$123&amp;'הגדרות'!$C$104:$C$123,0)),"")</f>
        <v/>
      </c>
      <c r="F316" s="11" t="n"/>
      <c r="Q316">
        <f>IFERROR(VLOOKUP(M316,'הגדרות'!$A$11:$D$25,2,FALSE),"")</f>
        <v/>
      </c>
      <c r="R316">
        <f>IFERROR(VLOOKUP(M316,'הגדרות'!$A$11:$D$25,3,FALSE),"")</f>
        <v/>
      </c>
      <c r="S316">
        <f>IFERROR(VLOOKUP(N316,'הגדרות'!$A$11:$D$25,2,FALSE),"")</f>
        <v/>
      </c>
      <c r="T316">
        <f>IFERROR(VLOOKUP(N316,'הגדרות'!$A$11:$D$25,3,FALSE),"")</f>
        <v/>
      </c>
      <c r="AB316" s="11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E317">
        <f>IFERROR(INDEX('הגדרות'!$D$104:$D$123,MATCH(B317&amp;G317&amp;C317,'הגדרות'!$A$104:$A$123&amp;'הגדרות'!$B$104:$B$123&amp;'הגדרות'!$C$104:$C$123,0)),"")</f>
        <v/>
      </c>
      <c r="F317" s="11" t="n"/>
      <c r="Q317">
        <f>IFERROR(VLOOKUP(M317,'הגדרות'!$A$11:$D$25,2,FALSE),"")</f>
        <v/>
      </c>
      <c r="R317">
        <f>IFERROR(VLOOKUP(M317,'הגדרות'!$A$11:$D$25,3,FALSE),"")</f>
        <v/>
      </c>
      <c r="S317">
        <f>IFERROR(VLOOKUP(N317,'הגדרות'!$A$11:$D$25,2,FALSE),"")</f>
        <v/>
      </c>
      <c r="T317">
        <f>IFERROR(VLOOKUP(N317,'הגדרות'!$A$11:$D$25,3,FALSE),"")</f>
        <v/>
      </c>
      <c r="AB317" s="11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E318">
        <f>IFERROR(INDEX('הגדרות'!$D$104:$D$123,MATCH(B318&amp;G318&amp;C318,'הגדרות'!$A$104:$A$123&amp;'הגדרות'!$B$104:$B$123&amp;'הגדרות'!$C$104:$C$123,0)),"")</f>
        <v/>
      </c>
      <c r="F318" s="11" t="n"/>
      <c r="Q318">
        <f>IFERROR(VLOOKUP(M318,'הגדרות'!$A$11:$D$25,2,FALSE),"")</f>
        <v/>
      </c>
      <c r="R318">
        <f>IFERROR(VLOOKUP(M318,'הגדרות'!$A$11:$D$25,3,FALSE),"")</f>
        <v/>
      </c>
      <c r="S318">
        <f>IFERROR(VLOOKUP(N318,'הגדרות'!$A$11:$D$25,2,FALSE),"")</f>
        <v/>
      </c>
      <c r="T318">
        <f>IFERROR(VLOOKUP(N318,'הגדרות'!$A$11:$D$25,3,FALSE),"")</f>
        <v/>
      </c>
      <c r="AB318" s="11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E319">
        <f>IFERROR(INDEX('הגדרות'!$D$104:$D$123,MATCH(B319&amp;G319&amp;C319,'הגדרות'!$A$104:$A$123&amp;'הגדרות'!$B$104:$B$123&amp;'הגדרות'!$C$104:$C$123,0)),"")</f>
        <v/>
      </c>
      <c r="F319" s="11" t="n"/>
      <c r="Q319">
        <f>IFERROR(VLOOKUP(M319,'הגדרות'!$A$11:$D$25,2,FALSE),"")</f>
        <v/>
      </c>
      <c r="R319">
        <f>IFERROR(VLOOKUP(M319,'הגדרות'!$A$11:$D$25,3,FALSE),"")</f>
        <v/>
      </c>
      <c r="S319">
        <f>IFERROR(VLOOKUP(N319,'הגדרות'!$A$11:$D$25,2,FALSE),"")</f>
        <v/>
      </c>
      <c r="T319">
        <f>IFERROR(VLOOKUP(N319,'הגדרות'!$A$11:$D$25,3,FALSE),"")</f>
        <v/>
      </c>
      <c r="AB319" s="11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E320">
        <f>IFERROR(INDEX('הגדרות'!$D$104:$D$123,MATCH(B320&amp;G320&amp;C320,'הגדרות'!$A$104:$A$123&amp;'הגדרות'!$B$104:$B$123&amp;'הגדרות'!$C$104:$C$123,0)),"")</f>
        <v/>
      </c>
      <c r="F320" s="11" t="n"/>
      <c r="Q320">
        <f>IFERROR(VLOOKUP(M320,'הגדרות'!$A$11:$D$25,2,FALSE),"")</f>
        <v/>
      </c>
      <c r="R320">
        <f>IFERROR(VLOOKUP(M320,'הגדרות'!$A$11:$D$25,3,FALSE),"")</f>
        <v/>
      </c>
      <c r="S320">
        <f>IFERROR(VLOOKUP(N320,'הגדרות'!$A$11:$D$25,2,FALSE),"")</f>
        <v/>
      </c>
      <c r="T320">
        <f>IFERROR(VLOOKUP(N320,'הגדרות'!$A$11:$D$25,3,FALSE),"")</f>
        <v/>
      </c>
      <c r="AB320" s="11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E321">
        <f>IFERROR(INDEX('הגדרות'!$D$104:$D$123,MATCH(B321&amp;G321&amp;C321,'הגדרות'!$A$104:$A$123&amp;'הגדרות'!$B$104:$B$123&amp;'הגדרות'!$C$104:$C$123,0)),"")</f>
        <v/>
      </c>
      <c r="F321" s="11" t="n"/>
      <c r="Q321">
        <f>IFERROR(VLOOKUP(M321,'הגדרות'!$A$11:$D$25,2,FALSE),"")</f>
        <v/>
      </c>
      <c r="R321">
        <f>IFERROR(VLOOKUP(M321,'הגדרות'!$A$11:$D$25,3,FALSE),"")</f>
        <v/>
      </c>
      <c r="S321">
        <f>IFERROR(VLOOKUP(N321,'הגדרות'!$A$11:$D$25,2,FALSE),"")</f>
        <v/>
      </c>
      <c r="T321">
        <f>IFERROR(VLOOKUP(N321,'הגדרות'!$A$11:$D$25,3,FALSE),"")</f>
        <v/>
      </c>
      <c r="AB321" s="11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E322">
        <f>IFERROR(INDEX('הגדרות'!$D$104:$D$123,MATCH(B322&amp;G322&amp;C322,'הגדרות'!$A$104:$A$123&amp;'הגדרות'!$B$104:$B$123&amp;'הגדרות'!$C$104:$C$123,0)),"")</f>
        <v/>
      </c>
      <c r="F322" s="11" t="n"/>
      <c r="Q322">
        <f>IFERROR(VLOOKUP(M322,'הגדרות'!$A$11:$D$25,2,FALSE),"")</f>
        <v/>
      </c>
      <c r="R322">
        <f>IFERROR(VLOOKUP(M322,'הגדרות'!$A$11:$D$25,3,FALSE),"")</f>
        <v/>
      </c>
      <c r="S322">
        <f>IFERROR(VLOOKUP(N322,'הגדרות'!$A$11:$D$25,2,FALSE),"")</f>
        <v/>
      </c>
      <c r="T322">
        <f>IFERROR(VLOOKUP(N322,'הגדרות'!$A$11:$D$25,3,FALSE),"")</f>
        <v/>
      </c>
      <c r="AB322" s="11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E323">
        <f>IFERROR(INDEX('הגדרות'!$D$104:$D$123,MATCH(B323&amp;G323&amp;C323,'הגדרות'!$A$104:$A$123&amp;'הגדרות'!$B$104:$B$123&amp;'הגדרות'!$C$104:$C$123,0)),"")</f>
        <v/>
      </c>
      <c r="F323" s="11" t="n"/>
      <c r="Q323">
        <f>IFERROR(VLOOKUP(M323,'הגדרות'!$A$11:$D$25,2,FALSE),"")</f>
        <v/>
      </c>
      <c r="R323">
        <f>IFERROR(VLOOKUP(M323,'הגדרות'!$A$11:$D$25,3,FALSE),"")</f>
        <v/>
      </c>
      <c r="S323">
        <f>IFERROR(VLOOKUP(N323,'הגדרות'!$A$11:$D$25,2,FALSE),"")</f>
        <v/>
      </c>
      <c r="T323">
        <f>IFERROR(VLOOKUP(N323,'הגדרות'!$A$11:$D$25,3,FALSE),"")</f>
        <v/>
      </c>
      <c r="AB323" s="11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E324">
        <f>IFERROR(INDEX('הגדרות'!$D$104:$D$123,MATCH(B324&amp;G324&amp;C324,'הגדרות'!$A$104:$A$123&amp;'הגדרות'!$B$104:$B$123&amp;'הגדרות'!$C$104:$C$123,0)),"")</f>
        <v/>
      </c>
      <c r="F324" s="11" t="n"/>
      <c r="Q324">
        <f>IFERROR(VLOOKUP(M324,'הגדרות'!$A$11:$D$25,2,FALSE),"")</f>
        <v/>
      </c>
      <c r="R324">
        <f>IFERROR(VLOOKUP(M324,'הגדרות'!$A$11:$D$25,3,FALSE),"")</f>
        <v/>
      </c>
      <c r="S324">
        <f>IFERROR(VLOOKUP(N324,'הגדרות'!$A$11:$D$25,2,FALSE),"")</f>
        <v/>
      </c>
      <c r="T324">
        <f>IFERROR(VLOOKUP(N324,'הגדרות'!$A$11:$D$25,3,FALSE),"")</f>
        <v/>
      </c>
      <c r="AB324" s="11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E325">
        <f>IFERROR(INDEX('הגדרות'!$D$104:$D$123,MATCH(B325&amp;G325&amp;C325,'הגדרות'!$A$104:$A$123&amp;'הגדרות'!$B$104:$B$123&amp;'הגדרות'!$C$104:$C$123,0)),"")</f>
        <v/>
      </c>
      <c r="F325" s="11" t="n"/>
      <c r="Q325">
        <f>IFERROR(VLOOKUP(M325,'הגדרות'!$A$11:$D$25,2,FALSE),"")</f>
        <v/>
      </c>
      <c r="R325">
        <f>IFERROR(VLOOKUP(M325,'הגדרות'!$A$11:$D$25,3,FALSE),"")</f>
        <v/>
      </c>
      <c r="S325">
        <f>IFERROR(VLOOKUP(N325,'הגדרות'!$A$11:$D$25,2,FALSE),"")</f>
        <v/>
      </c>
      <c r="T325">
        <f>IFERROR(VLOOKUP(N325,'הגדרות'!$A$11:$D$25,3,FALSE),"")</f>
        <v/>
      </c>
      <c r="AB325" s="11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E326">
        <f>IFERROR(INDEX('הגדרות'!$D$104:$D$123,MATCH(B326&amp;G326&amp;C326,'הגדרות'!$A$104:$A$123&amp;'הגדרות'!$B$104:$B$123&amp;'הגדרות'!$C$104:$C$123,0)),"")</f>
        <v/>
      </c>
      <c r="F326" s="11" t="n"/>
      <c r="Q326">
        <f>IFERROR(VLOOKUP(M326,'הגדרות'!$A$11:$D$25,2,FALSE),"")</f>
        <v/>
      </c>
      <c r="R326">
        <f>IFERROR(VLOOKUP(M326,'הגדרות'!$A$11:$D$25,3,FALSE),"")</f>
        <v/>
      </c>
      <c r="S326">
        <f>IFERROR(VLOOKUP(N326,'הגדרות'!$A$11:$D$25,2,FALSE),"")</f>
        <v/>
      </c>
      <c r="T326">
        <f>IFERROR(VLOOKUP(N326,'הגדרות'!$A$11:$D$25,3,FALSE),"")</f>
        <v/>
      </c>
      <c r="AB326" s="11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E327">
        <f>IFERROR(INDEX('הגדרות'!$D$104:$D$123,MATCH(B327&amp;G327&amp;C327,'הגדרות'!$A$104:$A$123&amp;'הגדרות'!$B$104:$B$123&amp;'הגדרות'!$C$104:$C$123,0)),"")</f>
        <v/>
      </c>
      <c r="F327" s="11" t="n"/>
      <c r="Q327">
        <f>IFERROR(VLOOKUP(M327,'הגדרות'!$A$11:$D$25,2,FALSE),"")</f>
        <v/>
      </c>
      <c r="R327">
        <f>IFERROR(VLOOKUP(M327,'הגדרות'!$A$11:$D$25,3,FALSE),"")</f>
        <v/>
      </c>
      <c r="S327">
        <f>IFERROR(VLOOKUP(N327,'הגדרות'!$A$11:$D$25,2,FALSE),"")</f>
        <v/>
      </c>
      <c r="T327">
        <f>IFERROR(VLOOKUP(N327,'הגדרות'!$A$11:$D$25,3,FALSE),"")</f>
        <v/>
      </c>
      <c r="AB327" s="11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E328">
        <f>IFERROR(INDEX('הגדרות'!$D$104:$D$123,MATCH(B328&amp;G328&amp;C328,'הגדרות'!$A$104:$A$123&amp;'הגדרות'!$B$104:$B$123&amp;'הגדרות'!$C$104:$C$123,0)),"")</f>
        <v/>
      </c>
      <c r="F328" s="11" t="n"/>
      <c r="Q328">
        <f>IFERROR(VLOOKUP(M328,'הגדרות'!$A$11:$D$25,2,FALSE),"")</f>
        <v/>
      </c>
      <c r="R328">
        <f>IFERROR(VLOOKUP(M328,'הגדרות'!$A$11:$D$25,3,FALSE),"")</f>
        <v/>
      </c>
      <c r="S328">
        <f>IFERROR(VLOOKUP(N328,'הגדרות'!$A$11:$D$25,2,FALSE),"")</f>
        <v/>
      </c>
      <c r="T328">
        <f>IFERROR(VLOOKUP(N328,'הגדרות'!$A$11:$D$25,3,FALSE),"")</f>
        <v/>
      </c>
      <c r="AB328" s="11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E329">
        <f>IFERROR(INDEX('הגדרות'!$D$104:$D$123,MATCH(B329&amp;G329&amp;C329,'הגדרות'!$A$104:$A$123&amp;'הגדרות'!$B$104:$B$123&amp;'הגדרות'!$C$104:$C$123,0)),"")</f>
        <v/>
      </c>
      <c r="F329" s="11" t="n"/>
      <c r="Q329">
        <f>IFERROR(VLOOKUP(M329,'הגדרות'!$A$11:$D$25,2,FALSE),"")</f>
        <v/>
      </c>
      <c r="R329">
        <f>IFERROR(VLOOKUP(M329,'הגדרות'!$A$11:$D$25,3,FALSE),"")</f>
        <v/>
      </c>
      <c r="S329">
        <f>IFERROR(VLOOKUP(N329,'הגדרות'!$A$11:$D$25,2,FALSE),"")</f>
        <v/>
      </c>
      <c r="T329">
        <f>IFERROR(VLOOKUP(N329,'הגדרות'!$A$11:$D$25,3,FALSE),"")</f>
        <v/>
      </c>
      <c r="AB329" s="11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E330">
        <f>IFERROR(INDEX('הגדרות'!$D$104:$D$123,MATCH(B330&amp;G330&amp;C330,'הגדרות'!$A$104:$A$123&amp;'הגדרות'!$B$104:$B$123&amp;'הגדרות'!$C$104:$C$123,0)),"")</f>
        <v/>
      </c>
      <c r="F330" s="11" t="n"/>
      <c r="Q330">
        <f>IFERROR(VLOOKUP(M330,'הגדרות'!$A$11:$D$25,2,FALSE),"")</f>
        <v/>
      </c>
      <c r="R330">
        <f>IFERROR(VLOOKUP(M330,'הגדרות'!$A$11:$D$25,3,FALSE),"")</f>
        <v/>
      </c>
      <c r="S330">
        <f>IFERROR(VLOOKUP(N330,'הגדרות'!$A$11:$D$25,2,FALSE),"")</f>
        <v/>
      </c>
      <c r="T330">
        <f>IFERROR(VLOOKUP(N330,'הגדרות'!$A$11:$D$25,3,FALSE),"")</f>
        <v/>
      </c>
      <c r="AB330" s="11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E331">
        <f>IFERROR(INDEX('הגדרות'!$D$104:$D$123,MATCH(B331&amp;G331&amp;C331,'הגדרות'!$A$104:$A$123&amp;'הגדרות'!$B$104:$B$123&amp;'הגדרות'!$C$104:$C$123,0)),"")</f>
        <v/>
      </c>
      <c r="F331" s="11" t="n"/>
      <c r="Q331">
        <f>IFERROR(VLOOKUP(M331,'הגדרות'!$A$11:$D$25,2,FALSE),"")</f>
        <v/>
      </c>
      <c r="R331">
        <f>IFERROR(VLOOKUP(M331,'הגדרות'!$A$11:$D$25,3,FALSE),"")</f>
        <v/>
      </c>
      <c r="S331">
        <f>IFERROR(VLOOKUP(N331,'הגדרות'!$A$11:$D$25,2,FALSE),"")</f>
        <v/>
      </c>
      <c r="T331">
        <f>IFERROR(VLOOKUP(N331,'הגדרות'!$A$11:$D$25,3,FALSE),"")</f>
        <v/>
      </c>
      <c r="AB331" s="11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E332">
        <f>IFERROR(INDEX('הגדרות'!$D$104:$D$123,MATCH(B332&amp;G332&amp;C332,'הגדרות'!$A$104:$A$123&amp;'הגדרות'!$B$104:$B$123&amp;'הגדרות'!$C$104:$C$123,0)),"")</f>
        <v/>
      </c>
      <c r="F332" s="11" t="n"/>
      <c r="Q332">
        <f>IFERROR(VLOOKUP(M332,'הגדרות'!$A$11:$D$25,2,FALSE),"")</f>
        <v/>
      </c>
      <c r="R332">
        <f>IFERROR(VLOOKUP(M332,'הגדרות'!$A$11:$D$25,3,FALSE),"")</f>
        <v/>
      </c>
      <c r="S332">
        <f>IFERROR(VLOOKUP(N332,'הגדרות'!$A$11:$D$25,2,FALSE),"")</f>
        <v/>
      </c>
      <c r="T332">
        <f>IFERROR(VLOOKUP(N332,'הגדרות'!$A$11:$D$25,3,FALSE),"")</f>
        <v/>
      </c>
      <c r="AB332" s="11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E333">
        <f>IFERROR(INDEX('הגדרות'!$D$104:$D$123,MATCH(B333&amp;G333&amp;C333,'הגדרות'!$A$104:$A$123&amp;'הגדרות'!$B$104:$B$123&amp;'הגדרות'!$C$104:$C$123,0)),"")</f>
        <v/>
      </c>
      <c r="F333" s="11" t="n"/>
      <c r="Q333">
        <f>IFERROR(VLOOKUP(M333,'הגדרות'!$A$11:$D$25,2,FALSE),"")</f>
        <v/>
      </c>
      <c r="R333">
        <f>IFERROR(VLOOKUP(M333,'הגדרות'!$A$11:$D$25,3,FALSE),"")</f>
        <v/>
      </c>
      <c r="S333">
        <f>IFERROR(VLOOKUP(N333,'הגדרות'!$A$11:$D$25,2,FALSE),"")</f>
        <v/>
      </c>
      <c r="T333">
        <f>IFERROR(VLOOKUP(N333,'הגדרות'!$A$11:$D$25,3,FALSE),"")</f>
        <v/>
      </c>
      <c r="AB333" s="11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E334">
        <f>IFERROR(INDEX('הגדרות'!$D$104:$D$123,MATCH(B334&amp;G334&amp;C334,'הגדרות'!$A$104:$A$123&amp;'הגדרות'!$B$104:$B$123&amp;'הגדרות'!$C$104:$C$123,0)),"")</f>
        <v/>
      </c>
      <c r="F334" s="11" t="n"/>
      <c r="Q334">
        <f>IFERROR(VLOOKUP(M334,'הגדרות'!$A$11:$D$25,2,FALSE),"")</f>
        <v/>
      </c>
      <c r="R334">
        <f>IFERROR(VLOOKUP(M334,'הגדרות'!$A$11:$D$25,3,FALSE),"")</f>
        <v/>
      </c>
      <c r="S334">
        <f>IFERROR(VLOOKUP(N334,'הגדרות'!$A$11:$D$25,2,FALSE),"")</f>
        <v/>
      </c>
      <c r="T334">
        <f>IFERROR(VLOOKUP(N334,'הגדרות'!$A$11:$D$25,3,FALSE),"")</f>
        <v/>
      </c>
      <c r="AB334" s="11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E335">
        <f>IFERROR(INDEX('הגדרות'!$D$104:$D$123,MATCH(B335&amp;G335&amp;C335,'הגדרות'!$A$104:$A$123&amp;'הגדרות'!$B$104:$B$123&amp;'הגדרות'!$C$104:$C$123,0)),"")</f>
        <v/>
      </c>
      <c r="F335" s="11" t="n"/>
      <c r="Q335">
        <f>IFERROR(VLOOKUP(M335,'הגדרות'!$A$11:$D$25,2,FALSE),"")</f>
        <v/>
      </c>
      <c r="R335">
        <f>IFERROR(VLOOKUP(M335,'הגדרות'!$A$11:$D$25,3,FALSE),"")</f>
        <v/>
      </c>
      <c r="S335">
        <f>IFERROR(VLOOKUP(N335,'הגדרות'!$A$11:$D$25,2,FALSE),"")</f>
        <v/>
      </c>
      <c r="T335">
        <f>IFERROR(VLOOKUP(N335,'הגדרות'!$A$11:$D$25,3,FALSE),"")</f>
        <v/>
      </c>
      <c r="AB335" s="11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E336">
        <f>IFERROR(INDEX('הגדרות'!$D$104:$D$123,MATCH(B336&amp;G336&amp;C336,'הגדרות'!$A$104:$A$123&amp;'הגדרות'!$B$104:$B$123&amp;'הגדרות'!$C$104:$C$123,0)),"")</f>
        <v/>
      </c>
      <c r="F336" s="11" t="n"/>
      <c r="Q336">
        <f>IFERROR(VLOOKUP(M336,'הגדרות'!$A$11:$D$25,2,FALSE),"")</f>
        <v/>
      </c>
      <c r="R336">
        <f>IFERROR(VLOOKUP(M336,'הגדרות'!$A$11:$D$25,3,FALSE),"")</f>
        <v/>
      </c>
      <c r="S336">
        <f>IFERROR(VLOOKUP(N336,'הגדרות'!$A$11:$D$25,2,FALSE),"")</f>
        <v/>
      </c>
      <c r="T336">
        <f>IFERROR(VLOOKUP(N336,'הגדרות'!$A$11:$D$25,3,FALSE),"")</f>
        <v/>
      </c>
      <c r="AB336" s="11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E337">
        <f>IFERROR(INDEX('הגדרות'!$D$104:$D$123,MATCH(B337&amp;G337&amp;C337,'הגדרות'!$A$104:$A$123&amp;'הגדרות'!$B$104:$B$123&amp;'הגדרות'!$C$104:$C$123,0)),"")</f>
        <v/>
      </c>
      <c r="F337" s="11" t="n"/>
      <c r="Q337">
        <f>IFERROR(VLOOKUP(M337,'הגדרות'!$A$11:$D$25,2,FALSE),"")</f>
        <v/>
      </c>
      <c r="R337">
        <f>IFERROR(VLOOKUP(M337,'הגדרות'!$A$11:$D$25,3,FALSE),"")</f>
        <v/>
      </c>
      <c r="S337">
        <f>IFERROR(VLOOKUP(N337,'הגדרות'!$A$11:$D$25,2,FALSE),"")</f>
        <v/>
      </c>
      <c r="T337">
        <f>IFERROR(VLOOKUP(N337,'הגדרות'!$A$11:$D$25,3,FALSE),"")</f>
        <v/>
      </c>
      <c r="AB337" s="11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E338">
        <f>IFERROR(INDEX('הגדרות'!$D$104:$D$123,MATCH(B338&amp;G338&amp;C338,'הגדרות'!$A$104:$A$123&amp;'הגדרות'!$B$104:$B$123&amp;'הגדרות'!$C$104:$C$123,0)),"")</f>
        <v/>
      </c>
      <c r="F338" s="11" t="n"/>
      <c r="Q338">
        <f>IFERROR(VLOOKUP(M338,'הגדרות'!$A$11:$D$25,2,FALSE),"")</f>
        <v/>
      </c>
      <c r="R338">
        <f>IFERROR(VLOOKUP(M338,'הגדרות'!$A$11:$D$25,3,FALSE),"")</f>
        <v/>
      </c>
      <c r="S338">
        <f>IFERROR(VLOOKUP(N338,'הגדרות'!$A$11:$D$25,2,FALSE),"")</f>
        <v/>
      </c>
      <c r="T338">
        <f>IFERROR(VLOOKUP(N338,'הגדרות'!$A$11:$D$25,3,FALSE),"")</f>
        <v/>
      </c>
      <c r="AB338" s="11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E339">
        <f>IFERROR(INDEX('הגדרות'!$D$104:$D$123,MATCH(B339&amp;G339&amp;C339,'הגדרות'!$A$104:$A$123&amp;'הגדרות'!$B$104:$B$123&amp;'הגדרות'!$C$104:$C$123,0)),"")</f>
        <v/>
      </c>
      <c r="F339" s="11" t="n"/>
      <c r="Q339">
        <f>IFERROR(VLOOKUP(M339,'הגדרות'!$A$11:$D$25,2,FALSE),"")</f>
        <v/>
      </c>
      <c r="R339">
        <f>IFERROR(VLOOKUP(M339,'הגדרות'!$A$11:$D$25,3,FALSE),"")</f>
        <v/>
      </c>
      <c r="S339">
        <f>IFERROR(VLOOKUP(N339,'הגדרות'!$A$11:$D$25,2,FALSE),"")</f>
        <v/>
      </c>
      <c r="T339">
        <f>IFERROR(VLOOKUP(N339,'הגדרות'!$A$11:$D$25,3,FALSE),"")</f>
        <v/>
      </c>
      <c r="AB339" s="11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E340">
        <f>IFERROR(INDEX('הגדרות'!$D$104:$D$123,MATCH(B340&amp;G340&amp;C340,'הגדרות'!$A$104:$A$123&amp;'הגדרות'!$B$104:$B$123&amp;'הגדרות'!$C$104:$C$123,0)),"")</f>
        <v/>
      </c>
      <c r="F340" s="11" t="n"/>
      <c r="Q340">
        <f>IFERROR(VLOOKUP(M340,'הגדרות'!$A$11:$D$25,2,FALSE),"")</f>
        <v/>
      </c>
      <c r="R340">
        <f>IFERROR(VLOOKUP(M340,'הגדרות'!$A$11:$D$25,3,FALSE),"")</f>
        <v/>
      </c>
      <c r="S340">
        <f>IFERROR(VLOOKUP(N340,'הגדרות'!$A$11:$D$25,2,FALSE),"")</f>
        <v/>
      </c>
      <c r="T340">
        <f>IFERROR(VLOOKUP(N340,'הגדרות'!$A$11:$D$25,3,FALSE),"")</f>
        <v/>
      </c>
      <c r="AB340" s="11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E341">
        <f>IFERROR(INDEX('הגדרות'!$D$104:$D$123,MATCH(B341&amp;G341&amp;C341,'הגדרות'!$A$104:$A$123&amp;'הגדרות'!$B$104:$B$123&amp;'הגדרות'!$C$104:$C$123,0)),"")</f>
        <v/>
      </c>
      <c r="F341" s="11" t="n"/>
      <c r="Q341">
        <f>IFERROR(VLOOKUP(M341,'הגדרות'!$A$11:$D$25,2,FALSE),"")</f>
        <v/>
      </c>
      <c r="R341">
        <f>IFERROR(VLOOKUP(M341,'הגדרות'!$A$11:$D$25,3,FALSE),"")</f>
        <v/>
      </c>
      <c r="S341">
        <f>IFERROR(VLOOKUP(N341,'הגדרות'!$A$11:$D$25,2,FALSE),"")</f>
        <v/>
      </c>
      <c r="T341">
        <f>IFERROR(VLOOKUP(N341,'הגדרות'!$A$11:$D$25,3,FALSE),"")</f>
        <v/>
      </c>
      <c r="AB341" s="11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E342">
        <f>IFERROR(INDEX('הגדרות'!$D$104:$D$123,MATCH(B342&amp;G342&amp;C342,'הגדרות'!$A$104:$A$123&amp;'הגדרות'!$B$104:$B$123&amp;'הגדרות'!$C$104:$C$123,0)),"")</f>
        <v/>
      </c>
      <c r="F342" s="11" t="n"/>
      <c r="Q342">
        <f>IFERROR(VLOOKUP(M342,'הגדרות'!$A$11:$D$25,2,FALSE),"")</f>
        <v/>
      </c>
      <c r="R342">
        <f>IFERROR(VLOOKUP(M342,'הגדרות'!$A$11:$D$25,3,FALSE),"")</f>
        <v/>
      </c>
      <c r="S342">
        <f>IFERROR(VLOOKUP(N342,'הגדרות'!$A$11:$D$25,2,FALSE),"")</f>
        <v/>
      </c>
      <c r="T342">
        <f>IFERROR(VLOOKUP(N342,'הגדרות'!$A$11:$D$25,3,FALSE),"")</f>
        <v/>
      </c>
      <c r="AB342" s="11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E343">
        <f>IFERROR(INDEX('הגדרות'!$D$104:$D$123,MATCH(B343&amp;G343&amp;C343,'הגדרות'!$A$104:$A$123&amp;'הגדרות'!$B$104:$B$123&amp;'הגדרות'!$C$104:$C$123,0)),"")</f>
        <v/>
      </c>
      <c r="F343" s="11" t="n"/>
      <c r="Q343">
        <f>IFERROR(VLOOKUP(M343,'הגדרות'!$A$11:$D$25,2,FALSE),"")</f>
        <v/>
      </c>
      <c r="R343">
        <f>IFERROR(VLOOKUP(M343,'הגדרות'!$A$11:$D$25,3,FALSE),"")</f>
        <v/>
      </c>
      <c r="S343">
        <f>IFERROR(VLOOKUP(N343,'הגדרות'!$A$11:$D$25,2,FALSE),"")</f>
        <v/>
      </c>
      <c r="T343">
        <f>IFERROR(VLOOKUP(N343,'הגדרות'!$A$11:$D$25,3,FALSE),"")</f>
        <v/>
      </c>
      <c r="AB343" s="11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E344">
        <f>IFERROR(INDEX('הגדרות'!$D$104:$D$123,MATCH(B344&amp;G344&amp;C344,'הגדרות'!$A$104:$A$123&amp;'הגדרות'!$B$104:$B$123&amp;'הגדרות'!$C$104:$C$123,0)),"")</f>
        <v/>
      </c>
      <c r="F344" s="11" t="n"/>
      <c r="Q344">
        <f>IFERROR(VLOOKUP(M344,'הגדרות'!$A$11:$D$25,2,FALSE),"")</f>
        <v/>
      </c>
      <c r="R344">
        <f>IFERROR(VLOOKUP(M344,'הגדרות'!$A$11:$D$25,3,FALSE),"")</f>
        <v/>
      </c>
      <c r="S344">
        <f>IFERROR(VLOOKUP(N344,'הגדרות'!$A$11:$D$25,2,FALSE),"")</f>
        <v/>
      </c>
      <c r="T344">
        <f>IFERROR(VLOOKUP(N344,'הגדרות'!$A$11:$D$25,3,FALSE),"")</f>
        <v/>
      </c>
      <c r="AB344" s="11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E345">
        <f>IFERROR(INDEX('הגדרות'!$D$104:$D$123,MATCH(B345&amp;G345&amp;C345,'הגדרות'!$A$104:$A$123&amp;'הגדרות'!$B$104:$B$123&amp;'הגדרות'!$C$104:$C$123,0)),"")</f>
        <v/>
      </c>
      <c r="F345" s="11" t="n"/>
      <c r="Q345">
        <f>IFERROR(VLOOKUP(M345,'הגדרות'!$A$11:$D$25,2,FALSE),"")</f>
        <v/>
      </c>
      <c r="R345">
        <f>IFERROR(VLOOKUP(M345,'הגדרות'!$A$11:$D$25,3,FALSE),"")</f>
        <v/>
      </c>
      <c r="S345">
        <f>IFERROR(VLOOKUP(N345,'הגדרות'!$A$11:$D$25,2,FALSE),"")</f>
        <v/>
      </c>
      <c r="T345">
        <f>IFERROR(VLOOKUP(N345,'הגדרות'!$A$11:$D$25,3,FALSE),"")</f>
        <v/>
      </c>
      <c r="AB345" s="11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E346">
        <f>IFERROR(INDEX('הגדרות'!$D$104:$D$123,MATCH(B346&amp;G346&amp;C346,'הגדרות'!$A$104:$A$123&amp;'הגדרות'!$B$104:$B$123&amp;'הגדרות'!$C$104:$C$123,0)),"")</f>
        <v/>
      </c>
      <c r="F346" s="11" t="n"/>
      <c r="Q346">
        <f>IFERROR(VLOOKUP(M346,'הגדרות'!$A$11:$D$25,2,FALSE),"")</f>
        <v/>
      </c>
      <c r="R346">
        <f>IFERROR(VLOOKUP(M346,'הגדרות'!$A$11:$D$25,3,FALSE),"")</f>
        <v/>
      </c>
      <c r="S346">
        <f>IFERROR(VLOOKUP(N346,'הגדרות'!$A$11:$D$25,2,FALSE),"")</f>
        <v/>
      </c>
      <c r="T346">
        <f>IFERROR(VLOOKUP(N346,'הגדרות'!$A$11:$D$25,3,FALSE),"")</f>
        <v/>
      </c>
      <c r="AB346" s="11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E347">
        <f>IFERROR(INDEX('הגדרות'!$D$104:$D$123,MATCH(B347&amp;G347&amp;C347,'הגדרות'!$A$104:$A$123&amp;'הגדרות'!$B$104:$B$123&amp;'הגדרות'!$C$104:$C$123,0)),"")</f>
        <v/>
      </c>
      <c r="F347" s="11" t="n"/>
      <c r="Q347">
        <f>IFERROR(VLOOKUP(M347,'הגדרות'!$A$11:$D$25,2,FALSE),"")</f>
        <v/>
      </c>
      <c r="R347">
        <f>IFERROR(VLOOKUP(M347,'הגדרות'!$A$11:$D$25,3,FALSE),"")</f>
        <v/>
      </c>
      <c r="S347">
        <f>IFERROR(VLOOKUP(N347,'הגדרות'!$A$11:$D$25,2,FALSE),"")</f>
        <v/>
      </c>
      <c r="T347">
        <f>IFERROR(VLOOKUP(N347,'הגדרות'!$A$11:$D$25,3,FALSE),"")</f>
        <v/>
      </c>
      <c r="AB347" s="11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E348">
        <f>IFERROR(INDEX('הגדרות'!$D$104:$D$123,MATCH(B348&amp;G348&amp;C348,'הגדרות'!$A$104:$A$123&amp;'הגדרות'!$B$104:$B$123&amp;'הגדרות'!$C$104:$C$123,0)),"")</f>
        <v/>
      </c>
      <c r="F348" s="11" t="n"/>
      <c r="Q348">
        <f>IFERROR(VLOOKUP(M348,'הגדרות'!$A$11:$D$25,2,FALSE),"")</f>
        <v/>
      </c>
      <c r="R348">
        <f>IFERROR(VLOOKUP(M348,'הגדרות'!$A$11:$D$25,3,FALSE),"")</f>
        <v/>
      </c>
      <c r="S348">
        <f>IFERROR(VLOOKUP(N348,'הגדרות'!$A$11:$D$25,2,FALSE),"")</f>
        <v/>
      </c>
      <c r="T348">
        <f>IFERROR(VLOOKUP(N348,'הגדרות'!$A$11:$D$25,3,FALSE),"")</f>
        <v/>
      </c>
      <c r="AB348" s="11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E349">
        <f>IFERROR(INDEX('הגדרות'!$D$104:$D$123,MATCH(B349&amp;G349&amp;C349,'הגדרות'!$A$104:$A$123&amp;'הגדרות'!$B$104:$B$123&amp;'הגדרות'!$C$104:$C$123,0)),"")</f>
        <v/>
      </c>
      <c r="F349" s="11" t="n"/>
      <c r="Q349">
        <f>IFERROR(VLOOKUP(M349,'הגדרות'!$A$11:$D$25,2,FALSE),"")</f>
        <v/>
      </c>
      <c r="R349">
        <f>IFERROR(VLOOKUP(M349,'הגדרות'!$A$11:$D$25,3,FALSE),"")</f>
        <v/>
      </c>
      <c r="S349">
        <f>IFERROR(VLOOKUP(N349,'הגדרות'!$A$11:$D$25,2,FALSE),"")</f>
        <v/>
      </c>
      <c r="T349">
        <f>IFERROR(VLOOKUP(N349,'הגדרות'!$A$11:$D$25,3,FALSE),"")</f>
        <v/>
      </c>
      <c r="AB349" s="11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E350">
        <f>IFERROR(INDEX('הגדרות'!$D$104:$D$123,MATCH(B350&amp;G350&amp;C350,'הגדרות'!$A$104:$A$123&amp;'הגדרות'!$B$104:$B$123&amp;'הגדרות'!$C$104:$C$123,0)),"")</f>
        <v/>
      </c>
      <c r="F350" s="11" t="n"/>
      <c r="Q350">
        <f>IFERROR(VLOOKUP(M350,'הגדרות'!$A$11:$D$25,2,FALSE),"")</f>
        <v/>
      </c>
      <c r="R350">
        <f>IFERROR(VLOOKUP(M350,'הגדרות'!$A$11:$D$25,3,FALSE),"")</f>
        <v/>
      </c>
      <c r="S350">
        <f>IFERROR(VLOOKUP(N350,'הגדרות'!$A$11:$D$25,2,FALSE),"")</f>
        <v/>
      </c>
      <c r="T350">
        <f>IFERROR(VLOOKUP(N350,'הגדרות'!$A$11:$D$25,3,FALSE),"")</f>
        <v/>
      </c>
      <c r="AB350" s="11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E351">
        <f>IFERROR(INDEX('הגדרות'!$D$104:$D$123,MATCH(B351&amp;G351&amp;C351,'הגדרות'!$A$104:$A$123&amp;'הגדרות'!$B$104:$B$123&amp;'הגדרות'!$C$104:$C$123,0)),"")</f>
        <v/>
      </c>
      <c r="F351" s="11" t="n"/>
      <c r="Q351">
        <f>IFERROR(VLOOKUP(M351,'הגדרות'!$A$11:$D$25,2,FALSE),"")</f>
        <v/>
      </c>
      <c r="R351">
        <f>IFERROR(VLOOKUP(M351,'הגדרות'!$A$11:$D$25,3,FALSE),"")</f>
        <v/>
      </c>
      <c r="S351">
        <f>IFERROR(VLOOKUP(N351,'הגדרות'!$A$11:$D$25,2,FALSE),"")</f>
        <v/>
      </c>
      <c r="T351">
        <f>IFERROR(VLOOKUP(N351,'הגדרות'!$A$11:$D$25,3,FALSE),"")</f>
        <v/>
      </c>
      <c r="AB351" s="11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E352">
        <f>IFERROR(INDEX('הגדרות'!$D$104:$D$123,MATCH(B352&amp;G352&amp;C352,'הגדרות'!$A$104:$A$123&amp;'הגדרות'!$B$104:$B$123&amp;'הגדרות'!$C$104:$C$123,0)),"")</f>
        <v/>
      </c>
      <c r="F352" s="11" t="n"/>
      <c r="Q352">
        <f>IFERROR(VLOOKUP(M352,'הגדרות'!$A$11:$D$25,2,FALSE),"")</f>
        <v/>
      </c>
      <c r="R352">
        <f>IFERROR(VLOOKUP(M352,'הגדרות'!$A$11:$D$25,3,FALSE),"")</f>
        <v/>
      </c>
      <c r="S352">
        <f>IFERROR(VLOOKUP(N352,'הגדרות'!$A$11:$D$25,2,FALSE),"")</f>
        <v/>
      </c>
      <c r="T352">
        <f>IFERROR(VLOOKUP(N352,'הגדרות'!$A$11:$D$25,3,FALSE),"")</f>
        <v/>
      </c>
      <c r="AB352" s="11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E353">
        <f>IFERROR(INDEX('הגדרות'!$D$104:$D$123,MATCH(B353&amp;G353&amp;C353,'הגדרות'!$A$104:$A$123&amp;'הגדרות'!$B$104:$B$123&amp;'הגדרות'!$C$104:$C$123,0)),"")</f>
        <v/>
      </c>
      <c r="F353" s="11" t="n"/>
      <c r="Q353">
        <f>IFERROR(VLOOKUP(M353,'הגדרות'!$A$11:$D$25,2,FALSE),"")</f>
        <v/>
      </c>
      <c r="R353">
        <f>IFERROR(VLOOKUP(M353,'הגדרות'!$A$11:$D$25,3,FALSE),"")</f>
        <v/>
      </c>
      <c r="S353">
        <f>IFERROR(VLOOKUP(N353,'הגדרות'!$A$11:$D$25,2,FALSE),"")</f>
        <v/>
      </c>
      <c r="T353">
        <f>IFERROR(VLOOKUP(N353,'הגדרות'!$A$11:$D$25,3,FALSE),"")</f>
        <v/>
      </c>
      <c r="AB353" s="11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E354">
        <f>IFERROR(INDEX('הגדרות'!$D$104:$D$123,MATCH(B354&amp;G354&amp;C354,'הגדרות'!$A$104:$A$123&amp;'הגדרות'!$B$104:$B$123&amp;'הגדרות'!$C$104:$C$123,0)),"")</f>
        <v/>
      </c>
      <c r="F354" s="11" t="n"/>
      <c r="Q354">
        <f>IFERROR(VLOOKUP(M354,'הגדרות'!$A$11:$D$25,2,FALSE),"")</f>
        <v/>
      </c>
      <c r="R354">
        <f>IFERROR(VLOOKUP(M354,'הגדרות'!$A$11:$D$25,3,FALSE),"")</f>
        <v/>
      </c>
      <c r="S354">
        <f>IFERROR(VLOOKUP(N354,'הגדרות'!$A$11:$D$25,2,FALSE),"")</f>
        <v/>
      </c>
      <c r="T354">
        <f>IFERROR(VLOOKUP(N354,'הגדרות'!$A$11:$D$25,3,FALSE),"")</f>
        <v/>
      </c>
      <c r="AB354" s="11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E355">
        <f>IFERROR(INDEX('הגדרות'!$D$104:$D$123,MATCH(B355&amp;G355&amp;C355,'הגדרות'!$A$104:$A$123&amp;'הגדרות'!$B$104:$B$123&amp;'הגדרות'!$C$104:$C$123,0)),"")</f>
        <v/>
      </c>
      <c r="F355" s="11" t="n"/>
      <c r="Q355">
        <f>IFERROR(VLOOKUP(M355,'הגדרות'!$A$11:$D$25,2,FALSE),"")</f>
        <v/>
      </c>
      <c r="R355">
        <f>IFERROR(VLOOKUP(M355,'הגדרות'!$A$11:$D$25,3,FALSE),"")</f>
        <v/>
      </c>
      <c r="S355">
        <f>IFERROR(VLOOKUP(N355,'הגדרות'!$A$11:$D$25,2,FALSE),"")</f>
        <v/>
      </c>
      <c r="T355">
        <f>IFERROR(VLOOKUP(N355,'הגדרות'!$A$11:$D$25,3,FALSE),"")</f>
        <v/>
      </c>
      <c r="AB355" s="11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E356">
        <f>IFERROR(INDEX('הגדרות'!$D$104:$D$123,MATCH(B356&amp;G356&amp;C356,'הגדרות'!$A$104:$A$123&amp;'הגדרות'!$B$104:$B$123&amp;'הגדרות'!$C$104:$C$123,0)),"")</f>
        <v/>
      </c>
      <c r="F356" s="11" t="n"/>
      <c r="Q356">
        <f>IFERROR(VLOOKUP(M356,'הגדרות'!$A$11:$D$25,2,FALSE),"")</f>
        <v/>
      </c>
      <c r="R356">
        <f>IFERROR(VLOOKUP(M356,'הגדרות'!$A$11:$D$25,3,FALSE),"")</f>
        <v/>
      </c>
      <c r="S356">
        <f>IFERROR(VLOOKUP(N356,'הגדרות'!$A$11:$D$25,2,FALSE),"")</f>
        <v/>
      </c>
      <c r="T356">
        <f>IFERROR(VLOOKUP(N356,'הגדרות'!$A$11:$D$25,3,FALSE),"")</f>
        <v/>
      </c>
      <c r="AB356" s="11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E357">
        <f>IFERROR(INDEX('הגדרות'!$D$104:$D$123,MATCH(B357&amp;G357&amp;C357,'הגדרות'!$A$104:$A$123&amp;'הגדרות'!$B$104:$B$123&amp;'הגדרות'!$C$104:$C$123,0)),"")</f>
        <v/>
      </c>
      <c r="F357" s="11" t="n"/>
      <c r="Q357">
        <f>IFERROR(VLOOKUP(M357,'הגדרות'!$A$11:$D$25,2,FALSE),"")</f>
        <v/>
      </c>
      <c r="R357">
        <f>IFERROR(VLOOKUP(M357,'הגדרות'!$A$11:$D$25,3,FALSE),"")</f>
        <v/>
      </c>
      <c r="S357">
        <f>IFERROR(VLOOKUP(N357,'הגדרות'!$A$11:$D$25,2,FALSE),"")</f>
        <v/>
      </c>
      <c r="T357">
        <f>IFERROR(VLOOKUP(N357,'הגדרות'!$A$11:$D$25,3,FALSE),"")</f>
        <v/>
      </c>
      <c r="AB357" s="11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E358">
        <f>IFERROR(INDEX('הגדרות'!$D$104:$D$123,MATCH(B358&amp;G358&amp;C358,'הגדרות'!$A$104:$A$123&amp;'הגדרות'!$B$104:$B$123&amp;'הגדרות'!$C$104:$C$123,0)),"")</f>
        <v/>
      </c>
      <c r="F358" s="11" t="n"/>
      <c r="Q358">
        <f>IFERROR(VLOOKUP(M358,'הגדרות'!$A$11:$D$25,2,FALSE),"")</f>
        <v/>
      </c>
      <c r="R358">
        <f>IFERROR(VLOOKUP(M358,'הגדרות'!$A$11:$D$25,3,FALSE),"")</f>
        <v/>
      </c>
      <c r="S358">
        <f>IFERROR(VLOOKUP(N358,'הגדרות'!$A$11:$D$25,2,FALSE),"")</f>
        <v/>
      </c>
      <c r="T358">
        <f>IFERROR(VLOOKUP(N358,'הגדרות'!$A$11:$D$25,3,FALSE),"")</f>
        <v/>
      </c>
      <c r="AB358" s="11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E359">
        <f>IFERROR(INDEX('הגדרות'!$D$104:$D$123,MATCH(B359&amp;G359&amp;C359,'הגדרות'!$A$104:$A$123&amp;'הגדרות'!$B$104:$B$123&amp;'הגדרות'!$C$104:$C$123,0)),"")</f>
        <v/>
      </c>
      <c r="F359" s="11" t="n"/>
      <c r="Q359">
        <f>IFERROR(VLOOKUP(M359,'הגדרות'!$A$11:$D$25,2,FALSE),"")</f>
        <v/>
      </c>
      <c r="R359">
        <f>IFERROR(VLOOKUP(M359,'הגדרות'!$A$11:$D$25,3,FALSE),"")</f>
        <v/>
      </c>
      <c r="S359">
        <f>IFERROR(VLOOKUP(N359,'הגדרות'!$A$11:$D$25,2,FALSE),"")</f>
        <v/>
      </c>
      <c r="T359">
        <f>IFERROR(VLOOKUP(N359,'הגדרות'!$A$11:$D$25,3,FALSE),"")</f>
        <v/>
      </c>
      <c r="AB359" s="11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E360">
        <f>IFERROR(INDEX('הגדרות'!$D$104:$D$123,MATCH(B360&amp;G360&amp;C360,'הגדרות'!$A$104:$A$123&amp;'הגדרות'!$B$104:$B$123&amp;'הגדרות'!$C$104:$C$123,0)),"")</f>
        <v/>
      </c>
      <c r="F360" s="11" t="n"/>
      <c r="Q360">
        <f>IFERROR(VLOOKUP(M360,'הגדרות'!$A$11:$D$25,2,FALSE),"")</f>
        <v/>
      </c>
      <c r="R360">
        <f>IFERROR(VLOOKUP(M360,'הגדרות'!$A$11:$D$25,3,FALSE),"")</f>
        <v/>
      </c>
      <c r="S360">
        <f>IFERROR(VLOOKUP(N360,'הגדרות'!$A$11:$D$25,2,FALSE),"")</f>
        <v/>
      </c>
      <c r="T360">
        <f>IFERROR(VLOOKUP(N360,'הגדרות'!$A$11:$D$25,3,FALSE),"")</f>
        <v/>
      </c>
      <c r="AB360" s="11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E361">
        <f>IFERROR(INDEX('הגדרות'!$D$104:$D$123,MATCH(B361&amp;G361&amp;C361,'הגדרות'!$A$104:$A$123&amp;'הגדרות'!$B$104:$B$123&amp;'הגדרות'!$C$104:$C$123,0)),"")</f>
        <v/>
      </c>
      <c r="F361" s="11" t="n"/>
      <c r="Q361">
        <f>IFERROR(VLOOKUP(M361,'הגדרות'!$A$11:$D$25,2,FALSE),"")</f>
        <v/>
      </c>
      <c r="R361">
        <f>IFERROR(VLOOKUP(M361,'הגדרות'!$A$11:$D$25,3,FALSE),"")</f>
        <v/>
      </c>
      <c r="S361">
        <f>IFERROR(VLOOKUP(N361,'הגדרות'!$A$11:$D$25,2,FALSE),"")</f>
        <v/>
      </c>
      <c r="T361">
        <f>IFERROR(VLOOKUP(N361,'הגדרות'!$A$11:$D$25,3,FALSE),"")</f>
        <v/>
      </c>
      <c r="AB361" s="11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E362">
        <f>IFERROR(INDEX('הגדרות'!$D$104:$D$123,MATCH(B362&amp;G362&amp;C362,'הגדרות'!$A$104:$A$123&amp;'הגדרות'!$B$104:$B$123&amp;'הגדרות'!$C$104:$C$123,0)),"")</f>
        <v/>
      </c>
      <c r="F362" s="11" t="n"/>
      <c r="Q362">
        <f>IFERROR(VLOOKUP(M362,'הגדרות'!$A$11:$D$25,2,FALSE),"")</f>
        <v/>
      </c>
      <c r="R362">
        <f>IFERROR(VLOOKUP(M362,'הגדרות'!$A$11:$D$25,3,FALSE),"")</f>
        <v/>
      </c>
      <c r="S362">
        <f>IFERROR(VLOOKUP(N362,'הגדרות'!$A$11:$D$25,2,FALSE),"")</f>
        <v/>
      </c>
      <c r="T362">
        <f>IFERROR(VLOOKUP(N362,'הגדרות'!$A$11:$D$25,3,FALSE),"")</f>
        <v/>
      </c>
      <c r="AB362" s="11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E363">
        <f>IFERROR(INDEX('הגדרות'!$D$104:$D$123,MATCH(B363&amp;G363&amp;C363,'הגדרות'!$A$104:$A$123&amp;'הגדרות'!$B$104:$B$123&amp;'הגדרות'!$C$104:$C$123,0)),"")</f>
        <v/>
      </c>
      <c r="F363" s="11" t="n"/>
      <c r="Q363">
        <f>IFERROR(VLOOKUP(M363,'הגדרות'!$A$11:$D$25,2,FALSE),"")</f>
        <v/>
      </c>
      <c r="R363">
        <f>IFERROR(VLOOKUP(M363,'הגדרות'!$A$11:$D$25,3,FALSE),"")</f>
        <v/>
      </c>
      <c r="S363">
        <f>IFERROR(VLOOKUP(N363,'הגדרות'!$A$11:$D$25,2,FALSE),"")</f>
        <v/>
      </c>
      <c r="T363">
        <f>IFERROR(VLOOKUP(N363,'הגדרות'!$A$11:$D$25,3,FALSE),"")</f>
        <v/>
      </c>
      <c r="AB363" s="11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E364">
        <f>IFERROR(INDEX('הגדרות'!$D$104:$D$123,MATCH(B364&amp;G364&amp;C364,'הגדרות'!$A$104:$A$123&amp;'הגדרות'!$B$104:$B$123&amp;'הגדרות'!$C$104:$C$123,0)),"")</f>
        <v/>
      </c>
      <c r="F364" s="11" t="n"/>
      <c r="Q364">
        <f>IFERROR(VLOOKUP(M364,'הגדרות'!$A$11:$D$25,2,FALSE),"")</f>
        <v/>
      </c>
      <c r="R364">
        <f>IFERROR(VLOOKUP(M364,'הגדרות'!$A$11:$D$25,3,FALSE),"")</f>
        <v/>
      </c>
      <c r="S364">
        <f>IFERROR(VLOOKUP(N364,'הגדרות'!$A$11:$D$25,2,FALSE),"")</f>
        <v/>
      </c>
      <c r="T364">
        <f>IFERROR(VLOOKUP(N364,'הגדרות'!$A$11:$D$25,3,FALSE),"")</f>
        <v/>
      </c>
      <c r="AB364" s="11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E365">
        <f>IFERROR(INDEX('הגדרות'!$D$104:$D$123,MATCH(B365&amp;G365&amp;C365,'הגדרות'!$A$104:$A$123&amp;'הגדרות'!$B$104:$B$123&amp;'הגדרות'!$C$104:$C$123,0)),"")</f>
        <v/>
      </c>
      <c r="F365" s="11" t="n"/>
      <c r="Q365">
        <f>IFERROR(VLOOKUP(M365,'הגדרות'!$A$11:$D$25,2,FALSE),"")</f>
        <v/>
      </c>
      <c r="R365">
        <f>IFERROR(VLOOKUP(M365,'הגדרות'!$A$11:$D$25,3,FALSE),"")</f>
        <v/>
      </c>
      <c r="S365">
        <f>IFERROR(VLOOKUP(N365,'הגדרות'!$A$11:$D$25,2,FALSE),"")</f>
        <v/>
      </c>
      <c r="T365">
        <f>IFERROR(VLOOKUP(N365,'הגדרות'!$A$11:$D$25,3,FALSE),"")</f>
        <v/>
      </c>
      <c r="AB365" s="11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E366">
        <f>IFERROR(INDEX('הגדרות'!$D$104:$D$123,MATCH(B366&amp;G366&amp;C366,'הגדרות'!$A$104:$A$123&amp;'הגדרות'!$B$104:$B$123&amp;'הגדרות'!$C$104:$C$123,0)),"")</f>
        <v/>
      </c>
      <c r="F366" s="11" t="n"/>
      <c r="Q366">
        <f>IFERROR(VLOOKUP(M366,'הגדרות'!$A$11:$D$25,2,FALSE),"")</f>
        <v/>
      </c>
      <c r="R366">
        <f>IFERROR(VLOOKUP(M366,'הגדרות'!$A$11:$D$25,3,FALSE),"")</f>
        <v/>
      </c>
      <c r="S366">
        <f>IFERROR(VLOOKUP(N366,'הגדרות'!$A$11:$D$25,2,FALSE),"")</f>
        <v/>
      </c>
      <c r="T366">
        <f>IFERROR(VLOOKUP(N366,'הגדרות'!$A$11:$D$25,3,FALSE),"")</f>
        <v/>
      </c>
      <c r="AB366" s="11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E367">
        <f>IFERROR(INDEX('הגדרות'!$D$104:$D$123,MATCH(B367&amp;G367&amp;C367,'הגדרות'!$A$104:$A$123&amp;'הגדרות'!$B$104:$B$123&amp;'הגדרות'!$C$104:$C$123,0)),"")</f>
        <v/>
      </c>
      <c r="F367" s="11" t="n"/>
      <c r="Q367">
        <f>IFERROR(VLOOKUP(M367,'הגדרות'!$A$11:$D$25,2,FALSE),"")</f>
        <v/>
      </c>
      <c r="R367">
        <f>IFERROR(VLOOKUP(M367,'הגדרות'!$A$11:$D$25,3,FALSE),"")</f>
        <v/>
      </c>
      <c r="S367">
        <f>IFERROR(VLOOKUP(N367,'הגדרות'!$A$11:$D$25,2,FALSE),"")</f>
        <v/>
      </c>
      <c r="T367">
        <f>IFERROR(VLOOKUP(N367,'הגדרות'!$A$11:$D$25,3,FALSE),"")</f>
        <v/>
      </c>
      <c r="AB367" s="11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E368">
        <f>IFERROR(INDEX('הגדרות'!$D$104:$D$123,MATCH(B368&amp;G368&amp;C368,'הגדרות'!$A$104:$A$123&amp;'הגדרות'!$B$104:$B$123&amp;'הגדרות'!$C$104:$C$123,0)),"")</f>
        <v/>
      </c>
      <c r="F368" s="11" t="n"/>
      <c r="Q368">
        <f>IFERROR(VLOOKUP(M368,'הגדרות'!$A$11:$D$25,2,FALSE),"")</f>
        <v/>
      </c>
      <c r="R368">
        <f>IFERROR(VLOOKUP(M368,'הגדרות'!$A$11:$D$25,3,FALSE),"")</f>
        <v/>
      </c>
      <c r="S368">
        <f>IFERROR(VLOOKUP(N368,'הגדרות'!$A$11:$D$25,2,FALSE),"")</f>
        <v/>
      </c>
      <c r="T368">
        <f>IFERROR(VLOOKUP(N368,'הגדרות'!$A$11:$D$25,3,FALSE),"")</f>
        <v/>
      </c>
      <c r="AB368" s="11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E369">
        <f>IFERROR(INDEX('הגדרות'!$D$104:$D$123,MATCH(B369&amp;G369&amp;C369,'הגדרות'!$A$104:$A$123&amp;'הגדרות'!$B$104:$B$123&amp;'הגדרות'!$C$104:$C$123,0)),"")</f>
        <v/>
      </c>
      <c r="F369" s="11" t="n"/>
      <c r="Q369">
        <f>IFERROR(VLOOKUP(M369,'הגדרות'!$A$11:$D$25,2,FALSE),"")</f>
        <v/>
      </c>
      <c r="R369">
        <f>IFERROR(VLOOKUP(M369,'הגדרות'!$A$11:$D$25,3,FALSE),"")</f>
        <v/>
      </c>
      <c r="S369">
        <f>IFERROR(VLOOKUP(N369,'הגדרות'!$A$11:$D$25,2,FALSE),"")</f>
        <v/>
      </c>
      <c r="T369">
        <f>IFERROR(VLOOKUP(N369,'הגדרות'!$A$11:$D$25,3,FALSE),"")</f>
        <v/>
      </c>
      <c r="AB369" s="11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E370">
        <f>IFERROR(INDEX('הגדרות'!$D$104:$D$123,MATCH(B370&amp;G370&amp;C370,'הגדרות'!$A$104:$A$123&amp;'הגדרות'!$B$104:$B$123&amp;'הגדרות'!$C$104:$C$123,0)),"")</f>
        <v/>
      </c>
      <c r="F370" s="11" t="n"/>
      <c r="Q370">
        <f>IFERROR(VLOOKUP(M370,'הגדרות'!$A$11:$D$25,2,FALSE),"")</f>
        <v/>
      </c>
      <c r="R370">
        <f>IFERROR(VLOOKUP(M370,'הגדרות'!$A$11:$D$25,3,FALSE),"")</f>
        <v/>
      </c>
      <c r="S370">
        <f>IFERROR(VLOOKUP(N370,'הגדרות'!$A$11:$D$25,2,FALSE),"")</f>
        <v/>
      </c>
      <c r="T370">
        <f>IFERROR(VLOOKUP(N370,'הגדרות'!$A$11:$D$25,3,FALSE),"")</f>
        <v/>
      </c>
      <c r="AB370" s="11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E371">
        <f>IFERROR(INDEX('הגדרות'!$D$104:$D$123,MATCH(B371&amp;G371&amp;C371,'הגדרות'!$A$104:$A$123&amp;'הגדרות'!$B$104:$B$123&amp;'הגדרות'!$C$104:$C$123,0)),"")</f>
        <v/>
      </c>
      <c r="F371" s="11" t="n"/>
      <c r="Q371">
        <f>IFERROR(VLOOKUP(M371,'הגדרות'!$A$11:$D$25,2,FALSE),"")</f>
        <v/>
      </c>
      <c r="R371">
        <f>IFERROR(VLOOKUP(M371,'הגדרות'!$A$11:$D$25,3,FALSE),"")</f>
        <v/>
      </c>
      <c r="S371">
        <f>IFERROR(VLOOKUP(N371,'הגדרות'!$A$11:$D$25,2,FALSE),"")</f>
        <v/>
      </c>
      <c r="T371">
        <f>IFERROR(VLOOKUP(N371,'הגדרות'!$A$11:$D$25,3,FALSE),"")</f>
        <v/>
      </c>
      <c r="AB371" s="11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E372">
        <f>IFERROR(INDEX('הגדרות'!$D$104:$D$123,MATCH(B372&amp;G372&amp;C372,'הגדרות'!$A$104:$A$123&amp;'הגדרות'!$B$104:$B$123&amp;'הגדרות'!$C$104:$C$123,0)),"")</f>
        <v/>
      </c>
      <c r="F372" s="11" t="n"/>
      <c r="Q372">
        <f>IFERROR(VLOOKUP(M372,'הגדרות'!$A$11:$D$25,2,FALSE),"")</f>
        <v/>
      </c>
      <c r="R372">
        <f>IFERROR(VLOOKUP(M372,'הגדרות'!$A$11:$D$25,3,FALSE),"")</f>
        <v/>
      </c>
      <c r="S372">
        <f>IFERROR(VLOOKUP(N372,'הגדרות'!$A$11:$D$25,2,FALSE),"")</f>
        <v/>
      </c>
      <c r="T372">
        <f>IFERROR(VLOOKUP(N372,'הגדרות'!$A$11:$D$25,3,FALSE),"")</f>
        <v/>
      </c>
      <c r="AB372" s="11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E373">
        <f>IFERROR(INDEX('הגדרות'!$D$104:$D$123,MATCH(B373&amp;G373&amp;C373,'הגדרות'!$A$104:$A$123&amp;'הגדרות'!$B$104:$B$123&amp;'הגדרות'!$C$104:$C$123,0)),"")</f>
        <v/>
      </c>
      <c r="F373" s="11" t="n"/>
      <c r="Q373">
        <f>IFERROR(VLOOKUP(M373,'הגדרות'!$A$11:$D$25,2,FALSE),"")</f>
        <v/>
      </c>
      <c r="R373">
        <f>IFERROR(VLOOKUP(M373,'הגדרות'!$A$11:$D$25,3,FALSE),"")</f>
        <v/>
      </c>
      <c r="S373">
        <f>IFERROR(VLOOKUP(N373,'הגדרות'!$A$11:$D$25,2,FALSE),"")</f>
        <v/>
      </c>
      <c r="T373">
        <f>IFERROR(VLOOKUP(N373,'הגדרות'!$A$11:$D$25,3,FALSE),"")</f>
        <v/>
      </c>
      <c r="AB373" s="11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E374">
        <f>IFERROR(INDEX('הגדרות'!$D$104:$D$123,MATCH(B374&amp;G374&amp;C374,'הגדרות'!$A$104:$A$123&amp;'הגדרות'!$B$104:$B$123&amp;'הגדרות'!$C$104:$C$123,0)),"")</f>
        <v/>
      </c>
      <c r="F374" s="11" t="n"/>
      <c r="Q374">
        <f>IFERROR(VLOOKUP(M374,'הגדרות'!$A$11:$D$25,2,FALSE),"")</f>
        <v/>
      </c>
      <c r="R374">
        <f>IFERROR(VLOOKUP(M374,'הגדרות'!$A$11:$D$25,3,FALSE),"")</f>
        <v/>
      </c>
      <c r="S374">
        <f>IFERROR(VLOOKUP(N374,'הגדרות'!$A$11:$D$25,2,FALSE),"")</f>
        <v/>
      </c>
      <c r="T374">
        <f>IFERROR(VLOOKUP(N374,'הגדרות'!$A$11:$D$25,3,FALSE),"")</f>
        <v/>
      </c>
      <c r="AB374" s="11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E375">
        <f>IFERROR(INDEX('הגדרות'!$D$104:$D$123,MATCH(B375&amp;G375&amp;C375,'הגדרות'!$A$104:$A$123&amp;'הגדרות'!$B$104:$B$123&amp;'הגדרות'!$C$104:$C$123,0)),"")</f>
        <v/>
      </c>
      <c r="F375" s="11" t="n"/>
      <c r="Q375">
        <f>IFERROR(VLOOKUP(M375,'הגדרות'!$A$11:$D$25,2,FALSE),"")</f>
        <v/>
      </c>
      <c r="R375">
        <f>IFERROR(VLOOKUP(M375,'הגדרות'!$A$11:$D$25,3,FALSE),"")</f>
        <v/>
      </c>
      <c r="S375">
        <f>IFERROR(VLOOKUP(N375,'הגדרות'!$A$11:$D$25,2,FALSE),"")</f>
        <v/>
      </c>
      <c r="T375">
        <f>IFERROR(VLOOKUP(N375,'הגדרות'!$A$11:$D$25,3,FALSE),"")</f>
        <v/>
      </c>
      <c r="AB375" s="11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E376">
        <f>IFERROR(INDEX('הגדרות'!$D$104:$D$123,MATCH(B376&amp;G376&amp;C376,'הגדרות'!$A$104:$A$123&amp;'הגדרות'!$B$104:$B$123&amp;'הגדרות'!$C$104:$C$123,0)),"")</f>
        <v/>
      </c>
      <c r="F376" s="11" t="n"/>
      <c r="Q376">
        <f>IFERROR(VLOOKUP(M376,'הגדרות'!$A$11:$D$25,2,FALSE),"")</f>
        <v/>
      </c>
      <c r="R376">
        <f>IFERROR(VLOOKUP(M376,'הגדרות'!$A$11:$D$25,3,FALSE),"")</f>
        <v/>
      </c>
      <c r="S376">
        <f>IFERROR(VLOOKUP(N376,'הגדרות'!$A$11:$D$25,2,FALSE),"")</f>
        <v/>
      </c>
      <c r="T376">
        <f>IFERROR(VLOOKUP(N376,'הגדרות'!$A$11:$D$25,3,FALSE),"")</f>
        <v/>
      </c>
      <c r="AB376" s="11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E377">
        <f>IFERROR(INDEX('הגדרות'!$D$104:$D$123,MATCH(B377&amp;G377&amp;C377,'הגדרות'!$A$104:$A$123&amp;'הגדרות'!$B$104:$B$123&amp;'הגדרות'!$C$104:$C$123,0)),"")</f>
        <v/>
      </c>
      <c r="F377" s="11" t="n"/>
      <c r="Q377">
        <f>IFERROR(VLOOKUP(M377,'הגדרות'!$A$11:$D$25,2,FALSE),"")</f>
        <v/>
      </c>
      <c r="R377">
        <f>IFERROR(VLOOKUP(M377,'הגדרות'!$A$11:$D$25,3,FALSE),"")</f>
        <v/>
      </c>
      <c r="S377">
        <f>IFERROR(VLOOKUP(N377,'הגדרות'!$A$11:$D$25,2,FALSE),"")</f>
        <v/>
      </c>
      <c r="T377">
        <f>IFERROR(VLOOKUP(N377,'הגדרות'!$A$11:$D$25,3,FALSE),"")</f>
        <v/>
      </c>
      <c r="AB377" s="11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E378">
        <f>IFERROR(INDEX('הגדרות'!$D$104:$D$123,MATCH(B378&amp;G378&amp;C378,'הגדרות'!$A$104:$A$123&amp;'הגדרות'!$B$104:$B$123&amp;'הגדרות'!$C$104:$C$123,0)),"")</f>
        <v/>
      </c>
      <c r="F378" s="11" t="n"/>
      <c r="Q378">
        <f>IFERROR(VLOOKUP(M378,'הגדרות'!$A$11:$D$25,2,FALSE),"")</f>
        <v/>
      </c>
      <c r="R378">
        <f>IFERROR(VLOOKUP(M378,'הגדרות'!$A$11:$D$25,3,FALSE),"")</f>
        <v/>
      </c>
      <c r="S378">
        <f>IFERROR(VLOOKUP(N378,'הגדרות'!$A$11:$D$25,2,FALSE),"")</f>
        <v/>
      </c>
      <c r="T378">
        <f>IFERROR(VLOOKUP(N378,'הגדרות'!$A$11:$D$25,3,FALSE),"")</f>
        <v/>
      </c>
      <c r="AB378" s="11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E379">
        <f>IFERROR(INDEX('הגדרות'!$D$104:$D$123,MATCH(B379&amp;G379&amp;C379,'הגדרות'!$A$104:$A$123&amp;'הגדרות'!$B$104:$B$123&amp;'הגדרות'!$C$104:$C$123,0)),"")</f>
        <v/>
      </c>
      <c r="F379" s="11" t="n"/>
      <c r="Q379">
        <f>IFERROR(VLOOKUP(M379,'הגדרות'!$A$11:$D$25,2,FALSE),"")</f>
        <v/>
      </c>
      <c r="R379">
        <f>IFERROR(VLOOKUP(M379,'הגדרות'!$A$11:$D$25,3,FALSE),"")</f>
        <v/>
      </c>
      <c r="S379">
        <f>IFERROR(VLOOKUP(N379,'הגדרות'!$A$11:$D$25,2,FALSE),"")</f>
        <v/>
      </c>
      <c r="T379">
        <f>IFERROR(VLOOKUP(N379,'הגדרות'!$A$11:$D$25,3,FALSE),"")</f>
        <v/>
      </c>
      <c r="AB379" s="11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E380">
        <f>IFERROR(INDEX('הגדרות'!$D$104:$D$123,MATCH(B380&amp;G380&amp;C380,'הגדרות'!$A$104:$A$123&amp;'הגדרות'!$B$104:$B$123&amp;'הגדרות'!$C$104:$C$123,0)),"")</f>
        <v/>
      </c>
      <c r="F380" s="11" t="n"/>
      <c r="Q380">
        <f>IFERROR(VLOOKUP(M380,'הגדרות'!$A$11:$D$25,2,FALSE),"")</f>
        <v/>
      </c>
      <c r="R380">
        <f>IFERROR(VLOOKUP(M380,'הגדרות'!$A$11:$D$25,3,FALSE),"")</f>
        <v/>
      </c>
      <c r="S380">
        <f>IFERROR(VLOOKUP(N380,'הגדרות'!$A$11:$D$25,2,FALSE),"")</f>
        <v/>
      </c>
      <c r="T380">
        <f>IFERROR(VLOOKUP(N380,'הגדרות'!$A$11:$D$25,3,FALSE),"")</f>
        <v/>
      </c>
      <c r="AB380" s="11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E381">
        <f>IFERROR(INDEX('הגדרות'!$D$104:$D$123,MATCH(B381&amp;G381&amp;C381,'הגדרות'!$A$104:$A$123&amp;'הגדרות'!$B$104:$B$123&amp;'הגדרות'!$C$104:$C$123,0)),"")</f>
        <v/>
      </c>
      <c r="F381" s="11" t="n"/>
      <c r="Q381">
        <f>IFERROR(VLOOKUP(M381,'הגדרות'!$A$11:$D$25,2,FALSE),"")</f>
        <v/>
      </c>
      <c r="R381">
        <f>IFERROR(VLOOKUP(M381,'הגדרות'!$A$11:$D$25,3,FALSE),"")</f>
        <v/>
      </c>
      <c r="S381">
        <f>IFERROR(VLOOKUP(N381,'הגדרות'!$A$11:$D$25,2,FALSE),"")</f>
        <v/>
      </c>
      <c r="T381">
        <f>IFERROR(VLOOKUP(N381,'הגדרות'!$A$11:$D$25,3,FALSE),"")</f>
        <v/>
      </c>
      <c r="AB381" s="11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E382">
        <f>IFERROR(INDEX('הגדרות'!$D$104:$D$123,MATCH(B382&amp;G382&amp;C382,'הגדרות'!$A$104:$A$123&amp;'הגדרות'!$B$104:$B$123&amp;'הגדרות'!$C$104:$C$123,0)),"")</f>
        <v/>
      </c>
      <c r="F382" s="11" t="n"/>
      <c r="Q382">
        <f>IFERROR(VLOOKUP(M382,'הגדרות'!$A$11:$D$25,2,FALSE),"")</f>
        <v/>
      </c>
      <c r="R382">
        <f>IFERROR(VLOOKUP(M382,'הגדרות'!$A$11:$D$25,3,FALSE),"")</f>
        <v/>
      </c>
      <c r="S382">
        <f>IFERROR(VLOOKUP(N382,'הגדרות'!$A$11:$D$25,2,FALSE),"")</f>
        <v/>
      </c>
      <c r="T382">
        <f>IFERROR(VLOOKUP(N382,'הגדרות'!$A$11:$D$25,3,FALSE),"")</f>
        <v/>
      </c>
      <c r="AB382" s="11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E383">
        <f>IFERROR(INDEX('הגדרות'!$D$104:$D$123,MATCH(B383&amp;G383&amp;C383,'הגדרות'!$A$104:$A$123&amp;'הגדרות'!$B$104:$B$123&amp;'הגדרות'!$C$104:$C$123,0)),"")</f>
        <v/>
      </c>
      <c r="F383" s="11" t="n"/>
      <c r="Q383">
        <f>IFERROR(VLOOKUP(M383,'הגדרות'!$A$11:$D$25,2,FALSE),"")</f>
        <v/>
      </c>
      <c r="R383">
        <f>IFERROR(VLOOKUP(M383,'הגדרות'!$A$11:$D$25,3,FALSE),"")</f>
        <v/>
      </c>
      <c r="S383">
        <f>IFERROR(VLOOKUP(N383,'הגדרות'!$A$11:$D$25,2,FALSE),"")</f>
        <v/>
      </c>
      <c r="T383">
        <f>IFERROR(VLOOKUP(N383,'הגדרות'!$A$11:$D$25,3,FALSE),"")</f>
        <v/>
      </c>
      <c r="AB383" s="11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E384">
        <f>IFERROR(INDEX('הגדרות'!$D$104:$D$123,MATCH(B384&amp;G384&amp;C384,'הגדרות'!$A$104:$A$123&amp;'הגדרות'!$B$104:$B$123&amp;'הגדרות'!$C$104:$C$123,0)),"")</f>
        <v/>
      </c>
      <c r="F384" s="11" t="n"/>
      <c r="Q384">
        <f>IFERROR(VLOOKUP(M384,'הגדרות'!$A$11:$D$25,2,FALSE),"")</f>
        <v/>
      </c>
      <c r="R384">
        <f>IFERROR(VLOOKUP(M384,'הגדרות'!$A$11:$D$25,3,FALSE),"")</f>
        <v/>
      </c>
      <c r="S384">
        <f>IFERROR(VLOOKUP(N384,'הגדרות'!$A$11:$D$25,2,FALSE),"")</f>
        <v/>
      </c>
      <c r="T384">
        <f>IFERROR(VLOOKUP(N384,'הגדרות'!$A$11:$D$25,3,FALSE),"")</f>
        <v/>
      </c>
      <c r="AB384" s="11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E385">
        <f>IFERROR(INDEX('הגדרות'!$D$104:$D$123,MATCH(B385&amp;G385&amp;C385,'הגדרות'!$A$104:$A$123&amp;'הגדרות'!$B$104:$B$123&amp;'הגדרות'!$C$104:$C$123,0)),"")</f>
        <v/>
      </c>
      <c r="F385" s="11" t="n"/>
      <c r="Q385">
        <f>IFERROR(VLOOKUP(M385,'הגדרות'!$A$11:$D$25,2,FALSE),"")</f>
        <v/>
      </c>
      <c r="R385">
        <f>IFERROR(VLOOKUP(M385,'הגדרות'!$A$11:$D$25,3,FALSE),"")</f>
        <v/>
      </c>
      <c r="S385">
        <f>IFERROR(VLOOKUP(N385,'הגדרות'!$A$11:$D$25,2,FALSE),"")</f>
        <v/>
      </c>
      <c r="T385">
        <f>IFERROR(VLOOKUP(N385,'הגדרות'!$A$11:$D$25,3,FALSE),"")</f>
        <v/>
      </c>
      <c r="AB385" s="11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E386">
        <f>IFERROR(INDEX('הגדרות'!$D$104:$D$123,MATCH(B386&amp;G386&amp;C386,'הגדרות'!$A$104:$A$123&amp;'הגדרות'!$B$104:$B$123&amp;'הגדרות'!$C$104:$C$123,0)),"")</f>
        <v/>
      </c>
      <c r="F386" s="11" t="n"/>
      <c r="Q386">
        <f>IFERROR(VLOOKUP(M386,'הגדרות'!$A$11:$D$25,2,FALSE),"")</f>
        <v/>
      </c>
      <c r="R386">
        <f>IFERROR(VLOOKUP(M386,'הגדרות'!$A$11:$D$25,3,FALSE),"")</f>
        <v/>
      </c>
      <c r="S386">
        <f>IFERROR(VLOOKUP(N386,'הגדרות'!$A$11:$D$25,2,FALSE),"")</f>
        <v/>
      </c>
      <c r="T386">
        <f>IFERROR(VLOOKUP(N386,'הגדרות'!$A$11:$D$25,3,FALSE),"")</f>
        <v/>
      </c>
      <c r="AB386" s="11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E387">
        <f>IFERROR(INDEX('הגדרות'!$D$104:$D$123,MATCH(B387&amp;G387&amp;C387,'הגדרות'!$A$104:$A$123&amp;'הגדרות'!$B$104:$B$123&amp;'הגדרות'!$C$104:$C$123,0)),"")</f>
        <v/>
      </c>
      <c r="F387" s="11" t="n"/>
      <c r="Q387">
        <f>IFERROR(VLOOKUP(M387,'הגדרות'!$A$11:$D$25,2,FALSE),"")</f>
        <v/>
      </c>
      <c r="R387">
        <f>IFERROR(VLOOKUP(M387,'הגדרות'!$A$11:$D$25,3,FALSE),"")</f>
        <v/>
      </c>
      <c r="S387">
        <f>IFERROR(VLOOKUP(N387,'הגדרות'!$A$11:$D$25,2,FALSE),"")</f>
        <v/>
      </c>
      <c r="T387">
        <f>IFERROR(VLOOKUP(N387,'הגדרות'!$A$11:$D$25,3,FALSE),"")</f>
        <v/>
      </c>
      <c r="AB387" s="11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E388">
        <f>IFERROR(INDEX('הגדרות'!$D$104:$D$123,MATCH(B388&amp;G388&amp;C388,'הגדרות'!$A$104:$A$123&amp;'הגדרות'!$B$104:$B$123&amp;'הגדרות'!$C$104:$C$123,0)),"")</f>
        <v/>
      </c>
      <c r="F388" s="11" t="n"/>
      <c r="Q388">
        <f>IFERROR(VLOOKUP(M388,'הגדרות'!$A$11:$D$25,2,FALSE),"")</f>
        <v/>
      </c>
      <c r="R388">
        <f>IFERROR(VLOOKUP(M388,'הגדרות'!$A$11:$D$25,3,FALSE),"")</f>
        <v/>
      </c>
      <c r="S388">
        <f>IFERROR(VLOOKUP(N388,'הגדרות'!$A$11:$D$25,2,FALSE),"")</f>
        <v/>
      </c>
      <c r="T388">
        <f>IFERROR(VLOOKUP(N388,'הגדרות'!$A$11:$D$25,3,FALSE),"")</f>
        <v/>
      </c>
      <c r="AB388" s="11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E389">
        <f>IFERROR(INDEX('הגדרות'!$D$104:$D$123,MATCH(B389&amp;G389&amp;C389,'הגדרות'!$A$104:$A$123&amp;'הגדרות'!$B$104:$B$123&amp;'הגדרות'!$C$104:$C$123,0)),"")</f>
        <v/>
      </c>
      <c r="F389" s="11" t="n"/>
      <c r="Q389">
        <f>IFERROR(VLOOKUP(M389,'הגדרות'!$A$11:$D$25,2,FALSE),"")</f>
        <v/>
      </c>
      <c r="R389">
        <f>IFERROR(VLOOKUP(M389,'הגדרות'!$A$11:$D$25,3,FALSE),"")</f>
        <v/>
      </c>
      <c r="S389">
        <f>IFERROR(VLOOKUP(N389,'הגדרות'!$A$11:$D$25,2,FALSE),"")</f>
        <v/>
      </c>
      <c r="T389">
        <f>IFERROR(VLOOKUP(N389,'הגדרות'!$A$11:$D$25,3,FALSE),"")</f>
        <v/>
      </c>
      <c r="AB389" s="11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E390">
        <f>IFERROR(INDEX('הגדרות'!$D$104:$D$123,MATCH(B390&amp;G390&amp;C390,'הגדרות'!$A$104:$A$123&amp;'הגדרות'!$B$104:$B$123&amp;'הגדרות'!$C$104:$C$123,0)),"")</f>
        <v/>
      </c>
      <c r="F390" s="11" t="n"/>
      <c r="Q390">
        <f>IFERROR(VLOOKUP(M390,'הגדרות'!$A$11:$D$25,2,FALSE),"")</f>
        <v/>
      </c>
      <c r="R390">
        <f>IFERROR(VLOOKUP(M390,'הגדרות'!$A$11:$D$25,3,FALSE),"")</f>
        <v/>
      </c>
      <c r="S390">
        <f>IFERROR(VLOOKUP(N390,'הגדרות'!$A$11:$D$25,2,FALSE),"")</f>
        <v/>
      </c>
      <c r="T390">
        <f>IFERROR(VLOOKUP(N390,'הגדרות'!$A$11:$D$25,3,FALSE),"")</f>
        <v/>
      </c>
      <c r="AB390" s="11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E391">
        <f>IFERROR(INDEX('הגדרות'!$D$104:$D$123,MATCH(B391&amp;G391&amp;C391,'הגדרות'!$A$104:$A$123&amp;'הגדרות'!$B$104:$B$123&amp;'הגדרות'!$C$104:$C$123,0)),"")</f>
        <v/>
      </c>
      <c r="F391" s="11" t="n"/>
      <c r="Q391">
        <f>IFERROR(VLOOKUP(M391,'הגדרות'!$A$11:$D$25,2,FALSE),"")</f>
        <v/>
      </c>
      <c r="R391">
        <f>IFERROR(VLOOKUP(M391,'הגדרות'!$A$11:$D$25,3,FALSE),"")</f>
        <v/>
      </c>
      <c r="S391">
        <f>IFERROR(VLOOKUP(N391,'הגדרות'!$A$11:$D$25,2,FALSE),"")</f>
        <v/>
      </c>
      <c r="T391">
        <f>IFERROR(VLOOKUP(N391,'הגדרות'!$A$11:$D$25,3,FALSE),"")</f>
        <v/>
      </c>
      <c r="AB391" s="11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E392">
        <f>IFERROR(INDEX('הגדרות'!$D$104:$D$123,MATCH(B392&amp;G392&amp;C392,'הגדרות'!$A$104:$A$123&amp;'הגדרות'!$B$104:$B$123&amp;'הגדרות'!$C$104:$C$123,0)),"")</f>
        <v/>
      </c>
      <c r="F392" s="11" t="n"/>
      <c r="Q392">
        <f>IFERROR(VLOOKUP(M392,'הגדרות'!$A$11:$D$25,2,FALSE),"")</f>
        <v/>
      </c>
      <c r="R392">
        <f>IFERROR(VLOOKUP(M392,'הגדרות'!$A$11:$D$25,3,FALSE),"")</f>
        <v/>
      </c>
      <c r="S392">
        <f>IFERROR(VLOOKUP(N392,'הגדרות'!$A$11:$D$25,2,FALSE),"")</f>
        <v/>
      </c>
      <c r="T392">
        <f>IFERROR(VLOOKUP(N392,'הגדרות'!$A$11:$D$25,3,FALSE),"")</f>
        <v/>
      </c>
      <c r="AB392" s="11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E393">
        <f>IFERROR(INDEX('הגדרות'!$D$104:$D$123,MATCH(B393&amp;G393&amp;C393,'הגדרות'!$A$104:$A$123&amp;'הגדרות'!$B$104:$B$123&amp;'הגדרות'!$C$104:$C$123,0)),"")</f>
        <v/>
      </c>
      <c r="F393" s="11" t="n"/>
      <c r="Q393">
        <f>IFERROR(VLOOKUP(M393,'הגדרות'!$A$11:$D$25,2,FALSE),"")</f>
        <v/>
      </c>
      <c r="R393">
        <f>IFERROR(VLOOKUP(M393,'הגדרות'!$A$11:$D$25,3,FALSE),"")</f>
        <v/>
      </c>
      <c r="S393">
        <f>IFERROR(VLOOKUP(N393,'הגדרות'!$A$11:$D$25,2,FALSE),"")</f>
        <v/>
      </c>
      <c r="T393">
        <f>IFERROR(VLOOKUP(N393,'הגדרות'!$A$11:$D$25,3,FALSE),"")</f>
        <v/>
      </c>
      <c r="AB393" s="11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E394">
        <f>IFERROR(INDEX('הגדרות'!$D$104:$D$123,MATCH(B394&amp;G394&amp;C394,'הגדרות'!$A$104:$A$123&amp;'הגדרות'!$B$104:$B$123&amp;'הגדרות'!$C$104:$C$123,0)),"")</f>
        <v/>
      </c>
      <c r="F394" s="11" t="n"/>
      <c r="Q394">
        <f>IFERROR(VLOOKUP(M394,'הגדרות'!$A$11:$D$25,2,FALSE),"")</f>
        <v/>
      </c>
      <c r="R394">
        <f>IFERROR(VLOOKUP(M394,'הגדרות'!$A$11:$D$25,3,FALSE),"")</f>
        <v/>
      </c>
      <c r="S394">
        <f>IFERROR(VLOOKUP(N394,'הגדרות'!$A$11:$D$25,2,FALSE),"")</f>
        <v/>
      </c>
      <c r="T394">
        <f>IFERROR(VLOOKUP(N394,'הגדרות'!$A$11:$D$25,3,FALSE),"")</f>
        <v/>
      </c>
      <c r="AB394" s="11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E395">
        <f>IFERROR(INDEX('הגדרות'!$D$104:$D$123,MATCH(B395&amp;G395&amp;C395,'הגדרות'!$A$104:$A$123&amp;'הגדרות'!$B$104:$B$123&amp;'הגדרות'!$C$104:$C$123,0)),"")</f>
        <v/>
      </c>
      <c r="F395" s="11" t="n"/>
      <c r="Q395">
        <f>IFERROR(VLOOKUP(M395,'הגדרות'!$A$11:$D$25,2,FALSE),"")</f>
        <v/>
      </c>
      <c r="R395">
        <f>IFERROR(VLOOKUP(M395,'הגדרות'!$A$11:$D$25,3,FALSE),"")</f>
        <v/>
      </c>
      <c r="S395">
        <f>IFERROR(VLOOKUP(N395,'הגדרות'!$A$11:$D$25,2,FALSE),"")</f>
        <v/>
      </c>
      <c r="T395">
        <f>IFERROR(VLOOKUP(N395,'הגדרות'!$A$11:$D$25,3,FALSE),"")</f>
        <v/>
      </c>
      <c r="AB395" s="11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E396">
        <f>IFERROR(INDEX('הגדרות'!$D$104:$D$123,MATCH(B396&amp;G396&amp;C396,'הגדרות'!$A$104:$A$123&amp;'הגדרות'!$B$104:$B$123&amp;'הגדרות'!$C$104:$C$123,0)),"")</f>
        <v/>
      </c>
      <c r="F396" s="11" t="n"/>
      <c r="Q396">
        <f>IFERROR(VLOOKUP(M396,'הגדרות'!$A$11:$D$25,2,FALSE),"")</f>
        <v/>
      </c>
      <c r="R396">
        <f>IFERROR(VLOOKUP(M396,'הגדרות'!$A$11:$D$25,3,FALSE),"")</f>
        <v/>
      </c>
      <c r="S396">
        <f>IFERROR(VLOOKUP(N396,'הגדרות'!$A$11:$D$25,2,FALSE),"")</f>
        <v/>
      </c>
      <c r="T396">
        <f>IFERROR(VLOOKUP(N396,'הגדרות'!$A$11:$D$25,3,FALSE),"")</f>
        <v/>
      </c>
      <c r="AB396" s="11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E397">
        <f>IFERROR(INDEX('הגדרות'!$D$104:$D$123,MATCH(B397&amp;G397&amp;C397,'הגדרות'!$A$104:$A$123&amp;'הגדרות'!$B$104:$B$123&amp;'הגדרות'!$C$104:$C$123,0)),"")</f>
        <v/>
      </c>
      <c r="F397" s="11" t="n"/>
      <c r="Q397">
        <f>IFERROR(VLOOKUP(M397,'הגדרות'!$A$11:$D$25,2,FALSE),"")</f>
        <v/>
      </c>
      <c r="R397">
        <f>IFERROR(VLOOKUP(M397,'הגדרות'!$A$11:$D$25,3,FALSE),"")</f>
        <v/>
      </c>
      <c r="S397">
        <f>IFERROR(VLOOKUP(N397,'הגדרות'!$A$11:$D$25,2,FALSE),"")</f>
        <v/>
      </c>
      <c r="T397">
        <f>IFERROR(VLOOKUP(N397,'הגדרות'!$A$11:$D$25,3,FALSE),"")</f>
        <v/>
      </c>
      <c r="AB397" s="11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E398">
        <f>IFERROR(INDEX('הגדרות'!$D$104:$D$123,MATCH(B398&amp;G398&amp;C398,'הגדרות'!$A$104:$A$123&amp;'הגדרות'!$B$104:$B$123&amp;'הגדרות'!$C$104:$C$123,0)),"")</f>
        <v/>
      </c>
      <c r="F398" s="11" t="n"/>
      <c r="Q398">
        <f>IFERROR(VLOOKUP(M398,'הגדרות'!$A$11:$D$25,2,FALSE),"")</f>
        <v/>
      </c>
      <c r="R398">
        <f>IFERROR(VLOOKUP(M398,'הגדרות'!$A$11:$D$25,3,FALSE),"")</f>
        <v/>
      </c>
      <c r="S398">
        <f>IFERROR(VLOOKUP(N398,'הגדרות'!$A$11:$D$25,2,FALSE),"")</f>
        <v/>
      </c>
      <c r="T398">
        <f>IFERROR(VLOOKUP(N398,'הגדרות'!$A$11:$D$25,3,FALSE),"")</f>
        <v/>
      </c>
      <c r="AB398" s="11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E399">
        <f>IFERROR(INDEX('הגדרות'!$D$104:$D$123,MATCH(B399&amp;G399&amp;C399,'הגדרות'!$A$104:$A$123&amp;'הגדרות'!$B$104:$B$123&amp;'הגדרות'!$C$104:$C$123,0)),"")</f>
        <v/>
      </c>
      <c r="F399" s="11" t="n"/>
      <c r="Q399">
        <f>IFERROR(VLOOKUP(M399,'הגדרות'!$A$11:$D$25,2,FALSE),"")</f>
        <v/>
      </c>
      <c r="R399">
        <f>IFERROR(VLOOKUP(M399,'הגדרות'!$A$11:$D$25,3,FALSE),"")</f>
        <v/>
      </c>
      <c r="S399">
        <f>IFERROR(VLOOKUP(N399,'הגדרות'!$A$11:$D$25,2,FALSE),"")</f>
        <v/>
      </c>
      <c r="T399">
        <f>IFERROR(VLOOKUP(N399,'הגדרות'!$A$11:$D$25,3,FALSE),"")</f>
        <v/>
      </c>
      <c r="AB399" s="11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E400">
        <f>IFERROR(INDEX('הגדרות'!$D$104:$D$123,MATCH(B400&amp;G400&amp;C400,'הגדרות'!$A$104:$A$123&amp;'הגדרות'!$B$104:$B$123&amp;'הגדרות'!$C$104:$C$123,0)),"")</f>
        <v/>
      </c>
      <c r="F400" s="11" t="n"/>
      <c r="Q400">
        <f>IFERROR(VLOOKUP(M400,'הגדרות'!$A$11:$D$25,2,FALSE),"")</f>
        <v/>
      </c>
      <c r="R400">
        <f>IFERROR(VLOOKUP(M400,'הגדרות'!$A$11:$D$25,3,FALSE),"")</f>
        <v/>
      </c>
      <c r="S400">
        <f>IFERROR(VLOOKUP(N400,'הגדרות'!$A$11:$D$25,2,FALSE),"")</f>
        <v/>
      </c>
      <c r="T400">
        <f>IFERROR(VLOOKUP(N400,'הגדרות'!$A$11:$D$25,3,FALSE),"")</f>
        <v/>
      </c>
      <c r="AB400" s="11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E401">
        <f>IFERROR(INDEX('הגדרות'!$D$104:$D$123,MATCH(B401&amp;G401&amp;C401,'הגדרות'!$A$104:$A$123&amp;'הגדרות'!$B$104:$B$123&amp;'הגדרות'!$C$104:$C$123,0)),"")</f>
        <v/>
      </c>
      <c r="F401" s="11" t="n"/>
      <c r="Q401">
        <f>IFERROR(VLOOKUP(M401,'הגדרות'!$A$11:$D$25,2,FALSE),"")</f>
        <v/>
      </c>
      <c r="R401">
        <f>IFERROR(VLOOKUP(M401,'הגדרות'!$A$11:$D$25,3,FALSE),"")</f>
        <v/>
      </c>
      <c r="S401">
        <f>IFERROR(VLOOKUP(N401,'הגדרות'!$A$11:$D$25,2,FALSE),"")</f>
        <v/>
      </c>
      <c r="T401">
        <f>IFERROR(VLOOKUP(N401,'הגדרות'!$A$11:$D$25,3,FALSE),"")</f>
        <v/>
      </c>
      <c r="AB401" s="11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E402">
        <f>IFERROR(INDEX('הגדרות'!$D$104:$D$123,MATCH(B402&amp;G402&amp;C402,'הגדרות'!$A$104:$A$123&amp;'הגדרות'!$B$104:$B$123&amp;'הגדרות'!$C$104:$C$123,0)),"")</f>
        <v/>
      </c>
      <c r="F402" s="11" t="n"/>
      <c r="Q402">
        <f>IFERROR(VLOOKUP(M402,'הגדרות'!$A$11:$D$25,2,FALSE),"")</f>
        <v/>
      </c>
      <c r="R402">
        <f>IFERROR(VLOOKUP(M402,'הגדרות'!$A$11:$D$25,3,FALSE),"")</f>
        <v/>
      </c>
      <c r="S402">
        <f>IFERROR(VLOOKUP(N402,'הגדרות'!$A$11:$D$25,2,FALSE),"")</f>
        <v/>
      </c>
      <c r="T402">
        <f>IFERROR(VLOOKUP(N402,'הגדרות'!$A$11:$D$25,3,FALSE),"")</f>
        <v/>
      </c>
      <c r="AB402" s="11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E403">
        <f>IFERROR(INDEX('הגדרות'!$D$104:$D$123,MATCH(B403&amp;G403&amp;C403,'הגדרות'!$A$104:$A$123&amp;'הגדרות'!$B$104:$B$123&amp;'הגדרות'!$C$104:$C$123,0)),"")</f>
        <v/>
      </c>
      <c r="F403" s="11" t="n"/>
      <c r="Q403">
        <f>IFERROR(VLOOKUP(M403,'הגדרות'!$A$11:$D$25,2,FALSE),"")</f>
        <v/>
      </c>
      <c r="R403">
        <f>IFERROR(VLOOKUP(M403,'הגדרות'!$A$11:$D$25,3,FALSE),"")</f>
        <v/>
      </c>
      <c r="S403">
        <f>IFERROR(VLOOKUP(N403,'הגדרות'!$A$11:$D$25,2,FALSE),"")</f>
        <v/>
      </c>
      <c r="T403">
        <f>IFERROR(VLOOKUP(N403,'הגדרות'!$A$11:$D$25,3,FALSE),"")</f>
        <v/>
      </c>
      <c r="AB403" s="11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E404">
        <f>IFERROR(INDEX('הגדרות'!$D$104:$D$123,MATCH(B404&amp;G404&amp;C404,'הגדרות'!$A$104:$A$123&amp;'הגדרות'!$B$104:$B$123&amp;'הגדרות'!$C$104:$C$123,0)),"")</f>
        <v/>
      </c>
      <c r="F404" s="11" t="n"/>
      <c r="Q404">
        <f>IFERROR(VLOOKUP(M404,'הגדרות'!$A$11:$D$25,2,FALSE),"")</f>
        <v/>
      </c>
      <c r="R404">
        <f>IFERROR(VLOOKUP(M404,'הגדרות'!$A$11:$D$25,3,FALSE),"")</f>
        <v/>
      </c>
      <c r="S404">
        <f>IFERROR(VLOOKUP(N404,'הגדרות'!$A$11:$D$25,2,FALSE),"")</f>
        <v/>
      </c>
      <c r="T404">
        <f>IFERROR(VLOOKUP(N404,'הגדרות'!$A$11:$D$25,3,FALSE),"")</f>
        <v/>
      </c>
      <c r="AB404" s="11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E405">
        <f>IFERROR(INDEX('הגדרות'!$D$104:$D$123,MATCH(B405&amp;G405&amp;C405,'הגדרות'!$A$104:$A$123&amp;'הגדרות'!$B$104:$B$123&amp;'הגדרות'!$C$104:$C$123,0)),"")</f>
        <v/>
      </c>
      <c r="F405" s="11" t="n"/>
      <c r="Q405">
        <f>IFERROR(VLOOKUP(M405,'הגדרות'!$A$11:$D$25,2,FALSE),"")</f>
        <v/>
      </c>
      <c r="R405">
        <f>IFERROR(VLOOKUP(M405,'הגדרות'!$A$11:$D$25,3,FALSE),"")</f>
        <v/>
      </c>
      <c r="S405">
        <f>IFERROR(VLOOKUP(N405,'הגדרות'!$A$11:$D$25,2,FALSE),"")</f>
        <v/>
      </c>
      <c r="T405">
        <f>IFERROR(VLOOKUP(N405,'הגדרות'!$A$11:$D$25,3,FALSE),"")</f>
        <v/>
      </c>
      <c r="AB405" s="11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E406">
        <f>IFERROR(INDEX('הגדרות'!$D$104:$D$123,MATCH(B406&amp;G406&amp;C406,'הגדרות'!$A$104:$A$123&amp;'הגדרות'!$B$104:$B$123&amp;'הגדרות'!$C$104:$C$123,0)),"")</f>
        <v/>
      </c>
      <c r="F406" s="11" t="n"/>
      <c r="Q406">
        <f>IFERROR(VLOOKUP(M406,'הגדרות'!$A$11:$D$25,2,FALSE),"")</f>
        <v/>
      </c>
      <c r="R406">
        <f>IFERROR(VLOOKUP(M406,'הגדרות'!$A$11:$D$25,3,FALSE),"")</f>
        <v/>
      </c>
      <c r="S406">
        <f>IFERROR(VLOOKUP(N406,'הגדרות'!$A$11:$D$25,2,FALSE),"")</f>
        <v/>
      </c>
      <c r="T406">
        <f>IFERROR(VLOOKUP(N406,'הגדרות'!$A$11:$D$25,3,FALSE),"")</f>
        <v/>
      </c>
      <c r="AB406" s="11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E407">
        <f>IFERROR(INDEX('הגדרות'!$D$104:$D$123,MATCH(B407&amp;G407&amp;C407,'הגדרות'!$A$104:$A$123&amp;'הגדרות'!$B$104:$B$123&amp;'הגדרות'!$C$104:$C$123,0)),"")</f>
        <v/>
      </c>
      <c r="F407" s="11" t="n"/>
      <c r="Q407">
        <f>IFERROR(VLOOKUP(M407,'הגדרות'!$A$11:$D$25,2,FALSE),"")</f>
        <v/>
      </c>
      <c r="R407">
        <f>IFERROR(VLOOKUP(M407,'הגדרות'!$A$11:$D$25,3,FALSE),"")</f>
        <v/>
      </c>
      <c r="S407">
        <f>IFERROR(VLOOKUP(N407,'הגדרות'!$A$11:$D$25,2,FALSE),"")</f>
        <v/>
      </c>
      <c r="T407">
        <f>IFERROR(VLOOKUP(N407,'הגדרות'!$A$11:$D$25,3,FALSE),"")</f>
        <v/>
      </c>
      <c r="AB407" s="11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E408">
        <f>IFERROR(INDEX('הגדרות'!$D$104:$D$123,MATCH(B408&amp;G408&amp;C408,'הגדרות'!$A$104:$A$123&amp;'הגדרות'!$B$104:$B$123&amp;'הגדרות'!$C$104:$C$123,0)),"")</f>
        <v/>
      </c>
      <c r="F408" s="11" t="n"/>
      <c r="Q408">
        <f>IFERROR(VLOOKUP(M408,'הגדרות'!$A$11:$D$25,2,FALSE),"")</f>
        <v/>
      </c>
      <c r="R408">
        <f>IFERROR(VLOOKUP(M408,'הגדרות'!$A$11:$D$25,3,FALSE),"")</f>
        <v/>
      </c>
      <c r="S408">
        <f>IFERROR(VLOOKUP(N408,'הגדרות'!$A$11:$D$25,2,FALSE),"")</f>
        <v/>
      </c>
      <c r="T408">
        <f>IFERROR(VLOOKUP(N408,'הגדרות'!$A$11:$D$25,3,FALSE),"")</f>
        <v/>
      </c>
      <c r="AB408" s="11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E409">
        <f>IFERROR(INDEX('הגדרות'!$D$104:$D$123,MATCH(B409&amp;G409&amp;C409,'הגדרות'!$A$104:$A$123&amp;'הגדרות'!$B$104:$B$123&amp;'הגדרות'!$C$104:$C$123,0)),"")</f>
        <v/>
      </c>
      <c r="F409" s="11" t="n"/>
      <c r="Q409">
        <f>IFERROR(VLOOKUP(M409,'הגדרות'!$A$11:$D$25,2,FALSE),"")</f>
        <v/>
      </c>
      <c r="R409">
        <f>IFERROR(VLOOKUP(M409,'הגדרות'!$A$11:$D$25,3,FALSE),"")</f>
        <v/>
      </c>
      <c r="S409">
        <f>IFERROR(VLOOKUP(N409,'הגדרות'!$A$11:$D$25,2,FALSE),"")</f>
        <v/>
      </c>
      <c r="T409">
        <f>IFERROR(VLOOKUP(N409,'הגדרות'!$A$11:$D$25,3,FALSE),"")</f>
        <v/>
      </c>
      <c r="AB409" s="11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E410">
        <f>IFERROR(INDEX('הגדרות'!$D$104:$D$123,MATCH(B410&amp;G410&amp;C410,'הגדרות'!$A$104:$A$123&amp;'הגדרות'!$B$104:$B$123&amp;'הגדרות'!$C$104:$C$123,0)),"")</f>
        <v/>
      </c>
      <c r="F410" s="11" t="n"/>
      <c r="Q410">
        <f>IFERROR(VLOOKUP(M410,'הגדרות'!$A$11:$D$25,2,FALSE),"")</f>
        <v/>
      </c>
      <c r="R410">
        <f>IFERROR(VLOOKUP(M410,'הגדרות'!$A$11:$D$25,3,FALSE),"")</f>
        <v/>
      </c>
      <c r="S410">
        <f>IFERROR(VLOOKUP(N410,'הגדרות'!$A$11:$D$25,2,FALSE),"")</f>
        <v/>
      </c>
      <c r="T410">
        <f>IFERROR(VLOOKUP(N410,'הגדרות'!$A$11:$D$25,3,FALSE),"")</f>
        <v/>
      </c>
      <c r="AB410" s="11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E411">
        <f>IFERROR(INDEX('הגדרות'!$D$104:$D$123,MATCH(B411&amp;G411&amp;C411,'הגדרות'!$A$104:$A$123&amp;'הגדרות'!$B$104:$B$123&amp;'הגדרות'!$C$104:$C$123,0)),"")</f>
        <v/>
      </c>
      <c r="F411" s="11" t="n"/>
      <c r="Q411">
        <f>IFERROR(VLOOKUP(M411,'הגדרות'!$A$11:$D$25,2,FALSE),"")</f>
        <v/>
      </c>
      <c r="R411">
        <f>IFERROR(VLOOKUP(M411,'הגדרות'!$A$11:$D$25,3,FALSE),"")</f>
        <v/>
      </c>
      <c r="S411">
        <f>IFERROR(VLOOKUP(N411,'הגדרות'!$A$11:$D$25,2,FALSE),"")</f>
        <v/>
      </c>
      <c r="T411">
        <f>IFERROR(VLOOKUP(N411,'הגדרות'!$A$11:$D$25,3,FALSE),"")</f>
        <v/>
      </c>
      <c r="AB411" s="11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E412">
        <f>IFERROR(INDEX('הגדרות'!$D$104:$D$123,MATCH(B412&amp;G412&amp;C412,'הגדרות'!$A$104:$A$123&amp;'הגדרות'!$B$104:$B$123&amp;'הגדרות'!$C$104:$C$123,0)),"")</f>
        <v/>
      </c>
      <c r="F412" s="11" t="n"/>
      <c r="Q412">
        <f>IFERROR(VLOOKUP(M412,'הגדרות'!$A$11:$D$25,2,FALSE),"")</f>
        <v/>
      </c>
      <c r="R412">
        <f>IFERROR(VLOOKUP(M412,'הגדרות'!$A$11:$D$25,3,FALSE),"")</f>
        <v/>
      </c>
      <c r="S412">
        <f>IFERROR(VLOOKUP(N412,'הגדרות'!$A$11:$D$25,2,FALSE),"")</f>
        <v/>
      </c>
      <c r="T412">
        <f>IFERROR(VLOOKUP(N412,'הגדרות'!$A$11:$D$25,3,FALSE),"")</f>
        <v/>
      </c>
      <c r="AB412" s="11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E413">
        <f>IFERROR(INDEX('הגדרות'!$D$104:$D$123,MATCH(B413&amp;G413&amp;C413,'הגדרות'!$A$104:$A$123&amp;'הגדרות'!$B$104:$B$123&amp;'הגדרות'!$C$104:$C$123,0)),"")</f>
        <v/>
      </c>
      <c r="F413" s="11" t="n"/>
      <c r="Q413">
        <f>IFERROR(VLOOKUP(M413,'הגדרות'!$A$11:$D$25,2,FALSE),"")</f>
        <v/>
      </c>
      <c r="R413">
        <f>IFERROR(VLOOKUP(M413,'הגדרות'!$A$11:$D$25,3,FALSE),"")</f>
        <v/>
      </c>
      <c r="S413">
        <f>IFERROR(VLOOKUP(N413,'הגדרות'!$A$11:$D$25,2,FALSE),"")</f>
        <v/>
      </c>
      <c r="T413">
        <f>IFERROR(VLOOKUP(N413,'הגדרות'!$A$11:$D$25,3,FALSE),"")</f>
        <v/>
      </c>
      <c r="AB413" s="11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E414">
        <f>IFERROR(INDEX('הגדרות'!$D$104:$D$123,MATCH(B414&amp;G414&amp;C414,'הגדרות'!$A$104:$A$123&amp;'הגדרות'!$B$104:$B$123&amp;'הגדרות'!$C$104:$C$123,0)),"")</f>
        <v/>
      </c>
      <c r="F414" s="11" t="n"/>
      <c r="Q414">
        <f>IFERROR(VLOOKUP(M414,'הגדרות'!$A$11:$D$25,2,FALSE),"")</f>
        <v/>
      </c>
      <c r="R414">
        <f>IFERROR(VLOOKUP(M414,'הגדרות'!$A$11:$D$25,3,FALSE),"")</f>
        <v/>
      </c>
      <c r="S414">
        <f>IFERROR(VLOOKUP(N414,'הגדרות'!$A$11:$D$25,2,FALSE),"")</f>
        <v/>
      </c>
      <c r="T414">
        <f>IFERROR(VLOOKUP(N414,'הגדרות'!$A$11:$D$25,3,FALSE),"")</f>
        <v/>
      </c>
      <c r="AB414" s="11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E415">
        <f>IFERROR(INDEX('הגדרות'!$D$104:$D$123,MATCH(B415&amp;G415&amp;C415,'הגדרות'!$A$104:$A$123&amp;'הגדרות'!$B$104:$B$123&amp;'הגדרות'!$C$104:$C$123,0)),"")</f>
        <v/>
      </c>
      <c r="F415" s="11" t="n"/>
      <c r="Q415">
        <f>IFERROR(VLOOKUP(M415,'הגדרות'!$A$11:$D$25,2,FALSE),"")</f>
        <v/>
      </c>
      <c r="R415">
        <f>IFERROR(VLOOKUP(M415,'הגדרות'!$A$11:$D$25,3,FALSE),"")</f>
        <v/>
      </c>
      <c r="S415">
        <f>IFERROR(VLOOKUP(N415,'הגדרות'!$A$11:$D$25,2,FALSE),"")</f>
        <v/>
      </c>
      <c r="T415">
        <f>IFERROR(VLOOKUP(N415,'הגדרות'!$A$11:$D$25,3,FALSE),"")</f>
        <v/>
      </c>
      <c r="AB415" s="11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E416">
        <f>IFERROR(INDEX('הגדרות'!$D$104:$D$123,MATCH(B416&amp;G416&amp;C416,'הגדרות'!$A$104:$A$123&amp;'הגדרות'!$B$104:$B$123&amp;'הגדרות'!$C$104:$C$123,0)),"")</f>
        <v/>
      </c>
      <c r="F416" s="11" t="n"/>
      <c r="Q416">
        <f>IFERROR(VLOOKUP(M416,'הגדרות'!$A$11:$D$25,2,FALSE),"")</f>
        <v/>
      </c>
      <c r="R416">
        <f>IFERROR(VLOOKUP(M416,'הגדרות'!$A$11:$D$25,3,FALSE),"")</f>
        <v/>
      </c>
      <c r="S416">
        <f>IFERROR(VLOOKUP(N416,'הגדרות'!$A$11:$D$25,2,FALSE),"")</f>
        <v/>
      </c>
      <c r="T416">
        <f>IFERROR(VLOOKUP(N416,'הגדרות'!$A$11:$D$25,3,FALSE),"")</f>
        <v/>
      </c>
      <c r="AB416" s="11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E417">
        <f>IFERROR(INDEX('הגדרות'!$D$104:$D$123,MATCH(B417&amp;G417&amp;C417,'הגדרות'!$A$104:$A$123&amp;'הגדרות'!$B$104:$B$123&amp;'הגדרות'!$C$104:$C$123,0)),"")</f>
        <v/>
      </c>
      <c r="F417" s="11" t="n"/>
      <c r="Q417">
        <f>IFERROR(VLOOKUP(M417,'הגדרות'!$A$11:$D$25,2,FALSE),"")</f>
        <v/>
      </c>
      <c r="R417">
        <f>IFERROR(VLOOKUP(M417,'הגדרות'!$A$11:$D$25,3,FALSE),"")</f>
        <v/>
      </c>
      <c r="S417">
        <f>IFERROR(VLOOKUP(N417,'הגדרות'!$A$11:$D$25,2,FALSE),"")</f>
        <v/>
      </c>
      <c r="T417">
        <f>IFERROR(VLOOKUP(N417,'הגדרות'!$A$11:$D$25,3,FALSE),"")</f>
        <v/>
      </c>
      <c r="AB417" s="11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E418">
        <f>IFERROR(INDEX('הגדרות'!$D$104:$D$123,MATCH(B418&amp;G418&amp;C418,'הגדרות'!$A$104:$A$123&amp;'הגדרות'!$B$104:$B$123&amp;'הגדרות'!$C$104:$C$123,0)),"")</f>
        <v/>
      </c>
      <c r="F418" s="11" t="n"/>
      <c r="Q418">
        <f>IFERROR(VLOOKUP(M418,'הגדרות'!$A$11:$D$25,2,FALSE),"")</f>
        <v/>
      </c>
      <c r="R418">
        <f>IFERROR(VLOOKUP(M418,'הגדרות'!$A$11:$D$25,3,FALSE),"")</f>
        <v/>
      </c>
      <c r="S418">
        <f>IFERROR(VLOOKUP(N418,'הגדרות'!$A$11:$D$25,2,FALSE),"")</f>
        <v/>
      </c>
      <c r="T418">
        <f>IFERROR(VLOOKUP(N418,'הגדרות'!$A$11:$D$25,3,FALSE),"")</f>
        <v/>
      </c>
      <c r="AB418" s="11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E419">
        <f>IFERROR(INDEX('הגדרות'!$D$104:$D$123,MATCH(B419&amp;G419&amp;C419,'הגדרות'!$A$104:$A$123&amp;'הגדרות'!$B$104:$B$123&amp;'הגדרות'!$C$104:$C$123,0)),"")</f>
        <v/>
      </c>
      <c r="F419" s="11" t="n"/>
      <c r="Q419">
        <f>IFERROR(VLOOKUP(M419,'הגדרות'!$A$11:$D$25,2,FALSE),"")</f>
        <v/>
      </c>
      <c r="R419">
        <f>IFERROR(VLOOKUP(M419,'הגדרות'!$A$11:$D$25,3,FALSE),"")</f>
        <v/>
      </c>
      <c r="S419">
        <f>IFERROR(VLOOKUP(N419,'הגדרות'!$A$11:$D$25,2,FALSE),"")</f>
        <v/>
      </c>
      <c r="T419">
        <f>IFERROR(VLOOKUP(N419,'הגדרות'!$A$11:$D$25,3,FALSE),"")</f>
        <v/>
      </c>
      <c r="AB419" s="11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E420">
        <f>IFERROR(INDEX('הגדרות'!$D$104:$D$123,MATCH(B420&amp;G420&amp;C420,'הגדרות'!$A$104:$A$123&amp;'הגדרות'!$B$104:$B$123&amp;'הגדרות'!$C$104:$C$123,0)),"")</f>
        <v/>
      </c>
      <c r="F420" s="11" t="n"/>
      <c r="Q420">
        <f>IFERROR(VLOOKUP(M420,'הגדרות'!$A$11:$D$25,2,FALSE),"")</f>
        <v/>
      </c>
      <c r="R420">
        <f>IFERROR(VLOOKUP(M420,'הגדרות'!$A$11:$D$25,3,FALSE),"")</f>
        <v/>
      </c>
      <c r="S420">
        <f>IFERROR(VLOOKUP(N420,'הגדרות'!$A$11:$D$25,2,FALSE),"")</f>
        <v/>
      </c>
      <c r="T420">
        <f>IFERROR(VLOOKUP(N420,'הגדרות'!$A$11:$D$25,3,FALSE),"")</f>
        <v/>
      </c>
      <c r="AB420" s="11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E421">
        <f>IFERROR(INDEX('הגדרות'!$D$104:$D$123,MATCH(B421&amp;G421&amp;C421,'הגדרות'!$A$104:$A$123&amp;'הגדרות'!$B$104:$B$123&amp;'הגדרות'!$C$104:$C$123,0)),"")</f>
        <v/>
      </c>
      <c r="F421" s="11" t="n"/>
      <c r="Q421">
        <f>IFERROR(VLOOKUP(M421,'הגדרות'!$A$11:$D$25,2,FALSE),"")</f>
        <v/>
      </c>
      <c r="R421">
        <f>IFERROR(VLOOKUP(M421,'הגדרות'!$A$11:$D$25,3,FALSE),"")</f>
        <v/>
      </c>
      <c r="S421">
        <f>IFERROR(VLOOKUP(N421,'הגדרות'!$A$11:$D$25,2,FALSE),"")</f>
        <v/>
      </c>
      <c r="T421">
        <f>IFERROR(VLOOKUP(N421,'הגדרות'!$A$11:$D$25,3,FALSE),"")</f>
        <v/>
      </c>
      <c r="AB421" s="11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E422">
        <f>IFERROR(INDEX('הגדרות'!$D$104:$D$123,MATCH(B422&amp;G422&amp;C422,'הגדרות'!$A$104:$A$123&amp;'הגדרות'!$B$104:$B$123&amp;'הגדרות'!$C$104:$C$123,0)),"")</f>
        <v/>
      </c>
      <c r="F422" s="11" t="n"/>
      <c r="Q422">
        <f>IFERROR(VLOOKUP(M422,'הגדרות'!$A$11:$D$25,2,FALSE),"")</f>
        <v/>
      </c>
      <c r="R422">
        <f>IFERROR(VLOOKUP(M422,'הגדרות'!$A$11:$D$25,3,FALSE),"")</f>
        <v/>
      </c>
      <c r="S422">
        <f>IFERROR(VLOOKUP(N422,'הגדרות'!$A$11:$D$25,2,FALSE),"")</f>
        <v/>
      </c>
      <c r="T422">
        <f>IFERROR(VLOOKUP(N422,'הגדרות'!$A$11:$D$25,3,FALSE),"")</f>
        <v/>
      </c>
      <c r="AB422" s="11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E423">
        <f>IFERROR(INDEX('הגדרות'!$D$104:$D$123,MATCH(B423&amp;G423&amp;C423,'הגדרות'!$A$104:$A$123&amp;'הגדרות'!$B$104:$B$123&amp;'הגדרות'!$C$104:$C$123,0)),"")</f>
        <v/>
      </c>
      <c r="F423" s="11" t="n"/>
      <c r="Q423">
        <f>IFERROR(VLOOKUP(M423,'הגדרות'!$A$11:$D$25,2,FALSE),"")</f>
        <v/>
      </c>
      <c r="R423">
        <f>IFERROR(VLOOKUP(M423,'הגדרות'!$A$11:$D$25,3,FALSE),"")</f>
        <v/>
      </c>
      <c r="S423">
        <f>IFERROR(VLOOKUP(N423,'הגדרות'!$A$11:$D$25,2,FALSE),"")</f>
        <v/>
      </c>
      <c r="T423">
        <f>IFERROR(VLOOKUP(N423,'הגדרות'!$A$11:$D$25,3,FALSE),"")</f>
        <v/>
      </c>
      <c r="AB423" s="11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E424">
        <f>IFERROR(INDEX('הגדרות'!$D$104:$D$123,MATCH(B424&amp;G424&amp;C424,'הגדרות'!$A$104:$A$123&amp;'הגדרות'!$B$104:$B$123&amp;'הגדרות'!$C$104:$C$123,0)),"")</f>
        <v/>
      </c>
      <c r="F424" s="11" t="n"/>
      <c r="Q424">
        <f>IFERROR(VLOOKUP(M424,'הגדרות'!$A$11:$D$25,2,FALSE),"")</f>
        <v/>
      </c>
      <c r="R424">
        <f>IFERROR(VLOOKUP(M424,'הגדרות'!$A$11:$D$25,3,FALSE),"")</f>
        <v/>
      </c>
      <c r="S424">
        <f>IFERROR(VLOOKUP(N424,'הגדרות'!$A$11:$D$25,2,FALSE),"")</f>
        <v/>
      </c>
      <c r="T424">
        <f>IFERROR(VLOOKUP(N424,'הגדרות'!$A$11:$D$25,3,FALSE),"")</f>
        <v/>
      </c>
      <c r="AB424" s="11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E425">
        <f>IFERROR(INDEX('הגדרות'!$D$104:$D$123,MATCH(B425&amp;G425&amp;C425,'הגדרות'!$A$104:$A$123&amp;'הגדרות'!$B$104:$B$123&amp;'הגדרות'!$C$104:$C$123,0)),"")</f>
        <v/>
      </c>
      <c r="F425" s="11" t="n"/>
      <c r="Q425">
        <f>IFERROR(VLOOKUP(M425,'הגדרות'!$A$11:$D$25,2,FALSE),"")</f>
        <v/>
      </c>
      <c r="R425">
        <f>IFERROR(VLOOKUP(M425,'הגדרות'!$A$11:$D$25,3,FALSE),"")</f>
        <v/>
      </c>
      <c r="S425">
        <f>IFERROR(VLOOKUP(N425,'הגדרות'!$A$11:$D$25,2,FALSE),"")</f>
        <v/>
      </c>
      <c r="T425">
        <f>IFERROR(VLOOKUP(N425,'הגדרות'!$A$11:$D$25,3,FALSE),"")</f>
        <v/>
      </c>
      <c r="AB425" s="11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E426">
        <f>IFERROR(INDEX('הגדרות'!$D$104:$D$123,MATCH(B426&amp;G426&amp;C426,'הגדרות'!$A$104:$A$123&amp;'הגדרות'!$B$104:$B$123&amp;'הגדרות'!$C$104:$C$123,0)),"")</f>
        <v/>
      </c>
      <c r="F426" s="11" t="n"/>
      <c r="Q426">
        <f>IFERROR(VLOOKUP(M426,'הגדרות'!$A$11:$D$25,2,FALSE),"")</f>
        <v/>
      </c>
      <c r="R426">
        <f>IFERROR(VLOOKUP(M426,'הגדרות'!$A$11:$D$25,3,FALSE),"")</f>
        <v/>
      </c>
      <c r="S426">
        <f>IFERROR(VLOOKUP(N426,'הגדרות'!$A$11:$D$25,2,FALSE),"")</f>
        <v/>
      </c>
      <c r="T426">
        <f>IFERROR(VLOOKUP(N426,'הגדרות'!$A$11:$D$25,3,FALSE),"")</f>
        <v/>
      </c>
      <c r="AB426" s="11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E427">
        <f>IFERROR(INDEX('הגדרות'!$D$104:$D$123,MATCH(B427&amp;G427&amp;C427,'הגדרות'!$A$104:$A$123&amp;'הגדרות'!$B$104:$B$123&amp;'הגדרות'!$C$104:$C$123,0)),"")</f>
        <v/>
      </c>
      <c r="F427" s="11" t="n"/>
      <c r="Q427">
        <f>IFERROR(VLOOKUP(M427,'הגדרות'!$A$11:$D$25,2,FALSE),"")</f>
        <v/>
      </c>
      <c r="R427">
        <f>IFERROR(VLOOKUP(M427,'הגדרות'!$A$11:$D$25,3,FALSE),"")</f>
        <v/>
      </c>
      <c r="S427">
        <f>IFERROR(VLOOKUP(N427,'הגדרות'!$A$11:$D$25,2,FALSE),"")</f>
        <v/>
      </c>
      <c r="T427">
        <f>IFERROR(VLOOKUP(N427,'הגדרות'!$A$11:$D$25,3,FALSE),"")</f>
        <v/>
      </c>
      <c r="AB427" s="11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E428">
        <f>IFERROR(INDEX('הגדרות'!$D$104:$D$123,MATCH(B428&amp;G428&amp;C428,'הגדרות'!$A$104:$A$123&amp;'הגדרות'!$B$104:$B$123&amp;'הגדרות'!$C$104:$C$123,0)),"")</f>
        <v/>
      </c>
      <c r="F428" s="11" t="n"/>
      <c r="Q428">
        <f>IFERROR(VLOOKUP(M428,'הגדרות'!$A$11:$D$25,2,FALSE),"")</f>
        <v/>
      </c>
      <c r="R428">
        <f>IFERROR(VLOOKUP(M428,'הגדרות'!$A$11:$D$25,3,FALSE),"")</f>
        <v/>
      </c>
      <c r="S428">
        <f>IFERROR(VLOOKUP(N428,'הגדרות'!$A$11:$D$25,2,FALSE),"")</f>
        <v/>
      </c>
      <c r="T428">
        <f>IFERROR(VLOOKUP(N428,'הגדרות'!$A$11:$D$25,3,FALSE),"")</f>
        <v/>
      </c>
      <c r="AB428" s="11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E429">
        <f>IFERROR(INDEX('הגדרות'!$D$104:$D$123,MATCH(B429&amp;G429&amp;C429,'הגדרות'!$A$104:$A$123&amp;'הגדרות'!$B$104:$B$123&amp;'הגדרות'!$C$104:$C$123,0)),"")</f>
        <v/>
      </c>
      <c r="F429" s="11" t="n"/>
      <c r="Q429">
        <f>IFERROR(VLOOKUP(M429,'הגדרות'!$A$11:$D$25,2,FALSE),"")</f>
        <v/>
      </c>
      <c r="R429">
        <f>IFERROR(VLOOKUP(M429,'הגדרות'!$A$11:$D$25,3,FALSE),"")</f>
        <v/>
      </c>
      <c r="S429">
        <f>IFERROR(VLOOKUP(N429,'הגדרות'!$A$11:$D$25,2,FALSE),"")</f>
        <v/>
      </c>
      <c r="T429">
        <f>IFERROR(VLOOKUP(N429,'הגדרות'!$A$11:$D$25,3,FALSE),"")</f>
        <v/>
      </c>
      <c r="AB429" s="11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E430">
        <f>IFERROR(INDEX('הגדרות'!$D$104:$D$123,MATCH(B430&amp;G430&amp;C430,'הגדרות'!$A$104:$A$123&amp;'הגדרות'!$B$104:$B$123&amp;'הגדרות'!$C$104:$C$123,0)),"")</f>
        <v/>
      </c>
      <c r="F430" s="11" t="n"/>
      <c r="Q430">
        <f>IFERROR(VLOOKUP(M430,'הגדרות'!$A$11:$D$25,2,FALSE),"")</f>
        <v/>
      </c>
      <c r="R430">
        <f>IFERROR(VLOOKUP(M430,'הגדרות'!$A$11:$D$25,3,FALSE),"")</f>
        <v/>
      </c>
      <c r="S430">
        <f>IFERROR(VLOOKUP(N430,'הגדרות'!$A$11:$D$25,2,FALSE),"")</f>
        <v/>
      </c>
      <c r="T430">
        <f>IFERROR(VLOOKUP(N430,'הגדרות'!$A$11:$D$25,3,FALSE),"")</f>
        <v/>
      </c>
      <c r="AB430" s="11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E431">
        <f>IFERROR(INDEX('הגדרות'!$D$104:$D$123,MATCH(B431&amp;G431&amp;C431,'הגדרות'!$A$104:$A$123&amp;'הגדרות'!$B$104:$B$123&amp;'הגדרות'!$C$104:$C$123,0)),"")</f>
        <v/>
      </c>
      <c r="F431" s="11" t="n"/>
      <c r="Q431">
        <f>IFERROR(VLOOKUP(M431,'הגדרות'!$A$11:$D$25,2,FALSE),"")</f>
        <v/>
      </c>
      <c r="R431">
        <f>IFERROR(VLOOKUP(M431,'הגדרות'!$A$11:$D$25,3,FALSE),"")</f>
        <v/>
      </c>
      <c r="S431">
        <f>IFERROR(VLOOKUP(N431,'הגדרות'!$A$11:$D$25,2,FALSE),"")</f>
        <v/>
      </c>
      <c r="T431">
        <f>IFERROR(VLOOKUP(N431,'הגדרות'!$A$11:$D$25,3,FALSE),"")</f>
        <v/>
      </c>
      <c r="AB431" s="11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E432">
        <f>IFERROR(INDEX('הגדרות'!$D$104:$D$123,MATCH(B432&amp;G432&amp;C432,'הגדרות'!$A$104:$A$123&amp;'הגדרות'!$B$104:$B$123&amp;'הגדרות'!$C$104:$C$123,0)),"")</f>
        <v/>
      </c>
      <c r="F432" s="11" t="n"/>
      <c r="Q432">
        <f>IFERROR(VLOOKUP(M432,'הגדרות'!$A$11:$D$25,2,FALSE),"")</f>
        <v/>
      </c>
      <c r="R432">
        <f>IFERROR(VLOOKUP(M432,'הגדרות'!$A$11:$D$25,3,FALSE),"")</f>
        <v/>
      </c>
      <c r="S432">
        <f>IFERROR(VLOOKUP(N432,'הגדרות'!$A$11:$D$25,2,FALSE),"")</f>
        <v/>
      </c>
      <c r="T432">
        <f>IFERROR(VLOOKUP(N432,'הגדרות'!$A$11:$D$25,3,FALSE),"")</f>
        <v/>
      </c>
      <c r="AB432" s="11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E433">
        <f>IFERROR(INDEX('הגדרות'!$D$104:$D$123,MATCH(B433&amp;G433&amp;C433,'הגדרות'!$A$104:$A$123&amp;'הגדרות'!$B$104:$B$123&amp;'הגדרות'!$C$104:$C$123,0)),"")</f>
        <v/>
      </c>
      <c r="F433" s="11" t="n"/>
      <c r="Q433">
        <f>IFERROR(VLOOKUP(M433,'הגדרות'!$A$11:$D$25,2,FALSE),"")</f>
        <v/>
      </c>
      <c r="R433">
        <f>IFERROR(VLOOKUP(M433,'הגדרות'!$A$11:$D$25,3,FALSE),"")</f>
        <v/>
      </c>
      <c r="S433">
        <f>IFERROR(VLOOKUP(N433,'הגדרות'!$A$11:$D$25,2,FALSE),"")</f>
        <v/>
      </c>
      <c r="T433">
        <f>IFERROR(VLOOKUP(N433,'הגדרות'!$A$11:$D$25,3,FALSE),"")</f>
        <v/>
      </c>
      <c r="AB433" s="11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E434">
        <f>IFERROR(INDEX('הגדרות'!$D$104:$D$123,MATCH(B434&amp;G434&amp;C434,'הגדרות'!$A$104:$A$123&amp;'הגדרות'!$B$104:$B$123&amp;'הגדרות'!$C$104:$C$123,0)),"")</f>
        <v/>
      </c>
      <c r="F434" s="11" t="n"/>
      <c r="Q434">
        <f>IFERROR(VLOOKUP(M434,'הגדרות'!$A$11:$D$25,2,FALSE),"")</f>
        <v/>
      </c>
      <c r="R434">
        <f>IFERROR(VLOOKUP(M434,'הגדרות'!$A$11:$D$25,3,FALSE),"")</f>
        <v/>
      </c>
      <c r="S434">
        <f>IFERROR(VLOOKUP(N434,'הגדרות'!$A$11:$D$25,2,FALSE),"")</f>
        <v/>
      </c>
      <c r="T434">
        <f>IFERROR(VLOOKUP(N434,'הגדרות'!$A$11:$D$25,3,FALSE),"")</f>
        <v/>
      </c>
      <c r="AB434" s="11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E435">
        <f>IFERROR(INDEX('הגדרות'!$D$104:$D$123,MATCH(B435&amp;G435&amp;C435,'הגדרות'!$A$104:$A$123&amp;'הגדרות'!$B$104:$B$123&amp;'הגדרות'!$C$104:$C$123,0)),"")</f>
        <v/>
      </c>
      <c r="F435" s="11" t="n"/>
      <c r="Q435">
        <f>IFERROR(VLOOKUP(M435,'הגדרות'!$A$11:$D$25,2,FALSE),"")</f>
        <v/>
      </c>
      <c r="R435">
        <f>IFERROR(VLOOKUP(M435,'הגדרות'!$A$11:$D$25,3,FALSE),"")</f>
        <v/>
      </c>
      <c r="S435">
        <f>IFERROR(VLOOKUP(N435,'הגדרות'!$A$11:$D$25,2,FALSE),"")</f>
        <v/>
      </c>
      <c r="T435">
        <f>IFERROR(VLOOKUP(N435,'הגדרות'!$A$11:$D$25,3,FALSE),"")</f>
        <v/>
      </c>
      <c r="AB435" s="11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E436">
        <f>IFERROR(INDEX('הגדרות'!$D$104:$D$123,MATCH(B436&amp;G436&amp;C436,'הגדרות'!$A$104:$A$123&amp;'הגדרות'!$B$104:$B$123&amp;'הגדרות'!$C$104:$C$123,0)),"")</f>
        <v/>
      </c>
      <c r="F436" s="11" t="n"/>
      <c r="Q436">
        <f>IFERROR(VLOOKUP(M436,'הגדרות'!$A$11:$D$25,2,FALSE),"")</f>
        <v/>
      </c>
      <c r="R436">
        <f>IFERROR(VLOOKUP(M436,'הגדרות'!$A$11:$D$25,3,FALSE),"")</f>
        <v/>
      </c>
      <c r="S436">
        <f>IFERROR(VLOOKUP(N436,'הגדרות'!$A$11:$D$25,2,FALSE),"")</f>
        <v/>
      </c>
      <c r="T436">
        <f>IFERROR(VLOOKUP(N436,'הגדרות'!$A$11:$D$25,3,FALSE),"")</f>
        <v/>
      </c>
      <c r="AB436" s="11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E437">
        <f>IFERROR(INDEX('הגדרות'!$D$104:$D$123,MATCH(B437&amp;G437&amp;C437,'הגדרות'!$A$104:$A$123&amp;'הגדרות'!$B$104:$B$123&amp;'הגדרות'!$C$104:$C$123,0)),"")</f>
        <v/>
      </c>
      <c r="F437" s="11" t="n"/>
      <c r="Q437">
        <f>IFERROR(VLOOKUP(M437,'הגדרות'!$A$11:$D$25,2,FALSE),"")</f>
        <v/>
      </c>
      <c r="R437">
        <f>IFERROR(VLOOKUP(M437,'הגדרות'!$A$11:$D$25,3,FALSE),"")</f>
        <v/>
      </c>
      <c r="S437">
        <f>IFERROR(VLOOKUP(N437,'הגדרות'!$A$11:$D$25,2,FALSE),"")</f>
        <v/>
      </c>
      <c r="T437">
        <f>IFERROR(VLOOKUP(N437,'הגדרות'!$A$11:$D$25,3,FALSE),"")</f>
        <v/>
      </c>
      <c r="AB437" s="11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E438">
        <f>IFERROR(INDEX('הגדרות'!$D$104:$D$123,MATCH(B438&amp;G438&amp;C438,'הגדרות'!$A$104:$A$123&amp;'הגדרות'!$B$104:$B$123&amp;'הגדרות'!$C$104:$C$123,0)),"")</f>
        <v/>
      </c>
      <c r="F438" s="11" t="n"/>
      <c r="Q438">
        <f>IFERROR(VLOOKUP(M438,'הגדרות'!$A$11:$D$25,2,FALSE),"")</f>
        <v/>
      </c>
      <c r="R438">
        <f>IFERROR(VLOOKUP(M438,'הגדרות'!$A$11:$D$25,3,FALSE),"")</f>
        <v/>
      </c>
      <c r="S438">
        <f>IFERROR(VLOOKUP(N438,'הגדרות'!$A$11:$D$25,2,FALSE),"")</f>
        <v/>
      </c>
      <c r="T438">
        <f>IFERROR(VLOOKUP(N438,'הגדרות'!$A$11:$D$25,3,FALSE),"")</f>
        <v/>
      </c>
      <c r="AB438" s="11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E439">
        <f>IFERROR(INDEX('הגדרות'!$D$104:$D$123,MATCH(B439&amp;G439&amp;C439,'הגדרות'!$A$104:$A$123&amp;'הגדרות'!$B$104:$B$123&amp;'הגדרות'!$C$104:$C$123,0)),"")</f>
        <v/>
      </c>
      <c r="F439" s="11" t="n"/>
      <c r="Q439">
        <f>IFERROR(VLOOKUP(M439,'הגדרות'!$A$11:$D$25,2,FALSE),"")</f>
        <v/>
      </c>
      <c r="R439">
        <f>IFERROR(VLOOKUP(M439,'הגדרות'!$A$11:$D$25,3,FALSE),"")</f>
        <v/>
      </c>
      <c r="S439">
        <f>IFERROR(VLOOKUP(N439,'הגדרות'!$A$11:$D$25,2,FALSE),"")</f>
        <v/>
      </c>
      <c r="T439">
        <f>IFERROR(VLOOKUP(N439,'הגדרות'!$A$11:$D$25,3,FALSE),"")</f>
        <v/>
      </c>
      <c r="AB439" s="11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E440">
        <f>IFERROR(INDEX('הגדרות'!$D$104:$D$123,MATCH(B440&amp;G440&amp;C440,'הגדרות'!$A$104:$A$123&amp;'הגדרות'!$B$104:$B$123&amp;'הגדרות'!$C$104:$C$123,0)),"")</f>
        <v/>
      </c>
      <c r="F440" s="11" t="n"/>
      <c r="Q440">
        <f>IFERROR(VLOOKUP(M440,'הגדרות'!$A$11:$D$25,2,FALSE),"")</f>
        <v/>
      </c>
      <c r="R440">
        <f>IFERROR(VLOOKUP(M440,'הגדרות'!$A$11:$D$25,3,FALSE),"")</f>
        <v/>
      </c>
      <c r="S440">
        <f>IFERROR(VLOOKUP(N440,'הגדרות'!$A$11:$D$25,2,FALSE),"")</f>
        <v/>
      </c>
      <c r="T440">
        <f>IFERROR(VLOOKUP(N440,'הגדרות'!$A$11:$D$25,3,FALSE),"")</f>
        <v/>
      </c>
      <c r="AB440" s="11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E441">
        <f>IFERROR(INDEX('הגדרות'!$D$104:$D$123,MATCH(B441&amp;G441&amp;C441,'הגדרות'!$A$104:$A$123&amp;'הגדרות'!$B$104:$B$123&amp;'הגדרות'!$C$104:$C$123,0)),"")</f>
        <v/>
      </c>
      <c r="F441" s="11" t="n"/>
      <c r="Q441">
        <f>IFERROR(VLOOKUP(M441,'הגדרות'!$A$11:$D$25,2,FALSE),"")</f>
        <v/>
      </c>
      <c r="R441">
        <f>IFERROR(VLOOKUP(M441,'הגדרות'!$A$11:$D$25,3,FALSE),"")</f>
        <v/>
      </c>
      <c r="S441">
        <f>IFERROR(VLOOKUP(N441,'הגדרות'!$A$11:$D$25,2,FALSE),"")</f>
        <v/>
      </c>
      <c r="T441">
        <f>IFERROR(VLOOKUP(N441,'הגדרות'!$A$11:$D$25,3,FALSE),"")</f>
        <v/>
      </c>
      <c r="AB441" s="11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E442">
        <f>IFERROR(INDEX('הגדרות'!$D$104:$D$123,MATCH(B442&amp;G442&amp;C442,'הגדרות'!$A$104:$A$123&amp;'הגדרות'!$B$104:$B$123&amp;'הגדרות'!$C$104:$C$123,0)),"")</f>
        <v/>
      </c>
      <c r="F442" s="11" t="n"/>
      <c r="Q442">
        <f>IFERROR(VLOOKUP(M442,'הגדרות'!$A$11:$D$25,2,FALSE),"")</f>
        <v/>
      </c>
      <c r="R442">
        <f>IFERROR(VLOOKUP(M442,'הגדרות'!$A$11:$D$25,3,FALSE),"")</f>
        <v/>
      </c>
      <c r="S442">
        <f>IFERROR(VLOOKUP(N442,'הגדרות'!$A$11:$D$25,2,FALSE),"")</f>
        <v/>
      </c>
      <c r="T442">
        <f>IFERROR(VLOOKUP(N442,'הגדרות'!$A$11:$D$25,3,FALSE),"")</f>
        <v/>
      </c>
      <c r="AB442" s="11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E443">
        <f>IFERROR(INDEX('הגדרות'!$D$104:$D$123,MATCH(B443&amp;G443&amp;C443,'הגדרות'!$A$104:$A$123&amp;'הגדרות'!$B$104:$B$123&amp;'הגדרות'!$C$104:$C$123,0)),"")</f>
        <v/>
      </c>
      <c r="F443" s="11" t="n"/>
      <c r="Q443">
        <f>IFERROR(VLOOKUP(M443,'הגדרות'!$A$11:$D$25,2,FALSE),"")</f>
        <v/>
      </c>
      <c r="R443">
        <f>IFERROR(VLOOKUP(M443,'הגדרות'!$A$11:$D$25,3,FALSE),"")</f>
        <v/>
      </c>
      <c r="S443">
        <f>IFERROR(VLOOKUP(N443,'הגדרות'!$A$11:$D$25,2,FALSE),"")</f>
        <v/>
      </c>
      <c r="T443">
        <f>IFERROR(VLOOKUP(N443,'הגדרות'!$A$11:$D$25,3,FALSE),"")</f>
        <v/>
      </c>
      <c r="AB443" s="11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E444">
        <f>IFERROR(INDEX('הגדרות'!$D$104:$D$123,MATCH(B444&amp;G444&amp;C444,'הגדרות'!$A$104:$A$123&amp;'הגדרות'!$B$104:$B$123&amp;'הגדרות'!$C$104:$C$123,0)),"")</f>
        <v/>
      </c>
      <c r="F444" s="11" t="n"/>
      <c r="Q444">
        <f>IFERROR(VLOOKUP(M444,'הגדרות'!$A$11:$D$25,2,FALSE),"")</f>
        <v/>
      </c>
      <c r="R444">
        <f>IFERROR(VLOOKUP(M444,'הגדרות'!$A$11:$D$25,3,FALSE),"")</f>
        <v/>
      </c>
      <c r="S444">
        <f>IFERROR(VLOOKUP(N444,'הגדרות'!$A$11:$D$25,2,FALSE),"")</f>
        <v/>
      </c>
      <c r="T444">
        <f>IFERROR(VLOOKUP(N444,'הגדרות'!$A$11:$D$25,3,FALSE),"")</f>
        <v/>
      </c>
      <c r="AB444" s="11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E445">
        <f>IFERROR(INDEX('הגדרות'!$D$104:$D$123,MATCH(B445&amp;G445&amp;C445,'הגדרות'!$A$104:$A$123&amp;'הגדרות'!$B$104:$B$123&amp;'הגדרות'!$C$104:$C$123,0)),"")</f>
        <v/>
      </c>
      <c r="F445" s="11" t="n"/>
      <c r="Q445">
        <f>IFERROR(VLOOKUP(M445,'הגדרות'!$A$11:$D$25,2,FALSE),"")</f>
        <v/>
      </c>
      <c r="R445">
        <f>IFERROR(VLOOKUP(M445,'הגדרות'!$A$11:$D$25,3,FALSE),"")</f>
        <v/>
      </c>
      <c r="S445">
        <f>IFERROR(VLOOKUP(N445,'הגדרות'!$A$11:$D$25,2,FALSE),"")</f>
        <v/>
      </c>
      <c r="T445">
        <f>IFERROR(VLOOKUP(N445,'הגדרות'!$A$11:$D$25,3,FALSE),"")</f>
        <v/>
      </c>
      <c r="AB445" s="11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E446">
        <f>IFERROR(INDEX('הגדרות'!$D$104:$D$123,MATCH(B446&amp;G446&amp;C446,'הגדרות'!$A$104:$A$123&amp;'הגדרות'!$B$104:$B$123&amp;'הגדרות'!$C$104:$C$123,0)),"")</f>
        <v/>
      </c>
      <c r="F446" s="11" t="n"/>
      <c r="Q446">
        <f>IFERROR(VLOOKUP(M446,'הגדרות'!$A$11:$D$25,2,FALSE),"")</f>
        <v/>
      </c>
      <c r="R446">
        <f>IFERROR(VLOOKUP(M446,'הגדרות'!$A$11:$D$25,3,FALSE),"")</f>
        <v/>
      </c>
      <c r="S446">
        <f>IFERROR(VLOOKUP(N446,'הגדרות'!$A$11:$D$25,2,FALSE),"")</f>
        <v/>
      </c>
      <c r="T446">
        <f>IFERROR(VLOOKUP(N446,'הגדרות'!$A$11:$D$25,3,FALSE),"")</f>
        <v/>
      </c>
      <c r="AB446" s="11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E447">
        <f>IFERROR(INDEX('הגדרות'!$D$104:$D$123,MATCH(B447&amp;G447&amp;C447,'הגדרות'!$A$104:$A$123&amp;'הגדרות'!$B$104:$B$123&amp;'הגדרות'!$C$104:$C$123,0)),"")</f>
        <v/>
      </c>
      <c r="F447" s="11" t="n"/>
      <c r="Q447">
        <f>IFERROR(VLOOKUP(M447,'הגדרות'!$A$11:$D$25,2,FALSE),"")</f>
        <v/>
      </c>
      <c r="R447">
        <f>IFERROR(VLOOKUP(M447,'הגדרות'!$A$11:$D$25,3,FALSE),"")</f>
        <v/>
      </c>
      <c r="S447">
        <f>IFERROR(VLOOKUP(N447,'הגדרות'!$A$11:$D$25,2,FALSE),"")</f>
        <v/>
      </c>
      <c r="T447">
        <f>IFERROR(VLOOKUP(N447,'הגדרות'!$A$11:$D$25,3,FALSE),"")</f>
        <v/>
      </c>
      <c r="AB447" s="11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E448">
        <f>IFERROR(INDEX('הגדרות'!$D$104:$D$123,MATCH(B448&amp;G448&amp;C448,'הגדרות'!$A$104:$A$123&amp;'הגדרות'!$B$104:$B$123&amp;'הגדרות'!$C$104:$C$123,0)),"")</f>
        <v/>
      </c>
      <c r="F448" s="11" t="n"/>
      <c r="Q448">
        <f>IFERROR(VLOOKUP(M448,'הגדרות'!$A$11:$D$25,2,FALSE),"")</f>
        <v/>
      </c>
      <c r="R448">
        <f>IFERROR(VLOOKUP(M448,'הגדרות'!$A$11:$D$25,3,FALSE),"")</f>
        <v/>
      </c>
      <c r="S448">
        <f>IFERROR(VLOOKUP(N448,'הגדרות'!$A$11:$D$25,2,FALSE),"")</f>
        <v/>
      </c>
      <c r="T448">
        <f>IFERROR(VLOOKUP(N448,'הגדרות'!$A$11:$D$25,3,FALSE),"")</f>
        <v/>
      </c>
      <c r="AB448" s="11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E449">
        <f>IFERROR(INDEX('הגדרות'!$D$104:$D$123,MATCH(B449&amp;G449&amp;C449,'הגדרות'!$A$104:$A$123&amp;'הגדרות'!$B$104:$B$123&amp;'הגדרות'!$C$104:$C$123,0)),"")</f>
        <v/>
      </c>
      <c r="F449" s="11" t="n"/>
      <c r="Q449">
        <f>IFERROR(VLOOKUP(M449,'הגדרות'!$A$11:$D$25,2,FALSE),"")</f>
        <v/>
      </c>
      <c r="R449">
        <f>IFERROR(VLOOKUP(M449,'הגדרות'!$A$11:$D$25,3,FALSE),"")</f>
        <v/>
      </c>
      <c r="S449">
        <f>IFERROR(VLOOKUP(N449,'הגדרות'!$A$11:$D$25,2,FALSE),"")</f>
        <v/>
      </c>
      <c r="T449">
        <f>IFERROR(VLOOKUP(N449,'הגדרות'!$A$11:$D$25,3,FALSE),"")</f>
        <v/>
      </c>
      <c r="AB449" s="11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E450">
        <f>IFERROR(INDEX('הגדרות'!$D$104:$D$123,MATCH(B450&amp;G450&amp;C450,'הגדרות'!$A$104:$A$123&amp;'הגדרות'!$B$104:$B$123&amp;'הגדרות'!$C$104:$C$123,0)),"")</f>
        <v/>
      </c>
      <c r="F450" s="11" t="n"/>
      <c r="Q450">
        <f>IFERROR(VLOOKUP(M450,'הגדרות'!$A$11:$D$25,2,FALSE),"")</f>
        <v/>
      </c>
      <c r="R450">
        <f>IFERROR(VLOOKUP(M450,'הגדרות'!$A$11:$D$25,3,FALSE),"")</f>
        <v/>
      </c>
      <c r="S450">
        <f>IFERROR(VLOOKUP(N450,'הגדרות'!$A$11:$D$25,2,FALSE),"")</f>
        <v/>
      </c>
      <c r="T450">
        <f>IFERROR(VLOOKUP(N450,'הגדרות'!$A$11:$D$25,3,FALSE),"")</f>
        <v/>
      </c>
      <c r="AB450" s="11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E451">
        <f>IFERROR(INDEX('הגדרות'!$D$104:$D$123,MATCH(B451&amp;G451&amp;C451,'הגדרות'!$A$104:$A$123&amp;'הגדרות'!$B$104:$B$123&amp;'הגדרות'!$C$104:$C$123,0)),"")</f>
        <v/>
      </c>
      <c r="F451" s="11" t="n"/>
      <c r="Q451">
        <f>IFERROR(VLOOKUP(M451,'הגדרות'!$A$11:$D$25,2,FALSE),"")</f>
        <v/>
      </c>
      <c r="R451">
        <f>IFERROR(VLOOKUP(M451,'הגדרות'!$A$11:$D$25,3,FALSE),"")</f>
        <v/>
      </c>
      <c r="S451">
        <f>IFERROR(VLOOKUP(N451,'הגדרות'!$A$11:$D$25,2,FALSE),"")</f>
        <v/>
      </c>
      <c r="T451">
        <f>IFERROR(VLOOKUP(N451,'הגדרות'!$A$11:$D$25,3,FALSE),"")</f>
        <v/>
      </c>
      <c r="AB451" s="11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E452">
        <f>IFERROR(INDEX('הגדרות'!$D$104:$D$123,MATCH(B452&amp;G452&amp;C452,'הגדרות'!$A$104:$A$123&amp;'הגדרות'!$B$104:$B$123&amp;'הגדרות'!$C$104:$C$123,0)),"")</f>
        <v/>
      </c>
      <c r="F452" s="11" t="n"/>
      <c r="Q452">
        <f>IFERROR(VLOOKUP(M452,'הגדרות'!$A$11:$D$25,2,FALSE),"")</f>
        <v/>
      </c>
      <c r="R452">
        <f>IFERROR(VLOOKUP(M452,'הגדרות'!$A$11:$D$25,3,FALSE),"")</f>
        <v/>
      </c>
      <c r="S452">
        <f>IFERROR(VLOOKUP(N452,'הגדרות'!$A$11:$D$25,2,FALSE),"")</f>
        <v/>
      </c>
      <c r="T452">
        <f>IFERROR(VLOOKUP(N452,'הגדרות'!$A$11:$D$25,3,FALSE),"")</f>
        <v/>
      </c>
      <c r="AB452" s="11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E453">
        <f>IFERROR(INDEX('הגדרות'!$D$104:$D$123,MATCH(B453&amp;G453&amp;C453,'הגדרות'!$A$104:$A$123&amp;'הגדרות'!$B$104:$B$123&amp;'הגדרות'!$C$104:$C$123,0)),"")</f>
        <v/>
      </c>
      <c r="F453" s="11" t="n"/>
      <c r="Q453">
        <f>IFERROR(VLOOKUP(M453,'הגדרות'!$A$11:$D$25,2,FALSE),"")</f>
        <v/>
      </c>
      <c r="R453">
        <f>IFERROR(VLOOKUP(M453,'הגדרות'!$A$11:$D$25,3,FALSE),"")</f>
        <v/>
      </c>
      <c r="S453">
        <f>IFERROR(VLOOKUP(N453,'הגדרות'!$A$11:$D$25,2,FALSE),"")</f>
        <v/>
      </c>
      <c r="T453">
        <f>IFERROR(VLOOKUP(N453,'הגדרות'!$A$11:$D$25,3,FALSE),"")</f>
        <v/>
      </c>
      <c r="AB453" s="11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E454">
        <f>IFERROR(INDEX('הגדרות'!$D$104:$D$123,MATCH(B454&amp;G454&amp;C454,'הגדרות'!$A$104:$A$123&amp;'הגדרות'!$B$104:$B$123&amp;'הגדרות'!$C$104:$C$123,0)),"")</f>
        <v/>
      </c>
      <c r="F454" s="11" t="n"/>
      <c r="Q454">
        <f>IFERROR(VLOOKUP(M454,'הגדרות'!$A$11:$D$25,2,FALSE),"")</f>
        <v/>
      </c>
      <c r="R454">
        <f>IFERROR(VLOOKUP(M454,'הגדרות'!$A$11:$D$25,3,FALSE),"")</f>
        <v/>
      </c>
      <c r="S454">
        <f>IFERROR(VLOOKUP(N454,'הגדרות'!$A$11:$D$25,2,FALSE),"")</f>
        <v/>
      </c>
      <c r="T454">
        <f>IFERROR(VLOOKUP(N454,'הגדרות'!$A$11:$D$25,3,FALSE),"")</f>
        <v/>
      </c>
      <c r="AB454" s="11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E455">
        <f>IFERROR(INDEX('הגדרות'!$D$104:$D$123,MATCH(B455&amp;G455&amp;C455,'הגדרות'!$A$104:$A$123&amp;'הגדרות'!$B$104:$B$123&amp;'הגדרות'!$C$104:$C$123,0)),"")</f>
        <v/>
      </c>
      <c r="F455" s="11" t="n"/>
      <c r="Q455">
        <f>IFERROR(VLOOKUP(M455,'הגדרות'!$A$11:$D$25,2,FALSE),"")</f>
        <v/>
      </c>
      <c r="R455">
        <f>IFERROR(VLOOKUP(M455,'הגדרות'!$A$11:$D$25,3,FALSE),"")</f>
        <v/>
      </c>
      <c r="S455">
        <f>IFERROR(VLOOKUP(N455,'הגדרות'!$A$11:$D$25,2,FALSE),"")</f>
        <v/>
      </c>
      <c r="T455">
        <f>IFERROR(VLOOKUP(N455,'הגדרות'!$A$11:$D$25,3,FALSE),"")</f>
        <v/>
      </c>
      <c r="AB455" s="11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E456">
        <f>IFERROR(INDEX('הגדרות'!$D$104:$D$123,MATCH(B456&amp;G456&amp;C456,'הגדרות'!$A$104:$A$123&amp;'הגדרות'!$B$104:$B$123&amp;'הגדרות'!$C$104:$C$123,0)),"")</f>
        <v/>
      </c>
      <c r="F456" s="11" t="n"/>
      <c r="Q456">
        <f>IFERROR(VLOOKUP(M456,'הגדרות'!$A$11:$D$25,2,FALSE),"")</f>
        <v/>
      </c>
      <c r="R456">
        <f>IFERROR(VLOOKUP(M456,'הגדרות'!$A$11:$D$25,3,FALSE),"")</f>
        <v/>
      </c>
      <c r="S456">
        <f>IFERROR(VLOOKUP(N456,'הגדרות'!$A$11:$D$25,2,FALSE),"")</f>
        <v/>
      </c>
      <c r="T456">
        <f>IFERROR(VLOOKUP(N456,'הגדרות'!$A$11:$D$25,3,FALSE),"")</f>
        <v/>
      </c>
      <c r="AB456" s="11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E457">
        <f>IFERROR(INDEX('הגדרות'!$D$104:$D$123,MATCH(B457&amp;G457&amp;C457,'הגדרות'!$A$104:$A$123&amp;'הגדרות'!$B$104:$B$123&amp;'הגדרות'!$C$104:$C$123,0)),"")</f>
        <v/>
      </c>
      <c r="F457" s="11" t="n"/>
      <c r="Q457">
        <f>IFERROR(VLOOKUP(M457,'הגדרות'!$A$11:$D$25,2,FALSE),"")</f>
        <v/>
      </c>
      <c r="R457">
        <f>IFERROR(VLOOKUP(M457,'הגדרות'!$A$11:$D$25,3,FALSE),"")</f>
        <v/>
      </c>
      <c r="S457">
        <f>IFERROR(VLOOKUP(N457,'הגדרות'!$A$11:$D$25,2,FALSE),"")</f>
        <v/>
      </c>
      <c r="T457">
        <f>IFERROR(VLOOKUP(N457,'הגדרות'!$A$11:$D$25,3,FALSE),"")</f>
        <v/>
      </c>
      <c r="AB457" s="11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E458">
        <f>IFERROR(INDEX('הגדרות'!$D$104:$D$123,MATCH(B458&amp;G458&amp;C458,'הגדרות'!$A$104:$A$123&amp;'הגדרות'!$B$104:$B$123&amp;'הגדרות'!$C$104:$C$123,0)),"")</f>
        <v/>
      </c>
      <c r="F458" s="11" t="n"/>
      <c r="Q458">
        <f>IFERROR(VLOOKUP(M458,'הגדרות'!$A$11:$D$25,2,FALSE),"")</f>
        <v/>
      </c>
      <c r="R458">
        <f>IFERROR(VLOOKUP(M458,'הגדרות'!$A$11:$D$25,3,FALSE),"")</f>
        <v/>
      </c>
      <c r="S458">
        <f>IFERROR(VLOOKUP(N458,'הגדרות'!$A$11:$D$25,2,FALSE),"")</f>
        <v/>
      </c>
      <c r="T458">
        <f>IFERROR(VLOOKUP(N458,'הגדרות'!$A$11:$D$25,3,FALSE),"")</f>
        <v/>
      </c>
      <c r="AB458" s="11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E459">
        <f>IFERROR(INDEX('הגדרות'!$D$104:$D$123,MATCH(B459&amp;G459&amp;C459,'הגדרות'!$A$104:$A$123&amp;'הגדרות'!$B$104:$B$123&amp;'הגדרות'!$C$104:$C$123,0)),"")</f>
        <v/>
      </c>
      <c r="F459" s="11" t="n"/>
      <c r="Q459">
        <f>IFERROR(VLOOKUP(M459,'הגדרות'!$A$11:$D$25,2,FALSE),"")</f>
        <v/>
      </c>
      <c r="R459">
        <f>IFERROR(VLOOKUP(M459,'הגדרות'!$A$11:$D$25,3,FALSE),"")</f>
        <v/>
      </c>
      <c r="S459">
        <f>IFERROR(VLOOKUP(N459,'הגדרות'!$A$11:$D$25,2,FALSE),"")</f>
        <v/>
      </c>
      <c r="T459">
        <f>IFERROR(VLOOKUP(N459,'הגדרות'!$A$11:$D$25,3,FALSE),"")</f>
        <v/>
      </c>
      <c r="AB459" s="11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E460">
        <f>IFERROR(INDEX('הגדרות'!$D$104:$D$123,MATCH(B460&amp;G460&amp;C460,'הגדרות'!$A$104:$A$123&amp;'הגדרות'!$B$104:$B$123&amp;'הגדרות'!$C$104:$C$123,0)),"")</f>
        <v/>
      </c>
      <c r="F460" s="11" t="n"/>
      <c r="Q460">
        <f>IFERROR(VLOOKUP(M460,'הגדרות'!$A$11:$D$25,2,FALSE),"")</f>
        <v/>
      </c>
      <c r="R460">
        <f>IFERROR(VLOOKUP(M460,'הגדרות'!$A$11:$D$25,3,FALSE),"")</f>
        <v/>
      </c>
      <c r="S460">
        <f>IFERROR(VLOOKUP(N460,'הגדרות'!$A$11:$D$25,2,FALSE),"")</f>
        <v/>
      </c>
      <c r="T460">
        <f>IFERROR(VLOOKUP(N460,'הגדרות'!$A$11:$D$25,3,FALSE),"")</f>
        <v/>
      </c>
      <c r="AB460" s="11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E461">
        <f>IFERROR(INDEX('הגדרות'!$D$104:$D$123,MATCH(B461&amp;G461&amp;C461,'הגדרות'!$A$104:$A$123&amp;'הגדרות'!$B$104:$B$123&amp;'הגדרות'!$C$104:$C$123,0)),"")</f>
        <v/>
      </c>
      <c r="F461" s="11" t="n"/>
      <c r="Q461">
        <f>IFERROR(VLOOKUP(M461,'הגדרות'!$A$11:$D$25,2,FALSE),"")</f>
        <v/>
      </c>
      <c r="R461">
        <f>IFERROR(VLOOKUP(M461,'הגדרות'!$A$11:$D$25,3,FALSE),"")</f>
        <v/>
      </c>
      <c r="S461">
        <f>IFERROR(VLOOKUP(N461,'הגדרות'!$A$11:$D$25,2,FALSE),"")</f>
        <v/>
      </c>
      <c r="T461">
        <f>IFERROR(VLOOKUP(N461,'הגדרות'!$A$11:$D$25,3,FALSE),"")</f>
        <v/>
      </c>
      <c r="AB461" s="11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E462">
        <f>IFERROR(INDEX('הגדרות'!$D$104:$D$123,MATCH(B462&amp;G462&amp;C462,'הגדרות'!$A$104:$A$123&amp;'הגדרות'!$B$104:$B$123&amp;'הגדרות'!$C$104:$C$123,0)),"")</f>
        <v/>
      </c>
      <c r="F462" s="11" t="n"/>
      <c r="Q462">
        <f>IFERROR(VLOOKUP(M462,'הגדרות'!$A$11:$D$25,2,FALSE),"")</f>
        <v/>
      </c>
      <c r="R462">
        <f>IFERROR(VLOOKUP(M462,'הגדרות'!$A$11:$D$25,3,FALSE),"")</f>
        <v/>
      </c>
      <c r="S462">
        <f>IFERROR(VLOOKUP(N462,'הגדרות'!$A$11:$D$25,2,FALSE),"")</f>
        <v/>
      </c>
      <c r="T462">
        <f>IFERROR(VLOOKUP(N462,'הגדרות'!$A$11:$D$25,3,FALSE),"")</f>
        <v/>
      </c>
      <c r="AB462" s="11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E463">
        <f>IFERROR(INDEX('הגדרות'!$D$104:$D$123,MATCH(B463&amp;G463&amp;C463,'הגדרות'!$A$104:$A$123&amp;'הגדרות'!$B$104:$B$123&amp;'הגדרות'!$C$104:$C$123,0)),"")</f>
        <v/>
      </c>
      <c r="F463" s="11" t="n"/>
      <c r="Q463">
        <f>IFERROR(VLOOKUP(M463,'הגדרות'!$A$11:$D$25,2,FALSE),"")</f>
        <v/>
      </c>
      <c r="R463">
        <f>IFERROR(VLOOKUP(M463,'הגדרות'!$A$11:$D$25,3,FALSE),"")</f>
        <v/>
      </c>
      <c r="S463">
        <f>IFERROR(VLOOKUP(N463,'הגדרות'!$A$11:$D$25,2,FALSE),"")</f>
        <v/>
      </c>
      <c r="T463">
        <f>IFERROR(VLOOKUP(N463,'הגדרות'!$A$11:$D$25,3,FALSE),"")</f>
        <v/>
      </c>
      <c r="AB463" s="11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E464">
        <f>IFERROR(INDEX('הגדרות'!$D$104:$D$123,MATCH(B464&amp;G464&amp;C464,'הגדרות'!$A$104:$A$123&amp;'הגדרות'!$B$104:$B$123&amp;'הגדרות'!$C$104:$C$123,0)),"")</f>
        <v/>
      </c>
      <c r="F464" s="11" t="n"/>
      <c r="Q464">
        <f>IFERROR(VLOOKUP(M464,'הגדרות'!$A$11:$D$25,2,FALSE),"")</f>
        <v/>
      </c>
      <c r="R464">
        <f>IFERROR(VLOOKUP(M464,'הגדרות'!$A$11:$D$25,3,FALSE),"")</f>
        <v/>
      </c>
      <c r="S464">
        <f>IFERROR(VLOOKUP(N464,'הגדרות'!$A$11:$D$25,2,FALSE),"")</f>
        <v/>
      </c>
      <c r="T464">
        <f>IFERROR(VLOOKUP(N464,'הגדרות'!$A$11:$D$25,3,FALSE),"")</f>
        <v/>
      </c>
      <c r="AB464" s="11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E465">
        <f>IFERROR(INDEX('הגדרות'!$D$104:$D$123,MATCH(B465&amp;G465&amp;C465,'הגדרות'!$A$104:$A$123&amp;'הגדרות'!$B$104:$B$123&amp;'הגדרות'!$C$104:$C$123,0)),"")</f>
        <v/>
      </c>
      <c r="F465" s="11" t="n"/>
      <c r="Q465">
        <f>IFERROR(VLOOKUP(M465,'הגדרות'!$A$11:$D$25,2,FALSE),"")</f>
        <v/>
      </c>
      <c r="R465">
        <f>IFERROR(VLOOKUP(M465,'הגדרות'!$A$11:$D$25,3,FALSE),"")</f>
        <v/>
      </c>
      <c r="S465">
        <f>IFERROR(VLOOKUP(N465,'הגדרות'!$A$11:$D$25,2,FALSE),"")</f>
        <v/>
      </c>
      <c r="T465">
        <f>IFERROR(VLOOKUP(N465,'הגדרות'!$A$11:$D$25,3,FALSE),"")</f>
        <v/>
      </c>
      <c r="AB465" s="11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E466">
        <f>IFERROR(INDEX('הגדרות'!$D$104:$D$123,MATCH(B466&amp;G466&amp;C466,'הגדרות'!$A$104:$A$123&amp;'הגדרות'!$B$104:$B$123&amp;'הגדרות'!$C$104:$C$123,0)),"")</f>
        <v/>
      </c>
      <c r="F466" s="11" t="n"/>
      <c r="Q466">
        <f>IFERROR(VLOOKUP(M466,'הגדרות'!$A$11:$D$25,2,FALSE),"")</f>
        <v/>
      </c>
      <c r="R466">
        <f>IFERROR(VLOOKUP(M466,'הגדרות'!$A$11:$D$25,3,FALSE),"")</f>
        <v/>
      </c>
      <c r="S466">
        <f>IFERROR(VLOOKUP(N466,'הגדרות'!$A$11:$D$25,2,FALSE),"")</f>
        <v/>
      </c>
      <c r="T466">
        <f>IFERROR(VLOOKUP(N466,'הגדרות'!$A$11:$D$25,3,FALSE),"")</f>
        <v/>
      </c>
      <c r="AB466" s="11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E467">
        <f>IFERROR(INDEX('הגדרות'!$D$104:$D$123,MATCH(B467&amp;G467&amp;C467,'הגדרות'!$A$104:$A$123&amp;'הגדרות'!$B$104:$B$123&amp;'הגדרות'!$C$104:$C$123,0)),"")</f>
        <v/>
      </c>
      <c r="F467" s="11" t="n"/>
      <c r="Q467">
        <f>IFERROR(VLOOKUP(M467,'הגדרות'!$A$11:$D$25,2,FALSE),"")</f>
        <v/>
      </c>
      <c r="R467">
        <f>IFERROR(VLOOKUP(M467,'הגדרות'!$A$11:$D$25,3,FALSE),"")</f>
        <v/>
      </c>
      <c r="S467">
        <f>IFERROR(VLOOKUP(N467,'הגדרות'!$A$11:$D$25,2,FALSE),"")</f>
        <v/>
      </c>
      <c r="T467">
        <f>IFERROR(VLOOKUP(N467,'הגדרות'!$A$11:$D$25,3,FALSE),"")</f>
        <v/>
      </c>
      <c r="AB467" s="11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E468">
        <f>IFERROR(INDEX('הגדרות'!$D$104:$D$123,MATCH(B468&amp;G468&amp;C468,'הגדרות'!$A$104:$A$123&amp;'הגדרות'!$B$104:$B$123&amp;'הגדרות'!$C$104:$C$123,0)),"")</f>
        <v/>
      </c>
      <c r="F468" s="11" t="n"/>
      <c r="Q468">
        <f>IFERROR(VLOOKUP(M468,'הגדרות'!$A$11:$D$25,2,FALSE),"")</f>
        <v/>
      </c>
      <c r="R468">
        <f>IFERROR(VLOOKUP(M468,'הגדרות'!$A$11:$D$25,3,FALSE),"")</f>
        <v/>
      </c>
      <c r="S468">
        <f>IFERROR(VLOOKUP(N468,'הגדרות'!$A$11:$D$25,2,FALSE),"")</f>
        <v/>
      </c>
      <c r="T468">
        <f>IFERROR(VLOOKUP(N468,'הגדרות'!$A$11:$D$25,3,FALSE),"")</f>
        <v/>
      </c>
      <c r="AB468" s="11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E469">
        <f>IFERROR(INDEX('הגדרות'!$D$104:$D$123,MATCH(B469&amp;G469&amp;C469,'הגדרות'!$A$104:$A$123&amp;'הגדרות'!$B$104:$B$123&amp;'הגדרות'!$C$104:$C$123,0)),"")</f>
        <v/>
      </c>
      <c r="F469" s="11" t="n"/>
      <c r="Q469">
        <f>IFERROR(VLOOKUP(M469,'הגדרות'!$A$11:$D$25,2,FALSE),"")</f>
        <v/>
      </c>
      <c r="R469">
        <f>IFERROR(VLOOKUP(M469,'הגדרות'!$A$11:$D$25,3,FALSE),"")</f>
        <v/>
      </c>
      <c r="S469">
        <f>IFERROR(VLOOKUP(N469,'הגדרות'!$A$11:$D$25,2,FALSE),"")</f>
        <v/>
      </c>
      <c r="T469">
        <f>IFERROR(VLOOKUP(N469,'הגדרות'!$A$11:$D$25,3,FALSE),"")</f>
        <v/>
      </c>
      <c r="AB469" s="11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E470">
        <f>IFERROR(INDEX('הגדרות'!$D$104:$D$123,MATCH(B470&amp;G470&amp;C470,'הגדרות'!$A$104:$A$123&amp;'הגדרות'!$B$104:$B$123&amp;'הגדרות'!$C$104:$C$123,0)),"")</f>
        <v/>
      </c>
      <c r="F470" s="11" t="n"/>
      <c r="Q470">
        <f>IFERROR(VLOOKUP(M470,'הגדרות'!$A$11:$D$25,2,FALSE),"")</f>
        <v/>
      </c>
      <c r="R470">
        <f>IFERROR(VLOOKUP(M470,'הגדרות'!$A$11:$D$25,3,FALSE),"")</f>
        <v/>
      </c>
      <c r="S470">
        <f>IFERROR(VLOOKUP(N470,'הגדרות'!$A$11:$D$25,2,FALSE),"")</f>
        <v/>
      </c>
      <c r="T470">
        <f>IFERROR(VLOOKUP(N470,'הגדרות'!$A$11:$D$25,3,FALSE),"")</f>
        <v/>
      </c>
      <c r="AB470" s="11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E471">
        <f>IFERROR(INDEX('הגדרות'!$D$104:$D$123,MATCH(B471&amp;G471&amp;C471,'הגדרות'!$A$104:$A$123&amp;'הגדרות'!$B$104:$B$123&amp;'הגדרות'!$C$104:$C$123,0)),"")</f>
        <v/>
      </c>
      <c r="F471" s="11" t="n"/>
      <c r="Q471">
        <f>IFERROR(VLOOKUP(M471,'הגדרות'!$A$11:$D$25,2,FALSE),"")</f>
        <v/>
      </c>
      <c r="R471">
        <f>IFERROR(VLOOKUP(M471,'הגדרות'!$A$11:$D$25,3,FALSE),"")</f>
        <v/>
      </c>
      <c r="S471">
        <f>IFERROR(VLOOKUP(N471,'הגדרות'!$A$11:$D$25,2,FALSE),"")</f>
        <v/>
      </c>
      <c r="T471">
        <f>IFERROR(VLOOKUP(N471,'הגדרות'!$A$11:$D$25,3,FALSE),"")</f>
        <v/>
      </c>
      <c r="AB471" s="11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E472">
        <f>IFERROR(INDEX('הגדרות'!$D$104:$D$123,MATCH(B472&amp;G472&amp;C472,'הגדרות'!$A$104:$A$123&amp;'הגדרות'!$B$104:$B$123&amp;'הגדרות'!$C$104:$C$123,0)),"")</f>
        <v/>
      </c>
      <c r="F472" s="11" t="n"/>
      <c r="Q472">
        <f>IFERROR(VLOOKUP(M472,'הגדרות'!$A$11:$D$25,2,FALSE),"")</f>
        <v/>
      </c>
      <c r="R472">
        <f>IFERROR(VLOOKUP(M472,'הגדרות'!$A$11:$D$25,3,FALSE),"")</f>
        <v/>
      </c>
      <c r="S472">
        <f>IFERROR(VLOOKUP(N472,'הגדרות'!$A$11:$D$25,2,FALSE),"")</f>
        <v/>
      </c>
      <c r="T472">
        <f>IFERROR(VLOOKUP(N472,'הגדרות'!$A$11:$D$25,3,FALSE),"")</f>
        <v/>
      </c>
      <c r="AB472" s="11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E473">
        <f>IFERROR(INDEX('הגדרות'!$D$104:$D$123,MATCH(B473&amp;G473&amp;C473,'הגדרות'!$A$104:$A$123&amp;'הגדרות'!$B$104:$B$123&amp;'הגדרות'!$C$104:$C$123,0)),"")</f>
        <v/>
      </c>
      <c r="F473" s="11" t="n"/>
      <c r="Q473">
        <f>IFERROR(VLOOKUP(M473,'הגדרות'!$A$11:$D$25,2,FALSE),"")</f>
        <v/>
      </c>
      <c r="R473">
        <f>IFERROR(VLOOKUP(M473,'הגדרות'!$A$11:$D$25,3,FALSE),"")</f>
        <v/>
      </c>
      <c r="S473">
        <f>IFERROR(VLOOKUP(N473,'הגדרות'!$A$11:$D$25,2,FALSE),"")</f>
        <v/>
      </c>
      <c r="T473">
        <f>IFERROR(VLOOKUP(N473,'הגדרות'!$A$11:$D$25,3,FALSE),"")</f>
        <v/>
      </c>
      <c r="AB473" s="11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E474">
        <f>IFERROR(INDEX('הגדרות'!$D$104:$D$123,MATCH(B474&amp;G474&amp;C474,'הגדרות'!$A$104:$A$123&amp;'הגדרות'!$B$104:$B$123&amp;'הגדרות'!$C$104:$C$123,0)),"")</f>
        <v/>
      </c>
      <c r="F474" s="11" t="n"/>
      <c r="Q474">
        <f>IFERROR(VLOOKUP(M474,'הגדרות'!$A$11:$D$25,2,FALSE),"")</f>
        <v/>
      </c>
      <c r="R474">
        <f>IFERROR(VLOOKUP(M474,'הגדרות'!$A$11:$D$25,3,FALSE),"")</f>
        <v/>
      </c>
      <c r="S474">
        <f>IFERROR(VLOOKUP(N474,'הגדרות'!$A$11:$D$25,2,FALSE),"")</f>
        <v/>
      </c>
      <c r="T474">
        <f>IFERROR(VLOOKUP(N474,'הגדרות'!$A$11:$D$25,3,FALSE),"")</f>
        <v/>
      </c>
      <c r="AB474" s="11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E475">
        <f>IFERROR(INDEX('הגדרות'!$D$104:$D$123,MATCH(B475&amp;G475&amp;C475,'הגדרות'!$A$104:$A$123&amp;'הגדרות'!$B$104:$B$123&amp;'הגדרות'!$C$104:$C$123,0)),"")</f>
        <v/>
      </c>
      <c r="F475" s="11" t="n"/>
      <c r="Q475">
        <f>IFERROR(VLOOKUP(M475,'הגדרות'!$A$11:$D$25,2,FALSE),"")</f>
        <v/>
      </c>
      <c r="R475">
        <f>IFERROR(VLOOKUP(M475,'הגדרות'!$A$11:$D$25,3,FALSE),"")</f>
        <v/>
      </c>
      <c r="S475">
        <f>IFERROR(VLOOKUP(N475,'הגדרות'!$A$11:$D$25,2,FALSE),"")</f>
        <v/>
      </c>
      <c r="T475">
        <f>IFERROR(VLOOKUP(N475,'הגדרות'!$A$11:$D$25,3,FALSE),"")</f>
        <v/>
      </c>
      <c r="AB475" s="11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E476">
        <f>IFERROR(INDEX('הגדרות'!$D$104:$D$123,MATCH(B476&amp;G476&amp;C476,'הגדרות'!$A$104:$A$123&amp;'הגדרות'!$B$104:$B$123&amp;'הגדרות'!$C$104:$C$123,0)),"")</f>
        <v/>
      </c>
      <c r="F476" s="11" t="n"/>
      <c r="Q476">
        <f>IFERROR(VLOOKUP(M476,'הגדרות'!$A$11:$D$25,2,FALSE),"")</f>
        <v/>
      </c>
      <c r="R476">
        <f>IFERROR(VLOOKUP(M476,'הגדרות'!$A$11:$D$25,3,FALSE),"")</f>
        <v/>
      </c>
      <c r="S476">
        <f>IFERROR(VLOOKUP(N476,'הגדרות'!$A$11:$D$25,2,FALSE),"")</f>
        <v/>
      </c>
      <c r="T476">
        <f>IFERROR(VLOOKUP(N476,'הגדרות'!$A$11:$D$25,3,FALSE),"")</f>
        <v/>
      </c>
      <c r="AB476" s="11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E477">
        <f>IFERROR(INDEX('הגדרות'!$D$104:$D$123,MATCH(B477&amp;G477&amp;C477,'הגדרות'!$A$104:$A$123&amp;'הגדרות'!$B$104:$B$123&amp;'הגדרות'!$C$104:$C$123,0)),"")</f>
        <v/>
      </c>
      <c r="F477" s="11" t="n"/>
      <c r="Q477">
        <f>IFERROR(VLOOKUP(M477,'הגדרות'!$A$11:$D$25,2,FALSE),"")</f>
        <v/>
      </c>
      <c r="R477">
        <f>IFERROR(VLOOKUP(M477,'הגדרות'!$A$11:$D$25,3,FALSE),"")</f>
        <v/>
      </c>
      <c r="S477">
        <f>IFERROR(VLOOKUP(N477,'הגדרות'!$A$11:$D$25,2,FALSE),"")</f>
        <v/>
      </c>
      <c r="T477">
        <f>IFERROR(VLOOKUP(N477,'הגדרות'!$A$11:$D$25,3,FALSE),"")</f>
        <v/>
      </c>
      <c r="AB477" s="11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E478">
        <f>IFERROR(INDEX('הגדרות'!$D$104:$D$123,MATCH(B478&amp;G478&amp;C478,'הגדרות'!$A$104:$A$123&amp;'הגדרות'!$B$104:$B$123&amp;'הגדרות'!$C$104:$C$123,0)),"")</f>
        <v/>
      </c>
      <c r="F478" s="11" t="n"/>
      <c r="Q478">
        <f>IFERROR(VLOOKUP(M478,'הגדרות'!$A$11:$D$25,2,FALSE),"")</f>
        <v/>
      </c>
      <c r="R478">
        <f>IFERROR(VLOOKUP(M478,'הגדרות'!$A$11:$D$25,3,FALSE),"")</f>
        <v/>
      </c>
      <c r="S478">
        <f>IFERROR(VLOOKUP(N478,'הגדרות'!$A$11:$D$25,2,FALSE),"")</f>
        <v/>
      </c>
      <c r="T478">
        <f>IFERROR(VLOOKUP(N478,'הגדרות'!$A$11:$D$25,3,FALSE),"")</f>
        <v/>
      </c>
      <c r="AB478" s="11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E479">
        <f>IFERROR(INDEX('הגדרות'!$D$104:$D$123,MATCH(B479&amp;G479&amp;C479,'הגדרות'!$A$104:$A$123&amp;'הגדרות'!$B$104:$B$123&amp;'הגדרות'!$C$104:$C$123,0)),"")</f>
        <v/>
      </c>
      <c r="F479" s="11" t="n"/>
      <c r="Q479">
        <f>IFERROR(VLOOKUP(M479,'הגדרות'!$A$11:$D$25,2,FALSE),"")</f>
        <v/>
      </c>
      <c r="R479">
        <f>IFERROR(VLOOKUP(M479,'הגדרות'!$A$11:$D$25,3,FALSE),"")</f>
        <v/>
      </c>
      <c r="S479">
        <f>IFERROR(VLOOKUP(N479,'הגדרות'!$A$11:$D$25,2,FALSE),"")</f>
        <v/>
      </c>
      <c r="T479">
        <f>IFERROR(VLOOKUP(N479,'הגדרות'!$A$11:$D$25,3,FALSE),"")</f>
        <v/>
      </c>
      <c r="AB479" s="11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E480">
        <f>IFERROR(INDEX('הגדרות'!$D$104:$D$123,MATCH(B480&amp;G480&amp;C480,'הגדרות'!$A$104:$A$123&amp;'הגדרות'!$B$104:$B$123&amp;'הגדרות'!$C$104:$C$123,0)),"")</f>
        <v/>
      </c>
      <c r="F480" s="11" t="n"/>
      <c r="Q480">
        <f>IFERROR(VLOOKUP(M480,'הגדרות'!$A$11:$D$25,2,FALSE),"")</f>
        <v/>
      </c>
      <c r="R480">
        <f>IFERROR(VLOOKUP(M480,'הגדרות'!$A$11:$D$25,3,FALSE),"")</f>
        <v/>
      </c>
      <c r="S480">
        <f>IFERROR(VLOOKUP(N480,'הגדרות'!$A$11:$D$25,2,FALSE),"")</f>
        <v/>
      </c>
      <c r="T480">
        <f>IFERROR(VLOOKUP(N480,'הגדרות'!$A$11:$D$25,3,FALSE),"")</f>
        <v/>
      </c>
      <c r="AB480" s="11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E481">
        <f>IFERROR(INDEX('הגדרות'!$D$104:$D$123,MATCH(B481&amp;G481&amp;C481,'הגדרות'!$A$104:$A$123&amp;'הגדרות'!$B$104:$B$123&amp;'הגדרות'!$C$104:$C$123,0)),"")</f>
        <v/>
      </c>
      <c r="F481" s="11" t="n"/>
      <c r="Q481">
        <f>IFERROR(VLOOKUP(M481,'הגדרות'!$A$11:$D$25,2,FALSE),"")</f>
        <v/>
      </c>
      <c r="R481">
        <f>IFERROR(VLOOKUP(M481,'הגדרות'!$A$11:$D$25,3,FALSE),"")</f>
        <v/>
      </c>
      <c r="S481">
        <f>IFERROR(VLOOKUP(N481,'הגדרות'!$A$11:$D$25,2,FALSE),"")</f>
        <v/>
      </c>
      <c r="T481">
        <f>IFERROR(VLOOKUP(N481,'הגדרות'!$A$11:$D$25,3,FALSE),"")</f>
        <v/>
      </c>
      <c r="AB481" s="11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E482">
        <f>IFERROR(INDEX('הגדרות'!$D$104:$D$123,MATCH(B482&amp;G482&amp;C482,'הגדרות'!$A$104:$A$123&amp;'הגדרות'!$B$104:$B$123&amp;'הגדרות'!$C$104:$C$123,0)),"")</f>
        <v/>
      </c>
      <c r="F482" s="11" t="n"/>
      <c r="Q482">
        <f>IFERROR(VLOOKUP(M482,'הגדרות'!$A$11:$D$25,2,FALSE),"")</f>
        <v/>
      </c>
      <c r="R482">
        <f>IFERROR(VLOOKUP(M482,'הגדרות'!$A$11:$D$25,3,FALSE),"")</f>
        <v/>
      </c>
      <c r="S482">
        <f>IFERROR(VLOOKUP(N482,'הגדרות'!$A$11:$D$25,2,FALSE),"")</f>
        <v/>
      </c>
      <c r="T482">
        <f>IFERROR(VLOOKUP(N482,'הגדרות'!$A$11:$D$25,3,FALSE),"")</f>
        <v/>
      </c>
      <c r="AB482" s="11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E483">
        <f>IFERROR(INDEX('הגדרות'!$D$104:$D$123,MATCH(B483&amp;G483&amp;C483,'הגדרות'!$A$104:$A$123&amp;'הגדרות'!$B$104:$B$123&amp;'הגדרות'!$C$104:$C$123,0)),"")</f>
        <v/>
      </c>
      <c r="F483" s="11" t="n"/>
      <c r="Q483">
        <f>IFERROR(VLOOKUP(M483,'הגדרות'!$A$11:$D$25,2,FALSE),"")</f>
        <v/>
      </c>
      <c r="R483">
        <f>IFERROR(VLOOKUP(M483,'הגדרות'!$A$11:$D$25,3,FALSE),"")</f>
        <v/>
      </c>
      <c r="S483">
        <f>IFERROR(VLOOKUP(N483,'הגדרות'!$A$11:$D$25,2,FALSE),"")</f>
        <v/>
      </c>
      <c r="T483">
        <f>IFERROR(VLOOKUP(N483,'הגדרות'!$A$11:$D$25,3,FALSE),"")</f>
        <v/>
      </c>
      <c r="AB483" s="11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E484">
        <f>IFERROR(INDEX('הגדרות'!$D$104:$D$123,MATCH(B484&amp;G484&amp;C484,'הגדרות'!$A$104:$A$123&amp;'הגדרות'!$B$104:$B$123&amp;'הגדרות'!$C$104:$C$123,0)),"")</f>
        <v/>
      </c>
      <c r="F484" s="11" t="n"/>
      <c r="Q484">
        <f>IFERROR(VLOOKUP(M484,'הגדרות'!$A$11:$D$25,2,FALSE),"")</f>
        <v/>
      </c>
      <c r="R484">
        <f>IFERROR(VLOOKUP(M484,'הגדרות'!$A$11:$D$25,3,FALSE),"")</f>
        <v/>
      </c>
      <c r="S484">
        <f>IFERROR(VLOOKUP(N484,'הגדרות'!$A$11:$D$25,2,FALSE),"")</f>
        <v/>
      </c>
      <c r="T484">
        <f>IFERROR(VLOOKUP(N484,'הגדרות'!$A$11:$D$25,3,FALSE),"")</f>
        <v/>
      </c>
      <c r="AB484" s="11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E485">
        <f>IFERROR(INDEX('הגדרות'!$D$104:$D$123,MATCH(B485&amp;G485&amp;C485,'הגדרות'!$A$104:$A$123&amp;'הגדרות'!$B$104:$B$123&amp;'הגדרות'!$C$104:$C$123,0)),"")</f>
        <v/>
      </c>
      <c r="F485" s="11" t="n"/>
      <c r="Q485">
        <f>IFERROR(VLOOKUP(M485,'הגדרות'!$A$11:$D$25,2,FALSE),"")</f>
        <v/>
      </c>
      <c r="R485">
        <f>IFERROR(VLOOKUP(M485,'הגדרות'!$A$11:$D$25,3,FALSE),"")</f>
        <v/>
      </c>
      <c r="S485">
        <f>IFERROR(VLOOKUP(N485,'הגדרות'!$A$11:$D$25,2,FALSE),"")</f>
        <v/>
      </c>
      <c r="T485">
        <f>IFERROR(VLOOKUP(N485,'הגדרות'!$A$11:$D$25,3,FALSE),"")</f>
        <v/>
      </c>
      <c r="AB485" s="11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E486">
        <f>IFERROR(INDEX('הגדרות'!$D$104:$D$123,MATCH(B486&amp;G486&amp;C486,'הגדרות'!$A$104:$A$123&amp;'הגדרות'!$B$104:$B$123&amp;'הגדרות'!$C$104:$C$123,0)),"")</f>
        <v/>
      </c>
      <c r="F486" s="11" t="n"/>
      <c r="Q486">
        <f>IFERROR(VLOOKUP(M486,'הגדרות'!$A$11:$D$25,2,FALSE),"")</f>
        <v/>
      </c>
      <c r="R486">
        <f>IFERROR(VLOOKUP(M486,'הגדרות'!$A$11:$D$25,3,FALSE),"")</f>
        <v/>
      </c>
      <c r="S486">
        <f>IFERROR(VLOOKUP(N486,'הגדרות'!$A$11:$D$25,2,FALSE),"")</f>
        <v/>
      </c>
      <c r="T486">
        <f>IFERROR(VLOOKUP(N486,'הגדרות'!$A$11:$D$25,3,FALSE),"")</f>
        <v/>
      </c>
      <c r="AB486" s="11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E487">
        <f>IFERROR(INDEX('הגדרות'!$D$104:$D$123,MATCH(B487&amp;G487&amp;C487,'הגדרות'!$A$104:$A$123&amp;'הגדרות'!$B$104:$B$123&amp;'הגדרות'!$C$104:$C$123,0)),"")</f>
        <v/>
      </c>
      <c r="F487" s="11" t="n"/>
      <c r="Q487">
        <f>IFERROR(VLOOKUP(M487,'הגדרות'!$A$11:$D$25,2,FALSE),"")</f>
        <v/>
      </c>
      <c r="R487">
        <f>IFERROR(VLOOKUP(M487,'הגדרות'!$A$11:$D$25,3,FALSE),"")</f>
        <v/>
      </c>
      <c r="S487">
        <f>IFERROR(VLOOKUP(N487,'הגדרות'!$A$11:$D$25,2,FALSE),"")</f>
        <v/>
      </c>
      <c r="T487">
        <f>IFERROR(VLOOKUP(N487,'הגדרות'!$A$11:$D$25,3,FALSE),"")</f>
        <v/>
      </c>
      <c r="AB487" s="11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E488">
        <f>IFERROR(INDEX('הגדרות'!$D$104:$D$123,MATCH(B488&amp;G488&amp;C488,'הגדרות'!$A$104:$A$123&amp;'הגדרות'!$B$104:$B$123&amp;'הגדרות'!$C$104:$C$123,0)),"")</f>
        <v/>
      </c>
      <c r="F488" s="11" t="n"/>
      <c r="Q488">
        <f>IFERROR(VLOOKUP(M488,'הגדרות'!$A$11:$D$25,2,FALSE),"")</f>
        <v/>
      </c>
      <c r="R488">
        <f>IFERROR(VLOOKUP(M488,'הגדרות'!$A$11:$D$25,3,FALSE),"")</f>
        <v/>
      </c>
      <c r="S488">
        <f>IFERROR(VLOOKUP(N488,'הגדרות'!$A$11:$D$25,2,FALSE),"")</f>
        <v/>
      </c>
      <c r="T488">
        <f>IFERROR(VLOOKUP(N488,'הגדרות'!$A$11:$D$25,3,FALSE),"")</f>
        <v/>
      </c>
      <c r="AB488" s="11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E489">
        <f>IFERROR(INDEX('הגדרות'!$D$104:$D$123,MATCH(B489&amp;G489&amp;C489,'הגדרות'!$A$104:$A$123&amp;'הגדרות'!$B$104:$B$123&amp;'הגדרות'!$C$104:$C$123,0)),"")</f>
        <v/>
      </c>
      <c r="F489" s="11" t="n"/>
      <c r="Q489">
        <f>IFERROR(VLOOKUP(M489,'הגדרות'!$A$11:$D$25,2,FALSE),"")</f>
        <v/>
      </c>
      <c r="R489">
        <f>IFERROR(VLOOKUP(M489,'הגדרות'!$A$11:$D$25,3,FALSE),"")</f>
        <v/>
      </c>
      <c r="S489">
        <f>IFERROR(VLOOKUP(N489,'הגדרות'!$A$11:$D$25,2,FALSE),"")</f>
        <v/>
      </c>
      <c r="T489">
        <f>IFERROR(VLOOKUP(N489,'הגדרות'!$A$11:$D$25,3,FALSE),"")</f>
        <v/>
      </c>
      <c r="AB489" s="11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E490">
        <f>IFERROR(INDEX('הגדרות'!$D$104:$D$123,MATCH(B490&amp;G490&amp;C490,'הגדרות'!$A$104:$A$123&amp;'הגדרות'!$B$104:$B$123&amp;'הגדרות'!$C$104:$C$123,0)),"")</f>
        <v/>
      </c>
      <c r="F490" s="11" t="n"/>
      <c r="Q490">
        <f>IFERROR(VLOOKUP(M490,'הגדרות'!$A$11:$D$25,2,FALSE),"")</f>
        <v/>
      </c>
      <c r="R490">
        <f>IFERROR(VLOOKUP(M490,'הגדרות'!$A$11:$D$25,3,FALSE),"")</f>
        <v/>
      </c>
      <c r="S490">
        <f>IFERROR(VLOOKUP(N490,'הגדרות'!$A$11:$D$25,2,FALSE),"")</f>
        <v/>
      </c>
      <c r="T490">
        <f>IFERROR(VLOOKUP(N490,'הגדרות'!$A$11:$D$25,3,FALSE),"")</f>
        <v/>
      </c>
      <c r="AB490" s="11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E491">
        <f>IFERROR(INDEX('הגדרות'!$D$104:$D$123,MATCH(B491&amp;G491&amp;C491,'הגדרות'!$A$104:$A$123&amp;'הגדרות'!$B$104:$B$123&amp;'הגדרות'!$C$104:$C$123,0)),"")</f>
        <v/>
      </c>
      <c r="F491" s="11" t="n"/>
      <c r="Q491">
        <f>IFERROR(VLOOKUP(M491,'הגדרות'!$A$11:$D$25,2,FALSE),"")</f>
        <v/>
      </c>
      <c r="R491">
        <f>IFERROR(VLOOKUP(M491,'הגדרות'!$A$11:$D$25,3,FALSE),"")</f>
        <v/>
      </c>
      <c r="S491">
        <f>IFERROR(VLOOKUP(N491,'הגדרות'!$A$11:$D$25,2,FALSE),"")</f>
        <v/>
      </c>
      <c r="T491">
        <f>IFERROR(VLOOKUP(N491,'הגדרות'!$A$11:$D$25,3,FALSE),"")</f>
        <v/>
      </c>
      <c r="AB491" s="11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E492">
        <f>IFERROR(INDEX('הגדרות'!$D$104:$D$123,MATCH(B492&amp;G492&amp;C492,'הגדרות'!$A$104:$A$123&amp;'הגדרות'!$B$104:$B$123&amp;'הגדרות'!$C$104:$C$123,0)),"")</f>
        <v/>
      </c>
      <c r="F492" s="11" t="n"/>
      <c r="Q492">
        <f>IFERROR(VLOOKUP(M492,'הגדרות'!$A$11:$D$25,2,FALSE),"")</f>
        <v/>
      </c>
      <c r="R492">
        <f>IFERROR(VLOOKUP(M492,'הגדרות'!$A$11:$D$25,3,FALSE),"")</f>
        <v/>
      </c>
      <c r="S492">
        <f>IFERROR(VLOOKUP(N492,'הגדרות'!$A$11:$D$25,2,FALSE),"")</f>
        <v/>
      </c>
      <c r="T492">
        <f>IFERROR(VLOOKUP(N492,'הגדרות'!$A$11:$D$25,3,FALSE),"")</f>
        <v/>
      </c>
      <c r="AB492" s="11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E493">
        <f>IFERROR(INDEX('הגדרות'!$D$104:$D$123,MATCH(B493&amp;G493&amp;C493,'הגדרות'!$A$104:$A$123&amp;'הגדרות'!$B$104:$B$123&amp;'הגדרות'!$C$104:$C$123,0)),"")</f>
        <v/>
      </c>
      <c r="F493" s="11" t="n"/>
      <c r="Q493">
        <f>IFERROR(VLOOKUP(M493,'הגדרות'!$A$11:$D$25,2,FALSE),"")</f>
        <v/>
      </c>
      <c r="R493">
        <f>IFERROR(VLOOKUP(M493,'הגדרות'!$A$11:$D$25,3,FALSE),"")</f>
        <v/>
      </c>
      <c r="S493">
        <f>IFERROR(VLOOKUP(N493,'הגדרות'!$A$11:$D$25,2,FALSE),"")</f>
        <v/>
      </c>
      <c r="T493">
        <f>IFERROR(VLOOKUP(N493,'הגדרות'!$A$11:$D$25,3,FALSE),"")</f>
        <v/>
      </c>
      <c r="AB493" s="11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E494">
        <f>IFERROR(INDEX('הגדרות'!$D$104:$D$123,MATCH(B494&amp;G494&amp;C494,'הגדרות'!$A$104:$A$123&amp;'הגדרות'!$B$104:$B$123&amp;'הגדרות'!$C$104:$C$123,0)),"")</f>
        <v/>
      </c>
      <c r="F494" s="11" t="n"/>
      <c r="Q494">
        <f>IFERROR(VLOOKUP(M494,'הגדרות'!$A$11:$D$25,2,FALSE),"")</f>
        <v/>
      </c>
      <c r="R494">
        <f>IFERROR(VLOOKUP(M494,'הגדרות'!$A$11:$D$25,3,FALSE),"")</f>
        <v/>
      </c>
      <c r="S494">
        <f>IFERROR(VLOOKUP(N494,'הגדרות'!$A$11:$D$25,2,FALSE),"")</f>
        <v/>
      </c>
      <c r="T494">
        <f>IFERROR(VLOOKUP(N494,'הגדרות'!$A$11:$D$25,3,FALSE),"")</f>
        <v/>
      </c>
      <c r="AB494" s="11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E495">
        <f>IFERROR(INDEX('הגדרות'!$D$104:$D$123,MATCH(B495&amp;G495&amp;C495,'הגדרות'!$A$104:$A$123&amp;'הגדרות'!$B$104:$B$123&amp;'הגדרות'!$C$104:$C$123,0)),"")</f>
        <v/>
      </c>
      <c r="F495" s="11" t="n"/>
      <c r="Q495">
        <f>IFERROR(VLOOKUP(M495,'הגדרות'!$A$11:$D$25,2,FALSE),"")</f>
        <v/>
      </c>
      <c r="R495">
        <f>IFERROR(VLOOKUP(M495,'הגדרות'!$A$11:$D$25,3,FALSE),"")</f>
        <v/>
      </c>
      <c r="S495">
        <f>IFERROR(VLOOKUP(N495,'הגדרות'!$A$11:$D$25,2,FALSE),"")</f>
        <v/>
      </c>
      <c r="T495">
        <f>IFERROR(VLOOKUP(N495,'הגדרות'!$A$11:$D$25,3,FALSE),"")</f>
        <v/>
      </c>
      <c r="AB495" s="11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E496">
        <f>IFERROR(INDEX('הגדרות'!$D$104:$D$123,MATCH(B496&amp;G496&amp;C496,'הגדרות'!$A$104:$A$123&amp;'הגדרות'!$B$104:$B$123&amp;'הגדרות'!$C$104:$C$123,0)),"")</f>
        <v/>
      </c>
      <c r="F496" s="11" t="n"/>
      <c r="Q496">
        <f>IFERROR(VLOOKUP(M496,'הגדרות'!$A$11:$D$25,2,FALSE),"")</f>
        <v/>
      </c>
      <c r="R496">
        <f>IFERROR(VLOOKUP(M496,'הגדרות'!$A$11:$D$25,3,FALSE),"")</f>
        <v/>
      </c>
      <c r="S496">
        <f>IFERROR(VLOOKUP(N496,'הגדרות'!$A$11:$D$25,2,FALSE),"")</f>
        <v/>
      </c>
      <c r="T496">
        <f>IFERROR(VLOOKUP(N496,'הגדרות'!$A$11:$D$25,3,FALSE),"")</f>
        <v/>
      </c>
      <c r="AB496" s="11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E497">
        <f>IFERROR(INDEX('הגדרות'!$D$104:$D$123,MATCH(B497&amp;G497&amp;C497,'הגדרות'!$A$104:$A$123&amp;'הגדרות'!$B$104:$B$123&amp;'הגדרות'!$C$104:$C$123,0)),"")</f>
        <v/>
      </c>
      <c r="F497" s="11" t="n"/>
      <c r="Q497">
        <f>IFERROR(VLOOKUP(M497,'הגדרות'!$A$11:$D$25,2,FALSE),"")</f>
        <v/>
      </c>
      <c r="R497">
        <f>IFERROR(VLOOKUP(M497,'הגדרות'!$A$11:$D$25,3,FALSE),"")</f>
        <v/>
      </c>
      <c r="S497">
        <f>IFERROR(VLOOKUP(N497,'הגדרות'!$A$11:$D$25,2,FALSE),"")</f>
        <v/>
      </c>
      <c r="T497">
        <f>IFERROR(VLOOKUP(N497,'הגדרות'!$A$11:$D$25,3,FALSE),"")</f>
        <v/>
      </c>
      <c r="AB497" s="11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E498">
        <f>IFERROR(INDEX('הגדרות'!$D$104:$D$123,MATCH(B498&amp;G498&amp;C498,'הגדרות'!$A$104:$A$123&amp;'הגדרות'!$B$104:$B$123&amp;'הגדרות'!$C$104:$C$123,0)),"")</f>
        <v/>
      </c>
      <c r="F498" s="11" t="n"/>
      <c r="Q498">
        <f>IFERROR(VLOOKUP(M498,'הגדרות'!$A$11:$D$25,2,FALSE),"")</f>
        <v/>
      </c>
      <c r="R498">
        <f>IFERROR(VLOOKUP(M498,'הגדרות'!$A$11:$D$25,3,FALSE),"")</f>
        <v/>
      </c>
      <c r="S498">
        <f>IFERROR(VLOOKUP(N498,'הגדרות'!$A$11:$D$25,2,FALSE),"")</f>
        <v/>
      </c>
      <c r="T498">
        <f>IFERROR(VLOOKUP(N498,'הגדרות'!$A$11:$D$25,3,FALSE),"")</f>
        <v/>
      </c>
      <c r="AB498" s="11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E499">
        <f>IFERROR(INDEX('הגדרות'!$D$104:$D$123,MATCH(B499&amp;G499&amp;C499,'הגדרות'!$A$104:$A$123&amp;'הגדרות'!$B$104:$B$123&amp;'הגדרות'!$C$104:$C$123,0)),"")</f>
        <v/>
      </c>
      <c r="F499" s="11" t="n"/>
      <c r="Q499">
        <f>IFERROR(VLOOKUP(M499,'הגדרות'!$A$11:$D$25,2,FALSE),"")</f>
        <v/>
      </c>
      <c r="R499">
        <f>IFERROR(VLOOKUP(M499,'הגדרות'!$A$11:$D$25,3,FALSE),"")</f>
        <v/>
      </c>
      <c r="S499">
        <f>IFERROR(VLOOKUP(N499,'הגדרות'!$A$11:$D$25,2,FALSE),"")</f>
        <v/>
      </c>
      <c r="T499">
        <f>IFERROR(VLOOKUP(N499,'הגדרות'!$A$11:$D$25,3,FALSE),"")</f>
        <v/>
      </c>
      <c r="AB499" s="11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E500">
        <f>IFERROR(INDEX('הגדרות'!$D$104:$D$123,MATCH(B500&amp;G500&amp;C500,'הגדרות'!$A$104:$A$123&amp;'הגדרות'!$B$104:$B$123&amp;'הגדרות'!$C$104:$C$123,0)),"")</f>
        <v/>
      </c>
      <c r="F500" s="11" t="n"/>
      <c r="Q500">
        <f>IFERROR(VLOOKUP(M500,'הגדרות'!$A$11:$D$25,2,FALSE),"")</f>
        <v/>
      </c>
      <c r="R500">
        <f>IFERROR(VLOOKUP(M500,'הגדרות'!$A$11:$D$25,3,FALSE),"")</f>
        <v/>
      </c>
      <c r="S500">
        <f>IFERROR(VLOOKUP(N500,'הגדרות'!$A$11:$D$25,2,FALSE),"")</f>
        <v/>
      </c>
      <c r="T500">
        <f>IFERROR(VLOOKUP(N500,'הגדרות'!$A$11:$D$25,3,FALSE),"")</f>
        <v/>
      </c>
      <c r="AB500" s="11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conditionalFormatting sqref="AC2:AC500">
    <cfRule type="expression" priority="1" dxfId="2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7" t="inlineStr">
        <is>
          <t>מדינה</t>
        </is>
      </c>
      <c r="B1" s="7" t="inlineStr">
        <is>
          <t>מושאל ל</t>
        </is>
      </c>
      <c r="C1" s="7" t="inlineStr">
        <is>
          <t>אחראי מהחברה</t>
        </is>
      </c>
      <c r="D1" s="7" t="inlineStr">
        <is>
          <t>באיחור</t>
        </is>
      </c>
    </row>
    <row r="2">
      <c r="A2" s="12" t="n"/>
      <c r="B2" s="12" t="n"/>
      <c r="C2" s="12" t="n"/>
      <c r="D2" s="12" t="n"/>
    </row>
    <row r="4">
      <c r="A4" s="7" t="inlineStr">
        <is>
          <t>מזהה ייחודי</t>
        </is>
      </c>
      <c r="B4" s="7" t="inlineStr">
        <is>
          <t>שם מוצר</t>
        </is>
      </c>
      <c r="C4" s="7" t="inlineStr">
        <is>
          <t>גרסה</t>
        </is>
      </c>
      <c r="D4" s="7" t="inlineStr">
        <is>
          <t>מושאל ל</t>
        </is>
      </c>
      <c r="E4" s="7" t="inlineStr">
        <is>
          <t>מדינה</t>
        </is>
      </c>
      <c r="F4" s="7" t="inlineStr">
        <is>
          <t>אחראי מהחברה</t>
        </is>
      </c>
      <c r="G4" s="7" t="inlineStr">
        <is>
          <t>תאריך השאלה</t>
        </is>
      </c>
      <c r="H4" s="7" t="inlineStr">
        <is>
          <t>החזרה משוערת</t>
        </is>
      </c>
      <c r="I4" s="7" t="inlineStr">
        <is>
          <t>באיחור</t>
        </is>
      </c>
      <c r="J4" s="7" t="inlineStr">
        <is>
          <t>הערות</t>
        </is>
      </c>
      <c r="K4" s="7" t="inlineStr">
        <is>
          <t>row_ref</t>
        </is>
      </c>
    </row>
    <row r="5">
      <c r="A5" s="2">
        <f>IF($K5="","",INDEX(מלאי!$D$2:$D$500,$K5))</f>
        <v/>
      </c>
      <c r="B5" s="2">
        <f>IF($K5="","",INDEX(מלאי!$B$2:$B$500,$K5))</f>
        <v/>
      </c>
      <c r="C5" s="2">
        <f>IF($K5="","",INDEX(מלאי!$C$2:$C$500,$K5))</f>
        <v/>
      </c>
      <c r="D5" s="2">
        <f>IF($K5="","",INDEX(מלאי!$Y$2:$Y$500,$K5))</f>
        <v/>
      </c>
      <c r="E5" s="2">
        <f>IF($K5="","",INDEX(מלאי!$Z$2:$Z$500,$K5))</f>
        <v/>
      </c>
      <c r="F5" s="2">
        <f>IF($K5="","",INDEX(מלאי!$AA$2:$AA$500,$K5))</f>
        <v/>
      </c>
      <c r="G5" s="9">
        <f>IF($K5="","",INDEX(מלאי!$F$2:$F$500,$K5))</f>
        <v/>
      </c>
      <c r="H5" s="9">
        <f>IF($K5="","",INDEX(מלאי!$AB$2:$AB$500,$K5))</f>
        <v/>
      </c>
      <c r="I5" s="2">
        <f>IF($K5="","",IF(AND(INDEX(מלאי!$AB$2:$AB$500,$K5)&lt;&gt;"",INDEX(מלאי!$AB$2:$AB$500,$K5)&lt;TODAY()),"באיחור!","תקין"))</f>
        <v/>
      </c>
      <c r="J5" s="2">
        <f>IF($K5="","",INDEX(מלאי!$AC$2:$AC$500,$K5))</f>
        <v/>
      </c>
      <c r="K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1),"")</f>
        <v/>
      </c>
    </row>
    <row r="6">
      <c r="A6" s="8">
        <f>IF($K6="","",INDEX(מלאי!$D$2:$D$500,$K6))</f>
        <v/>
      </c>
      <c r="B6" s="8">
        <f>IF($K6="","",INDEX(מלאי!$B$2:$B$500,$K6))</f>
        <v/>
      </c>
      <c r="C6" s="8">
        <f>IF($K6="","",INDEX(מלאי!$C$2:$C$500,$K6))</f>
        <v/>
      </c>
      <c r="D6" s="8">
        <f>IF($K6="","",INDEX(מלאי!$Y$2:$Y$500,$K6))</f>
        <v/>
      </c>
      <c r="E6" s="8">
        <f>IF($K6="","",INDEX(מלאי!$Z$2:$Z$500,$K6))</f>
        <v/>
      </c>
      <c r="F6" s="8">
        <f>IF($K6="","",INDEX(מלאי!$AA$2:$AA$500,$K6))</f>
        <v/>
      </c>
      <c r="G6" s="10">
        <f>IF($K6="","",INDEX(מלאי!$F$2:$F$500,$K6))</f>
        <v/>
      </c>
      <c r="H6" s="10">
        <f>IF($K6="","",INDEX(מלאי!$AB$2:$AB$500,$K6))</f>
        <v/>
      </c>
      <c r="I6" s="8">
        <f>IF($K6="","",IF(AND(INDEX(מלאי!$AB$2:$AB$500,$K6)&lt;&gt;"",INDEX(מלאי!$AB$2:$AB$500,$K6)&lt;TODAY()),"באיחור!","תקין"))</f>
        <v/>
      </c>
      <c r="J6" s="8">
        <f>IF($K6="","",INDEX(מלאי!$AC$2:$AC$500,$K6))</f>
        <v/>
      </c>
      <c r="K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2),"")</f>
        <v/>
      </c>
    </row>
    <row r="7">
      <c r="A7" s="2">
        <f>IF($K7="","",INDEX(מלאי!$D$2:$D$500,$K7))</f>
        <v/>
      </c>
      <c r="B7" s="2">
        <f>IF($K7="","",INDEX(מלאי!$B$2:$B$500,$K7))</f>
        <v/>
      </c>
      <c r="C7" s="2">
        <f>IF($K7="","",INDEX(מלאי!$C$2:$C$500,$K7))</f>
        <v/>
      </c>
      <c r="D7" s="2">
        <f>IF($K7="","",INDEX(מלאי!$Y$2:$Y$500,$K7))</f>
        <v/>
      </c>
      <c r="E7" s="2">
        <f>IF($K7="","",INDEX(מלאי!$Z$2:$Z$500,$K7))</f>
        <v/>
      </c>
      <c r="F7" s="2">
        <f>IF($K7="","",INDEX(מלאי!$AA$2:$AA$500,$K7))</f>
        <v/>
      </c>
      <c r="G7" s="9">
        <f>IF($K7="","",INDEX(מלאי!$F$2:$F$500,$K7))</f>
        <v/>
      </c>
      <c r="H7" s="9">
        <f>IF($K7="","",INDEX(מלאי!$AB$2:$AB$500,$K7))</f>
        <v/>
      </c>
      <c r="I7" s="2">
        <f>IF($K7="","",IF(AND(INDEX(מלאי!$AB$2:$AB$500,$K7)&lt;&gt;"",INDEX(מלאי!$AB$2:$AB$500,$K7)&lt;TODAY()),"באיחור!","תקין"))</f>
        <v/>
      </c>
      <c r="J7" s="2">
        <f>IF($K7="","",INDEX(מלאי!$AC$2:$AC$500,$K7))</f>
        <v/>
      </c>
      <c r="K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3),"")</f>
        <v/>
      </c>
    </row>
    <row r="8">
      <c r="A8" s="8">
        <f>IF($K8="","",INDEX(מלאי!$D$2:$D$500,$K8))</f>
        <v/>
      </c>
      <c r="B8" s="8">
        <f>IF($K8="","",INDEX(מלאי!$B$2:$B$500,$K8))</f>
        <v/>
      </c>
      <c r="C8" s="8">
        <f>IF($K8="","",INDEX(מלאי!$C$2:$C$500,$K8))</f>
        <v/>
      </c>
      <c r="D8" s="8">
        <f>IF($K8="","",INDEX(מלאי!$Y$2:$Y$500,$K8))</f>
        <v/>
      </c>
      <c r="E8" s="8">
        <f>IF($K8="","",INDEX(מלאי!$Z$2:$Z$500,$K8))</f>
        <v/>
      </c>
      <c r="F8" s="8">
        <f>IF($K8="","",INDEX(מלאי!$AA$2:$AA$500,$K8))</f>
        <v/>
      </c>
      <c r="G8" s="10">
        <f>IF($K8="","",INDEX(מלאי!$F$2:$F$500,$K8))</f>
        <v/>
      </c>
      <c r="H8" s="10">
        <f>IF($K8="","",INDEX(מלאי!$AB$2:$AB$500,$K8))</f>
        <v/>
      </c>
      <c r="I8" s="8">
        <f>IF($K8="","",IF(AND(INDEX(מלאי!$AB$2:$AB$500,$K8)&lt;&gt;"",INDEX(מלאי!$AB$2:$AB$500,$K8)&lt;TODAY()),"באיחור!","תקין"))</f>
        <v/>
      </c>
      <c r="J8" s="8">
        <f>IF($K8="","",INDEX(מלאי!$AC$2:$AC$500,$K8))</f>
        <v/>
      </c>
      <c r="K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4),"")</f>
        <v/>
      </c>
    </row>
    <row r="9">
      <c r="A9" s="2">
        <f>IF($K9="","",INDEX(מלאי!$D$2:$D$500,$K9))</f>
        <v/>
      </c>
      <c r="B9" s="2">
        <f>IF($K9="","",INDEX(מלאי!$B$2:$B$500,$K9))</f>
        <v/>
      </c>
      <c r="C9" s="2">
        <f>IF($K9="","",INDEX(מלאי!$C$2:$C$500,$K9))</f>
        <v/>
      </c>
      <c r="D9" s="2">
        <f>IF($K9="","",INDEX(מלאי!$Y$2:$Y$500,$K9))</f>
        <v/>
      </c>
      <c r="E9" s="2">
        <f>IF($K9="","",INDEX(מלאי!$Z$2:$Z$500,$K9))</f>
        <v/>
      </c>
      <c r="F9" s="2">
        <f>IF($K9="","",INDEX(מלאי!$AA$2:$AA$500,$K9))</f>
        <v/>
      </c>
      <c r="G9" s="9">
        <f>IF($K9="","",INDEX(מלאי!$F$2:$F$500,$K9))</f>
        <v/>
      </c>
      <c r="H9" s="9">
        <f>IF($K9="","",INDEX(מלאי!$AB$2:$AB$500,$K9))</f>
        <v/>
      </c>
      <c r="I9" s="2">
        <f>IF($K9="","",IF(AND(INDEX(מלאי!$AB$2:$AB$500,$K9)&lt;&gt;"",INDEX(מלאי!$AB$2:$AB$500,$K9)&lt;TODAY()),"באיחור!","תקין"))</f>
        <v/>
      </c>
      <c r="J9" s="2">
        <f>IF($K9="","",INDEX(מלאי!$AC$2:$AC$500,$K9))</f>
        <v/>
      </c>
      <c r="K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5),"")</f>
        <v/>
      </c>
    </row>
    <row r="10">
      <c r="A10" s="8">
        <f>IF($K10="","",INDEX(מלאי!$D$2:$D$500,$K10))</f>
        <v/>
      </c>
      <c r="B10" s="8">
        <f>IF($K10="","",INDEX(מלאי!$B$2:$B$500,$K10))</f>
        <v/>
      </c>
      <c r="C10" s="8">
        <f>IF($K10="","",INDEX(מלאי!$C$2:$C$500,$K10))</f>
        <v/>
      </c>
      <c r="D10" s="8">
        <f>IF($K10="","",INDEX(מלאי!$Y$2:$Y$500,$K10))</f>
        <v/>
      </c>
      <c r="E10" s="8">
        <f>IF($K10="","",INDEX(מלאי!$Z$2:$Z$500,$K10))</f>
        <v/>
      </c>
      <c r="F10" s="8">
        <f>IF($K10="","",INDEX(מלאי!$AA$2:$AA$500,$K10))</f>
        <v/>
      </c>
      <c r="G10" s="10">
        <f>IF($K10="","",INDEX(מלאי!$F$2:$F$500,$K10))</f>
        <v/>
      </c>
      <c r="H10" s="10">
        <f>IF($K10="","",INDEX(מלאי!$AB$2:$AB$500,$K10))</f>
        <v/>
      </c>
      <c r="I10" s="8">
        <f>IF($K10="","",IF(AND(INDEX(מלאי!$AB$2:$AB$500,$K10)&lt;&gt;"",INDEX(מלאי!$AB$2:$AB$500,$K10)&lt;TODAY()),"באיחור!","תקין"))</f>
        <v/>
      </c>
      <c r="J10" s="8">
        <f>IF($K10="","",INDEX(מלאי!$AC$2:$AC$500,$K10))</f>
        <v/>
      </c>
      <c r="K1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6),"")</f>
        <v/>
      </c>
    </row>
    <row r="11">
      <c r="A11" s="2">
        <f>IF($K11="","",INDEX(מלאי!$D$2:$D$500,$K11))</f>
        <v/>
      </c>
      <c r="B11" s="2">
        <f>IF($K11="","",INDEX(מלאי!$B$2:$B$500,$K11))</f>
        <v/>
      </c>
      <c r="C11" s="2">
        <f>IF($K11="","",INDEX(מלאי!$C$2:$C$500,$K11))</f>
        <v/>
      </c>
      <c r="D11" s="2">
        <f>IF($K11="","",INDEX(מלאי!$Y$2:$Y$500,$K11))</f>
        <v/>
      </c>
      <c r="E11" s="2">
        <f>IF($K11="","",INDEX(מלאי!$Z$2:$Z$500,$K11))</f>
        <v/>
      </c>
      <c r="F11" s="2">
        <f>IF($K11="","",INDEX(מלאי!$AA$2:$AA$500,$K11))</f>
        <v/>
      </c>
      <c r="G11" s="9">
        <f>IF($K11="","",INDEX(מלאי!$F$2:$F$500,$K11))</f>
        <v/>
      </c>
      <c r="H11" s="9">
        <f>IF($K11="","",INDEX(מלאי!$AB$2:$AB$500,$K11))</f>
        <v/>
      </c>
      <c r="I11" s="2">
        <f>IF($K11="","",IF(AND(INDEX(מלאי!$AB$2:$AB$500,$K11)&lt;&gt;"",INDEX(מלאי!$AB$2:$AB$500,$K11)&lt;TODAY()),"באיחור!","תקין"))</f>
        <v/>
      </c>
      <c r="J11" s="2">
        <f>IF($K11="","",INDEX(מלאי!$AC$2:$AC$500,$K11))</f>
        <v/>
      </c>
      <c r="K1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7),"")</f>
        <v/>
      </c>
    </row>
    <row r="12">
      <c r="A12" s="8">
        <f>IF($K12="","",INDEX(מלאי!$D$2:$D$500,$K12))</f>
        <v/>
      </c>
      <c r="B12" s="8">
        <f>IF($K12="","",INDEX(מלאי!$B$2:$B$500,$K12))</f>
        <v/>
      </c>
      <c r="C12" s="8">
        <f>IF($K12="","",INDEX(מלאי!$C$2:$C$500,$K12))</f>
        <v/>
      </c>
      <c r="D12" s="8">
        <f>IF($K12="","",INDEX(מלאי!$Y$2:$Y$500,$K12))</f>
        <v/>
      </c>
      <c r="E12" s="8">
        <f>IF($K12="","",INDEX(מלאי!$Z$2:$Z$500,$K12))</f>
        <v/>
      </c>
      <c r="F12" s="8">
        <f>IF($K12="","",INDEX(מלאי!$AA$2:$AA$500,$K12))</f>
        <v/>
      </c>
      <c r="G12" s="10">
        <f>IF($K12="","",INDEX(מלאי!$F$2:$F$500,$K12))</f>
        <v/>
      </c>
      <c r="H12" s="10">
        <f>IF($K12="","",INDEX(מלאי!$AB$2:$AB$500,$K12))</f>
        <v/>
      </c>
      <c r="I12" s="8">
        <f>IF($K12="","",IF(AND(INDEX(מלאי!$AB$2:$AB$500,$K12)&lt;&gt;"",INDEX(מלאי!$AB$2:$AB$500,$K12)&lt;TODAY()),"באיחור!","תקין"))</f>
        <v/>
      </c>
      <c r="J12" s="8">
        <f>IF($K12="","",INDEX(מלאי!$AC$2:$AC$500,$K12))</f>
        <v/>
      </c>
      <c r="K1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8),"")</f>
        <v/>
      </c>
    </row>
    <row r="13">
      <c r="A13" s="2">
        <f>IF($K13="","",INDEX(מלאי!$D$2:$D$500,$K13))</f>
        <v/>
      </c>
      <c r="B13" s="2">
        <f>IF($K13="","",INDEX(מלאי!$B$2:$B$500,$K13))</f>
        <v/>
      </c>
      <c r="C13" s="2">
        <f>IF($K13="","",INDEX(מלאי!$C$2:$C$500,$K13))</f>
        <v/>
      </c>
      <c r="D13" s="2">
        <f>IF($K13="","",INDEX(מלאי!$Y$2:$Y$500,$K13))</f>
        <v/>
      </c>
      <c r="E13" s="2">
        <f>IF($K13="","",INDEX(מלאי!$Z$2:$Z$500,$K13))</f>
        <v/>
      </c>
      <c r="F13" s="2">
        <f>IF($K13="","",INDEX(מלאי!$AA$2:$AA$500,$K13))</f>
        <v/>
      </c>
      <c r="G13" s="9">
        <f>IF($K13="","",INDEX(מלאי!$F$2:$F$500,$K13))</f>
        <v/>
      </c>
      <c r="H13" s="9">
        <f>IF($K13="","",INDEX(מלאי!$AB$2:$AB$500,$K13))</f>
        <v/>
      </c>
      <c r="I13" s="2">
        <f>IF($K13="","",IF(AND(INDEX(מלאי!$AB$2:$AB$500,$K13)&lt;&gt;"",INDEX(מלאי!$AB$2:$AB$500,$K13)&lt;TODAY()),"באיחור!","תקין"))</f>
        <v/>
      </c>
      <c r="J13" s="2">
        <f>IF($K13="","",INDEX(מלאי!$AC$2:$AC$500,$K13))</f>
        <v/>
      </c>
      <c r="K1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9),"")</f>
        <v/>
      </c>
    </row>
    <row r="14">
      <c r="A14" s="8">
        <f>IF($K14="","",INDEX(מלאי!$D$2:$D$500,$K14))</f>
        <v/>
      </c>
      <c r="B14" s="8">
        <f>IF($K14="","",INDEX(מלאי!$B$2:$B$500,$K14))</f>
        <v/>
      </c>
      <c r="C14" s="8">
        <f>IF($K14="","",INDEX(מלאי!$C$2:$C$500,$K14))</f>
        <v/>
      </c>
      <c r="D14" s="8">
        <f>IF($K14="","",INDEX(מלאי!$Y$2:$Y$500,$K14))</f>
        <v/>
      </c>
      <c r="E14" s="8">
        <f>IF($K14="","",INDEX(מלאי!$Z$2:$Z$500,$K14))</f>
        <v/>
      </c>
      <c r="F14" s="8">
        <f>IF($K14="","",INDEX(מלאי!$AA$2:$AA$500,$K14))</f>
        <v/>
      </c>
      <c r="G14" s="10">
        <f>IF($K14="","",INDEX(מלאי!$F$2:$F$500,$K14))</f>
        <v/>
      </c>
      <c r="H14" s="10">
        <f>IF($K14="","",INDEX(מלאי!$AB$2:$AB$500,$K14))</f>
        <v/>
      </c>
      <c r="I14" s="8">
        <f>IF($K14="","",IF(AND(INDEX(מלאי!$AB$2:$AB$500,$K14)&lt;&gt;"",INDEX(מלאי!$AB$2:$AB$500,$K14)&lt;TODAY()),"באיחור!","תקין"))</f>
        <v/>
      </c>
      <c r="J14" s="8">
        <f>IF($K14="","",INDEX(מלאי!$AC$2:$AC$500,$K14))</f>
        <v/>
      </c>
      <c r="K1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10),"")</f>
        <v/>
      </c>
    </row>
    <row r="15">
      <c r="A15" s="2">
        <f>IF($K15="","",INDEX(מלאי!$D$2:$D$500,$K15))</f>
        <v/>
      </c>
      <c r="B15" s="2">
        <f>IF($K15="","",INDEX(מלאי!$B$2:$B$500,$K15))</f>
        <v/>
      </c>
      <c r="C15" s="2">
        <f>IF($K15="","",INDEX(מלאי!$C$2:$C$500,$K15))</f>
        <v/>
      </c>
      <c r="D15" s="2">
        <f>IF($K15="","",INDEX(מלאי!$Y$2:$Y$500,$K15))</f>
        <v/>
      </c>
      <c r="E15" s="2">
        <f>IF($K15="","",INDEX(מלאי!$Z$2:$Z$500,$K15))</f>
        <v/>
      </c>
      <c r="F15" s="2">
        <f>IF($K15="","",INDEX(מלאי!$AA$2:$AA$500,$K15))</f>
        <v/>
      </c>
      <c r="G15" s="9">
        <f>IF($K15="","",INDEX(מלאי!$F$2:$F$500,$K15))</f>
        <v/>
      </c>
      <c r="H15" s="9">
        <f>IF($K15="","",INDEX(מלאי!$AB$2:$AB$500,$K15))</f>
        <v/>
      </c>
      <c r="I15" s="2">
        <f>IF($K15="","",IF(AND(INDEX(מלאי!$AB$2:$AB$500,$K15)&lt;&gt;"",INDEX(מלאי!$AB$2:$AB$500,$K15)&lt;TODAY()),"באיחור!","תקין"))</f>
        <v/>
      </c>
      <c r="J15" s="2">
        <f>IF($K15="","",INDEX(מלאי!$AC$2:$AC$500,$K15))</f>
        <v/>
      </c>
      <c r="K1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11),"")</f>
        <v/>
      </c>
    </row>
    <row r="16">
      <c r="A16" s="8">
        <f>IF($K16="","",INDEX(מלאי!$D$2:$D$500,$K16))</f>
        <v/>
      </c>
      <c r="B16" s="8">
        <f>IF($K16="","",INDEX(מלאי!$B$2:$B$500,$K16))</f>
        <v/>
      </c>
      <c r="C16" s="8">
        <f>IF($K16="","",INDEX(מלאי!$C$2:$C$500,$K16))</f>
        <v/>
      </c>
      <c r="D16" s="8">
        <f>IF($K16="","",INDEX(מלאי!$Y$2:$Y$500,$K16))</f>
        <v/>
      </c>
      <c r="E16" s="8">
        <f>IF($K16="","",INDEX(מלאי!$Z$2:$Z$500,$K16))</f>
        <v/>
      </c>
      <c r="F16" s="8">
        <f>IF($K16="","",INDEX(מלאי!$AA$2:$AA$500,$K16))</f>
        <v/>
      </c>
      <c r="G16" s="10">
        <f>IF($K16="","",INDEX(מלאי!$F$2:$F$500,$K16))</f>
        <v/>
      </c>
      <c r="H16" s="10">
        <f>IF($K16="","",INDEX(מלאי!$AB$2:$AB$500,$K16))</f>
        <v/>
      </c>
      <c r="I16" s="8">
        <f>IF($K16="","",IF(AND(INDEX(מלאי!$AB$2:$AB$500,$K16)&lt;&gt;"",INDEX(מלאי!$AB$2:$AB$500,$K16)&lt;TODAY()),"באיחור!","תקין"))</f>
        <v/>
      </c>
      <c r="J16" s="8">
        <f>IF($K16="","",INDEX(מלאי!$AC$2:$AC$500,$K16))</f>
        <v/>
      </c>
      <c r="K1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12),"")</f>
        <v/>
      </c>
    </row>
    <row r="17">
      <c r="A17" s="2">
        <f>IF($K17="","",INDEX(מלאי!$D$2:$D$500,$K17))</f>
        <v/>
      </c>
      <c r="B17" s="2">
        <f>IF($K17="","",INDEX(מלאי!$B$2:$B$500,$K17))</f>
        <v/>
      </c>
      <c r="C17" s="2">
        <f>IF($K17="","",INDEX(מלאי!$C$2:$C$500,$K17))</f>
        <v/>
      </c>
      <c r="D17" s="2">
        <f>IF($K17="","",INDEX(מלאי!$Y$2:$Y$500,$K17))</f>
        <v/>
      </c>
      <c r="E17" s="2">
        <f>IF($K17="","",INDEX(מלאי!$Z$2:$Z$500,$K17))</f>
        <v/>
      </c>
      <c r="F17" s="2">
        <f>IF($K17="","",INDEX(מלאי!$AA$2:$AA$500,$K17))</f>
        <v/>
      </c>
      <c r="G17" s="9">
        <f>IF($K17="","",INDEX(מלאי!$F$2:$F$500,$K17))</f>
        <v/>
      </c>
      <c r="H17" s="9">
        <f>IF($K17="","",INDEX(מלאי!$AB$2:$AB$500,$K17))</f>
        <v/>
      </c>
      <c r="I17" s="2">
        <f>IF($K17="","",IF(AND(INDEX(מלאי!$AB$2:$AB$500,$K17)&lt;&gt;"",INDEX(מלאי!$AB$2:$AB$500,$K17)&lt;TODAY()),"באיחור!","תקין"))</f>
        <v/>
      </c>
      <c r="J17" s="2">
        <f>IF($K17="","",INDEX(מלאי!$AC$2:$AC$500,$K17))</f>
        <v/>
      </c>
      <c r="K1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13),"")</f>
        <v/>
      </c>
    </row>
    <row r="18">
      <c r="A18" s="8">
        <f>IF($K18="","",INDEX(מלאי!$D$2:$D$500,$K18))</f>
        <v/>
      </c>
      <c r="B18" s="8">
        <f>IF($K18="","",INDEX(מלאי!$B$2:$B$500,$K18))</f>
        <v/>
      </c>
      <c r="C18" s="8">
        <f>IF($K18="","",INDEX(מלאי!$C$2:$C$500,$K18))</f>
        <v/>
      </c>
      <c r="D18" s="8">
        <f>IF($K18="","",INDEX(מלאי!$Y$2:$Y$500,$K18))</f>
        <v/>
      </c>
      <c r="E18" s="8">
        <f>IF($K18="","",INDEX(מלאי!$Z$2:$Z$500,$K18))</f>
        <v/>
      </c>
      <c r="F18" s="8">
        <f>IF($K18="","",INDEX(מלאי!$AA$2:$AA$500,$K18))</f>
        <v/>
      </c>
      <c r="G18" s="10">
        <f>IF($K18="","",INDEX(מלאי!$F$2:$F$500,$K18))</f>
        <v/>
      </c>
      <c r="H18" s="10">
        <f>IF($K18="","",INDEX(מלאי!$AB$2:$AB$500,$K18))</f>
        <v/>
      </c>
      <c r="I18" s="8">
        <f>IF($K18="","",IF(AND(INDEX(מלאי!$AB$2:$AB$500,$K18)&lt;&gt;"",INDEX(מלאי!$AB$2:$AB$500,$K18)&lt;TODAY()),"באיחור!","תקין"))</f>
        <v/>
      </c>
      <c r="J18" s="8">
        <f>IF($K18="","",INDEX(מלאי!$AC$2:$AC$500,$K18))</f>
        <v/>
      </c>
      <c r="K1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14),"")</f>
        <v/>
      </c>
    </row>
    <row r="19">
      <c r="A19" s="2">
        <f>IF($K19="","",INDEX(מלאי!$D$2:$D$500,$K19))</f>
        <v/>
      </c>
      <c r="B19" s="2">
        <f>IF($K19="","",INDEX(מלאי!$B$2:$B$500,$K19))</f>
        <v/>
      </c>
      <c r="C19" s="2">
        <f>IF($K19="","",INDEX(מלאי!$C$2:$C$500,$K19))</f>
        <v/>
      </c>
      <c r="D19" s="2">
        <f>IF($K19="","",INDEX(מלאי!$Y$2:$Y$500,$K19))</f>
        <v/>
      </c>
      <c r="E19" s="2">
        <f>IF($K19="","",INDEX(מלאי!$Z$2:$Z$500,$K19))</f>
        <v/>
      </c>
      <c r="F19" s="2">
        <f>IF($K19="","",INDEX(מלאי!$AA$2:$AA$500,$K19))</f>
        <v/>
      </c>
      <c r="G19" s="9">
        <f>IF($K19="","",INDEX(מלאי!$F$2:$F$500,$K19))</f>
        <v/>
      </c>
      <c r="H19" s="9">
        <f>IF($K19="","",INDEX(מלאי!$AB$2:$AB$500,$K19))</f>
        <v/>
      </c>
      <c r="I19" s="2">
        <f>IF($K19="","",IF(AND(INDEX(מלאי!$AB$2:$AB$500,$K19)&lt;&gt;"",INDEX(מלאי!$AB$2:$AB$500,$K19)&lt;TODAY()),"באיחור!","תקין"))</f>
        <v/>
      </c>
      <c r="J19" s="2">
        <f>IF($K19="","",INDEX(מלאי!$AC$2:$AC$500,$K19))</f>
        <v/>
      </c>
      <c r="K1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15),"")</f>
        <v/>
      </c>
    </row>
    <row r="20">
      <c r="A20" s="8">
        <f>IF($K20="","",INDEX(מלאי!$D$2:$D$500,$K20))</f>
        <v/>
      </c>
      <c r="B20" s="8">
        <f>IF($K20="","",INDEX(מלאי!$B$2:$B$500,$K20))</f>
        <v/>
      </c>
      <c r="C20" s="8">
        <f>IF($K20="","",INDEX(מלאי!$C$2:$C$500,$K20))</f>
        <v/>
      </c>
      <c r="D20" s="8">
        <f>IF($K20="","",INDEX(מלאי!$Y$2:$Y$500,$K20))</f>
        <v/>
      </c>
      <c r="E20" s="8">
        <f>IF($K20="","",INDEX(מלאי!$Z$2:$Z$500,$K20))</f>
        <v/>
      </c>
      <c r="F20" s="8">
        <f>IF($K20="","",INDEX(מלאי!$AA$2:$AA$500,$K20))</f>
        <v/>
      </c>
      <c r="G20" s="10">
        <f>IF($K20="","",INDEX(מלאי!$F$2:$F$500,$K20))</f>
        <v/>
      </c>
      <c r="H20" s="10">
        <f>IF($K20="","",INDEX(מלאי!$AB$2:$AB$500,$K20))</f>
        <v/>
      </c>
      <c r="I20" s="8">
        <f>IF($K20="","",IF(AND(INDEX(מלאי!$AB$2:$AB$500,$K20)&lt;&gt;"",INDEX(מלאי!$AB$2:$AB$500,$K20)&lt;TODAY()),"באיחור!","תקין"))</f>
        <v/>
      </c>
      <c r="J20" s="8">
        <f>IF($K20="","",INDEX(מלאי!$AC$2:$AC$500,$K20))</f>
        <v/>
      </c>
      <c r="K2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16),"")</f>
        <v/>
      </c>
    </row>
    <row r="21">
      <c r="A21" s="2">
        <f>IF($K21="","",INDEX(מלאי!$D$2:$D$500,$K21))</f>
        <v/>
      </c>
      <c r="B21" s="2">
        <f>IF($K21="","",INDEX(מלאי!$B$2:$B$500,$K21))</f>
        <v/>
      </c>
      <c r="C21" s="2">
        <f>IF($K21="","",INDEX(מלאי!$C$2:$C$500,$K21))</f>
        <v/>
      </c>
      <c r="D21" s="2">
        <f>IF($K21="","",INDEX(מלאי!$Y$2:$Y$500,$K21))</f>
        <v/>
      </c>
      <c r="E21" s="2">
        <f>IF($K21="","",INDEX(מלאי!$Z$2:$Z$500,$K21))</f>
        <v/>
      </c>
      <c r="F21" s="2">
        <f>IF($K21="","",INDEX(מלאי!$AA$2:$AA$500,$K21))</f>
        <v/>
      </c>
      <c r="G21" s="9">
        <f>IF($K21="","",INDEX(מלאי!$F$2:$F$500,$K21))</f>
        <v/>
      </c>
      <c r="H21" s="9">
        <f>IF($K21="","",INDEX(מלאי!$AB$2:$AB$500,$K21))</f>
        <v/>
      </c>
      <c r="I21" s="2">
        <f>IF($K21="","",IF(AND(INDEX(מלאי!$AB$2:$AB$500,$K21)&lt;&gt;"",INDEX(מלאי!$AB$2:$AB$500,$K21)&lt;TODAY()),"באיחור!","תקין"))</f>
        <v/>
      </c>
      <c r="J21" s="2">
        <f>IF($K21="","",INDEX(מלאי!$AC$2:$AC$500,$K21))</f>
        <v/>
      </c>
      <c r="K2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17),"")</f>
        <v/>
      </c>
    </row>
    <row r="22">
      <c r="A22" s="8">
        <f>IF($K22="","",INDEX(מלאי!$D$2:$D$500,$K22))</f>
        <v/>
      </c>
      <c r="B22" s="8">
        <f>IF($K22="","",INDEX(מלאי!$B$2:$B$500,$K22))</f>
        <v/>
      </c>
      <c r="C22" s="8">
        <f>IF($K22="","",INDEX(מלאי!$C$2:$C$500,$K22))</f>
        <v/>
      </c>
      <c r="D22" s="8">
        <f>IF($K22="","",INDEX(מלאי!$Y$2:$Y$500,$K22))</f>
        <v/>
      </c>
      <c r="E22" s="8">
        <f>IF($K22="","",INDEX(מלאי!$Z$2:$Z$500,$K22))</f>
        <v/>
      </c>
      <c r="F22" s="8">
        <f>IF($K22="","",INDEX(מלאי!$AA$2:$AA$500,$K22))</f>
        <v/>
      </c>
      <c r="G22" s="10">
        <f>IF($K22="","",INDEX(מלאי!$F$2:$F$500,$K22))</f>
        <v/>
      </c>
      <c r="H22" s="10">
        <f>IF($K22="","",INDEX(מלאי!$AB$2:$AB$500,$K22))</f>
        <v/>
      </c>
      <c r="I22" s="8">
        <f>IF($K22="","",IF(AND(INDEX(מלאי!$AB$2:$AB$500,$K22)&lt;&gt;"",INDEX(מלאי!$AB$2:$AB$500,$K22)&lt;TODAY()),"באיחור!","תקין"))</f>
        <v/>
      </c>
      <c r="J22" s="8">
        <f>IF($K22="","",INDEX(מלאי!$AC$2:$AC$500,$K22))</f>
        <v/>
      </c>
      <c r="K2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18),"")</f>
        <v/>
      </c>
    </row>
    <row r="23">
      <c r="A23" s="2">
        <f>IF($K23="","",INDEX(מלאי!$D$2:$D$500,$K23))</f>
        <v/>
      </c>
      <c r="B23" s="2">
        <f>IF($K23="","",INDEX(מלאי!$B$2:$B$500,$K23))</f>
        <v/>
      </c>
      <c r="C23" s="2">
        <f>IF($K23="","",INDEX(מלאי!$C$2:$C$500,$K23))</f>
        <v/>
      </c>
      <c r="D23" s="2">
        <f>IF($K23="","",INDEX(מלאי!$Y$2:$Y$500,$K23))</f>
        <v/>
      </c>
      <c r="E23" s="2">
        <f>IF($K23="","",INDEX(מלאי!$Z$2:$Z$500,$K23))</f>
        <v/>
      </c>
      <c r="F23" s="2">
        <f>IF($K23="","",INDEX(מלאי!$AA$2:$AA$500,$K23))</f>
        <v/>
      </c>
      <c r="G23" s="9">
        <f>IF($K23="","",INDEX(מלאי!$F$2:$F$500,$K23))</f>
        <v/>
      </c>
      <c r="H23" s="9">
        <f>IF($K23="","",INDEX(מלאי!$AB$2:$AB$500,$K23))</f>
        <v/>
      </c>
      <c r="I23" s="2">
        <f>IF($K23="","",IF(AND(INDEX(מלאי!$AB$2:$AB$500,$K23)&lt;&gt;"",INDEX(מלאי!$AB$2:$AB$500,$K23)&lt;TODAY()),"באיחור!","תקין"))</f>
        <v/>
      </c>
      <c r="J23" s="2">
        <f>IF($K23="","",INDEX(מלאי!$AC$2:$AC$500,$K23))</f>
        <v/>
      </c>
      <c r="K2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19),"")</f>
        <v/>
      </c>
    </row>
    <row r="24">
      <c r="A24" s="8">
        <f>IF($K24="","",INDEX(מלאי!$D$2:$D$500,$K24))</f>
        <v/>
      </c>
      <c r="B24" s="8">
        <f>IF($K24="","",INDEX(מלאי!$B$2:$B$500,$K24))</f>
        <v/>
      </c>
      <c r="C24" s="8">
        <f>IF($K24="","",INDEX(מלאי!$C$2:$C$500,$K24))</f>
        <v/>
      </c>
      <c r="D24" s="8">
        <f>IF($K24="","",INDEX(מלאי!$Y$2:$Y$500,$K24))</f>
        <v/>
      </c>
      <c r="E24" s="8">
        <f>IF($K24="","",INDEX(מלאי!$Z$2:$Z$500,$K24))</f>
        <v/>
      </c>
      <c r="F24" s="8">
        <f>IF($K24="","",INDEX(מלאי!$AA$2:$AA$500,$K24))</f>
        <v/>
      </c>
      <c r="G24" s="10">
        <f>IF($K24="","",INDEX(מלאי!$F$2:$F$500,$K24))</f>
        <v/>
      </c>
      <c r="H24" s="10">
        <f>IF($K24="","",INDEX(מלאי!$AB$2:$AB$500,$K24))</f>
        <v/>
      </c>
      <c r="I24" s="8">
        <f>IF($K24="","",IF(AND(INDEX(מלאי!$AB$2:$AB$500,$K24)&lt;&gt;"",INDEX(מלאי!$AB$2:$AB$500,$K24)&lt;TODAY()),"באיחור!","תקין"))</f>
        <v/>
      </c>
      <c r="J24" s="8">
        <f>IF($K24="","",INDEX(מלאי!$AC$2:$AC$500,$K24))</f>
        <v/>
      </c>
      <c r="K2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20),"")</f>
        <v/>
      </c>
    </row>
    <row r="25">
      <c r="A25" s="2">
        <f>IF($K25="","",INDEX(מלאי!$D$2:$D$500,$K25))</f>
        <v/>
      </c>
      <c r="B25" s="2">
        <f>IF($K25="","",INDEX(מלאי!$B$2:$B$500,$K25))</f>
        <v/>
      </c>
      <c r="C25" s="2">
        <f>IF($K25="","",INDEX(מלאי!$C$2:$C$500,$K25))</f>
        <v/>
      </c>
      <c r="D25" s="2">
        <f>IF($K25="","",INDEX(מלאי!$Y$2:$Y$500,$K25))</f>
        <v/>
      </c>
      <c r="E25" s="2">
        <f>IF($K25="","",INDEX(מלאי!$Z$2:$Z$500,$K25))</f>
        <v/>
      </c>
      <c r="F25" s="2">
        <f>IF($K25="","",INDEX(מלאי!$AA$2:$AA$500,$K25))</f>
        <v/>
      </c>
      <c r="G25" s="9">
        <f>IF($K25="","",INDEX(מלאי!$F$2:$F$500,$K25))</f>
        <v/>
      </c>
      <c r="H25" s="9">
        <f>IF($K25="","",INDEX(מלאי!$AB$2:$AB$500,$K25))</f>
        <v/>
      </c>
      <c r="I25" s="2">
        <f>IF($K25="","",IF(AND(INDEX(מלאי!$AB$2:$AB$500,$K25)&lt;&gt;"",INDEX(מלאי!$AB$2:$AB$500,$K25)&lt;TODAY()),"באיחור!","תקין"))</f>
        <v/>
      </c>
      <c r="J25" s="2">
        <f>IF($K25="","",INDEX(מלאי!$AC$2:$AC$500,$K25))</f>
        <v/>
      </c>
      <c r="K2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21),"")</f>
        <v/>
      </c>
    </row>
    <row r="26">
      <c r="A26" s="8">
        <f>IF($K26="","",INDEX(מלאי!$D$2:$D$500,$K26))</f>
        <v/>
      </c>
      <c r="B26" s="8">
        <f>IF($K26="","",INDEX(מלאי!$B$2:$B$500,$K26))</f>
        <v/>
      </c>
      <c r="C26" s="8">
        <f>IF($K26="","",INDEX(מלאי!$C$2:$C$500,$K26))</f>
        <v/>
      </c>
      <c r="D26" s="8">
        <f>IF($K26="","",INDEX(מלאי!$Y$2:$Y$500,$K26))</f>
        <v/>
      </c>
      <c r="E26" s="8">
        <f>IF($K26="","",INDEX(מלאי!$Z$2:$Z$500,$K26))</f>
        <v/>
      </c>
      <c r="F26" s="8">
        <f>IF($K26="","",INDEX(מלאי!$AA$2:$AA$500,$K26))</f>
        <v/>
      </c>
      <c r="G26" s="10">
        <f>IF($K26="","",INDEX(מלאי!$F$2:$F$500,$K26))</f>
        <v/>
      </c>
      <c r="H26" s="10">
        <f>IF($K26="","",INDEX(מלאי!$AB$2:$AB$500,$K26))</f>
        <v/>
      </c>
      <c r="I26" s="8">
        <f>IF($K26="","",IF(AND(INDEX(מלאי!$AB$2:$AB$500,$K26)&lt;&gt;"",INDEX(מלאי!$AB$2:$AB$500,$K26)&lt;TODAY()),"באיחור!","תקין"))</f>
        <v/>
      </c>
      <c r="J26" s="8">
        <f>IF($K26="","",INDEX(מלאי!$AC$2:$AC$500,$K26))</f>
        <v/>
      </c>
      <c r="K2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22),"")</f>
        <v/>
      </c>
    </row>
    <row r="27">
      <c r="A27" s="2">
        <f>IF($K27="","",INDEX(מלאי!$D$2:$D$500,$K27))</f>
        <v/>
      </c>
      <c r="B27" s="2">
        <f>IF($K27="","",INDEX(מלאי!$B$2:$B$500,$K27))</f>
        <v/>
      </c>
      <c r="C27" s="2">
        <f>IF($K27="","",INDEX(מלאי!$C$2:$C$500,$K27))</f>
        <v/>
      </c>
      <c r="D27" s="2">
        <f>IF($K27="","",INDEX(מלאי!$Y$2:$Y$500,$K27))</f>
        <v/>
      </c>
      <c r="E27" s="2">
        <f>IF($K27="","",INDEX(מלאי!$Z$2:$Z$500,$K27))</f>
        <v/>
      </c>
      <c r="F27" s="2">
        <f>IF($K27="","",INDEX(מלאי!$AA$2:$AA$500,$K27))</f>
        <v/>
      </c>
      <c r="G27" s="9">
        <f>IF($K27="","",INDEX(מלאי!$F$2:$F$500,$K27))</f>
        <v/>
      </c>
      <c r="H27" s="9">
        <f>IF($K27="","",INDEX(מלאי!$AB$2:$AB$500,$K27))</f>
        <v/>
      </c>
      <c r="I27" s="2">
        <f>IF($K27="","",IF(AND(INDEX(מלאי!$AB$2:$AB$500,$K27)&lt;&gt;"",INDEX(מלאי!$AB$2:$AB$500,$K27)&lt;TODAY()),"באיחור!","תקין"))</f>
        <v/>
      </c>
      <c r="J27" s="2">
        <f>IF($K27="","",INDEX(מלאי!$AC$2:$AC$500,$K27))</f>
        <v/>
      </c>
      <c r="K2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23),"")</f>
        <v/>
      </c>
    </row>
    <row r="28">
      <c r="A28" s="8">
        <f>IF($K28="","",INDEX(מלאי!$D$2:$D$500,$K28))</f>
        <v/>
      </c>
      <c r="B28" s="8">
        <f>IF($K28="","",INDEX(מלאי!$B$2:$B$500,$K28))</f>
        <v/>
      </c>
      <c r="C28" s="8">
        <f>IF($K28="","",INDEX(מלאי!$C$2:$C$500,$K28))</f>
        <v/>
      </c>
      <c r="D28" s="8">
        <f>IF($K28="","",INDEX(מלאי!$Y$2:$Y$500,$K28))</f>
        <v/>
      </c>
      <c r="E28" s="8">
        <f>IF($K28="","",INDEX(מלאי!$Z$2:$Z$500,$K28))</f>
        <v/>
      </c>
      <c r="F28" s="8">
        <f>IF($K28="","",INDEX(מלאי!$AA$2:$AA$500,$K28))</f>
        <v/>
      </c>
      <c r="G28" s="10">
        <f>IF($K28="","",INDEX(מלאי!$F$2:$F$500,$K28))</f>
        <v/>
      </c>
      <c r="H28" s="10">
        <f>IF($K28="","",INDEX(מלאי!$AB$2:$AB$500,$K28))</f>
        <v/>
      </c>
      <c r="I28" s="8">
        <f>IF($K28="","",IF(AND(INDEX(מלאי!$AB$2:$AB$500,$K28)&lt;&gt;"",INDEX(מלאי!$AB$2:$AB$500,$K28)&lt;TODAY()),"באיחור!","תקין"))</f>
        <v/>
      </c>
      <c r="J28" s="8">
        <f>IF($K28="","",INDEX(מלאי!$AC$2:$AC$500,$K28))</f>
        <v/>
      </c>
      <c r="K2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24),"")</f>
        <v/>
      </c>
    </row>
    <row r="29">
      <c r="A29" s="2">
        <f>IF($K29="","",INDEX(מלאי!$D$2:$D$500,$K29))</f>
        <v/>
      </c>
      <c r="B29" s="2">
        <f>IF($K29="","",INDEX(מלאי!$B$2:$B$500,$K29))</f>
        <v/>
      </c>
      <c r="C29" s="2">
        <f>IF($K29="","",INDEX(מלאי!$C$2:$C$500,$K29))</f>
        <v/>
      </c>
      <c r="D29" s="2">
        <f>IF($K29="","",INDEX(מלאי!$Y$2:$Y$500,$K29))</f>
        <v/>
      </c>
      <c r="E29" s="2">
        <f>IF($K29="","",INDEX(מלאי!$Z$2:$Z$500,$K29))</f>
        <v/>
      </c>
      <c r="F29" s="2">
        <f>IF($K29="","",INDEX(מלאי!$AA$2:$AA$500,$K29))</f>
        <v/>
      </c>
      <c r="G29" s="9">
        <f>IF($K29="","",INDEX(מלאי!$F$2:$F$500,$K29))</f>
        <v/>
      </c>
      <c r="H29" s="9">
        <f>IF($K29="","",INDEX(מלאי!$AB$2:$AB$500,$K29))</f>
        <v/>
      </c>
      <c r="I29" s="2">
        <f>IF($K29="","",IF(AND(INDEX(מלאי!$AB$2:$AB$500,$K29)&lt;&gt;"",INDEX(מלאי!$AB$2:$AB$500,$K29)&lt;TODAY()),"באיחור!","תקין"))</f>
        <v/>
      </c>
      <c r="J29" s="2">
        <f>IF($K29="","",INDEX(מלאי!$AC$2:$AC$500,$K29))</f>
        <v/>
      </c>
      <c r="K2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25),"")</f>
        <v/>
      </c>
    </row>
    <row r="30">
      <c r="A30" s="8">
        <f>IF($K30="","",INDEX(מלאי!$D$2:$D$500,$K30))</f>
        <v/>
      </c>
      <c r="B30" s="8">
        <f>IF($K30="","",INDEX(מלאי!$B$2:$B$500,$K30))</f>
        <v/>
      </c>
      <c r="C30" s="8">
        <f>IF($K30="","",INDEX(מלאי!$C$2:$C$500,$K30))</f>
        <v/>
      </c>
      <c r="D30" s="8">
        <f>IF($K30="","",INDEX(מלאי!$Y$2:$Y$500,$K30))</f>
        <v/>
      </c>
      <c r="E30" s="8">
        <f>IF($K30="","",INDEX(מלאי!$Z$2:$Z$500,$K30))</f>
        <v/>
      </c>
      <c r="F30" s="8">
        <f>IF($K30="","",INDEX(מלאי!$AA$2:$AA$500,$K30))</f>
        <v/>
      </c>
      <c r="G30" s="10">
        <f>IF($K30="","",INDEX(מלאי!$F$2:$F$500,$K30))</f>
        <v/>
      </c>
      <c r="H30" s="10">
        <f>IF($K30="","",INDEX(מלאי!$AB$2:$AB$500,$K30))</f>
        <v/>
      </c>
      <c r="I30" s="8">
        <f>IF($K30="","",IF(AND(INDEX(מלאי!$AB$2:$AB$500,$K30)&lt;&gt;"",INDEX(מלאי!$AB$2:$AB$500,$K30)&lt;TODAY()),"באיחור!","תקין"))</f>
        <v/>
      </c>
      <c r="J30" s="8">
        <f>IF($K30="","",INDEX(מלאי!$AC$2:$AC$500,$K30))</f>
        <v/>
      </c>
      <c r="K3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26),"")</f>
        <v/>
      </c>
    </row>
    <row r="31">
      <c r="A31" s="2">
        <f>IF($K31="","",INDEX(מלאי!$D$2:$D$500,$K31))</f>
        <v/>
      </c>
      <c r="B31" s="2">
        <f>IF($K31="","",INDEX(מלאי!$B$2:$B$500,$K31))</f>
        <v/>
      </c>
      <c r="C31" s="2">
        <f>IF($K31="","",INDEX(מלאי!$C$2:$C$500,$K31))</f>
        <v/>
      </c>
      <c r="D31" s="2">
        <f>IF($K31="","",INDEX(מלאי!$Y$2:$Y$500,$K31))</f>
        <v/>
      </c>
      <c r="E31" s="2">
        <f>IF($K31="","",INDEX(מלאי!$Z$2:$Z$500,$K31))</f>
        <v/>
      </c>
      <c r="F31" s="2">
        <f>IF($K31="","",INDEX(מלאי!$AA$2:$AA$500,$K31))</f>
        <v/>
      </c>
      <c r="G31" s="9">
        <f>IF($K31="","",INDEX(מלאי!$F$2:$F$500,$K31))</f>
        <v/>
      </c>
      <c r="H31" s="9">
        <f>IF($K31="","",INDEX(מלאי!$AB$2:$AB$500,$K31))</f>
        <v/>
      </c>
      <c r="I31" s="2">
        <f>IF($K31="","",IF(AND(INDEX(מלאי!$AB$2:$AB$500,$K31)&lt;&gt;"",INDEX(מלאי!$AB$2:$AB$500,$K31)&lt;TODAY()),"באיחור!","תקין"))</f>
        <v/>
      </c>
      <c r="J31" s="2">
        <f>IF($K31="","",INDEX(מלאי!$AC$2:$AC$500,$K31))</f>
        <v/>
      </c>
      <c r="K3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27),"")</f>
        <v/>
      </c>
    </row>
    <row r="32">
      <c r="A32" s="8">
        <f>IF($K32="","",INDEX(מלאי!$D$2:$D$500,$K32))</f>
        <v/>
      </c>
      <c r="B32" s="8">
        <f>IF($K32="","",INDEX(מלאי!$B$2:$B$500,$K32))</f>
        <v/>
      </c>
      <c r="C32" s="8">
        <f>IF($K32="","",INDEX(מלאי!$C$2:$C$500,$K32))</f>
        <v/>
      </c>
      <c r="D32" s="8">
        <f>IF($K32="","",INDEX(מלאי!$Y$2:$Y$500,$K32))</f>
        <v/>
      </c>
      <c r="E32" s="8">
        <f>IF($K32="","",INDEX(מלאי!$Z$2:$Z$500,$K32))</f>
        <v/>
      </c>
      <c r="F32" s="8">
        <f>IF($K32="","",INDEX(מלאי!$AA$2:$AA$500,$K32))</f>
        <v/>
      </c>
      <c r="G32" s="10">
        <f>IF($K32="","",INDEX(מלאי!$F$2:$F$500,$K32))</f>
        <v/>
      </c>
      <c r="H32" s="10">
        <f>IF($K32="","",INDEX(מלאי!$AB$2:$AB$500,$K32))</f>
        <v/>
      </c>
      <c r="I32" s="8">
        <f>IF($K32="","",IF(AND(INDEX(מלאי!$AB$2:$AB$500,$K32)&lt;&gt;"",INDEX(מלאי!$AB$2:$AB$500,$K32)&lt;TODAY()),"באיחור!","תקין"))</f>
        <v/>
      </c>
      <c r="J32" s="8">
        <f>IF($K32="","",INDEX(מלאי!$AC$2:$AC$500,$K32))</f>
        <v/>
      </c>
      <c r="K3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28),"")</f>
        <v/>
      </c>
    </row>
    <row r="33">
      <c r="A33" s="2">
        <f>IF($K33="","",INDEX(מלאי!$D$2:$D$500,$K33))</f>
        <v/>
      </c>
      <c r="B33" s="2">
        <f>IF($K33="","",INDEX(מלאי!$B$2:$B$500,$K33))</f>
        <v/>
      </c>
      <c r="C33" s="2">
        <f>IF($K33="","",INDEX(מלאי!$C$2:$C$500,$K33))</f>
        <v/>
      </c>
      <c r="D33" s="2">
        <f>IF($K33="","",INDEX(מלאי!$Y$2:$Y$500,$K33))</f>
        <v/>
      </c>
      <c r="E33" s="2">
        <f>IF($K33="","",INDEX(מלאי!$Z$2:$Z$500,$K33))</f>
        <v/>
      </c>
      <c r="F33" s="2">
        <f>IF($K33="","",INDEX(מלאי!$AA$2:$AA$500,$K33))</f>
        <v/>
      </c>
      <c r="G33" s="9">
        <f>IF($K33="","",INDEX(מלאי!$F$2:$F$500,$K33))</f>
        <v/>
      </c>
      <c r="H33" s="9">
        <f>IF($K33="","",INDEX(מלאי!$AB$2:$AB$500,$K33))</f>
        <v/>
      </c>
      <c r="I33" s="2">
        <f>IF($K33="","",IF(AND(INDEX(מלאי!$AB$2:$AB$500,$K33)&lt;&gt;"",INDEX(מלאי!$AB$2:$AB$500,$K33)&lt;TODAY()),"באיחור!","תקין"))</f>
        <v/>
      </c>
      <c r="J33" s="2">
        <f>IF($K33="","",INDEX(מלאי!$AC$2:$AC$500,$K33))</f>
        <v/>
      </c>
      <c r="K3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29),"")</f>
        <v/>
      </c>
    </row>
    <row r="34">
      <c r="A34" s="8">
        <f>IF($K34="","",INDEX(מלאי!$D$2:$D$500,$K34))</f>
        <v/>
      </c>
      <c r="B34" s="8">
        <f>IF($K34="","",INDEX(מלאי!$B$2:$B$500,$K34))</f>
        <v/>
      </c>
      <c r="C34" s="8">
        <f>IF($K34="","",INDEX(מלאי!$C$2:$C$500,$K34))</f>
        <v/>
      </c>
      <c r="D34" s="8">
        <f>IF($K34="","",INDEX(מלאי!$Y$2:$Y$500,$K34))</f>
        <v/>
      </c>
      <c r="E34" s="8">
        <f>IF($K34="","",INDEX(מלאי!$Z$2:$Z$500,$K34))</f>
        <v/>
      </c>
      <c r="F34" s="8">
        <f>IF($K34="","",INDEX(מלאי!$AA$2:$AA$500,$K34))</f>
        <v/>
      </c>
      <c r="G34" s="10">
        <f>IF($K34="","",INDEX(מלאי!$F$2:$F$500,$K34))</f>
        <v/>
      </c>
      <c r="H34" s="10">
        <f>IF($K34="","",INDEX(מלאי!$AB$2:$AB$500,$K34))</f>
        <v/>
      </c>
      <c r="I34" s="8">
        <f>IF($K34="","",IF(AND(INDEX(מלאי!$AB$2:$AB$500,$K34)&lt;&gt;"",INDEX(מלאי!$AB$2:$AB$500,$K34)&lt;TODAY()),"באיחור!","תקין"))</f>
        <v/>
      </c>
      <c r="J34" s="8">
        <f>IF($K34="","",INDEX(מלאי!$AC$2:$AC$500,$K34))</f>
        <v/>
      </c>
      <c r="K3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30),"")</f>
        <v/>
      </c>
    </row>
    <row r="35">
      <c r="A35" s="2">
        <f>IF($K35="","",INDEX(מלאי!$D$2:$D$500,$K35))</f>
        <v/>
      </c>
      <c r="B35" s="2">
        <f>IF($K35="","",INDEX(מלאי!$B$2:$B$500,$K35))</f>
        <v/>
      </c>
      <c r="C35" s="2">
        <f>IF($K35="","",INDEX(מלאי!$C$2:$C$500,$K35))</f>
        <v/>
      </c>
      <c r="D35" s="2">
        <f>IF($K35="","",INDEX(מלאי!$Y$2:$Y$500,$K35))</f>
        <v/>
      </c>
      <c r="E35" s="2">
        <f>IF($K35="","",INDEX(מלאי!$Z$2:$Z$500,$K35))</f>
        <v/>
      </c>
      <c r="F35" s="2">
        <f>IF($K35="","",INDEX(מלאי!$AA$2:$AA$500,$K35))</f>
        <v/>
      </c>
      <c r="G35" s="9">
        <f>IF($K35="","",INDEX(מלאי!$F$2:$F$500,$K35))</f>
        <v/>
      </c>
      <c r="H35" s="9">
        <f>IF($K35="","",INDEX(מלאי!$AB$2:$AB$500,$K35))</f>
        <v/>
      </c>
      <c r="I35" s="2">
        <f>IF($K35="","",IF(AND(INDEX(מלאי!$AB$2:$AB$500,$K35)&lt;&gt;"",INDEX(מלאי!$AB$2:$AB$500,$K35)&lt;TODAY()),"באיחור!","תקין"))</f>
        <v/>
      </c>
      <c r="J35" s="2">
        <f>IF($K35="","",INDEX(מלאי!$AC$2:$AC$500,$K35))</f>
        <v/>
      </c>
      <c r="K3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31),"")</f>
        <v/>
      </c>
    </row>
    <row r="36">
      <c r="A36" s="8">
        <f>IF($K36="","",INDEX(מלאי!$D$2:$D$500,$K36))</f>
        <v/>
      </c>
      <c r="B36" s="8">
        <f>IF($K36="","",INDEX(מלאי!$B$2:$B$500,$K36))</f>
        <v/>
      </c>
      <c r="C36" s="8">
        <f>IF($K36="","",INDEX(מלאי!$C$2:$C$500,$K36))</f>
        <v/>
      </c>
      <c r="D36" s="8">
        <f>IF($K36="","",INDEX(מלאי!$Y$2:$Y$500,$K36))</f>
        <v/>
      </c>
      <c r="E36" s="8">
        <f>IF($K36="","",INDEX(מלאי!$Z$2:$Z$500,$K36))</f>
        <v/>
      </c>
      <c r="F36" s="8">
        <f>IF($K36="","",INDEX(מלאי!$AA$2:$AA$500,$K36))</f>
        <v/>
      </c>
      <c r="G36" s="10">
        <f>IF($K36="","",INDEX(מלאי!$F$2:$F$500,$K36))</f>
        <v/>
      </c>
      <c r="H36" s="10">
        <f>IF($K36="","",INDEX(מלאי!$AB$2:$AB$500,$K36))</f>
        <v/>
      </c>
      <c r="I36" s="8">
        <f>IF($K36="","",IF(AND(INDEX(מלאי!$AB$2:$AB$500,$K36)&lt;&gt;"",INDEX(מלאי!$AB$2:$AB$500,$K36)&lt;TODAY()),"באיחור!","תקין"))</f>
        <v/>
      </c>
      <c r="J36" s="8">
        <f>IF($K36="","",INDEX(מלאי!$AC$2:$AC$500,$K36))</f>
        <v/>
      </c>
      <c r="K3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32),"")</f>
        <v/>
      </c>
    </row>
    <row r="37">
      <c r="A37" s="2">
        <f>IF($K37="","",INDEX(מלאי!$D$2:$D$500,$K37))</f>
        <v/>
      </c>
      <c r="B37" s="2">
        <f>IF($K37="","",INDEX(מלאי!$B$2:$B$500,$K37))</f>
        <v/>
      </c>
      <c r="C37" s="2">
        <f>IF($K37="","",INDEX(מלאי!$C$2:$C$500,$K37))</f>
        <v/>
      </c>
      <c r="D37" s="2">
        <f>IF($K37="","",INDEX(מלאי!$Y$2:$Y$500,$K37))</f>
        <v/>
      </c>
      <c r="E37" s="2">
        <f>IF($K37="","",INDEX(מלאי!$Z$2:$Z$500,$K37))</f>
        <v/>
      </c>
      <c r="F37" s="2">
        <f>IF($K37="","",INDEX(מלאי!$AA$2:$AA$500,$K37))</f>
        <v/>
      </c>
      <c r="G37" s="9">
        <f>IF($K37="","",INDEX(מלאי!$F$2:$F$500,$K37))</f>
        <v/>
      </c>
      <c r="H37" s="9">
        <f>IF($K37="","",INDEX(מלאי!$AB$2:$AB$500,$K37))</f>
        <v/>
      </c>
      <c r="I37" s="2">
        <f>IF($K37="","",IF(AND(INDEX(מלאי!$AB$2:$AB$500,$K37)&lt;&gt;"",INDEX(מלאי!$AB$2:$AB$500,$K37)&lt;TODAY()),"באיחור!","תקין"))</f>
        <v/>
      </c>
      <c r="J37" s="2">
        <f>IF($K37="","",INDEX(מלאי!$AC$2:$AC$500,$K37))</f>
        <v/>
      </c>
      <c r="K3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33),"")</f>
        <v/>
      </c>
    </row>
    <row r="38">
      <c r="A38" s="8">
        <f>IF($K38="","",INDEX(מלאי!$D$2:$D$500,$K38))</f>
        <v/>
      </c>
      <c r="B38" s="8">
        <f>IF($K38="","",INDEX(מלאי!$B$2:$B$500,$K38))</f>
        <v/>
      </c>
      <c r="C38" s="8">
        <f>IF($K38="","",INDEX(מלאי!$C$2:$C$500,$K38))</f>
        <v/>
      </c>
      <c r="D38" s="8">
        <f>IF($K38="","",INDEX(מלאי!$Y$2:$Y$500,$K38))</f>
        <v/>
      </c>
      <c r="E38" s="8">
        <f>IF($K38="","",INDEX(מלאי!$Z$2:$Z$500,$K38))</f>
        <v/>
      </c>
      <c r="F38" s="8">
        <f>IF($K38="","",INDEX(מלאי!$AA$2:$AA$500,$K38))</f>
        <v/>
      </c>
      <c r="G38" s="10">
        <f>IF($K38="","",INDEX(מלאי!$F$2:$F$500,$K38))</f>
        <v/>
      </c>
      <c r="H38" s="10">
        <f>IF($K38="","",INDEX(מלאי!$AB$2:$AB$500,$K38))</f>
        <v/>
      </c>
      <c r="I38" s="8">
        <f>IF($K38="","",IF(AND(INDEX(מלאי!$AB$2:$AB$500,$K38)&lt;&gt;"",INDEX(מלאי!$AB$2:$AB$500,$K38)&lt;TODAY()),"באיחור!","תקין"))</f>
        <v/>
      </c>
      <c r="J38" s="8">
        <f>IF($K38="","",INDEX(מלאי!$AC$2:$AC$500,$K38))</f>
        <v/>
      </c>
      <c r="K3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34),"")</f>
        <v/>
      </c>
    </row>
    <row r="39">
      <c r="A39" s="2">
        <f>IF($K39="","",INDEX(מלאי!$D$2:$D$500,$K39))</f>
        <v/>
      </c>
      <c r="B39" s="2">
        <f>IF($K39="","",INDEX(מלאי!$B$2:$B$500,$K39))</f>
        <v/>
      </c>
      <c r="C39" s="2">
        <f>IF($K39="","",INDEX(מלאי!$C$2:$C$500,$K39))</f>
        <v/>
      </c>
      <c r="D39" s="2">
        <f>IF($K39="","",INDEX(מלאי!$Y$2:$Y$500,$K39))</f>
        <v/>
      </c>
      <c r="E39" s="2">
        <f>IF($K39="","",INDEX(מלאי!$Z$2:$Z$500,$K39))</f>
        <v/>
      </c>
      <c r="F39" s="2">
        <f>IF($K39="","",INDEX(מלאי!$AA$2:$AA$500,$K39))</f>
        <v/>
      </c>
      <c r="G39" s="9">
        <f>IF($K39="","",INDEX(מלאי!$F$2:$F$500,$K39))</f>
        <v/>
      </c>
      <c r="H39" s="9">
        <f>IF($K39="","",INDEX(מלאי!$AB$2:$AB$500,$K39))</f>
        <v/>
      </c>
      <c r="I39" s="2">
        <f>IF($K39="","",IF(AND(INDEX(מלאי!$AB$2:$AB$500,$K39)&lt;&gt;"",INDEX(מלאי!$AB$2:$AB$500,$K39)&lt;TODAY()),"באיחור!","תקין"))</f>
        <v/>
      </c>
      <c r="J39" s="2">
        <f>IF($K39="","",INDEX(מלאי!$AC$2:$AC$500,$K39))</f>
        <v/>
      </c>
      <c r="K3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35),"")</f>
        <v/>
      </c>
    </row>
    <row r="40">
      <c r="A40" s="8">
        <f>IF($K40="","",INDEX(מלאי!$D$2:$D$500,$K40))</f>
        <v/>
      </c>
      <c r="B40" s="8">
        <f>IF($K40="","",INDEX(מלאי!$B$2:$B$500,$K40))</f>
        <v/>
      </c>
      <c r="C40" s="8">
        <f>IF($K40="","",INDEX(מלאי!$C$2:$C$500,$K40))</f>
        <v/>
      </c>
      <c r="D40" s="8">
        <f>IF($K40="","",INDEX(מלאי!$Y$2:$Y$500,$K40))</f>
        <v/>
      </c>
      <c r="E40" s="8">
        <f>IF($K40="","",INDEX(מלאי!$Z$2:$Z$500,$K40))</f>
        <v/>
      </c>
      <c r="F40" s="8">
        <f>IF($K40="","",INDEX(מלאי!$AA$2:$AA$500,$K40))</f>
        <v/>
      </c>
      <c r="G40" s="10">
        <f>IF($K40="","",INDEX(מלאי!$F$2:$F$500,$K40))</f>
        <v/>
      </c>
      <c r="H40" s="10">
        <f>IF($K40="","",INDEX(מלאי!$AB$2:$AB$500,$K40))</f>
        <v/>
      </c>
      <c r="I40" s="8">
        <f>IF($K40="","",IF(AND(INDEX(מלאי!$AB$2:$AB$500,$K40)&lt;&gt;"",INDEX(מלאי!$AB$2:$AB$500,$K40)&lt;TODAY()),"באיחור!","תקין"))</f>
        <v/>
      </c>
      <c r="J40" s="8">
        <f>IF($K40="","",INDEX(מלאי!$AC$2:$AC$500,$K40))</f>
        <v/>
      </c>
      <c r="K4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36),"")</f>
        <v/>
      </c>
    </row>
    <row r="41">
      <c r="A41" s="2">
        <f>IF($K41="","",INDEX(מלאי!$D$2:$D$500,$K41))</f>
        <v/>
      </c>
      <c r="B41" s="2">
        <f>IF($K41="","",INDEX(מלאי!$B$2:$B$500,$K41))</f>
        <v/>
      </c>
      <c r="C41" s="2">
        <f>IF($K41="","",INDEX(מלאי!$C$2:$C$500,$K41))</f>
        <v/>
      </c>
      <c r="D41" s="2">
        <f>IF($K41="","",INDEX(מלאי!$Y$2:$Y$500,$K41))</f>
        <v/>
      </c>
      <c r="E41" s="2">
        <f>IF($K41="","",INDEX(מלאי!$Z$2:$Z$500,$K41))</f>
        <v/>
      </c>
      <c r="F41" s="2">
        <f>IF($K41="","",INDEX(מלאי!$AA$2:$AA$500,$K41))</f>
        <v/>
      </c>
      <c r="G41" s="9">
        <f>IF($K41="","",INDEX(מלאי!$F$2:$F$500,$K41))</f>
        <v/>
      </c>
      <c r="H41" s="9">
        <f>IF($K41="","",INDEX(מלאי!$AB$2:$AB$500,$K41))</f>
        <v/>
      </c>
      <c r="I41" s="2">
        <f>IF($K41="","",IF(AND(INDEX(מלאי!$AB$2:$AB$500,$K41)&lt;&gt;"",INDEX(מלאי!$AB$2:$AB$500,$K41)&lt;TODAY()),"באיחור!","תקין"))</f>
        <v/>
      </c>
      <c r="J41" s="2">
        <f>IF($K41="","",INDEX(מלאי!$AC$2:$AC$500,$K41))</f>
        <v/>
      </c>
      <c r="K4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37),"")</f>
        <v/>
      </c>
    </row>
    <row r="42">
      <c r="A42" s="8">
        <f>IF($K42="","",INDEX(מלאי!$D$2:$D$500,$K42))</f>
        <v/>
      </c>
      <c r="B42" s="8">
        <f>IF($K42="","",INDEX(מלאי!$B$2:$B$500,$K42))</f>
        <v/>
      </c>
      <c r="C42" s="8">
        <f>IF($K42="","",INDEX(מלאי!$C$2:$C$500,$K42))</f>
        <v/>
      </c>
      <c r="D42" s="8">
        <f>IF($K42="","",INDEX(מלאי!$Y$2:$Y$500,$K42))</f>
        <v/>
      </c>
      <c r="E42" s="8">
        <f>IF($K42="","",INDEX(מלאי!$Z$2:$Z$500,$K42))</f>
        <v/>
      </c>
      <c r="F42" s="8">
        <f>IF($K42="","",INDEX(מלאי!$AA$2:$AA$500,$K42))</f>
        <v/>
      </c>
      <c r="G42" s="10">
        <f>IF($K42="","",INDEX(מלאי!$F$2:$F$500,$K42))</f>
        <v/>
      </c>
      <c r="H42" s="10">
        <f>IF($K42="","",INDEX(מלאי!$AB$2:$AB$500,$K42))</f>
        <v/>
      </c>
      <c r="I42" s="8">
        <f>IF($K42="","",IF(AND(INDEX(מלאי!$AB$2:$AB$500,$K42)&lt;&gt;"",INDEX(מלאי!$AB$2:$AB$500,$K42)&lt;TODAY()),"באיחור!","תקין"))</f>
        <v/>
      </c>
      <c r="J42" s="8">
        <f>IF($K42="","",INDEX(מלאי!$AC$2:$AC$500,$K42))</f>
        <v/>
      </c>
      <c r="K4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38),"")</f>
        <v/>
      </c>
    </row>
    <row r="43">
      <c r="A43" s="2">
        <f>IF($K43="","",INDEX(מלאי!$D$2:$D$500,$K43))</f>
        <v/>
      </c>
      <c r="B43" s="2">
        <f>IF($K43="","",INDEX(מלאי!$B$2:$B$500,$K43))</f>
        <v/>
      </c>
      <c r="C43" s="2">
        <f>IF($K43="","",INDEX(מלאי!$C$2:$C$500,$K43))</f>
        <v/>
      </c>
      <c r="D43" s="2">
        <f>IF($K43="","",INDEX(מלאי!$Y$2:$Y$500,$K43))</f>
        <v/>
      </c>
      <c r="E43" s="2">
        <f>IF($K43="","",INDEX(מלאי!$Z$2:$Z$500,$K43))</f>
        <v/>
      </c>
      <c r="F43" s="2">
        <f>IF($K43="","",INDEX(מלאי!$AA$2:$AA$500,$K43))</f>
        <v/>
      </c>
      <c r="G43" s="9">
        <f>IF($K43="","",INDEX(מלאי!$F$2:$F$500,$K43))</f>
        <v/>
      </c>
      <c r="H43" s="9">
        <f>IF($K43="","",INDEX(מלאי!$AB$2:$AB$500,$K43))</f>
        <v/>
      </c>
      <c r="I43" s="2">
        <f>IF($K43="","",IF(AND(INDEX(מלאי!$AB$2:$AB$500,$K43)&lt;&gt;"",INDEX(מלאי!$AB$2:$AB$500,$K43)&lt;TODAY()),"באיחור!","תקין"))</f>
        <v/>
      </c>
      <c r="J43" s="2">
        <f>IF($K43="","",INDEX(מלאי!$AC$2:$AC$500,$K43))</f>
        <v/>
      </c>
      <c r="K4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39),"")</f>
        <v/>
      </c>
    </row>
    <row r="44">
      <c r="A44" s="8">
        <f>IF($K44="","",INDEX(מלאי!$D$2:$D$500,$K44))</f>
        <v/>
      </c>
      <c r="B44" s="8">
        <f>IF($K44="","",INDEX(מלאי!$B$2:$B$500,$K44))</f>
        <v/>
      </c>
      <c r="C44" s="8">
        <f>IF($K44="","",INDEX(מלאי!$C$2:$C$500,$K44))</f>
        <v/>
      </c>
      <c r="D44" s="8">
        <f>IF($K44="","",INDEX(מלאי!$Y$2:$Y$500,$K44))</f>
        <v/>
      </c>
      <c r="E44" s="8">
        <f>IF($K44="","",INDEX(מלאי!$Z$2:$Z$500,$K44))</f>
        <v/>
      </c>
      <c r="F44" s="8">
        <f>IF($K44="","",INDEX(מלאי!$AA$2:$AA$500,$K44))</f>
        <v/>
      </c>
      <c r="G44" s="10">
        <f>IF($K44="","",INDEX(מלאי!$F$2:$F$500,$K44))</f>
        <v/>
      </c>
      <c r="H44" s="10">
        <f>IF($K44="","",INDEX(מלאי!$AB$2:$AB$500,$K44))</f>
        <v/>
      </c>
      <c r="I44" s="8">
        <f>IF($K44="","",IF(AND(INDEX(מלאי!$AB$2:$AB$500,$K44)&lt;&gt;"",INDEX(מלאי!$AB$2:$AB$500,$K44)&lt;TODAY()),"באיחור!","תקין"))</f>
        <v/>
      </c>
      <c r="J44" s="8">
        <f>IF($K44="","",INDEX(מלאי!$AC$2:$AC$500,$K44))</f>
        <v/>
      </c>
      <c r="K4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40),"")</f>
        <v/>
      </c>
    </row>
    <row r="45">
      <c r="A45" s="2">
        <f>IF($K45="","",INDEX(מלאי!$D$2:$D$500,$K45))</f>
        <v/>
      </c>
      <c r="B45" s="2">
        <f>IF($K45="","",INDEX(מלאי!$B$2:$B$500,$K45))</f>
        <v/>
      </c>
      <c r="C45" s="2">
        <f>IF($K45="","",INDEX(מלאי!$C$2:$C$500,$K45))</f>
        <v/>
      </c>
      <c r="D45" s="2">
        <f>IF($K45="","",INDEX(מלאי!$Y$2:$Y$500,$K45))</f>
        <v/>
      </c>
      <c r="E45" s="2">
        <f>IF($K45="","",INDEX(מלאי!$Z$2:$Z$500,$K45))</f>
        <v/>
      </c>
      <c r="F45" s="2">
        <f>IF($K45="","",INDEX(מלאי!$AA$2:$AA$500,$K45))</f>
        <v/>
      </c>
      <c r="G45" s="9">
        <f>IF($K45="","",INDEX(מלאי!$F$2:$F$500,$K45))</f>
        <v/>
      </c>
      <c r="H45" s="9">
        <f>IF($K45="","",INDEX(מלאי!$AB$2:$AB$500,$K45))</f>
        <v/>
      </c>
      <c r="I45" s="2">
        <f>IF($K45="","",IF(AND(INDEX(מלאי!$AB$2:$AB$500,$K45)&lt;&gt;"",INDEX(מלאי!$AB$2:$AB$500,$K45)&lt;TODAY()),"באיחור!","תקין"))</f>
        <v/>
      </c>
      <c r="J45" s="2">
        <f>IF($K45="","",INDEX(מלאי!$AC$2:$AC$500,$K45))</f>
        <v/>
      </c>
      <c r="K4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41),"")</f>
        <v/>
      </c>
    </row>
    <row r="46">
      <c r="A46" s="8">
        <f>IF($K46="","",INDEX(מלאי!$D$2:$D$500,$K46))</f>
        <v/>
      </c>
      <c r="B46" s="8">
        <f>IF($K46="","",INDEX(מלאי!$B$2:$B$500,$K46))</f>
        <v/>
      </c>
      <c r="C46" s="8">
        <f>IF($K46="","",INDEX(מלאי!$C$2:$C$500,$K46))</f>
        <v/>
      </c>
      <c r="D46" s="8">
        <f>IF($K46="","",INDEX(מלאי!$Y$2:$Y$500,$K46))</f>
        <v/>
      </c>
      <c r="E46" s="8">
        <f>IF($K46="","",INDEX(מלאי!$Z$2:$Z$500,$K46))</f>
        <v/>
      </c>
      <c r="F46" s="8">
        <f>IF($K46="","",INDEX(מלאי!$AA$2:$AA$500,$K46))</f>
        <v/>
      </c>
      <c r="G46" s="10">
        <f>IF($K46="","",INDEX(מלאי!$F$2:$F$500,$K46))</f>
        <v/>
      </c>
      <c r="H46" s="10">
        <f>IF($K46="","",INDEX(מלאי!$AB$2:$AB$500,$K46))</f>
        <v/>
      </c>
      <c r="I46" s="8">
        <f>IF($K46="","",IF(AND(INDEX(מלאי!$AB$2:$AB$500,$K46)&lt;&gt;"",INDEX(מלאי!$AB$2:$AB$500,$K46)&lt;TODAY()),"באיחור!","תקין"))</f>
        <v/>
      </c>
      <c r="J46" s="8">
        <f>IF($K46="","",INDEX(מלאי!$AC$2:$AC$500,$K46))</f>
        <v/>
      </c>
      <c r="K4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42),"")</f>
        <v/>
      </c>
    </row>
    <row r="47">
      <c r="A47" s="2">
        <f>IF($K47="","",INDEX(מלאי!$D$2:$D$500,$K47))</f>
        <v/>
      </c>
      <c r="B47" s="2">
        <f>IF($K47="","",INDEX(מלאי!$B$2:$B$500,$K47))</f>
        <v/>
      </c>
      <c r="C47" s="2">
        <f>IF($K47="","",INDEX(מלאי!$C$2:$C$500,$K47))</f>
        <v/>
      </c>
      <c r="D47" s="2">
        <f>IF($K47="","",INDEX(מלאי!$Y$2:$Y$500,$K47))</f>
        <v/>
      </c>
      <c r="E47" s="2">
        <f>IF($K47="","",INDEX(מלאי!$Z$2:$Z$500,$K47))</f>
        <v/>
      </c>
      <c r="F47" s="2">
        <f>IF($K47="","",INDEX(מלאי!$AA$2:$AA$500,$K47))</f>
        <v/>
      </c>
      <c r="G47" s="9">
        <f>IF($K47="","",INDEX(מלאי!$F$2:$F$500,$K47))</f>
        <v/>
      </c>
      <c r="H47" s="9">
        <f>IF($K47="","",INDEX(מלאי!$AB$2:$AB$500,$K47))</f>
        <v/>
      </c>
      <c r="I47" s="2">
        <f>IF($K47="","",IF(AND(INDEX(מלאי!$AB$2:$AB$500,$K47)&lt;&gt;"",INDEX(מלאי!$AB$2:$AB$500,$K47)&lt;TODAY()),"באיחור!","תקין"))</f>
        <v/>
      </c>
      <c r="J47" s="2">
        <f>IF($K47="","",INDEX(מלאי!$AC$2:$AC$500,$K47))</f>
        <v/>
      </c>
      <c r="K4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43),"")</f>
        <v/>
      </c>
    </row>
    <row r="48">
      <c r="A48" s="8">
        <f>IF($K48="","",INDEX(מלאי!$D$2:$D$500,$K48))</f>
        <v/>
      </c>
      <c r="B48" s="8">
        <f>IF($K48="","",INDEX(מלאי!$B$2:$B$500,$K48))</f>
        <v/>
      </c>
      <c r="C48" s="8">
        <f>IF($K48="","",INDEX(מלאי!$C$2:$C$500,$K48))</f>
        <v/>
      </c>
      <c r="D48" s="8">
        <f>IF($K48="","",INDEX(מלאי!$Y$2:$Y$500,$K48))</f>
        <v/>
      </c>
      <c r="E48" s="8">
        <f>IF($K48="","",INDEX(מלאי!$Z$2:$Z$500,$K48))</f>
        <v/>
      </c>
      <c r="F48" s="8">
        <f>IF($K48="","",INDEX(מלאי!$AA$2:$AA$500,$K48))</f>
        <v/>
      </c>
      <c r="G48" s="10">
        <f>IF($K48="","",INDEX(מלאי!$F$2:$F$500,$K48))</f>
        <v/>
      </c>
      <c r="H48" s="10">
        <f>IF($K48="","",INDEX(מלאי!$AB$2:$AB$500,$K48))</f>
        <v/>
      </c>
      <c r="I48" s="8">
        <f>IF($K48="","",IF(AND(INDEX(מלאי!$AB$2:$AB$500,$K48)&lt;&gt;"",INDEX(מלאי!$AB$2:$AB$500,$K48)&lt;TODAY()),"באיחור!","תקין"))</f>
        <v/>
      </c>
      <c r="J48" s="8">
        <f>IF($K48="","",INDEX(מלאי!$AC$2:$AC$500,$K48))</f>
        <v/>
      </c>
      <c r="K4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44),"")</f>
        <v/>
      </c>
    </row>
    <row r="49">
      <c r="A49" s="2">
        <f>IF($K49="","",INDEX(מלאי!$D$2:$D$500,$K49))</f>
        <v/>
      </c>
      <c r="B49" s="2">
        <f>IF($K49="","",INDEX(מלאי!$B$2:$B$500,$K49))</f>
        <v/>
      </c>
      <c r="C49" s="2">
        <f>IF($K49="","",INDEX(מלאי!$C$2:$C$500,$K49))</f>
        <v/>
      </c>
      <c r="D49" s="2">
        <f>IF($K49="","",INDEX(מלאי!$Y$2:$Y$500,$K49))</f>
        <v/>
      </c>
      <c r="E49" s="2">
        <f>IF($K49="","",INDEX(מלאי!$Z$2:$Z$500,$K49))</f>
        <v/>
      </c>
      <c r="F49" s="2">
        <f>IF($K49="","",INDEX(מלאי!$AA$2:$AA$500,$K49))</f>
        <v/>
      </c>
      <c r="G49" s="9">
        <f>IF($K49="","",INDEX(מלאי!$F$2:$F$500,$K49))</f>
        <v/>
      </c>
      <c r="H49" s="9">
        <f>IF($K49="","",INDEX(מלאי!$AB$2:$AB$500,$K49))</f>
        <v/>
      </c>
      <c r="I49" s="2">
        <f>IF($K49="","",IF(AND(INDEX(מלאי!$AB$2:$AB$500,$K49)&lt;&gt;"",INDEX(מלאי!$AB$2:$AB$500,$K49)&lt;TODAY()),"באיחור!","תקין"))</f>
        <v/>
      </c>
      <c r="J49" s="2">
        <f>IF($K49="","",INDEX(מלאי!$AC$2:$AC$500,$K49))</f>
        <v/>
      </c>
      <c r="K4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45),"")</f>
        <v/>
      </c>
    </row>
    <row r="50">
      <c r="A50" s="8">
        <f>IF($K50="","",INDEX(מלאי!$D$2:$D$500,$K50))</f>
        <v/>
      </c>
      <c r="B50" s="8">
        <f>IF($K50="","",INDEX(מלאי!$B$2:$B$500,$K50))</f>
        <v/>
      </c>
      <c r="C50" s="8">
        <f>IF($K50="","",INDEX(מלאי!$C$2:$C$500,$K50))</f>
        <v/>
      </c>
      <c r="D50" s="8">
        <f>IF($K50="","",INDEX(מלאי!$Y$2:$Y$500,$K50))</f>
        <v/>
      </c>
      <c r="E50" s="8">
        <f>IF($K50="","",INDEX(מלאי!$Z$2:$Z$500,$K50))</f>
        <v/>
      </c>
      <c r="F50" s="8">
        <f>IF($K50="","",INDEX(מלאי!$AA$2:$AA$500,$K50))</f>
        <v/>
      </c>
      <c r="G50" s="10">
        <f>IF($K50="","",INDEX(מלאי!$F$2:$F$500,$K50))</f>
        <v/>
      </c>
      <c r="H50" s="10">
        <f>IF($K50="","",INDEX(מלאי!$AB$2:$AB$500,$K50))</f>
        <v/>
      </c>
      <c r="I50" s="8">
        <f>IF($K50="","",IF(AND(INDEX(מלאי!$AB$2:$AB$500,$K50)&lt;&gt;"",INDEX(מלאי!$AB$2:$AB$500,$K50)&lt;TODAY()),"באיחור!","תקין"))</f>
        <v/>
      </c>
      <c r="J50" s="8">
        <f>IF($K50="","",INDEX(מלאי!$AC$2:$AC$500,$K50))</f>
        <v/>
      </c>
      <c r="K5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46),"")</f>
        <v/>
      </c>
    </row>
    <row r="51">
      <c r="A51" s="2">
        <f>IF($K51="","",INDEX(מלאי!$D$2:$D$500,$K51))</f>
        <v/>
      </c>
      <c r="B51" s="2">
        <f>IF($K51="","",INDEX(מלאי!$B$2:$B$500,$K51))</f>
        <v/>
      </c>
      <c r="C51" s="2">
        <f>IF($K51="","",INDEX(מלאי!$C$2:$C$500,$K51))</f>
        <v/>
      </c>
      <c r="D51" s="2">
        <f>IF($K51="","",INDEX(מלאי!$Y$2:$Y$500,$K51))</f>
        <v/>
      </c>
      <c r="E51" s="2">
        <f>IF($K51="","",INDEX(מלאי!$Z$2:$Z$500,$K51))</f>
        <v/>
      </c>
      <c r="F51" s="2">
        <f>IF($K51="","",INDEX(מלאי!$AA$2:$AA$500,$K51))</f>
        <v/>
      </c>
      <c r="G51" s="9">
        <f>IF($K51="","",INDEX(מלאי!$F$2:$F$500,$K51))</f>
        <v/>
      </c>
      <c r="H51" s="9">
        <f>IF($K51="","",INDEX(מלאי!$AB$2:$AB$500,$K51))</f>
        <v/>
      </c>
      <c r="I51" s="2">
        <f>IF($K51="","",IF(AND(INDEX(מלאי!$AB$2:$AB$500,$K51)&lt;&gt;"",INDEX(מלאי!$AB$2:$AB$500,$K51)&lt;TODAY()),"באיחור!","תקין"))</f>
        <v/>
      </c>
      <c r="J51" s="2">
        <f>IF($K51="","",INDEX(מלאי!$AC$2:$AC$500,$K51))</f>
        <v/>
      </c>
      <c r="K5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47),"")</f>
        <v/>
      </c>
    </row>
    <row r="52">
      <c r="A52" s="8">
        <f>IF($K52="","",INDEX(מלאי!$D$2:$D$500,$K52))</f>
        <v/>
      </c>
      <c r="B52" s="8">
        <f>IF($K52="","",INDEX(מלאי!$B$2:$B$500,$K52))</f>
        <v/>
      </c>
      <c r="C52" s="8">
        <f>IF($K52="","",INDEX(מלאי!$C$2:$C$500,$K52))</f>
        <v/>
      </c>
      <c r="D52" s="8">
        <f>IF($K52="","",INDEX(מלאי!$Y$2:$Y$500,$K52))</f>
        <v/>
      </c>
      <c r="E52" s="8">
        <f>IF($K52="","",INDEX(מלאי!$Z$2:$Z$500,$K52))</f>
        <v/>
      </c>
      <c r="F52" s="8">
        <f>IF($K52="","",INDEX(מלאי!$AA$2:$AA$500,$K52))</f>
        <v/>
      </c>
      <c r="G52" s="10">
        <f>IF($K52="","",INDEX(מלאי!$F$2:$F$500,$K52))</f>
        <v/>
      </c>
      <c r="H52" s="10">
        <f>IF($K52="","",INDEX(מלאי!$AB$2:$AB$500,$K52))</f>
        <v/>
      </c>
      <c r="I52" s="8">
        <f>IF($K52="","",IF(AND(INDEX(מלאי!$AB$2:$AB$500,$K52)&lt;&gt;"",INDEX(מלאי!$AB$2:$AB$500,$K52)&lt;TODAY()),"באיחור!","תקין"))</f>
        <v/>
      </c>
      <c r="J52" s="8">
        <f>IF($K52="","",INDEX(מלאי!$AC$2:$AC$500,$K52))</f>
        <v/>
      </c>
      <c r="K5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48),"")</f>
        <v/>
      </c>
    </row>
    <row r="53">
      <c r="A53" s="2">
        <f>IF($K53="","",INDEX(מלאי!$D$2:$D$500,$K53))</f>
        <v/>
      </c>
      <c r="B53" s="2">
        <f>IF($K53="","",INDEX(מלאי!$B$2:$B$500,$K53))</f>
        <v/>
      </c>
      <c r="C53" s="2">
        <f>IF($K53="","",INDEX(מלאי!$C$2:$C$500,$K53))</f>
        <v/>
      </c>
      <c r="D53" s="2">
        <f>IF($K53="","",INDEX(מלאי!$Y$2:$Y$500,$K53))</f>
        <v/>
      </c>
      <c r="E53" s="2">
        <f>IF($K53="","",INDEX(מלאי!$Z$2:$Z$500,$K53))</f>
        <v/>
      </c>
      <c r="F53" s="2">
        <f>IF($K53="","",INDEX(מלאי!$AA$2:$AA$500,$K53))</f>
        <v/>
      </c>
      <c r="G53" s="9">
        <f>IF($K53="","",INDEX(מלאי!$F$2:$F$500,$K53))</f>
        <v/>
      </c>
      <c r="H53" s="9">
        <f>IF($K53="","",INDEX(מלאי!$AB$2:$AB$500,$K53))</f>
        <v/>
      </c>
      <c r="I53" s="2">
        <f>IF($K53="","",IF(AND(INDEX(מלאי!$AB$2:$AB$500,$K53)&lt;&gt;"",INDEX(מלאי!$AB$2:$AB$500,$K53)&lt;TODAY()),"באיחור!","תקין"))</f>
        <v/>
      </c>
      <c r="J53" s="2">
        <f>IF($K53="","",INDEX(מלאי!$AC$2:$AC$500,$K53))</f>
        <v/>
      </c>
      <c r="K5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49),"")</f>
        <v/>
      </c>
    </row>
    <row r="54">
      <c r="A54" s="8">
        <f>IF($K54="","",INDEX(מלאי!$D$2:$D$500,$K54))</f>
        <v/>
      </c>
      <c r="B54" s="8">
        <f>IF($K54="","",INDEX(מלאי!$B$2:$B$500,$K54))</f>
        <v/>
      </c>
      <c r="C54" s="8">
        <f>IF($K54="","",INDEX(מלאי!$C$2:$C$500,$K54))</f>
        <v/>
      </c>
      <c r="D54" s="8">
        <f>IF($K54="","",INDEX(מלאי!$Y$2:$Y$500,$K54))</f>
        <v/>
      </c>
      <c r="E54" s="8">
        <f>IF($K54="","",INDEX(מלאי!$Z$2:$Z$500,$K54))</f>
        <v/>
      </c>
      <c r="F54" s="8">
        <f>IF($K54="","",INDEX(מלאי!$AA$2:$AA$500,$K54))</f>
        <v/>
      </c>
      <c r="G54" s="10">
        <f>IF($K54="","",INDEX(מלאי!$F$2:$F$500,$K54))</f>
        <v/>
      </c>
      <c r="H54" s="10">
        <f>IF($K54="","",INDEX(מלאי!$AB$2:$AB$500,$K54))</f>
        <v/>
      </c>
      <c r="I54" s="8">
        <f>IF($K54="","",IF(AND(INDEX(מלאי!$AB$2:$AB$500,$K54)&lt;&gt;"",INDEX(מלאי!$AB$2:$AB$500,$K54)&lt;TODAY()),"באיחור!","תקין"))</f>
        <v/>
      </c>
      <c r="J54" s="8">
        <f>IF($K54="","",INDEX(מלאי!$AC$2:$AC$500,$K54))</f>
        <v/>
      </c>
      <c r="K5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50),"")</f>
        <v/>
      </c>
    </row>
    <row r="55">
      <c r="A55" s="2">
        <f>IF($K55="","",INDEX(מלאי!$D$2:$D$500,$K55))</f>
        <v/>
      </c>
      <c r="B55" s="2">
        <f>IF($K55="","",INDEX(מלאי!$B$2:$B$500,$K55))</f>
        <v/>
      </c>
      <c r="C55" s="2">
        <f>IF($K55="","",INDEX(מלאי!$C$2:$C$500,$K55))</f>
        <v/>
      </c>
      <c r="D55" s="2">
        <f>IF($K55="","",INDEX(מלאי!$Y$2:$Y$500,$K55))</f>
        <v/>
      </c>
      <c r="E55" s="2">
        <f>IF($K55="","",INDEX(מלאי!$Z$2:$Z$500,$K55))</f>
        <v/>
      </c>
      <c r="F55" s="2">
        <f>IF($K55="","",INDEX(מלאי!$AA$2:$AA$500,$K55))</f>
        <v/>
      </c>
      <c r="G55" s="9">
        <f>IF($K55="","",INDEX(מלאי!$F$2:$F$500,$K55))</f>
        <v/>
      </c>
      <c r="H55" s="9">
        <f>IF($K55="","",INDEX(מלאי!$AB$2:$AB$500,$K55))</f>
        <v/>
      </c>
      <c r="I55" s="2">
        <f>IF($K55="","",IF(AND(INDEX(מלאי!$AB$2:$AB$500,$K55)&lt;&gt;"",INDEX(מלאי!$AB$2:$AB$500,$K55)&lt;TODAY()),"באיחור!","תקין"))</f>
        <v/>
      </c>
      <c r="J55" s="2">
        <f>IF($K55="","",INDEX(מלאי!$AC$2:$AC$500,$K55))</f>
        <v/>
      </c>
      <c r="K5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51),"")</f>
        <v/>
      </c>
    </row>
    <row r="56">
      <c r="A56" s="8">
        <f>IF($K56="","",INDEX(מלאי!$D$2:$D$500,$K56))</f>
        <v/>
      </c>
      <c r="B56" s="8">
        <f>IF($K56="","",INDEX(מלאי!$B$2:$B$500,$K56))</f>
        <v/>
      </c>
      <c r="C56" s="8">
        <f>IF($K56="","",INDEX(מלאי!$C$2:$C$500,$K56))</f>
        <v/>
      </c>
      <c r="D56" s="8">
        <f>IF($K56="","",INDEX(מלאי!$Y$2:$Y$500,$K56))</f>
        <v/>
      </c>
      <c r="E56" s="8">
        <f>IF($K56="","",INDEX(מלאי!$Z$2:$Z$500,$K56))</f>
        <v/>
      </c>
      <c r="F56" s="8">
        <f>IF($K56="","",INDEX(מלאי!$AA$2:$AA$500,$K56))</f>
        <v/>
      </c>
      <c r="G56" s="10">
        <f>IF($K56="","",INDEX(מלאי!$F$2:$F$500,$K56))</f>
        <v/>
      </c>
      <c r="H56" s="10">
        <f>IF($K56="","",INDEX(מלאי!$AB$2:$AB$500,$K56))</f>
        <v/>
      </c>
      <c r="I56" s="8">
        <f>IF($K56="","",IF(AND(INDEX(מלאי!$AB$2:$AB$500,$K56)&lt;&gt;"",INDEX(מלאי!$AB$2:$AB$500,$K56)&lt;TODAY()),"באיחור!","תקין"))</f>
        <v/>
      </c>
      <c r="J56" s="8">
        <f>IF($K56="","",INDEX(מלאי!$AC$2:$AC$500,$K56))</f>
        <v/>
      </c>
      <c r="K5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52),"")</f>
        <v/>
      </c>
    </row>
    <row r="57">
      <c r="A57" s="2">
        <f>IF($K57="","",INDEX(מלאי!$D$2:$D$500,$K57))</f>
        <v/>
      </c>
      <c r="B57" s="2">
        <f>IF($K57="","",INDEX(מלאי!$B$2:$B$500,$K57))</f>
        <v/>
      </c>
      <c r="C57" s="2">
        <f>IF($K57="","",INDEX(מלאי!$C$2:$C$500,$K57))</f>
        <v/>
      </c>
      <c r="D57" s="2">
        <f>IF($K57="","",INDEX(מלאי!$Y$2:$Y$500,$K57))</f>
        <v/>
      </c>
      <c r="E57" s="2">
        <f>IF($K57="","",INDEX(מלאי!$Z$2:$Z$500,$K57))</f>
        <v/>
      </c>
      <c r="F57" s="2">
        <f>IF($K57="","",INDEX(מלאי!$AA$2:$AA$500,$K57))</f>
        <v/>
      </c>
      <c r="G57" s="9">
        <f>IF($K57="","",INDEX(מלאי!$F$2:$F$500,$K57))</f>
        <v/>
      </c>
      <c r="H57" s="9">
        <f>IF($K57="","",INDEX(מלאי!$AB$2:$AB$500,$K57))</f>
        <v/>
      </c>
      <c r="I57" s="2">
        <f>IF($K57="","",IF(AND(INDEX(מלאי!$AB$2:$AB$500,$K57)&lt;&gt;"",INDEX(מלאי!$AB$2:$AB$500,$K57)&lt;TODAY()),"באיחור!","תקין"))</f>
        <v/>
      </c>
      <c r="J57" s="2">
        <f>IF($K57="","",INDEX(מלאי!$AC$2:$AC$500,$K57))</f>
        <v/>
      </c>
      <c r="K5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53),"")</f>
        <v/>
      </c>
    </row>
    <row r="58">
      <c r="A58" s="8">
        <f>IF($K58="","",INDEX(מלאי!$D$2:$D$500,$K58))</f>
        <v/>
      </c>
      <c r="B58" s="8">
        <f>IF($K58="","",INDEX(מלאי!$B$2:$B$500,$K58))</f>
        <v/>
      </c>
      <c r="C58" s="8">
        <f>IF($K58="","",INDEX(מלאי!$C$2:$C$500,$K58))</f>
        <v/>
      </c>
      <c r="D58" s="8">
        <f>IF($K58="","",INDEX(מלאי!$Y$2:$Y$500,$K58))</f>
        <v/>
      </c>
      <c r="E58" s="8">
        <f>IF($K58="","",INDEX(מלאי!$Z$2:$Z$500,$K58))</f>
        <v/>
      </c>
      <c r="F58" s="8">
        <f>IF($K58="","",INDEX(מלאי!$AA$2:$AA$500,$K58))</f>
        <v/>
      </c>
      <c r="G58" s="10">
        <f>IF($K58="","",INDEX(מלאי!$F$2:$F$500,$K58))</f>
        <v/>
      </c>
      <c r="H58" s="10">
        <f>IF($K58="","",INDEX(מלאי!$AB$2:$AB$500,$K58))</f>
        <v/>
      </c>
      <c r="I58" s="8">
        <f>IF($K58="","",IF(AND(INDEX(מלאי!$AB$2:$AB$500,$K58)&lt;&gt;"",INDEX(מלאי!$AB$2:$AB$500,$K58)&lt;TODAY()),"באיחור!","תקין"))</f>
        <v/>
      </c>
      <c r="J58" s="8">
        <f>IF($K58="","",INDEX(מלאי!$AC$2:$AC$500,$K58))</f>
        <v/>
      </c>
      <c r="K5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54),"")</f>
        <v/>
      </c>
    </row>
    <row r="59">
      <c r="A59" s="2">
        <f>IF($K59="","",INDEX(מלאי!$D$2:$D$500,$K59))</f>
        <v/>
      </c>
      <c r="B59" s="2">
        <f>IF($K59="","",INDEX(מלאי!$B$2:$B$500,$K59))</f>
        <v/>
      </c>
      <c r="C59" s="2">
        <f>IF($K59="","",INDEX(מלאי!$C$2:$C$500,$K59))</f>
        <v/>
      </c>
      <c r="D59" s="2">
        <f>IF($K59="","",INDEX(מלאי!$Y$2:$Y$500,$K59))</f>
        <v/>
      </c>
      <c r="E59" s="2">
        <f>IF($K59="","",INDEX(מלאי!$Z$2:$Z$500,$K59))</f>
        <v/>
      </c>
      <c r="F59" s="2">
        <f>IF($K59="","",INDEX(מלאי!$AA$2:$AA$500,$K59))</f>
        <v/>
      </c>
      <c r="G59" s="9">
        <f>IF($K59="","",INDEX(מלאי!$F$2:$F$500,$K59))</f>
        <v/>
      </c>
      <c r="H59" s="9">
        <f>IF($K59="","",INDEX(מלאי!$AB$2:$AB$500,$K59))</f>
        <v/>
      </c>
      <c r="I59" s="2">
        <f>IF($K59="","",IF(AND(INDEX(מלאי!$AB$2:$AB$500,$K59)&lt;&gt;"",INDEX(מלאי!$AB$2:$AB$500,$K59)&lt;TODAY()),"באיחור!","תקין"))</f>
        <v/>
      </c>
      <c r="J59" s="2">
        <f>IF($K59="","",INDEX(מלאי!$AC$2:$AC$500,$K59))</f>
        <v/>
      </c>
      <c r="K5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55),"")</f>
        <v/>
      </c>
    </row>
    <row r="60">
      <c r="A60" s="8">
        <f>IF($K60="","",INDEX(מלאי!$D$2:$D$500,$K60))</f>
        <v/>
      </c>
      <c r="B60" s="8">
        <f>IF($K60="","",INDEX(מלאי!$B$2:$B$500,$K60))</f>
        <v/>
      </c>
      <c r="C60" s="8">
        <f>IF($K60="","",INDEX(מלאי!$C$2:$C$500,$K60))</f>
        <v/>
      </c>
      <c r="D60" s="8">
        <f>IF($K60="","",INDEX(מלאי!$Y$2:$Y$500,$K60))</f>
        <v/>
      </c>
      <c r="E60" s="8">
        <f>IF($K60="","",INDEX(מלאי!$Z$2:$Z$500,$K60))</f>
        <v/>
      </c>
      <c r="F60" s="8">
        <f>IF($K60="","",INDEX(מלאי!$AA$2:$AA$500,$K60))</f>
        <v/>
      </c>
      <c r="G60" s="10">
        <f>IF($K60="","",INDEX(מלאי!$F$2:$F$500,$K60))</f>
        <v/>
      </c>
      <c r="H60" s="10">
        <f>IF($K60="","",INDEX(מלאי!$AB$2:$AB$500,$K60))</f>
        <v/>
      </c>
      <c r="I60" s="8">
        <f>IF($K60="","",IF(AND(INDEX(מלאי!$AB$2:$AB$500,$K60)&lt;&gt;"",INDEX(מלאי!$AB$2:$AB$500,$K60)&lt;TODAY()),"באיחור!","תקין"))</f>
        <v/>
      </c>
      <c r="J60" s="8">
        <f>IF($K60="","",INDEX(מלאי!$AC$2:$AC$500,$K60))</f>
        <v/>
      </c>
      <c r="K6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56),"")</f>
        <v/>
      </c>
    </row>
    <row r="61">
      <c r="A61" s="2">
        <f>IF($K61="","",INDEX(מלאי!$D$2:$D$500,$K61))</f>
        <v/>
      </c>
      <c r="B61" s="2">
        <f>IF($K61="","",INDEX(מלאי!$B$2:$B$500,$K61))</f>
        <v/>
      </c>
      <c r="C61" s="2">
        <f>IF($K61="","",INDEX(מלאי!$C$2:$C$500,$K61))</f>
        <v/>
      </c>
      <c r="D61" s="2">
        <f>IF($K61="","",INDEX(מלאי!$Y$2:$Y$500,$K61))</f>
        <v/>
      </c>
      <c r="E61" s="2">
        <f>IF($K61="","",INDEX(מלאי!$Z$2:$Z$500,$K61))</f>
        <v/>
      </c>
      <c r="F61" s="2">
        <f>IF($K61="","",INDEX(מלאי!$AA$2:$AA$500,$K61))</f>
        <v/>
      </c>
      <c r="G61" s="9">
        <f>IF($K61="","",INDEX(מלאי!$F$2:$F$500,$K61))</f>
        <v/>
      </c>
      <c r="H61" s="9">
        <f>IF($K61="","",INDEX(מלאי!$AB$2:$AB$500,$K61))</f>
        <v/>
      </c>
      <c r="I61" s="2">
        <f>IF($K61="","",IF(AND(INDEX(מלאי!$AB$2:$AB$500,$K61)&lt;&gt;"",INDEX(מלאי!$AB$2:$AB$500,$K61)&lt;TODAY()),"באיחור!","תקין"))</f>
        <v/>
      </c>
      <c r="J61" s="2">
        <f>IF($K61="","",INDEX(מלאי!$AC$2:$AC$500,$K61))</f>
        <v/>
      </c>
      <c r="K6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57),"")</f>
        <v/>
      </c>
    </row>
    <row r="62">
      <c r="A62" s="8">
        <f>IF($K62="","",INDEX(מלאי!$D$2:$D$500,$K62))</f>
        <v/>
      </c>
      <c r="B62" s="8">
        <f>IF($K62="","",INDEX(מלאי!$B$2:$B$500,$K62))</f>
        <v/>
      </c>
      <c r="C62" s="8">
        <f>IF($K62="","",INDEX(מלאי!$C$2:$C$500,$K62))</f>
        <v/>
      </c>
      <c r="D62" s="8">
        <f>IF($K62="","",INDEX(מלאי!$Y$2:$Y$500,$K62))</f>
        <v/>
      </c>
      <c r="E62" s="8">
        <f>IF($K62="","",INDEX(מלאי!$Z$2:$Z$500,$K62))</f>
        <v/>
      </c>
      <c r="F62" s="8">
        <f>IF($K62="","",INDEX(מלאי!$AA$2:$AA$500,$K62))</f>
        <v/>
      </c>
      <c r="G62" s="10">
        <f>IF($K62="","",INDEX(מלאי!$F$2:$F$500,$K62))</f>
        <v/>
      </c>
      <c r="H62" s="10">
        <f>IF($K62="","",INDEX(מלאי!$AB$2:$AB$500,$K62))</f>
        <v/>
      </c>
      <c r="I62" s="8">
        <f>IF($K62="","",IF(AND(INDEX(מלאי!$AB$2:$AB$500,$K62)&lt;&gt;"",INDEX(מלאי!$AB$2:$AB$500,$K62)&lt;TODAY()),"באיחור!","תקין"))</f>
        <v/>
      </c>
      <c r="J62" s="8">
        <f>IF($K62="","",INDEX(מלאי!$AC$2:$AC$500,$K62))</f>
        <v/>
      </c>
      <c r="K6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58),"")</f>
        <v/>
      </c>
    </row>
    <row r="63">
      <c r="A63" s="2">
        <f>IF($K63="","",INDEX(מלאי!$D$2:$D$500,$K63))</f>
        <v/>
      </c>
      <c r="B63" s="2">
        <f>IF($K63="","",INDEX(מלאי!$B$2:$B$500,$K63))</f>
        <v/>
      </c>
      <c r="C63" s="2">
        <f>IF($K63="","",INDEX(מלאי!$C$2:$C$500,$K63))</f>
        <v/>
      </c>
      <c r="D63" s="2">
        <f>IF($K63="","",INDEX(מלאי!$Y$2:$Y$500,$K63))</f>
        <v/>
      </c>
      <c r="E63" s="2">
        <f>IF($K63="","",INDEX(מלאי!$Z$2:$Z$500,$K63))</f>
        <v/>
      </c>
      <c r="F63" s="2">
        <f>IF($K63="","",INDEX(מלאי!$AA$2:$AA$500,$K63))</f>
        <v/>
      </c>
      <c r="G63" s="9">
        <f>IF($K63="","",INDEX(מלאי!$F$2:$F$500,$K63))</f>
        <v/>
      </c>
      <c r="H63" s="9">
        <f>IF($K63="","",INDEX(מלאי!$AB$2:$AB$500,$K63))</f>
        <v/>
      </c>
      <c r="I63" s="2">
        <f>IF($K63="","",IF(AND(INDEX(מלאי!$AB$2:$AB$500,$K63)&lt;&gt;"",INDEX(מלאי!$AB$2:$AB$500,$K63)&lt;TODAY()),"באיחור!","תקין"))</f>
        <v/>
      </c>
      <c r="J63" s="2">
        <f>IF($K63="","",INDEX(מלאי!$AC$2:$AC$500,$K63))</f>
        <v/>
      </c>
      <c r="K6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59),"")</f>
        <v/>
      </c>
    </row>
    <row r="64">
      <c r="A64" s="8">
        <f>IF($K64="","",INDEX(מלאי!$D$2:$D$500,$K64))</f>
        <v/>
      </c>
      <c r="B64" s="8">
        <f>IF($K64="","",INDEX(מלאי!$B$2:$B$500,$K64))</f>
        <v/>
      </c>
      <c r="C64" s="8">
        <f>IF($K64="","",INDEX(מלאי!$C$2:$C$500,$K64))</f>
        <v/>
      </c>
      <c r="D64" s="8">
        <f>IF($K64="","",INDEX(מלאי!$Y$2:$Y$500,$K64))</f>
        <v/>
      </c>
      <c r="E64" s="8">
        <f>IF($K64="","",INDEX(מלאי!$Z$2:$Z$500,$K64))</f>
        <v/>
      </c>
      <c r="F64" s="8">
        <f>IF($K64="","",INDEX(מלאי!$AA$2:$AA$500,$K64))</f>
        <v/>
      </c>
      <c r="G64" s="10">
        <f>IF($K64="","",INDEX(מלאי!$F$2:$F$500,$K64))</f>
        <v/>
      </c>
      <c r="H64" s="10">
        <f>IF($K64="","",INDEX(מלאי!$AB$2:$AB$500,$K64))</f>
        <v/>
      </c>
      <c r="I64" s="8">
        <f>IF($K64="","",IF(AND(INDEX(מלאי!$AB$2:$AB$500,$K64)&lt;&gt;"",INDEX(מלאי!$AB$2:$AB$500,$K64)&lt;TODAY()),"באיחור!","תקין"))</f>
        <v/>
      </c>
      <c r="J64" s="8">
        <f>IF($K64="","",INDEX(מלאי!$AC$2:$AC$500,$K64))</f>
        <v/>
      </c>
      <c r="K6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60),"")</f>
        <v/>
      </c>
    </row>
    <row r="65">
      <c r="A65" s="2">
        <f>IF($K65="","",INDEX(מלאי!$D$2:$D$500,$K65))</f>
        <v/>
      </c>
      <c r="B65" s="2">
        <f>IF($K65="","",INDEX(מלאי!$B$2:$B$500,$K65))</f>
        <v/>
      </c>
      <c r="C65" s="2">
        <f>IF($K65="","",INDEX(מלאי!$C$2:$C$500,$K65))</f>
        <v/>
      </c>
      <c r="D65" s="2">
        <f>IF($K65="","",INDEX(מלאי!$Y$2:$Y$500,$K65))</f>
        <v/>
      </c>
      <c r="E65" s="2">
        <f>IF($K65="","",INDEX(מלאי!$Z$2:$Z$500,$K65))</f>
        <v/>
      </c>
      <c r="F65" s="2">
        <f>IF($K65="","",INDEX(מלאי!$AA$2:$AA$500,$K65))</f>
        <v/>
      </c>
      <c r="G65" s="9">
        <f>IF($K65="","",INDEX(מלאי!$F$2:$F$500,$K65))</f>
        <v/>
      </c>
      <c r="H65" s="9">
        <f>IF($K65="","",INDEX(מלאי!$AB$2:$AB$500,$K65))</f>
        <v/>
      </c>
      <c r="I65" s="2">
        <f>IF($K65="","",IF(AND(INDEX(מלאי!$AB$2:$AB$500,$K65)&lt;&gt;"",INDEX(מלאי!$AB$2:$AB$500,$K65)&lt;TODAY()),"באיחור!","תקין"))</f>
        <v/>
      </c>
      <c r="J65" s="2">
        <f>IF($K65="","",INDEX(מלאי!$AC$2:$AC$500,$K65))</f>
        <v/>
      </c>
      <c r="K6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61),"")</f>
        <v/>
      </c>
    </row>
    <row r="66">
      <c r="A66" s="8">
        <f>IF($K66="","",INDEX(מלאי!$D$2:$D$500,$K66))</f>
        <v/>
      </c>
      <c r="B66" s="8">
        <f>IF($K66="","",INDEX(מלאי!$B$2:$B$500,$K66))</f>
        <v/>
      </c>
      <c r="C66" s="8">
        <f>IF($K66="","",INDEX(מלאי!$C$2:$C$500,$K66))</f>
        <v/>
      </c>
      <c r="D66" s="8">
        <f>IF($K66="","",INDEX(מלאי!$Y$2:$Y$500,$K66))</f>
        <v/>
      </c>
      <c r="E66" s="8">
        <f>IF($K66="","",INDEX(מלאי!$Z$2:$Z$500,$K66))</f>
        <v/>
      </c>
      <c r="F66" s="8">
        <f>IF($K66="","",INDEX(מלאי!$AA$2:$AA$500,$K66))</f>
        <v/>
      </c>
      <c r="G66" s="10">
        <f>IF($K66="","",INDEX(מלאי!$F$2:$F$500,$K66))</f>
        <v/>
      </c>
      <c r="H66" s="10">
        <f>IF($K66="","",INDEX(מלאי!$AB$2:$AB$500,$K66))</f>
        <v/>
      </c>
      <c r="I66" s="8">
        <f>IF($K66="","",IF(AND(INDEX(מלאי!$AB$2:$AB$500,$K66)&lt;&gt;"",INDEX(מלאי!$AB$2:$AB$500,$K66)&lt;TODAY()),"באיחור!","תקין"))</f>
        <v/>
      </c>
      <c r="J66" s="8">
        <f>IF($K66="","",INDEX(מלאי!$AC$2:$AC$500,$K66))</f>
        <v/>
      </c>
      <c r="K6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62),"")</f>
        <v/>
      </c>
    </row>
    <row r="67">
      <c r="A67" s="2">
        <f>IF($K67="","",INDEX(מלאי!$D$2:$D$500,$K67))</f>
        <v/>
      </c>
      <c r="B67" s="2">
        <f>IF($K67="","",INDEX(מלאי!$B$2:$B$500,$K67))</f>
        <v/>
      </c>
      <c r="C67" s="2">
        <f>IF($K67="","",INDEX(מלאי!$C$2:$C$500,$K67))</f>
        <v/>
      </c>
      <c r="D67" s="2">
        <f>IF($K67="","",INDEX(מלאי!$Y$2:$Y$500,$K67))</f>
        <v/>
      </c>
      <c r="E67" s="2">
        <f>IF($K67="","",INDEX(מלאי!$Z$2:$Z$500,$K67))</f>
        <v/>
      </c>
      <c r="F67" s="2">
        <f>IF($K67="","",INDEX(מלאי!$AA$2:$AA$500,$K67))</f>
        <v/>
      </c>
      <c r="G67" s="9">
        <f>IF($K67="","",INDEX(מלאי!$F$2:$F$500,$K67))</f>
        <v/>
      </c>
      <c r="H67" s="9">
        <f>IF($K67="","",INDEX(מלאי!$AB$2:$AB$500,$K67))</f>
        <v/>
      </c>
      <c r="I67" s="2">
        <f>IF($K67="","",IF(AND(INDEX(מלאי!$AB$2:$AB$500,$K67)&lt;&gt;"",INDEX(מלאי!$AB$2:$AB$500,$K67)&lt;TODAY()),"באיחור!","תקין"))</f>
        <v/>
      </c>
      <c r="J67" s="2">
        <f>IF($K67="","",INDEX(מלאי!$AC$2:$AC$500,$K67))</f>
        <v/>
      </c>
      <c r="K6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63),"")</f>
        <v/>
      </c>
    </row>
    <row r="68">
      <c r="A68" s="8">
        <f>IF($K68="","",INDEX(מלאי!$D$2:$D$500,$K68))</f>
        <v/>
      </c>
      <c r="B68" s="8">
        <f>IF($K68="","",INDEX(מלאי!$B$2:$B$500,$K68))</f>
        <v/>
      </c>
      <c r="C68" s="8">
        <f>IF($K68="","",INDEX(מלאי!$C$2:$C$500,$K68))</f>
        <v/>
      </c>
      <c r="D68" s="8">
        <f>IF($K68="","",INDEX(מלאי!$Y$2:$Y$500,$K68))</f>
        <v/>
      </c>
      <c r="E68" s="8">
        <f>IF($K68="","",INDEX(מלאי!$Z$2:$Z$500,$K68))</f>
        <v/>
      </c>
      <c r="F68" s="8">
        <f>IF($K68="","",INDEX(מלאי!$AA$2:$AA$500,$K68))</f>
        <v/>
      </c>
      <c r="G68" s="10">
        <f>IF($K68="","",INDEX(מלאי!$F$2:$F$500,$K68))</f>
        <v/>
      </c>
      <c r="H68" s="10">
        <f>IF($K68="","",INDEX(מלאי!$AB$2:$AB$500,$K68))</f>
        <v/>
      </c>
      <c r="I68" s="8">
        <f>IF($K68="","",IF(AND(INDEX(מלאי!$AB$2:$AB$500,$K68)&lt;&gt;"",INDEX(מלאי!$AB$2:$AB$500,$K68)&lt;TODAY()),"באיחור!","תקין"))</f>
        <v/>
      </c>
      <c r="J68" s="8">
        <f>IF($K68="","",INDEX(מלאי!$AC$2:$AC$500,$K68))</f>
        <v/>
      </c>
      <c r="K6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64),"")</f>
        <v/>
      </c>
    </row>
    <row r="69">
      <c r="A69" s="2">
        <f>IF($K69="","",INDEX(מלאי!$D$2:$D$500,$K69))</f>
        <v/>
      </c>
      <c r="B69" s="2">
        <f>IF($K69="","",INDEX(מלאי!$B$2:$B$500,$K69))</f>
        <v/>
      </c>
      <c r="C69" s="2">
        <f>IF($K69="","",INDEX(מלאי!$C$2:$C$500,$K69))</f>
        <v/>
      </c>
      <c r="D69" s="2">
        <f>IF($K69="","",INDEX(מלאי!$Y$2:$Y$500,$K69))</f>
        <v/>
      </c>
      <c r="E69" s="2">
        <f>IF($K69="","",INDEX(מלאי!$Z$2:$Z$500,$K69))</f>
        <v/>
      </c>
      <c r="F69" s="2">
        <f>IF($K69="","",INDEX(מלאי!$AA$2:$AA$500,$K69))</f>
        <v/>
      </c>
      <c r="G69" s="9">
        <f>IF($K69="","",INDEX(מלאי!$F$2:$F$500,$K69))</f>
        <v/>
      </c>
      <c r="H69" s="9">
        <f>IF($K69="","",INDEX(מלאי!$AB$2:$AB$500,$K69))</f>
        <v/>
      </c>
      <c r="I69" s="2">
        <f>IF($K69="","",IF(AND(INDEX(מלאי!$AB$2:$AB$500,$K69)&lt;&gt;"",INDEX(מלאי!$AB$2:$AB$500,$K69)&lt;TODAY()),"באיחור!","תקין"))</f>
        <v/>
      </c>
      <c r="J69" s="2">
        <f>IF($K69="","",INDEX(מלאי!$AC$2:$AC$500,$K69))</f>
        <v/>
      </c>
      <c r="K6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65),"")</f>
        <v/>
      </c>
    </row>
    <row r="70">
      <c r="A70" s="8">
        <f>IF($K70="","",INDEX(מלאי!$D$2:$D$500,$K70))</f>
        <v/>
      </c>
      <c r="B70" s="8">
        <f>IF($K70="","",INDEX(מלאי!$B$2:$B$500,$K70))</f>
        <v/>
      </c>
      <c r="C70" s="8">
        <f>IF($K70="","",INDEX(מלאי!$C$2:$C$500,$K70))</f>
        <v/>
      </c>
      <c r="D70" s="8">
        <f>IF($K70="","",INDEX(מלאי!$Y$2:$Y$500,$K70))</f>
        <v/>
      </c>
      <c r="E70" s="8">
        <f>IF($K70="","",INDEX(מלאי!$Z$2:$Z$500,$K70))</f>
        <v/>
      </c>
      <c r="F70" s="8">
        <f>IF($K70="","",INDEX(מלאי!$AA$2:$AA$500,$K70))</f>
        <v/>
      </c>
      <c r="G70" s="10">
        <f>IF($K70="","",INDEX(מלאי!$F$2:$F$500,$K70))</f>
        <v/>
      </c>
      <c r="H70" s="10">
        <f>IF($K70="","",INDEX(מלאי!$AB$2:$AB$500,$K70))</f>
        <v/>
      </c>
      <c r="I70" s="8">
        <f>IF($K70="","",IF(AND(INDEX(מלאי!$AB$2:$AB$500,$K70)&lt;&gt;"",INDEX(מלאי!$AB$2:$AB$500,$K70)&lt;TODAY()),"באיחור!","תקין"))</f>
        <v/>
      </c>
      <c r="J70" s="8">
        <f>IF($K70="","",INDEX(מלאי!$AC$2:$AC$500,$K70))</f>
        <v/>
      </c>
      <c r="K7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66),"")</f>
        <v/>
      </c>
    </row>
    <row r="71">
      <c r="A71" s="2">
        <f>IF($K71="","",INDEX(מלאי!$D$2:$D$500,$K71))</f>
        <v/>
      </c>
      <c r="B71" s="2">
        <f>IF($K71="","",INDEX(מלאי!$B$2:$B$500,$K71))</f>
        <v/>
      </c>
      <c r="C71" s="2">
        <f>IF($K71="","",INDEX(מלאי!$C$2:$C$500,$K71))</f>
        <v/>
      </c>
      <c r="D71" s="2">
        <f>IF($K71="","",INDEX(מלאי!$Y$2:$Y$500,$K71))</f>
        <v/>
      </c>
      <c r="E71" s="2">
        <f>IF($K71="","",INDEX(מלאי!$Z$2:$Z$500,$K71))</f>
        <v/>
      </c>
      <c r="F71" s="2">
        <f>IF($K71="","",INDEX(מלאי!$AA$2:$AA$500,$K71))</f>
        <v/>
      </c>
      <c r="G71" s="9">
        <f>IF($K71="","",INDEX(מלאי!$F$2:$F$500,$K71))</f>
        <v/>
      </c>
      <c r="H71" s="9">
        <f>IF($K71="","",INDEX(מלאי!$AB$2:$AB$500,$K71))</f>
        <v/>
      </c>
      <c r="I71" s="2">
        <f>IF($K71="","",IF(AND(INDEX(מלאי!$AB$2:$AB$500,$K71)&lt;&gt;"",INDEX(מלאי!$AB$2:$AB$500,$K71)&lt;TODAY()),"באיחור!","תקין"))</f>
        <v/>
      </c>
      <c r="J71" s="2">
        <f>IF($K71="","",INDEX(מלאי!$AC$2:$AC$500,$K71))</f>
        <v/>
      </c>
      <c r="K7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67),"")</f>
        <v/>
      </c>
    </row>
    <row r="72">
      <c r="A72" s="8">
        <f>IF($K72="","",INDEX(מלאי!$D$2:$D$500,$K72))</f>
        <v/>
      </c>
      <c r="B72" s="8">
        <f>IF($K72="","",INDEX(מלאי!$B$2:$B$500,$K72))</f>
        <v/>
      </c>
      <c r="C72" s="8">
        <f>IF($K72="","",INDEX(מלאי!$C$2:$C$500,$K72))</f>
        <v/>
      </c>
      <c r="D72" s="8">
        <f>IF($K72="","",INDEX(מלאי!$Y$2:$Y$500,$K72))</f>
        <v/>
      </c>
      <c r="E72" s="8">
        <f>IF($K72="","",INDEX(מלאי!$Z$2:$Z$500,$K72))</f>
        <v/>
      </c>
      <c r="F72" s="8">
        <f>IF($K72="","",INDEX(מלאי!$AA$2:$AA$500,$K72))</f>
        <v/>
      </c>
      <c r="G72" s="10">
        <f>IF($K72="","",INDEX(מלאי!$F$2:$F$500,$K72))</f>
        <v/>
      </c>
      <c r="H72" s="10">
        <f>IF($K72="","",INDEX(מלאי!$AB$2:$AB$500,$K72))</f>
        <v/>
      </c>
      <c r="I72" s="8">
        <f>IF($K72="","",IF(AND(INDEX(מלאי!$AB$2:$AB$500,$K72)&lt;&gt;"",INDEX(מלאי!$AB$2:$AB$500,$K72)&lt;TODAY()),"באיחור!","תקין"))</f>
        <v/>
      </c>
      <c r="J72" s="8">
        <f>IF($K72="","",INDEX(מלאי!$AC$2:$AC$500,$K72))</f>
        <v/>
      </c>
      <c r="K7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68),"")</f>
        <v/>
      </c>
    </row>
    <row r="73">
      <c r="A73" s="2">
        <f>IF($K73="","",INDEX(מלאי!$D$2:$D$500,$K73))</f>
        <v/>
      </c>
      <c r="B73" s="2">
        <f>IF($K73="","",INDEX(מלאי!$B$2:$B$500,$K73))</f>
        <v/>
      </c>
      <c r="C73" s="2">
        <f>IF($K73="","",INDEX(מלאי!$C$2:$C$500,$K73))</f>
        <v/>
      </c>
      <c r="D73" s="2">
        <f>IF($K73="","",INDEX(מלאי!$Y$2:$Y$500,$K73))</f>
        <v/>
      </c>
      <c r="E73" s="2">
        <f>IF($K73="","",INDEX(מלאי!$Z$2:$Z$500,$K73))</f>
        <v/>
      </c>
      <c r="F73" s="2">
        <f>IF($K73="","",INDEX(מלאי!$AA$2:$AA$500,$K73))</f>
        <v/>
      </c>
      <c r="G73" s="9">
        <f>IF($K73="","",INDEX(מלאי!$F$2:$F$500,$K73))</f>
        <v/>
      </c>
      <c r="H73" s="9">
        <f>IF($K73="","",INDEX(מלאי!$AB$2:$AB$500,$K73))</f>
        <v/>
      </c>
      <c r="I73" s="2">
        <f>IF($K73="","",IF(AND(INDEX(מלאי!$AB$2:$AB$500,$K73)&lt;&gt;"",INDEX(מלאי!$AB$2:$AB$500,$K73)&lt;TODAY()),"באיחור!","תקין"))</f>
        <v/>
      </c>
      <c r="J73" s="2">
        <f>IF($K73="","",INDEX(מלאי!$AC$2:$AC$500,$K73))</f>
        <v/>
      </c>
      <c r="K7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69),"")</f>
        <v/>
      </c>
    </row>
    <row r="74">
      <c r="A74" s="8">
        <f>IF($K74="","",INDEX(מלאי!$D$2:$D$500,$K74))</f>
        <v/>
      </c>
      <c r="B74" s="8">
        <f>IF($K74="","",INDEX(מלאי!$B$2:$B$500,$K74))</f>
        <v/>
      </c>
      <c r="C74" s="8">
        <f>IF($K74="","",INDEX(מלאי!$C$2:$C$500,$K74))</f>
        <v/>
      </c>
      <c r="D74" s="8">
        <f>IF($K74="","",INDEX(מלאי!$Y$2:$Y$500,$K74))</f>
        <v/>
      </c>
      <c r="E74" s="8">
        <f>IF($K74="","",INDEX(מלאי!$Z$2:$Z$500,$K74))</f>
        <v/>
      </c>
      <c r="F74" s="8">
        <f>IF($K74="","",INDEX(מלאי!$AA$2:$AA$500,$K74))</f>
        <v/>
      </c>
      <c r="G74" s="10">
        <f>IF($K74="","",INDEX(מלאי!$F$2:$F$500,$K74))</f>
        <v/>
      </c>
      <c r="H74" s="10">
        <f>IF($K74="","",INDEX(מלאי!$AB$2:$AB$500,$K74))</f>
        <v/>
      </c>
      <c r="I74" s="8">
        <f>IF($K74="","",IF(AND(INDEX(מלאי!$AB$2:$AB$500,$K74)&lt;&gt;"",INDEX(מלאי!$AB$2:$AB$500,$K74)&lt;TODAY()),"באיחור!","תקין"))</f>
        <v/>
      </c>
      <c r="J74" s="8">
        <f>IF($K74="","",INDEX(מלאי!$AC$2:$AC$500,$K74))</f>
        <v/>
      </c>
      <c r="K7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70),"")</f>
        <v/>
      </c>
    </row>
    <row r="75">
      <c r="A75" s="2">
        <f>IF($K75="","",INDEX(מלאי!$D$2:$D$500,$K75))</f>
        <v/>
      </c>
      <c r="B75" s="2">
        <f>IF($K75="","",INDEX(מלאי!$B$2:$B$500,$K75))</f>
        <v/>
      </c>
      <c r="C75" s="2">
        <f>IF($K75="","",INDEX(מלאי!$C$2:$C$500,$K75))</f>
        <v/>
      </c>
      <c r="D75" s="2">
        <f>IF($K75="","",INDEX(מלאי!$Y$2:$Y$500,$K75))</f>
        <v/>
      </c>
      <c r="E75" s="2">
        <f>IF($K75="","",INDEX(מלאי!$Z$2:$Z$500,$K75))</f>
        <v/>
      </c>
      <c r="F75" s="2">
        <f>IF($K75="","",INDEX(מלאי!$AA$2:$AA$500,$K75))</f>
        <v/>
      </c>
      <c r="G75" s="9">
        <f>IF($K75="","",INDEX(מלאי!$F$2:$F$500,$K75))</f>
        <v/>
      </c>
      <c r="H75" s="9">
        <f>IF($K75="","",INDEX(מלאי!$AB$2:$AB$500,$K75))</f>
        <v/>
      </c>
      <c r="I75" s="2">
        <f>IF($K75="","",IF(AND(INDEX(מלאי!$AB$2:$AB$500,$K75)&lt;&gt;"",INDEX(מלאי!$AB$2:$AB$500,$K75)&lt;TODAY()),"באיחור!","תקין"))</f>
        <v/>
      </c>
      <c r="J75" s="2">
        <f>IF($K75="","",INDEX(מלאי!$AC$2:$AC$500,$K75))</f>
        <v/>
      </c>
      <c r="K7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71),"")</f>
        <v/>
      </c>
    </row>
    <row r="76">
      <c r="A76" s="8">
        <f>IF($K76="","",INDEX(מלאי!$D$2:$D$500,$K76))</f>
        <v/>
      </c>
      <c r="B76" s="8">
        <f>IF($K76="","",INDEX(מלאי!$B$2:$B$500,$K76))</f>
        <v/>
      </c>
      <c r="C76" s="8">
        <f>IF($K76="","",INDEX(מלאי!$C$2:$C$500,$K76))</f>
        <v/>
      </c>
      <c r="D76" s="8">
        <f>IF($K76="","",INDEX(מלאי!$Y$2:$Y$500,$K76))</f>
        <v/>
      </c>
      <c r="E76" s="8">
        <f>IF($K76="","",INDEX(מלאי!$Z$2:$Z$500,$K76))</f>
        <v/>
      </c>
      <c r="F76" s="8">
        <f>IF($K76="","",INDEX(מלאי!$AA$2:$AA$500,$K76))</f>
        <v/>
      </c>
      <c r="G76" s="10">
        <f>IF($K76="","",INDEX(מלאי!$F$2:$F$500,$K76))</f>
        <v/>
      </c>
      <c r="H76" s="10">
        <f>IF($K76="","",INDEX(מלאי!$AB$2:$AB$500,$K76))</f>
        <v/>
      </c>
      <c r="I76" s="8">
        <f>IF($K76="","",IF(AND(INDEX(מלאי!$AB$2:$AB$500,$K76)&lt;&gt;"",INDEX(מלאי!$AB$2:$AB$500,$K76)&lt;TODAY()),"באיחור!","תקין"))</f>
        <v/>
      </c>
      <c r="J76" s="8">
        <f>IF($K76="","",INDEX(מלאי!$AC$2:$AC$500,$K76))</f>
        <v/>
      </c>
      <c r="K7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72),"")</f>
        <v/>
      </c>
    </row>
    <row r="77">
      <c r="A77" s="2">
        <f>IF($K77="","",INDEX(מלאי!$D$2:$D$500,$K77))</f>
        <v/>
      </c>
      <c r="B77" s="2">
        <f>IF($K77="","",INDEX(מלאי!$B$2:$B$500,$K77))</f>
        <v/>
      </c>
      <c r="C77" s="2">
        <f>IF($K77="","",INDEX(מלאי!$C$2:$C$500,$K77))</f>
        <v/>
      </c>
      <c r="D77" s="2">
        <f>IF($K77="","",INDEX(מלאי!$Y$2:$Y$500,$K77))</f>
        <v/>
      </c>
      <c r="E77" s="2">
        <f>IF($K77="","",INDEX(מלאי!$Z$2:$Z$500,$K77))</f>
        <v/>
      </c>
      <c r="F77" s="2">
        <f>IF($K77="","",INDEX(מלאי!$AA$2:$AA$500,$K77))</f>
        <v/>
      </c>
      <c r="G77" s="9">
        <f>IF($K77="","",INDEX(מלאי!$F$2:$F$500,$K77))</f>
        <v/>
      </c>
      <c r="H77" s="9">
        <f>IF($K77="","",INDEX(מלאי!$AB$2:$AB$500,$K77))</f>
        <v/>
      </c>
      <c r="I77" s="2">
        <f>IF($K77="","",IF(AND(INDEX(מלאי!$AB$2:$AB$500,$K77)&lt;&gt;"",INDEX(מלאי!$AB$2:$AB$500,$K77)&lt;TODAY()),"באיחור!","תקין"))</f>
        <v/>
      </c>
      <c r="J77" s="2">
        <f>IF($K77="","",INDEX(מלאי!$AC$2:$AC$500,$K77))</f>
        <v/>
      </c>
      <c r="K7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73),"")</f>
        <v/>
      </c>
    </row>
    <row r="78">
      <c r="A78" s="8">
        <f>IF($K78="","",INDEX(מלאי!$D$2:$D$500,$K78))</f>
        <v/>
      </c>
      <c r="B78" s="8">
        <f>IF($K78="","",INDEX(מלאי!$B$2:$B$500,$K78))</f>
        <v/>
      </c>
      <c r="C78" s="8">
        <f>IF($K78="","",INDEX(מלאי!$C$2:$C$500,$K78))</f>
        <v/>
      </c>
      <c r="D78" s="8">
        <f>IF($K78="","",INDEX(מלאי!$Y$2:$Y$500,$K78))</f>
        <v/>
      </c>
      <c r="E78" s="8">
        <f>IF($K78="","",INDEX(מלאי!$Z$2:$Z$500,$K78))</f>
        <v/>
      </c>
      <c r="F78" s="8">
        <f>IF($K78="","",INDEX(מלאי!$AA$2:$AA$500,$K78))</f>
        <v/>
      </c>
      <c r="G78" s="10">
        <f>IF($K78="","",INDEX(מלאי!$F$2:$F$500,$K78))</f>
        <v/>
      </c>
      <c r="H78" s="10">
        <f>IF($K78="","",INDEX(מלאי!$AB$2:$AB$500,$K78))</f>
        <v/>
      </c>
      <c r="I78" s="8">
        <f>IF($K78="","",IF(AND(INDEX(מלאי!$AB$2:$AB$500,$K78)&lt;&gt;"",INDEX(מלאי!$AB$2:$AB$500,$K78)&lt;TODAY()),"באיחור!","תקין"))</f>
        <v/>
      </c>
      <c r="J78" s="8">
        <f>IF($K78="","",INDEX(מלאי!$AC$2:$AC$500,$K78))</f>
        <v/>
      </c>
      <c r="K7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74),"")</f>
        <v/>
      </c>
    </row>
    <row r="79">
      <c r="A79" s="2">
        <f>IF($K79="","",INDEX(מלאי!$D$2:$D$500,$K79))</f>
        <v/>
      </c>
      <c r="B79" s="2">
        <f>IF($K79="","",INDEX(מלאי!$B$2:$B$500,$K79))</f>
        <v/>
      </c>
      <c r="C79" s="2">
        <f>IF($K79="","",INDEX(מלאי!$C$2:$C$500,$K79))</f>
        <v/>
      </c>
      <c r="D79" s="2">
        <f>IF($K79="","",INDEX(מלאי!$Y$2:$Y$500,$K79))</f>
        <v/>
      </c>
      <c r="E79" s="2">
        <f>IF($K79="","",INDEX(מלאי!$Z$2:$Z$500,$K79))</f>
        <v/>
      </c>
      <c r="F79" s="2">
        <f>IF($K79="","",INDEX(מלאי!$AA$2:$AA$500,$K79))</f>
        <v/>
      </c>
      <c r="G79" s="9">
        <f>IF($K79="","",INDEX(מלאי!$F$2:$F$500,$K79))</f>
        <v/>
      </c>
      <c r="H79" s="9">
        <f>IF($K79="","",INDEX(מלאי!$AB$2:$AB$500,$K79))</f>
        <v/>
      </c>
      <c r="I79" s="2">
        <f>IF($K79="","",IF(AND(INDEX(מלאי!$AB$2:$AB$500,$K79)&lt;&gt;"",INDEX(מלאי!$AB$2:$AB$500,$K79)&lt;TODAY()),"באיחור!","תקין"))</f>
        <v/>
      </c>
      <c r="J79" s="2">
        <f>IF($K79="","",INDEX(מלאי!$AC$2:$AC$500,$K79))</f>
        <v/>
      </c>
      <c r="K7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75),"")</f>
        <v/>
      </c>
    </row>
    <row r="80">
      <c r="A80" s="8">
        <f>IF($K80="","",INDEX(מלאי!$D$2:$D$500,$K80))</f>
        <v/>
      </c>
      <c r="B80" s="8">
        <f>IF($K80="","",INDEX(מלאי!$B$2:$B$500,$K80))</f>
        <v/>
      </c>
      <c r="C80" s="8">
        <f>IF($K80="","",INDEX(מלאי!$C$2:$C$500,$K80))</f>
        <v/>
      </c>
      <c r="D80" s="8">
        <f>IF($K80="","",INDEX(מלאי!$Y$2:$Y$500,$K80))</f>
        <v/>
      </c>
      <c r="E80" s="8">
        <f>IF($K80="","",INDEX(מלאי!$Z$2:$Z$500,$K80))</f>
        <v/>
      </c>
      <c r="F80" s="8">
        <f>IF($K80="","",INDEX(מלאי!$AA$2:$AA$500,$K80))</f>
        <v/>
      </c>
      <c r="G80" s="10">
        <f>IF($K80="","",INDEX(מלאי!$F$2:$F$500,$K80))</f>
        <v/>
      </c>
      <c r="H80" s="10">
        <f>IF($K80="","",INDEX(מלאי!$AB$2:$AB$500,$K80))</f>
        <v/>
      </c>
      <c r="I80" s="8">
        <f>IF($K80="","",IF(AND(INDEX(מלאי!$AB$2:$AB$500,$K80)&lt;&gt;"",INDEX(מלאי!$AB$2:$AB$500,$K80)&lt;TODAY()),"באיחור!","תקין"))</f>
        <v/>
      </c>
      <c r="J80" s="8">
        <f>IF($K80="","",INDEX(מלאי!$AC$2:$AC$500,$K80))</f>
        <v/>
      </c>
      <c r="K8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76),"")</f>
        <v/>
      </c>
    </row>
    <row r="81">
      <c r="A81" s="2">
        <f>IF($K81="","",INDEX(מלאי!$D$2:$D$500,$K81))</f>
        <v/>
      </c>
      <c r="B81" s="2">
        <f>IF($K81="","",INDEX(מלאי!$B$2:$B$500,$K81))</f>
        <v/>
      </c>
      <c r="C81" s="2">
        <f>IF($K81="","",INDEX(מלאי!$C$2:$C$500,$K81))</f>
        <v/>
      </c>
      <c r="D81" s="2">
        <f>IF($K81="","",INDEX(מלאי!$Y$2:$Y$500,$K81))</f>
        <v/>
      </c>
      <c r="E81" s="2">
        <f>IF($K81="","",INDEX(מלאי!$Z$2:$Z$500,$K81))</f>
        <v/>
      </c>
      <c r="F81" s="2">
        <f>IF($K81="","",INDEX(מלאי!$AA$2:$AA$500,$K81))</f>
        <v/>
      </c>
      <c r="G81" s="9">
        <f>IF($K81="","",INDEX(מלאי!$F$2:$F$500,$K81))</f>
        <v/>
      </c>
      <c r="H81" s="9">
        <f>IF($K81="","",INDEX(מלאי!$AB$2:$AB$500,$K81))</f>
        <v/>
      </c>
      <c r="I81" s="2">
        <f>IF($K81="","",IF(AND(INDEX(מלאי!$AB$2:$AB$500,$K81)&lt;&gt;"",INDEX(מלאי!$AB$2:$AB$500,$K81)&lt;TODAY()),"באיחור!","תקין"))</f>
        <v/>
      </c>
      <c r="J81" s="2">
        <f>IF($K81="","",INDEX(מלאי!$AC$2:$AC$500,$K81))</f>
        <v/>
      </c>
      <c r="K8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77),"")</f>
        <v/>
      </c>
    </row>
    <row r="82">
      <c r="A82" s="8">
        <f>IF($K82="","",INDEX(מלאי!$D$2:$D$500,$K82))</f>
        <v/>
      </c>
      <c r="B82" s="8">
        <f>IF($K82="","",INDEX(מלאי!$B$2:$B$500,$K82))</f>
        <v/>
      </c>
      <c r="C82" s="8">
        <f>IF($K82="","",INDEX(מלאי!$C$2:$C$500,$K82))</f>
        <v/>
      </c>
      <c r="D82" s="8">
        <f>IF($K82="","",INDEX(מלאי!$Y$2:$Y$500,$K82))</f>
        <v/>
      </c>
      <c r="E82" s="8">
        <f>IF($K82="","",INDEX(מלאי!$Z$2:$Z$500,$K82))</f>
        <v/>
      </c>
      <c r="F82" s="8">
        <f>IF($K82="","",INDEX(מלאי!$AA$2:$AA$500,$K82))</f>
        <v/>
      </c>
      <c r="G82" s="10">
        <f>IF($K82="","",INDEX(מלאי!$F$2:$F$500,$K82))</f>
        <v/>
      </c>
      <c r="H82" s="10">
        <f>IF($K82="","",INDEX(מלאי!$AB$2:$AB$500,$K82))</f>
        <v/>
      </c>
      <c r="I82" s="8">
        <f>IF($K82="","",IF(AND(INDEX(מלאי!$AB$2:$AB$500,$K82)&lt;&gt;"",INDEX(מלאי!$AB$2:$AB$500,$K82)&lt;TODAY()),"באיחור!","תקין"))</f>
        <v/>
      </c>
      <c r="J82" s="8">
        <f>IF($K82="","",INDEX(מלאי!$AC$2:$AC$500,$K82))</f>
        <v/>
      </c>
      <c r="K8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78),"")</f>
        <v/>
      </c>
    </row>
    <row r="83">
      <c r="A83" s="2">
        <f>IF($K83="","",INDEX(מלאי!$D$2:$D$500,$K83))</f>
        <v/>
      </c>
      <c r="B83" s="2">
        <f>IF($K83="","",INDEX(מלאי!$B$2:$B$500,$K83))</f>
        <v/>
      </c>
      <c r="C83" s="2">
        <f>IF($K83="","",INDEX(מלאי!$C$2:$C$500,$K83))</f>
        <v/>
      </c>
      <c r="D83" s="2">
        <f>IF($K83="","",INDEX(מלאי!$Y$2:$Y$500,$K83))</f>
        <v/>
      </c>
      <c r="E83" s="2">
        <f>IF($K83="","",INDEX(מלאי!$Z$2:$Z$500,$K83))</f>
        <v/>
      </c>
      <c r="F83" s="2">
        <f>IF($K83="","",INDEX(מלאי!$AA$2:$AA$500,$K83))</f>
        <v/>
      </c>
      <c r="G83" s="9">
        <f>IF($K83="","",INDEX(מלאי!$F$2:$F$500,$K83))</f>
        <v/>
      </c>
      <c r="H83" s="9">
        <f>IF($K83="","",INDEX(מלאי!$AB$2:$AB$500,$K83))</f>
        <v/>
      </c>
      <c r="I83" s="2">
        <f>IF($K83="","",IF(AND(INDEX(מלאי!$AB$2:$AB$500,$K83)&lt;&gt;"",INDEX(מלאי!$AB$2:$AB$500,$K83)&lt;TODAY()),"באיחור!","תקין"))</f>
        <v/>
      </c>
      <c r="J83" s="2">
        <f>IF($K83="","",INDEX(מלאי!$AC$2:$AC$500,$K83))</f>
        <v/>
      </c>
      <c r="K8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79),"")</f>
        <v/>
      </c>
    </row>
    <row r="84">
      <c r="A84" s="8">
        <f>IF($K84="","",INDEX(מלאי!$D$2:$D$500,$K84))</f>
        <v/>
      </c>
      <c r="B84" s="8">
        <f>IF($K84="","",INDEX(מלאי!$B$2:$B$500,$K84))</f>
        <v/>
      </c>
      <c r="C84" s="8">
        <f>IF($K84="","",INDEX(מלאי!$C$2:$C$500,$K84))</f>
        <v/>
      </c>
      <c r="D84" s="8">
        <f>IF($K84="","",INDEX(מלאי!$Y$2:$Y$500,$K84))</f>
        <v/>
      </c>
      <c r="E84" s="8">
        <f>IF($K84="","",INDEX(מלאי!$Z$2:$Z$500,$K84))</f>
        <v/>
      </c>
      <c r="F84" s="8">
        <f>IF($K84="","",INDEX(מלאי!$AA$2:$AA$500,$K84))</f>
        <v/>
      </c>
      <c r="G84" s="10">
        <f>IF($K84="","",INDEX(מלאי!$F$2:$F$500,$K84))</f>
        <v/>
      </c>
      <c r="H84" s="10">
        <f>IF($K84="","",INDEX(מלאי!$AB$2:$AB$500,$K84))</f>
        <v/>
      </c>
      <c r="I84" s="8">
        <f>IF($K84="","",IF(AND(INDEX(מלאי!$AB$2:$AB$500,$K84)&lt;&gt;"",INDEX(מלאי!$AB$2:$AB$500,$K84)&lt;TODAY()),"באיחור!","תקין"))</f>
        <v/>
      </c>
      <c r="J84" s="8">
        <f>IF($K84="","",INDEX(מלאי!$AC$2:$AC$500,$K84))</f>
        <v/>
      </c>
      <c r="K8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80),"")</f>
        <v/>
      </c>
    </row>
    <row r="85">
      <c r="A85" s="2">
        <f>IF($K85="","",INDEX(מלאי!$D$2:$D$500,$K85))</f>
        <v/>
      </c>
      <c r="B85" s="2">
        <f>IF($K85="","",INDEX(מלאי!$B$2:$B$500,$K85))</f>
        <v/>
      </c>
      <c r="C85" s="2">
        <f>IF($K85="","",INDEX(מלאי!$C$2:$C$500,$K85))</f>
        <v/>
      </c>
      <c r="D85" s="2">
        <f>IF($K85="","",INDEX(מלאי!$Y$2:$Y$500,$K85))</f>
        <v/>
      </c>
      <c r="E85" s="2">
        <f>IF($K85="","",INDEX(מלאי!$Z$2:$Z$500,$K85))</f>
        <v/>
      </c>
      <c r="F85" s="2">
        <f>IF($K85="","",INDEX(מלאי!$AA$2:$AA$500,$K85))</f>
        <v/>
      </c>
      <c r="G85" s="9">
        <f>IF($K85="","",INDEX(מלאי!$F$2:$F$500,$K85))</f>
        <v/>
      </c>
      <c r="H85" s="9">
        <f>IF($K85="","",INDEX(מלאי!$AB$2:$AB$500,$K85))</f>
        <v/>
      </c>
      <c r="I85" s="2">
        <f>IF($K85="","",IF(AND(INDEX(מלאי!$AB$2:$AB$500,$K85)&lt;&gt;"",INDEX(מלאי!$AB$2:$AB$500,$K85)&lt;TODAY()),"באיחור!","תקין"))</f>
        <v/>
      </c>
      <c r="J85" s="2">
        <f>IF($K85="","",INDEX(מלאי!$AC$2:$AC$500,$K85))</f>
        <v/>
      </c>
      <c r="K8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81),"")</f>
        <v/>
      </c>
    </row>
    <row r="86">
      <c r="A86" s="8">
        <f>IF($K86="","",INDEX(מלאי!$D$2:$D$500,$K86))</f>
        <v/>
      </c>
      <c r="B86" s="8">
        <f>IF($K86="","",INDEX(מלאי!$B$2:$B$500,$K86))</f>
        <v/>
      </c>
      <c r="C86" s="8">
        <f>IF($K86="","",INDEX(מלאי!$C$2:$C$500,$K86))</f>
        <v/>
      </c>
      <c r="D86" s="8">
        <f>IF($K86="","",INDEX(מלאי!$Y$2:$Y$500,$K86))</f>
        <v/>
      </c>
      <c r="E86" s="8">
        <f>IF($K86="","",INDEX(מלאי!$Z$2:$Z$500,$K86))</f>
        <v/>
      </c>
      <c r="F86" s="8">
        <f>IF($K86="","",INDEX(מלאי!$AA$2:$AA$500,$K86))</f>
        <v/>
      </c>
      <c r="G86" s="10">
        <f>IF($K86="","",INDEX(מלאי!$F$2:$F$500,$K86))</f>
        <v/>
      </c>
      <c r="H86" s="10">
        <f>IF($K86="","",INDEX(מלאי!$AB$2:$AB$500,$K86))</f>
        <v/>
      </c>
      <c r="I86" s="8">
        <f>IF($K86="","",IF(AND(INDEX(מלאי!$AB$2:$AB$500,$K86)&lt;&gt;"",INDEX(מלאי!$AB$2:$AB$500,$K86)&lt;TODAY()),"באיחור!","תקין"))</f>
        <v/>
      </c>
      <c r="J86" s="8">
        <f>IF($K86="","",INDEX(מלאי!$AC$2:$AC$500,$K86))</f>
        <v/>
      </c>
      <c r="K8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82),"")</f>
        <v/>
      </c>
    </row>
    <row r="87">
      <c r="A87" s="2">
        <f>IF($K87="","",INDEX(מלאי!$D$2:$D$500,$K87))</f>
        <v/>
      </c>
      <c r="B87" s="2">
        <f>IF($K87="","",INDEX(מלאי!$B$2:$B$500,$K87))</f>
        <v/>
      </c>
      <c r="C87" s="2">
        <f>IF($K87="","",INDEX(מלאי!$C$2:$C$500,$K87))</f>
        <v/>
      </c>
      <c r="D87" s="2">
        <f>IF($K87="","",INDEX(מלאי!$Y$2:$Y$500,$K87))</f>
        <v/>
      </c>
      <c r="E87" s="2">
        <f>IF($K87="","",INDEX(מלאי!$Z$2:$Z$500,$K87))</f>
        <v/>
      </c>
      <c r="F87" s="2">
        <f>IF($K87="","",INDEX(מלאי!$AA$2:$AA$500,$K87))</f>
        <v/>
      </c>
      <c r="G87" s="9">
        <f>IF($K87="","",INDEX(מלאי!$F$2:$F$500,$K87))</f>
        <v/>
      </c>
      <c r="H87" s="9">
        <f>IF($K87="","",INDEX(מלאי!$AB$2:$AB$500,$K87))</f>
        <v/>
      </c>
      <c r="I87" s="2">
        <f>IF($K87="","",IF(AND(INDEX(מלאי!$AB$2:$AB$500,$K87)&lt;&gt;"",INDEX(מלאי!$AB$2:$AB$500,$K87)&lt;TODAY()),"באיחור!","תקין"))</f>
        <v/>
      </c>
      <c r="J87" s="2">
        <f>IF($K87="","",INDEX(מלאי!$AC$2:$AC$500,$K87))</f>
        <v/>
      </c>
      <c r="K8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83),"")</f>
        <v/>
      </c>
    </row>
    <row r="88">
      <c r="A88" s="8">
        <f>IF($K88="","",INDEX(מלאי!$D$2:$D$500,$K88))</f>
        <v/>
      </c>
      <c r="B88" s="8">
        <f>IF($K88="","",INDEX(מלאי!$B$2:$B$500,$K88))</f>
        <v/>
      </c>
      <c r="C88" s="8">
        <f>IF($K88="","",INDEX(מלאי!$C$2:$C$500,$K88))</f>
        <v/>
      </c>
      <c r="D88" s="8">
        <f>IF($K88="","",INDEX(מלאי!$Y$2:$Y$500,$K88))</f>
        <v/>
      </c>
      <c r="E88" s="8">
        <f>IF($K88="","",INDEX(מלאי!$Z$2:$Z$500,$K88))</f>
        <v/>
      </c>
      <c r="F88" s="8">
        <f>IF($K88="","",INDEX(מלאי!$AA$2:$AA$500,$K88))</f>
        <v/>
      </c>
      <c r="G88" s="10">
        <f>IF($K88="","",INDEX(מלאי!$F$2:$F$500,$K88))</f>
        <v/>
      </c>
      <c r="H88" s="10">
        <f>IF($K88="","",INDEX(מלאי!$AB$2:$AB$500,$K88))</f>
        <v/>
      </c>
      <c r="I88" s="8">
        <f>IF($K88="","",IF(AND(INDEX(מלאי!$AB$2:$AB$500,$K88)&lt;&gt;"",INDEX(מלאי!$AB$2:$AB$500,$K88)&lt;TODAY()),"באיחור!","תקין"))</f>
        <v/>
      </c>
      <c r="J88" s="8">
        <f>IF($K88="","",INDEX(מלאי!$AC$2:$AC$500,$K88))</f>
        <v/>
      </c>
      <c r="K8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84),"")</f>
        <v/>
      </c>
    </row>
    <row r="89">
      <c r="A89" s="2">
        <f>IF($K89="","",INDEX(מלאי!$D$2:$D$500,$K89))</f>
        <v/>
      </c>
      <c r="B89" s="2">
        <f>IF($K89="","",INDEX(מלאי!$B$2:$B$500,$K89))</f>
        <v/>
      </c>
      <c r="C89" s="2">
        <f>IF($K89="","",INDEX(מלאי!$C$2:$C$500,$K89))</f>
        <v/>
      </c>
      <c r="D89" s="2">
        <f>IF($K89="","",INDEX(מלאי!$Y$2:$Y$500,$K89))</f>
        <v/>
      </c>
      <c r="E89" s="2">
        <f>IF($K89="","",INDEX(מלאי!$Z$2:$Z$500,$K89))</f>
        <v/>
      </c>
      <c r="F89" s="2">
        <f>IF($K89="","",INDEX(מלאי!$AA$2:$AA$500,$K89))</f>
        <v/>
      </c>
      <c r="G89" s="9">
        <f>IF($K89="","",INDEX(מלאי!$F$2:$F$500,$K89))</f>
        <v/>
      </c>
      <c r="H89" s="9">
        <f>IF($K89="","",INDEX(מלאי!$AB$2:$AB$500,$K89))</f>
        <v/>
      </c>
      <c r="I89" s="2">
        <f>IF($K89="","",IF(AND(INDEX(מלאי!$AB$2:$AB$500,$K89)&lt;&gt;"",INDEX(מלאי!$AB$2:$AB$500,$K89)&lt;TODAY()),"באיחור!","תקין"))</f>
        <v/>
      </c>
      <c r="J89" s="2">
        <f>IF($K89="","",INDEX(מלאי!$AC$2:$AC$500,$K89))</f>
        <v/>
      </c>
      <c r="K8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85),"")</f>
        <v/>
      </c>
    </row>
    <row r="90">
      <c r="A90" s="8">
        <f>IF($K90="","",INDEX(מלאי!$D$2:$D$500,$K90))</f>
        <v/>
      </c>
      <c r="B90" s="8">
        <f>IF($K90="","",INDEX(מלאי!$B$2:$B$500,$K90))</f>
        <v/>
      </c>
      <c r="C90" s="8">
        <f>IF($K90="","",INDEX(מלאי!$C$2:$C$500,$K90))</f>
        <v/>
      </c>
      <c r="D90" s="8">
        <f>IF($K90="","",INDEX(מלאי!$Y$2:$Y$500,$K90))</f>
        <v/>
      </c>
      <c r="E90" s="8">
        <f>IF($K90="","",INDEX(מלאי!$Z$2:$Z$500,$K90))</f>
        <v/>
      </c>
      <c r="F90" s="8">
        <f>IF($K90="","",INDEX(מלאי!$AA$2:$AA$500,$K90))</f>
        <v/>
      </c>
      <c r="G90" s="10">
        <f>IF($K90="","",INDEX(מלאי!$F$2:$F$500,$K90))</f>
        <v/>
      </c>
      <c r="H90" s="10">
        <f>IF($K90="","",INDEX(מלאי!$AB$2:$AB$500,$K90))</f>
        <v/>
      </c>
      <c r="I90" s="8">
        <f>IF($K90="","",IF(AND(INDEX(מלאי!$AB$2:$AB$500,$K90)&lt;&gt;"",INDEX(מלאי!$AB$2:$AB$500,$K90)&lt;TODAY()),"באיחור!","תקין"))</f>
        <v/>
      </c>
      <c r="J90" s="8">
        <f>IF($K90="","",INDEX(מלאי!$AC$2:$AC$500,$K90))</f>
        <v/>
      </c>
      <c r="K9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86),"")</f>
        <v/>
      </c>
    </row>
    <row r="91">
      <c r="A91" s="2">
        <f>IF($K91="","",INDEX(מלאי!$D$2:$D$500,$K91))</f>
        <v/>
      </c>
      <c r="B91" s="2">
        <f>IF($K91="","",INDEX(מלאי!$B$2:$B$500,$K91))</f>
        <v/>
      </c>
      <c r="C91" s="2">
        <f>IF($K91="","",INDEX(מלאי!$C$2:$C$500,$K91))</f>
        <v/>
      </c>
      <c r="D91" s="2">
        <f>IF($K91="","",INDEX(מלאי!$Y$2:$Y$500,$K91))</f>
        <v/>
      </c>
      <c r="E91" s="2">
        <f>IF($K91="","",INDEX(מלאי!$Z$2:$Z$500,$K91))</f>
        <v/>
      </c>
      <c r="F91" s="2">
        <f>IF($K91="","",INDEX(מלאי!$AA$2:$AA$500,$K91))</f>
        <v/>
      </c>
      <c r="G91" s="9">
        <f>IF($K91="","",INDEX(מלאי!$F$2:$F$500,$K91))</f>
        <v/>
      </c>
      <c r="H91" s="9">
        <f>IF($K91="","",INDEX(מלאי!$AB$2:$AB$500,$K91))</f>
        <v/>
      </c>
      <c r="I91" s="2">
        <f>IF($K91="","",IF(AND(INDEX(מלאי!$AB$2:$AB$500,$K91)&lt;&gt;"",INDEX(מלאי!$AB$2:$AB$500,$K91)&lt;TODAY()),"באיחור!","תקין"))</f>
        <v/>
      </c>
      <c r="J91" s="2">
        <f>IF($K91="","",INDEX(מלאי!$AC$2:$AC$500,$K91))</f>
        <v/>
      </c>
      <c r="K9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87),"")</f>
        <v/>
      </c>
    </row>
    <row r="92">
      <c r="A92" s="8">
        <f>IF($K92="","",INDEX(מלאי!$D$2:$D$500,$K92))</f>
        <v/>
      </c>
      <c r="B92" s="8">
        <f>IF($K92="","",INDEX(מלאי!$B$2:$B$500,$K92))</f>
        <v/>
      </c>
      <c r="C92" s="8">
        <f>IF($K92="","",INDEX(מלאי!$C$2:$C$500,$K92))</f>
        <v/>
      </c>
      <c r="D92" s="8">
        <f>IF($K92="","",INDEX(מלאי!$Y$2:$Y$500,$K92))</f>
        <v/>
      </c>
      <c r="E92" s="8">
        <f>IF($K92="","",INDEX(מלאי!$Z$2:$Z$500,$K92))</f>
        <v/>
      </c>
      <c r="F92" s="8">
        <f>IF($K92="","",INDEX(מלאי!$AA$2:$AA$500,$K92))</f>
        <v/>
      </c>
      <c r="G92" s="10">
        <f>IF($K92="","",INDEX(מלאי!$F$2:$F$500,$K92))</f>
        <v/>
      </c>
      <c r="H92" s="10">
        <f>IF($K92="","",INDEX(מלאי!$AB$2:$AB$500,$K92))</f>
        <v/>
      </c>
      <c r="I92" s="8">
        <f>IF($K92="","",IF(AND(INDEX(מלאי!$AB$2:$AB$500,$K92)&lt;&gt;"",INDEX(מלאי!$AB$2:$AB$500,$K92)&lt;TODAY()),"באיחור!","תקין"))</f>
        <v/>
      </c>
      <c r="J92" s="8">
        <f>IF($K92="","",INDEX(מלאי!$AC$2:$AC$500,$K92))</f>
        <v/>
      </c>
      <c r="K9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88),"")</f>
        <v/>
      </c>
    </row>
    <row r="93">
      <c r="A93" s="2">
        <f>IF($K93="","",INDEX(מלאי!$D$2:$D$500,$K93))</f>
        <v/>
      </c>
      <c r="B93" s="2">
        <f>IF($K93="","",INDEX(מלאי!$B$2:$B$500,$K93))</f>
        <v/>
      </c>
      <c r="C93" s="2">
        <f>IF($K93="","",INDEX(מלאי!$C$2:$C$500,$K93))</f>
        <v/>
      </c>
      <c r="D93" s="2">
        <f>IF($K93="","",INDEX(מלאי!$Y$2:$Y$500,$K93))</f>
        <v/>
      </c>
      <c r="E93" s="2">
        <f>IF($K93="","",INDEX(מלאי!$Z$2:$Z$500,$K93))</f>
        <v/>
      </c>
      <c r="F93" s="2">
        <f>IF($K93="","",INDEX(מלאי!$AA$2:$AA$500,$K93))</f>
        <v/>
      </c>
      <c r="G93" s="9">
        <f>IF($K93="","",INDEX(מלאי!$F$2:$F$500,$K93))</f>
        <v/>
      </c>
      <c r="H93" s="9">
        <f>IF($K93="","",INDEX(מלאי!$AB$2:$AB$500,$K93))</f>
        <v/>
      </c>
      <c r="I93" s="2">
        <f>IF($K93="","",IF(AND(INDEX(מלאי!$AB$2:$AB$500,$K93)&lt;&gt;"",INDEX(מלאי!$AB$2:$AB$500,$K93)&lt;TODAY()),"באיחור!","תקין"))</f>
        <v/>
      </c>
      <c r="J93" s="2">
        <f>IF($K93="","",INDEX(מלאי!$AC$2:$AC$500,$K93))</f>
        <v/>
      </c>
      <c r="K9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89),"")</f>
        <v/>
      </c>
    </row>
    <row r="94">
      <c r="A94" s="8">
        <f>IF($K94="","",INDEX(מלאי!$D$2:$D$500,$K94))</f>
        <v/>
      </c>
      <c r="B94" s="8">
        <f>IF($K94="","",INDEX(מלאי!$B$2:$B$500,$K94))</f>
        <v/>
      </c>
      <c r="C94" s="8">
        <f>IF($K94="","",INDEX(מלאי!$C$2:$C$500,$K94))</f>
        <v/>
      </c>
      <c r="D94" s="8">
        <f>IF($K94="","",INDEX(מלאי!$Y$2:$Y$500,$K94))</f>
        <v/>
      </c>
      <c r="E94" s="8">
        <f>IF($K94="","",INDEX(מלאי!$Z$2:$Z$500,$K94))</f>
        <v/>
      </c>
      <c r="F94" s="8">
        <f>IF($K94="","",INDEX(מלאי!$AA$2:$AA$500,$K94))</f>
        <v/>
      </c>
      <c r="G94" s="10">
        <f>IF($K94="","",INDEX(מלאי!$F$2:$F$500,$K94))</f>
        <v/>
      </c>
      <c r="H94" s="10">
        <f>IF($K94="","",INDEX(מלאי!$AB$2:$AB$500,$K94))</f>
        <v/>
      </c>
      <c r="I94" s="8">
        <f>IF($K94="","",IF(AND(INDEX(מלאי!$AB$2:$AB$500,$K94)&lt;&gt;"",INDEX(מלאי!$AB$2:$AB$500,$K94)&lt;TODAY()),"באיחור!","תקין"))</f>
        <v/>
      </c>
      <c r="J94" s="8">
        <f>IF($K94="","",INDEX(מלאי!$AC$2:$AC$500,$K94))</f>
        <v/>
      </c>
      <c r="K9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90),"")</f>
        <v/>
      </c>
    </row>
    <row r="95">
      <c r="A95" s="2">
        <f>IF($K95="","",INDEX(מלאי!$D$2:$D$500,$K95))</f>
        <v/>
      </c>
      <c r="B95" s="2">
        <f>IF($K95="","",INDEX(מלאי!$B$2:$B$500,$K95))</f>
        <v/>
      </c>
      <c r="C95" s="2">
        <f>IF($K95="","",INDEX(מלאי!$C$2:$C$500,$K95))</f>
        <v/>
      </c>
      <c r="D95" s="2">
        <f>IF($K95="","",INDEX(מלאי!$Y$2:$Y$500,$K95))</f>
        <v/>
      </c>
      <c r="E95" s="2">
        <f>IF($K95="","",INDEX(מלאי!$Z$2:$Z$500,$K95))</f>
        <v/>
      </c>
      <c r="F95" s="2">
        <f>IF($K95="","",INDEX(מלאי!$AA$2:$AA$500,$K95))</f>
        <v/>
      </c>
      <c r="G95" s="9">
        <f>IF($K95="","",INDEX(מלאי!$F$2:$F$500,$K95))</f>
        <v/>
      </c>
      <c r="H95" s="9">
        <f>IF($K95="","",INDEX(מלאי!$AB$2:$AB$500,$K95))</f>
        <v/>
      </c>
      <c r="I95" s="2">
        <f>IF($K95="","",IF(AND(INDEX(מלאי!$AB$2:$AB$500,$K95)&lt;&gt;"",INDEX(מלאי!$AB$2:$AB$500,$K95)&lt;TODAY()),"באיחור!","תקין"))</f>
        <v/>
      </c>
      <c r="J95" s="2">
        <f>IF($K95="","",INDEX(מלאי!$AC$2:$AC$500,$K95))</f>
        <v/>
      </c>
      <c r="K95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91),"")</f>
        <v/>
      </c>
    </row>
    <row r="96">
      <c r="A96" s="8">
        <f>IF($K96="","",INDEX(מלאי!$D$2:$D$500,$K96))</f>
        <v/>
      </c>
      <c r="B96" s="8">
        <f>IF($K96="","",INDEX(מלאי!$B$2:$B$500,$K96))</f>
        <v/>
      </c>
      <c r="C96" s="8">
        <f>IF($K96="","",INDEX(מלאי!$C$2:$C$500,$K96))</f>
        <v/>
      </c>
      <c r="D96" s="8">
        <f>IF($K96="","",INDEX(מלאי!$Y$2:$Y$500,$K96))</f>
        <v/>
      </c>
      <c r="E96" s="8">
        <f>IF($K96="","",INDEX(מלאי!$Z$2:$Z$500,$K96))</f>
        <v/>
      </c>
      <c r="F96" s="8">
        <f>IF($K96="","",INDEX(מלאי!$AA$2:$AA$500,$K96))</f>
        <v/>
      </c>
      <c r="G96" s="10">
        <f>IF($K96="","",INDEX(מלאי!$F$2:$F$500,$K96))</f>
        <v/>
      </c>
      <c r="H96" s="10">
        <f>IF($K96="","",INDEX(מלאי!$AB$2:$AB$500,$K96))</f>
        <v/>
      </c>
      <c r="I96" s="8">
        <f>IF($K96="","",IF(AND(INDEX(מלאי!$AB$2:$AB$500,$K96)&lt;&gt;"",INDEX(מלאי!$AB$2:$AB$500,$K96)&lt;TODAY()),"באיחור!","תקין"))</f>
        <v/>
      </c>
      <c r="J96" s="8">
        <f>IF($K96="","",INDEX(מלאי!$AC$2:$AC$500,$K96))</f>
        <v/>
      </c>
      <c r="K96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92),"")</f>
        <v/>
      </c>
    </row>
    <row r="97">
      <c r="A97" s="2">
        <f>IF($K97="","",INDEX(מלאי!$D$2:$D$500,$K97))</f>
        <v/>
      </c>
      <c r="B97" s="2">
        <f>IF($K97="","",INDEX(מלאי!$B$2:$B$500,$K97))</f>
        <v/>
      </c>
      <c r="C97" s="2">
        <f>IF($K97="","",INDEX(מלאי!$C$2:$C$500,$K97))</f>
        <v/>
      </c>
      <c r="D97" s="2">
        <f>IF($K97="","",INDEX(מלאי!$Y$2:$Y$500,$K97))</f>
        <v/>
      </c>
      <c r="E97" s="2">
        <f>IF($K97="","",INDEX(מלאי!$Z$2:$Z$500,$K97))</f>
        <v/>
      </c>
      <c r="F97" s="2">
        <f>IF($K97="","",INDEX(מלאי!$AA$2:$AA$500,$K97))</f>
        <v/>
      </c>
      <c r="G97" s="9">
        <f>IF($K97="","",INDEX(מלאי!$F$2:$F$500,$K97))</f>
        <v/>
      </c>
      <c r="H97" s="9">
        <f>IF($K97="","",INDEX(מלאי!$AB$2:$AB$500,$K97))</f>
        <v/>
      </c>
      <c r="I97" s="2">
        <f>IF($K97="","",IF(AND(INDEX(מלאי!$AB$2:$AB$500,$K97)&lt;&gt;"",INDEX(מלאי!$AB$2:$AB$500,$K97)&lt;TODAY()),"באיחור!","תקין"))</f>
        <v/>
      </c>
      <c r="J97" s="2">
        <f>IF($K97="","",INDEX(מלאי!$AC$2:$AC$500,$K97))</f>
        <v/>
      </c>
      <c r="K97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93),"")</f>
        <v/>
      </c>
    </row>
    <row r="98">
      <c r="A98" s="8">
        <f>IF($K98="","",INDEX(מלאי!$D$2:$D$500,$K98))</f>
        <v/>
      </c>
      <c r="B98" s="8">
        <f>IF($K98="","",INDEX(מלאי!$B$2:$B$500,$K98))</f>
        <v/>
      </c>
      <c r="C98" s="8">
        <f>IF($K98="","",INDEX(מלאי!$C$2:$C$500,$K98))</f>
        <v/>
      </c>
      <c r="D98" s="8">
        <f>IF($K98="","",INDEX(מלאי!$Y$2:$Y$500,$K98))</f>
        <v/>
      </c>
      <c r="E98" s="8">
        <f>IF($K98="","",INDEX(מלאי!$Z$2:$Z$500,$K98))</f>
        <v/>
      </c>
      <c r="F98" s="8">
        <f>IF($K98="","",INDEX(מלאי!$AA$2:$AA$500,$K98))</f>
        <v/>
      </c>
      <c r="G98" s="10">
        <f>IF($K98="","",INDEX(מלאי!$F$2:$F$500,$K98))</f>
        <v/>
      </c>
      <c r="H98" s="10">
        <f>IF($K98="","",INDEX(מלאי!$AB$2:$AB$500,$K98))</f>
        <v/>
      </c>
      <c r="I98" s="8">
        <f>IF($K98="","",IF(AND(INDEX(מלאי!$AB$2:$AB$500,$K98)&lt;&gt;"",INDEX(מלאי!$AB$2:$AB$500,$K98)&lt;TODAY()),"באיחור!","תקין"))</f>
        <v/>
      </c>
      <c r="J98" s="8">
        <f>IF($K98="","",INDEX(מלאי!$AC$2:$AC$500,$K98))</f>
        <v/>
      </c>
      <c r="K98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94),"")</f>
        <v/>
      </c>
    </row>
    <row r="99">
      <c r="A99" s="2">
        <f>IF($K99="","",INDEX(מלאי!$D$2:$D$500,$K99))</f>
        <v/>
      </c>
      <c r="B99" s="2">
        <f>IF($K99="","",INDEX(מלאי!$B$2:$B$500,$K99))</f>
        <v/>
      </c>
      <c r="C99" s="2">
        <f>IF($K99="","",INDEX(מלאי!$C$2:$C$500,$K99))</f>
        <v/>
      </c>
      <c r="D99" s="2">
        <f>IF($K99="","",INDEX(מלאי!$Y$2:$Y$500,$K99))</f>
        <v/>
      </c>
      <c r="E99" s="2">
        <f>IF($K99="","",INDEX(מלאי!$Z$2:$Z$500,$K99))</f>
        <v/>
      </c>
      <c r="F99" s="2">
        <f>IF($K99="","",INDEX(מלאי!$AA$2:$AA$500,$K99))</f>
        <v/>
      </c>
      <c r="G99" s="9">
        <f>IF($K99="","",INDEX(מלאי!$F$2:$F$500,$K99))</f>
        <v/>
      </c>
      <c r="H99" s="9">
        <f>IF($K99="","",INDEX(מלאי!$AB$2:$AB$500,$K99))</f>
        <v/>
      </c>
      <c r="I99" s="2">
        <f>IF($K99="","",IF(AND(INDEX(מלאי!$AB$2:$AB$500,$K99)&lt;&gt;"",INDEX(מלאי!$AB$2:$AB$500,$K99)&lt;TODAY()),"באיחור!","תקין"))</f>
        <v/>
      </c>
      <c r="J99" s="2">
        <f>IF($K99="","",INDEX(מלאי!$AC$2:$AC$500,$K99))</f>
        <v/>
      </c>
      <c r="K99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95),"")</f>
        <v/>
      </c>
    </row>
    <row r="100">
      <c r="A100" s="8">
        <f>IF($K100="","",INDEX(מלאי!$D$2:$D$500,$K100))</f>
        <v/>
      </c>
      <c r="B100" s="8">
        <f>IF($K100="","",INDEX(מלאי!$B$2:$B$500,$K100))</f>
        <v/>
      </c>
      <c r="C100" s="8">
        <f>IF($K100="","",INDEX(מלאי!$C$2:$C$500,$K100))</f>
        <v/>
      </c>
      <c r="D100" s="8">
        <f>IF($K100="","",INDEX(מלאי!$Y$2:$Y$500,$K100))</f>
        <v/>
      </c>
      <c r="E100" s="8">
        <f>IF($K100="","",INDEX(מלאי!$Z$2:$Z$500,$K100))</f>
        <v/>
      </c>
      <c r="F100" s="8">
        <f>IF($K100="","",INDEX(מלאי!$AA$2:$AA$500,$K100))</f>
        <v/>
      </c>
      <c r="G100" s="10">
        <f>IF($K100="","",INDEX(מלאי!$F$2:$F$500,$K100))</f>
        <v/>
      </c>
      <c r="H100" s="10">
        <f>IF($K100="","",INDEX(מלאי!$AB$2:$AB$500,$K100))</f>
        <v/>
      </c>
      <c r="I100" s="8">
        <f>IF($K100="","",IF(AND(INDEX(מלאי!$AB$2:$AB$500,$K100)&lt;&gt;"",INDEX(מלאי!$AB$2:$AB$500,$K100)&lt;TODAY()),"באיחור!","תקין"))</f>
        <v/>
      </c>
      <c r="J100" s="8">
        <f>IF($K100="","",INDEX(מלאי!$AC$2:$AC$500,$K100))</f>
        <v/>
      </c>
      <c r="K100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96),"")</f>
        <v/>
      </c>
    </row>
    <row r="101">
      <c r="A101" s="2">
        <f>IF($K101="","",INDEX(מלאי!$D$2:$D$500,$K101))</f>
        <v/>
      </c>
      <c r="B101" s="2">
        <f>IF($K101="","",INDEX(מלאי!$B$2:$B$500,$K101))</f>
        <v/>
      </c>
      <c r="C101" s="2">
        <f>IF($K101="","",INDEX(מלאי!$C$2:$C$500,$K101))</f>
        <v/>
      </c>
      <c r="D101" s="2">
        <f>IF($K101="","",INDEX(מלאי!$Y$2:$Y$500,$K101))</f>
        <v/>
      </c>
      <c r="E101" s="2">
        <f>IF($K101="","",INDEX(מלאי!$Z$2:$Z$500,$K101))</f>
        <v/>
      </c>
      <c r="F101" s="2">
        <f>IF($K101="","",INDEX(מלאי!$AA$2:$AA$500,$K101))</f>
        <v/>
      </c>
      <c r="G101" s="9">
        <f>IF($K101="","",INDEX(מלאי!$F$2:$F$500,$K101))</f>
        <v/>
      </c>
      <c r="H101" s="9">
        <f>IF($K101="","",INDEX(מלאי!$AB$2:$AB$500,$K101))</f>
        <v/>
      </c>
      <c r="I101" s="2">
        <f>IF($K101="","",IF(AND(INDEX(מלאי!$AB$2:$AB$500,$K101)&lt;&gt;"",INDEX(מלאי!$AB$2:$AB$500,$K101)&lt;TODAY()),"באיחור!","תקין"))</f>
        <v/>
      </c>
      <c r="J101" s="2">
        <f>IF($K101="","",INDEX(מלאי!$AC$2:$AC$500,$K101))</f>
        <v/>
      </c>
      <c r="K101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97),"")</f>
        <v/>
      </c>
    </row>
    <row r="102">
      <c r="A102" s="8">
        <f>IF($K102="","",INDEX(מלאי!$D$2:$D$500,$K102))</f>
        <v/>
      </c>
      <c r="B102" s="8">
        <f>IF($K102="","",INDEX(מלאי!$B$2:$B$500,$K102))</f>
        <v/>
      </c>
      <c r="C102" s="8">
        <f>IF($K102="","",INDEX(מלאי!$C$2:$C$500,$K102))</f>
        <v/>
      </c>
      <c r="D102" s="8">
        <f>IF($K102="","",INDEX(מלאי!$Y$2:$Y$500,$K102))</f>
        <v/>
      </c>
      <c r="E102" s="8">
        <f>IF($K102="","",INDEX(מלאי!$Z$2:$Z$500,$K102))</f>
        <v/>
      </c>
      <c r="F102" s="8">
        <f>IF($K102="","",INDEX(מלאי!$AA$2:$AA$500,$K102))</f>
        <v/>
      </c>
      <c r="G102" s="10">
        <f>IF($K102="","",INDEX(מלאי!$F$2:$F$500,$K102))</f>
        <v/>
      </c>
      <c r="H102" s="10">
        <f>IF($K102="","",INDEX(מלאי!$AB$2:$AB$500,$K102))</f>
        <v/>
      </c>
      <c r="I102" s="8">
        <f>IF($K102="","",IF(AND(INDEX(מלאי!$AB$2:$AB$500,$K102)&lt;&gt;"",INDEX(מלאי!$AB$2:$AB$500,$K102)&lt;TODAY()),"באיחור!","תקין"))</f>
        <v/>
      </c>
      <c r="J102" s="8">
        <f>IF($K102="","",INDEX(מלאי!$AC$2:$AC$500,$K102))</f>
        <v/>
      </c>
      <c r="K102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98),"")</f>
        <v/>
      </c>
    </row>
    <row r="103">
      <c r="A103" s="2">
        <f>IF($K103="","",INDEX(מלאי!$D$2:$D$500,$K103))</f>
        <v/>
      </c>
      <c r="B103" s="2">
        <f>IF($K103="","",INDEX(מלאי!$B$2:$B$500,$K103))</f>
        <v/>
      </c>
      <c r="C103" s="2">
        <f>IF($K103="","",INDEX(מלאי!$C$2:$C$500,$K103))</f>
        <v/>
      </c>
      <c r="D103" s="2">
        <f>IF($K103="","",INDEX(מלאי!$Y$2:$Y$500,$K103))</f>
        <v/>
      </c>
      <c r="E103" s="2">
        <f>IF($K103="","",INDEX(מלאי!$Z$2:$Z$500,$K103))</f>
        <v/>
      </c>
      <c r="F103" s="2">
        <f>IF($K103="","",INDEX(מלאי!$AA$2:$AA$500,$K103))</f>
        <v/>
      </c>
      <c r="G103" s="9">
        <f>IF($K103="","",INDEX(מלאי!$F$2:$F$500,$K103))</f>
        <v/>
      </c>
      <c r="H103" s="9">
        <f>IF($K103="","",INDEX(מלאי!$AB$2:$AB$500,$K103))</f>
        <v/>
      </c>
      <c r="I103" s="2">
        <f>IF($K103="","",IF(AND(INDEX(מלאי!$AB$2:$AB$500,$K103)&lt;&gt;"",INDEX(מלאי!$AB$2:$AB$500,$K103)&lt;TODAY()),"באיחור!","תקין"))</f>
        <v/>
      </c>
      <c r="J103" s="2">
        <f>IF($K103="","",INDEX(מלאי!$AC$2:$AC$500,$K103))</f>
        <v/>
      </c>
      <c r="K103" s="2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99),"")</f>
        <v/>
      </c>
    </row>
    <row r="104">
      <c r="A104" s="8">
        <f>IF($K104="","",INDEX(מלאי!$D$2:$D$500,$K104))</f>
        <v/>
      </c>
      <c r="B104" s="8">
        <f>IF($K104="","",INDEX(מלאי!$B$2:$B$500,$K104))</f>
        <v/>
      </c>
      <c r="C104" s="8">
        <f>IF($K104="","",INDEX(מלאי!$C$2:$C$500,$K104))</f>
        <v/>
      </c>
      <c r="D104" s="8">
        <f>IF($K104="","",INDEX(מלאי!$Y$2:$Y$500,$K104))</f>
        <v/>
      </c>
      <c r="E104" s="8">
        <f>IF($K104="","",INDEX(מלאי!$Z$2:$Z$500,$K104))</f>
        <v/>
      </c>
      <c r="F104" s="8">
        <f>IF($K104="","",INDEX(מלאי!$AA$2:$AA$500,$K104))</f>
        <v/>
      </c>
      <c r="G104" s="10">
        <f>IF($K104="","",INDEX(מלאי!$F$2:$F$500,$K104))</f>
        <v/>
      </c>
      <c r="H104" s="10">
        <f>IF($K104="","",INDEX(מלאי!$AB$2:$AB$500,$K104))</f>
        <v/>
      </c>
      <c r="I104" s="8">
        <f>IF($K104="","",IF(AND(INDEX(מלאי!$AB$2:$AB$500,$K104)&lt;&gt;"",INDEX(מלאי!$AB$2:$AB$500,$K104)&lt;TODAY()),"באיחור!","תקין"))</f>
        <v/>
      </c>
      <c r="J104" s="8">
        <f>IF($K104="","",INDEX(מלאי!$AC$2:$AC$500,$K104))</f>
        <v/>
      </c>
      <c r="K104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100),"")</f>
        <v/>
      </c>
    </row>
  </sheetData>
  <conditionalFormatting sqref="I5:I104">
    <cfRule type="expression" priority="1" dxfId="0">
      <formula>I5="באיחור!"</formula>
    </cfRule>
  </conditionalFormatting>
  <conditionalFormatting sqref="A5:J104">
    <cfRule type="expression" priority="2" dxfId="1">
      <formula>$I5="באיחור!"</formula>
    </cfRule>
  </conditionalFormatting>
  <dataValidations count="1">
    <dataValidation sqref="D2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2" t="inlineStr">
        <is>
          <t>הכל</t>
        </is>
      </c>
      <c r="B6" s="2" t="n"/>
      <c r="C6" s="2" t="n"/>
      <c r="D6" s="2" t="n"/>
      <c r="E6" s="2" t="n"/>
      <c r="F6" s="2" t="n"/>
      <c r="G6" s="2" t="n"/>
    </row>
    <row r="7">
      <c r="A7" s="3" t="inlineStr">
        <is>
          <t>סיכום</t>
        </is>
      </c>
    </row>
    <row r="8">
      <c r="A8" s="4" t="inlineStr">
        <is>
          <t>סה"כ פריטים תואמים</t>
        </is>
      </c>
      <c r="D8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טכנולוגיים'!$A$2:$500,0))&lt;=$G$6),0))))</f>
        <v/>
      </c>
    </row>
    <row r="9">
      <c r="A9" s="4" t="inlineStr">
        <is>
          <t>כמות תקין לגמרי</t>
        </is>
      </c>
      <c r="D9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טכנולוגיים'!$A$2:$500,0))&lt;=$G$6),0)))*((מלאי!$O$2:$500="כן")*(מלאי!$U$2:$500="כן")+(מלאי!$P$2:$500="כן")*(מלאי!$V$2:$500="כן")&gt;0))</f>
        <v/>
      </c>
    </row>
    <row r="10">
      <c r="A10" s="4" t="inlineStr">
        <is>
          <t>כמות תקין ויזואלית בלבד</t>
        </is>
      </c>
      <c r="D10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טכנולוגיים'!$A$2:$500,0))&lt;=$G$6),0)))*((מלאי!$O$2:$500="כן")+(מלאי!$P$2:$500="כן")&gt;0)*(1-((מלאי!$O$2:$500="כן")*(מלאי!$U$2:$500="כן")+(מלאי!$P$2:$500="כן")*(מלאי!$V$2:$500="כן")&gt;0)))</f>
        <v/>
      </c>
    </row>
    <row r="11">
      <c r="A11" s="4" t="inlineStr">
        <is>
          <t>כמות תקין תרמית בלבד</t>
        </is>
      </c>
      <c r="D11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טכנולוגיים'!$A$2:$500,0))&lt;=$G$6),0)))*((מלאי!$U$2:$500="כן")+(מלאי!$V$2:$500="כן")&gt;0)*(1-((מלאי!$O$2:$500="כן")+(מלאי!$P$2:$500="כן")&gt;0)))</f>
        <v/>
      </c>
    </row>
    <row r="12">
      <c r="A12" s="4" t="inlineStr">
        <is>
          <t>כמות במלאי</t>
        </is>
      </c>
      <c r="D12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טכנולוגיים'!$A$2:$500,0))&lt;=$G$6),0)))*(מלאי!$X$2:$500="במלאי"))</f>
        <v/>
      </c>
    </row>
    <row r="13">
      <c r="A13" s="4" t="inlineStr">
        <is>
          <t>כמות מושאלים</t>
        </is>
      </c>
      <c r="D13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טכנולוגיים'!$A$2:$500,0))&lt;=$G$6),0)))*(מלאי!$X$2:$500="מושאל"))</f>
        <v/>
      </c>
    </row>
    <row r="14">
      <c r="A14" s="4" t="inlineStr">
        <is>
          <t>כמות בחדר תצוגה</t>
        </is>
      </c>
      <c r="D14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טכנולוגיים'!$A$2:$500,0))&lt;=$G$6),0)))*(מלאי!$X$2:$500="בחדר תצוגה"))</f>
        <v/>
      </c>
    </row>
    <row r="15">
      <c r="A15" s="4" t="inlineStr">
        <is>
          <t>כמות בתיק הדגמה</t>
        </is>
      </c>
      <c r="D15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טכנולוגיים'!$A$2:$500,0))&lt;=$G$6),0)))*(מלאי!$X$2:$500="בתיק הדגמה"))</f>
        <v/>
      </c>
    </row>
    <row r="16">
      <c r="A16" s="4" t="inlineStr">
        <is>
          <t>כמות עם פער בתכולה</t>
        </is>
      </c>
      <c r="D16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טכנולוגיים'!$A$2:$500,0))&lt;=$G$6),0)))*(מלאי!$AD$2:$500="כן"))</f>
        <v/>
      </c>
    </row>
    <row r="17">
      <c r="A17" s="4" t="inlineStr">
        <is>
          <t>כמות גרסה מיוחדת - פיתוח</t>
        </is>
      </c>
      <c r="D17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טכנולוגיים'!$A$2:$500,0))&lt;=$G$6),0)))*(מלאי!$J$2:$500="כן"))</f>
        <v/>
      </c>
    </row>
    <row r="18">
      <c r="A18" s="4" t="inlineStr">
        <is>
          <t>תקינים ויזואלית אך הדפס לא מתאים לסביבה</t>
        </is>
      </c>
      <c r="D18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טכנולוגיים'!$A$2:$500,0))&lt;=$G$6),0)))*(IF($A$2="הכל",FALSE,(מלאי!$Q$2:$500&lt;&gt;$A$2)*(מלאי!$R$2:$500&lt;&gt;$A$2)*(מלאי!$S$2:$500&lt;&gt;$A$2)*(מלאי!$T$2:$500&lt;&gt;$A$2)))*((מלאי!$O$2:$500="כן")+(מלאי!$P$2:$500="כן")&gt;0)))</f>
        <v/>
      </c>
    </row>
    <row r="19">
      <c r="A19" s="4" t="inlineStr">
        <is>
          <t>פירוט הדפסים שאינם מתאימים</t>
        </is>
      </c>
      <c r="D19" s="6">
        <f>IF($A$2="הכל","—",IFERROR(TEXTJOIN(", ",TRUE,UNIQUE(FILTER(מלאי!$M$2:$500,(מלאי!$D$2:$500&lt;&gt;"")*(IF($A$2="הכל",FALSE,(מלאי!$Q$2:$500&lt;&gt;$A$2)*(מלאי!$R$2:$500&lt;&gt;$A$2)*(מלאי!$S$2:$500&lt;&gt;$A$2)*(מלאי!$T$2:$500&lt;&gt;$A$2)))*((מלאי!$O$2:$500="כן")+(מלאי!$P$2:$500="כן")&gt;0)))),""))</f>
        <v/>
      </c>
    </row>
    <row r="21">
      <c r="A21" s="3" t="inlineStr">
        <is>
          <t>פירוט פריטים מסוננים</t>
        </is>
      </c>
    </row>
    <row r="22">
      <c r="A22" s="7" t="inlineStr">
        <is>
          <t>מזהה</t>
        </is>
      </c>
      <c r="B22" s="7" t="inlineStr">
        <is>
          <t>שם מוצר</t>
        </is>
      </c>
      <c r="C22" s="7" t="inlineStr">
        <is>
          <t>גרסה</t>
        </is>
      </c>
      <c r="D22" s="7" t="inlineStr">
        <is>
          <t>סוג בד</t>
        </is>
      </c>
      <c r="E22" s="7" t="inlineStr">
        <is>
          <t>הדפס A</t>
        </is>
      </c>
      <c r="F22" s="7" t="inlineStr">
        <is>
          <t>הדפס B</t>
        </is>
      </c>
      <c r="G22" s="7" t="inlineStr">
        <is>
          <t>תקין ויזואלי</t>
        </is>
      </c>
      <c r="H22" s="7" t="inlineStr">
        <is>
          <t>תקין תרמי</t>
        </is>
      </c>
      <c r="I22" s="7" t="inlineStr">
        <is>
          <t>סטטוס</t>
        </is>
      </c>
      <c r="J22" s="7" t="inlineStr">
        <is>
          <t>הערות</t>
        </is>
      </c>
      <c r="K22" s="7" t="inlineStr">
        <is>
          <t>row_ref</t>
        </is>
      </c>
      <c r="L22" s="7" t="inlineStr">
        <is>
          <t>נובל</t>
        </is>
      </c>
      <c r="M22" s="7" t="inlineStr">
        <is>
          <t>MWIR A</t>
        </is>
      </c>
      <c r="N22" s="7" t="inlineStr">
        <is>
          <t>MWIR B</t>
        </is>
      </c>
      <c r="O22" s="7" t="inlineStr">
        <is>
          <t>LWIR A</t>
        </is>
      </c>
      <c r="P22" s="7" t="inlineStr">
        <is>
          <t>LWIR B</t>
        </is>
      </c>
      <c r="Q22" s="7" t="inlineStr">
        <is>
          <t>ממוצע משולב</t>
        </is>
      </c>
    </row>
    <row r="23">
      <c r="A23" s="2">
        <f>IF($K23="","",INDEX(מלאי!$D$2:$500,$K23))</f>
        <v/>
      </c>
      <c r="B23" s="2">
        <f>IF($K23="","",INDEX(מלאי!$B$2:$500,$K23))</f>
        <v/>
      </c>
      <c r="C23" s="2">
        <f>IF($K23="","",INDEX(מלאי!$C$2:$500,$K23))</f>
        <v/>
      </c>
      <c r="D23" s="2">
        <f>IF($K23="","",INDEX(מלאי!$G$2:$500,$K23))</f>
        <v/>
      </c>
      <c r="E23" s="2">
        <f>IF($K23="","",INDEX(מלאי!$M$2:$500,$K23))</f>
        <v/>
      </c>
      <c r="F23" s="2">
        <f>IF($K23="","",INDEX(מלאי!$N$2:$500,$K23))</f>
        <v/>
      </c>
      <c r="G23" s="2">
        <f>IF($K23="","",INDEX(מלאי!$O$2:$500,$K23))</f>
        <v/>
      </c>
      <c r="H23" s="2">
        <f>IF($K23="","",INDEX(מלאי!$U$2:$500,$K23))</f>
        <v/>
      </c>
      <c r="I23" s="2">
        <f>IF($K23="","",INDEX(מלאי!$X$2:$500,$K23))</f>
        <v/>
      </c>
      <c r="J23" s="2">
        <f>IF($K23="","",INDEX(מלאי!$AC$2:$500,$K23))</f>
        <v/>
      </c>
      <c r="K2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טכנולוגיים'!$A$2:$500,0))&lt;=$G$6),0))),ROW(מלאי!$A$2:$A$500)-ROW(מלאי!$A$2)+1,""),1),"")</f>
        <v/>
      </c>
      <c r="L23" s="2">
        <f>IF($K23="","",IFERROR(INDEX('ערכים טכנולוגיים'!$K$2:$500,MATCH(A23,'ערכים טכנולוגיים'!$A$2:$500,0)),""))</f>
        <v/>
      </c>
      <c r="M23" s="2">
        <f>IF($K23="","",IFERROR(INDEX('ערכים טכנולוגיים'!$F$2:$500,MATCH(A23,'ערכים טכנולוגיים'!$A$2:$500,0)),""))</f>
        <v/>
      </c>
      <c r="N23" s="2">
        <f>IF($K23="","",IFERROR(INDEX('ערכים טכנולוגיים'!$I$2:$500,MATCH(A23,'ערכים טכנולוגיים'!$A$2:$500,0)),""))</f>
        <v/>
      </c>
      <c r="O23" s="2">
        <f>IF($K23="","",IFERROR(INDEX('ערכים טכנולוגיים'!$G$2:$500,MATCH(A23,'ערכים טכנולוגיים'!$A$2:$500,0)),""))</f>
        <v/>
      </c>
      <c r="P23" s="2">
        <f>IF($K23="","",IFERROR(INDEX('ערכים טכנולוגיים'!$J$2:$500,MATCH(A23,'ערכים טכנולוגיים'!$A$2:$500,0)),""))</f>
        <v/>
      </c>
      <c r="Q23" s="2">
        <f>IF($K23="","",IFERROR(INDEX('ערכים טכנולוגיים'!$N$2:$500,MATCH(A23,'ערכים טכנולוגיים'!$A$2:$500,0)),""))</f>
        <v/>
      </c>
    </row>
    <row r="24">
      <c r="A24" s="8">
        <f>IF($K24="","",INDEX(מלאי!$D$2:$500,$K24))</f>
        <v/>
      </c>
      <c r="B24" s="8">
        <f>IF($K24="","",INDEX(מלאי!$B$2:$500,$K24))</f>
        <v/>
      </c>
      <c r="C24" s="8">
        <f>IF($K24="","",INDEX(מלאי!$C$2:$500,$K24))</f>
        <v/>
      </c>
      <c r="D24" s="8">
        <f>IF($K24="","",INDEX(מלאי!$G$2:$500,$K24))</f>
        <v/>
      </c>
      <c r="E24" s="8">
        <f>IF($K24="","",INDEX(מלאי!$M$2:$500,$K24))</f>
        <v/>
      </c>
      <c r="F24" s="8">
        <f>IF($K24="","",INDEX(מלאי!$N$2:$500,$K24))</f>
        <v/>
      </c>
      <c r="G24" s="8">
        <f>IF($K24="","",INDEX(מלאי!$O$2:$500,$K24))</f>
        <v/>
      </c>
      <c r="H24" s="8">
        <f>IF($K24="","",INDEX(מלאי!$U$2:$500,$K24))</f>
        <v/>
      </c>
      <c r="I24" s="8">
        <f>IF($K24="","",INDEX(מלאי!$X$2:$500,$K24))</f>
        <v/>
      </c>
      <c r="J24" s="8">
        <f>IF($K24="","",INDEX(מלאי!$AC$2:$500,$K24))</f>
        <v/>
      </c>
      <c r="K2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טכנולוגיים'!$A$2:$500,0))&lt;=$G$6),0))),ROW(מלאי!$A$2:$A$500)-ROW(מלאי!$A$2)+1,""),2),"")</f>
        <v/>
      </c>
      <c r="L24" s="8">
        <f>IF($K24="","",IFERROR(INDEX('ערכים טכנולוגיים'!$K$2:$500,MATCH(A24,'ערכים טכנולוגיים'!$A$2:$500,0)),""))</f>
        <v/>
      </c>
      <c r="M24" s="8">
        <f>IF($K24="","",IFERROR(INDEX('ערכים טכנולוגיים'!$F$2:$500,MATCH(A24,'ערכים טכנולוגיים'!$A$2:$500,0)),""))</f>
        <v/>
      </c>
      <c r="N24" s="8">
        <f>IF($K24="","",IFERROR(INDEX('ערכים טכנולוגיים'!$I$2:$500,MATCH(A24,'ערכים טכנולוגיים'!$A$2:$500,0)),""))</f>
        <v/>
      </c>
      <c r="O24" s="8">
        <f>IF($K24="","",IFERROR(INDEX('ערכים טכנולוגיים'!$G$2:$500,MATCH(A24,'ערכים טכנולוגיים'!$A$2:$500,0)),""))</f>
        <v/>
      </c>
      <c r="P24" s="8">
        <f>IF($K24="","",IFERROR(INDEX('ערכים טכנולוגיים'!$J$2:$500,MATCH(A24,'ערכים טכנולוגיים'!$A$2:$500,0)),""))</f>
        <v/>
      </c>
      <c r="Q24" s="8">
        <f>IF($K24="","",IFERROR(INDEX('ערכים טכנולוגיים'!$N$2:$500,MATCH(A24,'ערכים טכנולוגיים'!$A$2:$500,0)),""))</f>
        <v/>
      </c>
    </row>
    <row r="25">
      <c r="A25" s="2">
        <f>IF($K25="","",INDEX(מלאי!$D$2:$500,$K25))</f>
        <v/>
      </c>
      <c r="B25" s="2">
        <f>IF($K25="","",INDEX(מלאי!$B$2:$500,$K25))</f>
        <v/>
      </c>
      <c r="C25" s="2">
        <f>IF($K25="","",INDEX(מלאי!$C$2:$500,$K25))</f>
        <v/>
      </c>
      <c r="D25" s="2">
        <f>IF($K25="","",INDEX(מלאי!$G$2:$500,$K25))</f>
        <v/>
      </c>
      <c r="E25" s="2">
        <f>IF($K25="","",INDEX(מלאי!$M$2:$500,$K25))</f>
        <v/>
      </c>
      <c r="F25" s="2">
        <f>IF($K25="","",INDEX(מלאי!$N$2:$500,$K25))</f>
        <v/>
      </c>
      <c r="G25" s="2">
        <f>IF($K25="","",INDEX(מלאי!$O$2:$500,$K25))</f>
        <v/>
      </c>
      <c r="H25" s="2">
        <f>IF($K25="","",INDEX(מלאי!$U$2:$500,$K25))</f>
        <v/>
      </c>
      <c r="I25" s="2">
        <f>IF($K25="","",INDEX(מלאי!$X$2:$500,$K25))</f>
        <v/>
      </c>
      <c r="J25" s="2">
        <f>IF($K25="","",INDEX(מלאי!$AC$2:$500,$K25))</f>
        <v/>
      </c>
      <c r="K2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טכנולוגיים'!$A$2:$500,0))&lt;=$G$6),0))),ROW(מלאי!$A$2:$A$500)-ROW(מלאי!$A$2)+1,""),3),"")</f>
        <v/>
      </c>
      <c r="L25" s="2">
        <f>IF($K25="","",IFERROR(INDEX('ערכים טכנולוגיים'!$K$2:$500,MATCH(A25,'ערכים טכנולוגיים'!$A$2:$500,0)),""))</f>
        <v/>
      </c>
      <c r="M25" s="2">
        <f>IF($K25="","",IFERROR(INDEX('ערכים טכנולוגיים'!$F$2:$500,MATCH(A25,'ערכים טכנולוגיים'!$A$2:$500,0)),""))</f>
        <v/>
      </c>
      <c r="N25" s="2">
        <f>IF($K25="","",IFERROR(INDEX('ערכים טכנולוגיים'!$I$2:$500,MATCH(A25,'ערכים טכנולוגיים'!$A$2:$500,0)),""))</f>
        <v/>
      </c>
      <c r="O25" s="2">
        <f>IF($K25="","",IFERROR(INDEX('ערכים טכנולוגיים'!$G$2:$500,MATCH(A25,'ערכים טכנולוגיים'!$A$2:$500,0)),""))</f>
        <v/>
      </c>
      <c r="P25" s="2">
        <f>IF($K25="","",IFERROR(INDEX('ערכים טכנולוגיים'!$J$2:$500,MATCH(A25,'ערכים טכנולוגיים'!$A$2:$500,0)),""))</f>
        <v/>
      </c>
      <c r="Q25" s="2">
        <f>IF($K25="","",IFERROR(INDEX('ערכים טכנולוגיים'!$N$2:$500,MATCH(A25,'ערכים טכנולוגיים'!$A$2:$500,0)),""))</f>
        <v/>
      </c>
    </row>
    <row r="26">
      <c r="A26" s="8">
        <f>IF($K26="","",INDEX(מלאי!$D$2:$500,$K26))</f>
        <v/>
      </c>
      <c r="B26" s="8">
        <f>IF($K26="","",INDEX(מלאי!$B$2:$500,$K26))</f>
        <v/>
      </c>
      <c r="C26" s="8">
        <f>IF($K26="","",INDEX(מלאי!$C$2:$500,$K26))</f>
        <v/>
      </c>
      <c r="D26" s="8">
        <f>IF($K26="","",INDEX(מלאי!$G$2:$500,$K26))</f>
        <v/>
      </c>
      <c r="E26" s="8">
        <f>IF($K26="","",INDEX(מלאי!$M$2:$500,$K26))</f>
        <v/>
      </c>
      <c r="F26" s="8">
        <f>IF($K26="","",INDEX(מלאי!$N$2:$500,$K26))</f>
        <v/>
      </c>
      <c r="G26" s="8">
        <f>IF($K26="","",INDEX(מלאי!$O$2:$500,$K26))</f>
        <v/>
      </c>
      <c r="H26" s="8">
        <f>IF($K26="","",INDEX(מלאי!$U$2:$500,$K26))</f>
        <v/>
      </c>
      <c r="I26" s="8">
        <f>IF($K26="","",INDEX(מלאי!$X$2:$500,$K26))</f>
        <v/>
      </c>
      <c r="J26" s="8">
        <f>IF($K26="","",INDEX(מלאי!$AC$2:$500,$K26))</f>
        <v/>
      </c>
      <c r="K2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טכנולוגיים'!$A$2:$500,0))&lt;=$G$6),0))),ROW(מלאי!$A$2:$A$500)-ROW(מלאי!$A$2)+1,""),4),"")</f>
        <v/>
      </c>
      <c r="L26" s="8">
        <f>IF($K26="","",IFERROR(INDEX('ערכים טכנולוגיים'!$K$2:$500,MATCH(A26,'ערכים טכנולוגיים'!$A$2:$500,0)),""))</f>
        <v/>
      </c>
      <c r="M26" s="8">
        <f>IF($K26="","",IFERROR(INDEX('ערכים טכנולוגיים'!$F$2:$500,MATCH(A26,'ערכים טכנולוגיים'!$A$2:$500,0)),""))</f>
        <v/>
      </c>
      <c r="N26" s="8">
        <f>IF($K26="","",IFERROR(INDEX('ערכים טכנולוגיים'!$I$2:$500,MATCH(A26,'ערכים טכנולוגיים'!$A$2:$500,0)),""))</f>
        <v/>
      </c>
      <c r="O26" s="8">
        <f>IF($K26="","",IFERROR(INDEX('ערכים טכנולוגיים'!$G$2:$500,MATCH(A26,'ערכים טכנולוגיים'!$A$2:$500,0)),""))</f>
        <v/>
      </c>
      <c r="P26" s="8">
        <f>IF($K26="","",IFERROR(INDEX('ערכים טכנולוגיים'!$J$2:$500,MATCH(A26,'ערכים טכנולוגיים'!$A$2:$500,0)),""))</f>
        <v/>
      </c>
      <c r="Q26" s="8">
        <f>IF($K26="","",IFERROR(INDEX('ערכים טכנולוגיים'!$N$2:$500,MATCH(A26,'ערכים טכנולוגיים'!$A$2:$500,0)),""))</f>
        <v/>
      </c>
    </row>
    <row r="27">
      <c r="A27" s="2">
        <f>IF($K27="","",INDEX(מלאי!$D$2:$500,$K27))</f>
        <v/>
      </c>
      <c r="B27" s="2">
        <f>IF($K27="","",INDEX(מלאי!$B$2:$500,$K27))</f>
        <v/>
      </c>
      <c r="C27" s="2">
        <f>IF($K27="","",INDEX(מלאי!$C$2:$500,$K27))</f>
        <v/>
      </c>
      <c r="D27" s="2">
        <f>IF($K27="","",INDEX(מלאי!$G$2:$500,$K27))</f>
        <v/>
      </c>
      <c r="E27" s="2">
        <f>IF($K27="","",INDEX(מלאי!$M$2:$500,$K27))</f>
        <v/>
      </c>
      <c r="F27" s="2">
        <f>IF($K27="","",INDEX(מלאי!$N$2:$500,$K27))</f>
        <v/>
      </c>
      <c r="G27" s="2">
        <f>IF($K27="","",INDEX(מלאי!$O$2:$500,$K27))</f>
        <v/>
      </c>
      <c r="H27" s="2">
        <f>IF($K27="","",INDEX(מלאי!$U$2:$500,$K27))</f>
        <v/>
      </c>
      <c r="I27" s="2">
        <f>IF($K27="","",INDEX(מלאי!$X$2:$500,$K27))</f>
        <v/>
      </c>
      <c r="J27" s="2">
        <f>IF($K27="","",INDEX(מלאי!$AC$2:$500,$K27))</f>
        <v/>
      </c>
      <c r="K2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טכנולוגיים'!$A$2:$500,0))&lt;=$G$6),0))),ROW(מלאי!$A$2:$A$500)-ROW(מלאי!$A$2)+1,""),5),"")</f>
        <v/>
      </c>
      <c r="L27" s="2">
        <f>IF($K27="","",IFERROR(INDEX('ערכים טכנולוגיים'!$K$2:$500,MATCH(A27,'ערכים טכנולוגיים'!$A$2:$500,0)),""))</f>
        <v/>
      </c>
      <c r="M27" s="2">
        <f>IF($K27="","",IFERROR(INDEX('ערכים טכנולוגיים'!$F$2:$500,MATCH(A27,'ערכים טכנולוגיים'!$A$2:$500,0)),""))</f>
        <v/>
      </c>
      <c r="N27" s="2">
        <f>IF($K27="","",IFERROR(INDEX('ערכים טכנולוגיים'!$I$2:$500,MATCH(A27,'ערכים טכנולוגיים'!$A$2:$500,0)),""))</f>
        <v/>
      </c>
      <c r="O27" s="2">
        <f>IF($K27="","",IFERROR(INDEX('ערכים טכנולוגיים'!$G$2:$500,MATCH(A27,'ערכים טכנולוגיים'!$A$2:$500,0)),""))</f>
        <v/>
      </c>
      <c r="P27" s="2">
        <f>IF($K27="","",IFERROR(INDEX('ערכים טכנולוגיים'!$J$2:$500,MATCH(A27,'ערכים טכנולוגיים'!$A$2:$500,0)),""))</f>
        <v/>
      </c>
      <c r="Q27" s="2">
        <f>IF($K27="","",IFERROR(INDEX('ערכים טכנולוגיים'!$N$2:$500,MATCH(A27,'ערכים טכנולוגיים'!$A$2:$500,0)),""))</f>
        <v/>
      </c>
    </row>
    <row r="28">
      <c r="A28" s="8">
        <f>IF($K28="","",INDEX(מלאי!$D$2:$500,$K28))</f>
        <v/>
      </c>
      <c r="B28" s="8">
        <f>IF($K28="","",INDEX(מלאי!$B$2:$500,$K28))</f>
        <v/>
      </c>
      <c r="C28" s="8">
        <f>IF($K28="","",INDEX(מלאי!$C$2:$500,$K28))</f>
        <v/>
      </c>
      <c r="D28" s="8">
        <f>IF($K28="","",INDEX(מלאי!$G$2:$500,$K28))</f>
        <v/>
      </c>
      <c r="E28" s="8">
        <f>IF($K28="","",INDEX(מלאי!$M$2:$500,$K28))</f>
        <v/>
      </c>
      <c r="F28" s="8">
        <f>IF($K28="","",INDEX(מלאי!$N$2:$500,$K28))</f>
        <v/>
      </c>
      <c r="G28" s="8">
        <f>IF($K28="","",INDEX(מלאי!$O$2:$500,$K28))</f>
        <v/>
      </c>
      <c r="H28" s="8">
        <f>IF($K28="","",INDEX(מלאי!$U$2:$500,$K28))</f>
        <v/>
      </c>
      <c r="I28" s="8">
        <f>IF($K28="","",INDEX(מלאי!$X$2:$500,$K28))</f>
        <v/>
      </c>
      <c r="J28" s="8">
        <f>IF($K28="","",INDEX(מלאי!$AC$2:$500,$K28))</f>
        <v/>
      </c>
      <c r="K2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טכנולוגיים'!$A$2:$500,0))&lt;=$G$6),0))),ROW(מלאי!$A$2:$A$500)-ROW(מלאי!$A$2)+1,""),6),"")</f>
        <v/>
      </c>
      <c r="L28" s="8">
        <f>IF($K28="","",IFERROR(INDEX('ערכים טכנולוגיים'!$K$2:$500,MATCH(A28,'ערכים טכנולוגיים'!$A$2:$500,0)),""))</f>
        <v/>
      </c>
      <c r="M28" s="8">
        <f>IF($K28="","",IFERROR(INDEX('ערכים טכנולוגיים'!$F$2:$500,MATCH(A28,'ערכים טכנולוגיים'!$A$2:$500,0)),""))</f>
        <v/>
      </c>
      <c r="N28" s="8">
        <f>IF($K28="","",IFERROR(INDEX('ערכים טכנולוגיים'!$I$2:$500,MATCH(A28,'ערכים טכנולוגיים'!$A$2:$500,0)),""))</f>
        <v/>
      </c>
      <c r="O28" s="8">
        <f>IF($K28="","",IFERROR(INDEX('ערכים טכנולוגיים'!$G$2:$500,MATCH(A28,'ערכים טכנולוגיים'!$A$2:$500,0)),""))</f>
        <v/>
      </c>
      <c r="P28" s="8">
        <f>IF($K28="","",IFERROR(INDEX('ערכים טכנולוגיים'!$J$2:$500,MATCH(A28,'ערכים טכנולוגיים'!$A$2:$500,0)),""))</f>
        <v/>
      </c>
      <c r="Q28" s="8">
        <f>IF($K28="","",IFERROR(INDEX('ערכים טכנולוגיים'!$N$2:$500,MATCH(A28,'ערכים טכנולוגיים'!$A$2:$500,0)),""))</f>
        <v/>
      </c>
    </row>
    <row r="29">
      <c r="A29" s="2">
        <f>IF($K29="","",INDEX(מלאי!$D$2:$500,$K29))</f>
        <v/>
      </c>
      <c r="B29" s="2">
        <f>IF($K29="","",INDEX(מלאי!$B$2:$500,$K29))</f>
        <v/>
      </c>
      <c r="C29" s="2">
        <f>IF($K29="","",INDEX(מלאי!$C$2:$500,$K29))</f>
        <v/>
      </c>
      <c r="D29" s="2">
        <f>IF($K29="","",INDEX(מלאי!$G$2:$500,$K29))</f>
        <v/>
      </c>
      <c r="E29" s="2">
        <f>IF($K29="","",INDEX(מלאי!$M$2:$500,$K29))</f>
        <v/>
      </c>
      <c r="F29" s="2">
        <f>IF($K29="","",INDEX(מלאי!$N$2:$500,$K29))</f>
        <v/>
      </c>
      <c r="G29" s="2">
        <f>IF($K29="","",INDEX(מלאי!$O$2:$500,$K29))</f>
        <v/>
      </c>
      <c r="H29" s="2">
        <f>IF($K29="","",INDEX(מלאי!$U$2:$500,$K29))</f>
        <v/>
      </c>
      <c r="I29" s="2">
        <f>IF($K29="","",INDEX(מלאי!$X$2:$500,$K29))</f>
        <v/>
      </c>
      <c r="J29" s="2">
        <f>IF($K29="","",INDEX(מלאי!$AC$2:$500,$K29))</f>
        <v/>
      </c>
      <c r="K2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טכנולוגיים'!$A$2:$500,0))&lt;=$G$6),0))),ROW(מלאי!$A$2:$A$500)-ROW(מלאי!$A$2)+1,""),7),"")</f>
        <v/>
      </c>
      <c r="L29" s="2">
        <f>IF($K29="","",IFERROR(INDEX('ערכים טכנולוגיים'!$K$2:$500,MATCH(A29,'ערכים טכנולוגיים'!$A$2:$500,0)),""))</f>
        <v/>
      </c>
      <c r="M29" s="2">
        <f>IF($K29="","",IFERROR(INDEX('ערכים טכנולוגיים'!$F$2:$500,MATCH(A29,'ערכים טכנולוגיים'!$A$2:$500,0)),""))</f>
        <v/>
      </c>
      <c r="N29" s="2">
        <f>IF($K29="","",IFERROR(INDEX('ערכים טכנולוגיים'!$I$2:$500,MATCH(A29,'ערכים טכנולוגיים'!$A$2:$500,0)),""))</f>
        <v/>
      </c>
      <c r="O29" s="2">
        <f>IF($K29="","",IFERROR(INDEX('ערכים טכנולוגיים'!$G$2:$500,MATCH(A29,'ערכים טכנולוגיים'!$A$2:$500,0)),""))</f>
        <v/>
      </c>
      <c r="P29" s="2">
        <f>IF($K29="","",IFERROR(INDEX('ערכים טכנולוגיים'!$J$2:$500,MATCH(A29,'ערכים טכנולוגיים'!$A$2:$500,0)),""))</f>
        <v/>
      </c>
      <c r="Q29" s="2">
        <f>IF($K29="","",IFERROR(INDEX('ערכים טכנולוגיים'!$N$2:$500,MATCH(A29,'ערכים טכנולוגיים'!$A$2:$500,0)),""))</f>
        <v/>
      </c>
    </row>
    <row r="30">
      <c r="A30" s="8">
        <f>IF($K30="","",INDEX(מלאי!$D$2:$500,$K30))</f>
        <v/>
      </c>
      <c r="B30" s="8">
        <f>IF($K30="","",INDEX(מלאי!$B$2:$500,$K30))</f>
        <v/>
      </c>
      <c r="C30" s="8">
        <f>IF($K30="","",INDEX(מלאי!$C$2:$500,$K30))</f>
        <v/>
      </c>
      <c r="D30" s="8">
        <f>IF($K30="","",INDEX(מלאי!$G$2:$500,$K30))</f>
        <v/>
      </c>
      <c r="E30" s="8">
        <f>IF($K30="","",INDEX(מלאי!$M$2:$500,$K30))</f>
        <v/>
      </c>
      <c r="F30" s="8">
        <f>IF($K30="","",INDEX(מלאי!$N$2:$500,$K30))</f>
        <v/>
      </c>
      <c r="G30" s="8">
        <f>IF($K30="","",INDEX(מלאי!$O$2:$500,$K30))</f>
        <v/>
      </c>
      <c r="H30" s="8">
        <f>IF($K30="","",INDEX(מלאי!$U$2:$500,$K30))</f>
        <v/>
      </c>
      <c r="I30" s="8">
        <f>IF($K30="","",INDEX(מלאי!$X$2:$500,$K30))</f>
        <v/>
      </c>
      <c r="J30" s="8">
        <f>IF($K30="","",INDEX(מלאי!$AC$2:$500,$K30))</f>
        <v/>
      </c>
      <c r="K3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טכנולוגיים'!$A$2:$500,0))&lt;=$G$6),0))),ROW(מלאי!$A$2:$A$500)-ROW(מלאי!$A$2)+1,""),8),"")</f>
        <v/>
      </c>
      <c r="L30" s="8">
        <f>IF($K30="","",IFERROR(INDEX('ערכים טכנולוגיים'!$K$2:$500,MATCH(A30,'ערכים טכנולוגיים'!$A$2:$500,0)),""))</f>
        <v/>
      </c>
      <c r="M30" s="8">
        <f>IF($K30="","",IFERROR(INDEX('ערכים טכנולוגיים'!$F$2:$500,MATCH(A30,'ערכים טכנולוגיים'!$A$2:$500,0)),""))</f>
        <v/>
      </c>
      <c r="N30" s="8">
        <f>IF($K30="","",IFERROR(INDEX('ערכים טכנולוגיים'!$I$2:$500,MATCH(A30,'ערכים טכנולוגיים'!$A$2:$500,0)),""))</f>
        <v/>
      </c>
      <c r="O30" s="8">
        <f>IF($K30="","",IFERROR(INDEX('ערכים טכנולוגיים'!$G$2:$500,MATCH(A30,'ערכים טכנולוגיים'!$A$2:$500,0)),""))</f>
        <v/>
      </c>
      <c r="P30" s="8">
        <f>IF($K30="","",IFERROR(INDEX('ערכים טכנולוגיים'!$J$2:$500,MATCH(A30,'ערכים טכנולוגיים'!$A$2:$500,0)),""))</f>
        <v/>
      </c>
      <c r="Q30" s="8">
        <f>IF($K30="","",IFERROR(INDEX('ערכים טכנולוגיים'!$N$2:$500,MATCH(A30,'ערכים טכנולוגיים'!$A$2:$500,0)),""))</f>
        <v/>
      </c>
    </row>
    <row r="31">
      <c r="A31" s="2">
        <f>IF($K31="","",INDEX(מלאי!$D$2:$500,$K31))</f>
        <v/>
      </c>
      <c r="B31" s="2">
        <f>IF($K31="","",INDEX(מלאי!$B$2:$500,$K31))</f>
        <v/>
      </c>
      <c r="C31" s="2">
        <f>IF($K31="","",INDEX(מלאי!$C$2:$500,$K31))</f>
        <v/>
      </c>
      <c r="D31" s="2">
        <f>IF($K31="","",INDEX(מלאי!$G$2:$500,$K31))</f>
        <v/>
      </c>
      <c r="E31" s="2">
        <f>IF($K31="","",INDEX(מלאי!$M$2:$500,$K31))</f>
        <v/>
      </c>
      <c r="F31" s="2">
        <f>IF($K31="","",INDEX(מלאי!$N$2:$500,$K31))</f>
        <v/>
      </c>
      <c r="G31" s="2">
        <f>IF($K31="","",INDEX(מלאי!$O$2:$500,$K31))</f>
        <v/>
      </c>
      <c r="H31" s="2">
        <f>IF($K31="","",INDEX(מלאי!$U$2:$500,$K31))</f>
        <v/>
      </c>
      <c r="I31" s="2">
        <f>IF($K31="","",INDEX(מלאי!$X$2:$500,$K31))</f>
        <v/>
      </c>
      <c r="J31" s="2">
        <f>IF($K31="","",INDEX(מלאי!$AC$2:$500,$K31))</f>
        <v/>
      </c>
      <c r="K3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טכנולוגיים'!$A$2:$500,0))&lt;=$G$6),0))),ROW(מלאי!$A$2:$A$500)-ROW(מלאי!$A$2)+1,""),9),"")</f>
        <v/>
      </c>
      <c r="L31" s="2">
        <f>IF($K31="","",IFERROR(INDEX('ערכים טכנולוגיים'!$K$2:$500,MATCH(A31,'ערכים טכנולוגיים'!$A$2:$500,0)),""))</f>
        <v/>
      </c>
      <c r="M31" s="2">
        <f>IF($K31="","",IFERROR(INDEX('ערכים טכנולוגיים'!$F$2:$500,MATCH(A31,'ערכים טכנולוגיים'!$A$2:$500,0)),""))</f>
        <v/>
      </c>
      <c r="N31" s="2">
        <f>IF($K31="","",IFERROR(INDEX('ערכים טכנולוגיים'!$I$2:$500,MATCH(A31,'ערכים טכנולוגיים'!$A$2:$500,0)),""))</f>
        <v/>
      </c>
      <c r="O31" s="2">
        <f>IF($K31="","",IFERROR(INDEX('ערכים טכנולוגיים'!$G$2:$500,MATCH(A31,'ערכים טכנולוגיים'!$A$2:$500,0)),""))</f>
        <v/>
      </c>
      <c r="P31" s="2">
        <f>IF($K31="","",IFERROR(INDEX('ערכים טכנולוגיים'!$J$2:$500,MATCH(A31,'ערכים טכנולוגיים'!$A$2:$500,0)),""))</f>
        <v/>
      </c>
      <c r="Q31" s="2">
        <f>IF($K31="","",IFERROR(INDEX('ערכים טכנולוגיים'!$N$2:$500,MATCH(A31,'ערכים טכנולוגיים'!$A$2:$500,0)),""))</f>
        <v/>
      </c>
    </row>
    <row r="32">
      <c r="A32" s="8">
        <f>IF($K32="","",INDEX(מלאי!$D$2:$500,$K32))</f>
        <v/>
      </c>
      <c r="B32" s="8">
        <f>IF($K32="","",INDEX(מלאי!$B$2:$500,$K32))</f>
        <v/>
      </c>
      <c r="C32" s="8">
        <f>IF($K32="","",INDEX(מלאי!$C$2:$500,$K32))</f>
        <v/>
      </c>
      <c r="D32" s="8">
        <f>IF($K32="","",INDEX(מלאי!$G$2:$500,$K32))</f>
        <v/>
      </c>
      <c r="E32" s="8">
        <f>IF($K32="","",INDEX(מלאי!$M$2:$500,$K32))</f>
        <v/>
      </c>
      <c r="F32" s="8">
        <f>IF($K32="","",INDEX(מלאי!$N$2:$500,$K32))</f>
        <v/>
      </c>
      <c r="G32" s="8">
        <f>IF($K32="","",INDEX(מלאי!$O$2:$500,$K32))</f>
        <v/>
      </c>
      <c r="H32" s="8">
        <f>IF($K32="","",INDEX(מלאי!$U$2:$500,$K32))</f>
        <v/>
      </c>
      <c r="I32" s="8">
        <f>IF($K32="","",INDEX(מלאי!$X$2:$500,$K32))</f>
        <v/>
      </c>
      <c r="J32" s="8">
        <f>IF($K32="","",INDEX(מלאי!$AC$2:$500,$K32))</f>
        <v/>
      </c>
      <c r="K3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טכנולוגיים'!$A$2:$500,0))&lt;=$G$6),0))),ROW(מלאי!$A$2:$A$500)-ROW(מלאי!$A$2)+1,""),10),"")</f>
        <v/>
      </c>
      <c r="L32" s="8">
        <f>IF($K32="","",IFERROR(INDEX('ערכים טכנולוגיים'!$K$2:$500,MATCH(A32,'ערכים טכנולוגיים'!$A$2:$500,0)),""))</f>
        <v/>
      </c>
      <c r="M32" s="8">
        <f>IF($K32="","",IFERROR(INDEX('ערכים טכנולוגיים'!$F$2:$500,MATCH(A32,'ערכים טכנולוגיים'!$A$2:$500,0)),""))</f>
        <v/>
      </c>
      <c r="N32" s="8">
        <f>IF($K32="","",IFERROR(INDEX('ערכים טכנולוגיים'!$I$2:$500,MATCH(A32,'ערכים טכנולוגיים'!$A$2:$500,0)),""))</f>
        <v/>
      </c>
      <c r="O32" s="8">
        <f>IF($K32="","",IFERROR(INDEX('ערכים טכנולוגיים'!$G$2:$500,MATCH(A32,'ערכים טכנולוגיים'!$A$2:$500,0)),""))</f>
        <v/>
      </c>
      <c r="P32" s="8">
        <f>IF($K32="","",IFERROR(INDEX('ערכים טכנולוגיים'!$J$2:$500,MATCH(A32,'ערכים טכנולוגיים'!$A$2:$500,0)),""))</f>
        <v/>
      </c>
      <c r="Q32" s="8">
        <f>IF($K32="","",IFERROR(INDEX('ערכים טכנולוגיים'!$N$2:$500,MATCH(A32,'ערכים טכנולוגיים'!$A$2:$500,0)),""))</f>
        <v/>
      </c>
    </row>
    <row r="33">
      <c r="A33" s="2">
        <f>IF($K33="","",INDEX(מלאי!$D$2:$500,$K33))</f>
        <v/>
      </c>
      <c r="B33" s="2">
        <f>IF($K33="","",INDEX(מלאי!$B$2:$500,$K33))</f>
        <v/>
      </c>
      <c r="C33" s="2">
        <f>IF($K33="","",INDEX(מלאי!$C$2:$500,$K33))</f>
        <v/>
      </c>
      <c r="D33" s="2">
        <f>IF($K33="","",INDEX(מלאי!$G$2:$500,$K33))</f>
        <v/>
      </c>
      <c r="E33" s="2">
        <f>IF($K33="","",INDEX(מלאי!$M$2:$500,$K33))</f>
        <v/>
      </c>
      <c r="F33" s="2">
        <f>IF($K33="","",INDEX(מלאי!$N$2:$500,$K33))</f>
        <v/>
      </c>
      <c r="G33" s="2">
        <f>IF($K33="","",INDEX(מלאי!$O$2:$500,$K33))</f>
        <v/>
      </c>
      <c r="H33" s="2">
        <f>IF($K33="","",INDEX(מלאי!$U$2:$500,$K33))</f>
        <v/>
      </c>
      <c r="I33" s="2">
        <f>IF($K33="","",INDEX(מלאי!$X$2:$500,$K33))</f>
        <v/>
      </c>
      <c r="J33" s="2">
        <f>IF($K33="","",INDEX(מלאי!$AC$2:$500,$K33))</f>
        <v/>
      </c>
      <c r="K3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טכנולוגיים'!$A$2:$500,0))&lt;=$G$6),0))),ROW(מלאי!$A$2:$A$500)-ROW(מלאי!$A$2)+1,""),11),"")</f>
        <v/>
      </c>
      <c r="L33" s="2">
        <f>IF($K33="","",IFERROR(INDEX('ערכים טכנולוגיים'!$K$2:$500,MATCH(A33,'ערכים טכנולוגיים'!$A$2:$500,0)),""))</f>
        <v/>
      </c>
      <c r="M33" s="2">
        <f>IF($K33="","",IFERROR(INDEX('ערכים טכנולוגיים'!$F$2:$500,MATCH(A33,'ערכים טכנולוגיים'!$A$2:$500,0)),""))</f>
        <v/>
      </c>
      <c r="N33" s="2">
        <f>IF($K33="","",IFERROR(INDEX('ערכים טכנולוגיים'!$I$2:$500,MATCH(A33,'ערכים טכנולוגיים'!$A$2:$500,0)),""))</f>
        <v/>
      </c>
      <c r="O33" s="2">
        <f>IF($K33="","",IFERROR(INDEX('ערכים טכנולוגיים'!$G$2:$500,MATCH(A33,'ערכים טכנולוגיים'!$A$2:$500,0)),""))</f>
        <v/>
      </c>
      <c r="P33" s="2">
        <f>IF($K33="","",IFERROR(INDEX('ערכים טכנולוגיים'!$J$2:$500,MATCH(A33,'ערכים טכנולוגיים'!$A$2:$500,0)),""))</f>
        <v/>
      </c>
      <c r="Q33" s="2">
        <f>IF($K33="","",IFERROR(INDEX('ערכים טכנולוגיים'!$N$2:$500,MATCH(A33,'ערכים טכנולוגיים'!$A$2:$500,0)),""))</f>
        <v/>
      </c>
    </row>
    <row r="34">
      <c r="A34" s="8">
        <f>IF($K34="","",INDEX(מלאי!$D$2:$500,$K34))</f>
        <v/>
      </c>
      <c r="B34" s="8">
        <f>IF($K34="","",INDEX(מלאי!$B$2:$500,$K34))</f>
        <v/>
      </c>
      <c r="C34" s="8">
        <f>IF($K34="","",INDEX(מלאי!$C$2:$500,$K34))</f>
        <v/>
      </c>
      <c r="D34" s="8">
        <f>IF($K34="","",INDEX(מלאי!$G$2:$500,$K34))</f>
        <v/>
      </c>
      <c r="E34" s="8">
        <f>IF($K34="","",INDEX(מלאי!$M$2:$500,$K34))</f>
        <v/>
      </c>
      <c r="F34" s="8">
        <f>IF($K34="","",INDEX(מלאי!$N$2:$500,$K34))</f>
        <v/>
      </c>
      <c r="G34" s="8">
        <f>IF($K34="","",INDEX(מלאי!$O$2:$500,$K34))</f>
        <v/>
      </c>
      <c r="H34" s="8">
        <f>IF($K34="","",INDEX(מלאי!$U$2:$500,$K34))</f>
        <v/>
      </c>
      <c r="I34" s="8">
        <f>IF($K34="","",INDEX(מלאי!$X$2:$500,$K34))</f>
        <v/>
      </c>
      <c r="J34" s="8">
        <f>IF($K34="","",INDEX(מלאי!$AC$2:$500,$K34))</f>
        <v/>
      </c>
      <c r="K3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טכנולוגיים'!$A$2:$500,0))&lt;=$G$6),0))),ROW(מלאי!$A$2:$A$500)-ROW(מלאי!$A$2)+1,""),12),"")</f>
        <v/>
      </c>
      <c r="L34" s="8">
        <f>IF($K34="","",IFERROR(INDEX('ערכים טכנולוגיים'!$K$2:$500,MATCH(A34,'ערכים טכנולוגיים'!$A$2:$500,0)),""))</f>
        <v/>
      </c>
      <c r="M34" s="8">
        <f>IF($K34="","",IFERROR(INDEX('ערכים טכנולוגיים'!$F$2:$500,MATCH(A34,'ערכים טכנולוגיים'!$A$2:$500,0)),""))</f>
        <v/>
      </c>
      <c r="N34" s="8">
        <f>IF($K34="","",IFERROR(INDEX('ערכים טכנולוגיים'!$I$2:$500,MATCH(A34,'ערכים טכנולוגיים'!$A$2:$500,0)),""))</f>
        <v/>
      </c>
      <c r="O34" s="8">
        <f>IF($K34="","",IFERROR(INDEX('ערכים טכנולוגיים'!$G$2:$500,MATCH(A34,'ערכים טכנולוגיים'!$A$2:$500,0)),""))</f>
        <v/>
      </c>
      <c r="P34" s="8">
        <f>IF($K34="","",IFERROR(INDEX('ערכים טכנולוגיים'!$J$2:$500,MATCH(A34,'ערכים טכנולוגיים'!$A$2:$500,0)),""))</f>
        <v/>
      </c>
      <c r="Q34" s="8">
        <f>IF($K34="","",IFERROR(INDEX('ערכים טכנולוגיים'!$N$2:$500,MATCH(A34,'ערכים טכנולוגיים'!$A$2:$500,0)),""))</f>
        <v/>
      </c>
    </row>
    <row r="35">
      <c r="A35" s="2">
        <f>IF($K35="","",INDEX(מלאי!$D$2:$500,$K35))</f>
        <v/>
      </c>
      <c r="B35" s="2">
        <f>IF($K35="","",INDEX(מלאי!$B$2:$500,$K35))</f>
        <v/>
      </c>
      <c r="C35" s="2">
        <f>IF($K35="","",INDEX(מלאי!$C$2:$500,$K35))</f>
        <v/>
      </c>
      <c r="D35" s="2">
        <f>IF($K35="","",INDEX(מלאי!$G$2:$500,$K35))</f>
        <v/>
      </c>
      <c r="E35" s="2">
        <f>IF($K35="","",INDEX(מלאי!$M$2:$500,$K35))</f>
        <v/>
      </c>
      <c r="F35" s="2">
        <f>IF($K35="","",INDEX(מלאי!$N$2:$500,$K35))</f>
        <v/>
      </c>
      <c r="G35" s="2">
        <f>IF($K35="","",INDEX(מלאי!$O$2:$500,$K35))</f>
        <v/>
      </c>
      <c r="H35" s="2">
        <f>IF($K35="","",INDEX(מלאי!$U$2:$500,$K35))</f>
        <v/>
      </c>
      <c r="I35" s="2">
        <f>IF($K35="","",INDEX(מלאי!$X$2:$500,$K35))</f>
        <v/>
      </c>
      <c r="J35" s="2">
        <f>IF($K35="","",INDEX(מלאי!$AC$2:$500,$K35))</f>
        <v/>
      </c>
      <c r="K3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טכנולוגיים'!$A$2:$500,0))&lt;=$G$6),0))),ROW(מלאי!$A$2:$A$500)-ROW(מלאי!$A$2)+1,""),13),"")</f>
        <v/>
      </c>
      <c r="L35" s="2">
        <f>IF($K35="","",IFERROR(INDEX('ערכים טכנולוגיים'!$K$2:$500,MATCH(A35,'ערכים טכנולוגיים'!$A$2:$500,0)),""))</f>
        <v/>
      </c>
      <c r="M35" s="2">
        <f>IF($K35="","",IFERROR(INDEX('ערכים טכנולוגיים'!$F$2:$500,MATCH(A35,'ערכים טכנולוגיים'!$A$2:$500,0)),""))</f>
        <v/>
      </c>
      <c r="N35" s="2">
        <f>IF($K35="","",IFERROR(INDEX('ערכים טכנולוגיים'!$I$2:$500,MATCH(A35,'ערכים טכנולוגיים'!$A$2:$500,0)),""))</f>
        <v/>
      </c>
      <c r="O35" s="2">
        <f>IF($K35="","",IFERROR(INDEX('ערכים טכנולוגיים'!$G$2:$500,MATCH(A35,'ערכים טכנולוגיים'!$A$2:$500,0)),""))</f>
        <v/>
      </c>
      <c r="P35" s="2">
        <f>IF($K35="","",IFERROR(INDEX('ערכים טכנולוגיים'!$J$2:$500,MATCH(A35,'ערכים טכנולוגיים'!$A$2:$500,0)),""))</f>
        <v/>
      </c>
      <c r="Q35" s="2">
        <f>IF($K35="","",IFERROR(INDEX('ערכים טכנולוגיים'!$N$2:$500,MATCH(A35,'ערכים טכנולוגיים'!$A$2:$500,0)),""))</f>
        <v/>
      </c>
    </row>
    <row r="36">
      <c r="A36" s="8">
        <f>IF($K36="","",INDEX(מלאי!$D$2:$500,$K36))</f>
        <v/>
      </c>
      <c r="B36" s="8">
        <f>IF($K36="","",INDEX(מלאי!$B$2:$500,$K36))</f>
        <v/>
      </c>
      <c r="C36" s="8">
        <f>IF($K36="","",INDEX(מלאי!$C$2:$500,$K36))</f>
        <v/>
      </c>
      <c r="D36" s="8">
        <f>IF($K36="","",INDEX(מלאי!$G$2:$500,$K36))</f>
        <v/>
      </c>
      <c r="E36" s="8">
        <f>IF($K36="","",INDEX(מלאי!$M$2:$500,$K36))</f>
        <v/>
      </c>
      <c r="F36" s="8">
        <f>IF($K36="","",INDEX(מלאי!$N$2:$500,$K36))</f>
        <v/>
      </c>
      <c r="G36" s="8">
        <f>IF($K36="","",INDEX(מלאי!$O$2:$500,$K36))</f>
        <v/>
      </c>
      <c r="H36" s="8">
        <f>IF($K36="","",INDEX(מלאי!$U$2:$500,$K36))</f>
        <v/>
      </c>
      <c r="I36" s="8">
        <f>IF($K36="","",INDEX(מלאי!$X$2:$500,$K36))</f>
        <v/>
      </c>
      <c r="J36" s="8">
        <f>IF($K36="","",INDEX(מלאי!$AC$2:$500,$K36))</f>
        <v/>
      </c>
      <c r="K3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טכנולוגיים'!$A$2:$500,0))&lt;=$G$6),0))),ROW(מלאי!$A$2:$A$500)-ROW(מלאי!$A$2)+1,""),14),"")</f>
        <v/>
      </c>
      <c r="L36" s="8">
        <f>IF($K36="","",IFERROR(INDEX('ערכים טכנולוגיים'!$K$2:$500,MATCH(A36,'ערכים טכנולוגיים'!$A$2:$500,0)),""))</f>
        <v/>
      </c>
      <c r="M36" s="8">
        <f>IF($K36="","",IFERROR(INDEX('ערכים טכנולוגיים'!$F$2:$500,MATCH(A36,'ערכים טכנולוגיים'!$A$2:$500,0)),""))</f>
        <v/>
      </c>
      <c r="N36" s="8">
        <f>IF($K36="","",IFERROR(INDEX('ערכים טכנולוגיים'!$I$2:$500,MATCH(A36,'ערכים טכנולוגיים'!$A$2:$500,0)),""))</f>
        <v/>
      </c>
      <c r="O36" s="8">
        <f>IF($K36="","",IFERROR(INDEX('ערכים טכנולוגיים'!$G$2:$500,MATCH(A36,'ערכים טכנולוגיים'!$A$2:$500,0)),""))</f>
        <v/>
      </c>
      <c r="P36" s="8">
        <f>IF($K36="","",IFERROR(INDEX('ערכים טכנולוגיים'!$J$2:$500,MATCH(A36,'ערכים טכנולוגיים'!$A$2:$500,0)),""))</f>
        <v/>
      </c>
      <c r="Q36" s="8">
        <f>IF($K36="","",IFERROR(INDEX('ערכים טכנולוגיים'!$N$2:$500,MATCH(A36,'ערכים טכנולוגיים'!$A$2:$500,0)),""))</f>
        <v/>
      </c>
    </row>
    <row r="37">
      <c r="A37" s="2">
        <f>IF($K37="","",INDEX(מלאי!$D$2:$500,$K37))</f>
        <v/>
      </c>
      <c r="B37" s="2">
        <f>IF($K37="","",INDEX(מלאי!$B$2:$500,$K37))</f>
        <v/>
      </c>
      <c r="C37" s="2">
        <f>IF($K37="","",INDEX(מלאי!$C$2:$500,$K37))</f>
        <v/>
      </c>
      <c r="D37" s="2">
        <f>IF($K37="","",INDEX(מלאי!$G$2:$500,$K37))</f>
        <v/>
      </c>
      <c r="E37" s="2">
        <f>IF($K37="","",INDEX(מלאי!$M$2:$500,$K37))</f>
        <v/>
      </c>
      <c r="F37" s="2">
        <f>IF($K37="","",INDEX(מלאי!$N$2:$500,$K37))</f>
        <v/>
      </c>
      <c r="G37" s="2">
        <f>IF($K37="","",INDEX(מלאי!$O$2:$500,$K37))</f>
        <v/>
      </c>
      <c r="H37" s="2">
        <f>IF($K37="","",INDEX(מלאי!$U$2:$500,$K37))</f>
        <v/>
      </c>
      <c r="I37" s="2">
        <f>IF($K37="","",INDEX(מלאי!$X$2:$500,$K37))</f>
        <v/>
      </c>
      <c r="J37" s="2">
        <f>IF($K37="","",INDEX(מלאי!$AC$2:$500,$K37))</f>
        <v/>
      </c>
      <c r="K3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טכנולוגיים'!$A$2:$500,0))&lt;=$G$6),0))),ROW(מלאי!$A$2:$A$500)-ROW(מלאי!$A$2)+1,""),15),"")</f>
        <v/>
      </c>
      <c r="L37" s="2">
        <f>IF($K37="","",IFERROR(INDEX('ערכים טכנולוגיים'!$K$2:$500,MATCH(A37,'ערכים טכנולוגיים'!$A$2:$500,0)),""))</f>
        <v/>
      </c>
      <c r="M37" s="2">
        <f>IF($K37="","",IFERROR(INDEX('ערכים טכנולוגיים'!$F$2:$500,MATCH(A37,'ערכים טכנולוגיים'!$A$2:$500,0)),""))</f>
        <v/>
      </c>
      <c r="N37" s="2">
        <f>IF($K37="","",IFERROR(INDEX('ערכים טכנולוגיים'!$I$2:$500,MATCH(A37,'ערכים טכנולוגיים'!$A$2:$500,0)),""))</f>
        <v/>
      </c>
      <c r="O37" s="2">
        <f>IF($K37="","",IFERROR(INDEX('ערכים טכנולוגיים'!$G$2:$500,MATCH(A37,'ערכים טכנולוגיים'!$A$2:$500,0)),""))</f>
        <v/>
      </c>
      <c r="P37" s="2">
        <f>IF($K37="","",IFERROR(INDEX('ערכים טכנולוגיים'!$J$2:$500,MATCH(A37,'ערכים טכנולוגיים'!$A$2:$500,0)),""))</f>
        <v/>
      </c>
      <c r="Q37" s="2">
        <f>IF($K37="","",IFERROR(INDEX('ערכים טכנולוגיים'!$N$2:$500,MATCH(A37,'ערכים טכנולוגיים'!$A$2:$500,0)),""))</f>
        <v/>
      </c>
    </row>
    <row r="38">
      <c r="A38" s="8">
        <f>IF($K38="","",INDEX(מלאי!$D$2:$500,$K38))</f>
        <v/>
      </c>
      <c r="B38" s="8">
        <f>IF($K38="","",INDEX(מלאי!$B$2:$500,$K38))</f>
        <v/>
      </c>
      <c r="C38" s="8">
        <f>IF($K38="","",INDEX(מלאי!$C$2:$500,$K38))</f>
        <v/>
      </c>
      <c r="D38" s="8">
        <f>IF($K38="","",INDEX(מלאי!$G$2:$500,$K38))</f>
        <v/>
      </c>
      <c r="E38" s="8">
        <f>IF($K38="","",INDEX(מלאי!$M$2:$500,$K38))</f>
        <v/>
      </c>
      <c r="F38" s="8">
        <f>IF($K38="","",INDEX(מלאי!$N$2:$500,$K38))</f>
        <v/>
      </c>
      <c r="G38" s="8">
        <f>IF($K38="","",INDEX(מלאי!$O$2:$500,$K38))</f>
        <v/>
      </c>
      <c r="H38" s="8">
        <f>IF($K38="","",INDEX(מלאי!$U$2:$500,$K38))</f>
        <v/>
      </c>
      <c r="I38" s="8">
        <f>IF($K38="","",INDEX(מלאי!$X$2:$500,$K38))</f>
        <v/>
      </c>
      <c r="J38" s="8">
        <f>IF($K38="","",INDEX(מלאי!$AC$2:$500,$K38))</f>
        <v/>
      </c>
      <c r="K3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טכנולוגיים'!$A$2:$500,0))&lt;=$G$6),0))),ROW(מלאי!$A$2:$A$500)-ROW(מלאי!$A$2)+1,""),16),"")</f>
        <v/>
      </c>
      <c r="L38" s="8">
        <f>IF($K38="","",IFERROR(INDEX('ערכים טכנולוגיים'!$K$2:$500,MATCH(A38,'ערכים טכנולוגיים'!$A$2:$500,0)),""))</f>
        <v/>
      </c>
      <c r="M38" s="8">
        <f>IF($K38="","",IFERROR(INDEX('ערכים טכנולוגיים'!$F$2:$500,MATCH(A38,'ערכים טכנולוגיים'!$A$2:$500,0)),""))</f>
        <v/>
      </c>
      <c r="N38" s="8">
        <f>IF($K38="","",IFERROR(INDEX('ערכים טכנולוגיים'!$I$2:$500,MATCH(A38,'ערכים טכנולוגיים'!$A$2:$500,0)),""))</f>
        <v/>
      </c>
      <c r="O38" s="8">
        <f>IF($K38="","",IFERROR(INDEX('ערכים טכנולוגיים'!$G$2:$500,MATCH(A38,'ערכים טכנולוגיים'!$A$2:$500,0)),""))</f>
        <v/>
      </c>
      <c r="P38" s="8">
        <f>IF($K38="","",IFERROR(INDEX('ערכים טכנולוגיים'!$J$2:$500,MATCH(A38,'ערכים טכנולוגיים'!$A$2:$500,0)),""))</f>
        <v/>
      </c>
      <c r="Q38" s="8">
        <f>IF($K38="","",IFERROR(INDEX('ערכים טכנולוגיים'!$N$2:$500,MATCH(A38,'ערכים טכנולוגיים'!$A$2:$500,0)),""))</f>
        <v/>
      </c>
    </row>
    <row r="39">
      <c r="A39" s="2">
        <f>IF($K39="","",INDEX(מלאי!$D$2:$500,$K39))</f>
        <v/>
      </c>
      <c r="B39" s="2">
        <f>IF($K39="","",INDEX(מלאי!$B$2:$500,$K39))</f>
        <v/>
      </c>
      <c r="C39" s="2">
        <f>IF($K39="","",INDEX(מלאי!$C$2:$500,$K39))</f>
        <v/>
      </c>
      <c r="D39" s="2">
        <f>IF($K39="","",INDEX(מלאי!$G$2:$500,$K39))</f>
        <v/>
      </c>
      <c r="E39" s="2">
        <f>IF($K39="","",INDEX(מלאי!$M$2:$500,$K39))</f>
        <v/>
      </c>
      <c r="F39" s="2">
        <f>IF($K39="","",INDEX(מלאי!$N$2:$500,$K39))</f>
        <v/>
      </c>
      <c r="G39" s="2">
        <f>IF($K39="","",INDEX(מלאי!$O$2:$500,$K39))</f>
        <v/>
      </c>
      <c r="H39" s="2">
        <f>IF($K39="","",INDEX(מלאי!$U$2:$500,$K39))</f>
        <v/>
      </c>
      <c r="I39" s="2">
        <f>IF($K39="","",INDEX(מלאי!$X$2:$500,$K39))</f>
        <v/>
      </c>
      <c r="J39" s="2">
        <f>IF($K39="","",INDEX(מלאי!$AC$2:$500,$K39))</f>
        <v/>
      </c>
      <c r="K3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טכנולוגיים'!$A$2:$500,0))&lt;=$G$6),0))),ROW(מלאי!$A$2:$A$500)-ROW(מלאי!$A$2)+1,""),17),"")</f>
        <v/>
      </c>
      <c r="L39" s="2">
        <f>IF($K39="","",IFERROR(INDEX('ערכים טכנולוגיים'!$K$2:$500,MATCH(A39,'ערכים טכנולוגיים'!$A$2:$500,0)),""))</f>
        <v/>
      </c>
      <c r="M39" s="2">
        <f>IF($K39="","",IFERROR(INDEX('ערכים טכנולוגיים'!$F$2:$500,MATCH(A39,'ערכים טכנולוגיים'!$A$2:$500,0)),""))</f>
        <v/>
      </c>
      <c r="N39" s="2">
        <f>IF($K39="","",IFERROR(INDEX('ערכים טכנולוגיים'!$I$2:$500,MATCH(A39,'ערכים טכנולוגיים'!$A$2:$500,0)),""))</f>
        <v/>
      </c>
      <c r="O39" s="2">
        <f>IF($K39="","",IFERROR(INDEX('ערכים טכנולוגיים'!$G$2:$500,MATCH(A39,'ערכים טכנולוגיים'!$A$2:$500,0)),""))</f>
        <v/>
      </c>
      <c r="P39" s="2">
        <f>IF($K39="","",IFERROR(INDEX('ערכים טכנולוגיים'!$J$2:$500,MATCH(A39,'ערכים טכנולוגיים'!$A$2:$500,0)),""))</f>
        <v/>
      </c>
      <c r="Q39" s="2">
        <f>IF($K39="","",IFERROR(INDEX('ערכים טכנולוגיים'!$N$2:$500,MATCH(A39,'ערכים טכנולוגיים'!$A$2:$500,0)),""))</f>
        <v/>
      </c>
    </row>
    <row r="40">
      <c r="A40" s="8">
        <f>IF($K40="","",INDEX(מלאי!$D$2:$500,$K40))</f>
        <v/>
      </c>
      <c r="B40" s="8">
        <f>IF($K40="","",INDEX(מלאי!$B$2:$500,$K40))</f>
        <v/>
      </c>
      <c r="C40" s="8">
        <f>IF($K40="","",INDEX(מלאי!$C$2:$500,$K40))</f>
        <v/>
      </c>
      <c r="D40" s="8">
        <f>IF($K40="","",INDEX(מלאי!$G$2:$500,$K40))</f>
        <v/>
      </c>
      <c r="E40" s="8">
        <f>IF($K40="","",INDEX(מלאי!$M$2:$500,$K40))</f>
        <v/>
      </c>
      <c r="F40" s="8">
        <f>IF($K40="","",INDEX(מלאי!$N$2:$500,$K40))</f>
        <v/>
      </c>
      <c r="G40" s="8">
        <f>IF($K40="","",INDEX(מלאי!$O$2:$500,$K40))</f>
        <v/>
      </c>
      <c r="H40" s="8">
        <f>IF($K40="","",INDEX(מלאי!$U$2:$500,$K40))</f>
        <v/>
      </c>
      <c r="I40" s="8">
        <f>IF($K40="","",INDEX(מלאי!$X$2:$500,$K40))</f>
        <v/>
      </c>
      <c r="J40" s="8">
        <f>IF($K40="","",INDEX(מלאי!$AC$2:$500,$K40))</f>
        <v/>
      </c>
      <c r="K4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טכנולוגיים'!$A$2:$500,0))&lt;=$G$6),0))),ROW(מלאי!$A$2:$A$500)-ROW(מלאי!$A$2)+1,""),18),"")</f>
        <v/>
      </c>
      <c r="L40" s="8">
        <f>IF($K40="","",IFERROR(INDEX('ערכים טכנולוגיים'!$K$2:$500,MATCH(A40,'ערכים טכנולוגיים'!$A$2:$500,0)),""))</f>
        <v/>
      </c>
      <c r="M40" s="8">
        <f>IF($K40="","",IFERROR(INDEX('ערכים טכנולוגיים'!$F$2:$500,MATCH(A40,'ערכים טכנולוגיים'!$A$2:$500,0)),""))</f>
        <v/>
      </c>
      <c r="N40" s="8">
        <f>IF($K40="","",IFERROR(INDEX('ערכים טכנולוגיים'!$I$2:$500,MATCH(A40,'ערכים טכנולוגיים'!$A$2:$500,0)),""))</f>
        <v/>
      </c>
      <c r="O40" s="8">
        <f>IF($K40="","",IFERROR(INDEX('ערכים טכנולוגיים'!$G$2:$500,MATCH(A40,'ערכים טכנולוגיים'!$A$2:$500,0)),""))</f>
        <v/>
      </c>
      <c r="P40" s="8">
        <f>IF($K40="","",IFERROR(INDEX('ערכים טכנולוגיים'!$J$2:$500,MATCH(A40,'ערכים טכנולוגיים'!$A$2:$500,0)),""))</f>
        <v/>
      </c>
      <c r="Q40" s="8">
        <f>IF($K40="","",IFERROR(INDEX('ערכים טכנולוגיים'!$N$2:$500,MATCH(A40,'ערכים טכנולוגיים'!$A$2:$500,0)),""))</f>
        <v/>
      </c>
    </row>
    <row r="41">
      <c r="A41" s="2">
        <f>IF($K41="","",INDEX(מלאי!$D$2:$500,$K41))</f>
        <v/>
      </c>
      <c r="B41" s="2">
        <f>IF($K41="","",INDEX(מלאי!$B$2:$500,$K41))</f>
        <v/>
      </c>
      <c r="C41" s="2">
        <f>IF($K41="","",INDEX(מלאי!$C$2:$500,$K41))</f>
        <v/>
      </c>
      <c r="D41" s="2">
        <f>IF($K41="","",INDEX(מלאי!$G$2:$500,$K41))</f>
        <v/>
      </c>
      <c r="E41" s="2">
        <f>IF($K41="","",INDEX(מלאי!$M$2:$500,$K41))</f>
        <v/>
      </c>
      <c r="F41" s="2">
        <f>IF($K41="","",INDEX(מלאי!$N$2:$500,$K41))</f>
        <v/>
      </c>
      <c r="G41" s="2">
        <f>IF($K41="","",INDEX(מלאי!$O$2:$500,$K41))</f>
        <v/>
      </c>
      <c r="H41" s="2">
        <f>IF($K41="","",INDEX(מלאי!$U$2:$500,$K41))</f>
        <v/>
      </c>
      <c r="I41" s="2">
        <f>IF($K41="","",INDEX(מלאי!$X$2:$500,$K41))</f>
        <v/>
      </c>
      <c r="J41" s="2">
        <f>IF($K41="","",INDEX(מלאי!$AC$2:$500,$K41))</f>
        <v/>
      </c>
      <c r="K4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טכנולוגיים'!$A$2:$500,0))&lt;=$G$6),0))),ROW(מלאי!$A$2:$A$500)-ROW(מלאי!$A$2)+1,""),19),"")</f>
        <v/>
      </c>
      <c r="L41" s="2">
        <f>IF($K41="","",IFERROR(INDEX('ערכים טכנולוגיים'!$K$2:$500,MATCH(A41,'ערכים טכנולוגיים'!$A$2:$500,0)),""))</f>
        <v/>
      </c>
      <c r="M41" s="2">
        <f>IF($K41="","",IFERROR(INDEX('ערכים טכנולוגיים'!$F$2:$500,MATCH(A41,'ערכים טכנולוגיים'!$A$2:$500,0)),""))</f>
        <v/>
      </c>
      <c r="N41" s="2">
        <f>IF($K41="","",IFERROR(INDEX('ערכים טכנולוגיים'!$I$2:$500,MATCH(A41,'ערכים טכנולוגיים'!$A$2:$500,0)),""))</f>
        <v/>
      </c>
      <c r="O41" s="2">
        <f>IF($K41="","",IFERROR(INDEX('ערכים טכנולוגיים'!$G$2:$500,MATCH(A41,'ערכים טכנולוגיים'!$A$2:$500,0)),""))</f>
        <v/>
      </c>
      <c r="P41" s="2">
        <f>IF($K41="","",IFERROR(INDEX('ערכים טכנולוגיים'!$J$2:$500,MATCH(A41,'ערכים טכנולוגיים'!$A$2:$500,0)),""))</f>
        <v/>
      </c>
      <c r="Q41" s="2">
        <f>IF($K41="","",IFERROR(INDEX('ערכים טכנולוגיים'!$N$2:$500,MATCH(A41,'ערכים טכנולוגיים'!$A$2:$500,0)),""))</f>
        <v/>
      </c>
    </row>
    <row r="42">
      <c r="A42" s="8">
        <f>IF($K42="","",INDEX(מלאי!$D$2:$500,$K42))</f>
        <v/>
      </c>
      <c r="B42" s="8">
        <f>IF($K42="","",INDEX(מלאי!$B$2:$500,$K42))</f>
        <v/>
      </c>
      <c r="C42" s="8">
        <f>IF($K42="","",INDEX(מלאי!$C$2:$500,$K42))</f>
        <v/>
      </c>
      <c r="D42" s="8">
        <f>IF($K42="","",INDEX(מלאי!$G$2:$500,$K42))</f>
        <v/>
      </c>
      <c r="E42" s="8">
        <f>IF($K42="","",INDEX(מלאי!$M$2:$500,$K42))</f>
        <v/>
      </c>
      <c r="F42" s="8">
        <f>IF($K42="","",INDEX(מלאי!$N$2:$500,$K42))</f>
        <v/>
      </c>
      <c r="G42" s="8">
        <f>IF($K42="","",INDEX(מלאי!$O$2:$500,$K42))</f>
        <v/>
      </c>
      <c r="H42" s="8">
        <f>IF($K42="","",INDEX(מלאי!$U$2:$500,$K42))</f>
        <v/>
      </c>
      <c r="I42" s="8">
        <f>IF($K42="","",INDEX(מלאי!$X$2:$500,$K42))</f>
        <v/>
      </c>
      <c r="J42" s="8">
        <f>IF($K42="","",INDEX(מלאי!$AC$2:$500,$K42))</f>
        <v/>
      </c>
      <c r="K4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טכנולוגיים'!$A$2:$500,0))&lt;=$G$6),0))),ROW(מלאי!$A$2:$A$500)-ROW(מלאי!$A$2)+1,""),20),"")</f>
        <v/>
      </c>
      <c r="L42" s="8">
        <f>IF($K42="","",IFERROR(INDEX('ערכים טכנולוגיים'!$K$2:$500,MATCH(A42,'ערכים טכנולוגיים'!$A$2:$500,0)),""))</f>
        <v/>
      </c>
      <c r="M42" s="8">
        <f>IF($K42="","",IFERROR(INDEX('ערכים טכנולוגיים'!$F$2:$500,MATCH(A42,'ערכים טכנולוגיים'!$A$2:$500,0)),""))</f>
        <v/>
      </c>
      <c r="N42" s="8">
        <f>IF($K42="","",IFERROR(INDEX('ערכים טכנולוגיים'!$I$2:$500,MATCH(A42,'ערכים טכנולוגיים'!$A$2:$500,0)),""))</f>
        <v/>
      </c>
      <c r="O42" s="8">
        <f>IF($K42="","",IFERROR(INDEX('ערכים טכנולוגיים'!$G$2:$500,MATCH(A42,'ערכים טכנולוגיים'!$A$2:$500,0)),""))</f>
        <v/>
      </c>
      <c r="P42" s="8">
        <f>IF($K42="","",IFERROR(INDEX('ערכים טכנולוגיים'!$J$2:$500,MATCH(A42,'ערכים טכנולוגיים'!$A$2:$500,0)),""))</f>
        <v/>
      </c>
      <c r="Q42" s="8">
        <f>IF($K42="","",IFERROR(INDEX('ערכים טכנולוגיים'!$N$2:$500,MATCH(A42,'ערכים טכנולוגיים'!$A$2:$500,0)),""))</f>
        <v/>
      </c>
    </row>
    <row r="43">
      <c r="A43" s="2">
        <f>IF($K43="","",INDEX(מלאי!$D$2:$500,$K43))</f>
        <v/>
      </c>
      <c r="B43" s="2">
        <f>IF($K43="","",INDEX(מלאי!$B$2:$500,$K43))</f>
        <v/>
      </c>
      <c r="C43" s="2">
        <f>IF($K43="","",INDEX(מלאי!$C$2:$500,$K43))</f>
        <v/>
      </c>
      <c r="D43" s="2">
        <f>IF($K43="","",INDEX(מלאי!$G$2:$500,$K43))</f>
        <v/>
      </c>
      <c r="E43" s="2">
        <f>IF($K43="","",INDEX(מלאי!$M$2:$500,$K43))</f>
        <v/>
      </c>
      <c r="F43" s="2">
        <f>IF($K43="","",INDEX(מלאי!$N$2:$500,$K43))</f>
        <v/>
      </c>
      <c r="G43" s="2">
        <f>IF($K43="","",INDEX(מלאי!$O$2:$500,$K43))</f>
        <v/>
      </c>
      <c r="H43" s="2">
        <f>IF($K43="","",INDEX(מלאי!$U$2:$500,$K43))</f>
        <v/>
      </c>
      <c r="I43" s="2">
        <f>IF($K43="","",INDEX(מלאי!$X$2:$500,$K43))</f>
        <v/>
      </c>
      <c r="J43" s="2">
        <f>IF($K43="","",INDEX(מלאי!$AC$2:$500,$K43))</f>
        <v/>
      </c>
      <c r="K4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טכנולוגיים'!$A$2:$500,0))&lt;=$G$6),0))),ROW(מלאי!$A$2:$A$500)-ROW(מלאי!$A$2)+1,""),21),"")</f>
        <v/>
      </c>
      <c r="L43" s="2">
        <f>IF($K43="","",IFERROR(INDEX('ערכים טכנולוגיים'!$K$2:$500,MATCH(A43,'ערכים טכנולוגיים'!$A$2:$500,0)),""))</f>
        <v/>
      </c>
      <c r="M43" s="2">
        <f>IF($K43="","",IFERROR(INDEX('ערכים טכנולוגיים'!$F$2:$500,MATCH(A43,'ערכים טכנולוגיים'!$A$2:$500,0)),""))</f>
        <v/>
      </c>
      <c r="N43" s="2">
        <f>IF($K43="","",IFERROR(INDEX('ערכים טכנולוגיים'!$I$2:$500,MATCH(A43,'ערכים טכנולוגיים'!$A$2:$500,0)),""))</f>
        <v/>
      </c>
      <c r="O43" s="2">
        <f>IF($K43="","",IFERROR(INDEX('ערכים טכנולוגיים'!$G$2:$500,MATCH(A43,'ערכים טכנולוגיים'!$A$2:$500,0)),""))</f>
        <v/>
      </c>
      <c r="P43" s="2">
        <f>IF($K43="","",IFERROR(INDEX('ערכים טכנולוגיים'!$J$2:$500,MATCH(A43,'ערכים טכנולוגיים'!$A$2:$500,0)),""))</f>
        <v/>
      </c>
      <c r="Q43" s="2">
        <f>IF($K43="","",IFERROR(INDEX('ערכים טכנולוגיים'!$N$2:$500,MATCH(A43,'ערכים טכנולוגיים'!$A$2:$500,0)),""))</f>
        <v/>
      </c>
    </row>
    <row r="44">
      <c r="A44" s="8">
        <f>IF($K44="","",INDEX(מלאי!$D$2:$500,$K44))</f>
        <v/>
      </c>
      <c r="B44" s="8">
        <f>IF($K44="","",INDEX(מלאי!$B$2:$500,$K44))</f>
        <v/>
      </c>
      <c r="C44" s="8">
        <f>IF($K44="","",INDEX(מלאי!$C$2:$500,$K44))</f>
        <v/>
      </c>
      <c r="D44" s="8">
        <f>IF($K44="","",INDEX(מלאי!$G$2:$500,$K44))</f>
        <v/>
      </c>
      <c r="E44" s="8">
        <f>IF($K44="","",INDEX(מלאי!$M$2:$500,$K44))</f>
        <v/>
      </c>
      <c r="F44" s="8">
        <f>IF($K44="","",INDEX(מלאי!$N$2:$500,$K44))</f>
        <v/>
      </c>
      <c r="G44" s="8">
        <f>IF($K44="","",INDEX(מלאי!$O$2:$500,$K44))</f>
        <v/>
      </c>
      <c r="H44" s="8">
        <f>IF($K44="","",INDEX(מלאי!$U$2:$500,$K44))</f>
        <v/>
      </c>
      <c r="I44" s="8">
        <f>IF($K44="","",INDEX(מלאי!$X$2:$500,$K44))</f>
        <v/>
      </c>
      <c r="J44" s="8">
        <f>IF($K44="","",INDEX(מלאי!$AC$2:$500,$K44))</f>
        <v/>
      </c>
      <c r="K4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טכנולוגיים'!$A$2:$500,0))&lt;=$G$6),0))),ROW(מלאי!$A$2:$A$500)-ROW(מלאי!$A$2)+1,""),22),"")</f>
        <v/>
      </c>
      <c r="L44" s="8">
        <f>IF($K44="","",IFERROR(INDEX('ערכים טכנולוגיים'!$K$2:$500,MATCH(A44,'ערכים טכנולוגיים'!$A$2:$500,0)),""))</f>
        <v/>
      </c>
      <c r="M44" s="8">
        <f>IF($K44="","",IFERROR(INDEX('ערכים טכנולוגיים'!$F$2:$500,MATCH(A44,'ערכים טכנולוגיים'!$A$2:$500,0)),""))</f>
        <v/>
      </c>
      <c r="N44" s="8">
        <f>IF($K44="","",IFERROR(INDEX('ערכים טכנולוגיים'!$I$2:$500,MATCH(A44,'ערכים טכנולוגיים'!$A$2:$500,0)),""))</f>
        <v/>
      </c>
      <c r="O44" s="8">
        <f>IF($K44="","",IFERROR(INDEX('ערכים טכנולוגיים'!$G$2:$500,MATCH(A44,'ערכים טכנולוגיים'!$A$2:$500,0)),""))</f>
        <v/>
      </c>
      <c r="P44" s="8">
        <f>IF($K44="","",IFERROR(INDEX('ערכים טכנולוגיים'!$J$2:$500,MATCH(A44,'ערכים טכנולוגיים'!$A$2:$500,0)),""))</f>
        <v/>
      </c>
      <c r="Q44" s="8">
        <f>IF($K44="","",IFERROR(INDEX('ערכים טכנולוגיים'!$N$2:$500,MATCH(A44,'ערכים טכנולוגיים'!$A$2:$500,0)),""))</f>
        <v/>
      </c>
    </row>
    <row r="45">
      <c r="A45" s="2">
        <f>IF($K45="","",INDEX(מלאי!$D$2:$500,$K45))</f>
        <v/>
      </c>
      <c r="B45" s="2">
        <f>IF($K45="","",INDEX(מלאי!$B$2:$500,$K45))</f>
        <v/>
      </c>
      <c r="C45" s="2">
        <f>IF($K45="","",INDEX(מלאי!$C$2:$500,$K45))</f>
        <v/>
      </c>
      <c r="D45" s="2">
        <f>IF($K45="","",INDEX(מלאי!$G$2:$500,$K45))</f>
        <v/>
      </c>
      <c r="E45" s="2">
        <f>IF($K45="","",INDEX(מלאי!$M$2:$500,$K45))</f>
        <v/>
      </c>
      <c r="F45" s="2">
        <f>IF($K45="","",INDEX(מלאי!$N$2:$500,$K45))</f>
        <v/>
      </c>
      <c r="G45" s="2">
        <f>IF($K45="","",INDEX(מלאי!$O$2:$500,$K45))</f>
        <v/>
      </c>
      <c r="H45" s="2">
        <f>IF($K45="","",INDEX(מלאי!$U$2:$500,$K45))</f>
        <v/>
      </c>
      <c r="I45" s="2">
        <f>IF($K45="","",INDEX(מלאי!$X$2:$500,$K45))</f>
        <v/>
      </c>
      <c r="J45" s="2">
        <f>IF($K45="","",INDEX(מלאי!$AC$2:$500,$K45))</f>
        <v/>
      </c>
      <c r="K4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טכנולוגיים'!$A$2:$500,0))&lt;=$G$6),0))),ROW(מלאי!$A$2:$A$500)-ROW(מלאי!$A$2)+1,""),23),"")</f>
        <v/>
      </c>
      <c r="L45" s="2">
        <f>IF($K45="","",IFERROR(INDEX('ערכים טכנולוגיים'!$K$2:$500,MATCH(A45,'ערכים טכנולוגיים'!$A$2:$500,0)),""))</f>
        <v/>
      </c>
      <c r="M45" s="2">
        <f>IF($K45="","",IFERROR(INDEX('ערכים טכנולוגיים'!$F$2:$500,MATCH(A45,'ערכים טכנולוגיים'!$A$2:$500,0)),""))</f>
        <v/>
      </c>
      <c r="N45" s="2">
        <f>IF($K45="","",IFERROR(INDEX('ערכים טכנולוגיים'!$I$2:$500,MATCH(A45,'ערכים טכנולוגיים'!$A$2:$500,0)),""))</f>
        <v/>
      </c>
      <c r="O45" s="2">
        <f>IF($K45="","",IFERROR(INDEX('ערכים טכנולוגיים'!$G$2:$500,MATCH(A45,'ערכים טכנולוגיים'!$A$2:$500,0)),""))</f>
        <v/>
      </c>
      <c r="P45" s="2">
        <f>IF($K45="","",IFERROR(INDEX('ערכים טכנולוגיים'!$J$2:$500,MATCH(A45,'ערכים טכנולוגיים'!$A$2:$500,0)),""))</f>
        <v/>
      </c>
      <c r="Q45" s="2">
        <f>IF($K45="","",IFERROR(INDEX('ערכים טכנולוגיים'!$N$2:$500,MATCH(A45,'ערכים טכנולוגיים'!$A$2:$500,0)),""))</f>
        <v/>
      </c>
    </row>
    <row r="46">
      <c r="A46" s="8">
        <f>IF($K46="","",INDEX(מלאי!$D$2:$500,$K46))</f>
        <v/>
      </c>
      <c r="B46" s="8">
        <f>IF($K46="","",INDEX(מלאי!$B$2:$500,$K46))</f>
        <v/>
      </c>
      <c r="C46" s="8">
        <f>IF($K46="","",INDEX(מלאי!$C$2:$500,$K46))</f>
        <v/>
      </c>
      <c r="D46" s="8">
        <f>IF($K46="","",INDEX(מלאי!$G$2:$500,$K46))</f>
        <v/>
      </c>
      <c r="E46" s="8">
        <f>IF($K46="","",INDEX(מלאי!$M$2:$500,$K46))</f>
        <v/>
      </c>
      <c r="F46" s="8">
        <f>IF($K46="","",INDEX(מלאי!$N$2:$500,$K46))</f>
        <v/>
      </c>
      <c r="G46" s="8">
        <f>IF($K46="","",INDEX(מלאי!$O$2:$500,$K46))</f>
        <v/>
      </c>
      <c r="H46" s="8">
        <f>IF($K46="","",INDEX(מלאי!$U$2:$500,$K46))</f>
        <v/>
      </c>
      <c r="I46" s="8">
        <f>IF($K46="","",INDEX(מלאי!$X$2:$500,$K46))</f>
        <v/>
      </c>
      <c r="J46" s="8">
        <f>IF($K46="","",INDEX(מלאי!$AC$2:$500,$K46))</f>
        <v/>
      </c>
      <c r="K4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טכנולוגיים'!$A$2:$500,0))&lt;=$G$6),0))),ROW(מלאי!$A$2:$A$500)-ROW(מלאי!$A$2)+1,""),24),"")</f>
        <v/>
      </c>
      <c r="L46" s="8">
        <f>IF($K46="","",IFERROR(INDEX('ערכים טכנולוגיים'!$K$2:$500,MATCH(A46,'ערכים טכנולוגיים'!$A$2:$500,0)),""))</f>
        <v/>
      </c>
      <c r="M46" s="8">
        <f>IF($K46="","",IFERROR(INDEX('ערכים טכנולוגיים'!$F$2:$500,MATCH(A46,'ערכים טכנולוגיים'!$A$2:$500,0)),""))</f>
        <v/>
      </c>
      <c r="N46" s="8">
        <f>IF($K46="","",IFERROR(INDEX('ערכים טכנולוגיים'!$I$2:$500,MATCH(A46,'ערכים טכנולוגיים'!$A$2:$500,0)),""))</f>
        <v/>
      </c>
      <c r="O46" s="8">
        <f>IF($K46="","",IFERROR(INDEX('ערכים טכנולוגיים'!$G$2:$500,MATCH(A46,'ערכים טכנולוגיים'!$A$2:$500,0)),""))</f>
        <v/>
      </c>
      <c r="P46" s="8">
        <f>IF($K46="","",IFERROR(INDEX('ערכים טכנולוגיים'!$J$2:$500,MATCH(A46,'ערכים טכנולוגיים'!$A$2:$500,0)),""))</f>
        <v/>
      </c>
      <c r="Q46" s="8">
        <f>IF($K46="","",IFERROR(INDEX('ערכים טכנולוגיים'!$N$2:$500,MATCH(A46,'ערכים טכנולוגיים'!$A$2:$500,0)),""))</f>
        <v/>
      </c>
    </row>
    <row r="47">
      <c r="A47" s="2">
        <f>IF($K47="","",INDEX(מלאי!$D$2:$500,$K47))</f>
        <v/>
      </c>
      <c r="B47" s="2">
        <f>IF($K47="","",INDEX(מלאי!$B$2:$500,$K47))</f>
        <v/>
      </c>
      <c r="C47" s="2">
        <f>IF($K47="","",INDEX(מלאי!$C$2:$500,$K47))</f>
        <v/>
      </c>
      <c r="D47" s="2">
        <f>IF($K47="","",INDEX(מלאי!$G$2:$500,$K47))</f>
        <v/>
      </c>
      <c r="E47" s="2">
        <f>IF($K47="","",INDEX(מלאי!$M$2:$500,$K47))</f>
        <v/>
      </c>
      <c r="F47" s="2">
        <f>IF($K47="","",INDEX(מלאי!$N$2:$500,$K47))</f>
        <v/>
      </c>
      <c r="G47" s="2">
        <f>IF($K47="","",INDEX(מלאי!$O$2:$500,$K47))</f>
        <v/>
      </c>
      <c r="H47" s="2">
        <f>IF($K47="","",INDEX(מלאי!$U$2:$500,$K47))</f>
        <v/>
      </c>
      <c r="I47" s="2">
        <f>IF($K47="","",INDEX(מלאי!$X$2:$500,$K47))</f>
        <v/>
      </c>
      <c r="J47" s="2">
        <f>IF($K47="","",INDEX(מלאי!$AC$2:$500,$K47))</f>
        <v/>
      </c>
      <c r="K4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טכנולוגיים'!$A$2:$500,0))&lt;=$G$6),0))),ROW(מלאי!$A$2:$A$500)-ROW(מלאי!$A$2)+1,""),25),"")</f>
        <v/>
      </c>
      <c r="L47" s="2">
        <f>IF($K47="","",IFERROR(INDEX('ערכים טכנולוגיים'!$K$2:$500,MATCH(A47,'ערכים טכנולוגיים'!$A$2:$500,0)),""))</f>
        <v/>
      </c>
      <c r="M47" s="2">
        <f>IF($K47="","",IFERROR(INDEX('ערכים טכנולוגיים'!$F$2:$500,MATCH(A47,'ערכים טכנולוגיים'!$A$2:$500,0)),""))</f>
        <v/>
      </c>
      <c r="N47" s="2">
        <f>IF($K47="","",IFERROR(INDEX('ערכים טכנולוגיים'!$I$2:$500,MATCH(A47,'ערכים טכנולוגיים'!$A$2:$500,0)),""))</f>
        <v/>
      </c>
      <c r="O47" s="2">
        <f>IF($K47="","",IFERROR(INDEX('ערכים טכנולוגיים'!$G$2:$500,MATCH(A47,'ערכים טכנולוגיים'!$A$2:$500,0)),""))</f>
        <v/>
      </c>
      <c r="P47" s="2">
        <f>IF($K47="","",IFERROR(INDEX('ערכים טכנולוגיים'!$J$2:$500,MATCH(A47,'ערכים טכנולוגיים'!$A$2:$500,0)),""))</f>
        <v/>
      </c>
      <c r="Q47" s="2">
        <f>IF($K47="","",IFERROR(INDEX('ערכים טכנולוגיים'!$N$2:$500,MATCH(A47,'ערכים טכנולוגיים'!$A$2:$500,0)),""))</f>
        <v/>
      </c>
    </row>
    <row r="48">
      <c r="A48" s="8">
        <f>IF($K48="","",INDEX(מלאי!$D$2:$500,$K48))</f>
        <v/>
      </c>
      <c r="B48" s="8">
        <f>IF($K48="","",INDEX(מלאי!$B$2:$500,$K48))</f>
        <v/>
      </c>
      <c r="C48" s="8">
        <f>IF($K48="","",INDEX(מלאי!$C$2:$500,$K48))</f>
        <v/>
      </c>
      <c r="D48" s="8">
        <f>IF($K48="","",INDEX(מלאי!$G$2:$500,$K48))</f>
        <v/>
      </c>
      <c r="E48" s="8">
        <f>IF($K48="","",INDEX(מלאי!$M$2:$500,$K48))</f>
        <v/>
      </c>
      <c r="F48" s="8">
        <f>IF($K48="","",INDEX(מלאי!$N$2:$500,$K48))</f>
        <v/>
      </c>
      <c r="G48" s="8">
        <f>IF($K48="","",INDEX(מלאי!$O$2:$500,$K48))</f>
        <v/>
      </c>
      <c r="H48" s="8">
        <f>IF($K48="","",INDEX(מלאי!$U$2:$500,$K48))</f>
        <v/>
      </c>
      <c r="I48" s="8">
        <f>IF($K48="","",INDEX(מלאי!$X$2:$500,$K48))</f>
        <v/>
      </c>
      <c r="J48" s="8">
        <f>IF($K48="","",INDEX(מלאי!$AC$2:$500,$K48))</f>
        <v/>
      </c>
      <c r="K4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טכנולוגיים'!$A$2:$500,0))&lt;=$G$6),0))),ROW(מלאי!$A$2:$A$500)-ROW(מלאי!$A$2)+1,""),26),"")</f>
        <v/>
      </c>
      <c r="L48" s="8">
        <f>IF($K48="","",IFERROR(INDEX('ערכים טכנולוגיים'!$K$2:$500,MATCH(A48,'ערכים טכנולוגיים'!$A$2:$500,0)),""))</f>
        <v/>
      </c>
      <c r="M48" s="8">
        <f>IF($K48="","",IFERROR(INDEX('ערכים טכנולוגיים'!$F$2:$500,MATCH(A48,'ערכים טכנולוגיים'!$A$2:$500,0)),""))</f>
        <v/>
      </c>
      <c r="N48" s="8">
        <f>IF($K48="","",IFERROR(INDEX('ערכים טכנולוגיים'!$I$2:$500,MATCH(A48,'ערכים טכנולוגיים'!$A$2:$500,0)),""))</f>
        <v/>
      </c>
      <c r="O48" s="8">
        <f>IF($K48="","",IFERROR(INDEX('ערכים טכנולוגיים'!$G$2:$500,MATCH(A48,'ערכים טכנולוגיים'!$A$2:$500,0)),""))</f>
        <v/>
      </c>
      <c r="P48" s="8">
        <f>IF($K48="","",IFERROR(INDEX('ערכים טכנולוגיים'!$J$2:$500,MATCH(A48,'ערכים טכנולוגיים'!$A$2:$500,0)),""))</f>
        <v/>
      </c>
      <c r="Q48" s="8">
        <f>IF($K48="","",IFERROR(INDEX('ערכים טכנולוגיים'!$N$2:$500,MATCH(A48,'ערכים טכנולוגיים'!$A$2:$500,0)),""))</f>
        <v/>
      </c>
    </row>
    <row r="49">
      <c r="A49" s="2">
        <f>IF($K49="","",INDEX(מלאי!$D$2:$500,$K49))</f>
        <v/>
      </c>
      <c r="B49" s="2">
        <f>IF($K49="","",INDEX(מלאי!$B$2:$500,$K49))</f>
        <v/>
      </c>
      <c r="C49" s="2">
        <f>IF($K49="","",INDEX(מלאי!$C$2:$500,$K49))</f>
        <v/>
      </c>
      <c r="D49" s="2">
        <f>IF($K49="","",INDEX(מלאי!$G$2:$500,$K49))</f>
        <v/>
      </c>
      <c r="E49" s="2">
        <f>IF($K49="","",INDEX(מלאי!$M$2:$500,$K49))</f>
        <v/>
      </c>
      <c r="F49" s="2">
        <f>IF($K49="","",INDEX(מלאי!$N$2:$500,$K49))</f>
        <v/>
      </c>
      <c r="G49" s="2">
        <f>IF($K49="","",INDEX(מלאי!$O$2:$500,$K49))</f>
        <v/>
      </c>
      <c r="H49" s="2">
        <f>IF($K49="","",INDEX(מלאי!$U$2:$500,$K49))</f>
        <v/>
      </c>
      <c r="I49" s="2">
        <f>IF($K49="","",INDEX(מלאי!$X$2:$500,$K49))</f>
        <v/>
      </c>
      <c r="J49" s="2">
        <f>IF($K49="","",INDEX(מלאי!$AC$2:$500,$K49))</f>
        <v/>
      </c>
      <c r="K4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טכנולוגיים'!$A$2:$500,0))&lt;=$G$6),0))),ROW(מלאי!$A$2:$A$500)-ROW(מלאי!$A$2)+1,""),27),"")</f>
        <v/>
      </c>
      <c r="L49" s="2">
        <f>IF($K49="","",IFERROR(INDEX('ערכים טכנולוגיים'!$K$2:$500,MATCH(A49,'ערכים טכנולוגיים'!$A$2:$500,0)),""))</f>
        <v/>
      </c>
      <c r="M49" s="2">
        <f>IF($K49="","",IFERROR(INDEX('ערכים טכנולוגיים'!$F$2:$500,MATCH(A49,'ערכים טכנולוגיים'!$A$2:$500,0)),""))</f>
        <v/>
      </c>
      <c r="N49" s="2">
        <f>IF($K49="","",IFERROR(INDEX('ערכים טכנולוגיים'!$I$2:$500,MATCH(A49,'ערכים טכנולוגיים'!$A$2:$500,0)),""))</f>
        <v/>
      </c>
      <c r="O49" s="2">
        <f>IF($K49="","",IFERROR(INDEX('ערכים טכנולוגיים'!$G$2:$500,MATCH(A49,'ערכים טכנולוגיים'!$A$2:$500,0)),""))</f>
        <v/>
      </c>
      <c r="P49" s="2">
        <f>IF($K49="","",IFERROR(INDEX('ערכים טכנולוגיים'!$J$2:$500,MATCH(A49,'ערכים טכנולוגיים'!$A$2:$500,0)),""))</f>
        <v/>
      </c>
      <c r="Q49" s="2">
        <f>IF($K49="","",IFERROR(INDEX('ערכים טכנולוגיים'!$N$2:$500,MATCH(A49,'ערכים טכנולוגיים'!$A$2:$500,0)),""))</f>
        <v/>
      </c>
    </row>
    <row r="50">
      <c r="A50" s="8">
        <f>IF($K50="","",INDEX(מלאי!$D$2:$500,$K50))</f>
        <v/>
      </c>
      <c r="B50" s="8">
        <f>IF($K50="","",INDEX(מלאי!$B$2:$500,$K50))</f>
        <v/>
      </c>
      <c r="C50" s="8">
        <f>IF($K50="","",INDEX(מלאי!$C$2:$500,$K50))</f>
        <v/>
      </c>
      <c r="D50" s="8">
        <f>IF($K50="","",INDEX(מלאי!$G$2:$500,$K50))</f>
        <v/>
      </c>
      <c r="E50" s="8">
        <f>IF($K50="","",INDEX(מלאי!$M$2:$500,$K50))</f>
        <v/>
      </c>
      <c r="F50" s="8">
        <f>IF($K50="","",INDEX(מלאי!$N$2:$500,$K50))</f>
        <v/>
      </c>
      <c r="G50" s="8">
        <f>IF($K50="","",INDEX(מלאי!$O$2:$500,$K50))</f>
        <v/>
      </c>
      <c r="H50" s="8">
        <f>IF($K50="","",INDEX(מלאי!$U$2:$500,$K50))</f>
        <v/>
      </c>
      <c r="I50" s="8">
        <f>IF($K50="","",INDEX(מלאי!$X$2:$500,$K50))</f>
        <v/>
      </c>
      <c r="J50" s="8">
        <f>IF($K50="","",INDEX(מלאי!$AC$2:$500,$K50))</f>
        <v/>
      </c>
      <c r="K5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טכנולוגיים'!$A$2:$500,0))&lt;=$G$6),0))),ROW(מלאי!$A$2:$A$500)-ROW(מלאי!$A$2)+1,""),28),"")</f>
        <v/>
      </c>
      <c r="L50" s="8">
        <f>IF($K50="","",IFERROR(INDEX('ערכים טכנולוגיים'!$K$2:$500,MATCH(A50,'ערכים טכנולוגיים'!$A$2:$500,0)),""))</f>
        <v/>
      </c>
      <c r="M50" s="8">
        <f>IF($K50="","",IFERROR(INDEX('ערכים טכנולוגיים'!$F$2:$500,MATCH(A50,'ערכים טכנולוגיים'!$A$2:$500,0)),""))</f>
        <v/>
      </c>
      <c r="N50" s="8">
        <f>IF($K50="","",IFERROR(INDEX('ערכים טכנולוגיים'!$I$2:$500,MATCH(A50,'ערכים טכנולוגיים'!$A$2:$500,0)),""))</f>
        <v/>
      </c>
      <c r="O50" s="8">
        <f>IF($K50="","",IFERROR(INDEX('ערכים טכנולוגיים'!$G$2:$500,MATCH(A50,'ערכים טכנולוגיים'!$A$2:$500,0)),""))</f>
        <v/>
      </c>
      <c r="P50" s="8">
        <f>IF($K50="","",IFERROR(INDEX('ערכים טכנולוגיים'!$J$2:$500,MATCH(A50,'ערכים טכנולוגיים'!$A$2:$500,0)),""))</f>
        <v/>
      </c>
      <c r="Q50" s="8">
        <f>IF($K50="","",IFERROR(INDEX('ערכים טכנולוגיים'!$N$2:$500,MATCH(A50,'ערכים טכנולוגיים'!$A$2:$500,0)),""))</f>
        <v/>
      </c>
    </row>
    <row r="51">
      <c r="A51" s="2">
        <f>IF($K51="","",INDEX(מלאי!$D$2:$500,$K51))</f>
        <v/>
      </c>
      <c r="B51" s="2">
        <f>IF($K51="","",INDEX(מלאי!$B$2:$500,$K51))</f>
        <v/>
      </c>
      <c r="C51" s="2">
        <f>IF($K51="","",INDEX(מלאי!$C$2:$500,$K51))</f>
        <v/>
      </c>
      <c r="D51" s="2">
        <f>IF($K51="","",INDEX(מלאי!$G$2:$500,$K51))</f>
        <v/>
      </c>
      <c r="E51" s="2">
        <f>IF($K51="","",INDEX(מלאי!$M$2:$500,$K51))</f>
        <v/>
      </c>
      <c r="F51" s="2">
        <f>IF($K51="","",INDEX(מלאי!$N$2:$500,$K51))</f>
        <v/>
      </c>
      <c r="G51" s="2">
        <f>IF($K51="","",INDEX(מלאי!$O$2:$500,$K51))</f>
        <v/>
      </c>
      <c r="H51" s="2">
        <f>IF($K51="","",INDEX(מלאי!$U$2:$500,$K51))</f>
        <v/>
      </c>
      <c r="I51" s="2">
        <f>IF($K51="","",INDEX(מלאי!$X$2:$500,$K51))</f>
        <v/>
      </c>
      <c r="J51" s="2">
        <f>IF($K51="","",INDEX(מלאי!$AC$2:$500,$K51))</f>
        <v/>
      </c>
      <c r="K5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טכנולוגיים'!$A$2:$500,0))&lt;=$G$6),0))),ROW(מלאי!$A$2:$A$500)-ROW(מלאי!$A$2)+1,""),29),"")</f>
        <v/>
      </c>
      <c r="L51" s="2">
        <f>IF($K51="","",IFERROR(INDEX('ערכים טכנולוגיים'!$K$2:$500,MATCH(A51,'ערכים טכנולוגיים'!$A$2:$500,0)),""))</f>
        <v/>
      </c>
      <c r="M51" s="2">
        <f>IF($K51="","",IFERROR(INDEX('ערכים טכנולוגיים'!$F$2:$500,MATCH(A51,'ערכים טכנולוגיים'!$A$2:$500,0)),""))</f>
        <v/>
      </c>
      <c r="N51" s="2">
        <f>IF($K51="","",IFERROR(INDEX('ערכים טכנולוגיים'!$I$2:$500,MATCH(A51,'ערכים טכנולוגיים'!$A$2:$500,0)),""))</f>
        <v/>
      </c>
      <c r="O51" s="2">
        <f>IF($K51="","",IFERROR(INDEX('ערכים טכנולוגיים'!$G$2:$500,MATCH(A51,'ערכים טכנולוגיים'!$A$2:$500,0)),""))</f>
        <v/>
      </c>
      <c r="P51" s="2">
        <f>IF($K51="","",IFERROR(INDEX('ערכים טכנולוגיים'!$J$2:$500,MATCH(A51,'ערכים טכנולוגיים'!$A$2:$500,0)),""))</f>
        <v/>
      </c>
      <c r="Q51" s="2">
        <f>IF($K51="","",IFERROR(INDEX('ערכים טכנולוגיים'!$N$2:$500,MATCH(A51,'ערכים טכנולוגיים'!$A$2:$500,0)),""))</f>
        <v/>
      </c>
    </row>
    <row r="52">
      <c r="A52" s="8">
        <f>IF($K52="","",INDEX(מלאי!$D$2:$500,$K52))</f>
        <v/>
      </c>
      <c r="B52" s="8">
        <f>IF($K52="","",INDEX(מלאי!$B$2:$500,$K52))</f>
        <v/>
      </c>
      <c r="C52" s="8">
        <f>IF($K52="","",INDEX(מלאי!$C$2:$500,$K52))</f>
        <v/>
      </c>
      <c r="D52" s="8">
        <f>IF($K52="","",INDEX(מלאי!$G$2:$500,$K52))</f>
        <v/>
      </c>
      <c r="E52" s="8">
        <f>IF($K52="","",INDEX(מלאי!$M$2:$500,$K52))</f>
        <v/>
      </c>
      <c r="F52" s="8">
        <f>IF($K52="","",INDEX(מלאי!$N$2:$500,$K52))</f>
        <v/>
      </c>
      <c r="G52" s="8">
        <f>IF($K52="","",INDEX(מלאי!$O$2:$500,$K52))</f>
        <v/>
      </c>
      <c r="H52" s="8">
        <f>IF($K52="","",INDEX(מלאי!$U$2:$500,$K52))</f>
        <v/>
      </c>
      <c r="I52" s="8">
        <f>IF($K52="","",INDEX(מלאי!$X$2:$500,$K52))</f>
        <v/>
      </c>
      <c r="J52" s="8">
        <f>IF($K52="","",INDEX(מלאי!$AC$2:$500,$K52))</f>
        <v/>
      </c>
      <c r="K5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טכנולוגיים'!$A$2:$500,0))&lt;=$G$6),0))),ROW(מלאי!$A$2:$A$500)-ROW(מלאי!$A$2)+1,""),30),"")</f>
        <v/>
      </c>
      <c r="L52" s="8">
        <f>IF($K52="","",IFERROR(INDEX('ערכים טכנולוגיים'!$K$2:$500,MATCH(A52,'ערכים טכנולוגיים'!$A$2:$500,0)),""))</f>
        <v/>
      </c>
      <c r="M52" s="8">
        <f>IF($K52="","",IFERROR(INDEX('ערכים טכנולוגיים'!$F$2:$500,MATCH(A52,'ערכים טכנולוגיים'!$A$2:$500,0)),""))</f>
        <v/>
      </c>
      <c r="N52" s="8">
        <f>IF($K52="","",IFERROR(INDEX('ערכים טכנולוגיים'!$I$2:$500,MATCH(A52,'ערכים טכנולוגיים'!$A$2:$500,0)),""))</f>
        <v/>
      </c>
      <c r="O52" s="8">
        <f>IF($K52="","",IFERROR(INDEX('ערכים טכנולוגיים'!$G$2:$500,MATCH(A52,'ערכים טכנולוגיים'!$A$2:$500,0)),""))</f>
        <v/>
      </c>
      <c r="P52" s="8">
        <f>IF($K52="","",IFERROR(INDEX('ערכים טכנולוגיים'!$J$2:$500,MATCH(A52,'ערכים טכנולוגיים'!$A$2:$500,0)),""))</f>
        <v/>
      </c>
      <c r="Q52" s="8">
        <f>IF($K52="","",IFERROR(INDEX('ערכים טכנולוגיים'!$N$2:$500,MATCH(A52,'ערכים טכנולוגיים'!$A$2:$500,0)),""))</f>
        <v/>
      </c>
    </row>
    <row r="53">
      <c r="A53" s="2">
        <f>IF($K53="","",INDEX(מלאי!$D$2:$500,$K53))</f>
        <v/>
      </c>
      <c r="B53" s="2">
        <f>IF($K53="","",INDEX(מלאי!$B$2:$500,$K53))</f>
        <v/>
      </c>
      <c r="C53" s="2">
        <f>IF($K53="","",INDEX(מלאי!$C$2:$500,$K53))</f>
        <v/>
      </c>
      <c r="D53" s="2">
        <f>IF($K53="","",INDEX(מלאי!$G$2:$500,$K53))</f>
        <v/>
      </c>
      <c r="E53" s="2">
        <f>IF($K53="","",INDEX(מלאי!$M$2:$500,$K53))</f>
        <v/>
      </c>
      <c r="F53" s="2">
        <f>IF($K53="","",INDEX(מלאי!$N$2:$500,$K53))</f>
        <v/>
      </c>
      <c r="G53" s="2">
        <f>IF($K53="","",INDEX(מלאי!$O$2:$500,$K53))</f>
        <v/>
      </c>
      <c r="H53" s="2">
        <f>IF($K53="","",INDEX(מלאי!$U$2:$500,$K53))</f>
        <v/>
      </c>
      <c r="I53" s="2">
        <f>IF($K53="","",INDEX(מלאי!$X$2:$500,$K53))</f>
        <v/>
      </c>
      <c r="J53" s="2">
        <f>IF($K53="","",INDEX(מלאי!$AC$2:$500,$K53))</f>
        <v/>
      </c>
      <c r="K5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טכנולוגיים'!$A$2:$500,0))&lt;=$G$6),0))),ROW(מלאי!$A$2:$A$500)-ROW(מלאי!$A$2)+1,""),31),"")</f>
        <v/>
      </c>
      <c r="L53" s="2">
        <f>IF($K53="","",IFERROR(INDEX('ערכים טכנולוגיים'!$K$2:$500,MATCH(A53,'ערכים טכנולוגיים'!$A$2:$500,0)),""))</f>
        <v/>
      </c>
      <c r="M53" s="2">
        <f>IF($K53="","",IFERROR(INDEX('ערכים טכנולוגיים'!$F$2:$500,MATCH(A53,'ערכים טכנולוגיים'!$A$2:$500,0)),""))</f>
        <v/>
      </c>
      <c r="N53" s="2">
        <f>IF($K53="","",IFERROR(INDEX('ערכים טכנולוגיים'!$I$2:$500,MATCH(A53,'ערכים טכנולוגיים'!$A$2:$500,0)),""))</f>
        <v/>
      </c>
      <c r="O53" s="2">
        <f>IF($K53="","",IFERROR(INDEX('ערכים טכנולוגיים'!$G$2:$500,MATCH(A53,'ערכים טכנולוגיים'!$A$2:$500,0)),""))</f>
        <v/>
      </c>
      <c r="P53" s="2">
        <f>IF($K53="","",IFERROR(INDEX('ערכים טכנולוגיים'!$J$2:$500,MATCH(A53,'ערכים טכנולוגיים'!$A$2:$500,0)),""))</f>
        <v/>
      </c>
      <c r="Q53" s="2">
        <f>IF($K53="","",IFERROR(INDEX('ערכים טכנולוגיים'!$N$2:$500,MATCH(A53,'ערכים טכנולוגיים'!$A$2:$500,0)),""))</f>
        <v/>
      </c>
    </row>
    <row r="54">
      <c r="A54" s="8">
        <f>IF($K54="","",INDEX(מלאי!$D$2:$500,$K54))</f>
        <v/>
      </c>
      <c r="B54" s="8">
        <f>IF($K54="","",INDEX(מלאי!$B$2:$500,$K54))</f>
        <v/>
      </c>
      <c r="C54" s="8">
        <f>IF($K54="","",INDEX(מלאי!$C$2:$500,$K54))</f>
        <v/>
      </c>
      <c r="D54" s="8">
        <f>IF($K54="","",INDEX(מלאי!$G$2:$500,$K54))</f>
        <v/>
      </c>
      <c r="E54" s="8">
        <f>IF($K54="","",INDEX(מלאי!$M$2:$500,$K54))</f>
        <v/>
      </c>
      <c r="F54" s="8">
        <f>IF($K54="","",INDEX(מלאי!$N$2:$500,$K54))</f>
        <v/>
      </c>
      <c r="G54" s="8">
        <f>IF($K54="","",INDEX(מלאי!$O$2:$500,$K54))</f>
        <v/>
      </c>
      <c r="H54" s="8">
        <f>IF($K54="","",INDEX(מלאי!$U$2:$500,$K54))</f>
        <v/>
      </c>
      <c r="I54" s="8">
        <f>IF($K54="","",INDEX(מלאי!$X$2:$500,$K54))</f>
        <v/>
      </c>
      <c r="J54" s="8">
        <f>IF($K54="","",INDEX(מלאי!$AC$2:$500,$K54))</f>
        <v/>
      </c>
      <c r="K5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טכנולוגיים'!$A$2:$500,0))&lt;=$G$6),0))),ROW(מלאי!$A$2:$A$500)-ROW(מלאי!$A$2)+1,""),32),"")</f>
        <v/>
      </c>
      <c r="L54" s="8">
        <f>IF($K54="","",IFERROR(INDEX('ערכים טכנולוגיים'!$K$2:$500,MATCH(A54,'ערכים טכנולוגיים'!$A$2:$500,0)),""))</f>
        <v/>
      </c>
      <c r="M54" s="8">
        <f>IF($K54="","",IFERROR(INDEX('ערכים טכנולוגיים'!$F$2:$500,MATCH(A54,'ערכים טכנולוגיים'!$A$2:$500,0)),""))</f>
        <v/>
      </c>
      <c r="N54" s="8">
        <f>IF($K54="","",IFERROR(INDEX('ערכים טכנולוגיים'!$I$2:$500,MATCH(A54,'ערכים טכנולוגיים'!$A$2:$500,0)),""))</f>
        <v/>
      </c>
      <c r="O54" s="8">
        <f>IF($K54="","",IFERROR(INDEX('ערכים טכנולוגיים'!$G$2:$500,MATCH(A54,'ערכים טכנולוגיים'!$A$2:$500,0)),""))</f>
        <v/>
      </c>
      <c r="P54" s="8">
        <f>IF($K54="","",IFERROR(INDEX('ערכים טכנולוגיים'!$J$2:$500,MATCH(A54,'ערכים טכנולוגיים'!$A$2:$500,0)),""))</f>
        <v/>
      </c>
      <c r="Q54" s="8">
        <f>IF($K54="","",IFERROR(INDEX('ערכים טכנולוגיים'!$N$2:$500,MATCH(A54,'ערכים טכנולוגיים'!$A$2:$500,0)),""))</f>
        <v/>
      </c>
    </row>
    <row r="55">
      <c r="A55" s="2">
        <f>IF($K55="","",INDEX(מלאי!$D$2:$500,$K55))</f>
        <v/>
      </c>
      <c r="B55" s="2">
        <f>IF($K55="","",INDEX(מלאי!$B$2:$500,$K55))</f>
        <v/>
      </c>
      <c r="C55" s="2">
        <f>IF($K55="","",INDEX(מלאי!$C$2:$500,$K55))</f>
        <v/>
      </c>
      <c r="D55" s="2">
        <f>IF($K55="","",INDEX(מלאי!$G$2:$500,$K55))</f>
        <v/>
      </c>
      <c r="E55" s="2">
        <f>IF($K55="","",INDEX(מלאי!$M$2:$500,$K55))</f>
        <v/>
      </c>
      <c r="F55" s="2">
        <f>IF($K55="","",INDEX(מלאי!$N$2:$500,$K55))</f>
        <v/>
      </c>
      <c r="G55" s="2">
        <f>IF($K55="","",INDEX(מלאי!$O$2:$500,$K55))</f>
        <v/>
      </c>
      <c r="H55" s="2">
        <f>IF($K55="","",INDEX(מלאי!$U$2:$500,$K55))</f>
        <v/>
      </c>
      <c r="I55" s="2">
        <f>IF($K55="","",INDEX(מלאי!$X$2:$500,$K55))</f>
        <v/>
      </c>
      <c r="J55" s="2">
        <f>IF($K55="","",INDEX(מלאי!$AC$2:$500,$K55))</f>
        <v/>
      </c>
      <c r="K5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טכנולוגיים'!$A$2:$500,0))&lt;=$G$6),0))),ROW(מלאי!$A$2:$A$500)-ROW(מלאי!$A$2)+1,""),33),"")</f>
        <v/>
      </c>
      <c r="L55" s="2">
        <f>IF($K55="","",IFERROR(INDEX('ערכים טכנולוגיים'!$K$2:$500,MATCH(A55,'ערכים טכנולוגיים'!$A$2:$500,0)),""))</f>
        <v/>
      </c>
      <c r="M55" s="2">
        <f>IF($K55="","",IFERROR(INDEX('ערכים טכנולוגיים'!$F$2:$500,MATCH(A55,'ערכים טכנולוגיים'!$A$2:$500,0)),""))</f>
        <v/>
      </c>
      <c r="N55" s="2">
        <f>IF($K55="","",IFERROR(INDEX('ערכים טכנולוגיים'!$I$2:$500,MATCH(A55,'ערכים טכנולוגיים'!$A$2:$500,0)),""))</f>
        <v/>
      </c>
      <c r="O55" s="2">
        <f>IF($K55="","",IFERROR(INDEX('ערכים טכנולוגיים'!$G$2:$500,MATCH(A55,'ערכים טכנולוגיים'!$A$2:$500,0)),""))</f>
        <v/>
      </c>
      <c r="P55" s="2">
        <f>IF($K55="","",IFERROR(INDEX('ערכים טכנולוגיים'!$J$2:$500,MATCH(A55,'ערכים טכנולוגיים'!$A$2:$500,0)),""))</f>
        <v/>
      </c>
      <c r="Q55" s="2">
        <f>IF($K55="","",IFERROR(INDEX('ערכים טכנולוגיים'!$N$2:$500,MATCH(A55,'ערכים טכנולוגיים'!$A$2:$500,0)),""))</f>
        <v/>
      </c>
    </row>
    <row r="56">
      <c r="A56" s="8">
        <f>IF($K56="","",INDEX(מלאי!$D$2:$500,$K56))</f>
        <v/>
      </c>
      <c r="B56" s="8">
        <f>IF($K56="","",INDEX(מלאי!$B$2:$500,$K56))</f>
        <v/>
      </c>
      <c r="C56" s="8">
        <f>IF($K56="","",INDEX(מלאי!$C$2:$500,$K56))</f>
        <v/>
      </c>
      <c r="D56" s="8">
        <f>IF($K56="","",INDEX(מלאי!$G$2:$500,$K56))</f>
        <v/>
      </c>
      <c r="E56" s="8">
        <f>IF($K56="","",INDEX(מלאי!$M$2:$500,$K56))</f>
        <v/>
      </c>
      <c r="F56" s="8">
        <f>IF($K56="","",INDEX(מלאי!$N$2:$500,$K56))</f>
        <v/>
      </c>
      <c r="G56" s="8">
        <f>IF($K56="","",INDEX(מלאי!$O$2:$500,$K56))</f>
        <v/>
      </c>
      <c r="H56" s="8">
        <f>IF($K56="","",INDEX(מלאי!$U$2:$500,$K56))</f>
        <v/>
      </c>
      <c r="I56" s="8">
        <f>IF($K56="","",INDEX(מלאי!$X$2:$500,$K56))</f>
        <v/>
      </c>
      <c r="J56" s="8">
        <f>IF($K56="","",INDEX(מלאי!$AC$2:$500,$K56))</f>
        <v/>
      </c>
      <c r="K5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טכנולוגיים'!$A$2:$500,0))&lt;=$G$6),0))),ROW(מלאי!$A$2:$A$500)-ROW(מלאי!$A$2)+1,""),34),"")</f>
        <v/>
      </c>
      <c r="L56" s="8">
        <f>IF($K56="","",IFERROR(INDEX('ערכים טכנולוגיים'!$K$2:$500,MATCH(A56,'ערכים טכנולוגיים'!$A$2:$500,0)),""))</f>
        <v/>
      </c>
      <c r="M56" s="8">
        <f>IF($K56="","",IFERROR(INDEX('ערכים טכנולוגיים'!$F$2:$500,MATCH(A56,'ערכים טכנולוגיים'!$A$2:$500,0)),""))</f>
        <v/>
      </c>
      <c r="N56" s="8">
        <f>IF($K56="","",IFERROR(INDEX('ערכים טכנולוגיים'!$I$2:$500,MATCH(A56,'ערכים טכנולוגיים'!$A$2:$500,0)),""))</f>
        <v/>
      </c>
      <c r="O56" s="8">
        <f>IF($K56="","",IFERROR(INDEX('ערכים טכנולוגיים'!$G$2:$500,MATCH(A56,'ערכים טכנולוגיים'!$A$2:$500,0)),""))</f>
        <v/>
      </c>
      <c r="P56" s="8">
        <f>IF($K56="","",IFERROR(INDEX('ערכים טכנולוגיים'!$J$2:$500,MATCH(A56,'ערכים טכנולוגיים'!$A$2:$500,0)),""))</f>
        <v/>
      </c>
      <c r="Q56" s="8">
        <f>IF($K56="","",IFERROR(INDEX('ערכים טכנולוגיים'!$N$2:$500,MATCH(A56,'ערכים טכנולוגיים'!$A$2:$500,0)),""))</f>
        <v/>
      </c>
    </row>
    <row r="57">
      <c r="A57" s="2">
        <f>IF($K57="","",INDEX(מלאי!$D$2:$500,$K57))</f>
        <v/>
      </c>
      <c r="B57" s="2">
        <f>IF($K57="","",INDEX(מלאי!$B$2:$500,$K57))</f>
        <v/>
      </c>
      <c r="C57" s="2">
        <f>IF($K57="","",INDEX(מלאי!$C$2:$500,$K57))</f>
        <v/>
      </c>
      <c r="D57" s="2">
        <f>IF($K57="","",INDEX(מלאי!$G$2:$500,$K57))</f>
        <v/>
      </c>
      <c r="E57" s="2">
        <f>IF($K57="","",INDEX(מלאי!$M$2:$500,$K57))</f>
        <v/>
      </c>
      <c r="F57" s="2">
        <f>IF($K57="","",INDEX(מלאי!$N$2:$500,$K57))</f>
        <v/>
      </c>
      <c r="G57" s="2">
        <f>IF($K57="","",INDEX(מלאי!$O$2:$500,$K57))</f>
        <v/>
      </c>
      <c r="H57" s="2">
        <f>IF($K57="","",INDEX(מלאי!$U$2:$500,$K57))</f>
        <v/>
      </c>
      <c r="I57" s="2">
        <f>IF($K57="","",INDEX(מלאי!$X$2:$500,$K57))</f>
        <v/>
      </c>
      <c r="J57" s="2">
        <f>IF($K57="","",INDEX(מלאי!$AC$2:$500,$K57))</f>
        <v/>
      </c>
      <c r="K5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טכנולוגיים'!$A$2:$500,0))&lt;=$G$6),0))),ROW(מלאי!$A$2:$A$500)-ROW(מלאי!$A$2)+1,""),35),"")</f>
        <v/>
      </c>
      <c r="L57" s="2">
        <f>IF($K57="","",IFERROR(INDEX('ערכים טכנולוגיים'!$K$2:$500,MATCH(A57,'ערכים טכנולוגיים'!$A$2:$500,0)),""))</f>
        <v/>
      </c>
      <c r="M57" s="2">
        <f>IF($K57="","",IFERROR(INDEX('ערכים טכנולוגיים'!$F$2:$500,MATCH(A57,'ערכים טכנולוגיים'!$A$2:$500,0)),""))</f>
        <v/>
      </c>
      <c r="N57" s="2">
        <f>IF($K57="","",IFERROR(INDEX('ערכים טכנולוגיים'!$I$2:$500,MATCH(A57,'ערכים טכנולוגיים'!$A$2:$500,0)),""))</f>
        <v/>
      </c>
      <c r="O57" s="2">
        <f>IF($K57="","",IFERROR(INDEX('ערכים טכנולוגיים'!$G$2:$500,MATCH(A57,'ערכים טכנולוגיים'!$A$2:$500,0)),""))</f>
        <v/>
      </c>
      <c r="P57" s="2">
        <f>IF($K57="","",IFERROR(INDEX('ערכים טכנולוגיים'!$J$2:$500,MATCH(A57,'ערכים טכנולוגיים'!$A$2:$500,0)),""))</f>
        <v/>
      </c>
      <c r="Q57" s="2">
        <f>IF($K57="","",IFERROR(INDEX('ערכים טכנולוגיים'!$N$2:$500,MATCH(A57,'ערכים טכנולוגיים'!$A$2:$500,0)),""))</f>
        <v/>
      </c>
    </row>
    <row r="58">
      <c r="A58" s="8">
        <f>IF($K58="","",INDEX(מלאי!$D$2:$500,$K58))</f>
        <v/>
      </c>
      <c r="B58" s="8">
        <f>IF($K58="","",INDEX(מלאי!$B$2:$500,$K58))</f>
        <v/>
      </c>
      <c r="C58" s="8">
        <f>IF($K58="","",INDEX(מלאי!$C$2:$500,$K58))</f>
        <v/>
      </c>
      <c r="D58" s="8">
        <f>IF($K58="","",INDEX(מלאי!$G$2:$500,$K58))</f>
        <v/>
      </c>
      <c r="E58" s="8">
        <f>IF($K58="","",INDEX(מלאי!$M$2:$500,$K58))</f>
        <v/>
      </c>
      <c r="F58" s="8">
        <f>IF($K58="","",INDEX(מלאי!$N$2:$500,$K58))</f>
        <v/>
      </c>
      <c r="G58" s="8">
        <f>IF($K58="","",INDEX(מלאי!$O$2:$500,$K58))</f>
        <v/>
      </c>
      <c r="H58" s="8">
        <f>IF($K58="","",INDEX(מלאי!$U$2:$500,$K58))</f>
        <v/>
      </c>
      <c r="I58" s="8">
        <f>IF($K58="","",INDEX(מלאי!$X$2:$500,$K58))</f>
        <v/>
      </c>
      <c r="J58" s="8">
        <f>IF($K58="","",INDEX(מלאי!$AC$2:$500,$K58))</f>
        <v/>
      </c>
      <c r="K5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טכנולוגיים'!$A$2:$500,0))&lt;=$G$6),0))),ROW(מלאי!$A$2:$A$500)-ROW(מלאי!$A$2)+1,""),36),"")</f>
        <v/>
      </c>
      <c r="L58" s="8">
        <f>IF($K58="","",IFERROR(INDEX('ערכים טכנולוגיים'!$K$2:$500,MATCH(A58,'ערכים טכנולוגיים'!$A$2:$500,0)),""))</f>
        <v/>
      </c>
      <c r="M58" s="8">
        <f>IF($K58="","",IFERROR(INDEX('ערכים טכנולוגיים'!$F$2:$500,MATCH(A58,'ערכים טכנולוגיים'!$A$2:$500,0)),""))</f>
        <v/>
      </c>
      <c r="N58" s="8">
        <f>IF($K58="","",IFERROR(INDEX('ערכים טכנולוגיים'!$I$2:$500,MATCH(A58,'ערכים טכנולוגיים'!$A$2:$500,0)),""))</f>
        <v/>
      </c>
      <c r="O58" s="8">
        <f>IF($K58="","",IFERROR(INDEX('ערכים טכנולוגיים'!$G$2:$500,MATCH(A58,'ערכים טכנולוגיים'!$A$2:$500,0)),""))</f>
        <v/>
      </c>
      <c r="P58" s="8">
        <f>IF($K58="","",IFERROR(INDEX('ערכים טכנולוגיים'!$J$2:$500,MATCH(A58,'ערכים טכנולוגיים'!$A$2:$500,0)),""))</f>
        <v/>
      </c>
      <c r="Q58" s="8">
        <f>IF($K58="","",IFERROR(INDEX('ערכים טכנולוגיים'!$N$2:$500,MATCH(A58,'ערכים טכנולוגיים'!$A$2:$500,0)),""))</f>
        <v/>
      </c>
    </row>
    <row r="59">
      <c r="A59" s="2">
        <f>IF($K59="","",INDEX(מלאי!$D$2:$500,$K59))</f>
        <v/>
      </c>
      <c r="B59" s="2">
        <f>IF($K59="","",INDEX(מלאי!$B$2:$500,$K59))</f>
        <v/>
      </c>
      <c r="C59" s="2">
        <f>IF($K59="","",INDEX(מלאי!$C$2:$500,$K59))</f>
        <v/>
      </c>
      <c r="D59" s="2">
        <f>IF($K59="","",INDEX(מלאי!$G$2:$500,$K59))</f>
        <v/>
      </c>
      <c r="E59" s="2">
        <f>IF($K59="","",INDEX(מלאי!$M$2:$500,$K59))</f>
        <v/>
      </c>
      <c r="F59" s="2">
        <f>IF($K59="","",INDEX(מלאי!$N$2:$500,$K59))</f>
        <v/>
      </c>
      <c r="G59" s="2">
        <f>IF($K59="","",INDEX(מלאי!$O$2:$500,$K59))</f>
        <v/>
      </c>
      <c r="H59" s="2">
        <f>IF($K59="","",INDEX(מלאי!$U$2:$500,$K59))</f>
        <v/>
      </c>
      <c r="I59" s="2">
        <f>IF($K59="","",INDEX(מלאי!$X$2:$500,$K59))</f>
        <v/>
      </c>
      <c r="J59" s="2">
        <f>IF($K59="","",INDEX(מלאי!$AC$2:$500,$K59))</f>
        <v/>
      </c>
      <c r="K5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טכנולוגיים'!$A$2:$500,0))&lt;=$G$6),0))),ROW(מלאי!$A$2:$A$500)-ROW(מלאי!$A$2)+1,""),37),"")</f>
        <v/>
      </c>
      <c r="L59" s="2">
        <f>IF($K59="","",IFERROR(INDEX('ערכים טכנולוגיים'!$K$2:$500,MATCH(A59,'ערכים טכנולוגיים'!$A$2:$500,0)),""))</f>
        <v/>
      </c>
      <c r="M59" s="2">
        <f>IF($K59="","",IFERROR(INDEX('ערכים טכנולוגיים'!$F$2:$500,MATCH(A59,'ערכים טכנולוגיים'!$A$2:$500,0)),""))</f>
        <v/>
      </c>
      <c r="N59" s="2">
        <f>IF($K59="","",IFERROR(INDEX('ערכים טכנולוגיים'!$I$2:$500,MATCH(A59,'ערכים טכנולוגיים'!$A$2:$500,0)),""))</f>
        <v/>
      </c>
      <c r="O59" s="2">
        <f>IF($K59="","",IFERROR(INDEX('ערכים טכנולוגיים'!$G$2:$500,MATCH(A59,'ערכים טכנולוגיים'!$A$2:$500,0)),""))</f>
        <v/>
      </c>
      <c r="P59" s="2">
        <f>IF($K59="","",IFERROR(INDEX('ערכים טכנולוגיים'!$J$2:$500,MATCH(A59,'ערכים טכנולוגיים'!$A$2:$500,0)),""))</f>
        <v/>
      </c>
      <c r="Q59" s="2">
        <f>IF($K59="","",IFERROR(INDEX('ערכים טכנולוגיים'!$N$2:$500,MATCH(A59,'ערכים טכנולוגיים'!$A$2:$500,0)),""))</f>
        <v/>
      </c>
    </row>
    <row r="60">
      <c r="A60" s="8">
        <f>IF($K60="","",INDEX(מלאי!$D$2:$500,$K60))</f>
        <v/>
      </c>
      <c r="B60" s="8">
        <f>IF($K60="","",INDEX(מלאי!$B$2:$500,$K60))</f>
        <v/>
      </c>
      <c r="C60" s="8">
        <f>IF($K60="","",INDEX(מלאי!$C$2:$500,$K60))</f>
        <v/>
      </c>
      <c r="D60" s="8">
        <f>IF($K60="","",INDEX(מלאי!$G$2:$500,$K60))</f>
        <v/>
      </c>
      <c r="E60" s="8">
        <f>IF($K60="","",INDEX(מלאי!$M$2:$500,$K60))</f>
        <v/>
      </c>
      <c r="F60" s="8">
        <f>IF($K60="","",INDEX(מלאי!$N$2:$500,$K60))</f>
        <v/>
      </c>
      <c r="G60" s="8">
        <f>IF($K60="","",INDEX(מלאי!$O$2:$500,$K60))</f>
        <v/>
      </c>
      <c r="H60" s="8">
        <f>IF($K60="","",INDEX(מלאי!$U$2:$500,$K60))</f>
        <v/>
      </c>
      <c r="I60" s="8">
        <f>IF($K60="","",INDEX(מלאי!$X$2:$500,$K60))</f>
        <v/>
      </c>
      <c r="J60" s="8">
        <f>IF($K60="","",INDEX(מלאי!$AC$2:$500,$K60))</f>
        <v/>
      </c>
      <c r="K6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טכנולוגיים'!$A$2:$500,0))&lt;=$G$6),0))),ROW(מלאי!$A$2:$A$500)-ROW(מלאי!$A$2)+1,""),38),"")</f>
        <v/>
      </c>
      <c r="L60" s="8">
        <f>IF($K60="","",IFERROR(INDEX('ערכים טכנולוגיים'!$K$2:$500,MATCH(A60,'ערכים טכנולוגיים'!$A$2:$500,0)),""))</f>
        <v/>
      </c>
      <c r="M60" s="8">
        <f>IF($K60="","",IFERROR(INDEX('ערכים טכנולוגיים'!$F$2:$500,MATCH(A60,'ערכים טכנולוגיים'!$A$2:$500,0)),""))</f>
        <v/>
      </c>
      <c r="N60" s="8">
        <f>IF($K60="","",IFERROR(INDEX('ערכים טכנולוגיים'!$I$2:$500,MATCH(A60,'ערכים טכנולוגיים'!$A$2:$500,0)),""))</f>
        <v/>
      </c>
      <c r="O60" s="8">
        <f>IF($K60="","",IFERROR(INDEX('ערכים טכנולוגיים'!$G$2:$500,MATCH(A60,'ערכים טכנולוגיים'!$A$2:$500,0)),""))</f>
        <v/>
      </c>
      <c r="P60" s="8">
        <f>IF($K60="","",IFERROR(INDEX('ערכים טכנולוגיים'!$J$2:$500,MATCH(A60,'ערכים טכנולוגיים'!$A$2:$500,0)),""))</f>
        <v/>
      </c>
      <c r="Q60" s="8">
        <f>IF($K60="","",IFERROR(INDEX('ערכים טכנולוגיים'!$N$2:$500,MATCH(A60,'ערכים טכנולוגיים'!$A$2:$500,0)),""))</f>
        <v/>
      </c>
    </row>
    <row r="61">
      <c r="A61" s="2">
        <f>IF($K61="","",INDEX(מלאי!$D$2:$500,$K61))</f>
        <v/>
      </c>
      <c r="B61" s="2">
        <f>IF($K61="","",INDEX(מלאי!$B$2:$500,$K61))</f>
        <v/>
      </c>
      <c r="C61" s="2">
        <f>IF($K61="","",INDEX(מלאי!$C$2:$500,$K61))</f>
        <v/>
      </c>
      <c r="D61" s="2">
        <f>IF($K61="","",INDEX(מלאי!$G$2:$500,$K61))</f>
        <v/>
      </c>
      <c r="E61" s="2">
        <f>IF($K61="","",INDEX(מלאי!$M$2:$500,$K61))</f>
        <v/>
      </c>
      <c r="F61" s="2">
        <f>IF($K61="","",INDEX(מלאי!$N$2:$500,$K61))</f>
        <v/>
      </c>
      <c r="G61" s="2">
        <f>IF($K61="","",INDEX(מלאי!$O$2:$500,$K61))</f>
        <v/>
      </c>
      <c r="H61" s="2">
        <f>IF($K61="","",INDEX(מלאי!$U$2:$500,$K61))</f>
        <v/>
      </c>
      <c r="I61" s="2">
        <f>IF($K61="","",INDEX(מלאי!$X$2:$500,$K61))</f>
        <v/>
      </c>
      <c r="J61" s="2">
        <f>IF($K61="","",INDEX(מלאי!$AC$2:$500,$K61))</f>
        <v/>
      </c>
      <c r="K6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טכנולוגיים'!$A$2:$500,0))&lt;=$G$6),0))),ROW(מלאי!$A$2:$A$500)-ROW(מלאי!$A$2)+1,""),39),"")</f>
        <v/>
      </c>
      <c r="L61" s="2">
        <f>IF($K61="","",IFERROR(INDEX('ערכים טכנולוגיים'!$K$2:$500,MATCH(A61,'ערכים טכנולוגיים'!$A$2:$500,0)),""))</f>
        <v/>
      </c>
      <c r="M61" s="2">
        <f>IF($K61="","",IFERROR(INDEX('ערכים טכנולוגיים'!$F$2:$500,MATCH(A61,'ערכים טכנולוגיים'!$A$2:$500,0)),""))</f>
        <v/>
      </c>
      <c r="N61" s="2">
        <f>IF($K61="","",IFERROR(INDEX('ערכים טכנולוגיים'!$I$2:$500,MATCH(A61,'ערכים טכנולוגיים'!$A$2:$500,0)),""))</f>
        <v/>
      </c>
      <c r="O61" s="2">
        <f>IF($K61="","",IFERROR(INDEX('ערכים טכנולוגיים'!$G$2:$500,MATCH(A61,'ערכים טכנולוגיים'!$A$2:$500,0)),""))</f>
        <v/>
      </c>
      <c r="P61" s="2">
        <f>IF($K61="","",IFERROR(INDEX('ערכים טכנולוגיים'!$J$2:$500,MATCH(A61,'ערכים טכנולוגיים'!$A$2:$500,0)),""))</f>
        <v/>
      </c>
      <c r="Q61" s="2">
        <f>IF($K61="","",IFERROR(INDEX('ערכים טכנולוגיים'!$N$2:$500,MATCH(A61,'ערכים טכנולוגיים'!$A$2:$500,0)),""))</f>
        <v/>
      </c>
    </row>
    <row r="62">
      <c r="A62" s="8">
        <f>IF($K62="","",INDEX(מלאי!$D$2:$500,$K62))</f>
        <v/>
      </c>
      <c r="B62" s="8">
        <f>IF($K62="","",INDEX(מלאי!$B$2:$500,$K62))</f>
        <v/>
      </c>
      <c r="C62" s="8">
        <f>IF($K62="","",INDEX(מלאי!$C$2:$500,$K62))</f>
        <v/>
      </c>
      <c r="D62" s="8">
        <f>IF($K62="","",INDEX(מלאי!$G$2:$500,$K62))</f>
        <v/>
      </c>
      <c r="E62" s="8">
        <f>IF($K62="","",INDEX(מלאי!$M$2:$500,$K62))</f>
        <v/>
      </c>
      <c r="F62" s="8">
        <f>IF($K62="","",INDEX(מלאי!$N$2:$500,$K62))</f>
        <v/>
      </c>
      <c r="G62" s="8">
        <f>IF($K62="","",INDEX(מלאי!$O$2:$500,$K62))</f>
        <v/>
      </c>
      <c r="H62" s="8">
        <f>IF($K62="","",INDEX(מלאי!$U$2:$500,$K62))</f>
        <v/>
      </c>
      <c r="I62" s="8">
        <f>IF($K62="","",INDEX(מלאי!$X$2:$500,$K62))</f>
        <v/>
      </c>
      <c r="J62" s="8">
        <f>IF($K62="","",INDEX(מלאי!$AC$2:$500,$K62))</f>
        <v/>
      </c>
      <c r="K6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טכנולוגיים'!$A$2:$500,0))&lt;=$G$6),0))),ROW(מלאי!$A$2:$A$500)-ROW(מלאי!$A$2)+1,""),40),"")</f>
        <v/>
      </c>
      <c r="L62" s="8">
        <f>IF($K62="","",IFERROR(INDEX('ערכים טכנולוגיים'!$K$2:$500,MATCH(A62,'ערכים טכנולוגיים'!$A$2:$500,0)),""))</f>
        <v/>
      </c>
      <c r="M62" s="8">
        <f>IF($K62="","",IFERROR(INDEX('ערכים טכנולוגיים'!$F$2:$500,MATCH(A62,'ערכים טכנולוגיים'!$A$2:$500,0)),""))</f>
        <v/>
      </c>
      <c r="N62" s="8">
        <f>IF($K62="","",IFERROR(INDEX('ערכים טכנולוגיים'!$I$2:$500,MATCH(A62,'ערכים טכנולוגיים'!$A$2:$500,0)),""))</f>
        <v/>
      </c>
      <c r="O62" s="8">
        <f>IF($K62="","",IFERROR(INDEX('ערכים טכנולוגיים'!$G$2:$500,MATCH(A62,'ערכים טכנולוגיים'!$A$2:$500,0)),""))</f>
        <v/>
      </c>
      <c r="P62" s="8">
        <f>IF($K62="","",IFERROR(INDEX('ערכים טכנולוגיים'!$J$2:$500,MATCH(A62,'ערכים טכנולוגיים'!$A$2:$500,0)),""))</f>
        <v/>
      </c>
      <c r="Q62" s="8">
        <f>IF($K62="","",IFERROR(INDEX('ערכים טכנולוגיים'!$N$2:$500,MATCH(A62,'ערכים טכנולוגיים'!$A$2:$500,0)),""))</f>
        <v/>
      </c>
    </row>
    <row r="63">
      <c r="A63" s="2">
        <f>IF($K63="","",INDEX(מלאי!$D$2:$500,$K63))</f>
        <v/>
      </c>
      <c r="B63" s="2">
        <f>IF($K63="","",INDEX(מלאי!$B$2:$500,$K63))</f>
        <v/>
      </c>
      <c r="C63" s="2">
        <f>IF($K63="","",INDEX(מלאי!$C$2:$500,$K63))</f>
        <v/>
      </c>
      <c r="D63" s="2">
        <f>IF($K63="","",INDEX(מלאי!$G$2:$500,$K63))</f>
        <v/>
      </c>
      <c r="E63" s="2">
        <f>IF($K63="","",INDEX(מלאי!$M$2:$500,$K63))</f>
        <v/>
      </c>
      <c r="F63" s="2">
        <f>IF($K63="","",INDEX(מלאי!$N$2:$500,$K63))</f>
        <v/>
      </c>
      <c r="G63" s="2">
        <f>IF($K63="","",INDEX(מלאי!$O$2:$500,$K63))</f>
        <v/>
      </c>
      <c r="H63" s="2">
        <f>IF($K63="","",INDEX(מלאי!$U$2:$500,$K63))</f>
        <v/>
      </c>
      <c r="I63" s="2">
        <f>IF($K63="","",INDEX(מלאי!$X$2:$500,$K63))</f>
        <v/>
      </c>
      <c r="J63" s="2">
        <f>IF($K63="","",INDEX(מלאי!$AC$2:$500,$K63))</f>
        <v/>
      </c>
      <c r="K6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טכנולוגיים'!$A$2:$500,0))&lt;=$G$6),0))),ROW(מלאי!$A$2:$A$500)-ROW(מלאי!$A$2)+1,""),41),"")</f>
        <v/>
      </c>
      <c r="L63" s="2">
        <f>IF($K63="","",IFERROR(INDEX('ערכים טכנולוגיים'!$K$2:$500,MATCH(A63,'ערכים טכנולוגיים'!$A$2:$500,0)),""))</f>
        <v/>
      </c>
      <c r="M63" s="2">
        <f>IF($K63="","",IFERROR(INDEX('ערכים טכנולוגיים'!$F$2:$500,MATCH(A63,'ערכים טכנולוגיים'!$A$2:$500,0)),""))</f>
        <v/>
      </c>
      <c r="N63" s="2">
        <f>IF($K63="","",IFERROR(INDEX('ערכים טכנולוגיים'!$I$2:$500,MATCH(A63,'ערכים טכנולוגיים'!$A$2:$500,0)),""))</f>
        <v/>
      </c>
      <c r="O63" s="2">
        <f>IF($K63="","",IFERROR(INDEX('ערכים טכנולוגיים'!$G$2:$500,MATCH(A63,'ערכים טכנולוגיים'!$A$2:$500,0)),""))</f>
        <v/>
      </c>
      <c r="P63" s="2">
        <f>IF($K63="","",IFERROR(INDEX('ערכים טכנולוגיים'!$J$2:$500,MATCH(A63,'ערכים טכנולוגיים'!$A$2:$500,0)),""))</f>
        <v/>
      </c>
      <c r="Q63" s="2">
        <f>IF($K63="","",IFERROR(INDEX('ערכים טכנולוגיים'!$N$2:$500,MATCH(A63,'ערכים טכנולוגיים'!$A$2:$500,0)),""))</f>
        <v/>
      </c>
    </row>
    <row r="64">
      <c r="A64" s="8">
        <f>IF($K64="","",INDEX(מלאי!$D$2:$500,$K64))</f>
        <v/>
      </c>
      <c r="B64" s="8">
        <f>IF($K64="","",INDEX(מלאי!$B$2:$500,$K64))</f>
        <v/>
      </c>
      <c r="C64" s="8">
        <f>IF($K64="","",INDEX(מלאי!$C$2:$500,$K64))</f>
        <v/>
      </c>
      <c r="D64" s="8">
        <f>IF($K64="","",INDEX(מלאי!$G$2:$500,$K64))</f>
        <v/>
      </c>
      <c r="E64" s="8">
        <f>IF($K64="","",INDEX(מלאי!$M$2:$500,$K64))</f>
        <v/>
      </c>
      <c r="F64" s="8">
        <f>IF($K64="","",INDEX(מלאי!$N$2:$500,$K64))</f>
        <v/>
      </c>
      <c r="G64" s="8">
        <f>IF($K64="","",INDEX(מלאי!$O$2:$500,$K64))</f>
        <v/>
      </c>
      <c r="H64" s="8">
        <f>IF($K64="","",INDEX(מלאי!$U$2:$500,$K64))</f>
        <v/>
      </c>
      <c r="I64" s="8">
        <f>IF($K64="","",INDEX(מלאי!$X$2:$500,$K64))</f>
        <v/>
      </c>
      <c r="J64" s="8">
        <f>IF($K64="","",INDEX(מלאי!$AC$2:$500,$K64))</f>
        <v/>
      </c>
      <c r="K6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טכנולוגיים'!$A$2:$500,0))&lt;=$G$6),0))),ROW(מלאי!$A$2:$A$500)-ROW(מלאי!$A$2)+1,""),42),"")</f>
        <v/>
      </c>
      <c r="L64" s="8">
        <f>IF($K64="","",IFERROR(INDEX('ערכים טכנולוגיים'!$K$2:$500,MATCH(A64,'ערכים טכנולוגיים'!$A$2:$500,0)),""))</f>
        <v/>
      </c>
      <c r="M64" s="8">
        <f>IF($K64="","",IFERROR(INDEX('ערכים טכנולוגיים'!$F$2:$500,MATCH(A64,'ערכים טכנולוגיים'!$A$2:$500,0)),""))</f>
        <v/>
      </c>
      <c r="N64" s="8">
        <f>IF($K64="","",IFERROR(INDEX('ערכים טכנולוגיים'!$I$2:$500,MATCH(A64,'ערכים טכנולוגיים'!$A$2:$500,0)),""))</f>
        <v/>
      </c>
      <c r="O64" s="8">
        <f>IF($K64="","",IFERROR(INDEX('ערכים טכנולוגיים'!$G$2:$500,MATCH(A64,'ערכים טכנולוגיים'!$A$2:$500,0)),""))</f>
        <v/>
      </c>
      <c r="P64" s="8">
        <f>IF($K64="","",IFERROR(INDEX('ערכים טכנולוגיים'!$J$2:$500,MATCH(A64,'ערכים טכנולוגיים'!$A$2:$500,0)),""))</f>
        <v/>
      </c>
      <c r="Q64" s="8">
        <f>IF($K64="","",IFERROR(INDEX('ערכים טכנולוגיים'!$N$2:$500,MATCH(A64,'ערכים טכנולוגיים'!$A$2:$500,0)),""))</f>
        <v/>
      </c>
    </row>
    <row r="65">
      <c r="A65" s="2">
        <f>IF($K65="","",INDEX(מלאי!$D$2:$500,$K65))</f>
        <v/>
      </c>
      <c r="B65" s="2">
        <f>IF($K65="","",INDEX(מלאי!$B$2:$500,$K65))</f>
        <v/>
      </c>
      <c r="C65" s="2">
        <f>IF($K65="","",INDEX(מלאי!$C$2:$500,$K65))</f>
        <v/>
      </c>
      <c r="D65" s="2">
        <f>IF($K65="","",INDEX(מלאי!$G$2:$500,$K65))</f>
        <v/>
      </c>
      <c r="E65" s="2">
        <f>IF($K65="","",INDEX(מלאי!$M$2:$500,$K65))</f>
        <v/>
      </c>
      <c r="F65" s="2">
        <f>IF($K65="","",INDEX(מלאי!$N$2:$500,$K65))</f>
        <v/>
      </c>
      <c r="G65" s="2">
        <f>IF($K65="","",INDEX(מלאי!$O$2:$500,$K65))</f>
        <v/>
      </c>
      <c r="H65" s="2">
        <f>IF($K65="","",INDEX(מלאי!$U$2:$500,$K65))</f>
        <v/>
      </c>
      <c r="I65" s="2">
        <f>IF($K65="","",INDEX(מלאי!$X$2:$500,$K65))</f>
        <v/>
      </c>
      <c r="J65" s="2">
        <f>IF($K65="","",INDEX(מלאי!$AC$2:$500,$K65))</f>
        <v/>
      </c>
      <c r="K6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טכנולוגיים'!$A$2:$500,0))&lt;=$G$6),0))),ROW(מלאי!$A$2:$A$500)-ROW(מלאי!$A$2)+1,""),43),"")</f>
        <v/>
      </c>
      <c r="L65" s="2">
        <f>IF($K65="","",IFERROR(INDEX('ערכים טכנולוגיים'!$K$2:$500,MATCH(A65,'ערכים טכנולוגיים'!$A$2:$500,0)),""))</f>
        <v/>
      </c>
      <c r="M65" s="2">
        <f>IF($K65="","",IFERROR(INDEX('ערכים טכנולוגיים'!$F$2:$500,MATCH(A65,'ערכים טכנולוגיים'!$A$2:$500,0)),""))</f>
        <v/>
      </c>
      <c r="N65" s="2">
        <f>IF($K65="","",IFERROR(INDEX('ערכים טכנולוגיים'!$I$2:$500,MATCH(A65,'ערכים טכנולוגיים'!$A$2:$500,0)),""))</f>
        <v/>
      </c>
      <c r="O65" s="2">
        <f>IF($K65="","",IFERROR(INDEX('ערכים טכנולוגיים'!$G$2:$500,MATCH(A65,'ערכים טכנולוגיים'!$A$2:$500,0)),""))</f>
        <v/>
      </c>
      <c r="P65" s="2">
        <f>IF($K65="","",IFERROR(INDEX('ערכים טכנולוגיים'!$J$2:$500,MATCH(A65,'ערכים טכנולוגיים'!$A$2:$500,0)),""))</f>
        <v/>
      </c>
      <c r="Q65" s="2">
        <f>IF($K65="","",IFERROR(INDEX('ערכים טכנולוגיים'!$N$2:$500,MATCH(A65,'ערכים טכנולוגיים'!$A$2:$500,0)),""))</f>
        <v/>
      </c>
    </row>
    <row r="66">
      <c r="A66" s="8">
        <f>IF($K66="","",INDEX(מלאי!$D$2:$500,$K66))</f>
        <v/>
      </c>
      <c r="B66" s="8">
        <f>IF($K66="","",INDEX(מלאי!$B$2:$500,$K66))</f>
        <v/>
      </c>
      <c r="C66" s="8">
        <f>IF($K66="","",INDEX(מלאי!$C$2:$500,$K66))</f>
        <v/>
      </c>
      <c r="D66" s="8">
        <f>IF($K66="","",INDEX(מלאי!$G$2:$500,$K66))</f>
        <v/>
      </c>
      <c r="E66" s="8">
        <f>IF($K66="","",INDEX(מלאי!$M$2:$500,$K66))</f>
        <v/>
      </c>
      <c r="F66" s="8">
        <f>IF($K66="","",INDEX(מלאי!$N$2:$500,$K66))</f>
        <v/>
      </c>
      <c r="G66" s="8">
        <f>IF($K66="","",INDEX(מלאי!$O$2:$500,$K66))</f>
        <v/>
      </c>
      <c r="H66" s="8">
        <f>IF($K66="","",INDEX(מלאי!$U$2:$500,$K66))</f>
        <v/>
      </c>
      <c r="I66" s="8">
        <f>IF($K66="","",INDEX(מלאי!$X$2:$500,$K66))</f>
        <v/>
      </c>
      <c r="J66" s="8">
        <f>IF($K66="","",INDEX(מלאי!$AC$2:$500,$K66))</f>
        <v/>
      </c>
      <c r="K6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טכנולוגיים'!$A$2:$500,0))&lt;=$G$6),0))),ROW(מלאי!$A$2:$A$500)-ROW(מלאי!$A$2)+1,""),44),"")</f>
        <v/>
      </c>
      <c r="L66" s="8">
        <f>IF($K66="","",IFERROR(INDEX('ערכים טכנולוגיים'!$K$2:$500,MATCH(A66,'ערכים טכנולוגיים'!$A$2:$500,0)),""))</f>
        <v/>
      </c>
      <c r="M66" s="8">
        <f>IF($K66="","",IFERROR(INDEX('ערכים טכנולוגיים'!$F$2:$500,MATCH(A66,'ערכים טכנולוגיים'!$A$2:$500,0)),""))</f>
        <v/>
      </c>
      <c r="N66" s="8">
        <f>IF($K66="","",IFERROR(INDEX('ערכים טכנולוגיים'!$I$2:$500,MATCH(A66,'ערכים טכנולוגיים'!$A$2:$500,0)),""))</f>
        <v/>
      </c>
      <c r="O66" s="8">
        <f>IF($K66="","",IFERROR(INDEX('ערכים טכנולוגיים'!$G$2:$500,MATCH(A66,'ערכים טכנולוגיים'!$A$2:$500,0)),""))</f>
        <v/>
      </c>
      <c r="P66" s="8">
        <f>IF($K66="","",IFERROR(INDEX('ערכים טכנולוגיים'!$J$2:$500,MATCH(A66,'ערכים טכנולוגיים'!$A$2:$500,0)),""))</f>
        <v/>
      </c>
      <c r="Q66" s="8">
        <f>IF($K66="","",IFERROR(INDEX('ערכים טכנולוגיים'!$N$2:$500,MATCH(A66,'ערכים טכנולוגיים'!$A$2:$500,0)),""))</f>
        <v/>
      </c>
    </row>
    <row r="67">
      <c r="A67" s="2">
        <f>IF($K67="","",INDEX(מלאי!$D$2:$500,$K67))</f>
        <v/>
      </c>
      <c r="B67" s="2">
        <f>IF($K67="","",INDEX(מלאי!$B$2:$500,$K67))</f>
        <v/>
      </c>
      <c r="C67" s="2">
        <f>IF($K67="","",INDEX(מלאי!$C$2:$500,$K67))</f>
        <v/>
      </c>
      <c r="D67" s="2">
        <f>IF($K67="","",INDEX(מלאי!$G$2:$500,$K67))</f>
        <v/>
      </c>
      <c r="E67" s="2">
        <f>IF($K67="","",INDEX(מלאי!$M$2:$500,$K67))</f>
        <v/>
      </c>
      <c r="F67" s="2">
        <f>IF($K67="","",INDEX(מלאי!$N$2:$500,$K67))</f>
        <v/>
      </c>
      <c r="G67" s="2">
        <f>IF($K67="","",INDEX(מלאי!$O$2:$500,$K67))</f>
        <v/>
      </c>
      <c r="H67" s="2">
        <f>IF($K67="","",INDEX(מלאי!$U$2:$500,$K67))</f>
        <v/>
      </c>
      <c r="I67" s="2">
        <f>IF($K67="","",INDEX(מלאי!$X$2:$500,$K67))</f>
        <v/>
      </c>
      <c r="J67" s="2">
        <f>IF($K67="","",INDEX(מלאי!$AC$2:$500,$K67))</f>
        <v/>
      </c>
      <c r="K6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טכנולוגיים'!$A$2:$500,0))&lt;=$G$6),0))),ROW(מלאי!$A$2:$A$500)-ROW(מלאי!$A$2)+1,""),45),"")</f>
        <v/>
      </c>
      <c r="L67" s="2">
        <f>IF($K67="","",IFERROR(INDEX('ערכים טכנולוגיים'!$K$2:$500,MATCH(A67,'ערכים טכנולוגיים'!$A$2:$500,0)),""))</f>
        <v/>
      </c>
      <c r="M67" s="2">
        <f>IF($K67="","",IFERROR(INDEX('ערכים טכנולוגיים'!$F$2:$500,MATCH(A67,'ערכים טכנולוגיים'!$A$2:$500,0)),""))</f>
        <v/>
      </c>
      <c r="N67" s="2">
        <f>IF($K67="","",IFERROR(INDEX('ערכים טכנולוגיים'!$I$2:$500,MATCH(A67,'ערכים טכנולוגיים'!$A$2:$500,0)),""))</f>
        <v/>
      </c>
      <c r="O67" s="2">
        <f>IF($K67="","",IFERROR(INDEX('ערכים טכנולוגיים'!$G$2:$500,MATCH(A67,'ערכים טכנולוגיים'!$A$2:$500,0)),""))</f>
        <v/>
      </c>
      <c r="P67" s="2">
        <f>IF($K67="","",IFERROR(INDEX('ערכים טכנולוגיים'!$J$2:$500,MATCH(A67,'ערכים טכנולוגיים'!$A$2:$500,0)),""))</f>
        <v/>
      </c>
      <c r="Q67" s="2">
        <f>IF($K67="","",IFERROR(INDEX('ערכים טכנולוגיים'!$N$2:$500,MATCH(A67,'ערכים טכנולוגיים'!$A$2:$500,0)),""))</f>
        <v/>
      </c>
    </row>
    <row r="68">
      <c r="A68" s="8">
        <f>IF($K68="","",INDEX(מלאי!$D$2:$500,$K68))</f>
        <v/>
      </c>
      <c r="B68" s="8">
        <f>IF($K68="","",INDEX(מלאי!$B$2:$500,$K68))</f>
        <v/>
      </c>
      <c r="C68" s="8">
        <f>IF($K68="","",INDEX(מלאי!$C$2:$500,$K68))</f>
        <v/>
      </c>
      <c r="D68" s="8">
        <f>IF($K68="","",INDEX(מלאי!$G$2:$500,$K68))</f>
        <v/>
      </c>
      <c r="E68" s="8">
        <f>IF($K68="","",INDEX(מלאי!$M$2:$500,$K68))</f>
        <v/>
      </c>
      <c r="F68" s="8">
        <f>IF($K68="","",INDEX(מלאי!$N$2:$500,$K68))</f>
        <v/>
      </c>
      <c r="G68" s="8">
        <f>IF($K68="","",INDEX(מלאי!$O$2:$500,$K68))</f>
        <v/>
      </c>
      <c r="H68" s="8">
        <f>IF($K68="","",INDEX(מלאי!$U$2:$500,$K68))</f>
        <v/>
      </c>
      <c r="I68" s="8">
        <f>IF($K68="","",INDEX(מלאי!$X$2:$500,$K68))</f>
        <v/>
      </c>
      <c r="J68" s="8">
        <f>IF($K68="","",INDEX(מלאי!$AC$2:$500,$K68))</f>
        <v/>
      </c>
      <c r="K6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טכנולוגיים'!$A$2:$500,0))&lt;=$G$6),0))),ROW(מלאי!$A$2:$A$500)-ROW(מלאי!$A$2)+1,""),46),"")</f>
        <v/>
      </c>
      <c r="L68" s="8">
        <f>IF($K68="","",IFERROR(INDEX('ערכים טכנולוגיים'!$K$2:$500,MATCH(A68,'ערכים טכנולוגיים'!$A$2:$500,0)),""))</f>
        <v/>
      </c>
      <c r="M68" s="8">
        <f>IF($K68="","",IFERROR(INDEX('ערכים טכנולוגיים'!$F$2:$500,MATCH(A68,'ערכים טכנולוגיים'!$A$2:$500,0)),""))</f>
        <v/>
      </c>
      <c r="N68" s="8">
        <f>IF($K68="","",IFERROR(INDEX('ערכים טכנולוגיים'!$I$2:$500,MATCH(A68,'ערכים טכנולוגיים'!$A$2:$500,0)),""))</f>
        <v/>
      </c>
      <c r="O68" s="8">
        <f>IF($K68="","",IFERROR(INDEX('ערכים טכנולוגיים'!$G$2:$500,MATCH(A68,'ערכים טכנולוגיים'!$A$2:$500,0)),""))</f>
        <v/>
      </c>
      <c r="P68" s="8">
        <f>IF($K68="","",IFERROR(INDEX('ערכים טכנולוגיים'!$J$2:$500,MATCH(A68,'ערכים טכנולוגיים'!$A$2:$500,0)),""))</f>
        <v/>
      </c>
      <c r="Q68" s="8">
        <f>IF($K68="","",IFERROR(INDEX('ערכים טכנולוגיים'!$N$2:$500,MATCH(A68,'ערכים טכנולוגיים'!$A$2:$500,0)),""))</f>
        <v/>
      </c>
    </row>
    <row r="69">
      <c r="A69" s="2">
        <f>IF($K69="","",INDEX(מלאי!$D$2:$500,$K69))</f>
        <v/>
      </c>
      <c r="B69" s="2">
        <f>IF($K69="","",INDEX(מלאי!$B$2:$500,$K69))</f>
        <v/>
      </c>
      <c r="C69" s="2">
        <f>IF($K69="","",INDEX(מלאי!$C$2:$500,$K69))</f>
        <v/>
      </c>
      <c r="D69" s="2">
        <f>IF($K69="","",INDEX(מלאי!$G$2:$500,$K69))</f>
        <v/>
      </c>
      <c r="E69" s="2">
        <f>IF($K69="","",INDEX(מלאי!$M$2:$500,$K69))</f>
        <v/>
      </c>
      <c r="F69" s="2">
        <f>IF($K69="","",INDEX(מלאי!$N$2:$500,$K69))</f>
        <v/>
      </c>
      <c r="G69" s="2">
        <f>IF($K69="","",INDEX(מלאי!$O$2:$500,$K69))</f>
        <v/>
      </c>
      <c r="H69" s="2">
        <f>IF($K69="","",INDEX(מלאי!$U$2:$500,$K69))</f>
        <v/>
      </c>
      <c r="I69" s="2">
        <f>IF($K69="","",INDEX(מלאי!$X$2:$500,$K69))</f>
        <v/>
      </c>
      <c r="J69" s="2">
        <f>IF($K69="","",INDEX(מלאי!$AC$2:$500,$K69))</f>
        <v/>
      </c>
      <c r="K6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טכנולוגיים'!$A$2:$500,0))&lt;=$G$6),0))),ROW(מלאי!$A$2:$A$500)-ROW(מלאי!$A$2)+1,""),47),"")</f>
        <v/>
      </c>
      <c r="L69" s="2">
        <f>IF($K69="","",IFERROR(INDEX('ערכים טכנולוגיים'!$K$2:$500,MATCH(A69,'ערכים טכנולוגיים'!$A$2:$500,0)),""))</f>
        <v/>
      </c>
      <c r="M69" s="2">
        <f>IF($K69="","",IFERROR(INDEX('ערכים טכנולוגיים'!$F$2:$500,MATCH(A69,'ערכים טכנולוגיים'!$A$2:$500,0)),""))</f>
        <v/>
      </c>
      <c r="N69" s="2">
        <f>IF($K69="","",IFERROR(INDEX('ערכים טכנולוגיים'!$I$2:$500,MATCH(A69,'ערכים טכנולוגיים'!$A$2:$500,0)),""))</f>
        <v/>
      </c>
      <c r="O69" s="2">
        <f>IF($K69="","",IFERROR(INDEX('ערכים טכנולוגיים'!$G$2:$500,MATCH(A69,'ערכים טכנולוגיים'!$A$2:$500,0)),""))</f>
        <v/>
      </c>
      <c r="P69" s="2">
        <f>IF($K69="","",IFERROR(INDEX('ערכים טכנולוגיים'!$J$2:$500,MATCH(A69,'ערכים טכנולוגיים'!$A$2:$500,0)),""))</f>
        <v/>
      </c>
      <c r="Q69" s="2">
        <f>IF($K69="","",IFERROR(INDEX('ערכים טכנולוגיים'!$N$2:$500,MATCH(A69,'ערכים טכנולוגיים'!$A$2:$500,0)),""))</f>
        <v/>
      </c>
    </row>
    <row r="70">
      <c r="A70" s="8">
        <f>IF($K70="","",INDEX(מלאי!$D$2:$500,$K70))</f>
        <v/>
      </c>
      <c r="B70" s="8">
        <f>IF($K70="","",INDEX(מלאי!$B$2:$500,$K70))</f>
        <v/>
      </c>
      <c r="C70" s="8">
        <f>IF($K70="","",INDEX(מלאי!$C$2:$500,$K70))</f>
        <v/>
      </c>
      <c r="D70" s="8">
        <f>IF($K70="","",INDEX(מלאי!$G$2:$500,$K70))</f>
        <v/>
      </c>
      <c r="E70" s="8">
        <f>IF($K70="","",INDEX(מלאי!$M$2:$500,$K70))</f>
        <v/>
      </c>
      <c r="F70" s="8">
        <f>IF($K70="","",INDEX(מלאי!$N$2:$500,$K70))</f>
        <v/>
      </c>
      <c r="G70" s="8">
        <f>IF($K70="","",INDEX(מלאי!$O$2:$500,$K70))</f>
        <v/>
      </c>
      <c r="H70" s="8">
        <f>IF($K70="","",INDEX(מלאי!$U$2:$500,$K70))</f>
        <v/>
      </c>
      <c r="I70" s="8">
        <f>IF($K70="","",INDEX(מלאי!$X$2:$500,$K70))</f>
        <v/>
      </c>
      <c r="J70" s="8">
        <f>IF($K70="","",INDEX(מלאי!$AC$2:$500,$K70))</f>
        <v/>
      </c>
      <c r="K7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טכנולוגיים'!$A$2:$500,0))&lt;=$G$6),0))),ROW(מלאי!$A$2:$A$500)-ROW(מלאי!$A$2)+1,""),48),"")</f>
        <v/>
      </c>
      <c r="L70" s="8">
        <f>IF($K70="","",IFERROR(INDEX('ערכים טכנולוגיים'!$K$2:$500,MATCH(A70,'ערכים טכנולוגיים'!$A$2:$500,0)),""))</f>
        <v/>
      </c>
      <c r="M70" s="8">
        <f>IF($K70="","",IFERROR(INDEX('ערכים טכנולוגיים'!$F$2:$500,MATCH(A70,'ערכים טכנולוגיים'!$A$2:$500,0)),""))</f>
        <v/>
      </c>
      <c r="N70" s="8">
        <f>IF($K70="","",IFERROR(INDEX('ערכים טכנולוגיים'!$I$2:$500,MATCH(A70,'ערכים טכנולוגיים'!$A$2:$500,0)),""))</f>
        <v/>
      </c>
      <c r="O70" s="8">
        <f>IF($K70="","",IFERROR(INDEX('ערכים טכנולוגיים'!$G$2:$500,MATCH(A70,'ערכים טכנולוגיים'!$A$2:$500,0)),""))</f>
        <v/>
      </c>
      <c r="P70" s="8">
        <f>IF($K70="","",IFERROR(INDEX('ערכים טכנולוגיים'!$J$2:$500,MATCH(A70,'ערכים טכנולוגיים'!$A$2:$500,0)),""))</f>
        <v/>
      </c>
      <c r="Q70" s="8">
        <f>IF($K70="","",IFERROR(INDEX('ערכים טכנולוגיים'!$N$2:$500,MATCH(A70,'ערכים טכנולוגיים'!$A$2:$500,0)),""))</f>
        <v/>
      </c>
    </row>
    <row r="71">
      <c r="A71" s="2">
        <f>IF($K71="","",INDEX(מלאי!$D$2:$500,$K71))</f>
        <v/>
      </c>
      <c r="B71" s="2">
        <f>IF($K71="","",INDEX(מלאי!$B$2:$500,$K71))</f>
        <v/>
      </c>
      <c r="C71" s="2">
        <f>IF($K71="","",INDEX(מלאי!$C$2:$500,$K71))</f>
        <v/>
      </c>
      <c r="D71" s="2">
        <f>IF($K71="","",INDEX(מלאי!$G$2:$500,$K71))</f>
        <v/>
      </c>
      <c r="E71" s="2">
        <f>IF($K71="","",INDEX(מלאי!$M$2:$500,$K71))</f>
        <v/>
      </c>
      <c r="F71" s="2">
        <f>IF($K71="","",INDEX(מלאי!$N$2:$500,$K71))</f>
        <v/>
      </c>
      <c r="G71" s="2">
        <f>IF($K71="","",INDEX(מלאי!$O$2:$500,$K71))</f>
        <v/>
      </c>
      <c r="H71" s="2">
        <f>IF($K71="","",INDEX(מלאי!$U$2:$500,$K71))</f>
        <v/>
      </c>
      <c r="I71" s="2">
        <f>IF($K71="","",INDEX(מלאי!$X$2:$500,$K71))</f>
        <v/>
      </c>
      <c r="J71" s="2">
        <f>IF($K71="","",INDEX(מלאי!$AC$2:$500,$K71))</f>
        <v/>
      </c>
      <c r="K7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טכנולוגיים'!$A$2:$500,0))&lt;=$G$6),0))),ROW(מלאי!$A$2:$A$500)-ROW(מלאי!$A$2)+1,""),49),"")</f>
        <v/>
      </c>
      <c r="L71" s="2">
        <f>IF($K71="","",IFERROR(INDEX('ערכים טכנולוגיים'!$K$2:$500,MATCH(A71,'ערכים טכנולוגיים'!$A$2:$500,0)),""))</f>
        <v/>
      </c>
      <c r="M71" s="2">
        <f>IF($K71="","",IFERROR(INDEX('ערכים טכנולוגיים'!$F$2:$500,MATCH(A71,'ערכים טכנולוגיים'!$A$2:$500,0)),""))</f>
        <v/>
      </c>
      <c r="N71" s="2">
        <f>IF($K71="","",IFERROR(INDEX('ערכים טכנולוגיים'!$I$2:$500,MATCH(A71,'ערכים טכנולוגיים'!$A$2:$500,0)),""))</f>
        <v/>
      </c>
      <c r="O71" s="2">
        <f>IF($K71="","",IFERROR(INDEX('ערכים טכנולוגיים'!$G$2:$500,MATCH(A71,'ערכים טכנולוגיים'!$A$2:$500,0)),""))</f>
        <v/>
      </c>
      <c r="P71" s="2">
        <f>IF($K71="","",IFERROR(INDEX('ערכים טכנולוגיים'!$J$2:$500,MATCH(A71,'ערכים טכנולוגיים'!$A$2:$500,0)),""))</f>
        <v/>
      </c>
      <c r="Q71" s="2">
        <f>IF($K71="","",IFERROR(INDEX('ערכים טכנולוגיים'!$N$2:$500,MATCH(A71,'ערכים טכנולוגיים'!$A$2:$500,0)),""))</f>
        <v/>
      </c>
    </row>
    <row r="72">
      <c r="A72" s="8">
        <f>IF($K72="","",INDEX(מלאי!$D$2:$500,$K72))</f>
        <v/>
      </c>
      <c r="B72" s="8">
        <f>IF($K72="","",INDEX(מלאי!$B$2:$500,$K72))</f>
        <v/>
      </c>
      <c r="C72" s="8">
        <f>IF($K72="","",INDEX(מלאי!$C$2:$500,$K72))</f>
        <v/>
      </c>
      <c r="D72" s="8">
        <f>IF($K72="","",INDEX(מלאי!$G$2:$500,$K72))</f>
        <v/>
      </c>
      <c r="E72" s="8">
        <f>IF($K72="","",INDEX(מלאי!$M$2:$500,$K72))</f>
        <v/>
      </c>
      <c r="F72" s="8">
        <f>IF($K72="","",INDEX(מלאי!$N$2:$500,$K72))</f>
        <v/>
      </c>
      <c r="G72" s="8">
        <f>IF($K72="","",INDEX(מלאי!$O$2:$500,$K72))</f>
        <v/>
      </c>
      <c r="H72" s="8">
        <f>IF($K72="","",INDEX(מלאי!$U$2:$500,$K72))</f>
        <v/>
      </c>
      <c r="I72" s="8">
        <f>IF($K72="","",INDEX(מלאי!$X$2:$500,$K72))</f>
        <v/>
      </c>
      <c r="J72" s="8">
        <f>IF($K72="","",INDEX(מלאי!$AC$2:$500,$K72))</f>
        <v/>
      </c>
      <c r="K7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טכנולוגיים'!$A$2:$500,0))&lt;=$G$6),0))),ROW(מלאי!$A$2:$A$500)-ROW(מלאי!$A$2)+1,""),50),"")</f>
        <v/>
      </c>
      <c r="L72" s="8">
        <f>IF($K72="","",IFERROR(INDEX('ערכים טכנולוגיים'!$K$2:$500,MATCH(A72,'ערכים טכנולוגיים'!$A$2:$500,0)),""))</f>
        <v/>
      </c>
      <c r="M72" s="8">
        <f>IF($K72="","",IFERROR(INDEX('ערכים טכנולוגיים'!$F$2:$500,MATCH(A72,'ערכים טכנולוגיים'!$A$2:$500,0)),""))</f>
        <v/>
      </c>
      <c r="N72" s="8">
        <f>IF($K72="","",IFERROR(INDEX('ערכים טכנולוגיים'!$I$2:$500,MATCH(A72,'ערכים טכנולוגיים'!$A$2:$500,0)),""))</f>
        <v/>
      </c>
      <c r="O72" s="8">
        <f>IF($K72="","",IFERROR(INDEX('ערכים טכנולוגיים'!$G$2:$500,MATCH(A72,'ערכים טכנולוגיים'!$A$2:$500,0)),""))</f>
        <v/>
      </c>
      <c r="P72" s="8">
        <f>IF($K72="","",IFERROR(INDEX('ערכים טכנולוגיים'!$J$2:$500,MATCH(A72,'ערכים טכנולוגיים'!$A$2:$500,0)),""))</f>
        <v/>
      </c>
      <c r="Q72" s="8">
        <f>IF($K72="","",IFERROR(INDEX('ערכים טכנולוגיים'!$N$2:$500,MATCH(A72,'ערכים טכנולוגיים'!$A$2:$500,0)),""))</f>
        <v/>
      </c>
    </row>
    <row r="73">
      <c r="A73" s="2">
        <f>IF($K73="","",INDEX(מלאי!$D$2:$500,$K73))</f>
        <v/>
      </c>
      <c r="B73" s="2">
        <f>IF($K73="","",INDEX(מלאי!$B$2:$500,$K73))</f>
        <v/>
      </c>
      <c r="C73" s="2">
        <f>IF($K73="","",INDEX(מלאי!$C$2:$500,$K73))</f>
        <v/>
      </c>
      <c r="D73" s="2">
        <f>IF($K73="","",INDEX(מלאי!$G$2:$500,$K73))</f>
        <v/>
      </c>
      <c r="E73" s="2">
        <f>IF($K73="","",INDEX(מלאי!$M$2:$500,$K73))</f>
        <v/>
      </c>
      <c r="F73" s="2">
        <f>IF($K73="","",INDEX(מלאי!$N$2:$500,$K73))</f>
        <v/>
      </c>
      <c r="G73" s="2">
        <f>IF($K73="","",INDEX(מלאי!$O$2:$500,$K73))</f>
        <v/>
      </c>
      <c r="H73" s="2">
        <f>IF($K73="","",INDEX(מלאי!$U$2:$500,$K73))</f>
        <v/>
      </c>
      <c r="I73" s="2">
        <f>IF($K73="","",INDEX(מלאי!$X$2:$500,$K73))</f>
        <v/>
      </c>
      <c r="J73" s="2">
        <f>IF($K73="","",INDEX(מלאי!$AC$2:$500,$K73))</f>
        <v/>
      </c>
      <c r="K7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טכנולוגיים'!$A$2:$500,0))&lt;=$G$6),0))),ROW(מלאי!$A$2:$A$500)-ROW(מלאי!$A$2)+1,""),51),"")</f>
        <v/>
      </c>
      <c r="L73" s="2">
        <f>IF($K73="","",IFERROR(INDEX('ערכים טכנולוגיים'!$K$2:$500,MATCH(A73,'ערכים טכנולוגיים'!$A$2:$500,0)),""))</f>
        <v/>
      </c>
      <c r="M73" s="2">
        <f>IF($K73="","",IFERROR(INDEX('ערכים טכנולוגיים'!$F$2:$500,MATCH(A73,'ערכים טכנולוגיים'!$A$2:$500,0)),""))</f>
        <v/>
      </c>
      <c r="N73" s="2">
        <f>IF($K73="","",IFERROR(INDEX('ערכים טכנולוגיים'!$I$2:$500,MATCH(A73,'ערכים טכנולוגיים'!$A$2:$500,0)),""))</f>
        <v/>
      </c>
      <c r="O73" s="2">
        <f>IF($K73="","",IFERROR(INDEX('ערכים טכנולוגיים'!$G$2:$500,MATCH(A73,'ערכים טכנולוגיים'!$A$2:$500,0)),""))</f>
        <v/>
      </c>
      <c r="P73" s="2">
        <f>IF($K73="","",IFERROR(INDEX('ערכים טכנולוגיים'!$J$2:$500,MATCH(A73,'ערכים טכנולוגיים'!$A$2:$500,0)),""))</f>
        <v/>
      </c>
      <c r="Q73" s="2">
        <f>IF($K73="","",IFERROR(INDEX('ערכים טכנולוגיים'!$N$2:$500,MATCH(A73,'ערכים טכנולוגיים'!$A$2:$500,0)),""))</f>
        <v/>
      </c>
    </row>
    <row r="74">
      <c r="A74" s="8">
        <f>IF($K74="","",INDEX(מלאי!$D$2:$500,$K74))</f>
        <v/>
      </c>
      <c r="B74" s="8">
        <f>IF($K74="","",INDEX(מלאי!$B$2:$500,$K74))</f>
        <v/>
      </c>
      <c r="C74" s="8">
        <f>IF($K74="","",INDEX(מלאי!$C$2:$500,$K74))</f>
        <v/>
      </c>
      <c r="D74" s="8">
        <f>IF($K74="","",INDEX(מלאי!$G$2:$500,$K74))</f>
        <v/>
      </c>
      <c r="E74" s="8">
        <f>IF($K74="","",INDEX(מלאי!$M$2:$500,$K74))</f>
        <v/>
      </c>
      <c r="F74" s="8">
        <f>IF($K74="","",INDEX(מלאי!$N$2:$500,$K74))</f>
        <v/>
      </c>
      <c r="G74" s="8">
        <f>IF($K74="","",INDEX(מלאי!$O$2:$500,$K74))</f>
        <v/>
      </c>
      <c r="H74" s="8">
        <f>IF($K74="","",INDEX(מלאי!$U$2:$500,$K74))</f>
        <v/>
      </c>
      <c r="I74" s="8">
        <f>IF($K74="","",INDEX(מלאי!$X$2:$500,$K74))</f>
        <v/>
      </c>
      <c r="J74" s="8">
        <f>IF($K74="","",INDEX(מלאי!$AC$2:$500,$K74))</f>
        <v/>
      </c>
      <c r="K7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טכנולוגיים'!$A$2:$500,0))&lt;=$G$6),0))),ROW(מלאי!$A$2:$A$500)-ROW(מלאי!$A$2)+1,""),52),"")</f>
        <v/>
      </c>
      <c r="L74" s="8">
        <f>IF($K74="","",IFERROR(INDEX('ערכים טכנולוגיים'!$K$2:$500,MATCH(A74,'ערכים טכנולוגיים'!$A$2:$500,0)),""))</f>
        <v/>
      </c>
      <c r="M74" s="8">
        <f>IF($K74="","",IFERROR(INDEX('ערכים טכנולוגיים'!$F$2:$500,MATCH(A74,'ערכים טכנולוגיים'!$A$2:$500,0)),""))</f>
        <v/>
      </c>
      <c r="N74" s="8">
        <f>IF($K74="","",IFERROR(INDEX('ערכים טכנולוגיים'!$I$2:$500,MATCH(A74,'ערכים טכנולוגיים'!$A$2:$500,0)),""))</f>
        <v/>
      </c>
      <c r="O74" s="8">
        <f>IF($K74="","",IFERROR(INDEX('ערכים טכנולוגיים'!$G$2:$500,MATCH(A74,'ערכים טכנולוגיים'!$A$2:$500,0)),""))</f>
        <v/>
      </c>
      <c r="P74" s="8">
        <f>IF($K74="","",IFERROR(INDEX('ערכים טכנולוגיים'!$J$2:$500,MATCH(A74,'ערכים טכנולוגיים'!$A$2:$500,0)),""))</f>
        <v/>
      </c>
      <c r="Q74" s="8">
        <f>IF($K74="","",IFERROR(INDEX('ערכים טכנולוגיים'!$N$2:$500,MATCH(A74,'ערכים טכנולוגיים'!$A$2:$500,0)),""))</f>
        <v/>
      </c>
    </row>
    <row r="75">
      <c r="A75" s="2">
        <f>IF($K75="","",INDEX(מלאי!$D$2:$500,$K75))</f>
        <v/>
      </c>
      <c r="B75" s="2">
        <f>IF($K75="","",INDEX(מלאי!$B$2:$500,$K75))</f>
        <v/>
      </c>
      <c r="C75" s="2">
        <f>IF($K75="","",INDEX(מלאי!$C$2:$500,$K75))</f>
        <v/>
      </c>
      <c r="D75" s="2">
        <f>IF($K75="","",INDEX(מלאי!$G$2:$500,$K75))</f>
        <v/>
      </c>
      <c r="E75" s="2">
        <f>IF($K75="","",INDEX(מלאי!$M$2:$500,$K75))</f>
        <v/>
      </c>
      <c r="F75" s="2">
        <f>IF($K75="","",INDEX(מלאי!$N$2:$500,$K75))</f>
        <v/>
      </c>
      <c r="G75" s="2">
        <f>IF($K75="","",INDEX(מלאי!$O$2:$500,$K75))</f>
        <v/>
      </c>
      <c r="H75" s="2">
        <f>IF($K75="","",INDEX(מלאי!$U$2:$500,$K75))</f>
        <v/>
      </c>
      <c r="I75" s="2">
        <f>IF($K75="","",INDEX(מלאי!$X$2:$500,$K75))</f>
        <v/>
      </c>
      <c r="J75" s="2">
        <f>IF($K75="","",INDEX(מלאי!$AC$2:$500,$K75))</f>
        <v/>
      </c>
      <c r="K7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טכנולוגיים'!$A$2:$500,0))&lt;=$G$6),0))),ROW(מלאי!$A$2:$A$500)-ROW(מלאי!$A$2)+1,""),53),"")</f>
        <v/>
      </c>
      <c r="L75" s="2">
        <f>IF($K75="","",IFERROR(INDEX('ערכים טכנולוגיים'!$K$2:$500,MATCH(A75,'ערכים טכנולוגיים'!$A$2:$500,0)),""))</f>
        <v/>
      </c>
      <c r="M75" s="2">
        <f>IF($K75="","",IFERROR(INDEX('ערכים טכנולוגיים'!$F$2:$500,MATCH(A75,'ערכים טכנולוגיים'!$A$2:$500,0)),""))</f>
        <v/>
      </c>
      <c r="N75" s="2">
        <f>IF($K75="","",IFERROR(INDEX('ערכים טכנולוגיים'!$I$2:$500,MATCH(A75,'ערכים טכנולוגיים'!$A$2:$500,0)),""))</f>
        <v/>
      </c>
      <c r="O75" s="2">
        <f>IF($K75="","",IFERROR(INDEX('ערכים טכנולוגיים'!$G$2:$500,MATCH(A75,'ערכים טכנולוגיים'!$A$2:$500,0)),""))</f>
        <v/>
      </c>
      <c r="P75" s="2">
        <f>IF($K75="","",IFERROR(INDEX('ערכים טכנולוגיים'!$J$2:$500,MATCH(A75,'ערכים טכנולוגיים'!$A$2:$500,0)),""))</f>
        <v/>
      </c>
      <c r="Q75" s="2">
        <f>IF($K75="","",IFERROR(INDEX('ערכים טכנולוגיים'!$N$2:$500,MATCH(A75,'ערכים טכנולוגיים'!$A$2:$500,0)),""))</f>
        <v/>
      </c>
    </row>
    <row r="76">
      <c r="A76" s="8">
        <f>IF($K76="","",INDEX(מלאי!$D$2:$500,$K76))</f>
        <v/>
      </c>
      <c r="B76" s="8">
        <f>IF($K76="","",INDEX(מלאי!$B$2:$500,$K76))</f>
        <v/>
      </c>
      <c r="C76" s="8">
        <f>IF($K76="","",INDEX(מלאי!$C$2:$500,$K76))</f>
        <v/>
      </c>
      <c r="D76" s="8">
        <f>IF($K76="","",INDEX(מלאי!$G$2:$500,$K76))</f>
        <v/>
      </c>
      <c r="E76" s="8">
        <f>IF($K76="","",INDEX(מלאי!$M$2:$500,$K76))</f>
        <v/>
      </c>
      <c r="F76" s="8">
        <f>IF($K76="","",INDEX(מלאי!$N$2:$500,$K76))</f>
        <v/>
      </c>
      <c r="G76" s="8">
        <f>IF($K76="","",INDEX(מלאי!$O$2:$500,$K76))</f>
        <v/>
      </c>
      <c r="H76" s="8">
        <f>IF($K76="","",INDEX(מלאי!$U$2:$500,$K76))</f>
        <v/>
      </c>
      <c r="I76" s="8">
        <f>IF($K76="","",INDEX(מלאי!$X$2:$500,$K76))</f>
        <v/>
      </c>
      <c r="J76" s="8">
        <f>IF($K76="","",INDEX(מלאי!$AC$2:$500,$K76))</f>
        <v/>
      </c>
      <c r="K7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טכנולוגיים'!$A$2:$500,0))&lt;=$G$6),0))),ROW(מלאי!$A$2:$A$500)-ROW(מלאי!$A$2)+1,""),54),"")</f>
        <v/>
      </c>
      <c r="L76" s="8">
        <f>IF($K76="","",IFERROR(INDEX('ערכים טכנולוגיים'!$K$2:$500,MATCH(A76,'ערכים טכנולוגיים'!$A$2:$500,0)),""))</f>
        <v/>
      </c>
      <c r="M76" s="8">
        <f>IF($K76="","",IFERROR(INDEX('ערכים טכנולוגיים'!$F$2:$500,MATCH(A76,'ערכים טכנולוגיים'!$A$2:$500,0)),""))</f>
        <v/>
      </c>
      <c r="N76" s="8">
        <f>IF($K76="","",IFERROR(INDEX('ערכים טכנולוגיים'!$I$2:$500,MATCH(A76,'ערכים טכנולוגיים'!$A$2:$500,0)),""))</f>
        <v/>
      </c>
      <c r="O76" s="8">
        <f>IF($K76="","",IFERROR(INDEX('ערכים טכנולוגיים'!$G$2:$500,MATCH(A76,'ערכים טכנולוגיים'!$A$2:$500,0)),""))</f>
        <v/>
      </c>
      <c r="P76" s="8">
        <f>IF($K76="","",IFERROR(INDEX('ערכים טכנולוגיים'!$J$2:$500,MATCH(A76,'ערכים טכנולוגיים'!$A$2:$500,0)),""))</f>
        <v/>
      </c>
      <c r="Q76" s="8">
        <f>IF($K76="","",IFERROR(INDEX('ערכים טכנולוגיים'!$N$2:$500,MATCH(A76,'ערכים טכנולוגיים'!$A$2:$500,0)),""))</f>
        <v/>
      </c>
    </row>
    <row r="77">
      <c r="A77" s="2">
        <f>IF($K77="","",INDEX(מלאי!$D$2:$500,$K77))</f>
        <v/>
      </c>
      <c r="B77" s="2">
        <f>IF($K77="","",INDEX(מלאי!$B$2:$500,$K77))</f>
        <v/>
      </c>
      <c r="C77" s="2">
        <f>IF($K77="","",INDEX(מלאי!$C$2:$500,$K77))</f>
        <v/>
      </c>
      <c r="D77" s="2">
        <f>IF($K77="","",INDEX(מלאי!$G$2:$500,$K77))</f>
        <v/>
      </c>
      <c r="E77" s="2">
        <f>IF($K77="","",INDEX(מלאי!$M$2:$500,$K77))</f>
        <v/>
      </c>
      <c r="F77" s="2">
        <f>IF($K77="","",INDEX(מלאי!$N$2:$500,$K77))</f>
        <v/>
      </c>
      <c r="G77" s="2">
        <f>IF($K77="","",INDEX(מלאי!$O$2:$500,$K77))</f>
        <v/>
      </c>
      <c r="H77" s="2">
        <f>IF($K77="","",INDEX(מלאי!$U$2:$500,$K77))</f>
        <v/>
      </c>
      <c r="I77" s="2">
        <f>IF($K77="","",INDEX(מלאי!$X$2:$500,$K77))</f>
        <v/>
      </c>
      <c r="J77" s="2">
        <f>IF($K77="","",INDEX(מלאי!$AC$2:$500,$K77))</f>
        <v/>
      </c>
      <c r="K7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טכנולוגיים'!$A$2:$500,0))&lt;=$G$6),0))),ROW(מלאי!$A$2:$A$500)-ROW(מלאי!$A$2)+1,""),55),"")</f>
        <v/>
      </c>
      <c r="L77" s="2">
        <f>IF($K77="","",IFERROR(INDEX('ערכים טכנולוגיים'!$K$2:$500,MATCH(A77,'ערכים טכנולוגיים'!$A$2:$500,0)),""))</f>
        <v/>
      </c>
      <c r="M77" s="2">
        <f>IF($K77="","",IFERROR(INDEX('ערכים טכנולוגיים'!$F$2:$500,MATCH(A77,'ערכים טכנולוגיים'!$A$2:$500,0)),""))</f>
        <v/>
      </c>
      <c r="N77" s="2">
        <f>IF($K77="","",IFERROR(INDEX('ערכים טכנולוגיים'!$I$2:$500,MATCH(A77,'ערכים טכנולוגיים'!$A$2:$500,0)),""))</f>
        <v/>
      </c>
      <c r="O77" s="2">
        <f>IF($K77="","",IFERROR(INDEX('ערכים טכנולוגיים'!$G$2:$500,MATCH(A77,'ערכים טכנולוגיים'!$A$2:$500,0)),""))</f>
        <v/>
      </c>
      <c r="P77" s="2">
        <f>IF($K77="","",IFERROR(INDEX('ערכים טכנולוגיים'!$J$2:$500,MATCH(A77,'ערכים טכנולוגיים'!$A$2:$500,0)),""))</f>
        <v/>
      </c>
      <c r="Q77" s="2">
        <f>IF($K77="","",IFERROR(INDEX('ערכים טכנולוגיים'!$N$2:$500,MATCH(A77,'ערכים טכנולוגיים'!$A$2:$500,0)),""))</f>
        <v/>
      </c>
    </row>
    <row r="78">
      <c r="A78" s="8">
        <f>IF($K78="","",INDEX(מלאי!$D$2:$500,$K78))</f>
        <v/>
      </c>
      <c r="B78" s="8">
        <f>IF($K78="","",INDEX(מלאי!$B$2:$500,$K78))</f>
        <v/>
      </c>
      <c r="C78" s="8">
        <f>IF($K78="","",INDEX(מלאי!$C$2:$500,$K78))</f>
        <v/>
      </c>
      <c r="D78" s="8">
        <f>IF($K78="","",INDEX(מלאי!$G$2:$500,$K78))</f>
        <v/>
      </c>
      <c r="E78" s="8">
        <f>IF($K78="","",INDEX(מלאי!$M$2:$500,$K78))</f>
        <v/>
      </c>
      <c r="F78" s="8">
        <f>IF($K78="","",INDEX(מלאי!$N$2:$500,$K78))</f>
        <v/>
      </c>
      <c r="G78" s="8">
        <f>IF($K78="","",INDEX(מלאי!$O$2:$500,$K78))</f>
        <v/>
      </c>
      <c r="H78" s="8">
        <f>IF($K78="","",INDEX(מלאי!$U$2:$500,$K78))</f>
        <v/>
      </c>
      <c r="I78" s="8">
        <f>IF($K78="","",INDEX(מלאי!$X$2:$500,$K78))</f>
        <v/>
      </c>
      <c r="J78" s="8">
        <f>IF($K78="","",INDEX(מלאי!$AC$2:$500,$K78))</f>
        <v/>
      </c>
      <c r="K7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טכנולוגיים'!$A$2:$500,0))&lt;=$G$6),0))),ROW(מלאי!$A$2:$A$500)-ROW(מלאי!$A$2)+1,""),56),"")</f>
        <v/>
      </c>
      <c r="L78" s="8">
        <f>IF($K78="","",IFERROR(INDEX('ערכים טכנולוגיים'!$K$2:$500,MATCH(A78,'ערכים טכנולוגיים'!$A$2:$500,0)),""))</f>
        <v/>
      </c>
      <c r="M78" s="8">
        <f>IF($K78="","",IFERROR(INDEX('ערכים טכנולוגיים'!$F$2:$500,MATCH(A78,'ערכים טכנולוגיים'!$A$2:$500,0)),""))</f>
        <v/>
      </c>
      <c r="N78" s="8">
        <f>IF($K78="","",IFERROR(INDEX('ערכים טכנולוגיים'!$I$2:$500,MATCH(A78,'ערכים טכנולוגיים'!$A$2:$500,0)),""))</f>
        <v/>
      </c>
      <c r="O78" s="8">
        <f>IF($K78="","",IFERROR(INDEX('ערכים טכנולוגיים'!$G$2:$500,MATCH(A78,'ערכים טכנולוגיים'!$A$2:$500,0)),""))</f>
        <v/>
      </c>
      <c r="P78" s="8">
        <f>IF($K78="","",IFERROR(INDEX('ערכים טכנולוגיים'!$J$2:$500,MATCH(A78,'ערכים טכנולוגיים'!$A$2:$500,0)),""))</f>
        <v/>
      </c>
      <c r="Q78" s="8">
        <f>IF($K78="","",IFERROR(INDEX('ערכים טכנולוגיים'!$N$2:$500,MATCH(A78,'ערכים טכנולוגיים'!$A$2:$500,0)),""))</f>
        <v/>
      </c>
    </row>
    <row r="79">
      <c r="A79" s="2">
        <f>IF($K79="","",INDEX(מלאי!$D$2:$500,$K79))</f>
        <v/>
      </c>
      <c r="B79" s="2">
        <f>IF($K79="","",INDEX(מלאי!$B$2:$500,$K79))</f>
        <v/>
      </c>
      <c r="C79" s="2">
        <f>IF($K79="","",INDEX(מלאי!$C$2:$500,$K79))</f>
        <v/>
      </c>
      <c r="D79" s="2">
        <f>IF($K79="","",INDEX(מלאי!$G$2:$500,$K79))</f>
        <v/>
      </c>
      <c r="E79" s="2">
        <f>IF($K79="","",INDEX(מלאי!$M$2:$500,$K79))</f>
        <v/>
      </c>
      <c r="F79" s="2">
        <f>IF($K79="","",INDEX(מלאי!$N$2:$500,$K79))</f>
        <v/>
      </c>
      <c r="G79" s="2">
        <f>IF($K79="","",INDEX(מלאי!$O$2:$500,$K79))</f>
        <v/>
      </c>
      <c r="H79" s="2">
        <f>IF($K79="","",INDEX(מלאי!$U$2:$500,$K79))</f>
        <v/>
      </c>
      <c r="I79" s="2">
        <f>IF($K79="","",INDEX(מלאי!$X$2:$500,$K79))</f>
        <v/>
      </c>
      <c r="J79" s="2">
        <f>IF($K79="","",INDEX(מלאי!$AC$2:$500,$K79))</f>
        <v/>
      </c>
      <c r="K7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טכנולוגיים'!$A$2:$500,0))&lt;=$G$6),0))),ROW(מלאי!$A$2:$A$500)-ROW(מלאי!$A$2)+1,""),57),"")</f>
        <v/>
      </c>
      <c r="L79" s="2">
        <f>IF($K79="","",IFERROR(INDEX('ערכים טכנולוגיים'!$K$2:$500,MATCH(A79,'ערכים טכנולוגיים'!$A$2:$500,0)),""))</f>
        <v/>
      </c>
      <c r="M79" s="2">
        <f>IF($K79="","",IFERROR(INDEX('ערכים טכנולוגיים'!$F$2:$500,MATCH(A79,'ערכים טכנולוגיים'!$A$2:$500,0)),""))</f>
        <v/>
      </c>
      <c r="N79" s="2">
        <f>IF($K79="","",IFERROR(INDEX('ערכים טכנולוגיים'!$I$2:$500,MATCH(A79,'ערכים טכנולוגיים'!$A$2:$500,0)),""))</f>
        <v/>
      </c>
      <c r="O79" s="2">
        <f>IF($K79="","",IFERROR(INDEX('ערכים טכנולוגיים'!$G$2:$500,MATCH(A79,'ערכים טכנולוגיים'!$A$2:$500,0)),""))</f>
        <v/>
      </c>
      <c r="P79" s="2">
        <f>IF($K79="","",IFERROR(INDEX('ערכים טכנולוגיים'!$J$2:$500,MATCH(A79,'ערכים טכנולוגיים'!$A$2:$500,0)),""))</f>
        <v/>
      </c>
      <c r="Q79" s="2">
        <f>IF($K79="","",IFERROR(INDEX('ערכים טכנולוגיים'!$N$2:$500,MATCH(A79,'ערכים טכנולוגיים'!$A$2:$500,0)),""))</f>
        <v/>
      </c>
    </row>
    <row r="80">
      <c r="A80" s="8">
        <f>IF($K80="","",INDEX(מלאי!$D$2:$500,$K80))</f>
        <v/>
      </c>
      <c r="B80" s="8">
        <f>IF($K80="","",INDEX(מלאי!$B$2:$500,$K80))</f>
        <v/>
      </c>
      <c r="C80" s="8">
        <f>IF($K80="","",INDEX(מלאי!$C$2:$500,$K80))</f>
        <v/>
      </c>
      <c r="D80" s="8">
        <f>IF($K80="","",INDEX(מלאי!$G$2:$500,$K80))</f>
        <v/>
      </c>
      <c r="E80" s="8">
        <f>IF($K80="","",INDEX(מלאי!$M$2:$500,$K80))</f>
        <v/>
      </c>
      <c r="F80" s="8">
        <f>IF($K80="","",INDEX(מלאי!$N$2:$500,$K80))</f>
        <v/>
      </c>
      <c r="G80" s="8">
        <f>IF($K80="","",INDEX(מלאי!$O$2:$500,$K80))</f>
        <v/>
      </c>
      <c r="H80" s="8">
        <f>IF($K80="","",INDEX(מלאי!$U$2:$500,$K80))</f>
        <v/>
      </c>
      <c r="I80" s="8">
        <f>IF($K80="","",INDEX(מלאי!$X$2:$500,$K80))</f>
        <v/>
      </c>
      <c r="J80" s="8">
        <f>IF($K80="","",INDEX(מלאי!$AC$2:$500,$K80))</f>
        <v/>
      </c>
      <c r="K8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טכנולוגיים'!$A$2:$500,0))&lt;=$G$6),0))),ROW(מלאי!$A$2:$A$500)-ROW(מלאי!$A$2)+1,""),58),"")</f>
        <v/>
      </c>
      <c r="L80" s="8">
        <f>IF($K80="","",IFERROR(INDEX('ערכים טכנולוגיים'!$K$2:$500,MATCH(A80,'ערכים טכנולוגיים'!$A$2:$500,0)),""))</f>
        <v/>
      </c>
      <c r="M80" s="8">
        <f>IF($K80="","",IFERROR(INDEX('ערכים טכנולוגיים'!$F$2:$500,MATCH(A80,'ערכים טכנולוגיים'!$A$2:$500,0)),""))</f>
        <v/>
      </c>
      <c r="N80" s="8">
        <f>IF($K80="","",IFERROR(INDEX('ערכים טכנולוגיים'!$I$2:$500,MATCH(A80,'ערכים טכנולוגיים'!$A$2:$500,0)),""))</f>
        <v/>
      </c>
      <c r="O80" s="8">
        <f>IF($K80="","",IFERROR(INDEX('ערכים טכנולוגיים'!$G$2:$500,MATCH(A80,'ערכים טכנולוגיים'!$A$2:$500,0)),""))</f>
        <v/>
      </c>
      <c r="P80" s="8">
        <f>IF($K80="","",IFERROR(INDEX('ערכים טכנולוגיים'!$J$2:$500,MATCH(A80,'ערכים טכנולוגיים'!$A$2:$500,0)),""))</f>
        <v/>
      </c>
      <c r="Q80" s="8">
        <f>IF($K80="","",IFERROR(INDEX('ערכים טכנולוגיים'!$N$2:$500,MATCH(A80,'ערכים טכנולוגיים'!$A$2:$500,0)),""))</f>
        <v/>
      </c>
    </row>
    <row r="81">
      <c r="A81" s="2">
        <f>IF($K81="","",INDEX(מלאי!$D$2:$500,$K81))</f>
        <v/>
      </c>
      <c r="B81" s="2">
        <f>IF($K81="","",INDEX(מלאי!$B$2:$500,$K81))</f>
        <v/>
      </c>
      <c r="C81" s="2">
        <f>IF($K81="","",INDEX(מלאי!$C$2:$500,$K81))</f>
        <v/>
      </c>
      <c r="D81" s="2">
        <f>IF($K81="","",INDEX(מלאי!$G$2:$500,$K81))</f>
        <v/>
      </c>
      <c r="E81" s="2">
        <f>IF($K81="","",INDEX(מלאי!$M$2:$500,$K81))</f>
        <v/>
      </c>
      <c r="F81" s="2">
        <f>IF($K81="","",INDEX(מלאי!$N$2:$500,$K81))</f>
        <v/>
      </c>
      <c r="G81" s="2">
        <f>IF($K81="","",INDEX(מלאי!$O$2:$500,$K81))</f>
        <v/>
      </c>
      <c r="H81" s="2">
        <f>IF($K81="","",INDEX(מלאי!$U$2:$500,$K81))</f>
        <v/>
      </c>
      <c r="I81" s="2">
        <f>IF($K81="","",INDEX(מלאי!$X$2:$500,$K81))</f>
        <v/>
      </c>
      <c r="J81" s="2">
        <f>IF($K81="","",INDEX(מלאי!$AC$2:$500,$K81))</f>
        <v/>
      </c>
      <c r="K8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טכנולוגיים'!$A$2:$500,0))&lt;=$G$6),0))),ROW(מלאי!$A$2:$A$500)-ROW(מלאי!$A$2)+1,""),59),"")</f>
        <v/>
      </c>
      <c r="L81" s="2">
        <f>IF($K81="","",IFERROR(INDEX('ערכים טכנולוגיים'!$K$2:$500,MATCH(A81,'ערכים טכנולוגיים'!$A$2:$500,0)),""))</f>
        <v/>
      </c>
      <c r="M81" s="2">
        <f>IF($K81="","",IFERROR(INDEX('ערכים טכנולוגיים'!$F$2:$500,MATCH(A81,'ערכים טכנולוגיים'!$A$2:$500,0)),""))</f>
        <v/>
      </c>
      <c r="N81" s="2">
        <f>IF($K81="","",IFERROR(INDEX('ערכים טכנולוגיים'!$I$2:$500,MATCH(A81,'ערכים טכנולוגיים'!$A$2:$500,0)),""))</f>
        <v/>
      </c>
      <c r="O81" s="2">
        <f>IF($K81="","",IFERROR(INDEX('ערכים טכנולוגיים'!$G$2:$500,MATCH(A81,'ערכים טכנולוגיים'!$A$2:$500,0)),""))</f>
        <v/>
      </c>
      <c r="P81" s="2">
        <f>IF($K81="","",IFERROR(INDEX('ערכים טכנולוגיים'!$J$2:$500,MATCH(A81,'ערכים טכנולוגיים'!$A$2:$500,0)),""))</f>
        <v/>
      </c>
      <c r="Q81" s="2">
        <f>IF($K81="","",IFERROR(INDEX('ערכים טכנולוגיים'!$N$2:$500,MATCH(A81,'ערכים טכנולוגיים'!$A$2:$500,0)),""))</f>
        <v/>
      </c>
    </row>
    <row r="82">
      <c r="A82" s="8">
        <f>IF($K82="","",INDEX(מלאי!$D$2:$500,$K82))</f>
        <v/>
      </c>
      <c r="B82" s="8">
        <f>IF($K82="","",INDEX(מלאי!$B$2:$500,$K82))</f>
        <v/>
      </c>
      <c r="C82" s="8">
        <f>IF($K82="","",INDEX(מלאי!$C$2:$500,$K82))</f>
        <v/>
      </c>
      <c r="D82" s="8">
        <f>IF($K82="","",INDEX(מלאי!$G$2:$500,$K82))</f>
        <v/>
      </c>
      <c r="E82" s="8">
        <f>IF($K82="","",INDEX(מלאי!$M$2:$500,$K82))</f>
        <v/>
      </c>
      <c r="F82" s="8">
        <f>IF($K82="","",INDEX(מלאי!$N$2:$500,$K82))</f>
        <v/>
      </c>
      <c r="G82" s="8">
        <f>IF($K82="","",INDEX(מלאי!$O$2:$500,$K82))</f>
        <v/>
      </c>
      <c r="H82" s="8">
        <f>IF($K82="","",INDEX(מלאי!$U$2:$500,$K82))</f>
        <v/>
      </c>
      <c r="I82" s="8">
        <f>IF($K82="","",INDEX(מלאי!$X$2:$500,$K82))</f>
        <v/>
      </c>
      <c r="J82" s="8">
        <f>IF($K82="","",INDEX(מלאי!$AC$2:$500,$K82))</f>
        <v/>
      </c>
      <c r="K8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טכנולוגיים'!$A$2:$500,0))&lt;=$G$6),0))),ROW(מלאי!$A$2:$A$500)-ROW(מלאי!$A$2)+1,""),60),"")</f>
        <v/>
      </c>
      <c r="L82" s="8">
        <f>IF($K82="","",IFERROR(INDEX('ערכים טכנולוגיים'!$K$2:$500,MATCH(A82,'ערכים טכנולוגיים'!$A$2:$500,0)),""))</f>
        <v/>
      </c>
      <c r="M82" s="8">
        <f>IF($K82="","",IFERROR(INDEX('ערכים טכנולוגיים'!$F$2:$500,MATCH(A82,'ערכים טכנולוגיים'!$A$2:$500,0)),""))</f>
        <v/>
      </c>
      <c r="N82" s="8">
        <f>IF($K82="","",IFERROR(INDEX('ערכים טכנולוגיים'!$I$2:$500,MATCH(A82,'ערכים טכנולוגיים'!$A$2:$500,0)),""))</f>
        <v/>
      </c>
      <c r="O82" s="8">
        <f>IF($K82="","",IFERROR(INDEX('ערכים טכנולוגיים'!$G$2:$500,MATCH(A82,'ערכים טכנולוגיים'!$A$2:$500,0)),""))</f>
        <v/>
      </c>
      <c r="P82" s="8">
        <f>IF($K82="","",IFERROR(INDEX('ערכים טכנולוגיים'!$J$2:$500,MATCH(A82,'ערכים טכנולוגיים'!$A$2:$500,0)),""))</f>
        <v/>
      </c>
      <c r="Q82" s="8">
        <f>IF($K82="","",IFERROR(INDEX('ערכים טכנולוגיים'!$N$2:$500,MATCH(A82,'ערכים טכנולוגיים'!$A$2:$500,0)),""))</f>
        <v/>
      </c>
    </row>
    <row r="83">
      <c r="A83" s="2">
        <f>IF($K83="","",INDEX(מלאי!$D$2:$500,$K83))</f>
        <v/>
      </c>
      <c r="B83" s="2">
        <f>IF($K83="","",INDEX(מלאי!$B$2:$500,$K83))</f>
        <v/>
      </c>
      <c r="C83" s="2">
        <f>IF($K83="","",INDEX(מלאי!$C$2:$500,$K83))</f>
        <v/>
      </c>
      <c r="D83" s="2">
        <f>IF($K83="","",INDEX(מלאי!$G$2:$500,$K83))</f>
        <v/>
      </c>
      <c r="E83" s="2">
        <f>IF($K83="","",INDEX(מלאי!$M$2:$500,$K83))</f>
        <v/>
      </c>
      <c r="F83" s="2">
        <f>IF($K83="","",INDEX(מלאי!$N$2:$500,$K83))</f>
        <v/>
      </c>
      <c r="G83" s="2">
        <f>IF($K83="","",INDEX(מלאי!$O$2:$500,$K83))</f>
        <v/>
      </c>
      <c r="H83" s="2">
        <f>IF($K83="","",INDEX(מלאי!$U$2:$500,$K83))</f>
        <v/>
      </c>
      <c r="I83" s="2">
        <f>IF($K83="","",INDEX(מלאי!$X$2:$500,$K83))</f>
        <v/>
      </c>
      <c r="J83" s="2">
        <f>IF($K83="","",INDEX(מלאי!$AC$2:$500,$K83))</f>
        <v/>
      </c>
      <c r="K8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טכנולוגיים'!$A$2:$500,0))&lt;=$G$6),0))),ROW(מלאי!$A$2:$A$500)-ROW(מלאי!$A$2)+1,""),61),"")</f>
        <v/>
      </c>
      <c r="L83" s="2">
        <f>IF($K83="","",IFERROR(INDEX('ערכים טכנולוגיים'!$K$2:$500,MATCH(A83,'ערכים טכנולוגיים'!$A$2:$500,0)),""))</f>
        <v/>
      </c>
      <c r="M83" s="2">
        <f>IF($K83="","",IFERROR(INDEX('ערכים טכנולוגיים'!$F$2:$500,MATCH(A83,'ערכים טכנולוגיים'!$A$2:$500,0)),""))</f>
        <v/>
      </c>
      <c r="N83" s="2">
        <f>IF($K83="","",IFERROR(INDEX('ערכים טכנולוגיים'!$I$2:$500,MATCH(A83,'ערכים טכנולוגיים'!$A$2:$500,0)),""))</f>
        <v/>
      </c>
      <c r="O83" s="2">
        <f>IF($K83="","",IFERROR(INDEX('ערכים טכנולוגיים'!$G$2:$500,MATCH(A83,'ערכים טכנולוגיים'!$A$2:$500,0)),""))</f>
        <v/>
      </c>
      <c r="P83" s="2">
        <f>IF($K83="","",IFERROR(INDEX('ערכים טכנולוגיים'!$J$2:$500,MATCH(A83,'ערכים טכנולוגיים'!$A$2:$500,0)),""))</f>
        <v/>
      </c>
      <c r="Q83" s="2">
        <f>IF($K83="","",IFERROR(INDEX('ערכים טכנולוגיים'!$N$2:$500,MATCH(A83,'ערכים טכנולוגיים'!$A$2:$500,0)),""))</f>
        <v/>
      </c>
    </row>
    <row r="84">
      <c r="A84" s="8">
        <f>IF($K84="","",INDEX(מלאי!$D$2:$500,$K84))</f>
        <v/>
      </c>
      <c r="B84" s="8">
        <f>IF($K84="","",INDEX(מלאי!$B$2:$500,$K84))</f>
        <v/>
      </c>
      <c r="C84" s="8">
        <f>IF($K84="","",INDEX(מלאי!$C$2:$500,$K84))</f>
        <v/>
      </c>
      <c r="D84" s="8">
        <f>IF($K84="","",INDEX(מלאי!$G$2:$500,$K84))</f>
        <v/>
      </c>
      <c r="E84" s="8">
        <f>IF($K84="","",INDEX(מלאי!$M$2:$500,$K84))</f>
        <v/>
      </c>
      <c r="F84" s="8">
        <f>IF($K84="","",INDEX(מלאי!$N$2:$500,$K84))</f>
        <v/>
      </c>
      <c r="G84" s="8">
        <f>IF($K84="","",INDEX(מלאי!$O$2:$500,$K84))</f>
        <v/>
      </c>
      <c r="H84" s="8">
        <f>IF($K84="","",INDEX(מלאי!$U$2:$500,$K84))</f>
        <v/>
      </c>
      <c r="I84" s="8">
        <f>IF($K84="","",INDEX(מלאי!$X$2:$500,$K84))</f>
        <v/>
      </c>
      <c r="J84" s="8">
        <f>IF($K84="","",INDEX(מלאי!$AC$2:$500,$K84))</f>
        <v/>
      </c>
      <c r="K8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טכנולוגיים'!$A$2:$500,0))&lt;=$G$6),0))),ROW(מלאי!$A$2:$A$500)-ROW(מלאי!$A$2)+1,""),62),"")</f>
        <v/>
      </c>
      <c r="L84" s="8">
        <f>IF($K84="","",IFERROR(INDEX('ערכים טכנולוגיים'!$K$2:$500,MATCH(A84,'ערכים טכנולוגיים'!$A$2:$500,0)),""))</f>
        <v/>
      </c>
      <c r="M84" s="8">
        <f>IF($K84="","",IFERROR(INDEX('ערכים טכנולוגיים'!$F$2:$500,MATCH(A84,'ערכים טכנולוגיים'!$A$2:$500,0)),""))</f>
        <v/>
      </c>
      <c r="N84" s="8">
        <f>IF($K84="","",IFERROR(INDEX('ערכים טכנולוגיים'!$I$2:$500,MATCH(A84,'ערכים טכנולוגיים'!$A$2:$500,0)),""))</f>
        <v/>
      </c>
      <c r="O84" s="8">
        <f>IF($K84="","",IFERROR(INDEX('ערכים טכנולוגיים'!$G$2:$500,MATCH(A84,'ערכים טכנולוגיים'!$A$2:$500,0)),""))</f>
        <v/>
      </c>
      <c r="P84" s="8">
        <f>IF($K84="","",IFERROR(INDEX('ערכים טכנולוגיים'!$J$2:$500,MATCH(A84,'ערכים טכנולוגיים'!$A$2:$500,0)),""))</f>
        <v/>
      </c>
      <c r="Q84" s="8">
        <f>IF($K84="","",IFERROR(INDEX('ערכים טכנולוגיים'!$N$2:$500,MATCH(A84,'ערכים טכנולוגיים'!$A$2:$500,0)),""))</f>
        <v/>
      </c>
    </row>
    <row r="85">
      <c r="A85" s="2">
        <f>IF($K85="","",INDEX(מלאי!$D$2:$500,$K85))</f>
        <v/>
      </c>
      <c r="B85" s="2">
        <f>IF($K85="","",INDEX(מלאי!$B$2:$500,$K85))</f>
        <v/>
      </c>
      <c r="C85" s="2">
        <f>IF($K85="","",INDEX(מלאי!$C$2:$500,$K85))</f>
        <v/>
      </c>
      <c r="D85" s="2">
        <f>IF($K85="","",INDEX(מלאי!$G$2:$500,$K85))</f>
        <v/>
      </c>
      <c r="E85" s="2">
        <f>IF($K85="","",INDEX(מלאי!$M$2:$500,$K85))</f>
        <v/>
      </c>
      <c r="F85" s="2">
        <f>IF($K85="","",INDEX(מלאי!$N$2:$500,$K85))</f>
        <v/>
      </c>
      <c r="G85" s="2">
        <f>IF($K85="","",INDEX(מלאי!$O$2:$500,$K85))</f>
        <v/>
      </c>
      <c r="H85" s="2">
        <f>IF($K85="","",INDEX(מלאי!$U$2:$500,$K85))</f>
        <v/>
      </c>
      <c r="I85" s="2">
        <f>IF($K85="","",INDEX(מלאי!$X$2:$500,$K85))</f>
        <v/>
      </c>
      <c r="J85" s="2">
        <f>IF($K85="","",INDEX(מלאי!$AC$2:$500,$K85))</f>
        <v/>
      </c>
      <c r="K8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טכנולוגיים'!$A$2:$500,0))&lt;=$G$6),0))),ROW(מלאי!$A$2:$A$500)-ROW(מלאי!$A$2)+1,""),63),"")</f>
        <v/>
      </c>
      <c r="L85" s="2">
        <f>IF($K85="","",IFERROR(INDEX('ערכים טכנולוגיים'!$K$2:$500,MATCH(A85,'ערכים טכנולוגיים'!$A$2:$500,0)),""))</f>
        <v/>
      </c>
      <c r="M85" s="2">
        <f>IF($K85="","",IFERROR(INDEX('ערכים טכנולוגיים'!$F$2:$500,MATCH(A85,'ערכים טכנולוגיים'!$A$2:$500,0)),""))</f>
        <v/>
      </c>
      <c r="N85" s="2">
        <f>IF($K85="","",IFERROR(INDEX('ערכים טכנולוגיים'!$I$2:$500,MATCH(A85,'ערכים טכנולוגיים'!$A$2:$500,0)),""))</f>
        <v/>
      </c>
      <c r="O85" s="2">
        <f>IF($K85="","",IFERROR(INDEX('ערכים טכנולוגיים'!$G$2:$500,MATCH(A85,'ערכים טכנולוגיים'!$A$2:$500,0)),""))</f>
        <v/>
      </c>
      <c r="P85" s="2">
        <f>IF($K85="","",IFERROR(INDEX('ערכים טכנולוגיים'!$J$2:$500,MATCH(A85,'ערכים טכנולוגיים'!$A$2:$500,0)),""))</f>
        <v/>
      </c>
      <c r="Q85" s="2">
        <f>IF($K85="","",IFERROR(INDEX('ערכים טכנולוגיים'!$N$2:$500,MATCH(A85,'ערכים טכנולוגיים'!$A$2:$500,0)),""))</f>
        <v/>
      </c>
    </row>
    <row r="86">
      <c r="A86" s="8">
        <f>IF($K86="","",INDEX(מלאי!$D$2:$500,$K86))</f>
        <v/>
      </c>
      <c r="B86" s="8">
        <f>IF($K86="","",INDEX(מלאי!$B$2:$500,$K86))</f>
        <v/>
      </c>
      <c r="C86" s="8">
        <f>IF($K86="","",INDEX(מלאי!$C$2:$500,$K86))</f>
        <v/>
      </c>
      <c r="D86" s="8">
        <f>IF($K86="","",INDEX(מלאי!$G$2:$500,$K86))</f>
        <v/>
      </c>
      <c r="E86" s="8">
        <f>IF($K86="","",INDEX(מלאי!$M$2:$500,$K86))</f>
        <v/>
      </c>
      <c r="F86" s="8">
        <f>IF($K86="","",INDEX(מלאי!$N$2:$500,$K86))</f>
        <v/>
      </c>
      <c r="G86" s="8">
        <f>IF($K86="","",INDEX(מלאי!$O$2:$500,$K86))</f>
        <v/>
      </c>
      <c r="H86" s="8">
        <f>IF($K86="","",INDEX(מלאי!$U$2:$500,$K86))</f>
        <v/>
      </c>
      <c r="I86" s="8">
        <f>IF($K86="","",INDEX(מלאי!$X$2:$500,$K86))</f>
        <v/>
      </c>
      <c r="J86" s="8">
        <f>IF($K86="","",INDEX(מלאי!$AC$2:$500,$K86))</f>
        <v/>
      </c>
      <c r="K8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טכנולוגיים'!$A$2:$500,0))&lt;=$G$6),0))),ROW(מלאי!$A$2:$A$500)-ROW(מלאי!$A$2)+1,""),64),"")</f>
        <v/>
      </c>
      <c r="L86" s="8">
        <f>IF($K86="","",IFERROR(INDEX('ערכים טכנולוגיים'!$K$2:$500,MATCH(A86,'ערכים טכנולוגיים'!$A$2:$500,0)),""))</f>
        <v/>
      </c>
      <c r="M86" s="8">
        <f>IF($K86="","",IFERROR(INDEX('ערכים טכנולוגיים'!$F$2:$500,MATCH(A86,'ערכים טכנולוגיים'!$A$2:$500,0)),""))</f>
        <v/>
      </c>
      <c r="N86" s="8">
        <f>IF($K86="","",IFERROR(INDEX('ערכים טכנולוגיים'!$I$2:$500,MATCH(A86,'ערכים טכנולוגיים'!$A$2:$500,0)),""))</f>
        <v/>
      </c>
      <c r="O86" s="8">
        <f>IF($K86="","",IFERROR(INDEX('ערכים טכנולוגיים'!$G$2:$500,MATCH(A86,'ערכים טכנולוגיים'!$A$2:$500,0)),""))</f>
        <v/>
      </c>
      <c r="P86" s="8">
        <f>IF($K86="","",IFERROR(INDEX('ערכים טכנולוגיים'!$J$2:$500,MATCH(A86,'ערכים טכנולוגיים'!$A$2:$500,0)),""))</f>
        <v/>
      </c>
      <c r="Q86" s="8">
        <f>IF($K86="","",IFERROR(INDEX('ערכים טכנולוגיים'!$N$2:$500,MATCH(A86,'ערכים טכנולוגיים'!$A$2:$500,0)),""))</f>
        <v/>
      </c>
    </row>
    <row r="87">
      <c r="A87" s="2">
        <f>IF($K87="","",INDEX(מלאי!$D$2:$500,$K87))</f>
        <v/>
      </c>
      <c r="B87" s="2">
        <f>IF($K87="","",INDEX(מלאי!$B$2:$500,$K87))</f>
        <v/>
      </c>
      <c r="C87" s="2">
        <f>IF($K87="","",INDEX(מלאי!$C$2:$500,$K87))</f>
        <v/>
      </c>
      <c r="D87" s="2">
        <f>IF($K87="","",INDEX(מלאי!$G$2:$500,$K87))</f>
        <v/>
      </c>
      <c r="E87" s="2">
        <f>IF($K87="","",INDEX(מלאי!$M$2:$500,$K87))</f>
        <v/>
      </c>
      <c r="F87" s="2">
        <f>IF($K87="","",INDEX(מלאי!$N$2:$500,$K87))</f>
        <v/>
      </c>
      <c r="G87" s="2">
        <f>IF($K87="","",INDEX(מלאי!$O$2:$500,$K87))</f>
        <v/>
      </c>
      <c r="H87" s="2">
        <f>IF($K87="","",INDEX(מלאי!$U$2:$500,$K87))</f>
        <v/>
      </c>
      <c r="I87" s="2">
        <f>IF($K87="","",INDEX(מלאי!$X$2:$500,$K87))</f>
        <v/>
      </c>
      <c r="J87" s="2">
        <f>IF($K87="","",INDEX(מלאי!$AC$2:$500,$K87))</f>
        <v/>
      </c>
      <c r="K8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טכנולוגיים'!$A$2:$500,0))&lt;=$G$6),0))),ROW(מלאי!$A$2:$A$500)-ROW(מלאי!$A$2)+1,""),65),"")</f>
        <v/>
      </c>
      <c r="L87" s="2">
        <f>IF($K87="","",IFERROR(INDEX('ערכים טכנולוגיים'!$K$2:$500,MATCH(A87,'ערכים טכנולוגיים'!$A$2:$500,0)),""))</f>
        <v/>
      </c>
      <c r="M87" s="2">
        <f>IF($K87="","",IFERROR(INDEX('ערכים טכנולוגיים'!$F$2:$500,MATCH(A87,'ערכים טכנולוגיים'!$A$2:$500,0)),""))</f>
        <v/>
      </c>
      <c r="N87" s="2">
        <f>IF($K87="","",IFERROR(INDEX('ערכים טכנולוגיים'!$I$2:$500,MATCH(A87,'ערכים טכנולוגיים'!$A$2:$500,0)),""))</f>
        <v/>
      </c>
      <c r="O87" s="2">
        <f>IF($K87="","",IFERROR(INDEX('ערכים טכנולוגיים'!$G$2:$500,MATCH(A87,'ערכים טכנולוגיים'!$A$2:$500,0)),""))</f>
        <v/>
      </c>
      <c r="P87" s="2">
        <f>IF($K87="","",IFERROR(INDEX('ערכים טכנולוגיים'!$J$2:$500,MATCH(A87,'ערכים טכנולוגיים'!$A$2:$500,0)),""))</f>
        <v/>
      </c>
      <c r="Q87" s="2">
        <f>IF($K87="","",IFERROR(INDEX('ערכים טכנולוגיים'!$N$2:$500,MATCH(A87,'ערכים טכנולוגיים'!$A$2:$500,0)),""))</f>
        <v/>
      </c>
    </row>
    <row r="88">
      <c r="A88" s="8">
        <f>IF($K88="","",INDEX(מלאי!$D$2:$500,$K88))</f>
        <v/>
      </c>
      <c r="B88" s="8">
        <f>IF($K88="","",INDEX(מלאי!$B$2:$500,$K88))</f>
        <v/>
      </c>
      <c r="C88" s="8">
        <f>IF($K88="","",INDEX(מלאי!$C$2:$500,$K88))</f>
        <v/>
      </c>
      <c r="D88" s="8">
        <f>IF($K88="","",INDEX(מלאי!$G$2:$500,$K88))</f>
        <v/>
      </c>
      <c r="E88" s="8">
        <f>IF($K88="","",INDEX(מלאי!$M$2:$500,$K88))</f>
        <v/>
      </c>
      <c r="F88" s="8">
        <f>IF($K88="","",INDEX(מלאי!$N$2:$500,$K88))</f>
        <v/>
      </c>
      <c r="G88" s="8">
        <f>IF($K88="","",INDEX(מלאי!$O$2:$500,$K88))</f>
        <v/>
      </c>
      <c r="H88" s="8">
        <f>IF($K88="","",INDEX(מלאי!$U$2:$500,$K88))</f>
        <v/>
      </c>
      <c r="I88" s="8">
        <f>IF($K88="","",INDEX(מלאי!$X$2:$500,$K88))</f>
        <v/>
      </c>
      <c r="J88" s="8">
        <f>IF($K88="","",INDEX(מלאי!$AC$2:$500,$K88))</f>
        <v/>
      </c>
      <c r="K8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טכנולוגיים'!$A$2:$500,0))&lt;=$G$6),0))),ROW(מלאי!$A$2:$A$500)-ROW(מלאי!$A$2)+1,""),66),"")</f>
        <v/>
      </c>
      <c r="L88" s="8">
        <f>IF($K88="","",IFERROR(INDEX('ערכים טכנולוגיים'!$K$2:$500,MATCH(A88,'ערכים טכנולוגיים'!$A$2:$500,0)),""))</f>
        <v/>
      </c>
      <c r="M88" s="8">
        <f>IF($K88="","",IFERROR(INDEX('ערכים טכנולוגיים'!$F$2:$500,MATCH(A88,'ערכים טכנולוגיים'!$A$2:$500,0)),""))</f>
        <v/>
      </c>
      <c r="N88" s="8">
        <f>IF($K88="","",IFERROR(INDEX('ערכים טכנולוגיים'!$I$2:$500,MATCH(A88,'ערכים טכנולוגיים'!$A$2:$500,0)),""))</f>
        <v/>
      </c>
      <c r="O88" s="8">
        <f>IF($K88="","",IFERROR(INDEX('ערכים טכנולוגיים'!$G$2:$500,MATCH(A88,'ערכים טכנולוגיים'!$A$2:$500,0)),""))</f>
        <v/>
      </c>
      <c r="P88" s="8">
        <f>IF($K88="","",IFERROR(INDEX('ערכים טכנולוגיים'!$J$2:$500,MATCH(A88,'ערכים טכנולוגיים'!$A$2:$500,0)),""))</f>
        <v/>
      </c>
      <c r="Q88" s="8">
        <f>IF($K88="","",IFERROR(INDEX('ערכים טכנולוגיים'!$N$2:$500,MATCH(A88,'ערכים טכנולוגיים'!$A$2:$500,0)),""))</f>
        <v/>
      </c>
    </row>
    <row r="89">
      <c r="A89" s="2">
        <f>IF($K89="","",INDEX(מלאי!$D$2:$500,$K89))</f>
        <v/>
      </c>
      <c r="B89" s="2">
        <f>IF($K89="","",INDEX(מלאי!$B$2:$500,$K89))</f>
        <v/>
      </c>
      <c r="C89" s="2">
        <f>IF($K89="","",INDEX(מלאי!$C$2:$500,$K89))</f>
        <v/>
      </c>
      <c r="D89" s="2">
        <f>IF($K89="","",INDEX(מלאי!$G$2:$500,$K89))</f>
        <v/>
      </c>
      <c r="E89" s="2">
        <f>IF($K89="","",INDEX(מלאי!$M$2:$500,$K89))</f>
        <v/>
      </c>
      <c r="F89" s="2">
        <f>IF($K89="","",INDEX(מלאי!$N$2:$500,$K89))</f>
        <v/>
      </c>
      <c r="G89" s="2">
        <f>IF($K89="","",INDEX(מלאי!$O$2:$500,$K89))</f>
        <v/>
      </c>
      <c r="H89" s="2">
        <f>IF($K89="","",INDEX(מלאי!$U$2:$500,$K89))</f>
        <v/>
      </c>
      <c r="I89" s="2">
        <f>IF($K89="","",INDEX(מלאי!$X$2:$500,$K89))</f>
        <v/>
      </c>
      <c r="J89" s="2">
        <f>IF($K89="","",INDEX(מלאי!$AC$2:$500,$K89))</f>
        <v/>
      </c>
      <c r="K8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טכנולוגיים'!$A$2:$500,0))&lt;=$G$6),0))),ROW(מלאי!$A$2:$A$500)-ROW(מלאי!$A$2)+1,""),67),"")</f>
        <v/>
      </c>
      <c r="L89" s="2">
        <f>IF($K89="","",IFERROR(INDEX('ערכים טכנולוגיים'!$K$2:$500,MATCH(A89,'ערכים טכנולוגיים'!$A$2:$500,0)),""))</f>
        <v/>
      </c>
      <c r="M89" s="2">
        <f>IF($K89="","",IFERROR(INDEX('ערכים טכנולוגיים'!$F$2:$500,MATCH(A89,'ערכים טכנולוגיים'!$A$2:$500,0)),""))</f>
        <v/>
      </c>
      <c r="N89" s="2">
        <f>IF($K89="","",IFERROR(INDEX('ערכים טכנולוגיים'!$I$2:$500,MATCH(A89,'ערכים טכנולוגיים'!$A$2:$500,0)),""))</f>
        <v/>
      </c>
      <c r="O89" s="2">
        <f>IF($K89="","",IFERROR(INDEX('ערכים טכנולוגיים'!$G$2:$500,MATCH(A89,'ערכים טכנולוגיים'!$A$2:$500,0)),""))</f>
        <v/>
      </c>
      <c r="P89" s="2">
        <f>IF($K89="","",IFERROR(INDEX('ערכים טכנולוגיים'!$J$2:$500,MATCH(A89,'ערכים טכנולוגיים'!$A$2:$500,0)),""))</f>
        <v/>
      </c>
      <c r="Q89" s="2">
        <f>IF($K89="","",IFERROR(INDEX('ערכים טכנולוגיים'!$N$2:$500,MATCH(A89,'ערכים טכנולוגיים'!$A$2:$500,0)),""))</f>
        <v/>
      </c>
    </row>
    <row r="90">
      <c r="A90" s="8">
        <f>IF($K90="","",INDEX(מלאי!$D$2:$500,$K90))</f>
        <v/>
      </c>
      <c r="B90" s="8">
        <f>IF($K90="","",INDEX(מלאי!$B$2:$500,$K90))</f>
        <v/>
      </c>
      <c r="C90" s="8">
        <f>IF($K90="","",INDEX(מלאי!$C$2:$500,$K90))</f>
        <v/>
      </c>
      <c r="D90" s="8">
        <f>IF($K90="","",INDEX(מלאי!$G$2:$500,$K90))</f>
        <v/>
      </c>
      <c r="E90" s="8">
        <f>IF($K90="","",INDEX(מלאי!$M$2:$500,$K90))</f>
        <v/>
      </c>
      <c r="F90" s="8">
        <f>IF($K90="","",INDEX(מלאי!$N$2:$500,$K90))</f>
        <v/>
      </c>
      <c r="G90" s="8">
        <f>IF($K90="","",INDEX(מלאי!$O$2:$500,$K90))</f>
        <v/>
      </c>
      <c r="H90" s="8">
        <f>IF($K90="","",INDEX(מלאי!$U$2:$500,$K90))</f>
        <v/>
      </c>
      <c r="I90" s="8">
        <f>IF($K90="","",INDEX(מלאי!$X$2:$500,$K90))</f>
        <v/>
      </c>
      <c r="J90" s="8">
        <f>IF($K90="","",INDEX(מלאי!$AC$2:$500,$K90))</f>
        <v/>
      </c>
      <c r="K9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טכנולוגיים'!$A$2:$500,0))&lt;=$G$6),0))),ROW(מלאי!$A$2:$A$500)-ROW(מלאי!$A$2)+1,""),68),"")</f>
        <v/>
      </c>
      <c r="L90" s="8">
        <f>IF($K90="","",IFERROR(INDEX('ערכים טכנולוגיים'!$K$2:$500,MATCH(A90,'ערכים טכנולוגיים'!$A$2:$500,0)),""))</f>
        <v/>
      </c>
      <c r="M90" s="8">
        <f>IF($K90="","",IFERROR(INDEX('ערכים טכנולוגיים'!$F$2:$500,MATCH(A90,'ערכים טכנולוגיים'!$A$2:$500,0)),""))</f>
        <v/>
      </c>
      <c r="N90" s="8">
        <f>IF($K90="","",IFERROR(INDEX('ערכים טכנולוגיים'!$I$2:$500,MATCH(A90,'ערכים טכנולוגיים'!$A$2:$500,0)),""))</f>
        <v/>
      </c>
      <c r="O90" s="8">
        <f>IF($K90="","",IFERROR(INDEX('ערכים טכנולוגיים'!$G$2:$500,MATCH(A90,'ערכים טכנולוגיים'!$A$2:$500,0)),""))</f>
        <v/>
      </c>
      <c r="P90" s="8">
        <f>IF($K90="","",IFERROR(INDEX('ערכים טכנולוגיים'!$J$2:$500,MATCH(A90,'ערכים טכנולוגיים'!$A$2:$500,0)),""))</f>
        <v/>
      </c>
      <c r="Q90" s="8">
        <f>IF($K90="","",IFERROR(INDEX('ערכים טכנולוגיים'!$N$2:$500,MATCH(A90,'ערכים טכנולוגיים'!$A$2:$500,0)),""))</f>
        <v/>
      </c>
    </row>
    <row r="91">
      <c r="A91" s="2">
        <f>IF($K91="","",INDEX(מלאי!$D$2:$500,$K91))</f>
        <v/>
      </c>
      <c r="B91" s="2">
        <f>IF($K91="","",INDEX(מלאי!$B$2:$500,$K91))</f>
        <v/>
      </c>
      <c r="C91" s="2">
        <f>IF($K91="","",INDEX(מלאי!$C$2:$500,$K91))</f>
        <v/>
      </c>
      <c r="D91" s="2">
        <f>IF($K91="","",INDEX(מלאי!$G$2:$500,$K91))</f>
        <v/>
      </c>
      <c r="E91" s="2">
        <f>IF($K91="","",INDEX(מלאי!$M$2:$500,$K91))</f>
        <v/>
      </c>
      <c r="F91" s="2">
        <f>IF($K91="","",INDEX(מלאי!$N$2:$500,$K91))</f>
        <v/>
      </c>
      <c r="G91" s="2">
        <f>IF($K91="","",INDEX(מלאי!$O$2:$500,$K91))</f>
        <v/>
      </c>
      <c r="H91" s="2">
        <f>IF($K91="","",INDEX(מלאי!$U$2:$500,$K91))</f>
        <v/>
      </c>
      <c r="I91" s="2">
        <f>IF($K91="","",INDEX(מלאי!$X$2:$500,$K91))</f>
        <v/>
      </c>
      <c r="J91" s="2">
        <f>IF($K91="","",INDEX(מלאי!$AC$2:$500,$K91))</f>
        <v/>
      </c>
      <c r="K9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טכנולוגיים'!$A$2:$500,0))&lt;=$G$6),0))),ROW(מלאי!$A$2:$A$500)-ROW(מלאי!$A$2)+1,""),69),"")</f>
        <v/>
      </c>
      <c r="L91" s="2">
        <f>IF($K91="","",IFERROR(INDEX('ערכים טכנולוגיים'!$K$2:$500,MATCH(A91,'ערכים טכנולוגיים'!$A$2:$500,0)),""))</f>
        <v/>
      </c>
      <c r="M91" s="2">
        <f>IF($K91="","",IFERROR(INDEX('ערכים טכנולוגיים'!$F$2:$500,MATCH(A91,'ערכים טכנולוגיים'!$A$2:$500,0)),""))</f>
        <v/>
      </c>
      <c r="N91" s="2">
        <f>IF($K91="","",IFERROR(INDEX('ערכים טכנולוגיים'!$I$2:$500,MATCH(A91,'ערכים טכנולוגיים'!$A$2:$500,0)),""))</f>
        <v/>
      </c>
      <c r="O91" s="2">
        <f>IF($K91="","",IFERROR(INDEX('ערכים טכנולוגיים'!$G$2:$500,MATCH(A91,'ערכים טכנולוגיים'!$A$2:$500,0)),""))</f>
        <v/>
      </c>
      <c r="P91" s="2">
        <f>IF($K91="","",IFERROR(INDEX('ערכים טכנולוגיים'!$J$2:$500,MATCH(A91,'ערכים טכנולוגיים'!$A$2:$500,0)),""))</f>
        <v/>
      </c>
      <c r="Q91" s="2">
        <f>IF($K91="","",IFERROR(INDEX('ערכים טכנולוגיים'!$N$2:$500,MATCH(A91,'ערכים טכנולוגיים'!$A$2:$500,0)),""))</f>
        <v/>
      </c>
    </row>
    <row r="92">
      <c r="A92" s="8">
        <f>IF($K92="","",INDEX(מלאי!$D$2:$500,$K92))</f>
        <v/>
      </c>
      <c r="B92" s="8">
        <f>IF($K92="","",INDEX(מלאי!$B$2:$500,$K92))</f>
        <v/>
      </c>
      <c r="C92" s="8">
        <f>IF($K92="","",INDEX(מלאי!$C$2:$500,$K92))</f>
        <v/>
      </c>
      <c r="D92" s="8">
        <f>IF($K92="","",INDEX(מלאי!$G$2:$500,$K92))</f>
        <v/>
      </c>
      <c r="E92" s="8">
        <f>IF($K92="","",INDEX(מלאי!$M$2:$500,$K92))</f>
        <v/>
      </c>
      <c r="F92" s="8">
        <f>IF($K92="","",INDEX(מלאי!$N$2:$500,$K92))</f>
        <v/>
      </c>
      <c r="G92" s="8">
        <f>IF($K92="","",INDEX(מלאי!$O$2:$500,$K92))</f>
        <v/>
      </c>
      <c r="H92" s="8">
        <f>IF($K92="","",INDEX(מלאי!$U$2:$500,$K92))</f>
        <v/>
      </c>
      <c r="I92" s="8">
        <f>IF($K92="","",INDEX(מלאי!$X$2:$500,$K92))</f>
        <v/>
      </c>
      <c r="J92" s="8">
        <f>IF($K92="","",INDEX(מלאי!$AC$2:$500,$K92))</f>
        <v/>
      </c>
      <c r="K9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טכנולוגיים'!$A$2:$500,0))&lt;=$G$6),0))),ROW(מלאי!$A$2:$A$500)-ROW(מלאי!$A$2)+1,""),70),"")</f>
        <v/>
      </c>
      <c r="L92" s="8">
        <f>IF($K92="","",IFERROR(INDEX('ערכים טכנולוגיים'!$K$2:$500,MATCH(A92,'ערכים טכנולוגיים'!$A$2:$500,0)),""))</f>
        <v/>
      </c>
      <c r="M92" s="8">
        <f>IF($K92="","",IFERROR(INDEX('ערכים טכנולוגיים'!$F$2:$500,MATCH(A92,'ערכים טכנולוגיים'!$A$2:$500,0)),""))</f>
        <v/>
      </c>
      <c r="N92" s="8">
        <f>IF($K92="","",IFERROR(INDEX('ערכים טכנולוגיים'!$I$2:$500,MATCH(A92,'ערכים טכנולוגיים'!$A$2:$500,0)),""))</f>
        <v/>
      </c>
      <c r="O92" s="8">
        <f>IF($K92="","",IFERROR(INDEX('ערכים טכנולוגיים'!$G$2:$500,MATCH(A92,'ערכים טכנולוגיים'!$A$2:$500,0)),""))</f>
        <v/>
      </c>
      <c r="P92" s="8">
        <f>IF($K92="","",IFERROR(INDEX('ערכים טכנולוגיים'!$J$2:$500,MATCH(A92,'ערכים טכנולוגיים'!$A$2:$500,0)),""))</f>
        <v/>
      </c>
      <c r="Q92" s="8">
        <f>IF($K92="","",IFERROR(INDEX('ערכים טכנולוגיים'!$N$2:$500,MATCH(A92,'ערכים טכנולוגיים'!$A$2:$500,0)),""))</f>
        <v/>
      </c>
    </row>
    <row r="93">
      <c r="A93" s="2">
        <f>IF($K93="","",INDEX(מלאי!$D$2:$500,$K93))</f>
        <v/>
      </c>
      <c r="B93" s="2">
        <f>IF($K93="","",INDEX(מלאי!$B$2:$500,$K93))</f>
        <v/>
      </c>
      <c r="C93" s="2">
        <f>IF($K93="","",INDEX(מלאי!$C$2:$500,$K93))</f>
        <v/>
      </c>
      <c r="D93" s="2">
        <f>IF($K93="","",INDEX(מלאי!$G$2:$500,$K93))</f>
        <v/>
      </c>
      <c r="E93" s="2">
        <f>IF($K93="","",INDEX(מלאי!$M$2:$500,$K93))</f>
        <v/>
      </c>
      <c r="F93" s="2">
        <f>IF($K93="","",INDEX(מלאי!$N$2:$500,$K93))</f>
        <v/>
      </c>
      <c r="G93" s="2">
        <f>IF($K93="","",INDEX(מלאי!$O$2:$500,$K93))</f>
        <v/>
      </c>
      <c r="H93" s="2">
        <f>IF($K93="","",INDEX(מלאי!$U$2:$500,$K93))</f>
        <v/>
      </c>
      <c r="I93" s="2">
        <f>IF($K93="","",INDEX(מלאי!$X$2:$500,$K93))</f>
        <v/>
      </c>
      <c r="J93" s="2">
        <f>IF($K93="","",INDEX(מלאי!$AC$2:$500,$K93))</f>
        <v/>
      </c>
      <c r="K9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טכנולוגיים'!$A$2:$500,0))&lt;=$G$6),0))),ROW(מלאי!$A$2:$A$500)-ROW(מלאי!$A$2)+1,""),71),"")</f>
        <v/>
      </c>
      <c r="L93" s="2">
        <f>IF($K93="","",IFERROR(INDEX('ערכים טכנולוגיים'!$K$2:$500,MATCH(A93,'ערכים טכנולוגיים'!$A$2:$500,0)),""))</f>
        <v/>
      </c>
      <c r="M93" s="2">
        <f>IF($K93="","",IFERROR(INDEX('ערכים טכנולוגיים'!$F$2:$500,MATCH(A93,'ערכים טכנולוגיים'!$A$2:$500,0)),""))</f>
        <v/>
      </c>
      <c r="N93" s="2">
        <f>IF($K93="","",IFERROR(INDEX('ערכים טכנולוגיים'!$I$2:$500,MATCH(A93,'ערכים טכנולוגיים'!$A$2:$500,0)),""))</f>
        <v/>
      </c>
      <c r="O93" s="2">
        <f>IF($K93="","",IFERROR(INDEX('ערכים טכנולוגיים'!$G$2:$500,MATCH(A93,'ערכים טכנולוגיים'!$A$2:$500,0)),""))</f>
        <v/>
      </c>
      <c r="P93" s="2">
        <f>IF($K93="","",IFERROR(INDEX('ערכים טכנולוגיים'!$J$2:$500,MATCH(A93,'ערכים טכנולוגיים'!$A$2:$500,0)),""))</f>
        <v/>
      </c>
      <c r="Q93" s="2">
        <f>IF($K93="","",IFERROR(INDEX('ערכים טכנולוגיים'!$N$2:$500,MATCH(A93,'ערכים טכנולוגיים'!$A$2:$500,0)),""))</f>
        <v/>
      </c>
    </row>
    <row r="94">
      <c r="A94" s="8">
        <f>IF($K94="","",INDEX(מלאי!$D$2:$500,$K94))</f>
        <v/>
      </c>
      <c r="B94" s="8">
        <f>IF($K94="","",INDEX(מלאי!$B$2:$500,$K94))</f>
        <v/>
      </c>
      <c r="C94" s="8">
        <f>IF($K94="","",INDEX(מלאי!$C$2:$500,$K94))</f>
        <v/>
      </c>
      <c r="D94" s="8">
        <f>IF($K94="","",INDEX(מלאי!$G$2:$500,$K94))</f>
        <v/>
      </c>
      <c r="E94" s="8">
        <f>IF($K94="","",INDEX(מלאי!$M$2:$500,$K94))</f>
        <v/>
      </c>
      <c r="F94" s="8">
        <f>IF($K94="","",INDEX(מלאי!$N$2:$500,$K94))</f>
        <v/>
      </c>
      <c r="G94" s="8">
        <f>IF($K94="","",INDEX(מלאי!$O$2:$500,$K94))</f>
        <v/>
      </c>
      <c r="H94" s="8">
        <f>IF($K94="","",INDEX(מלאי!$U$2:$500,$K94))</f>
        <v/>
      </c>
      <c r="I94" s="8">
        <f>IF($K94="","",INDEX(מלאי!$X$2:$500,$K94))</f>
        <v/>
      </c>
      <c r="J94" s="8">
        <f>IF($K94="","",INDEX(מלאי!$AC$2:$500,$K94))</f>
        <v/>
      </c>
      <c r="K9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טכנולוגיים'!$A$2:$500,0))&lt;=$G$6),0))),ROW(מלאי!$A$2:$A$500)-ROW(מלאי!$A$2)+1,""),72),"")</f>
        <v/>
      </c>
      <c r="L94" s="8">
        <f>IF($K94="","",IFERROR(INDEX('ערכים טכנולוגיים'!$K$2:$500,MATCH(A94,'ערכים טכנולוגיים'!$A$2:$500,0)),""))</f>
        <v/>
      </c>
      <c r="M94" s="8">
        <f>IF($K94="","",IFERROR(INDEX('ערכים טכנולוגיים'!$F$2:$500,MATCH(A94,'ערכים טכנולוגיים'!$A$2:$500,0)),""))</f>
        <v/>
      </c>
      <c r="N94" s="8">
        <f>IF($K94="","",IFERROR(INDEX('ערכים טכנולוגיים'!$I$2:$500,MATCH(A94,'ערכים טכנולוגיים'!$A$2:$500,0)),""))</f>
        <v/>
      </c>
      <c r="O94" s="8">
        <f>IF($K94="","",IFERROR(INDEX('ערכים טכנולוגיים'!$G$2:$500,MATCH(A94,'ערכים טכנולוגיים'!$A$2:$500,0)),""))</f>
        <v/>
      </c>
      <c r="P94" s="8">
        <f>IF($K94="","",IFERROR(INDEX('ערכים טכנולוגיים'!$J$2:$500,MATCH(A94,'ערכים טכנולוגיים'!$A$2:$500,0)),""))</f>
        <v/>
      </c>
      <c r="Q94" s="8">
        <f>IF($K94="","",IFERROR(INDEX('ערכים טכנולוגיים'!$N$2:$500,MATCH(A94,'ערכים טכנולוגיים'!$A$2:$500,0)),""))</f>
        <v/>
      </c>
    </row>
    <row r="95">
      <c r="A95" s="2">
        <f>IF($K95="","",INDEX(מלאי!$D$2:$500,$K95))</f>
        <v/>
      </c>
      <c r="B95" s="2">
        <f>IF($K95="","",INDEX(מלאי!$B$2:$500,$K95))</f>
        <v/>
      </c>
      <c r="C95" s="2">
        <f>IF($K95="","",INDEX(מלאי!$C$2:$500,$K95))</f>
        <v/>
      </c>
      <c r="D95" s="2">
        <f>IF($K95="","",INDEX(מלאי!$G$2:$500,$K95))</f>
        <v/>
      </c>
      <c r="E95" s="2">
        <f>IF($K95="","",INDEX(מלאי!$M$2:$500,$K95))</f>
        <v/>
      </c>
      <c r="F95" s="2">
        <f>IF($K95="","",INDEX(מלאי!$N$2:$500,$K95))</f>
        <v/>
      </c>
      <c r="G95" s="2">
        <f>IF($K95="","",INDEX(מלאי!$O$2:$500,$K95))</f>
        <v/>
      </c>
      <c r="H95" s="2">
        <f>IF($K95="","",INDEX(מלאי!$U$2:$500,$K95))</f>
        <v/>
      </c>
      <c r="I95" s="2">
        <f>IF($K95="","",INDEX(מלאי!$X$2:$500,$K95))</f>
        <v/>
      </c>
      <c r="J95" s="2">
        <f>IF($K95="","",INDEX(מלאי!$AC$2:$500,$K95))</f>
        <v/>
      </c>
      <c r="K9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טכנולוגיים'!$A$2:$500,0))&lt;=$G$6),0))),ROW(מלאי!$A$2:$A$500)-ROW(מלאי!$A$2)+1,""),73),"")</f>
        <v/>
      </c>
      <c r="L95" s="2">
        <f>IF($K95="","",IFERROR(INDEX('ערכים טכנולוגיים'!$K$2:$500,MATCH(A95,'ערכים טכנולוגיים'!$A$2:$500,0)),""))</f>
        <v/>
      </c>
      <c r="M95" s="2">
        <f>IF($K95="","",IFERROR(INDEX('ערכים טכנולוגיים'!$F$2:$500,MATCH(A95,'ערכים טכנולוגיים'!$A$2:$500,0)),""))</f>
        <v/>
      </c>
      <c r="N95" s="2">
        <f>IF($K95="","",IFERROR(INDEX('ערכים טכנולוגיים'!$I$2:$500,MATCH(A95,'ערכים טכנולוגיים'!$A$2:$500,0)),""))</f>
        <v/>
      </c>
      <c r="O95" s="2">
        <f>IF($K95="","",IFERROR(INDEX('ערכים טכנולוגיים'!$G$2:$500,MATCH(A95,'ערכים טכנולוגיים'!$A$2:$500,0)),""))</f>
        <v/>
      </c>
      <c r="P95" s="2">
        <f>IF($K95="","",IFERROR(INDEX('ערכים טכנולוגיים'!$J$2:$500,MATCH(A95,'ערכים טכנולוגיים'!$A$2:$500,0)),""))</f>
        <v/>
      </c>
      <c r="Q95" s="2">
        <f>IF($K95="","",IFERROR(INDEX('ערכים טכנולוגיים'!$N$2:$500,MATCH(A95,'ערכים טכנולוגיים'!$A$2:$500,0)),""))</f>
        <v/>
      </c>
    </row>
    <row r="96">
      <c r="A96" s="8">
        <f>IF($K96="","",INDEX(מלאי!$D$2:$500,$K96))</f>
        <v/>
      </c>
      <c r="B96" s="8">
        <f>IF($K96="","",INDEX(מלאי!$B$2:$500,$K96))</f>
        <v/>
      </c>
      <c r="C96" s="8">
        <f>IF($K96="","",INDEX(מלאי!$C$2:$500,$K96))</f>
        <v/>
      </c>
      <c r="D96" s="8">
        <f>IF($K96="","",INDEX(מלאי!$G$2:$500,$K96))</f>
        <v/>
      </c>
      <c r="E96" s="8">
        <f>IF($K96="","",INDEX(מלאי!$M$2:$500,$K96))</f>
        <v/>
      </c>
      <c r="F96" s="8">
        <f>IF($K96="","",INDEX(מלאי!$N$2:$500,$K96))</f>
        <v/>
      </c>
      <c r="G96" s="8">
        <f>IF($K96="","",INDEX(מלאי!$O$2:$500,$K96))</f>
        <v/>
      </c>
      <c r="H96" s="8">
        <f>IF($K96="","",INDEX(מלאי!$U$2:$500,$K96))</f>
        <v/>
      </c>
      <c r="I96" s="8">
        <f>IF($K96="","",INDEX(מלאי!$X$2:$500,$K96))</f>
        <v/>
      </c>
      <c r="J96" s="8">
        <f>IF($K96="","",INDEX(מלאי!$AC$2:$500,$K96))</f>
        <v/>
      </c>
      <c r="K9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טכנולוגיים'!$A$2:$500,0))&lt;=$G$6),0))),ROW(מלאי!$A$2:$A$500)-ROW(מלאי!$A$2)+1,""),74),"")</f>
        <v/>
      </c>
      <c r="L96" s="8">
        <f>IF($K96="","",IFERROR(INDEX('ערכים טכנולוגיים'!$K$2:$500,MATCH(A96,'ערכים טכנולוגיים'!$A$2:$500,0)),""))</f>
        <v/>
      </c>
      <c r="M96" s="8">
        <f>IF($K96="","",IFERROR(INDEX('ערכים טכנולוגיים'!$F$2:$500,MATCH(A96,'ערכים טכנולוגיים'!$A$2:$500,0)),""))</f>
        <v/>
      </c>
      <c r="N96" s="8">
        <f>IF($K96="","",IFERROR(INDEX('ערכים טכנולוגיים'!$I$2:$500,MATCH(A96,'ערכים טכנולוגיים'!$A$2:$500,0)),""))</f>
        <v/>
      </c>
      <c r="O96" s="8">
        <f>IF($K96="","",IFERROR(INDEX('ערכים טכנולוגיים'!$G$2:$500,MATCH(A96,'ערכים טכנולוגיים'!$A$2:$500,0)),""))</f>
        <v/>
      </c>
      <c r="P96" s="8">
        <f>IF($K96="","",IFERROR(INDEX('ערכים טכנולוגיים'!$J$2:$500,MATCH(A96,'ערכים טכנולוגיים'!$A$2:$500,0)),""))</f>
        <v/>
      </c>
      <c r="Q96" s="8">
        <f>IF($K96="","",IFERROR(INDEX('ערכים טכנולוגיים'!$N$2:$500,MATCH(A96,'ערכים טכנולוגיים'!$A$2:$500,0)),""))</f>
        <v/>
      </c>
    </row>
    <row r="97">
      <c r="A97" s="2">
        <f>IF($K97="","",INDEX(מלאי!$D$2:$500,$K97))</f>
        <v/>
      </c>
      <c r="B97" s="2">
        <f>IF($K97="","",INDEX(מלאי!$B$2:$500,$K97))</f>
        <v/>
      </c>
      <c r="C97" s="2">
        <f>IF($K97="","",INDEX(מלאי!$C$2:$500,$K97))</f>
        <v/>
      </c>
      <c r="D97" s="2">
        <f>IF($K97="","",INDEX(מלאי!$G$2:$500,$K97))</f>
        <v/>
      </c>
      <c r="E97" s="2">
        <f>IF($K97="","",INDEX(מלאי!$M$2:$500,$K97))</f>
        <v/>
      </c>
      <c r="F97" s="2">
        <f>IF($K97="","",INDEX(מלאי!$N$2:$500,$K97))</f>
        <v/>
      </c>
      <c r="G97" s="2">
        <f>IF($K97="","",INDEX(מלאי!$O$2:$500,$K97))</f>
        <v/>
      </c>
      <c r="H97" s="2">
        <f>IF($K97="","",INDEX(מלאי!$U$2:$500,$K97))</f>
        <v/>
      </c>
      <c r="I97" s="2">
        <f>IF($K97="","",INDEX(מלאי!$X$2:$500,$K97))</f>
        <v/>
      </c>
      <c r="J97" s="2">
        <f>IF($K97="","",INDEX(מלאי!$AC$2:$500,$K97))</f>
        <v/>
      </c>
      <c r="K9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טכנולוגיים'!$A$2:$500,0))&lt;=$G$6),0))),ROW(מלאי!$A$2:$A$500)-ROW(מלאי!$A$2)+1,""),75),"")</f>
        <v/>
      </c>
      <c r="L97" s="2">
        <f>IF($K97="","",IFERROR(INDEX('ערכים טכנולוגיים'!$K$2:$500,MATCH(A97,'ערכים טכנולוגיים'!$A$2:$500,0)),""))</f>
        <v/>
      </c>
      <c r="M97" s="2">
        <f>IF($K97="","",IFERROR(INDEX('ערכים טכנולוגיים'!$F$2:$500,MATCH(A97,'ערכים טכנולוגיים'!$A$2:$500,0)),""))</f>
        <v/>
      </c>
      <c r="N97" s="2">
        <f>IF($K97="","",IFERROR(INDEX('ערכים טכנולוגיים'!$I$2:$500,MATCH(A97,'ערכים טכנולוגיים'!$A$2:$500,0)),""))</f>
        <v/>
      </c>
      <c r="O97" s="2">
        <f>IF($K97="","",IFERROR(INDEX('ערכים טכנולוגיים'!$G$2:$500,MATCH(A97,'ערכים טכנולוגיים'!$A$2:$500,0)),""))</f>
        <v/>
      </c>
      <c r="P97" s="2">
        <f>IF($K97="","",IFERROR(INDEX('ערכים טכנולוגיים'!$J$2:$500,MATCH(A97,'ערכים טכנולוגיים'!$A$2:$500,0)),""))</f>
        <v/>
      </c>
      <c r="Q97" s="2">
        <f>IF($K97="","",IFERROR(INDEX('ערכים טכנולוגיים'!$N$2:$500,MATCH(A97,'ערכים טכנולוגיים'!$A$2:$500,0)),""))</f>
        <v/>
      </c>
    </row>
    <row r="98">
      <c r="A98" s="8">
        <f>IF($K98="","",INDEX(מלאי!$D$2:$500,$K98))</f>
        <v/>
      </c>
      <c r="B98" s="8">
        <f>IF($K98="","",INDEX(מלאי!$B$2:$500,$K98))</f>
        <v/>
      </c>
      <c r="C98" s="8">
        <f>IF($K98="","",INDEX(מלאי!$C$2:$500,$K98))</f>
        <v/>
      </c>
      <c r="D98" s="8">
        <f>IF($K98="","",INDEX(מלאי!$G$2:$500,$K98))</f>
        <v/>
      </c>
      <c r="E98" s="8">
        <f>IF($K98="","",INDEX(מלאי!$M$2:$500,$K98))</f>
        <v/>
      </c>
      <c r="F98" s="8">
        <f>IF($K98="","",INDEX(מלאי!$N$2:$500,$K98))</f>
        <v/>
      </c>
      <c r="G98" s="8">
        <f>IF($K98="","",INDEX(מלאי!$O$2:$500,$K98))</f>
        <v/>
      </c>
      <c r="H98" s="8">
        <f>IF($K98="","",INDEX(מלאי!$U$2:$500,$K98))</f>
        <v/>
      </c>
      <c r="I98" s="8">
        <f>IF($K98="","",INDEX(מלאי!$X$2:$500,$K98))</f>
        <v/>
      </c>
      <c r="J98" s="8">
        <f>IF($K98="","",INDEX(מלאי!$AC$2:$500,$K98))</f>
        <v/>
      </c>
      <c r="K9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טכנולוגיים'!$A$2:$500,0))&lt;=$G$6),0))),ROW(מלאי!$A$2:$A$500)-ROW(מלאי!$A$2)+1,""),76),"")</f>
        <v/>
      </c>
      <c r="L98" s="8">
        <f>IF($K98="","",IFERROR(INDEX('ערכים טכנולוגיים'!$K$2:$500,MATCH(A98,'ערכים טכנולוגיים'!$A$2:$500,0)),""))</f>
        <v/>
      </c>
      <c r="M98" s="8">
        <f>IF($K98="","",IFERROR(INDEX('ערכים טכנולוגיים'!$F$2:$500,MATCH(A98,'ערכים טכנולוגיים'!$A$2:$500,0)),""))</f>
        <v/>
      </c>
      <c r="N98" s="8">
        <f>IF($K98="","",IFERROR(INDEX('ערכים טכנולוגיים'!$I$2:$500,MATCH(A98,'ערכים טכנולוגיים'!$A$2:$500,0)),""))</f>
        <v/>
      </c>
      <c r="O98" s="8">
        <f>IF($K98="","",IFERROR(INDEX('ערכים טכנולוגיים'!$G$2:$500,MATCH(A98,'ערכים טכנולוגיים'!$A$2:$500,0)),""))</f>
        <v/>
      </c>
      <c r="P98" s="8">
        <f>IF($K98="","",IFERROR(INDEX('ערכים טכנולוגיים'!$J$2:$500,MATCH(A98,'ערכים טכנולוגיים'!$A$2:$500,0)),""))</f>
        <v/>
      </c>
      <c r="Q98" s="8">
        <f>IF($K98="","",IFERROR(INDEX('ערכים טכנולוגיים'!$N$2:$500,MATCH(A98,'ערכים טכנולוגיים'!$A$2:$500,0)),""))</f>
        <v/>
      </c>
    </row>
    <row r="99">
      <c r="A99" s="2">
        <f>IF($K99="","",INDEX(מלאי!$D$2:$500,$K99))</f>
        <v/>
      </c>
      <c r="B99" s="2">
        <f>IF($K99="","",INDEX(מלאי!$B$2:$500,$K99))</f>
        <v/>
      </c>
      <c r="C99" s="2">
        <f>IF($K99="","",INDEX(מלאי!$C$2:$500,$K99))</f>
        <v/>
      </c>
      <c r="D99" s="2">
        <f>IF($K99="","",INDEX(מלאי!$G$2:$500,$K99))</f>
        <v/>
      </c>
      <c r="E99" s="2">
        <f>IF($K99="","",INDEX(מלאי!$M$2:$500,$K99))</f>
        <v/>
      </c>
      <c r="F99" s="2">
        <f>IF($K99="","",INDEX(מלאי!$N$2:$500,$K99))</f>
        <v/>
      </c>
      <c r="G99" s="2">
        <f>IF($K99="","",INDEX(מלאי!$O$2:$500,$K99))</f>
        <v/>
      </c>
      <c r="H99" s="2">
        <f>IF($K99="","",INDEX(מלאי!$U$2:$500,$K99))</f>
        <v/>
      </c>
      <c r="I99" s="2">
        <f>IF($K99="","",INDEX(מלאי!$X$2:$500,$K99))</f>
        <v/>
      </c>
      <c r="J99" s="2">
        <f>IF($K99="","",INDEX(מלאי!$AC$2:$500,$K99))</f>
        <v/>
      </c>
      <c r="K9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טכנולוגיים'!$A$2:$500,0))&lt;=$G$6),0))),ROW(מלאי!$A$2:$A$500)-ROW(מלאי!$A$2)+1,""),77),"")</f>
        <v/>
      </c>
      <c r="L99" s="2">
        <f>IF($K99="","",IFERROR(INDEX('ערכים טכנולוגיים'!$K$2:$500,MATCH(A99,'ערכים טכנולוגיים'!$A$2:$500,0)),""))</f>
        <v/>
      </c>
      <c r="M99" s="2">
        <f>IF($K99="","",IFERROR(INDEX('ערכים טכנולוגיים'!$F$2:$500,MATCH(A99,'ערכים טכנולוגיים'!$A$2:$500,0)),""))</f>
        <v/>
      </c>
      <c r="N99" s="2">
        <f>IF($K99="","",IFERROR(INDEX('ערכים טכנולוגיים'!$I$2:$500,MATCH(A99,'ערכים טכנולוגיים'!$A$2:$500,0)),""))</f>
        <v/>
      </c>
      <c r="O99" s="2">
        <f>IF($K99="","",IFERROR(INDEX('ערכים טכנולוגיים'!$G$2:$500,MATCH(A99,'ערכים טכנולוגיים'!$A$2:$500,0)),""))</f>
        <v/>
      </c>
      <c r="P99" s="2">
        <f>IF($K99="","",IFERROR(INDEX('ערכים טכנולוגיים'!$J$2:$500,MATCH(A99,'ערכים טכנולוגיים'!$A$2:$500,0)),""))</f>
        <v/>
      </c>
      <c r="Q99" s="2">
        <f>IF($K99="","",IFERROR(INDEX('ערכים טכנולוגיים'!$N$2:$500,MATCH(A99,'ערכים טכנולוגיים'!$A$2:$500,0)),""))</f>
        <v/>
      </c>
    </row>
    <row r="100">
      <c r="A100" s="8">
        <f>IF($K100="","",INDEX(מלאי!$D$2:$500,$K100))</f>
        <v/>
      </c>
      <c r="B100" s="8">
        <f>IF($K100="","",INDEX(מלאי!$B$2:$500,$K100))</f>
        <v/>
      </c>
      <c r="C100" s="8">
        <f>IF($K100="","",INDEX(מלאי!$C$2:$500,$K100))</f>
        <v/>
      </c>
      <c r="D100" s="8">
        <f>IF($K100="","",INDEX(מלאי!$G$2:$500,$K100))</f>
        <v/>
      </c>
      <c r="E100" s="8">
        <f>IF($K100="","",INDEX(מלאי!$M$2:$500,$K100))</f>
        <v/>
      </c>
      <c r="F100" s="8">
        <f>IF($K100="","",INDEX(מלאי!$N$2:$500,$K100))</f>
        <v/>
      </c>
      <c r="G100" s="8">
        <f>IF($K100="","",INDEX(מלאי!$O$2:$500,$K100))</f>
        <v/>
      </c>
      <c r="H100" s="8">
        <f>IF($K100="","",INDEX(מלאי!$U$2:$500,$K100))</f>
        <v/>
      </c>
      <c r="I100" s="8">
        <f>IF($K100="","",INDEX(מלאי!$X$2:$500,$K100))</f>
        <v/>
      </c>
      <c r="J100" s="8">
        <f>IF($K100="","",INDEX(מלאי!$AC$2:$500,$K100))</f>
        <v/>
      </c>
      <c r="K10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טכנולוגיים'!$A$2:$500,0))&lt;=$G$6),0))),ROW(מלאי!$A$2:$A$500)-ROW(מלאי!$A$2)+1,""),78),"")</f>
        <v/>
      </c>
      <c r="L100" s="8">
        <f>IF($K100="","",IFERROR(INDEX('ערכים טכנולוגיים'!$K$2:$500,MATCH(A100,'ערכים טכנולוגיים'!$A$2:$500,0)),""))</f>
        <v/>
      </c>
      <c r="M100" s="8">
        <f>IF($K100="","",IFERROR(INDEX('ערכים טכנולוגיים'!$F$2:$500,MATCH(A100,'ערכים טכנולוגיים'!$A$2:$500,0)),""))</f>
        <v/>
      </c>
      <c r="N100" s="8">
        <f>IF($K100="","",IFERROR(INDEX('ערכים טכנולוגיים'!$I$2:$500,MATCH(A100,'ערכים טכנולוגיים'!$A$2:$500,0)),""))</f>
        <v/>
      </c>
      <c r="O100" s="8">
        <f>IF($K100="","",IFERROR(INDEX('ערכים טכנולוגיים'!$G$2:$500,MATCH(A100,'ערכים טכנולוגיים'!$A$2:$500,0)),""))</f>
        <v/>
      </c>
      <c r="P100" s="8">
        <f>IF($K100="","",IFERROR(INDEX('ערכים טכנולוגיים'!$J$2:$500,MATCH(A100,'ערכים טכנולוגיים'!$A$2:$500,0)),""))</f>
        <v/>
      </c>
      <c r="Q100" s="8">
        <f>IF($K100="","",IFERROR(INDEX('ערכים טכנולוגיים'!$N$2:$500,MATCH(A100,'ערכים טכנולוגיים'!$A$2:$500,0)),""))</f>
        <v/>
      </c>
    </row>
    <row r="101">
      <c r="A101" s="2">
        <f>IF($K101="","",INDEX(מלאי!$D$2:$500,$K101))</f>
        <v/>
      </c>
      <c r="B101" s="2">
        <f>IF($K101="","",INDEX(מלאי!$B$2:$500,$K101))</f>
        <v/>
      </c>
      <c r="C101" s="2">
        <f>IF($K101="","",INDEX(מלאי!$C$2:$500,$K101))</f>
        <v/>
      </c>
      <c r="D101" s="2">
        <f>IF($K101="","",INDEX(מלאי!$G$2:$500,$K101))</f>
        <v/>
      </c>
      <c r="E101" s="2">
        <f>IF($K101="","",INDEX(מלאי!$M$2:$500,$K101))</f>
        <v/>
      </c>
      <c r="F101" s="2">
        <f>IF($K101="","",INDEX(מלאי!$N$2:$500,$K101))</f>
        <v/>
      </c>
      <c r="G101" s="2">
        <f>IF($K101="","",INDEX(מלאי!$O$2:$500,$K101))</f>
        <v/>
      </c>
      <c r="H101" s="2">
        <f>IF($K101="","",INDEX(מלאי!$U$2:$500,$K101))</f>
        <v/>
      </c>
      <c r="I101" s="2">
        <f>IF($K101="","",INDEX(מלאי!$X$2:$500,$K101))</f>
        <v/>
      </c>
      <c r="J101" s="2">
        <f>IF($K101="","",INDEX(מלאי!$AC$2:$500,$K101))</f>
        <v/>
      </c>
      <c r="K10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טכנולוגיים'!$A$2:$500,0))&lt;=$G$6),0))),ROW(מלאי!$A$2:$A$500)-ROW(מלאי!$A$2)+1,""),79),"")</f>
        <v/>
      </c>
      <c r="L101" s="2">
        <f>IF($K101="","",IFERROR(INDEX('ערכים טכנולוגיים'!$K$2:$500,MATCH(A101,'ערכים טכנולוגיים'!$A$2:$500,0)),""))</f>
        <v/>
      </c>
      <c r="M101" s="2">
        <f>IF($K101="","",IFERROR(INDEX('ערכים טכנולוגיים'!$F$2:$500,MATCH(A101,'ערכים טכנולוגיים'!$A$2:$500,0)),""))</f>
        <v/>
      </c>
      <c r="N101" s="2">
        <f>IF($K101="","",IFERROR(INDEX('ערכים טכנולוגיים'!$I$2:$500,MATCH(A101,'ערכים טכנולוגיים'!$A$2:$500,0)),""))</f>
        <v/>
      </c>
      <c r="O101" s="2">
        <f>IF($K101="","",IFERROR(INDEX('ערכים טכנולוגיים'!$G$2:$500,MATCH(A101,'ערכים טכנולוגיים'!$A$2:$500,0)),""))</f>
        <v/>
      </c>
      <c r="P101" s="2">
        <f>IF($K101="","",IFERROR(INDEX('ערכים טכנולוגיים'!$J$2:$500,MATCH(A101,'ערכים טכנולוגיים'!$A$2:$500,0)),""))</f>
        <v/>
      </c>
      <c r="Q101" s="2">
        <f>IF($K101="","",IFERROR(INDEX('ערכים טכנולוגיים'!$N$2:$500,MATCH(A101,'ערכים טכנולוגיים'!$A$2:$500,0)),""))</f>
        <v/>
      </c>
    </row>
    <row r="102">
      <c r="A102" s="8">
        <f>IF($K102="","",INDEX(מלאי!$D$2:$500,$K102))</f>
        <v/>
      </c>
      <c r="B102" s="8">
        <f>IF($K102="","",INDEX(מלאי!$B$2:$500,$K102))</f>
        <v/>
      </c>
      <c r="C102" s="8">
        <f>IF($K102="","",INDEX(מלאי!$C$2:$500,$K102))</f>
        <v/>
      </c>
      <c r="D102" s="8">
        <f>IF($K102="","",INDEX(מלאי!$G$2:$500,$K102))</f>
        <v/>
      </c>
      <c r="E102" s="8">
        <f>IF($K102="","",INDEX(מלאי!$M$2:$500,$K102))</f>
        <v/>
      </c>
      <c r="F102" s="8">
        <f>IF($K102="","",INDEX(מלאי!$N$2:$500,$K102))</f>
        <v/>
      </c>
      <c r="G102" s="8">
        <f>IF($K102="","",INDEX(מלאי!$O$2:$500,$K102))</f>
        <v/>
      </c>
      <c r="H102" s="8">
        <f>IF($K102="","",INDEX(מלאי!$U$2:$500,$K102))</f>
        <v/>
      </c>
      <c r="I102" s="8">
        <f>IF($K102="","",INDEX(מלאי!$X$2:$500,$K102))</f>
        <v/>
      </c>
      <c r="J102" s="8">
        <f>IF($K102="","",INDEX(מלאי!$AC$2:$500,$K102))</f>
        <v/>
      </c>
      <c r="K10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טכנולוגיים'!$A$2:$500,0))&lt;=$G$6),0))),ROW(מלאי!$A$2:$A$500)-ROW(מלאי!$A$2)+1,""),80),"")</f>
        <v/>
      </c>
      <c r="L102" s="8">
        <f>IF($K102="","",IFERROR(INDEX('ערכים טכנולוגיים'!$K$2:$500,MATCH(A102,'ערכים טכנולוגיים'!$A$2:$500,0)),""))</f>
        <v/>
      </c>
      <c r="M102" s="8">
        <f>IF($K102="","",IFERROR(INDEX('ערכים טכנולוגיים'!$F$2:$500,MATCH(A102,'ערכים טכנולוגיים'!$A$2:$500,0)),""))</f>
        <v/>
      </c>
      <c r="N102" s="8">
        <f>IF($K102="","",IFERROR(INDEX('ערכים טכנולוגיים'!$I$2:$500,MATCH(A102,'ערכים טכנולוגיים'!$A$2:$500,0)),""))</f>
        <v/>
      </c>
      <c r="O102" s="8">
        <f>IF($K102="","",IFERROR(INDEX('ערכים טכנולוגיים'!$G$2:$500,MATCH(A102,'ערכים טכנולוגיים'!$A$2:$500,0)),""))</f>
        <v/>
      </c>
      <c r="P102" s="8">
        <f>IF($K102="","",IFERROR(INDEX('ערכים טכנולוגיים'!$J$2:$500,MATCH(A102,'ערכים טכנולוגיים'!$A$2:$500,0)),""))</f>
        <v/>
      </c>
      <c r="Q102" s="8">
        <f>IF($K102="","",IFERROR(INDEX('ערכים טכנולוגיים'!$N$2:$500,MATCH(A102,'ערכים טכנולוגיים'!$A$2:$500,0)),""))</f>
        <v/>
      </c>
    </row>
    <row r="103">
      <c r="A103" s="2">
        <f>IF($K103="","",INDEX(מלאי!$D$2:$500,$K103))</f>
        <v/>
      </c>
      <c r="B103" s="2">
        <f>IF($K103="","",INDEX(מלאי!$B$2:$500,$K103))</f>
        <v/>
      </c>
      <c r="C103" s="2">
        <f>IF($K103="","",INDEX(מלאי!$C$2:$500,$K103))</f>
        <v/>
      </c>
      <c r="D103" s="2">
        <f>IF($K103="","",INDEX(מלאי!$G$2:$500,$K103))</f>
        <v/>
      </c>
      <c r="E103" s="2">
        <f>IF($K103="","",INDEX(מלאי!$M$2:$500,$K103))</f>
        <v/>
      </c>
      <c r="F103" s="2">
        <f>IF($K103="","",INDEX(מלאי!$N$2:$500,$K103))</f>
        <v/>
      </c>
      <c r="G103" s="2">
        <f>IF($K103="","",INDEX(מלאי!$O$2:$500,$K103))</f>
        <v/>
      </c>
      <c r="H103" s="2">
        <f>IF($K103="","",INDEX(מלאי!$U$2:$500,$K103))</f>
        <v/>
      </c>
      <c r="I103" s="2">
        <f>IF($K103="","",INDEX(מלאי!$X$2:$500,$K103))</f>
        <v/>
      </c>
      <c r="J103" s="2">
        <f>IF($K103="","",INDEX(מלאי!$AC$2:$500,$K103))</f>
        <v/>
      </c>
      <c r="K10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טכנולוגיים'!$A$2:$500,0))&lt;=$G$6),0))),ROW(מלאי!$A$2:$A$500)-ROW(מלאי!$A$2)+1,""),81),"")</f>
        <v/>
      </c>
      <c r="L103" s="2">
        <f>IF($K103="","",IFERROR(INDEX('ערכים טכנולוגיים'!$K$2:$500,MATCH(A103,'ערכים טכנולוגיים'!$A$2:$500,0)),""))</f>
        <v/>
      </c>
      <c r="M103" s="2">
        <f>IF($K103="","",IFERROR(INDEX('ערכים טכנולוגיים'!$F$2:$500,MATCH(A103,'ערכים טכנולוגיים'!$A$2:$500,0)),""))</f>
        <v/>
      </c>
      <c r="N103" s="2">
        <f>IF($K103="","",IFERROR(INDEX('ערכים טכנולוגיים'!$I$2:$500,MATCH(A103,'ערכים טכנולוגיים'!$A$2:$500,0)),""))</f>
        <v/>
      </c>
      <c r="O103" s="2">
        <f>IF($K103="","",IFERROR(INDEX('ערכים טכנולוגיים'!$G$2:$500,MATCH(A103,'ערכים טכנולוגיים'!$A$2:$500,0)),""))</f>
        <v/>
      </c>
      <c r="P103" s="2">
        <f>IF($K103="","",IFERROR(INDEX('ערכים טכנולוגיים'!$J$2:$500,MATCH(A103,'ערכים טכנולוגיים'!$A$2:$500,0)),""))</f>
        <v/>
      </c>
      <c r="Q103" s="2">
        <f>IF($K103="","",IFERROR(INDEX('ערכים טכנולוגיים'!$N$2:$500,MATCH(A103,'ערכים טכנולוגיים'!$A$2:$500,0)),""))</f>
        <v/>
      </c>
    </row>
    <row r="104">
      <c r="A104" s="8">
        <f>IF($K104="","",INDEX(מלאי!$D$2:$500,$K104))</f>
        <v/>
      </c>
      <c r="B104" s="8">
        <f>IF($K104="","",INDEX(מלאי!$B$2:$500,$K104))</f>
        <v/>
      </c>
      <c r="C104" s="8">
        <f>IF($K104="","",INDEX(מלאי!$C$2:$500,$K104))</f>
        <v/>
      </c>
      <c r="D104" s="8">
        <f>IF($K104="","",INDEX(מלאי!$G$2:$500,$K104))</f>
        <v/>
      </c>
      <c r="E104" s="8">
        <f>IF($K104="","",INDEX(מלאי!$M$2:$500,$K104))</f>
        <v/>
      </c>
      <c r="F104" s="8">
        <f>IF($K104="","",INDEX(מלאי!$N$2:$500,$K104))</f>
        <v/>
      </c>
      <c r="G104" s="8">
        <f>IF($K104="","",INDEX(מלאי!$O$2:$500,$K104))</f>
        <v/>
      </c>
      <c r="H104" s="8">
        <f>IF($K104="","",INDEX(מלאי!$U$2:$500,$K104))</f>
        <v/>
      </c>
      <c r="I104" s="8">
        <f>IF($K104="","",INDEX(מלאי!$X$2:$500,$K104))</f>
        <v/>
      </c>
      <c r="J104" s="8">
        <f>IF($K104="","",INDEX(מלאי!$AC$2:$500,$K104))</f>
        <v/>
      </c>
      <c r="K10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טכנולוגיים'!$A$2:$500,0))&lt;=$G$6),0))),ROW(מלאי!$A$2:$A$500)-ROW(מלאי!$A$2)+1,""),82),"")</f>
        <v/>
      </c>
      <c r="L104" s="8">
        <f>IF($K104="","",IFERROR(INDEX('ערכים טכנולוגיים'!$K$2:$500,MATCH(A104,'ערכים טכנולוגיים'!$A$2:$500,0)),""))</f>
        <v/>
      </c>
      <c r="M104" s="8">
        <f>IF($K104="","",IFERROR(INDEX('ערכים טכנולוגיים'!$F$2:$500,MATCH(A104,'ערכים טכנולוגיים'!$A$2:$500,0)),""))</f>
        <v/>
      </c>
      <c r="N104" s="8">
        <f>IF($K104="","",IFERROR(INDEX('ערכים טכנולוגיים'!$I$2:$500,MATCH(A104,'ערכים טכנולוגיים'!$A$2:$500,0)),""))</f>
        <v/>
      </c>
      <c r="O104" s="8">
        <f>IF($K104="","",IFERROR(INDEX('ערכים טכנולוגיים'!$G$2:$500,MATCH(A104,'ערכים טכנולוגיים'!$A$2:$500,0)),""))</f>
        <v/>
      </c>
      <c r="P104" s="8">
        <f>IF($K104="","",IFERROR(INDEX('ערכים טכנולוגיים'!$J$2:$500,MATCH(A104,'ערכים טכנולוגיים'!$A$2:$500,0)),""))</f>
        <v/>
      </c>
      <c r="Q104" s="8">
        <f>IF($K104="","",IFERROR(INDEX('ערכים טכנולוגיים'!$N$2:$500,MATCH(A104,'ערכים טכנולוגיים'!$A$2:$500,0)),""))</f>
        <v/>
      </c>
    </row>
    <row r="105">
      <c r="A105" s="2">
        <f>IF($K105="","",INDEX(מלאי!$D$2:$500,$K105))</f>
        <v/>
      </c>
      <c r="B105" s="2">
        <f>IF($K105="","",INDEX(מלאי!$B$2:$500,$K105))</f>
        <v/>
      </c>
      <c r="C105" s="2">
        <f>IF($K105="","",INDEX(מלאי!$C$2:$500,$K105))</f>
        <v/>
      </c>
      <c r="D105" s="2">
        <f>IF($K105="","",INDEX(מלאי!$G$2:$500,$K105))</f>
        <v/>
      </c>
      <c r="E105" s="2">
        <f>IF($K105="","",INDEX(מלאי!$M$2:$500,$K105))</f>
        <v/>
      </c>
      <c r="F105" s="2">
        <f>IF($K105="","",INDEX(מלאי!$N$2:$500,$K105))</f>
        <v/>
      </c>
      <c r="G105" s="2">
        <f>IF($K105="","",INDEX(מלאי!$O$2:$500,$K105))</f>
        <v/>
      </c>
      <c r="H105" s="2">
        <f>IF($K105="","",INDEX(מלאי!$U$2:$500,$K105))</f>
        <v/>
      </c>
      <c r="I105" s="2">
        <f>IF($K105="","",INDEX(מלאי!$X$2:$500,$K105))</f>
        <v/>
      </c>
      <c r="J105" s="2">
        <f>IF($K105="","",INDEX(מלאי!$AC$2:$500,$K105))</f>
        <v/>
      </c>
      <c r="K10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טכנולוגיים'!$A$2:$500,0))&lt;=$G$6),0))),ROW(מלאי!$A$2:$A$500)-ROW(מלאי!$A$2)+1,""),83),"")</f>
        <v/>
      </c>
      <c r="L105" s="2">
        <f>IF($K105="","",IFERROR(INDEX('ערכים טכנולוגיים'!$K$2:$500,MATCH(A105,'ערכים טכנולוגיים'!$A$2:$500,0)),""))</f>
        <v/>
      </c>
      <c r="M105" s="2">
        <f>IF($K105="","",IFERROR(INDEX('ערכים טכנולוגיים'!$F$2:$500,MATCH(A105,'ערכים טכנולוגיים'!$A$2:$500,0)),""))</f>
        <v/>
      </c>
      <c r="N105" s="2">
        <f>IF($K105="","",IFERROR(INDEX('ערכים טכנולוגיים'!$I$2:$500,MATCH(A105,'ערכים טכנולוגיים'!$A$2:$500,0)),""))</f>
        <v/>
      </c>
      <c r="O105" s="2">
        <f>IF($K105="","",IFERROR(INDEX('ערכים טכנולוגיים'!$G$2:$500,MATCH(A105,'ערכים טכנולוגיים'!$A$2:$500,0)),""))</f>
        <v/>
      </c>
      <c r="P105" s="2">
        <f>IF($K105="","",IFERROR(INDEX('ערכים טכנולוגיים'!$J$2:$500,MATCH(A105,'ערכים טכנולוגיים'!$A$2:$500,0)),""))</f>
        <v/>
      </c>
      <c r="Q105" s="2">
        <f>IF($K105="","",IFERROR(INDEX('ערכים טכנולוגיים'!$N$2:$500,MATCH(A105,'ערכים טכנולוגיים'!$A$2:$500,0)),""))</f>
        <v/>
      </c>
    </row>
    <row r="106">
      <c r="A106" s="8">
        <f>IF($K106="","",INDEX(מלאי!$D$2:$500,$K106))</f>
        <v/>
      </c>
      <c r="B106" s="8">
        <f>IF($K106="","",INDEX(מלאי!$B$2:$500,$K106))</f>
        <v/>
      </c>
      <c r="C106" s="8">
        <f>IF($K106="","",INDEX(מלאי!$C$2:$500,$K106))</f>
        <v/>
      </c>
      <c r="D106" s="8">
        <f>IF($K106="","",INDEX(מלאי!$G$2:$500,$K106))</f>
        <v/>
      </c>
      <c r="E106" s="8">
        <f>IF($K106="","",INDEX(מלאי!$M$2:$500,$K106))</f>
        <v/>
      </c>
      <c r="F106" s="8">
        <f>IF($K106="","",INDEX(מלאי!$N$2:$500,$K106))</f>
        <v/>
      </c>
      <c r="G106" s="8">
        <f>IF($K106="","",INDEX(מלאי!$O$2:$500,$K106))</f>
        <v/>
      </c>
      <c r="H106" s="8">
        <f>IF($K106="","",INDEX(מלאי!$U$2:$500,$K106))</f>
        <v/>
      </c>
      <c r="I106" s="8">
        <f>IF($K106="","",INDEX(מלאי!$X$2:$500,$K106))</f>
        <v/>
      </c>
      <c r="J106" s="8">
        <f>IF($K106="","",INDEX(מלאי!$AC$2:$500,$K106))</f>
        <v/>
      </c>
      <c r="K10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טכנולוגיים'!$A$2:$500,0))&lt;=$G$6),0))),ROW(מלאי!$A$2:$A$500)-ROW(מלאי!$A$2)+1,""),84),"")</f>
        <v/>
      </c>
      <c r="L106" s="8">
        <f>IF($K106="","",IFERROR(INDEX('ערכים טכנולוגיים'!$K$2:$500,MATCH(A106,'ערכים טכנולוגיים'!$A$2:$500,0)),""))</f>
        <v/>
      </c>
      <c r="M106" s="8">
        <f>IF($K106="","",IFERROR(INDEX('ערכים טכנולוגיים'!$F$2:$500,MATCH(A106,'ערכים טכנולוגיים'!$A$2:$500,0)),""))</f>
        <v/>
      </c>
      <c r="N106" s="8">
        <f>IF($K106="","",IFERROR(INDEX('ערכים טכנולוגיים'!$I$2:$500,MATCH(A106,'ערכים טכנולוגיים'!$A$2:$500,0)),""))</f>
        <v/>
      </c>
      <c r="O106" s="8">
        <f>IF($K106="","",IFERROR(INDEX('ערכים טכנולוגיים'!$G$2:$500,MATCH(A106,'ערכים טכנולוגיים'!$A$2:$500,0)),""))</f>
        <v/>
      </c>
      <c r="P106" s="8">
        <f>IF($K106="","",IFERROR(INDEX('ערכים טכנולוגיים'!$J$2:$500,MATCH(A106,'ערכים טכנולוגיים'!$A$2:$500,0)),""))</f>
        <v/>
      </c>
      <c r="Q106" s="8">
        <f>IF($K106="","",IFERROR(INDEX('ערכים טכנולוגיים'!$N$2:$500,MATCH(A106,'ערכים טכנולוגיים'!$A$2:$500,0)),""))</f>
        <v/>
      </c>
    </row>
    <row r="107">
      <c r="A107" s="2">
        <f>IF($K107="","",INDEX(מלאי!$D$2:$500,$K107))</f>
        <v/>
      </c>
      <c r="B107" s="2">
        <f>IF($K107="","",INDEX(מלאי!$B$2:$500,$K107))</f>
        <v/>
      </c>
      <c r="C107" s="2">
        <f>IF($K107="","",INDEX(מלאי!$C$2:$500,$K107))</f>
        <v/>
      </c>
      <c r="D107" s="2">
        <f>IF($K107="","",INDEX(מלאי!$G$2:$500,$K107))</f>
        <v/>
      </c>
      <c r="E107" s="2">
        <f>IF($K107="","",INDEX(מלאי!$M$2:$500,$K107))</f>
        <v/>
      </c>
      <c r="F107" s="2">
        <f>IF($K107="","",INDEX(מלאי!$N$2:$500,$K107))</f>
        <v/>
      </c>
      <c r="G107" s="2">
        <f>IF($K107="","",INDEX(מלאי!$O$2:$500,$K107))</f>
        <v/>
      </c>
      <c r="H107" s="2">
        <f>IF($K107="","",INDEX(מלאי!$U$2:$500,$K107))</f>
        <v/>
      </c>
      <c r="I107" s="2">
        <f>IF($K107="","",INDEX(מלאי!$X$2:$500,$K107))</f>
        <v/>
      </c>
      <c r="J107" s="2">
        <f>IF($K107="","",INDEX(מלאי!$AC$2:$500,$K107))</f>
        <v/>
      </c>
      <c r="K10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טכנולוגיים'!$A$2:$500,0))&lt;=$G$6),0))),ROW(מלאי!$A$2:$A$500)-ROW(מלאי!$A$2)+1,""),85),"")</f>
        <v/>
      </c>
      <c r="L107" s="2">
        <f>IF($K107="","",IFERROR(INDEX('ערכים טכנולוגיים'!$K$2:$500,MATCH(A107,'ערכים טכנולוגיים'!$A$2:$500,0)),""))</f>
        <v/>
      </c>
      <c r="M107" s="2">
        <f>IF($K107="","",IFERROR(INDEX('ערכים טכנולוגיים'!$F$2:$500,MATCH(A107,'ערכים טכנולוגיים'!$A$2:$500,0)),""))</f>
        <v/>
      </c>
      <c r="N107" s="2">
        <f>IF($K107="","",IFERROR(INDEX('ערכים טכנולוגיים'!$I$2:$500,MATCH(A107,'ערכים טכנולוגיים'!$A$2:$500,0)),""))</f>
        <v/>
      </c>
      <c r="O107" s="2">
        <f>IF($K107="","",IFERROR(INDEX('ערכים טכנולוגיים'!$G$2:$500,MATCH(A107,'ערכים טכנולוגיים'!$A$2:$500,0)),""))</f>
        <v/>
      </c>
      <c r="P107" s="2">
        <f>IF($K107="","",IFERROR(INDEX('ערכים טכנולוגיים'!$J$2:$500,MATCH(A107,'ערכים טכנולוגיים'!$A$2:$500,0)),""))</f>
        <v/>
      </c>
      <c r="Q107" s="2">
        <f>IF($K107="","",IFERROR(INDEX('ערכים טכנולוגיים'!$N$2:$500,MATCH(A107,'ערכים טכנולוגיים'!$A$2:$500,0)),""))</f>
        <v/>
      </c>
    </row>
    <row r="108">
      <c r="A108" s="8">
        <f>IF($K108="","",INDEX(מלאי!$D$2:$500,$K108))</f>
        <v/>
      </c>
      <c r="B108" s="8">
        <f>IF($K108="","",INDEX(מלאי!$B$2:$500,$K108))</f>
        <v/>
      </c>
      <c r="C108" s="8">
        <f>IF($K108="","",INDEX(מלאי!$C$2:$500,$K108))</f>
        <v/>
      </c>
      <c r="D108" s="8">
        <f>IF($K108="","",INDEX(מלאי!$G$2:$500,$K108))</f>
        <v/>
      </c>
      <c r="E108" s="8">
        <f>IF($K108="","",INDEX(מלאי!$M$2:$500,$K108))</f>
        <v/>
      </c>
      <c r="F108" s="8">
        <f>IF($K108="","",INDEX(מלאי!$N$2:$500,$K108))</f>
        <v/>
      </c>
      <c r="G108" s="8">
        <f>IF($K108="","",INDEX(מלאי!$O$2:$500,$K108))</f>
        <v/>
      </c>
      <c r="H108" s="8">
        <f>IF($K108="","",INDEX(מלאי!$U$2:$500,$K108))</f>
        <v/>
      </c>
      <c r="I108" s="8">
        <f>IF($K108="","",INDEX(מלאי!$X$2:$500,$K108))</f>
        <v/>
      </c>
      <c r="J108" s="8">
        <f>IF($K108="","",INDEX(מלאי!$AC$2:$500,$K108))</f>
        <v/>
      </c>
      <c r="K10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טכנולוגיים'!$A$2:$500,0))&lt;=$G$6),0))),ROW(מלאי!$A$2:$A$500)-ROW(מלאי!$A$2)+1,""),86),"")</f>
        <v/>
      </c>
      <c r="L108" s="8">
        <f>IF($K108="","",IFERROR(INDEX('ערכים טכנולוגיים'!$K$2:$500,MATCH(A108,'ערכים טכנולוגיים'!$A$2:$500,0)),""))</f>
        <v/>
      </c>
      <c r="M108" s="8">
        <f>IF($K108="","",IFERROR(INDEX('ערכים טכנולוגיים'!$F$2:$500,MATCH(A108,'ערכים טכנולוגיים'!$A$2:$500,0)),""))</f>
        <v/>
      </c>
      <c r="N108" s="8">
        <f>IF($K108="","",IFERROR(INDEX('ערכים טכנולוגיים'!$I$2:$500,MATCH(A108,'ערכים טכנולוגיים'!$A$2:$500,0)),""))</f>
        <v/>
      </c>
      <c r="O108" s="8">
        <f>IF($K108="","",IFERROR(INDEX('ערכים טכנולוגיים'!$G$2:$500,MATCH(A108,'ערכים טכנולוגיים'!$A$2:$500,0)),""))</f>
        <v/>
      </c>
      <c r="P108" s="8">
        <f>IF($K108="","",IFERROR(INDEX('ערכים טכנולוגיים'!$J$2:$500,MATCH(A108,'ערכים טכנולוגיים'!$A$2:$500,0)),""))</f>
        <v/>
      </c>
      <c r="Q108" s="8">
        <f>IF($K108="","",IFERROR(INDEX('ערכים טכנולוגיים'!$N$2:$500,MATCH(A108,'ערכים טכנולוגיים'!$A$2:$500,0)),""))</f>
        <v/>
      </c>
    </row>
    <row r="109">
      <c r="A109" s="2">
        <f>IF($K109="","",INDEX(מלאי!$D$2:$500,$K109))</f>
        <v/>
      </c>
      <c r="B109" s="2">
        <f>IF($K109="","",INDEX(מלאי!$B$2:$500,$K109))</f>
        <v/>
      </c>
      <c r="C109" s="2">
        <f>IF($K109="","",INDEX(מלאי!$C$2:$500,$K109))</f>
        <v/>
      </c>
      <c r="D109" s="2">
        <f>IF($K109="","",INDEX(מלאי!$G$2:$500,$K109))</f>
        <v/>
      </c>
      <c r="E109" s="2">
        <f>IF($K109="","",INDEX(מלאי!$M$2:$500,$K109))</f>
        <v/>
      </c>
      <c r="F109" s="2">
        <f>IF($K109="","",INDEX(מלאי!$N$2:$500,$K109))</f>
        <v/>
      </c>
      <c r="G109" s="2">
        <f>IF($K109="","",INDEX(מלאי!$O$2:$500,$K109))</f>
        <v/>
      </c>
      <c r="H109" s="2">
        <f>IF($K109="","",INDEX(מלאי!$U$2:$500,$K109))</f>
        <v/>
      </c>
      <c r="I109" s="2">
        <f>IF($K109="","",INDEX(מלאי!$X$2:$500,$K109))</f>
        <v/>
      </c>
      <c r="J109" s="2">
        <f>IF($K109="","",INDEX(מלאי!$AC$2:$500,$K109))</f>
        <v/>
      </c>
      <c r="K10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טכנולוגיים'!$A$2:$500,0))&lt;=$G$6),0))),ROW(מלאי!$A$2:$A$500)-ROW(מלאי!$A$2)+1,""),87),"")</f>
        <v/>
      </c>
      <c r="L109" s="2">
        <f>IF($K109="","",IFERROR(INDEX('ערכים טכנולוגיים'!$K$2:$500,MATCH(A109,'ערכים טכנולוגיים'!$A$2:$500,0)),""))</f>
        <v/>
      </c>
      <c r="M109" s="2">
        <f>IF($K109="","",IFERROR(INDEX('ערכים טכנולוגיים'!$F$2:$500,MATCH(A109,'ערכים טכנולוגיים'!$A$2:$500,0)),""))</f>
        <v/>
      </c>
      <c r="N109" s="2">
        <f>IF($K109="","",IFERROR(INDEX('ערכים טכנולוגיים'!$I$2:$500,MATCH(A109,'ערכים טכנולוגיים'!$A$2:$500,0)),""))</f>
        <v/>
      </c>
      <c r="O109" s="2">
        <f>IF($K109="","",IFERROR(INDEX('ערכים טכנולוגיים'!$G$2:$500,MATCH(A109,'ערכים טכנולוגיים'!$A$2:$500,0)),""))</f>
        <v/>
      </c>
      <c r="P109" s="2">
        <f>IF($K109="","",IFERROR(INDEX('ערכים טכנולוגיים'!$J$2:$500,MATCH(A109,'ערכים טכנולוגיים'!$A$2:$500,0)),""))</f>
        <v/>
      </c>
      <c r="Q109" s="2">
        <f>IF($K109="","",IFERROR(INDEX('ערכים טכנולוגיים'!$N$2:$500,MATCH(A109,'ערכים טכנולוגיים'!$A$2:$500,0)),""))</f>
        <v/>
      </c>
    </row>
    <row r="110">
      <c r="A110" s="8">
        <f>IF($K110="","",INDEX(מלאי!$D$2:$500,$K110))</f>
        <v/>
      </c>
      <c r="B110" s="8">
        <f>IF($K110="","",INDEX(מלאי!$B$2:$500,$K110))</f>
        <v/>
      </c>
      <c r="C110" s="8">
        <f>IF($K110="","",INDEX(מלאי!$C$2:$500,$K110))</f>
        <v/>
      </c>
      <c r="D110" s="8">
        <f>IF($K110="","",INDEX(מלאי!$G$2:$500,$K110))</f>
        <v/>
      </c>
      <c r="E110" s="8">
        <f>IF($K110="","",INDEX(מלאי!$M$2:$500,$K110))</f>
        <v/>
      </c>
      <c r="F110" s="8">
        <f>IF($K110="","",INDEX(מלאי!$N$2:$500,$K110))</f>
        <v/>
      </c>
      <c r="G110" s="8">
        <f>IF($K110="","",INDEX(מלאי!$O$2:$500,$K110))</f>
        <v/>
      </c>
      <c r="H110" s="8">
        <f>IF($K110="","",INDEX(מלאי!$U$2:$500,$K110))</f>
        <v/>
      </c>
      <c r="I110" s="8">
        <f>IF($K110="","",INDEX(מלאי!$X$2:$500,$K110))</f>
        <v/>
      </c>
      <c r="J110" s="8">
        <f>IF($K110="","",INDEX(מלאי!$AC$2:$500,$K110))</f>
        <v/>
      </c>
      <c r="K11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טכנולוגיים'!$A$2:$500,0))&lt;=$G$6),0))),ROW(מלאי!$A$2:$A$500)-ROW(מלאי!$A$2)+1,""),88),"")</f>
        <v/>
      </c>
      <c r="L110" s="8">
        <f>IF($K110="","",IFERROR(INDEX('ערכים טכנולוגיים'!$K$2:$500,MATCH(A110,'ערכים טכנולוגיים'!$A$2:$500,0)),""))</f>
        <v/>
      </c>
      <c r="M110" s="8">
        <f>IF($K110="","",IFERROR(INDEX('ערכים טכנולוגיים'!$F$2:$500,MATCH(A110,'ערכים טכנולוגיים'!$A$2:$500,0)),""))</f>
        <v/>
      </c>
      <c r="N110" s="8">
        <f>IF($K110="","",IFERROR(INDEX('ערכים טכנולוגיים'!$I$2:$500,MATCH(A110,'ערכים טכנולוגיים'!$A$2:$500,0)),""))</f>
        <v/>
      </c>
      <c r="O110" s="8">
        <f>IF($K110="","",IFERROR(INDEX('ערכים טכנולוגיים'!$G$2:$500,MATCH(A110,'ערכים טכנולוגיים'!$A$2:$500,0)),""))</f>
        <v/>
      </c>
      <c r="P110" s="8">
        <f>IF($K110="","",IFERROR(INDEX('ערכים טכנולוגיים'!$J$2:$500,MATCH(A110,'ערכים טכנולוגיים'!$A$2:$500,0)),""))</f>
        <v/>
      </c>
      <c r="Q110" s="8">
        <f>IF($K110="","",IFERROR(INDEX('ערכים טכנולוגיים'!$N$2:$500,MATCH(A110,'ערכים טכנולוגיים'!$A$2:$500,0)),""))</f>
        <v/>
      </c>
    </row>
    <row r="111">
      <c r="A111" s="2">
        <f>IF($K111="","",INDEX(מלאי!$D$2:$500,$K111))</f>
        <v/>
      </c>
      <c r="B111" s="2">
        <f>IF($K111="","",INDEX(מלאי!$B$2:$500,$K111))</f>
        <v/>
      </c>
      <c r="C111" s="2">
        <f>IF($K111="","",INDEX(מלאי!$C$2:$500,$K111))</f>
        <v/>
      </c>
      <c r="D111" s="2">
        <f>IF($K111="","",INDEX(מלאי!$G$2:$500,$K111))</f>
        <v/>
      </c>
      <c r="E111" s="2">
        <f>IF($K111="","",INDEX(מלאי!$M$2:$500,$K111))</f>
        <v/>
      </c>
      <c r="F111" s="2">
        <f>IF($K111="","",INDEX(מלאי!$N$2:$500,$K111))</f>
        <v/>
      </c>
      <c r="G111" s="2">
        <f>IF($K111="","",INDEX(מלאי!$O$2:$500,$K111))</f>
        <v/>
      </c>
      <c r="H111" s="2">
        <f>IF($K111="","",INDEX(מלאי!$U$2:$500,$K111))</f>
        <v/>
      </c>
      <c r="I111" s="2">
        <f>IF($K111="","",INDEX(מלאי!$X$2:$500,$K111))</f>
        <v/>
      </c>
      <c r="J111" s="2">
        <f>IF($K111="","",INDEX(מלאי!$AC$2:$500,$K111))</f>
        <v/>
      </c>
      <c r="K11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טכנולוגיים'!$A$2:$500,0))&lt;=$G$6),0))),ROW(מלאי!$A$2:$A$500)-ROW(מלאי!$A$2)+1,""),89),"")</f>
        <v/>
      </c>
      <c r="L111" s="2">
        <f>IF($K111="","",IFERROR(INDEX('ערכים טכנולוגיים'!$K$2:$500,MATCH(A111,'ערכים טכנולוגיים'!$A$2:$500,0)),""))</f>
        <v/>
      </c>
      <c r="M111" s="2">
        <f>IF($K111="","",IFERROR(INDEX('ערכים טכנולוגיים'!$F$2:$500,MATCH(A111,'ערכים טכנולוגיים'!$A$2:$500,0)),""))</f>
        <v/>
      </c>
      <c r="N111" s="2">
        <f>IF($K111="","",IFERROR(INDEX('ערכים טכנולוגיים'!$I$2:$500,MATCH(A111,'ערכים טכנולוגיים'!$A$2:$500,0)),""))</f>
        <v/>
      </c>
      <c r="O111" s="2">
        <f>IF($K111="","",IFERROR(INDEX('ערכים טכנולוגיים'!$G$2:$500,MATCH(A111,'ערכים טכנולוגיים'!$A$2:$500,0)),""))</f>
        <v/>
      </c>
      <c r="P111" s="2">
        <f>IF($K111="","",IFERROR(INDEX('ערכים טכנולוגיים'!$J$2:$500,MATCH(A111,'ערכים טכנולוגיים'!$A$2:$500,0)),""))</f>
        <v/>
      </c>
      <c r="Q111" s="2">
        <f>IF($K111="","",IFERROR(INDEX('ערכים טכנולוגיים'!$N$2:$500,MATCH(A111,'ערכים טכנולוגיים'!$A$2:$500,0)),""))</f>
        <v/>
      </c>
    </row>
    <row r="112">
      <c r="A112" s="8">
        <f>IF($K112="","",INDEX(מלאי!$D$2:$500,$K112))</f>
        <v/>
      </c>
      <c r="B112" s="8">
        <f>IF($K112="","",INDEX(מלאי!$B$2:$500,$K112))</f>
        <v/>
      </c>
      <c r="C112" s="8">
        <f>IF($K112="","",INDEX(מלאי!$C$2:$500,$K112))</f>
        <v/>
      </c>
      <c r="D112" s="8">
        <f>IF($K112="","",INDEX(מלאי!$G$2:$500,$K112))</f>
        <v/>
      </c>
      <c r="E112" s="8">
        <f>IF($K112="","",INDEX(מלאי!$M$2:$500,$K112))</f>
        <v/>
      </c>
      <c r="F112" s="8">
        <f>IF($K112="","",INDEX(מלאי!$N$2:$500,$K112))</f>
        <v/>
      </c>
      <c r="G112" s="8">
        <f>IF($K112="","",INDEX(מלאי!$O$2:$500,$K112))</f>
        <v/>
      </c>
      <c r="H112" s="8">
        <f>IF($K112="","",INDEX(מלאי!$U$2:$500,$K112))</f>
        <v/>
      </c>
      <c r="I112" s="8">
        <f>IF($K112="","",INDEX(מלאי!$X$2:$500,$K112))</f>
        <v/>
      </c>
      <c r="J112" s="8">
        <f>IF($K112="","",INDEX(מלאי!$AC$2:$500,$K112))</f>
        <v/>
      </c>
      <c r="K11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טכנולוגיים'!$A$2:$500,0))&lt;=$G$6),0))),ROW(מלאי!$A$2:$A$500)-ROW(מלאי!$A$2)+1,""),90),"")</f>
        <v/>
      </c>
      <c r="L112" s="8">
        <f>IF($K112="","",IFERROR(INDEX('ערכים טכנולוגיים'!$K$2:$500,MATCH(A112,'ערכים טכנולוגיים'!$A$2:$500,0)),""))</f>
        <v/>
      </c>
      <c r="M112" s="8">
        <f>IF($K112="","",IFERROR(INDEX('ערכים טכנולוגיים'!$F$2:$500,MATCH(A112,'ערכים טכנולוגיים'!$A$2:$500,0)),""))</f>
        <v/>
      </c>
      <c r="N112" s="8">
        <f>IF($K112="","",IFERROR(INDEX('ערכים טכנולוגיים'!$I$2:$500,MATCH(A112,'ערכים טכנולוגיים'!$A$2:$500,0)),""))</f>
        <v/>
      </c>
      <c r="O112" s="8">
        <f>IF($K112="","",IFERROR(INDEX('ערכים טכנולוגיים'!$G$2:$500,MATCH(A112,'ערכים טכנולוגיים'!$A$2:$500,0)),""))</f>
        <v/>
      </c>
      <c r="P112" s="8">
        <f>IF($K112="","",IFERROR(INDEX('ערכים טכנולוגיים'!$J$2:$500,MATCH(A112,'ערכים טכנולוגיים'!$A$2:$500,0)),""))</f>
        <v/>
      </c>
      <c r="Q112" s="8">
        <f>IF($K112="","",IFERROR(INDEX('ערכים טכנולוגיים'!$N$2:$500,MATCH(A112,'ערכים טכנולוגיים'!$A$2:$500,0)),""))</f>
        <v/>
      </c>
    </row>
    <row r="113">
      <c r="A113" s="2">
        <f>IF($K113="","",INDEX(מלאי!$D$2:$500,$K113))</f>
        <v/>
      </c>
      <c r="B113" s="2">
        <f>IF($K113="","",INDEX(מלאי!$B$2:$500,$K113))</f>
        <v/>
      </c>
      <c r="C113" s="2">
        <f>IF($K113="","",INDEX(מלאי!$C$2:$500,$K113))</f>
        <v/>
      </c>
      <c r="D113" s="2">
        <f>IF($K113="","",INDEX(מלאי!$G$2:$500,$K113))</f>
        <v/>
      </c>
      <c r="E113" s="2">
        <f>IF($K113="","",INDEX(מלאי!$M$2:$500,$K113))</f>
        <v/>
      </c>
      <c r="F113" s="2">
        <f>IF($K113="","",INDEX(מלאי!$N$2:$500,$K113))</f>
        <v/>
      </c>
      <c r="G113" s="2">
        <f>IF($K113="","",INDEX(מלאי!$O$2:$500,$K113))</f>
        <v/>
      </c>
      <c r="H113" s="2">
        <f>IF($K113="","",INDEX(מלאי!$U$2:$500,$K113))</f>
        <v/>
      </c>
      <c r="I113" s="2">
        <f>IF($K113="","",INDEX(מלאי!$X$2:$500,$K113))</f>
        <v/>
      </c>
      <c r="J113" s="2">
        <f>IF($K113="","",INDEX(מלאי!$AC$2:$500,$K113))</f>
        <v/>
      </c>
      <c r="K11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טכנולוגיים'!$A$2:$500,0))&lt;=$G$6),0))),ROW(מלאי!$A$2:$A$500)-ROW(מלאי!$A$2)+1,""),91),"")</f>
        <v/>
      </c>
      <c r="L113" s="2">
        <f>IF($K113="","",IFERROR(INDEX('ערכים טכנולוגיים'!$K$2:$500,MATCH(A113,'ערכים טכנולוגיים'!$A$2:$500,0)),""))</f>
        <v/>
      </c>
      <c r="M113" s="2">
        <f>IF($K113="","",IFERROR(INDEX('ערכים טכנולוגיים'!$F$2:$500,MATCH(A113,'ערכים טכנולוגיים'!$A$2:$500,0)),""))</f>
        <v/>
      </c>
      <c r="N113" s="2">
        <f>IF($K113="","",IFERROR(INDEX('ערכים טכנולוגיים'!$I$2:$500,MATCH(A113,'ערכים טכנולוגיים'!$A$2:$500,0)),""))</f>
        <v/>
      </c>
      <c r="O113" s="2">
        <f>IF($K113="","",IFERROR(INDEX('ערכים טכנולוגיים'!$G$2:$500,MATCH(A113,'ערכים טכנולוגיים'!$A$2:$500,0)),""))</f>
        <v/>
      </c>
      <c r="P113" s="2">
        <f>IF($K113="","",IFERROR(INDEX('ערכים טכנולוגיים'!$J$2:$500,MATCH(A113,'ערכים טכנולוגיים'!$A$2:$500,0)),""))</f>
        <v/>
      </c>
      <c r="Q113" s="2">
        <f>IF($K113="","",IFERROR(INDEX('ערכים טכנולוגיים'!$N$2:$500,MATCH(A113,'ערכים טכנולוגיים'!$A$2:$500,0)),""))</f>
        <v/>
      </c>
    </row>
    <row r="114">
      <c r="A114" s="8">
        <f>IF($K114="","",INDEX(מלאי!$D$2:$500,$K114))</f>
        <v/>
      </c>
      <c r="B114" s="8">
        <f>IF($K114="","",INDEX(מלאי!$B$2:$500,$K114))</f>
        <v/>
      </c>
      <c r="C114" s="8">
        <f>IF($K114="","",INDEX(מלאי!$C$2:$500,$K114))</f>
        <v/>
      </c>
      <c r="D114" s="8">
        <f>IF($K114="","",INDEX(מלאי!$G$2:$500,$K114))</f>
        <v/>
      </c>
      <c r="E114" s="8">
        <f>IF($K114="","",INDEX(מלאי!$M$2:$500,$K114))</f>
        <v/>
      </c>
      <c r="F114" s="8">
        <f>IF($K114="","",INDEX(מלאי!$N$2:$500,$K114))</f>
        <v/>
      </c>
      <c r="G114" s="8">
        <f>IF($K114="","",INDEX(מלאי!$O$2:$500,$K114))</f>
        <v/>
      </c>
      <c r="H114" s="8">
        <f>IF($K114="","",INDEX(מלאי!$U$2:$500,$K114))</f>
        <v/>
      </c>
      <c r="I114" s="8">
        <f>IF($K114="","",INDEX(מלאי!$X$2:$500,$K114))</f>
        <v/>
      </c>
      <c r="J114" s="8">
        <f>IF($K114="","",INDEX(מלאי!$AC$2:$500,$K114))</f>
        <v/>
      </c>
      <c r="K11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טכנולוגיים'!$A$2:$500,0))&lt;=$G$6),0))),ROW(מלאי!$A$2:$A$500)-ROW(מלאי!$A$2)+1,""),92),"")</f>
        <v/>
      </c>
      <c r="L114" s="8">
        <f>IF($K114="","",IFERROR(INDEX('ערכים טכנולוגיים'!$K$2:$500,MATCH(A114,'ערכים טכנולוגיים'!$A$2:$500,0)),""))</f>
        <v/>
      </c>
      <c r="M114" s="8">
        <f>IF($K114="","",IFERROR(INDEX('ערכים טכנולוגיים'!$F$2:$500,MATCH(A114,'ערכים טכנולוגיים'!$A$2:$500,0)),""))</f>
        <v/>
      </c>
      <c r="N114" s="8">
        <f>IF($K114="","",IFERROR(INDEX('ערכים טכנולוגיים'!$I$2:$500,MATCH(A114,'ערכים טכנולוגיים'!$A$2:$500,0)),""))</f>
        <v/>
      </c>
      <c r="O114" s="8">
        <f>IF($K114="","",IFERROR(INDEX('ערכים טכנולוגיים'!$G$2:$500,MATCH(A114,'ערכים טכנולוגיים'!$A$2:$500,0)),""))</f>
        <v/>
      </c>
      <c r="P114" s="8">
        <f>IF($K114="","",IFERROR(INDEX('ערכים טכנולוגיים'!$J$2:$500,MATCH(A114,'ערכים טכנולוגיים'!$A$2:$500,0)),""))</f>
        <v/>
      </c>
      <c r="Q114" s="8">
        <f>IF($K114="","",IFERROR(INDEX('ערכים טכנולוגיים'!$N$2:$500,MATCH(A114,'ערכים טכנולוגיים'!$A$2:$500,0)),""))</f>
        <v/>
      </c>
    </row>
    <row r="115">
      <c r="A115" s="2">
        <f>IF($K115="","",INDEX(מלאי!$D$2:$500,$K115))</f>
        <v/>
      </c>
      <c r="B115" s="2">
        <f>IF($K115="","",INDEX(מלאי!$B$2:$500,$K115))</f>
        <v/>
      </c>
      <c r="C115" s="2">
        <f>IF($K115="","",INDEX(מלאי!$C$2:$500,$K115))</f>
        <v/>
      </c>
      <c r="D115" s="2">
        <f>IF($K115="","",INDEX(מלאי!$G$2:$500,$K115))</f>
        <v/>
      </c>
      <c r="E115" s="2">
        <f>IF($K115="","",INDEX(מלאי!$M$2:$500,$K115))</f>
        <v/>
      </c>
      <c r="F115" s="2">
        <f>IF($K115="","",INDEX(מלאי!$N$2:$500,$K115))</f>
        <v/>
      </c>
      <c r="G115" s="2">
        <f>IF($K115="","",INDEX(מלאי!$O$2:$500,$K115))</f>
        <v/>
      </c>
      <c r="H115" s="2">
        <f>IF($K115="","",INDEX(מלאי!$U$2:$500,$K115))</f>
        <v/>
      </c>
      <c r="I115" s="2">
        <f>IF($K115="","",INDEX(מלאי!$X$2:$500,$K115))</f>
        <v/>
      </c>
      <c r="J115" s="2">
        <f>IF($K115="","",INDEX(מלאי!$AC$2:$500,$K115))</f>
        <v/>
      </c>
      <c r="K11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טכנולוגיים'!$A$2:$500,0))&lt;=$G$6),0))),ROW(מלאי!$A$2:$A$500)-ROW(מלאי!$A$2)+1,""),93),"")</f>
        <v/>
      </c>
      <c r="L115" s="2">
        <f>IF($K115="","",IFERROR(INDEX('ערכים טכנולוגיים'!$K$2:$500,MATCH(A115,'ערכים טכנולוגיים'!$A$2:$500,0)),""))</f>
        <v/>
      </c>
      <c r="M115" s="2">
        <f>IF($K115="","",IFERROR(INDEX('ערכים טכנולוגיים'!$F$2:$500,MATCH(A115,'ערכים טכנולוגיים'!$A$2:$500,0)),""))</f>
        <v/>
      </c>
      <c r="N115" s="2">
        <f>IF($K115="","",IFERROR(INDEX('ערכים טכנולוגיים'!$I$2:$500,MATCH(A115,'ערכים טכנולוגיים'!$A$2:$500,0)),""))</f>
        <v/>
      </c>
      <c r="O115" s="2">
        <f>IF($K115="","",IFERROR(INDEX('ערכים טכנולוגיים'!$G$2:$500,MATCH(A115,'ערכים טכנולוגיים'!$A$2:$500,0)),""))</f>
        <v/>
      </c>
      <c r="P115" s="2">
        <f>IF($K115="","",IFERROR(INDEX('ערכים טכנולוגיים'!$J$2:$500,MATCH(A115,'ערכים טכנולוגיים'!$A$2:$500,0)),""))</f>
        <v/>
      </c>
      <c r="Q115" s="2">
        <f>IF($K115="","",IFERROR(INDEX('ערכים טכנולוגיים'!$N$2:$500,MATCH(A115,'ערכים טכנולוגיים'!$A$2:$500,0)),""))</f>
        <v/>
      </c>
    </row>
    <row r="116">
      <c r="A116" s="8">
        <f>IF($K116="","",INDEX(מלאי!$D$2:$500,$K116))</f>
        <v/>
      </c>
      <c r="B116" s="8">
        <f>IF($K116="","",INDEX(מלאי!$B$2:$500,$K116))</f>
        <v/>
      </c>
      <c r="C116" s="8">
        <f>IF($K116="","",INDEX(מלאי!$C$2:$500,$K116))</f>
        <v/>
      </c>
      <c r="D116" s="8">
        <f>IF($K116="","",INDEX(מלאי!$G$2:$500,$K116))</f>
        <v/>
      </c>
      <c r="E116" s="8">
        <f>IF($K116="","",INDEX(מלאי!$M$2:$500,$K116))</f>
        <v/>
      </c>
      <c r="F116" s="8">
        <f>IF($K116="","",INDEX(מלאי!$N$2:$500,$K116))</f>
        <v/>
      </c>
      <c r="G116" s="8">
        <f>IF($K116="","",INDEX(מלאי!$O$2:$500,$K116))</f>
        <v/>
      </c>
      <c r="H116" s="8">
        <f>IF($K116="","",INDEX(מלאי!$U$2:$500,$K116))</f>
        <v/>
      </c>
      <c r="I116" s="8">
        <f>IF($K116="","",INDEX(מלאי!$X$2:$500,$K116))</f>
        <v/>
      </c>
      <c r="J116" s="8">
        <f>IF($K116="","",INDEX(מלאי!$AC$2:$500,$K116))</f>
        <v/>
      </c>
      <c r="K11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טכנולוגיים'!$A$2:$500,0))&lt;=$G$6),0))),ROW(מלאי!$A$2:$A$500)-ROW(מלאי!$A$2)+1,""),94),"")</f>
        <v/>
      </c>
      <c r="L116" s="8">
        <f>IF($K116="","",IFERROR(INDEX('ערכים טכנולוגיים'!$K$2:$500,MATCH(A116,'ערכים טכנולוגיים'!$A$2:$500,0)),""))</f>
        <v/>
      </c>
      <c r="M116" s="8">
        <f>IF($K116="","",IFERROR(INDEX('ערכים טכנולוגיים'!$F$2:$500,MATCH(A116,'ערכים טכנולוגיים'!$A$2:$500,0)),""))</f>
        <v/>
      </c>
      <c r="N116" s="8">
        <f>IF($K116="","",IFERROR(INDEX('ערכים טכנולוגיים'!$I$2:$500,MATCH(A116,'ערכים טכנולוגיים'!$A$2:$500,0)),""))</f>
        <v/>
      </c>
      <c r="O116" s="8">
        <f>IF($K116="","",IFERROR(INDEX('ערכים טכנולוגיים'!$G$2:$500,MATCH(A116,'ערכים טכנולוגיים'!$A$2:$500,0)),""))</f>
        <v/>
      </c>
      <c r="P116" s="8">
        <f>IF($K116="","",IFERROR(INDEX('ערכים טכנולוגיים'!$J$2:$500,MATCH(A116,'ערכים טכנולוגיים'!$A$2:$500,0)),""))</f>
        <v/>
      </c>
      <c r="Q116" s="8">
        <f>IF($K116="","",IFERROR(INDEX('ערכים טכנולוגיים'!$N$2:$500,MATCH(A116,'ערכים טכנולוגיים'!$A$2:$500,0)),""))</f>
        <v/>
      </c>
    </row>
    <row r="117">
      <c r="A117" s="2">
        <f>IF($K117="","",INDEX(מלאי!$D$2:$500,$K117))</f>
        <v/>
      </c>
      <c r="B117" s="2">
        <f>IF($K117="","",INDEX(מלאי!$B$2:$500,$K117))</f>
        <v/>
      </c>
      <c r="C117" s="2">
        <f>IF($K117="","",INDEX(מלאי!$C$2:$500,$K117))</f>
        <v/>
      </c>
      <c r="D117" s="2">
        <f>IF($K117="","",INDEX(מלאי!$G$2:$500,$K117))</f>
        <v/>
      </c>
      <c r="E117" s="2">
        <f>IF($K117="","",INDEX(מלאי!$M$2:$500,$K117))</f>
        <v/>
      </c>
      <c r="F117" s="2">
        <f>IF($K117="","",INDEX(מלאי!$N$2:$500,$K117))</f>
        <v/>
      </c>
      <c r="G117" s="2">
        <f>IF($K117="","",INDEX(מלאי!$O$2:$500,$K117))</f>
        <v/>
      </c>
      <c r="H117" s="2">
        <f>IF($K117="","",INDEX(מלאי!$U$2:$500,$K117))</f>
        <v/>
      </c>
      <c r="I117" s="2">
        <f>IF($K117="","",INDEX(מלאי!$X$2:$500,$K117))</f>
        <v/>
      </c>
      <c r="J117" s="2">
        <f>IF($K117="","",INDEX(מלאי!$AC$2:$500,$K117))</f>
        <v/>
      </c>
      <c r="K11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טכנולוגיים'!$A$2:$500,0))&lt;=$G$6),0))),ROW(מלאי!$A$2:$A$500)-ROW(מלאי!$A$2)+1,""),95),"")</f>
        <v/>
      </c>
      <c r="L117" s="2">
        <f>IF($K117="","",IFERROR(INDEX('ערכים טכנולוגיים'!$K$2:$500,MATCH(A117,'ערכים טכנולוגיים'!$A$2:$500,0)),""))</f>
        <v/>
      </c>
      <c r="M117" s="2">
        <f>IF($K117="","",IFERROR(INDEX('ערכים טכנולוגיים'!$F$2:$500,MATCH(A117,'ערכים טכנולוגיים'!$A$2:$500,0)),""))</f>
        <v/>
      </c>
      <c r="N117" s="2">
        <f>IF($K117="","",IFERROR(INDEX('ערכים טכנולוגיים'!$I$2:$500,MATCH(A117,'ערכים טכנולוגיים'!$A$2:$500,0)),""))</f>
        <v/>
      </c>
      <c r="O117" s="2">
        <f>IF($K117="","",IFERROR(INDEX('ערכים טכנולוגיים'!$G$2:$500,MATCH(A117,'ערכים טכנולוגיים'!$A$2:$500,0)),""))</f>
        <v/>
      </c>
      <c r="P117" s="2">
        <f>IF($K117="","",IFERROR(INDEX('ערכים טכנולוגיים'!$J$2:$500,MATCH(A117,'ערכים טכנולוגיים'!$A$2:$500,0)),""))</f>
        <v/>
      </c>
      <c r="Q117" s="2">
        <f>IF($K117="","",IFERROR(INDEX('ערכים טכנולוגיים'!$N$2:$500,MATCH(A117,'ערכים טכנולוגיים'!$A$2:$500,0)),""))</f>
        <v/>
      </c>
    </row>
    <row r="118">
      <c r="A118" s="8">
        <f>IF($K118="","",INDEX(מלאי!$D$2:$500,$K118))</f>
        <v/>
      </c>
      <c r="B118" s="8">
        <f>IF($K118="","",INDEX(מלאי!$B$2:$500,$K118))</f>
        <v/>
      </c>
      <c r="C118" s="8">
        <f>IF($K118="","",INDEX(מלאי!$C$2:$500,$K118))</f>
        <v/>
      </c>
      <c r="D118" s="8">
        <f>IF($K118="","",INDEX(מלאי!$G$2:$500,$K118))</f>
        <v/>
      </c>
      <c r="E118" s="8">
        <f>IF($K118="","",INDEX(מלאי!$M$2:$500,$K118))</f>
        <v/>
      </c>
      <c r="F118" s="8">
        <f>IF($K118="","",INDEX(מלאי!$N$2:$500,$K118))</f>
        <v/>
      </c>
      <c r="G118" s="8">
        <f>IF($K118="","",INDEX(מלאי!$O$2:$500,$K118))</f>
        <v/>
      </c>
      <c r="H118" s="8">
        <f>IF($K118="","",INDEX(מלאי!$U$2:$500,$K118))</f>
        <v/>
      </c>
      <c r="I118" s="8">
        <f>IF($K118="","",INDEX(מלאי!$X$2:$500,$K118))</f>
        <v/>
      </c>
      <c r="J118" s="8">
        <f>IF($K118="","",INDEX(מלאי!$AC$2:$500,$K118))</f>
        <v/>
      </c>
      <c r="K11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טכנולוגיים'!$A$2:$500,0))&lt;=$G$6),0))),ROW(מלאי!$A$2:$A$500)-ROW(מלאי!$A$2)+1,""),96),"")</f>
        <v/>
      </c>
      <c r="L118" s="8">
        <f>IF($K118="","",IFERROR(INDEX('ערכים טכנולוגיים'!$K$2:$500,MATCH(A118,'ערכים טכנולוגיים'!$A$2:$500,0)),""))</f>
        <v/>
      </c>
      <c r="M118" s="8">
        <f>IF($K118="","",IFERROR(INDEX('ערכים טכנולוגיים'!$F$2:$500,MATCH(A118,'ערכים טכנולוגיים'!$A$2:$500,0)),""))</f>
        <v/>
      </c>
      <c r="N118" s="8">
        <f>IF($K118="","",IFERROR(INDEX('ערכים טכנולוגיים'!$I$2:$500,MATCH(A118,'ערכים טכנולוגיים'!$A$2:$500,0)),""))</f>
        <v/>
      </c>
      <c r="O118" s="8">
        <f>IF($K118="","",IFERROR(INDEX('ערכים טכנולוגיים'!$G$2:$500,MATCH(A118,'ערכים טכנולוגיים'!$A$2:$500,0)),""))</f>
        <v/>
      </c>
      <c r="P118" s="8">
        <f>IF($K118="","",IFERROR(INDEX('ערכים טכנולוגיים'!$J$2:$500,MATCH(A118,'ערכים טכנולוגיים'!$A$2:$500,0)),""))</f>
        <v/>
      </c>
      <c r="Q118" s="8">
        <f>IF($K118="","",IFERROR(INDEX('ערכים טכנולוגיים'!$N$2:$500,MATCH(A118,'ערכים טכנולוגיים'!$A$2:$500,0)),""))</f>
        <v/>
      </c>
    </row>
    <row r="119">
      <c r="A119" s="2">
        <f>IF($K119="","",INDEX(מלאי!$D$2:$500,$K119))</f>
        <v/>
      </c>
      <c r="B119" s="2">
        <f>IF($K119="","",INDEX(מלאי!$B$2:$500,$K119))</f>
        <v/>
      </c>
      <c r="C119" s="2">
        <f>IF($K119="","",INDEX(מלאי!$C$2:$500,$K119))</f>
        <v/>
      </c>
      <c r="D119" s="2">
        <f>IF($K119="","",INDEX(מלאי!$G$2:$500,$K119))</f>
        <v/>
      </c>
      <c r="E119" s="2">
        <f>IF($K119="","",INDEX(מלאי!$M$2:$500,$K119))</f>
        <v/>
      </c>
      <c r="F119" s="2">
        <f>IF($K119="","",INDEX(מלאי!$N$2:$500,$K119))</f>
        <v/>
      </c>
      <c r="G119" s="2">
        <f>IF($K119="","",INDEX(מלאי!$O$2:$500,$K119))</f>
        <v/>
      </c>
      <c r="H119" s="2">
        <f>IF($K119="","",INDEX(מלאי!$U$2:$500,$K119))</f>
        <v/>
      </c>
      <c r="I119" s="2">
        <f>IF($K119="","",INDEX(מלאי!$X$2:$500,$K119))</f>
        <v/>
      </c>
      <c r="J119" s="2">
        <f>IF($K119="","",INDEX(מלאי!$AC$2:$500,$K119))</f>
        <v/>
      </c>
      <c r="K11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טכנולוגיים'!$A$2:$500,0))&lt;=$G$6),0))),ROW(מלאי!$A$2:$A$500)-ROW(מלאי!$A$2)+1,""),97),"")</f>
        <v/>
      </c>
      <c r="L119" s="2">
        <f>IF($K119="","",IFERROR(INDEX('ערכים טכנולוגיים'!$K$2:$500,MATCH(A119,'ערכים טכנולוגיים'!$A$2:$500,0)),""))</f>
        <v/>
      </c>
      <c r="M119" s="2">
        <f>IF($K119="","",IFERROR(INDEX('ערכים טכנולוגיים'!$F$2:$500,MATCH(A119,'ערכים טכנולוגיים'!$A$2:$500,0)),""))</f>
        <v/>
      </c>
      <c r="N119" s="2">
        <f>IF($K119="","",IFERROR(INDEX('ערכים טכנולוגיים'!$I$2:$500,MATCH(A119,'ערכים טכנולוגיים'!$A$2:$500,0)),""))</f>
        <v/>
      </c>
      <c r="O119" s="2">
        <f>IF($K119="","",IFERROR(INDEX('ערכים טכנולוגיים'!$G$2:$500,MATCH(A119,'ערכים טכנולוגיים'!$A$2:$500,0)),""))</f>
        <v/>
      </c>
      <c r="P119" s="2">
        <f>IF($K119="","",IFERROR(INDEX('ערכים טכנולוגיים'!$J$2:$500,MATCH(A119,'ערכים טכנולוגיים'!$A$2:$500,0)),""))</f>
        <v/>
      </c>
      <c r="Q119" s="2">
        <f>IF($K119="","",IFERROR(INDEX('ערכים טכנולוגיים'!$N$2:$500,MATCH(A119,'ערכים טכנולוגיים'!$A$2:$500,0)),""))</f>
        <v/>
      </c>
    </row>
    <row r="120">
      <c r="A120" s="8">
        <f>IF($K120="","",INDEX(מלאי!$D$2:$500,$K120))</f>
        <v/>
      </c>
      <c r="B120" s="8">
        <f>IF($K120="","",INDEX(מלאי!$B$2:$500,$K120))</f>
        <v/>
      </c>
      <c r="C120" s="8">
        <f>IF($K120="","",INDEX(מלאי!$C$2:$500,$K120))</f>
        <v/>
      </c>
      <c r="D120" s="8">
        <f>IF($K120="","",INDEX(מלאי!$G$2:$500,$K120))</f>
        <v/>
      </c>
      <c r="E120" s="8">
        <f>IF($K120="","",INDEX(מלאי!$M$2:$500,$K120))</f>
        <v/>
      </c>
      <c r="F120" s="8">
        <f>IF($K120="","",INDEX(מלאי!$N$2:$500,$K120))</f>
        <v/>
      </c>
      <c r="G120" s="8">
        <f>IF($K120="","",INDEX(מלאי!$O$2:$500,$K120))</f>
        <v/>
      </c>
      <c r="H120" s="8">
        <f>IF($K120="","",INDEX(מלאי!$U$2:$500,$K120))</f>
        <v/>
      </c>
      <c r="I120" s="8">
        <f>IF($K120="","",INDEX(מלאי!$X$2:$500,$K120))</f>
        <v/>
      </c>
      <c r="J120" s="8">
        <f>IF($K120="","",INDEX(מלאי!$AC$2:$500,$K120))</f>
        <v/>
      </c>
      <c r="K12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טכנולוגיים'!$A$2:$500,0))&lt;=$G$6),0))),ROW(מלאי!$A$2:$A$500)-ROW(מלאי!$A$2)+1,""),98),"")</f>
        <v/>
      </c>
      <c r="L120" s="8">
        <f>IF($K120="","",IFERROR(INDEX('ערכים טכנולוגיים'!$K$2:$500,MATCH(A120,'ערכים טכנולוגיים'!$A$2:$500,0)),""))</f>
        <v/>
      </c>
      <c r="M120" s="8">
        <f>IF($K120="","",IFERROR(INDEX('ערכים טכנולוגיים'!$F$2:$500,MATCH(A120,'ערכים טכנולוגיים'!$A$2:$500,0)),""))</f>
        <v/>
      </c>
      <c r="N120" s="8">
        <f>IF($K120="","",IFERROR(INDEX('ערכים טכנולוגיים'!$I$2:$500,MATCH(A120,'ערכים טכנולוגיים'!$A$2:$500,0)),""))</f>
        <v/>
      </c>
      <c r="O120" s="8">
        <f>IF($K120="","",IFERROR(INDEX('ערכים טכנולוגיים'!$G$2:$500,MATCH(A120,'ערכים טכנולוגיים'!$A$2:$500,0)),""))</f>
        <v/>
      </c>
      <c r="P120" s="8">
        <f>IF($K120="","",IFERROR(INDEX('ערכים טכנולוגיים'!$J$2:$500,MATCH(A120,'ערכים טכנולוגיים'!$A$2:$500,0)),""))</f>
        <v/>
      </c>
      <c r="Q120" s="8">
        <f>IF($K120="","",IFERROR(INDEX('ערכים טכנולוגיים'!$N$2:$500,MATCH(A120,'ערכים טכנולוגיים'!$A$2:$500,0)),""))</f>
        <v/>
      </c>
    </row>
    <row r="121">
      <c r="A121" s="2">
        <f>IF($K121="","",INDEX(מלאי!$D$2:$500,$K121))</f>
        <v/>
      </c>
      <c r="B121" s="2">
        <f>IF($K121="","",INDEX(מלאי!$B$2:$500,$K121))</f>
        <v/>
      </c>
      <c r="C121" s="2">
        <f>IF($K121="","",INDEX(מלאי!$C$2:$500,$K121))</f>
        <v/>
      </c>
      <c r="D121" s="2">
        <f>IF($K121="","",INDEX(מלאי!$G$2:$500,$K121))</f>
        <v/>
      </c>
      <c r="E121" s="2">
        <f>IF($K121="","",INDEX(מלאי!$M$2:$500,$K121))</f>
        <v/>
      </c>
      <c r="F121" s="2">
        <f>IF($K121="","",INDEX(מלאי!$N$2:$500,$K121))</f>
        <v/>
      </c>
      <c r="G121" s="2">
        <f>IF($K121="","",INDEX(מלאי!$O$2:$500,$K121))</f>
        <v/>
      </c>
      <c r="H121" s="2">
        <f>IF($K121="","",INDEX(מלאי!$U$2:$500,$K121))</f>
        <v/>
      </c>
      <c r="I121" s="2">
        <f>IF($K121="","",INDEX(מלאי!$X$2:$500,$K121))</f>
        <v/>
      </c>
      <c r="J121" s="2">
        <f>IF($K121="","",INDEX(מלאי!$AC$2:$500,$K121))</f>
        <v/>
      </c>
      <c r="K12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טכנולוגיים'!$A$2:$500,0))&lt;=$G$6),0))),ROW(מלאי!$A$2:$A$500)-ROW(מלאי!$A$2)+1,""),99),"")</f>
        <v/>
      </c>
      <c r="L121" s="2">
        <f>IF($K121="","",IFERROR(INDEX('ערכים טכנולוגיים'!$K$2:$500,MATCH(A121,'ערכים טכנולוגיים'!$A$2:$500,0)),""))</f>
        <v/>
      </c>
      <c r="M121" s="2">
        <f>IF($K121="","",IFERROR(INDEX('ערכים טכנולוגיים'!$F$2:$500,MATCH(A121,'ערכים טכנולוגיים'!$A$2:$500,0)),""))</f>
        <v/>
      </c>
      <c r="N121" s="2">
        <f>IF($K121="","",IFERROR(INDEX('ערכים טכנולוגיים'!$I$2:$500,MATCH(A121,'ערכים טכנולוגיים'!$A$2:$500,0)),""))</f>
        <v/>
      </c>
      <c r="O121" s="2">
        <f>IF($K121="","",IFERROR(INDEX('ערכים טכנולוגיים'!$G$2:$500,MATCH(A121,'ערכים טכנולוגיים'!$A$2:$500,0)),""))</f>
        <v/>
      </c>
      <c r="P121" s="2">
        <f>IF($K121="","",IFERROR(INDEX('ערכים טכנולוגיים'!$J$2:$500,MATCH(A121,'ערכים טכנולוגיים'!$A$2:$500,0)),""))</f>
        <v/>
      </c>
      <c r="Q121" s="2">
        <f>IF($K121="","",IFERROR(INDEX('ערכים טכנולוגיים'!$N$2:$500,MATCH(A121,'ערכים טכנולוגיים'!$A$2:$500,0)),""))</f>
        <v/>
      </c>
    </row>
    <row r="122">
      <c r="A122" s="8">
        <f>IF($K122="","",INDEX(מלאי!$D$2:$500,$K122))</f>
        <v/>
      </c>
      <c r="B122" s="8">
        <f>IF($K122="","",INDEX(מלאי!$B$2:$500,$K122))</f>
        <v/>
      </c>
      <c r="C122" s="8">
        <f>IF($K122="","",INDEX(מלאי!$C$2:$500,$K122))</f>
        <v/>
      </c>
      <c r="D122" s="8">
        <f>IF($K122="","",INDEX(מלאי!$G$2:$500,$K122))</f>
        <v/>
      </c>
      <c r="E122" s="8">
        <f>IF($K122="","",INDEX(מלאי!$M$2:$500,$K122))</f>
        <v/>
      </c>
      <c r="F122" s="8">
        <f>IF($K122="","",INDEX(מלאי!$N$2:$500,$K122))</f>
        <v/>
      </c>
      <c r="G122" s="8">
        <f>IF($K122="","",INDEX(מלאי!$O$2:$500,$K122))</f>
        <v/>
      </c>
      <c r="H122" s="8">
        <f>IF($K122="","",INDEX(מלאי!$U$2:$500,$K122))</f>
        <v/>
      </c>
      <c r="I122" s="8">
        <f>IF($K122="","",INDEX(מלאי!$X$2:$500,$K122))</f>
        <v/>
      </c>
      <c r="J122" s="8">
        <f>IF($K122="","",INDEX(מלאי!$AC$2:$500,$K122))</f>
        <v/>
      </c>
      <c r="K12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טכנולוגיים'!$A$2:$500,0))&lt;=$G$6),0))),ROW(מלאי!$A$2:$A$500)-ROW(מלאי!$A$2)+1,""),100),"")</f>
        <v/>
      </c>
      <c r="L122" s="8">
        <f>IF($K122="","",IFERROR(INDEX('ערכים טכנולוגיים'!$K$2:$500,MATCH(A122,'ערכים טכנולוגיים'!$A$2:$500,0)),""))</f>
        <v/>
      </c>
      <c r="M122" s="8">
        <f>IF($K122="","",IFERROR(INDEX('ערכים טכנולוגיים'!$F$2:$500,MATCH(A122,'ערכים טכנולוגיים'!$A$2:$500,0)),""))</f>
        <v/>
      </c>
      <c r="N122" s="8">
        <f>IF($K122="","",IFERROR(INDEX('ערכים טכנולוגיים'!$I$2:$500,MATCH(A122,'ערכים טכנולוגיים'!$A$2:$500,0)),""))</f>
        <v/>
      </c>
      <c r="O122" s="8">
        <f>IF($K122="","",IFERROR(INDEX('ערכים טכנולוגיים'!$G$2:$500,MATCH(A122,'ערכים טכנולוגיים'!$A$2:$500,0)),""))</f>
        <v/>
      </c>
      <c r="P122" s="8">
        <f>IF($K122="","",IFERROR(INDEX('ערכים טכנולוגיים'!$J$2:$500,MATCH(A122,'ערכים טכנולוגיים'!$A$2:$500,0)),""))</f>
        <v/>
      </c>
      <c r="Q122" s="8">
        <f>IF($K122="","",IFERROR(INDEX('ערכים טכנולוגיים'!$N$2:$500,MATCH(A122,'ערכים טכנולוגיים'!$A$2:$500,0)),""))</f>
        <v/>
      </c>
    </row>
    <row r="123">
      <c r="A123" s="2">
        <f>IF($K123="","",INDEX(מלאי!$D$2:$500,$K123))</f>
        <v/>
      </c>
      <c r="B123" s="2">
        <f>IF($K123="","",INDEX(מלאי!$B$2:$500,$K123))</f>
        <v/>
      </c>
      <c r="C123" s="2">
        <f>IF($K123="","",INDEX(מלאי!$C$2:$500,$K123))</f>
        <v/>
      </c>
      <c r="D123" s="2">
        <f>IF($K123="","",INDEX(מלאי!$G$2:$500,$K123))</f>
        <v/>
      </c>
      <c r="E123" s="2">
        <f>IF($K123="","",INDEX(מלאי!$M$2:$500,$K123))</f>
        <v/>
      </c>
      <c r="F123" s="2">
        <f>IF($K123="","",INDEX(מלאי!$N$2:$500,$K123))</f>
        <v/>
      </c>
      <c r="G123" s="2">
        <f>IF($K123="","",INDEX(מלאי!$O$2:$500,$K123))</f>
        <v/>
      </c>
      <c r="H123" s="2">
        <f>IF($K123="","",INDEX(מלאי!$U$2:$500,$K123))</f>
        <v/>
      </c>
      <c r="I123" s="2">
        <f>IF($K123="","",INDEX(מלאי!$X$2:$500,$K123))</f>
        <v/>
      </c>
      <c r="J123" s="2">
        <f>IF($K123="","",INDEX(מלאי!$AC$2:$500,$K123))</f>
        <v/>
      </c>
      <c r="K12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טכנולוגיים'!$A$2:$500,0))&lt;=$G$6),0))),ROW(מלאי!$A$2:$A$500)-ROW(מלאי!$A$2)+1,""),101),"")</f>
        <v/>
      </c>
      <c r="L123" s="2">
        <f>IF($K123="","",IFERROR(INDEX('ערכים טכנולוגיים'!$K$2:$500,MATCH(A123,'ערכים טכנולוגיים'!$A$2:$500,0)),""))</f>
        <v/>
      </c>
      <c r="M123" s="2">
        <f>IF($K123="","",IFERROR(INDEX('ערכים טכנולוגיים'!$F$2:$500,MATCH(A123,'ערכים טכנולוגיים'!$A$2:$500,0)),""))</f>
        <v/>
      </c>
      <c r="N123" s="2">
        <f>IF($K123="","",IFERROR(INDEX('ערכים טכנולוגיים'!$I$2:$500,MATCH(A123,'ערכים טכנולוגיים'!$A$2:$500,0)),""))</f>
        <v/>
      </c>
      <c r="O123" s="2">
        <f>IF($K123="","",IFERROR(INDEX('ערכים טכנולוגיים'!$G$2:$500,MATCH(A123,'ערכים טכנולוגיים'!$A$2:$500,0)),""))</f>
        <v/>
      </c>
      <c r="P123" s="2">
        <f>IF($K123="","",IFERROR(INDEX('ערכים טכנולוגיים'!$J$2:$500,MATCH(A123,'ערכים טכנולוגיים'!$A$2:$500,0)),""))</f>
        <v/>
      </c>
      <c r="Q123" s="2">
        <f>IF($K123="","",IFERROR(INDEX('ערכים טכנולוגיים'!$N$2:$500,MATCH(A123,'ערכים טכנולוגיים'!$A$2:$500,0)),""))</f>
        <v/>
      </c>
    </row>
    <row r="124">
      <c r="A124" s="8">
        <f>IF($K124="","",INDEX(מלאי!$D$2:$500,$K124))</f>
        <v/>
      </c>
      <c r="B124" s="8">
        <f>IF($K124="","",INDEX(מלאי!$B$2:$500,$K124))</f>
        <v/>
      </c>
      <c r="C124" s="8">
        <f>IF($K124="","",INDEX(מלאי!$C$2:$500,$K124))</f>
        <v/>
      </c>
      <c r="D124" s="8">
        <f>IF($K124="","",INDEX(מלאי!$G$2:$500,$K124))</f>
        <v/>
      </c>
      <c r="E124" s="8">
        <f>IF($K124="","",INDEX(מלאי!$M$2:$500,$K124))</f>
        <v/>
      </c>
      <c r="F124" s="8">
        <f>IF($K124="","",INDEX(מלאי!$N$2:$500,$K124))</f>
        <v/>
      </c>
      <c r="G124" s="8">
        <f>IF($K124="","",INDEX(מלאי!$O$2:$500,$K124))</f>
        <v/>
      </c>
      <c r="H124" s="8">
        <f>IF($K124="","",INDEX(מלאי!$U$2:$500,$K124))</f>
        <v/>
      </c>
      <c r="I124" s="8">
        <f>IF($K124="","",INDEX(מלאי!$X$2:$500,$K124))</f>
        <v/>
      </c>
      <c r="J124" s="8">
        <f>IF($K124="","",INDEX(מלאי!$AC$2:$500,$K124))</f>
        <v/>
      </c>
      <c r="K12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טכנולוגיים'!$A$2:$500,0))&lt;=$G$6),0))),ROW(מלאי!$A$2:$A$500)-ROW(מלאי!$A$2)+1,""),102),"")</f>
        <v/>
      </c>
      <c r="L124" s="8">
        <f>IF($K124="","",IFERROR(INDEX('ערכים טכנולוגיים'!$K$2:$500,MATCH(A124,'ערכים טכנולוגיים'!$A$2:$500,0)),""))</f>
        <v/>
      </c>
      <c r="M124" s="8">
        <f>IF($K124="","",IFERROR(INDEX('ערכים טכנולוגיים'!$F$2:$500,MATCH(A124,'ערכים טכנולוגיים'!$A$2:$500,0)),""))</f>
        <v/>
      </c>
      <c r="N124" s="8">
        <f>IF($K124="","",IFERROR(INDEX('ערכים טכנולוגיים'!$I$2:$500,MATCH(A124,'ערכים טכנולוגיים'!$A$2:$500,0)),""))</f>
        <v/>
      </c>
      <c r="O124" s="8">
        <f>IF($K124="","",IFERROR(INDEX('ערכים טכנולוגיים'!$G$2:$500,MATCH(A124,'ערכים טכנולוגיים'!$A$2:$500,0)),""))</f>
        <v/>
      </c>
      <c r="P124" s="8">
        <f>IF($K124="","",IFERROR(INDEX('ערכים טכנולוגיים'!$J$2:$500,MATCH(A124,'ערכים טכנולוגיים'!$A$2:$500,0)),""))</f>
        <v/>
      </c>
      <c r="Q124" s="8">
        <f>IF($K124="","",IFERROR(INDEX('ערכים טכנולוגיים'!$N$2:$500,MATCH(A124,'ערכים טכנולוגיים'!$A$2:$500,0)),""))</f>
        <v/>
      </c>
    </row>
    <row r="125">
      <c r="A125" s="2">
        <f>IF($K125="","",INDEX(מלאי!$D$2:$500,$K125))</f>
        <v/>
      </c>
      <c r="B125" s="2">
        <f>IF($K125="","",INDEX(מלאי!$B$2:$500,$K125))</f>
        <v/>
      </c>
      <c r="C125" s="2">
        <f>IF($K125="","",INDEX(מלאי!$C$2:$500,$K125))</f>
        <v/>
      </c>
      <c r="D125" s="2">
        <f>IF($K125="","",INDEX(מלאי!$G$2:$500,$K125))</f>
        <v/>
      </c>
      <c r="E125" s="2">
        <f>IF($K125="","",INDEX(מלאי!$M$2:$500,$K125))</f>
        <v/>
      </c>
      <c r="F125" s="2">
        <f>IF($K125="","",INDEX(מלאי!$N$2:$500,$K125))</f>
        <v/>
      </c>
      <c r="G125" s="2">
        <f>IF($K125="","",INDEX(מלאי!$O$2:$500,$K125))</f>
        <v/>
      </c>
      <c r="H125" s="2">
        <f>IF($K125="","",INDEX(מלאי!$U$2:$500,$K125))</f>
        <v/>
      </c>
      <c r="I125" s="2">
        <f>IF($K125="","",INDEX(מלאי!$X$2:$500,$K125))</f>
        <v/>
      </c>
      <c r="J125" s="2">
        <f>IF($K125="","",INDEX(מלאי!$AC$2:$500,$K125))</f>
        <v/>
      </c>
      <c r="K12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טכנולוגיים'!$A$2:$500,0))&lt;=$G$6),0))),ROW(מלאי!$A$2:$A$500)-ROW(מלאי!$A$2)+1,""),103),"")</f>
        <v/>
      </c>
      <c r="L125" s="2">
        <f>IF($K125="","",IFERROR(INDEX('ערכים טכנולוגיים'!$K$2:$500,MATCH(A125,'ערכים טכנולוגיים'!$A$2:$500,0)),""))</f>
        <v/>
      </c>
      <c r="M125" s="2">
        <f>IF($K125="","",IFERROR(INDEX('ערכים טכנולוגיים'!$F$2:$500,MATCH(A125,'ערכים טכנולוגיים'!$A$2:$500,0)),""))</f>
        <v/>
      </c>
      <c r="N125" s="2">
        <f>IF($K125="","",IFERROR(INDEX('ערכים טכנולוגיים'!$I$2:$500,MATCH(A125,'ערכים טכנולוגיים'!$A$2:$500,0)),""))</f>
        <v/>
      </c>
      <c r="O125" s="2">
        <f>IF($K125="","",IFERROR(INDEX('ערכים טכנולוגיים'!$G$2:$500,MATCH(A125,'ערכים טכנולוגיים'!$A$2:$500,0)),""))</f>
        <v/>
      </c>
      <c r="P125" s="2">
        <f>IF($K125="","",IFERROR(INDEX('ערכים טכנולוגיים'!$J$2:$500,MATCH(A125,'ערכים טכנולוגיים'!$A$2:$500,0)),""))</f>
        <v/>
      </c>
      <c r="Q125" s="2">
        <f>IF($K125="","",IFERROR(INDEX('ערכים טכנולוגיים'!$N$2:$500,MATCH(A125,'ערכים טכנולוגיים'!$A$2:$500,0)),""))</f>
        <v/>
      </c>
    </row>
    <row r="126">
      <c r="A126" s="8">
        <f>IF($K126="","",INDEX(מלאי!$D$2:$500,$K126))</f>
        <v/>
      </c>
      <c r="B126" s="8">
        <f>IF($K126="","",INDEX(מלאי!$B$2:$500,$K126))</f>
        <v/>
      </c>
      <c r="C126" s="8">
        <f>IF($K126="","",INDEX(מלאי!$C$2:$500,$K126))</f>
        <v/>
      </c>
      <c r="D126" s="8">
        <f>IF($K126="","",INDEX(מלאי!$G$2:$500,$K126))</f>
        <v/>
      </c>
      <c r="E126" s="8">
        <f>IF($K126="","",INDEX(מלאי!$M$2:$500,$K126))</f>
        <v/>
      </c>
      <c r="F126" s="8">
        <f>IF($K126="","",INDEX(מלאי!$N$2:$500,$K126))</f>
        <v/>
      </c>
      <c r="G126" s="8">
        <f>IF($K126="","",INDEX(מלאי!$O$2:$500,$K126))</f>
        <v/>
      </c>
      <c r="H126" s="8">
        <f>IF($K126="","",INDEX(מלאי!$U$2:$500,$K126))</f>
        <v/>
      </c>
      <c r="I126" s="8">
        <f>IF($K126="","",INDEX(מלאי!$X$2:$500,$K126))</f>
        <v/>
      </c>
      <c r="J126" s="8">
        <f>IF($K126="","",INDEX(מלאי!$AC$2:$500,$K126))</f>
        <v/>
      </c>
      <c r="K12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טכנולוגיים'!$A$2:$500,0))&lt;=$G$6),0))),ROW(מלאי!$A$2:$A$500)-ROW(מלאי!$A$2)+1,""),104),"")</f>
        <v/>
      </c>
      <c r="L126" s="8">
        <f>IF($K126="","",IFERROR(INDEX('ערכים טכנולוגיים'!$K$2:$500,MATCH(A126,'ערכים טכנולוגיים'!$A$2:$500,0)),""))</f>
        <v/>
      </c>
      <c r="M126" s="8">
        <f>IF($K126="","",IFERROR(INDEX('ערכים טכנולוגיים'!$F$2:$500,MATCH(A126,'ערכים טכנולוגיים'!$A$2:$500,0)),""))</f>
        <v/>
      </c>
      <c r="N126" s="8">
        <f>IF($K126="","",IFERROR(INDEX('ערכים טכנולוגיים'!$I$2:$500,MATCH(A126,'ערכים טכנולוגיים'!$A$2:$500,0)),""))</f>
        <v/>
      </c>
      <c r="O126" s="8">
        <f>IF($K126="","",IFERROR(INDEX('ערכים טכנולוגיים'!$G$2:$500,MATCH(A126,'ערכים טכנולוגיים'!$A$2:$500,0)),""))</f>
        <v/>
      </c>
      <c r="P126" s="8">
        <f>IF($K126="","",IFERROR(INDEX('ערכים טכנולוגיים'!$J$2:$500,MATCH(A126,'ערכים טכנולוגיים'!$A$2:$500,0)),""))</f>
        <v/>
      </c>
      <c r="Q126" s="8">
        <f>IF($K126="","",IFERROR(INDEX('ערכים טכנולוגיים'!$N$2:$500,MATCH(A126,'ערכים טכנולוגיים'!$A$2:$500,0)),""))</f>
        <v/>
      </c>
    </row>
    <row r="127">
      <c r="A127" s="2">
        <f>IF($K127="","",INDEX(מלאי!$D$2:$500,$K127))</f>
        <v/>
      </c>
      <c r="B127" s="2">
        <f>IF($K127="","",INDEX(מלאי!$B$2:$500,$K127))</f>
        <v/>
      </c>
      <c r="C127" s="2">
        <f>IF($K127="","",INDEX(מלאי!$C$2:$500,$K127))</f>
        <v/>
      </c>
      <c r="D127" s="2">
        <f>IF($K127="","",INDEX(מלאי!$G$2:$500,$K127))</f>
        <v/>
      </c>
      <c r="E127" s="2">
        <f>IF($K127="","",INDEX(מלאי!$M$2:$500,$K127))</f>
        <v/>
      </c>
      <c r="F127" s="2">
        <f>IF($K127="","",INDEX(מלאי!$N$2:$500,$K127))</f>
        <v/>
      </c>
      <c r="G127" s="2">
        <f>IF($K127="","",INDEX(מלאי!$O$2:$500,$K127))</f>
        <v/>
      </c>
      <c r="H127" s="2">
        <f>IF($K127="","",INDEX(מלאי!$U$2:$500,$K127))</f>
        <v/>
      </c>
      <c r="I127" s="2">
        <f>IF($K127="","",INDEX(מלאי!$X$2:$500,$K127))</f>
        <v/>
      </c>
      <c r="J127" s="2">
        <f>IF($K127="","",INDEX(מלאי!$AC$2:$500,$K127))</f>
        <v/>
      </c>
      <c r="K12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טכנולוגיים'!$A$2:$500,0))&lt;=$G$6),0))),ROW(מלאי!$A$2:$A$500)-ROW(מלאי!$A$2)+1,""),105),"")</f>
        <v/>
      </c>
      <c r="L127" s="2">
        <f>IF($K127="","",IFERROR(INDEX('ערכים טכנולוגיים'!$K$2:$500,MATCH(A127,'ערכים טכנולוגיים'!$A$2:$500,0)),""))</f>
        <v/>
      </c>
      <c r="M127" s="2">
        <f>IF($K127="","",IFERROR(INDEX('ערכים טכנולוגיים'!$F$2:$500,MATCH(A127,'ערכים טכנולוגיים'!$A$2:$500,0)),""))</f>
        <v/>
      </c>
      <c r="N127" s="2">
        <f>IF($K127="","",IFERROR(INDEX('ערכים טכנולוגיים'!$I$2:$500,MATCH(A127,'ערכים טכנולוגיים'!$A$2:$500,0)),""))</f>
        <v/>
      </c>
      <c r="O127" s="2">
        <f>IF($K127="","",IFERROR(INDEX('ערכים טכנולוגיים'!$G$2:$500,MATCH(A127,'ערכים טכנולוגיים'!$A$2:$500,0)),""))</f>
        <v/>
      </c>
      <c r="P127" s="2">
        <f>IF($K127="","",IFERROR(INDEX('ערכים טכנולוגיים'!$J$2:$500,MATCH(A127,'ערכים טכנולוגיים'!$A$2:$500,0)),""))</f>
        <v/>
      </c>
      <c r="Q127" s="2">
        <f>IF($K127="","",IFERROR(INDEX('ערכים טכנולוגיים'!$N$2:$500,MATCH(A127,'ערכים טכנולוגיים'!$A$2:$500,0)),""))</f>
        <v/>
      </c>
    </row>
    <row r="128">
      <c r="A128" s="8">
        <f>IF($K128="","",INDEX(מלאי!$D$2:$500,$K128))</f>
        <v/>
      </c>
      <c r="B128" s="8">
        <f>IF($K128="","",INDEX(מלאי!$B$2:$500,$K128))</f>
        <v/>
      </c>
      <c r="C128" s="8">
        <f>IF($K128="","",INDEX(מלאי!$C$2:$500,$K128))</f>
        <v/>
      </c>
      <c r="D128" s="8">
        <f>IF($K128="","",INDEX(מלאי!$G$2:$500,$K128))</f>
        <v/>
      </c>
      <c r="E128" s="8">
        <f>IF($K128="","",INDEX(מלאי!$M$2:$500,$K128))</f>
        <v/>
      </c>
      <c r="F128" s="8">
        <f>IF($K128="","",INDEX(מלאי!$N$2:$500,$K128))</f>
        <v/>
      </c>
      <c r="G128" s="8">
        <f>IF($K128="","",INDEX(מלאי!$O$2:$500,$K128))</f>
        <v/>
      </c>
      <c r="H128" s="8">
        <f>IF($K128="","",INDEX(מלאי!$U$2:$500,$K128))</f>
        <v/>
      </c>
      <c r="I128" s="8">
        <f>IF($K128="","",INDEX(מלאי!$X$2:$500,$K128))</f>
        <v/>
      </c>
      <c r="J128" s="8">
        <f>IF($K128="","",INDEX(מלאי!$AC$2:$500,$K128))</f>
        <v/>
      </c>
      <c r="K12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טכנולוגיים'!$A$2:$500,0))&lt;=$G$6),0))),ROW(מלאי!$A$2:$A$500)-ROW(מלאי!$A$2)+1,""),106),"")</f>
        <v/>
      </c>
      <c r="L128" s="8">
        <f>IF($K128="","",IFERROR(INDEX('ערכים טכנולוגיים'!$K$2:$500,MATCH(A128,'ערכים טכנולוגיים'!$A$2:$500,0)),""))</f>
        <v/>
      </c>
      <c r="M128" s="8">
        <f>IF($K128="","",IFERROR(INDEX('ערכים טכנולוגיים'!$F$2:$500,MATCH(A128,'ערכים טכנולוגיים'!$A$2:$500,0)),""))</f>
        <v/>
      </c>
      <c r="N128" s="8">
        <f>IF($K128="","",IFERROR(INDEX('ערכים טכנולוגיים'!$I$2:$500,MATCH(A128,'ערכים טכנולוגיים'!$A$2:$500,0)),""))</f>
        <v/>
      </c>
      <c r="O128" s="8">
        <f>IF($K128="","",IFERROR(INDEX('ערכים טכנולוגיים'!$G$2:$500,MATCH(A128,'ערכים טכנולוגיים'!$A$2:$500,0)),""))</f>
        <v/>
      </c>
      <c r="P128" s="8">
        <f>IF($K128="","",IFERROR(INDEX('ערכים טכנולוגיים'!$J$2:$500,MATCH(A128,'ערכים טכנולוגיים'!$A$2:$500,0)),""))</f>
        <v/>
      </c>
      <c r="Q128" s="8">
        <f>IF($K128="","",IFERROR(INDEX('ערכים טכנולוגיים'!$N$2:$500,MATCH(A128,'ערכים טכנולוגיים'!$A$2:$500,0)),""))</f>
        <v/>
      </c>
    </row>
    <row r="129">
      <c r="A129" s="2">
        <f>IF($K129="","",INDEX(מלאי!$D$2:$500,$K129))</f>
        <v/>
      </c>
      <c r="B129" s="2">
        <f>IF($K129="","",INDEX(מלאי!$B$2:$500,$K129))</f>
        <v/>
      </c>
      <c r="C129" s="2">
        <f>IF($K129="","",INDEX(מלאי!$C$2:$500,$K129))</f>
        <v/>
      </c>
      <c r="D129" s="2">
        <f>IF($K129="","",INDEX(מלאי!$G$2:$500,$K129))</f>
        <v/>
      </c>
      <c r="E129" s="2">
        <f>IF($K129="","",INDEX(מלאי!$M$2:$500,$K129))</f>
        <v/>
      </c>
      <c r="F129" s="2">
        <f>IF($K129="","",INDEX(מלאי!$N$2:$500,$K129))</f>
        <v/>
      </c>
      <c r="G129" s="2">
        <f>IF($K129="","",INDEX(מלאי!$O$2:$500,$K129))</f>
        <v/>
      </c>
      <c r="H129" s="2">
        <f>IF($K129="","",INDEX(מלאי!$U$2:$500,$K129))</f>
        <v/>
      </c>
      <c r="I129" s="2">
        <f>IF($K129="","",INDEX(מלאי!$X$2:$500,$K129))</f>
        <v/>
      </c>
      <c r="J129" s="2">
        <f>IF($K129="","",INDEX(מלאי!$AC$2:$500,$K129))</f>
        <v/>
      </c>
      <c r="K12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טכנולוגיים'!$A$2:$500,0))&lt;=$G$6),0))),ROW(מלאי!$A$2:$A$500)-ROW(מלאי!$A$2)+1,""),107),"")</f>
        <v/>
      </c>
      <c r="L129" s="2">
        <f>IF($K129="","",IFERROR(INDEX('ערכים טכנולוגיים'!$K$2:$500,MATCH(A129,'ערכים טכנולוגיים'!$A$2:$500,0)),""))</f>
        <v/>
      </c>
      <c r="M129" s="2">
        <f>IF($K129="","",IFERROR(INDEX('ערכים טכנולוגיים'!$F$2:$500,MATCH(A129,'ערכים טכנולוגיים'!$A$2:$500,0)),""))</f>
        <v/>
      </c>
      <c r="N129" s="2">
        <f>IF($K129="","",IFERROR(INDEX('ערכים טכנולוגיים'!$I$2:$500,MATCH(A129,'ערכים טכנולוגיים'!$A$2:$500,0)),""))</f>
        <v/>
      </c>
      <c r="O129" s="2">
        <f>IF($K129="","",IFERROR(INDEX('ערכים טכנולוגיים'!$G$2:$500,MATCH(A129,'ערכים טכנולוגיים'!$A$2:$500,0)),""))</f>
        <v/>
      </c>
      <c r="P129" s="2">
        <f>IF($K129="","",IFERROR(INDEX('ערכים טכנולוגיים'!$J$2:$500,MATCH(A129,'ערכים טכנולוגיים'!$A$2:$500,0)),""))</f>
        <v/>
      </c>
      <c r="Q129" s="2">
        <f>IF($K129="","",IFERROR(INDEX('ערכים טכנולוגיים'!$N$2:$500,MATCH(A129,'ערכים טכנולוגיים'!$A$2:$500,0)),""))</f>
        <v/>
      </c>
    </row>
    <row r="130">
      <c r="A130" s="8">
        <f>IF($K130="","",INDEX(מלאי!$D$2:$500,$K130))</f>
        <v/>
      </c>
      <c r="B130" s="8">
        <f>IF($K130="","",INDEX(מלאי!$B$2:$500,$K130))</f>
        <v/>
      </c>
      <c r="C130" s="8">
        <f>IF($K130="","",INDEX(מלאי!$C$2:$500,$K130))</f>
        <v/>
      </c>
      <c r="D130" s="8">
        <f>IF($K130="","",INDEX(מלאי!$G$2:$500,$K130))</f>
        <v/>
      </c>
      <c r="E130" s="8">
        <f>IF($K130="","",INDEX(מלאי!$M$2:$500,$K130))</f>
        <v/>
      </c>
      <c r="F130" s="8">
        <f>IF($K130="","",INDEX(מלאי!$N$2:$500,$K130))</f>
        <v/>
      </c>
      <c r="G130" s="8">
        <f>IF($K130="","",INDEX(מלאי!$O$2:$500,$K130))</f>
        <v/>
      </c>
      <c r="H130" s="8">
        <f>IF($K130="","",INDEX(מלאי!$U$2:$500,$K130))</f>
        <v/>
      </c>
      <c r="I130" s="8">
        <f>IF($K130="","",INDEX(מלאי!$X$2:$500,$K130))</f>
        <v/>
      </c>
      <c r="J130" s="8">
        <f>IF($K130="","",INDEX(מלאי!$AC$2:$500,$K130))</f>
        <v/>
      </c>
      <c r="K13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טכנולוגיים'!$A$2:$500,0))&lt;=$G$6),0))),ROW(מלאי!$A$2:$A$500)-ROW(מלאי!$A$2)+1,""),108),"")</f>
        <v/>
      </c>
      <c r="L130" s="8">
        <f>IF($K130="","",IFERROR(INDEX('ערכים טכנולוגיים'!$K$2:$500,MATCH(A130,'ערכים טכנולוגיים'!$A$2:$500,0)),""))</f>
        <v/>
      </c>
      <c r="M130" s="8">
        <f>IF($K130="","",IFERROR(INDEX('ערכים טכנולוגיים'!$F$2:$500,MATCH(A130,'ערכים טכנולוגיים'!$A$2:$500,0)),""))</f>
        <v/>
      </c>
      <c r="N130" s="8">
        <f>IF($K130="","",IFERROR(INDEX('ערכים טכנולוגיים'!$I$2:$500,MATCH(A130,'ערכים טכנולוגיים'!$A$2:$500,0)),""))</f>
        <v/>
      </c>
      <c r="O130" s="8">
        <f>IF($K130="","",IFERROR(INDEX('ערכים טכנולוגיים'!$G$2:$500,MATCH(A130,'ערכים טכנולוגיים'!$A$2:$500,0)),""))</f>
        <v/>
      </c>
      <c r="P130" s="8">
        <f>IF($K130="","",IFERROR(INDEX('ערכים טכנולוגיים'!$J$2:$500,MATCH(A130,'ערכים טכנולוגיים'!$A$2:$500,0)),""))</f>
        <v/>
      </c>
      <c r="Q130" s="8">
        <f>IF($K130="","",IFERROR(INDEX('ערכים טכנולוגיים'!$N$2:$500,MATCH(A130,'ערכים טכנולוגיים'!$A$2:$500,0)),""))</f>
        <v/>
      </c>
    </row>
    <row r="131">
      <c r="A131" s="2">
        <f>IF($K131="","",INDEX(מלאי!$D$2:$500,$K131))</f>
        <v/>
      </c>
      <c r="B131" s="2">
        <f>IF($K131="","",INDEX(מלאי!$B$2:$500,$K131))</f>
        <v/>
      </c>
      <c r="C131" s="2">
        <f>IF($K131="","",INDEX(מלאי!$C$2:$500,$K131))</f>
        <v/>
      </c>
      <c r="D131" s="2">
        <f>IF($K131="","",INDEX(מלאי!$G$2:$500,$K131))</f>
        <v/>
      </c>
      <c r="E131" s="2">
        <f>IF($K131="","",INDEX(מלאי!$M$2:$500,$K131))</f>
        <v/>
      </c>
      <c r="F131" s="2">
        <f>IF($K131="","",INDEX(מלאי!$N$2:$500,$K131))</f>
        <v/>
      </c>
      <c r="G131" s="2">
        <f>IF($K131="","",INDEX(מלאי!$O$2:$500,$K131))</f>
        <v/>
      </c>
      <c r="H131" s="2">
        <f>IF($K131="","",INDEX(מלאי!$U$2:$500,$K131))</f>
        <v/>
      </c>
      <c r="I131" s="2">
        <f>IF($K131="","",INDEX(מלאי!$X$2:$500,$K131))</f>
        <v/>
      </c>
      <c r="J131" s="2">
        <f>IF($K131="","",INDEX(מלאי!$AC$2:$500,$K131))</f>
        <v/>
      </c>
      <c r="K13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טכנולוגיים'!$A$2:$500,0))&lt;=$G$6),0))),ROW(מלאי!$A$2:$A$500)-ROW(מלאי!$A$2)+1,""),109),"")</f>
        <v/>
      </c>
      <c r="L131" s="2">
        <f>IF($K131="","",IFERROR(INDEX('ערכים טכנולוגיים'!$K$2:$500,MATCH(A131,'ערכים טכנולוגיים'!$A$2:$500,0)),""))</f>
        <v/>
      </c>
      <c r="M131" s="2">
        <f>IF($K131="","",IFERROR(INDEX('ערכים טכנולוגיים'!$F$2:$500,MATCH(A131,'ערכים טכנולוגיים'!$A$2:$500,0)),""))</f>
        <v/>
      </c>
      <c r="N131" s="2">
        <f>IF($K131="","",IFERROR(INDEX('ערכים טכנולוגיים'!$I$2:$500,MATCH(A131,'ערכים טכנולוגיים'!$A$2:$500,0)),""))</f>
        <v/>
      </c>
      <c r="O131" s="2">
        <f>IF($K131="","",IFERROR(INDEX('ערכים טכנולוגיים'!$G$2:$500,MATCH(A131,'ערכים טכנולוגיים'!$A$2:$500,0)),""))</f>
        <v/>
      </c>
      <c r="P131" s="2">
        <f>IF($K131="","",IFERROR(INDEX('ערכים טכנולוגיים'!$J$2:$500,MATCH(A131,'ערכים טכנולוגיים'!$A$2:$500,0)),""))</f>
        <v/>
      </c>
      <c r="Q131" s="2">
        <f>IF($K131="","",IFERROR(INDEX('ערכים טכנולוגיים'!$N$2:$500,MATCH(A131,'ערכים טכנולוגיים'!$A$2:$500,0)),""))</f>
        <v/>
      </c>
    </row>
    <row r="132">
      <c r="A132" s="8">
        <f>IF($K132="","",INDEX(מלאי!$D$2:$500,$K132))</f>
        <v/>
      </c>
      <c r="B132" s="8">
        <f>IF($K132="","",INDEX(מלאי!$B$2:$500,$K132))</f>
        <v/>
      </c>
      <c r="C132" s="8">
        <f>IF($K132="","",INDEX(מלאי!$C$2:$500,$K132))</f>
        <v/>
      </c>
      <c r="D132" s="8">
        <f>IF($K132="","",INDEX(מלאי!$G$2:$500,$K132))</f>
        <v/>
      </c>
      <c r="E132" s="8">
        <f>IF($K132="","",INDEX(מלאי!$M$2:$500,$K132))</f>
        <v/>
      </c>
      <c r="F132" s="8">
        <f>IF($K132="","",INDEX(מלאי!$N$2:$500,$K132))</f>
        <v/>
      </c>
      <c r="G132" s="8">
        <f>IF($K132="","",INDEX(מלאי!$O$2:$500,$K132))</f>
        <v/>
      </c>
      <c r="H132" s="8">
        <f>IF($K132="","",INDEX(מלאי!$U$2:$500,$K132))</f>
        <v/>
      </c>
      <c r="I132" s="8">
        <f>IF($K132="","",INDEX(מלאי!$X$2:$500,$K132))</f>
        <v/>
      </c>
      <c r="J132" s="8">
        <f>IF($K132="","",INDEX(מלאי!$AC$2:$500,$K132))</f>
        <v/>
      </c>
      <c r="K13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טכנולוגיים'!$A$2:$500,0))&lt;=$G$6),0))),ROW(מלאי!$A$2:$A$500)-ROW(מלאי!$A$2)+1,""),110),"")</f>
        <v/>
      </c>
      <c r="L132" s="8">
        <f>IF($K132="","",IFERROR(INDEX('ערכים טכנולוגיים'!$K$2:$500,MATCH(A132,'ערכים טכנולוגיים'!$A$2:$500,0)),""))</f>
        <v/>
      </c>
      <c r="M132" s="8">
        <f>IF($K132="","",IFERROR(INDEX('ערכים טכנולוגיים'!$F$2:$500,MATCH(A132,'ערכים טכנולוגיים'!$A$2:$500,0)),""))</f>
        <v/>
      </c>
      <c r="N132" s="8">
        <f>IF($K132="","",IFERROR(INDEX('ערכים טכנולוגיים'!$I$2:$500,MATCH(A132,'ערכים טכנולוגיים'!$A$2:$500,0)),""))</f>
        <v/>
      </c>
      <c r="O132" s="8">
        <f>IF($K132="","",IFERROR(INDEX('ערכים טכנולוגיים'!$G$2:$500,MATCH(A132,'ערכים טכנולוגיים'!$A$2:$500,0)),""))</f>
        <v/>
      </c>
      <c r="P132" s="8">
        <f>IF($K132="","",IFERROR(INDEX('ערכים טכנולוגיים'!$J$2:$500,MATCH(A132,'ערכים טכנולוגיים'!$A$2:$500,0)),""))</f>
        <v/>
      </c>
      <c r="Q132" s="8">
        <f>IF($K132="","",IFERROR(INDEX('ערכים טכנולוגיים'!$N$2:$500,MATCH(A132,'ערכים טכנולוגיים'!$A$2:$500,0)),""))</f>
        <v/>
      </c>
    </row>
    <row r="133">
      <c r="A133" s="2">
        <f>IF($K133="","",INDEX(מלאי!$D$2:$500,$K133))</f>
        <v/>
      </c>
      <c r="B133" s="2">
        <f>IF($K133="","",INDEX(מלאי!$B$2:$500,$K133))</f>
        <v/>
      </c>
      <c r="C133" s="2">
        <f>IF($K133="","",INDEX(מלאי!$C$2:$500,$K133))</f>
        <v/>
      </c>
      <c r="D133" s="2">
        <f>IF($K133="","",INDEX(מלאי!$G$2:$500,$K133))</f>
        <v/>
      </c>
      <c r="E133" s="2">
        <f>IF($K133="","",INDEX(מלאי!$M$2:$500,$K133))</f>
        <v/>
      </c>
      <c r="F133" s="2">
        <f>IF($K133="","",INDEX(מלאי!$N$2:$500,$K133))</f>
        <v/>
      </c>
      <c r="G133" s="2">
        <f>IF($K133="","",INDEX(מלאי!$O$2:$500,$K133))</f>
        <v/>
      </c>
      <c r="H133" s="2">
        <f>IF($K133="","",INDEX(מלאי!$U$2:$500,$K133))</f>
        <v/>
      </c>
      <c r="I133" s="2">
        <f>IF($K133="","",INDEX(מלאי!$X$2:$500,$K133))</f>
        <v/>
      </c>
      <c r="J133" s="2">
        <f>IF($K133="","",INDEX(מלאי!$AC$2:$500,$K133))</f>
        <v/>
      </c>
      <c r="K13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טכנולוגיים'!$A$2:$500,0))&lt;=$G$6),0))),ROW(מלאי!$A$2:$A$500)-ROW(מלאי!$A$2)+1,""),111),"")</f>
        <v/>
      </c>
      <c r="L133" s="2">
        <f>IF($K133="","",IFERROR(INDEX('ערכים טכנולוגיים'!$K$2:$500,MATCH(A133,'ערכים טכנולוגיים'!$A$2:$500,0)),""))</f>
        <v/>
      </c>
      <c r="M133" s="2">
        <f>IF($K133="","",IFERROR(INDEX('ערכים טכנולוגיים'!$F$2:$500,MATCH(A133,'ערכים טכנולוגיים'!$A$2:$500,0)),""))</f>
        <v/>
      </c>
      <c r="N133" s="2">
        <f>IF($K133="","",IFERROR(INDEX('ערכים טכנולוגיים'!$I$2:$500,MATCH(A133,'ערכים טכנולוגיים'!$A$2:$500,0)),""))</f>
        <v/>
      </c>
      <c r="O133" s="2">
        <f>IF($K133="","",IFERROR(INDEX('ערכים טכנולוגיים'!$G$2:$500,MATCH(A133,'ערכים טכנולוגיים'!$A$2:$500,0)),""))</f>
        <v/>
      </c>
      <c r="P133" s="2">
        <f>IF($K133="","",IFERROR(INDEX('ערכים טכנולוגיים'!$J$2:$500,MATCH(A133,'ערכים טכנולוגיים'!$A$2:$500,0)),""))</f>
        <v/>
      </c>
      <c r="Q133" s="2">
        <f>IF($K133="","",IFERROR(INDEX('ערכים טכנולוגיים'!$N$2:$500,MATCH(A133,'ערכים טכנולוגיים'!$A$2:$500,0)),""))</f>
        <v/>
      </c>
    </row>
    <row r="134">
      <c r="A134" s="8">
        <f>IF($K134="","",INDEX(מלאי!$D$2:$500,$K134))</f>
        <v/>
      </c>
      <c r="B134" s="8">
        <f>IF($K134="","",INDEX(מלאי!$B$2:$500,$K134))</f>
        <v/>
      </c>
      <c r="C134" s="8">
        <f>IF($K134="","",INDEX(מלאי!$C$2:$500,$K134))</f>
        <v/>
      </c>
      <c r="D134" s="8">
        <f>IF($K134="","",INDEX(מלאי!$G$2:$500,$K134))</f>
        <v/>
      </c>
      <c r="E134" s="8">
        <f>IF($K134="","",INDEX(מלאי!$M$2:$500,$K134))</f>
        <v/>
      </c>
      <c r="F134" s="8">
        <f>IF($K134="","",INDEX(מלאי!$N$2:$500,$K134))</f>
        <v/>
      </c>
      <c r="G134" s="8">
        <f>IF($K134="","",INDEX(מלאי!$O$2:$500,$K134))</f>
        <v/>
      </c>
      <c r="H134" s="8">
        <f>IF($K134="","",INDEX(מלאי!$U$2:$500,$K134))</f>
        <v/>
      </c>
      <c r="I134" s="8">
        <f>IF($K134="","",INDEX(מלאי!$X$2:$500,$K134))</f>
        <v/>
      </c>
      <c r="J134" s="8">
        <f>IF($K134="","",INDEX(מלאי!$AC$2:$500,$K134))</f>
        <v/>
      </c>
      <c r="K13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טכנולוגיים'!$A$2:$500,0))&lt;=$G$6),0))),ROW(מלאי!$A$2:$A$500)-ROW(מלאי!$A$2)+1,""),112),"")</f>
        <v/>
      </c>
      <c r="L134" s="8">
        <f>IF($K134="","",IFERROR(INDEX('ערכים טכנולוגיים'!$K$2:$500,MATCH(A134,'ערכים טכנולוגיים'!$A$2:$500,0)),""))</f>
        <v/>
      </c>
      <c r="M134" s="8">
        <f>IF($K134="","",IFERROR(INDEX('ערכים טכנולוגיים'!$F$2:$500,MATCH(A134,'ערכים טכנולוגיים'!$A$2:$500,0)),""))</f>
        <v/>
      </c>
      <c r="N134" s="8">
        <f>IF($K134="","",IFERROR(INDEX('ערכים טכנולוגיים'!$I$2:$500,MATCH(A134,'ערכים טכנולוגיים'!$A$2:$500,0)),""))</f>
        <v/>
      </c>
      <c r="O134" s="8">
        <f>IF($K134="","",IFERROR(INDEX('ערכים טכנולוגיים'!$G$2:$500,MATCH(A134,'ערכים טכנולוגיים'!$A$2:$500,0)),""))</f>
        <v/>
      </c>
      <c r="P134" s="8">
        <f>IF($K134="","",IFERROR(INDEX('ערכים טכנולוגיים'!$J$2:$500,MATCH(A134,'ערכים טכנולוגיים'!$A$2:$500,0)),""))</f>
        <v/>
      </c>
      <c r="Q134" s="8">
        <f>IF($K134="","",IFERROR(INDEX('ערכים טכנולוגיים'!$N$2:$500,MATCH(A134,'ערכים טכנולוגיים'!$A$2:$500,0)),""))</f>
        <v/>
      </c>
    </row>
    <row r="135">
      <c r="A135" s="2">
        <f>IF($K135="","",INDEX(מלאי!$D$2:$500,$K135))</f>
        <v/>
      </c>
      <c r="B135" s="2">
        <f>IF($K135="","",INDEX(מלאי!$B$2:$500,$K135))</f>
        <v/>
      </c>
      <c r="C135" s="2">
        <f>IF($K135="","",INDEX(מלאי!$C$2:$500,$K135))</f>
        <v/>
      </c>
      <c r="D135" s="2">
        <f>IF($K135="","",INDEX(מלאי!$G$2:$500,$K135))</f>
        <v/>
      </c>
      <c r="E135" s="2">
        <f>IF($K135="","",INDEX(מלאי!$M$2:$500,$K135))</f>
        <v/>
      </c>
      <c r="F135" s="2">
        <f>IF($K135="","",INDEX(מלאי!$N$2:$500,$K135))</f>
        <v/>
      </c>
      <c r="G135" s="2">
        <f>IF($K135="","",INDEX(מלאי!$O$2:$500,$K135))</f>
        <v/>
      </c>
      <c r="H135" s="2">
        <f>IF($K135="","",INDEX(מלאי!$U$2:$500,$K135))</f>
        <v/>
      </c>
      <c r="I135" s="2">
        <f>IF($K135="","",INDEX(מלאי!$X$2:$500,$K135))</f>
        <v/>
      </c>
      <c r="J135" s="2">
        <f>IF($K135="","",INDEX(מלאי!$AC$2:$500,$K135))</f>
        <v/>
      </c>
      <c r="K13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טכנולוגיים'!$A$2:$500,0))&lt;=$G$6),0))),ROW(מלאי!$A$2:$A$500)-ROW(מלאי!$A$2)+1,""),113),"")</f>
        <v/>
      </c>
      <c r="L135" s="2">
        <f>IF($K135="","",IFERROR(INDEX('ערכים טכנולוגיים'!$K$2:$500,MATCH(A135,'ערכים טכנולוגיים'!$A$2:$500,0)),""))</f>
        <v/>
      </c>
      <c r="M135" s="2">
        <f>IF($K135="","",IFERROR(INDEX('ערכים טכנולוגיים'!$F$2:$500,MATCH(A135,'ערכים טכנולוגיים'!$A$2:$500,0)),""))</f>
        <v/>
      </c>
      <c r="N135" s="2">
        <f>IF($K135="","",IFERROR(INDEX('ערכים טכנולוגיים'!$I$2:$500,MATCH(A135,'ערכים טכנולוגיים'!$A$2:$500,0)),""))</f>
        <v/>
      </c>
      <c r="O135" s="2">
        <f>IF($K135="","",IFERROR(INDEX('ערכים טכנולוגיים'!$G$2:$500,MATCH(A135,'ערכים טכנולוגיים'!$A$2:$500,0)),""))</f>
        <v/>
      </c>
      <c r="P135" s="2">
        <f>IF($K135="","",IFERROR(INDEX('ערכים טכנולוגיים'!$J$2:$500,MATCH(A135,'ערכים טכנולוגיים'!$A$2:$500,0)),""))</f>
        <v/>
      </c>
      <c r="Q135" s="2">
        <f>IF($K135="","",IFERROR(INDEX('ערכים טכנולוגיים'!$N$2:$500,MATCH(A135,'ערכים טכנולוגיים'!$A$2:$500,0)),""))</f>
        <v/>
      </c>
    </row>
    <row r="136">
      <c r="A136" s="8">
        <f>IF($K136="","",INDEX(מלאי!$D$2:$500,$K136))</f>
        <v/>
      </c>
      <c r="B136" s="8">
        <f>IF($K136="","",INDEX(מלאי!$B$2:$500,$K136))</f>
        <v/>
      </c>
      <c r="C136" s="8">
        <f>IF($K136="","",INDEX(מלאי!$C$2:$500,$K136))</f>
        <v/>
      </c>
      <c r="D136" s="8">
        <f>IF($K136="","",INDEX(מלאי!$G$2:$500,$K136))</f>
        <v/>
      </c>
      <c r="E136" s="8">
        <f>IF($K136="","",INDEX(מלאי!$M$2:$500,$K136))</f>
        <v/>
      </c>
      <c r="F136" s="8">
        <f>IF($K136="","",INDEX(מלאי!$N$2:$500,$K136))</f>
        <v/>
      </c>
      <c r="G136" s="8">
        <f>IF($K136="","",INDEX(מלאי!$O$2:$500,$K136))</f>
        <v/>
      </c>
      <c r="H136" s="8">
        <f>IF($K136="","",INDEX(מלאי!$U$2:$500,$K136))</f>
        <v/>
      </c>
      <c r="I136" s="8">
        <f>IF($K136="","",INDEX(מלאי!$X$2:$500,$K136))</f>
        <v/>
      </c>
      <c r="J136" s="8">
        <f>IF($K136="","",INDEX(מלאי!$AC$2:$500,$K136))</f>
        <v/>
      </c>
      <c r="K13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טכנולוגיים'!$A$2:$500,0))&lt;=$G$6),0))),ROW(מלאי!$A$2:$A$500)-ROW(מלאי!$A$2)+1,""),114),"")</f>
        <v/>
      </c>
      <c r="L136" s="8">
        <f>IF($K136="","",IFERROR(INDEX('ערכים טכנולוגיים'!$K$2:$500,MATCH(A136,'ערכים טכנולוגיים'!$A$2:$500,0)),""))</f>
        <v/>
      </c>
      <c r="M136" s="8">
        <f>IF($K136="","",IFERROR(INDEX('ערכים טכנולוגיים'!$F$2:$500,MATCH(A136,'ערכים טכנולוגיים'!$A$2:$500,0)),""))</f>
        <v/>
      </c>
      <c r="N136" s="8">
        <f>IF($K136="","",IFERROR(INDEX('ערכים טכנולוגיים'!$I$2:$500,MATCH(A136,'ערכים טכנולוגיים'!$A$2:$500,0)),""))</f>
        <v/>
      </c>
      <c r="O136" s="8">
        <f>IF($K136="","",IFERROR(INDEX('ערכים טכנולוגיים'!$G$2:$500,MATCH(A136,'ערכים טכנולוגיים'!$A$2:$500,0)),""))</f>
        <v/>
      </c>
      <c r="P136" s="8">
        <f>IF($K136="","",IFERROR(INDEX('ערכים טכנולוגיים'!$J$2:$500,MATCH(A136,'ערכים טכנולוגיים'!$A$2:$500,0)),""))</f>
        <v/>
      </c>
      <c r="Q136" s="8">
        <f>IF($K136="","",IFERROR(INDEX('ערכים טכנולוגיים'!$N$2:$500,MATCH(A136,'ערכים טכנולוגיים'!$A$2:$500,0)),""))</f>
        <v/>
      </c>
    </row>
    <row r="137">
      <c r="A137" s="2">
        <f>IF($K137="","",INDEX(מלאי!$D$2:$500,$K137))</f>
        <v/>
      </c>
      <c r="B137" s="2">
        <f>IF($K137="","",INDEX(מלאי!$B$2:$500,$K137))</f>
        <v/>
      </c>
      <c r="C137" s="2">
        <f>IF($K137="","",INDEX(מלאי!$C$2:$500,$K137))</f>
        <v/>
      </c>
      <c r="D137" s="2">
        <f>IF($K137="","",INDEX(מלאי!$G$2:$500,$K137))</f>
        <v/>
      </c>
      <c r="E137" s="2">
        <f>IF($K137="","",INDEX(מלאי!$M$2:$500,$K137))</f>
        <v/>
      </c>
      <c r="F137" s="2">
        <f>IF($K137="","",INDEX(מלאי!$N$2:$500,$K137))</f>
        <v/>
      </c>
      <c r="G137" s="2">
        <f>IF($K137="","",INDEX(מלאי!$O$2:$500,$K137))</f>
        <v/>
      </c>
      <c r="H137" s="2">
        <f>IF($K137="","",INDEX(מלאי!$U$2:$500,$K137))</f>
        <v/>
      </c>
      <c r="I137" s="2">
        <f>IF($K137="","",INDEX(מלאי!$X$2:$500,$K137))</f>
        <v/>
      </c>
      <c r="J137" s="2">
        <f>IF($K137="","",INDEX(מלאי!$AC$2:$500,$K137))</f>
        <v/>
      </c>
      <c r="K13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טכנולוגיים'!$A$2:$500,0))&lt;=$G$6),0))),ROW(מלאי!$A$2:$A$500)-ROW(מלאי!$A$2)+1,""),115),"")</f>
        <v/>
      </c>
      <c r="L137" s="2">
        <f>IF($K137="","",IFERROR(INDEX('ערכים טכנולוגיים'!$K$2:$500,MATCH(A137,'ערכים טכנולוגיים'!$A$2:$500,0)),""))</f>
        <v/>
      </c>
      <c r="M137" s="2">
        <f>IF($K137="","",IFERROR(INDEX('ערכים טכנולוגיים'!$F$2:$500,MATCH(A137,'ערכים טכנולוגיים'!$A$2:$500,0)),""))</f>
        <v/>
      </c>
      <c r="N137" s="2">
        <f>IF($K137="","",IFERROR(INDEX('ערכים טכנולוגיים'!$I$2:$500,MATCH(A137,'ערכים טכנולוגיים'!$A$2:$500,0)),""))</f>
        <v/>
      </c>
      <c r="O137" s="2">
        <f>IF($K137="","",IFERROR(INDEX('ערכים טכנולוגיים'!$G$2:$500,MATCH(A137,'ערכים טכנולוגיים'!$A$2:$500,0)),""))</f>
        <v/>
      </c>
      <c r="P137" s="2">
        <f>IF($K137="","",IFERROR(INDEX('ערכים טכנולוגיים'!$J$2:$500,MATCH(A137,'ערכים טכנולוגיים'!$A$2:$500,0)),""))</f>
        <v/>
      </c>
      <c r="Q137" s="2">
        <f>IF($K137="","",IFERROR(INDEX('ערכים טכנולוגיים'!$N$2:$500,MATCH(A137,'ערכים טכנולוגיים'!$A$2:$500,0)),""))</f>
        <v/>
      </c>
    </row>
    <row r="138">
      <c r="A138" s="8">
        <f>IF($K138="","",INDEX(מלאי!$D$2:$500,$K138))</f>
        <v/>
      </c>
      <c r="B138" s="8">
        <f>IF($K138="","",INDEX(מלאי!$B$2:$500,$K138))</f>
        <v/>
      </c>
      <c r="C138" s="8">
        <f>IF($K138="","",INDEX(מלאי!$C$2:$500,$K138))</f>
        <v/>
      </c>
      <c r="D138" s="8">
        <f>IF($K138="","",INDEX(מלאי!$G$2:$500,$K138))</f>
        <v/>
      </c>
      <c r="E138" s="8">
        <f>IF($K138="","",INDEX(מלאי!$M$2:$500,$K138))</f>
        <v/>
      </c>
      <c r="F138" s="8">
        <f>IF($K138="","",INDEX(מלאי!$N$2:$500,$K138))</f>
        <v/>
      </c>
      <c r="G138" s="8">
        <f>IF($K138="","",INDEX(מלאי!$O$2:$500,$K138))</f>
        <v/>
      </c>
      <c r="H138" s="8">
        <f>IF($K138="","",INDEX(מלאי!$U$2:$500,$K138))</f>
        <v/>
      </c>
      <c r="I138" s="8">
        <f>IF($K138="","",INDEX(מלאי!$X$2:$500,$K138))</f>
        <v/>
      </c>
      <c r="J138" s="8">
        <f>IF($K138="","",INDEX(מלאי!$AC$2:$500,$K138))</f>
        <v/>
      </c>
      <c r="K13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טכנולוגיים'!$A$2:$500,0))&lt;=$G$6),0))),ROW(מלאי!$A$2:$A$500)-ROW(מלאי!$A$2)+1,""),116),"")</f>
        <v/>
      </c>
      <c r="L138" s="8">
        <f>IF($K138="","",IFERROR(INDEX('ערכים טכנולוגיים'!$K$2:$500,MATCH(A138,'ערכים טכנולוגיים'!$A$2:$500,0)),""))</f>
        <v/>
      </c>
      <c r="M138" s="8">
        <f>IF($K138="","",IFERROR(INDEX('ערכים טכנולוגיים'!$F$2:$500,MATCH(A138,'ערכים טכנולוגיים'!$A$2:$500,0)),""))</f>
        <v/>
      </c>
      <c r="N138" s="8">
        <f>IF($K138="","",IFERROR(INDEX('ערכים טכנולוגיים'!$I$2:$500,MATCH(A138,'ערכים טכנולוגיים'!$A$2:$500,0)),""))</f>
        <v/>
      </c>
      <c r="O138" s="8">
        <f>IF($K138="","",IFERROR(INDEX('ערכים טכנולוגיים'!$G$2:$500,MATCH(A138,'ערכים טכנולוגיים'!$A$2:$500,0)),""))</f>
        <v/>
      </c>
      <c r="P138" s="8">
        <f>IF($K138="","",IFERROR(INDEX('ערכים טכנולוגיים'!$J$2:$500,MATCH(A138,'ערכים טכנולוגיים'!$A$2:$500,0)),""))</f>
        <v/>
      </c>
      <c r="Q138" s="8">
        <f>IF($K138="","",IFERROR(INDEX('ערכים טכנולוגיים'!$N$2:$500,MATCH(A138,'ערכים טכנולוגיים'!$A$2:$500,0)),""))</f>
        <v/>
      </c>
    </row>
    <row r="139">
      <c r="A139" s="2">
        <f>IF($K139="","",INDEX(מלאי!$D$2:$500,$K139))</f>
        <v/>
      </c>
      <c r="B139" s="2">
        <f>IF($K139="","",INDEX(מלאי!$B$2:$500,$K139))</f>
        <v/>
      </c>
      <c r="C139" s="2">
        <f>IF($K139="","",INDEX(מלאי!$C$2:$500,$K139))</f>
        <v/>
      </c>
      <c r="D139" s="2">
        <f>IF($K139="","",INDEX(מלאי!$G$2:$500,$K139))</f>
        <v/>
      </c>
      <c r="E139" s="2">
        <f>IF($K139="","",INDEX(מלאי!$M$2:$500,$K139))</f>
        <v/>
      </c>
      <c r="F139" s="2">
        <f>IF($K139="","",INDEX(מלאי!$N$2:$500,$K139))</f>
        <v/>
      </c>
      <c r="G139" s="2">
        <f>IF($K139="","",INDEX(מלאי!$O$2:$500,$K139))</f>
        <v/>
      </c>
      <c r="H139" s="2">
        <f>IF($K139="","",INDEX(מלאי!$U$2:$500,$K139))</f>
        <v/>
      </c>
      <c r="I139" s="2">
        <f>IF($K139="","",INDEX(מלאי!$X$2:$500,$K139))</f>
        <v/>
      </c>
      <c r="J139" s="2">
        <f>IF($K139="","",INDEX(מלאי!$AC$2:$500,$K139))</f>
        <v/>
      </c>
      <c r="K13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טכנולוגיים'!$A$2:$500,0))&lt;=$G$6),0))),ROW(מלאי!$A$2:$A$500)-ROW(מלאי!$A$2)+1,""),117),"")</f>
        <v/>
      </c>
      <c r="L139" s="2">
        <f>IF($K139="","",IFERROR(INDEX('ערכים טכנולוגיים'!$K$2:$500,MATCH(A139,'ערכים טכנולוגיים'!$A$2:$500,0)),""))</f>
        <v/>
      </c>
      <c r="M139" s="2">
        <f>IF($K139="","",IFERROR(INDEX('ערכים טכנולוגיים'!$F$2:$500,MATCH(A139,'ערכים טכנולוגיים'!$A$2:$500,0)),""))</f>
        <v/>
      </c>
      <c r="N139" s="2">
        <f>IF($K139="","",IFERROR(INDEX('ערכים טכנולוגיים'!$I$2:$500,MATCH(A139,'ערכים טכנולוגיים'!$A$2:$500,0)),""))</f>
        <v/>
      </c>
      <c r="O139" s="2">
        <f>IF($K139="","",IFERROR(INDEX('ערכים טכנולוגיים'!$G$2:$500,MATCH(A139,'ערכים טכנולוגיים'!$A$2:$500,0)),""))</f>
        <v/>
      </c>
      <c r="P139" s="2">
        <f>IF($K139="","",IFERROR(INDEX('ערכים טכנולוגיים'!$J$2:$500,MATCH(A139,'ערכים טכנולוגיים'!$A$2:$500,0)),""))</f>
        <v/>
      </c>
      <c r="Q139" s="2">
        <f>IF($K139="","",IFERROR(INDEX('ערכים טכנולוגיים'!$N$2:$500,MATCH(A139,'ערכים טכנולוגיים'!$A$2:$500,0)),""))</f>
        <v/>
      </c>
    </row>
    <row r="140">
      <c r="A140" s="8">
        <f>IF($K140="","",INDEX(מלאי!$D$2:$500,$K140))</f>
        <v/>
      </c>
      <c r="B140" s="8">
        <f>IF($K140="","",INDEX(מלאי!$B$2:$500,$K140))</f>
        <v/>
      </c>
      <c r="C140" s="8">
        <f>IF($K140="","",INDEX(מלאי!$C$2:$500,$K140))</f>
        <v/>
      </c>
      <c r="D140" s="8">
        <f>IF($K140="","",INDEX(מלאי!$G$2:$500,$K140))</f>
        <v/>
      </c>
      <c r="E140" s="8">
        <f>IF($K140="","",INDEX(מלאי!$M$2:$500,$K140))</f>
        <v/>
      </c>
      <c r="F140" s="8">
        <f>IF($K140="","",INDEX(מלאי!$N$2:$500,$K140))</f>
        <v/>
      </c>
      <c r="G140" s="8">
        <f>IF($K140="","",INDEX(מלאי!$O$2:$500,$K140))</f>
        <v/>
      </c>
      <c r="H140" s="8">
        <f>IF($K140="","",INDEX(מלאי!$U$2:$500,$K140))</f>
        <v/>
      </c>
      <c r="I140" s="8">
        <f>IF($K140="","",INDEX(מלאי!$X$2:$500,$K140))</f>
        <v/>
      </c>
      <c r="J140" s="8">
        <f>IF($K140="","",INDEX(מלאי!$AC$2:$500,$K140))</f>
        <v/>
      </c>
      <c r="K14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טכנולוגיים'!$A$2:$500,0))&lt;=$G$6),0))),ROW(מלאי!$A$2:$A$500)-ROW(מלאי!$A$2)+1,""),118),"")</f>
        <v/>
      </c>
      <c r="L140" s="8">
        <f>IF($K140="","",IFERROR(INDEX('ערכים טכנולוגיים'!$K$2:$500,MATCH(A140,'ערכים טכנולוגיים'!$A$2:$500,0)),""))</f>
        <v/>
      </c>
      <c r="M140" s="8">
        <f>IF($K140="","",IFERROR(INDEX('ערכים טכנולוגיים'!$F$2:$500,MATCH(A140,'ערכים טכנולוגיים'!$A$2:$500,0)),""))</f>
        <v/>
      </c>
      <c r="N140" s="8">
        <f>IF($K140="","",IFERROR(INDEX('ערכים טכנולוגיים'!$I$2:$500,MATCH(A140,'ערכים טכנולוגיים'!$A$2:$500,0)),""))</f>
        <v/>
      </c>
      <c r="O140" s="8">
        <f>IF($K140="","",IFERROR(INDEX('ערכים טכנולוגיים'!$G$2:$500,MATCH(A140,'ערכים טכנולוגיים'!$A$2:$500,0)),""))</f>
        <v/>
      </c>
      <c r="P140" s="8">
        <f>IF($K140="","",IFERROR(INDEX('ערכים טכנולוגיים'!$J$2:$500,MATCH(A140,'ערכים טכנולוגיים'!$A$2:$500,0)),""))</f>
        <v/>
      </c>
      <c r="Q140" s="8">
        <f>IF($K140="","",IFERROR(INDEX('ערכים טכנולוגיים'!$N$2:$500,MATCH(A140,'ערכים טכנולוגיים'!$A$2:$500,0)),""))</f>
        <v/>
      </c>
    </row>
    <row r="141">
      <c r="A141" s="2">
        <f>IF($K141="","",INDEX(מלאי!$D$2:$500,$K141))</f>
        <v/>
      </c>
      <c r="B141" s="2">
        <f>IF($K141="","",INDEX(מלאי!$B$2:$500,$K141))</f>
        <v/>
      </c>
      <c r="C141" s="2">
        <f>IF($K141="","",INDEX(מלאי!$C$2:$500,$K141))</f>
        <v/>
      </c>
      <c r="D141" s="2">
        <f>IF($K141="","",INDEX(מלאי!$G$2:$500,$K141))</f>
        <v/>
      </c>
      <c r="E141" s="2">
        <f>IF($K141="","",INDEX(מלאי!$M$2:$500,$K141))</f>
        <v/>
      </c>
      <c r="F141" s="2">
        <f>IF($K141="","",INDEX(מלאי!$N$2:$500,$K141))</f>
        <v/>
      </c>
      <c r="G141" s="2">
        <f>IF($K141="","",INDEX(מלאי!$O$2:$500,$K141))</f>
        <v/>
      </c>
      <c r="H141" s="2">
        <f>IF($K141="","",INDEX(מלאי!$U$2:$500,$K141))</f>
        <v/>
      </c>
      <c r="I141" s="2">
        <f>IF($K141="","",INDEX(מלאי!$X$2:$500,$K141))</f>
        <v/>
      </c>
      <c r="J141" s="2">
        <f>IF($K141="","",INDEX(מלאי!$AC$2:$500,$K141))</f>
        <v/>
      </c>
      <c r="K14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טכנולוגיים'!$A$2:$500,0))&lt;=$G$6),0))),ROW(מלאי!$A$2:$A$500)-ROW(מלאי!$A$2)+1,""),119),"")</f>
        <v/>
      </c>
      <c r="L141" s="2">
        <f>IF($K141="","",IFERROR(INDEX('ערכים טכנולוגיים'!$K$2:$500,MATCH(A141,'ערכים טכנולוגיים'!$A$2:$500,0)),""))</f>
        <v/>
      </c>
      <c r="M141" s="2">
        <f>IF($K141="","",IFERROR(INDEX('ערכים טכנולוגיים'!$F$2:$500,MATCH(A141,'ערכים טכנולוגיים'!$A$2:$500,0)),""))</f>
        <v/>
      </c>
      <c r="N141" s="2">
        <f>IF($K141="","",IFERROR(INDEX('ערכים טכנולוגיים'!$I$2:$500,MATCH(A141,'ערכים טכנולוגיים'!$A$2:$500,0)),""))</f>
        <v/>
      </c>
      <c r="O141" s="2">
        <f>IF($K141="","",IFERROR(INDEX('ערכים טכנולוגיים'!$G$2:$500,MATCH(A141,'ערכים טכנולוגיים'!$A$2:$500,0)),""))</f>
        <v/>
      </c>
      <c r="P141" s="2">
        <f>IF($K141="","",IFERROR(INDEX('ערכים טכנולוגיים'!$J$2:$500,MATCH(A141,'ערכים טכנולוגיים'!$A$2:$500,0)),""))</f>
        <v/>
      </c>
      <c r="Q141" s="2">
        <f>IF($K141="","",IFERROR(INDEX('ערכים טכנולוגיים'!$N$2:$500,MATCH(A141,'ערכים טכנולוגיים'!$A$2:$500,0)),""))</f>
        <v/>
      </c>
    </row>
    <row r="142">
      <c r="A142" s="8">
        <f>IF($K142="","",INDEX(מלאי!$D$2:$500,$K142))</f>
        <v/>
      </c>
      <c r="B142" s="8">
        <f>IF($K142="","",INDEX(מלאי!$B$2:$500,$K142))</f>
        <v/>
      </c>
      <c r="C142" s="8">
        <f>IF($K142="","",INDEX(מלאי!$C$2:$500,$K142))</f>
        <v/>
      </c>
      <c r="D142" s="8">
        <f>IF($K142="","",INDEX(מלאי!$G$2:$500,$K142))</f>
        <v/>
      </c>
      <c r="E142" s="8">
        <f>IF($K142="","",INDEX(מלאי!$M$2:$500,$K142))</f>
        <v/>
      </c>
      <c r="F142" s="8">
        <f>IF($K142="","",INDEX(מלאי!$N$2:$500,$K142))</f>
        <v/>
      </c>
      <c r="G142" s="8">
        <f>IF($K142="","",INDEX(מלאי!$O$2:$500,$K142))</f>
        <v/>
      </c>
      <c r="H142" s="8">
        <f>IF($K142="","",INDEX(מלאי!$U$2:$500,$K142))</f>
        <v/>
      </c>
      <c r="I142" s="8">
        <f>IF($K142="","",INDEX(מלאי!$X$2:$500,$K142))</f>
        <v/>
      </c>
      <c r="J142" s="8">
        <f>IF($K142="","",INDEX(מלאי!$AC$2:$500,$K142))</f>
        <v/>
      </c>
      <c r="K14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טכנולוגיים'!$A$2:$500,0))&lt;=$G$6),0))),ROW(מלאי!$A$2:$A$500)-ROW(מלאי!$A$2)+1,""),120),"")</f>
        <v/>
      </c>
      <c r="L142" s="8">
        <f>IF($K142="","",IFERROR(INDEX('ערכים טכנולוגיים'!$K$2:$500,MATCH(A142,'ערכים טכנולוגיים'!$A$2:$500,0)),""))</f>
        <v/>
      </c>
      <c r="M142" s="8">
        <f>IF($K142="","",IFERROR(INDEX('ערכים טכנולוגיים'!$F$2:$500,MATCH(A142,'ערכים טכנולוגיים'!$A$2:$500,0)),""))</f>
        <v/>
      </c>
      <c r="N142" s="8">
        <f>IF($K142="","",IFERROR(INDEX('ערכים טכנולוגיים'!$I$2:$500,MATCH(A142,'ערכים טכנולוגיים'!$A$2:$500,0)),""))</f>
        <v/>
      </c>
      <c r="O142" s="8">
        <f>IF($K142="","",IFERROR(INDEX('ערכים טכנולוגיים'!$G$2:$500,MATCH(A142,'ערכים טכנולוגיים'!$A$2:$500,0)),""))</f>
        <v/>
      </c>
      <c r="P142" s="8">
        <f>IF($K142="","",IFERROR(INDEX('ערכים טכנולוגיים'!$J$2:$500,MATCH(A142,'ערכים טכנולוגיים'!$A$2:$500,0)),""))</f>
        <v/>
      </c>
      <c r="Q142" s="8">
        <f>IF($K142="","",IFERROR(INDEX('ערכים טכנולוגיים'!$N$2:$500,MATCH(A142,'ערכים טכנולוגיים'!$A$2:$500,0)),""))</f>
        <v/>
      </c>
    </row>
    <row r="143">
      <c r="A143" s="2">
        <f>IF($K143="","",INDEX(מלאי!$D$2:$500,$K143))</f>
        <v/>
      </c>
      <c r="B143" s="2">
        <f>IF($K143="","",INDEX(מלאי!$B$2:$500,$K143))</f>
        <v/>
      </c>
      <c r="C143" s="2">
        <f>IF($K143="","",INDEX(מלאי!$C$2:$500,$K143))</f>
        <v/>
      </c>
      <c r="D143" s="2">
        <f>IF($K143="","",INDEX(מלאי!$G$2:$500,$K143))</f>
        <v/>
      </c>
      <c r="E143" s="2">
        <f>IF($K143="","",INDEX(מלאי!$M$2:$500,$K143))</f>
        <v/>
      </c>
      <c r="F143" s="2">
        <f>IF($K143="","",INDEX(מלאי!$N$2:$500,$K143))</f>
        <v/>
      </c>
      <c r="G143" s="2">
        <f>IF($K143="","",INDEX(מלאי!$O$2:$500,$K143))</f>
        <v/>
      </c>
      <c r="H143" s="2">
        <f>IF($K143="","",INDEX(מלאי!$U$2:$500,$K143))</f>
        <v/>
      </c>
      <c r="I143" s="2">
        <f>IF($K143="","",INDEX(מלאי!$X$2:$500,$K143))</f>
        <v/>
      </c>
      <c r="J143" s="2">
        <f>IF($K143="","",INDEX(מלאי!$AC$2:$500,$K143))</f>
        <v/>
      </c>
      <c r="K14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טכנולוגיים'!$A$2:$500,0))&lt;=$G$6),0))),ROW(מלאי!$A$2:$A$500)-ROW(מלאי!$A$2)+1,""),121),"")</f>
        <v/>
      </c>
      <c r="L143" s="2">
        <f>IF($K143="","",IFERROR(INDEX('ערכים טכנולוגיים'!$K$2:$500,MATCH(A143,'ערכים טכנולוגיים'!$A$2:$500,0)),""))</f>
        <v/>
      </c>
      <c r="M143" s="2">
        <f>IF($K143="","",IFERROR(INDEX('ערכים טכנולוגיים'!$F$2:$500,MATCH(A143,'ערכים טכנולוגיים'!$A$2:$500,0)),""))</f>
        <v/>
      </c>
      <c r="N143" s="2">
        <f>IF($K143="","",IFERROR(INDEX('ערכים טכנולוגיים'!$I$2:$500,MATCH(A143,'ערכים טכנולוגיים'!$A$2:$500,0)),""))</f>
        <v/>
      </c>
      <c r="O143" s="2">
        <f>IF($K143="","",IFERROR(INDEX('ערכים טכנולוגיים'!$G$2:$500,MATCH(A143,'ערכים טכנולוגיים'!$A$2:$500,0)),""))</f>
        <v/>
      </c>
      <c r="P143" s="2">
        <f>IF($K143="","",IFERROR(INDEX('ערכים טכנולוגיים'!$J$2:$500,MATCH(A143,'ערכים טכנולוגיים'!$A$2:$500,0)),""))</f>
        <v/>
      </c>
      <c r="Q143" s="2">
        <f>IF($K143="","",IFERROR(INDEX('ערכים טכנולוגיים'!$N$2:$500,MATCH(A143,'ערכים טכנולוגיים'!$A$2:$500,0)),""))</f>
        <v/>
      </c>
    </row>
    <row r="144">
      <c r="A144" s="8">
        <f>IF($K144="","",INDEX(מלאי!$D$2:$500,$K144))</f>
        <v/>
      </c>
      <c r="B144" s="8">
        <f>IF($K144="","",INDEX(מלאי!$B$2:$500,$K144))</f>
        <v/>
      </c>
      <c r="C144" s="8">
        <f>IF($K144="","",INDEX(מלאי!$C$2:$500,$K144))</f>
        <v/>
      </c>
      <c r="D144" s="8">
        <f>IF($K144="","",INDEX(מלאי!$G$2:$500,$K144))</f>
        <v/>
      </c>
      <c r="E144" s="8">
        <f>IF($K144="","",INDEX(מלאי!$M$2:$500,$K144))</f>
        <v/>
      </c>
      <c r="F144" s="8">
        <f>IF($K144="","",INDEX(מלאי!$N$2:$500,$K144))</f>
        <v/>
      </c>
      <c r="G144" s="8">
        <f>IF($K144="","",INDEX(מלאי!$O$2:$500,$K144))</f>
        <v/>
      </c>
      <c r="H144" s="8">
        <f>IF($K144="","",INDEX(מלאי!$U$2:$500,$K144))</f>
        <v/>
      </c>
      <c r="I144" s="8">
        <f>IF($K144="","",INDEX(מלאי!$X$2:$500,$K144))</f>
        <v/>
      </c>
      <c r="J144" s="8">
        <f>IF($K144="","",INDEX(מלאי!$AC$2:$500,$K144))</f>
        <v/>
      </c>
      <c r="K14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טכנולוגיים'!$A$2:$500,0))&lt;=$G$6),0))),ROW(מלאי!$A$2:$A$500)-ROW(מלאי!$A$2)+1,""),122),"")</f>
        <v/>
      </c>
      <c r="L144" s="8">
        <f>IF($K144="","",IFERROR(INDEX('ערכים טכנולוגיים'!$K$2:$500,MATCH(A144,'ערכים טכנולוגיים'!$A$2:$500,0)),""))</f>
        <v/>
      </c>
      <c r="M144" s="8">
        <f>IF($K144="","",IFERROR(INDEX('ערכים טכנולוגיים'!$F$2:$500,MATCH(A144,'ערכים טכנולוגיים'!$A$2:$500,0)),""))</f>
        <v/>
      </c>
      <c r="N144" s="8">
        <f>IF($K144="","",IFERROR(INDEX('ערכים טכנולוגיים'!$I$2:$500,MATCH(A144,'ערכים טכנולוגיים'!$A$2:$500,0)),""))</f>
        <v/>
      </c>
      <c r="O144" s="8">
        <f>IF($K144="","",IFERROR(INDEX('ערכים טכנולוגיים'!$G$2:$500,MATCH(A144,'ערכים טכנולוגיים'!$A$2:$500,0)),""))</f>
        <v/>
      </c>
      <c r="P144" s="8">
        <f>IF($K144="","",IFERROR(INDEX('ערכים טכנולוגיים'!$J$2:$500,MATCH(A144,'ערכים טכנולוגיים'!$A$2:$500,0)),""))</f>
        <v/>
      </c>
      <c r="Q144" s="8">
        <f>IF($K144="","",IFERROR(INDEX('ערכים טכנולוגיים'!$N$2:$500,MATCH(A144,'ערכים טכנולוגיים'!$A$2:$500,0)),""))</f>
        <v/>
      </c>
    </row>
    <row r="145">
      <c r="A145" s="2">
        <f>IF($K145="","",INDEX(מלאי!$D$2:$500,$K145))</f>
        <v/>
      </c>
      <c r="B145" s="2">
        <f>IF($K145="","",INDEX(מלאי!$B$2:$500,$K145))</f>
        <v/>
      </c>
      <c r="C145" s="2">
        <f>IF($K145="","",INDEX(מלאי!$C$2:$500,$K145))</f>
        <v/>
      </c>
      <c r="D145" s="2">
        <f>IF($K145="","",INDEX(מלאי!$G$2:$500,$K145))</f>
        <v/>
      </c>
      <c r="E145" s="2">
        <f>IF($K145="","",INDEX(מלאי!$M$2:$500,$K145))</f>
        <v/>
      </c>
      <c r="F145" s="2">
        <f>IF($K145="","",INDEX(מלאי!$N$2:$500,$K145))</f>
        <v/>
      </c>
      <c r="G145" s="2">
        <f>IF($K145="","",INDEX(מלאי!$O$2:$500,$K145))</f>
        <v/>
      </c>
      <c r="H145" s="2">
        <f>IF($K145="","",INDEX(מלאי!$U$2:$500,$K145))</f>
        <v/>
      </c>
      <c r="I145" s="2">
        <f>IF($K145="","",INDEX(מלאי!$X$2:$500,$K145))</f>
        <v/>
      </c>
      <c r="J145" s="2">
        <f>IF($K145="","",INDEX(מלאי!$AC$2:$500,$K145))</f>
        <v/>
      </c>
      <c r="K14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טכנולוגיים'!$A$2:$500,0))&lt;=$G$6),0))),ROW(מלאי!$A$2:$A$500)-ROW(מלאי!$A$2)+1,""),123),"")</f>
        <v/>
      </c>
      <c r="L145" s="2">
        <f>IF($K145="","",IFERROR(INDEX('ערכים טכנולוגיים'!$K$2:$500,MATCH(A145,'ערכים טכנולוגיים'!$A$2:$500,0)),""))</f>
        <v/>
      </c>
      <c r="M145" s="2">
        <f>IF($K145="","",IFERROR(INDEX('ערכים טכנולוגיים'!$F$2:$500,MATCH(A145,'ערכים טכנולוגיים'!$A$2:$500,0)),""))</f>
        <v/>
      </c>
      <c r="N145" s="2">
        <f>IF($K145="","",IFERROR(INDEX('ערכים טכנולוגיים'!$I$2:$500,MATCH(A145,'ערכים טכנולוגיים'!$A$2:$500,0)),""))</f>
        <v/>
      </c>
      <c r="O145" s="2">
        <f>IF($K145="","",IFERROR(INDEX('ערכים טכנולוגיים'!$G$2:$500,MATCH(A145,'ערכים טכנולוגיים'!$A$2:$500,0)),""))</f>
        <v/>
      </c>
      <c r="P145" s="2">
        <f>IF($K145="","",IFERROR(INDEX('ערכים טכנולוגיים'!$J$2:$500,MATCH(A145,'ערכים טכנולוגיים'!$A$2:$500,0)),""))</f>
        <v/>
      </c>
      <c r="Q145" s="2">
        <f>IF($K145="","",IFERROR(INDEX('ערכים טכנולוגיים'!$N$2:$500,MATCH(A145,'ערכים טכנולוגיים'!$A$2:$500,0)),""))</f>
        <v/>
      </c>
    </row>
    <row r="146">
      <c r="A146" s="8">
        <f>IF($K146="","",INDEX(מלאי!$D$2:$500,$K146))</f>
        <v/>
      </c>
      <c r="B146" s="8">
        <f>IF($K146="","",INDEX(מלאי!$B$2:$500,$K146))</f>
        <v/>
      </c>
      <c r="C146" s="8">
        <f>IF($K146="","",INDEX(מלאי!$C$2:$500,$K146))</f>
        <v/>
      </c>
      <c r="D146" s="8">
        <f>IF($K146="","",INDEX(מלאי!$G$2:$500,$K146))</f>
        <v/>
      </c>
      <c r="E146" s="8">
        <f>IF($K146="","",INDEX(מלאי!$M$2:$500,$K146))</f>
        <v/>
      </c>
      <c r="F146" s="8">
        <f>IF($K146="","",INDEX(מלאי!$N$2:$500,$K146))</f>
        <v/>
      </c>
      <c r="G146" s="8">
        <f>IF($K146="","",INDEX(מלאי!$O$2:$500,$K146))</f>
        <v/>
      </c>
      <c r="H146" s="8">
        <f>IF($K146="","",INDEX(מלאי!$U$2:$500,$K146))</f>
        <v/>
      </c>
      <c r="I146" s="8">
        <f>IF($K146="","",INDEX(מלאי!$X$2:$500,$K146))</f>
        <v/>
      </c>
      <c r="J146" s="8">
        <f>IF($K146="","",INDEX(מלאי!$AC$2:$500,$K146))</f>
        <v/>
      </c>
      <c r="K14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טכנולוגיים'!$A$2:$500,0))&lt;=$G$6),0))),ROW(מלאי!$A$2:$A$500)-ROW(מלאי!$A$2)+1,""),124),"")</f>
        <v/>
      </c>
      <c r="L146" s="8">
        <f>IF($K146="","",IFERROR(INDEX('ערכים טכנולוגיים'!$K$2:$500,MATCH(A146,'ערכים טכנולוגיים'!$A$2:$500,0)),""))</f>
        <v/>
      </c>
      <c r="M146" s="8">
        <f>IF($K146="","",IFERROR(INDEX('ערכים טכנולוגיים'!$F$2:$500,MATCH(A146,'ערכים טכנולוגיים'!$A$2:$500,0)),""))</f>
        <v/>
      </c>
      <c r="N146" s="8">
        <f>IF($K146="","",IFERROR(INDEX('ערכים טכנולוגיים'!$I$2:$500,MATCH(A146,'ערכים טכנולוגיים'!$A$2:$500,0)),""))</f>
        <v/>
      </c>
      <c r="O146" s="8">
        <f>IF($K146="","",IFERROR(INDEX('ערכים טכנולוגיים'!$G$2:$500,MATCH(A146,'ערכים טכנולוגיים'!$A$2:$500,0)),""))</f>
        <v/>
      </c>
      <c r="P146" s="8">
        <f>IF($K146="","",IFERROR(INDEX('ערכים טכנולוגיים'!$J$2:$500,MATCH(A146,'ערכים טכנולוגיים'!$A$2:$500,0)),""))</f>
        <v/>
      </c>
      <c r="Q146" s="8">
        <f>IF($K146="","",IFERROR(INDEX('ערכים טכנולוגיים'!$N$2:$500,MATCH(A146,'ערכים טכנולוגיים'!$A$2:$500,0)),""))</f>
        <v/>
      </c>
    </row>
    <row r="147">
      <c r="A147" s="2">
        <f>IF($K147="","",INDEX(מלאי!$D$2:$500,$K147))</f>
        <v/>
      </c>
      <c r="B147" s="2">
        <f>IF($K147="","",INDEX(מלאי!$B$2:$500,$K147))</f>
        <v/>
      </c>
      <c r="C147" s="2">
        <f>IF($K147="","",INDEX(מלאי!$C$2:$500,$K147))</f>
        <v/>
      </c>
      <c r="D147" s="2">
        <f>IF($K147="","",INDEX(מלאי!$G$2:$500,$K147))</f>
        <v/>
      </c>
      <c r="E147" s="2">
        <f>IF($K147="","",INDEX(מלאי!$M$2:$500,$K147))</f>
        <v/>
      </c>
      <c r="F147" s="2">
        <f>IF($K147="","",INDEX(מלאי!$N$2:$500,$K147))</f>
        <v/>
      </c>
      <c r="G147" s="2">
        <f>IF($K147="","",INDEX(מלאי!$O$2:$500,$K147))</f>
        <v/>
      </c>
      <c r="H147" s="2">
        <f>IF($K147="","",INDEX(מלאי!$U$2:$500,$K147))</f>
        <v/>
      </c>
      <c r="I147" s="2">
        <f>IF($K147="","",INDEX(מלאי!$X$2:$500,$K147))</f>
        <v/>
      </c>
      <c r="J147" s="2">
        <f>IF($K147="","",INDEX(מלאי!$AC$2:$500,$K147))</f>
        <v/>
      </c>
      <c r="K14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טכנולוגיים'!$A$2:$500,0))&lt;=$G$6),0))),ROW(מלאי!$A$2:$A$500)-ROW(מלאי!$A$2)+1,""),125),"")</f>
        <v/>
      </c>
      <c r="L147" s="2">
        <f>IF($K147="","",IFERROR(INDEX('ערכים טכנולוגיים'!$K$2:$500,MATCH(A147,'ערכים טכנולוגיים'!$A$2:$500,0)),""))</f>
        <v/>
      </c>
      <c r="M147" s="2">
        <f>IF($K147="","",IFERROR(INDEX('ערכים טכנולוגיים'!$F$2:$500,MATCH(A147,'ערכים טכנולוגיים'!$A$2:$500,0)),""))</f>
        <v/>
      </c>
      <c r="N147" s="2">
        <f>IF($K147="","",IFERROR(INDEX('ערכים טכנולוגיים'!$I$2:$500,MATCH(A147,'ערכים טכנולוגיים'!$A$2:$500,0)),""))</f>
        <v/>
      </c>
      <c r="O147" s="2">
        <f>IF($K147="","",IFERROR(INDEX('ערכים טכנולוגיים'!$G$2:$500,MATCH(A147,'ערכים טכנולוגיים'!$A$2:$500,0)),""))</f>
        <v/>
      </c>
      <c r="P147" s="2">
        <f>IF($K147="","",IFERROR(INDEX('ערכים טכנולוגיים'!$J$2:$500,MATCH(A147,'ערכים טכנולוגיים'!$A$2:$500,0)),""))</f>
        <v/>
      </c>
      <c r="Q147" s="2">
        <f>IF($K147="","",IFERROR(INDEX('ערכים טכנולוגיים'!$N$2:$500,MATCH(A147,'ערכים טכנולוגיים'!$A$2:$500,0)),""))</f>
        <v/>
      </c>
    </row>
    <row r="148">
      <c r="A148" s="8">
        <f>IF($K148="","",INDEX(מלאי!$D$2:$500,$K148))</f>
        <v/>
      </c>
      <c r="B148" s="8">
        <f>IF($K148="","",INDEX(מלאי!$B$2:$500,$K148))</f>
        <v/>
      </c>
      <c r="C148" s="8">
        <f>IF($K148="","",INDEX(מלאי!$C$2:$500,$K148))</f>
        <v/>
      </c>
      <c r="D148" s="8">
        <f>IF($K148="","",INDEX(מלאי!$G$2:$500,$K148))</f>
        <v/>
      </c>
      <c r="E148" s="8">
        <f>IF($K148="","",INDEX(מלאי!$M$2:$500,$K148))</f>
        <v/>
      </c>
      <c r="F148" s="8">
        <f>IF($K148="","",INDEX(מלאי!$N$2:$500,$K148))</f>
        <v/>
      </c>
      <c r="G148" s="8">
        <f>IF($K148="","",INDEX(מלאי!$O$2:$500,$K148))</f>
        <v/>
      </c>
      <c r="H148" s="8">
        <f>IF($K148="","",INDEX(מלאי!$U$2:$500,$K148))</f>
        <v/>
      </c>
      <c r="I148" s="8">
        <f>IF($K148="","",INDEX(מלאי!$X$2:$500,$K148))</f>
        <v/>
      </c>
      <c r="J148" s="8">
        <f>IF($K148="","",INDEX(מלאי!$AC$2:$500,$K148))</f>
        <v/>
      </c>
      <c r="K14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טכנולוגיים'!$A$2:$500,0))&lt;=$G$6),0))),ROW(מלאי!$A$2:$A$500)-ROW(מלאי!$A$2)+1,""),126),"")</f>
        <v/>
      </c>
      <c r="L148" s="8">
        <f>IF($K148="","",IFERROR(INDEX('ערכים טכנולוגיים'!$K$2:$500,MATCH(A148,'ערכים טכנולוגיים'!$A$2:$500,0)),""))</f>
        <v/>
      </c>
      <c r="M148" s="8">
        <f>IF($K148="","",IFERROR(INDEX('ערכים טכנולוגיים'!$F$2:$500,MATCH(A148,'ערכים טכנולוגיים'!$A$2:$500,0)),""))</f>
        <v/>
      </c>
      <c r="N148" s="8">
        <f>IF($K148="","",IFERROR(INDEX('ערכים טכנולוגיים'!$I$2:$500,MATCH(A148,'ערכים טכנולוגיים'!$A$2:$500,0)),""))</f>
        <v/>
      </c>
      <c r="O148" s="8">
        <f>IF($K148="","",IFERROR(INDEX('ערכים טכנולוגיים'!$G$2:$500,MATCH(A148,'ערכים טכנולוגיים'!$A$2:$500,0)),""))</f>
        <v/>
      </c>
      <c r="P148" s="8">
        <f>IF($K148="","",IFERROR(INDEX('ערכים טכנולוגיים'!$J$2:$500,MATCH(A148,'ערכים טכנולוגיים'!$A$2:$500,0)),""))</f>
        <v/>
      </c>
      <c r="Q148" s="8">
        <f>IF($K148="","",IFERROR(INDEX('ערכים טכנולוגיים'!$N$2:$500,MATCH(A148,'ערכים טכנולוגיים'!$A$2:$500,0)),""))</f>
        <v/>
      </c>
    </row>
    <row r="149">
      <c r="A149" s="2">
        <f>IF($K149="","",INDEX(מלאי!$D$2:$500,$K149))</f>
        <v/>
      </c>
      <c r="B149" s="2">
        <f>IF($K149="","",INDEX(מלאי!$B$2:$500,$K149))</f>
        <v/>
      </c>
      <c r="C149" s="2">
        <f>IF($K149="","",INDEX(מלאי!$C$2:$500,$K149))</f>
        <v/>
      </c>
      <c r="D149" s="2">
        <f>IF($K149="","",INDEX(מלאי!$G$2:$500,$K149))</f>
        <v/>
      </c>
      <c r="E149" s="2">
        <f>IF($K149="","",INDEX(מלאי!$M$2:$500,$K149))</f>
        <v/>
      </c>
      <c r="F149" s="2">
        <f>IF($K149="","",INDEX(מלאי!$N$2:$500,$K149))</f>
        <v/>
      </c>
      <c r="G149" s="2">
        <f>IF($K149="","",INDEX(מלאי!$O$2:$500,$K149))</f>
        <v/>
      </c>
      <c r="H149" s="2">
        <f>IF($K149="","",INDEX(מלאי!$U$2:$500,$K149))</f>
        <v/>
      </c>
      <c r="I149" s="2">
        <f>IF($K149="","",INDEX(מלאי!$X$2:$500,$K149))</f>
        <v/>
      </c>
      <c r="J149" s="2">
        <f>IF($K149="","",INDEX(מלאי!$AC$2:$500,$K149))</f>
        <v/>
      </c>
      <c r="K14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טכנולוגיים'!$A$2:$500,0))&lt;=$G$6),0))),ROW(מלאי!$A$2:$A$500)-ROW(מלאי!$A$2)+1,""),127),"")</f>
        <v/>
      </c>
      <c r="L149" s="2">
        <f>IF($K149="","",IFERROR(INDEX('ערכים טכנולוגיים'!$K$2:$500,MATCH(A149,'ערכים טכנולוגיים'!$A$2:$500,0)),""))</f>
        <v/>
      </c>
      <c r="M149" s="2">
        <f>IF($K149="","",IFERROR(INDEX('ערכים טכנולוגיים'!$F$2:$500,MATCH(A149,'ערכים טכנולוגיים'!$A$2:$500,0)),""))</f>
        <v/>
      </c>
      <c r="N149" s="2">
        <f>IF($K149="","",IFERROR(INDEX('ערכים טכנולוגיים'!$I$2:$500,MATCH(A149,'ערכים טכנולוגיים'!$A$2:$500,0)),""))</f>
        <v/>
      </c>
      <c r="O149" s="2">
        <f>IF($K149="","",IFERROR(INDEX('ערכים טכנולוגיים'!$G$2:$500,MATCH(A149,'ערכים טכנולוגיים'!$A$2:$500,0)),""))</f>
        <v/>
      </c>
      <c r="P149" s="2">
        <f>IF($K149="","",IFERROR(INDEX('ערכים טכנולוגיים'!$J$2:$500,MATCH(A149,'ערכים טכנולוגיים'!$A$2:$500,0)),""))</f>
        <v/>
      </c>
      <c r="Q149" s="2">
        <f>IF($K149="","",IFERROR(INDEX('ערכים טכנולוגיים'!$N$2:$500,MATCH(A149,'ערכים טכנולוגיים'!$A$2:$500,0)),""))</f>
        <v/>
      </c>
    </row>
    <row r="150">
      <c r="A150" s="8">
        <f>IF($K150="","",INDEX(מלאי!$D$2:$500,$K150))</f>
        <v/>
      </c>
      <c r="B150" s="8">
        <f>IF($K150="","",INDEX(מלאי!$B$2:$500,$K150))</f>
        <v/>
      </c>
      <c r="C150" s="8">
        <f>IF($K150="","",INDEX(מלאי!$C$2:$500,$K150))</f>
        <v/>
      </c>
      <c r="D150" s="8">
        <f>IF($K150="","",INDEX(מלאי!$G$2:$500,$K150))</f>
        <v/>
      </c>
      <c r="E150" s="8">
        <f>IF($K150="","",INDEX(מלאי!$M$2:$500,$K150))</f>
        <v/>
      </c>
      <c r="F150" s="8">
        <f>IF($K150="","",INDEX(מלאי!$N$2:$500,$K150))</f>
        <v/>
      </c>
      <c r="G150" s="8">
        <f>IF($K150="","",INDEX(מלאי!$O$2:$500,$K150))</f>
        <v/>
      </c>
      <c r="H150" s="8">
        <f>IF($K150="","",INDEX(מלאי!$U$2:$500,$K150))</f>
        <v/>
      </c>
      <c r="I150" s="8">
        <f>IF($K150="","",INDEX(מלאי!$X$2:$500,$K150))</f>
        <v/>
      </c>
      <c r="J150" s="8">
        <f>IF($K150="","",INDEX(מלאי!$AC$2:$500,$K150))</f>
        <v/>
      </c>
      <c r="K15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טכנולוגיים'!$A$2:$500,0))&lt;=$G$6),0))),ROW(מלאי!$A$2:$A$500)-ROW(מלאי!$A$2)+1,""),128),"")</f>
        <v/>
      </c>
      <c r="L150" s="8">
        <f>IF($K150="","",IFERROR(INDEX('ערכים טכנולוגיים'!$K$2:$500,MATCH(A150,'ערכים טכנולוגיים'!$A$2:$500,0)),""))</f>
        <v/>
      </c>
      <c r="M150" s="8">
        <f>IF($K150="","",IFERROR(INDEX('ערכים טכנולוגיים'!$F$2:$500,MATCH(A150,'ערכים טכנולוגיים'!$A$2:$500,0)),""))</f>
        <v/>
      </c>
      <c r="N150" s="8">
        <f>IF($K150="","",IFERROR(INDEX('ערכים טכנולוגיים'!$I$2:$500,MATCH(A150,'ערכים טכנולוגיים'!$A$2:$500,0)),""))</f>
        <v/>
      </c>
      <c r="O150" s="8">
        <f>IF($K150="","",IFERROR(INDEX('ערכים טכנולוגיים'!$G$2:$500,MATCH(A150,'ערכים טכנולוגיים'!$A$2:$500,0)),""))</f>
        <v/>
      </c>
      <c r="P150" s="8">
        <f>IF($K150="","",IFERROR(INDEX('ערכים טכנולוגיים'!$J$2:$500,MATCH(A150,'ערכים טכנולוגיים'!$A$2:$500,0)),""))</f>
        <v/>
      </c>
      <c r="Q150" s="8">
        <f>IF($K150="","",IFERROR(INDEX('ערכים טכנולוגיים'!$N$2:$500,MATCH(A150,'ערכים טכנולוגיים'!$A$2:$500,0)),""))</f>
        <v/>
      </c>
    </row>
    <row r="151">
      <c r="A151" s="2">
        <f>IF($K151="","",INDEX(מלאי!$D$2:$500,$K151))</f>
        <v/>
      </c>
      <c r="B151" s="2">
        <f>IF($K151="","",INDEX(מלאי!$B$2:$500,$K151))</f>
        <v/>
      </c>
      <c r="C151" s="2">
        <f>IF($K151="","",INDEX(מלאי!$C$2:$500,$K151))</f>
        <v/>
      </c>
      <c r="D151" s="2">
        <f>IF($K151="","",INDEX(מלאי!$G$2:$500,$K151))</f>
        <v/>
      </c>
      <c r="E151" s="2">
        <f>IF($K151="","",INDEX(מלאי!$M$2:$500,$K151))</f>
        <v/>
      </c>
      <c r="F151" s="2">
        <f>IF($K151="","",INDEX(מלאי!$N$2:$500,$K151))</f>
        <v/>
      </c>
      <c r="G151" s="2">
        <f>IF($K151="","",INDEX(מלאי!$O$2:$500,$K151))</f>
        <v/>
      </c>
      <c r="H151" s="2">
        <f>IF($K151="","",INDEX(מלאי!$U$2:$500,$K151))</f>
        <v/>
      </c>
      <c r="I151" s="2">
        <f>IF($K151="","",INDEX(מלאי!$X$2:$500,$K151))</f>
        <v/>
      </c>
      <c r="J151" s="2">
        <f>IF($K151="","",INDEX(מלאי!$AC$2:$500,$K151))</f>
        <v/>
      </c>
      <c r="K15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טכנולוגיים'!$A$2:$500,0))&lt;=$G$6),0))),ROW(מלאי!$A$2:$A$500)-ROW(מלאי!$A$2)+1,""),129),"")</f>
        <v/>
      </c>
      <c r="L151" s="2">
        <f>IF($K151="","",IFERROR(INDEX('ערכים טכנולוגיים'!$K$2:$500,MATCH(A151,'ערכים טכנולוגיים'!$A$2:$500,0)),""))</f>
        <v/>
      </c>
      <c r="M151" s="2">
        <f>IF($K151="","",IFERROR(INDEX('ערכים טכנולוגיים'!$F$2:$500,MATCH(A151,'ערכים טכנולוגיים'!$A$2:$500,0)),""))</f>
        <v/>
      </c>
      <c r="N151" s="2">
        <f>IF($K151="","",IFERROR(INDEX('ערכים טכנולוגיים'!$I$2:$500,MATCH(A151,'ערכים טכנולוגיים'!$A$2:$500,0)),""))</f>
        <v/>
      </c>
      <c r="O151" s="2">
        <f>IF($K151="","",IFERROR(INDEX('ערכים טכנולוגיים'!$G$2:$500,MATCH(A151,'ערכים טכנולוגיים'!$A$2:$500,0)),""))</f>
        <v/>
      </c>
      <c r="P151" s="2">
        <f>IF($K151="","",IFERROR(INDEX('ערכים טכנולוגיים'!$J$2:$500,MATCH(A151,'ערכים טכנולוגיים'!$A$2:$500,0)),""))</f>
        <v/>
      </c>
      <c r="Q151" s="2">
        <f>IF($K151="","",IFERROR(INDEX('ערכים טכנולוגיים'!$N$2:$500,MATCH(A151,'ערכים טכנולוגיים'!$A$2:$500,0)),""))</f>
        <v/>
      </c>
    </row>
    <row r="152">
      <c r="A152" s="8">
        <f>IF($K152="","",INDEX(מלאי!$D$2:$500,$K152))</f>
        <v/>
      </c>
      <c r="B152" s="8">
        <f>IF($K152="","",INDEX(מלאי!$B$2:$500,$K152))</f>
        <v/>
      </c>
      <c r="C152" s="8">
        <f>IF($K152="","",INDEX(מלאי!$C$2:$500,$K152))</f>
        <v/>
      </c>
      <c r="D152" s="8">
        <f>IF($K152="","",INDEX(מלאי!$G$2:$500,$K152))</f>
        <v/>
      </c>
      <c r="E152" s="8">
        <f>IF($K152="","",INDEX(מלאי!$M$2:$500,$K152))</f>
        <v/>
      </c>
      <c r="F152" s="8">
        <f>IF($K152="","",INDEX(מלאי!$N$2:$500,$K152))</f>
        <v/>
      </c>
      <c r="G152" s="8">
        <f>IF($K152="","",INDEX(מלאי!$O$2:$500,$K152))</f>
        <v/>
      </c>
      <c r="H152" s="8">
        <f>IF($K152="","",INDEX(מלאי!$U$2:$500,$K152))</f>
        <v/>
      </c>
      <c r="I152" s="8">
        <f>IF($K152="","",INDEX(מלאי!$X$2:$500,$K152))</f>
        <v/>
      </c>
      <c r="J152" s="8">
        <f>IF($K152="","",INDEX(מלאי!$AC$2:$500,$K152))</f>
        <v/>
      </c>
      <c r="K15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טכנולוגיים'!$A$2:$500,0))&lt;=$G$6),0))),ROW(מלאי!$A$2:$A$500)-ROW(מלאי!$A$2)+1,""),130),"")</f>
        <v/>
      </c>
      <c r="L152" s="8">
        <f>IF($K152="","",IFERROR(INDEX('ערכים טכנולוגיים'!$K$2:$500,MATCH(A152,'ערכים טכנולוגיים'!$A$2:$500,0)),""))</f>
        <v/>
      </c>
      <c r="M152" s="8">
        <f>IF($K152="","",IFERROR(INDEX('ערכים טכנולוגיים'!$F$2:$500,MATCH(A152,'ערכים טכנולוגיים'!$A$2:$500,0)),""))</f>
        <v/>
      </c>
      <c r="N152" s="8">
        <f>IF($K152="","",IFERROR(INDEX('ערכים טכנולוגיים'!$I$2:$500,MATCH(A152,'ערכים טכנולוגיים'!$A$2:$500,0)),""))</f>
        <v/>
      </c>
      <c r="O152" s="8">
        <f>IF($K152="","",IFERROR(INDEX('ערכים טכנולוגיים'!$G$2:$500,MATCH(A152,'ערכים טכנולוגיים'!$A$2:$500,0)),""))</f>
        <v/>
      </c>
      <c r="P152" s="8">
        <f>IF($K152="","",IFERROR(INDEX('ערכים טכנולוגיים'!$J$2:$500,MATCH(A152,'ערכים טכנולוגיים'!$A$2:$500,0)),""))</f>
        <v/>
      </c>
      <c r="Q152" s="8">
        <f>IF($K152="","",IFERROR(INDEX('ערכים טכנולוגיים'!$N$2:$500,MATCH(A152,'ערכים טכנולוגיים'!$A$2:$500,0)),""))</f>
        <v/>
      </c>
    </row>
    <row r="153">
      <c r="A153" s="2">
        <f>IF($K153="","",INDEX(מלאי!$D$2:$500,$K153))</f>
        <v/>
      </c>
      <c r="B153" s="2">
        <f>IF($K153="","",INDEX(מלאי!$B$2:$500,$K153))</f>
        <v/>
      </c>
      <c r="C153" s="2">
        <f>IF($K153="","",INDEX(מלאי!$C$2:$500,$K153))</f>
        <v/>
      </c>
      <c r="D153" s="2">
        <f>IF($K153="","",INDEX(מלאי!$G$2:$500,$K153))</f>
        <v/>
      </c>
      <c r="E153" s="2">
        <f>IF($K153="","",INDEX(מלאי!$M$2:$500,$K153))</f>
        <v/>
      </c>
      <c r="F153" s="2">
        <f>IF($K153="","",INDEX(מלאי!$N$2:$500,$K153))</f>
        <v/>
      </c>
      <c r="G153" s="2">
        <f>IF($K153="","",INDEX(מלאי!$O$2:$500,$K153))</f>
        <v/>
      </c>
      <c r="H153" s="2">
        <f>IF($K153="","",INDEX(מלאי!$U$2:$500,$K153))</f>
        <v/>
      </c>
      <c r="I153" s="2">
        <f>IF($K153="","",INDEX(מלאי!$X$2:$500,$K153))</f>
        <v/>
      </c>
      <c r="J153" s="2">
        <f>IF($K153="","",INDEX(מלאי!$AC$2:$500,$K153))</f>
        <v/>
      </c>
      <c r="K15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טכנולוגיים'!$A$2:$500,0))&lt;=$G$6),0))),ROW(מלאי!$A$2:$A$500)-ROW(מלאי!$A$2)+1,""),131),"")</f>
        <v/>
      </c>
      <c r="L153" s="2">
        <f>IF($K153="","",IFERROR(INDEX('ערכים טכנולוגיים'!$K$2:$500,MATCH(A153,'ערכים טכנולוגיים'!$A$2:$500,0)),""))</f>
        <v/>
      </c>
      <c r="M153" s="2">
        <f>IF($K153="","",IFERROR(INDEX('ערכים טכנולוגיים'!$F$2:$500,MATCH(A153,'ערכים טכנולוגיים'!$A$2:$500,0)),""))</f>
        <v/>
      </c>
      <c r="N153" s="2">
        <f>IF($K153="","",IFERROR(INDEX('ערכים טכנולוגיים'!$I$2:$500,MATCH(A153,'ערכים טכנולוגיים'!$A$2:$500,0)),""))</f>
        <v/>
      </c>
      <c r="O153" s="2">
        <f>IF($K153="","",IFERROR(INDEX('ערכים טכנולוגיים'!$G$2:$500,MATCH(A153,'ערכים טכנולוגיים'!$A$2:$500,0)),""))</f>
        <v/>
      </c>
      <c r="P153" s="2">
        <f>IF($K153="","",IFERROR(INDEX('ערכים טכנולוגיים'!$J$2:$500,MATCH(A153,'ערכים טכנולוגיים'!$A$2:$500,0)),""))</f>
        <v/>
      </c>
      <c r="Q153" s="2">
        <f>IF($K153="","",IFERROR(INDEX('ערכים טכנולוגיים'!$N$2:$500,MATCH(A153,'ערכים טכנולוגיים'!$A$2:$500,0)),""))</f>
        <v/>
      </c>
    </row>
    <row r="154">
      <c r="A154" s="8">
        <f>IF($K154="","",INDEX(מלאי!$D$2:$500,$K154))</f>
        <v/>
      </c>
      <c r="B154" s="8">
        <f>IF($K154="","",INDEX(מלאי!$B$2:$500,$K154))</f>
        <v/>
      </c>
      <c r="C154" s="8">
        <f>IF($K154="","",INDEX(מלאי!$C$2:$500,$K154))</f>
        <v/>
      </c>
      <c r="D154" s="8">
        <f>IF($K154="","",INDEX(מלאי!$G$2:$500,$K154))</f>
        <v/>
      </c>
      <c r="E154" s="8">
        <f>IF($K154="","",INDEX(מלאי!$M$2:$500,$K154))</f>
        <v/>
      </c>
      <c r="F154" s="8">
        <f>IF($K154="","",INDEX(מלאי!$N$2:$500,$K154))</f>
        <v/>
      </c>
      <c r="G154" s="8">
        <f>IF($K154="","",INDEX(מלאי!$O$2:$500,$K154))</f>
        <v/>
      </c>
      <c r="H154" s="8">
        <f>IF($K154="","",INDEX(מלאי!$U$2:$500,$K154))</f>
        <v/>
      </c>
      <c r="I154" s="8">
        <f>IF($K154="","",INDEX(מלאי!$X$2:$500,$K154))</f>
        <v/>
      </c>
      <c r="J154" s="8">
        <f>IF($K154="","",INDEX(מלאי!$AC$2:$500,$K154))</f>
        <v/>
      </c>
      <c r="K15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טכנולוגיים'!$A$2:$500,0))&lt;=$G$6),0))),ROW(מלאי!$A$2:$A$500)-ROW(מלאי!$A$2)+1,""),132),"")</f>
        <v/>
      </c>
      <c r="L154" s="8">
        <f>IF($K154="","",IFERROR(INDEX('ערכים טכנולוגיים'!$K$2:$500,MATCH(A154,'ערכים טכנולוגיים'!$A$2:$500,0)),""))</f>
        <v/>
      </c>
      <c r="M154" s="8">
        <f>IF($K154="","",IFERROR(INDEX('ערכים טכנולוגיים'!$F$2:$500,MATCH(A154,'ערכים טכנולוגיים'!$A$2:$500,0)),""))</f>
        <v/>
      </c>
      <c r="N154" s="8">
        <f>IF($K154="","",IFERROR(INDEX('ערכים טכנולוגיים'!$I$2:$500,MATCH(A154,'ערכים טכנולוגיים'!$A$2:$500,0)),""))</f>
        <v/>
      </c>
      <c r="O154" s="8">
        <f>IF($K154="","",IFERROR(INDEX('ערכים טכנולוגיים'!$G$2:$500,MATCH(A154,'ערכים טכנולוגיים'!$A$2:$500,0)),""))</f>
        <v/>
      </c>
      <c r="P154" s="8">
        <f>IF($K154="","",IFERROR(INDEX('ערכים טכנולוגיים'!$J$2:$500,MATCH(A154,'ערכים טכנולוגיים'!$A$2:$500,0)),""))</f>
        <v/>
      </c>
      <c r="Q154" s="8">
        <f>IF($K154="","",IFERROR(INDEX('ערכים טכנולוגיים'!$N$2:$500,MATCH(A154,'ערכים טכנולוגיים'!$A$2:$500,0)),""))</f>
        <v/>
      </c>
    </row>
    <row r="155">
      <c r="A155" s="2">
        <f>IF($K155="","",INDEX(מלאי!$D$2:$500,$K155))</f>
        <v/>
      </c>
      <c r="B155" s="2">
        <f>IF($K155="","",INDEX(מלאי!$B$2:$500,$K155))</f>
        <v/>
      </c>
      <c r="C155" s="2">
        <f>IF($K155="","",INDEX(מלאי!$C$2:$500,$K155))</f>
        <v/>
      </c>
      <c r="D155" s="2">
        <f>IF($K155="","",INDEX(מלאי!$G$2:$500,$K155))</f>
        <v/>
      </c>
      <c r="E155" s="2">
        <f>IF($K155="","",INDEX(מלאי!$M$2:$500,$K155))</f>
        <v/>
      </c>
      <c r="F155" s="2">
        <f>IF($K155="","",INDEX(מלאי!$N$2:$500,$K155))</f>
        <v/>
      </c>
      <c r="G155" s="2">
        <f>IF($K155="","",INDEX(מלאי!$O$2:$500,$K155))</f>
        <v/>
      </c>
      <c r="H155" s="2">
        <f>IF($K155="","",INDEX(מלאי!$U$2:$500,$K155))</f>
        <v/>
      </c>
      <c r="I155" s="2">
        <f>IF($K155="","",INDEX(מלאי!$X$2:$500,$K155))</f>
        <v/>
      </c>
      <c r="J155" s="2">
        <f>IF($K155="","",INDEX(מלאי!$AC$2:$500,$K155))</f>
        <v/>
      </c>
      <c r="K15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טכנולוגיים'!$A$2:$500,0))&lt;=$G$6),0))),ROW(מלאי!$A$2:$A$500)-ROW(מלאי!$A$2)+1,""),133),"")</f>
        <v/>
      </c>
      <c r="L155" s="2">
        <f>IF($K155="","",IFERROR(INDEX('ערכים טכנולוגיים'!$K$2:$500,MATCH(A155,'ערכים טכנולוגיים'!$A$2:$500,0)),""))</f>
        <v/>
      </c>
      <c r="M155" s="2">
        <f>IF($K155="","",IFERROR(INDEX('ערכים טכנולוגיים'!$F$2:$500,MATCH(A155,'ערכים טכנולוגיים'!$A$2:$500,0)),""))</f>
        <v/>
      </c>
      <c r="N155" s="2">
        <f>IF($K155="","",IFERROR(INDEX('ערכים טכנולוגיים'!$I$2:$500,MATCH(A155,'ערכים טכנולוגיים'!$A$2:$500,0)),""))</f>
        <v/>
      </c>
      <c r="O155" s="2">
        <f>IF($K155="","",IFERROR(INDEX('ערכים טכנולוגיים'!$G$2:$500,MATCH(A155,'ערכים טכנולוגיים'!$A$2:$500,0)),""))</f>
        <v/>
      </c>
      <c r="P155" s="2">
        <f>IF($K155="","",IFERROR(INDEX('ערכים טכנולוגיים'!$J$2:$500,MATCH(A155,'ערכים טכנולוגיים'!$A$2:$500,0)),""))</f>
        <v/>
      </c>
      <c r="Q155" s="2">
        <f>IF($K155="","",IFERROR(INDEX('ערכים טכנולוגיים'!$N$2:$500,MATCH(A155,'ערכים טכנולוגיים'!$A$2:$500,0)),""))</f>
        <v/>
      </c>
    </row>
    <row r="156">
      <c r="A156" s="8">
        <f>IF($K156="","",INDEX(מלאי!$D$2:$500,$K156))</f>
        <v/>
      </c>
      <c r="B156" s="8">
        <f>IF($K156="","",INDEX(מלאי!$B$2:$500,$K156))</f>
        <v/>
      </c>
      <c r="C156" s="8">
        <f>IF($K156="","",INDEX(מלאי!$C$2:$500,$K156))</f>
        <v/>
      </c>
      <c r="D156" s="8">
        <f>IF($K156="","",INDEX(מלאי!$G$2:$500,$K156))</f>
        <v/>
      </c>
      <c r="E156" s="8">
        <f>IF($K156="","",INDEX(מלאי!$M$2:$500,$K156))</f>
        <v/>
      </c>
      <c r="F156" s="8">
        <f>IF($K156="","",INDEX(מלאי!$N$2:$500,$K156))</f>
        <v/>
      </c>
      <c r="G156" s="8">
        <f>IF($K156="","",INDEX(מלאי!$O$2:$500,$K156))</f>
        <v/>
      </c>
      <c r="H156" s="8">
        <f>IF($K156="","",INDEX(מלאי!$U$2:$500,$K156))</f>
        <v/>
      </c>
      <c r="I156" s="8">
        <f>IF($K156="","",INDEX(מלאי!$X$2:$500,$K156))</f>
        <v/>
      </c>
      <c r="J156" s="8">
        <f>IF($K156="","",INDEX(מלאי!$AC$2:$500,$K156))</f>
        <v/>
      </c>
      <c r="K15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טכנולוגיים'!$A$2:$500,0))&lt;=$G$6),0))),ROW(מלאי!$A$2:$A$500)-ROW(מלאי!$A$2)+1,""),134),"")</f>
        <v/>
      </c>
      <c r="L156" s="8">
        <f>IF($K156="","",IFERROR(INDEX('ערכים טכנולוגיים'!$K$2:$500,MATCH(A156,'ערכים טכנולוגיים'!$A$2:$500,0)),""))</f>
        <v/>
      </c>
      <c r="M156" s="8">
        <f>IF($K156="","",IFERROR(INDEX('ערכים טכנולוגיים'!$F$2:$500,MATCH(A156,'ערכים טכנולוגיים'!$A$2:$500,0)),""))</f>
        <v/>
      </c>
      <c r="N156" s="8">
        <f>IF($K156="","",IFERROR(INDEX('ערכים טכנולוגיים'!$I$2:$500,MATCH(A156,'ערכים טכנולוגיים'!$A$2:$500,0)),""))</f>
        <v/>
      </c>
      <c r="O156" s="8">
        <f>IF($K156="","",IFERROR(INDEX('ערכים טכנולוגיים'!$G$2:$500,MATCH(A156,'ערכים טכנולוגיים'!$A$2:$500,0)),""))</f>
        <v/>
      </c>
      <c r="P156" s="8">
        <f>IF($K156="","",IFERROR(INDEX('ערכים טכנולוגיים'!$J$2:$500,MATCH(A156,'ערכים טכנולוגיים'!$A$2:$500,0)),""))</f>
        <v/>
      </c>
      <c r="Q156" s="8">
        <f>IF($K156="","",IFERROR(INDEX('ערכים טכנולוגיים'!$N$2:$500,MATCH(A156,'ערכים טכנולוגיים'!$A$2:$500,0)),""))</f>
        <v/>
      </c>
    </row>
    <row r="157">
      <c r="A157" s="2">
        <f>IF($K157="","",INDEX(מלאי!$D$2:$500,$K157))</f>
        <v/>
      </c>
      <c r="B157" s="2">
        <f>IF($K157="","",INDEX(מלאי!$B$2:$500,$K157))</f>
        <v/>
      </c>
      <c r="C157" s="2">
        <f>IF($K157="","",INDEX(מלאי!$C$2:$500,$K157))</f>
        <v/>
      </c>
      <c r="D157" s="2">
        <f>IF($K157="","",INDEX(מלאי!$G$2:$500,$K157))</f>
        <v/>
      </c>
      <c r="E157" s="2">
        <f>IF($K157="","",INDEX(מלאי!$M$2:$500,$K157))</f>
        <v/>
      </c>
      <c r="F157" s="2">
        <f>IF($K157="","",INDEX(מלאי!$N$2:$500,$K157))</f>
        <v/>
      </c>
      <c r="G157" s="2">
        <f>IF($K157="","",INDEX(מלאי!$O$2:$500,$K157))</f>
        <v/>
      </c>
      <c r="H157" s="2">
        <f>IF($K157="","",INDEX(מלאי!$U$2:$500,$K157))</f>
        <v/>
      </c>
      <c r="I157" s="2">
        <f>IF($K157="","",INDEX(מלאי!$X$2:$500,$K157))</f>
        <v/>
      </c>
      <c r="J157" s="2">
        <f>IF($K157="","",INDEX(מלאי!$AC$2:$500,$K157))</f>
        <v/>
      </c>
      <c r="K15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טכנולוגיים'!$A$2:$500,0))&lt;=$G$6),0))),ROW(מלאי!$A$2:$A$500)-ROW(מלאי!$A$2)+1,""),135),"")</f>
        <v/>
      </c>
      <c r="L157" s="2">
        <f>IF($K157="","",IFERROR(INDEX('ערכים טכנולוגיים'!$K$2:$500,MATCH(A157,'ערכים טכנולוגיים'!$A$2:$500,0)),""))</f>
        <v/>
      </c>
      <c r="M157" s="2">
        <f>IF($K157="","",IFERROR(INDEX('ערכים טכנולוגיים'!$F$2:$500,MATCH(A157,'ערכים טכנולוגיים'!$A$2:$500,0)),""))</f>
        <v/>
      </c>
      <c r="N157" s="2">
        <f>IF($K157="","",IFERROR(INDEX('ערכים טכנולוגיים'!$I$2:$500,MATCH(A157,'ערכים טכנולוגיים'!$A$2:$500,0)),""))</f>
        <v/>
      </c>
      <c r="O157" s="2">
        <f>IF($K157="","",IFERROR(INDEX('ערכים טכנולוגיים'!$G$2:$500,MATCH(A157,'ערכים טכנולוגיים'!$A$2:$500,0)),""))</f>
        <v/>
      </c>
      <c r="P157" s="2">
        <f>IF($K157="","",IFERROR(INDEX('ערכים טכנולוגיים'!$J$2:$500,MATCH(A157,'ערכים טכנולוגיים'!$A$2:$500,0)),""))</f>
        <v/>
      </c>
      <c r="Q157" s="2">
        <f>IF($K157="","",IFERROR(INDEX('ערכים טכנולוגיים'!$N$2:$500,MATCH(A157,'ערכים טכנולוגיים'!$A$2:$500,0)),""))</f>
        <v/>
      </c>
    </row>
    <row r="158">
      <c r="A158" s="8">
        <f>IF($K158="","",INDEX(מלאי!$D$2:$500,$K158))</f>
        <v/>
      </c>
      <c r="B158" s="8">
        <f>IF($K158="","",INDEX(מלאי!$B$2:$500,$K158))</f>
        <v/>
      </c>
      <c r="C158" s="8">
        <f>IF($K158="","",INDEX(מלאי!$C$2:$500,$K158))</f>
        <v/>
      </c>
      <c r="D158" s="8">
        <f>IF($K158="","",INDEX(מלאי!$G$2:$500,$K158))</f>
        <v/>
      </c>
      <c r="E158" s="8">
        <f>IF($K158="","",INDEX(מלאי!$M$2:$500,$K158))</f>
        <v/>
      </c>
      <c r="F158" s="8">
        <f>IF($K158="","",INDEX(מלאי!$N$2:$500,$K158))</f>
        <v/>
      </c>
      <c r="G158" s="8">
        <f>IF($K158="","",INDEX(מלאי!$O$2:$500,$K158))</f>
        <v/>
      </c>
      <c r="H158" s="8">
        <f>IF($K158="","",INDEX(מלאי!$U$2:$500,$K158))</f>
        <v/>
      </c>
      <c r="I158" s="8">
        <f>IF($K158="","",INDEX(מלאי!$X$2:$500,$K158))</f>
        <v/>
      </c>
      <c r="J158" s="8">
        <f>IF($K158="","",INDEX(מלאי!$AC$2:$500,$K158))</f>
        <v/>
      </c>
      <c r="K15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טכנולוגיים'!$A$2:$500,0))&lt;=$G$6),0))),ROW(מלאי!$A$2:$A$500)-ROW(מלאי!$A$2)+1,""),136),"")</f>
        <v/>
      </c>
      <c r="L158" s="8">
        <f>IF($K158="","",IFERROR(INDEX('ערכים טכנולוגיים'!$K$2:$500,MATCH(A158,'ערכים טכנולוגיים'!$A$2:$500,0)),""))</f>
        <v/>
      </c>
      <c r="M158" s="8">
        <f>IF($K158="","",IFERROR(INDEX('ערכים טכנולוגיים'!$F$2:$500,MATCH(A158,'ערכים טכנולוגיים'!$A$2:$500,0)),""))</f>
        <v/>
      </c>
      <c r="N158" s="8">
        <f>IF($K158="","",IFERROR(INDEX('ערכים טכנולוגיים'!$I$2:$500,MATCH(A158,'ערכים טכנולוגיים'!$A$2:$500,0)),""))</f>
        <v/>
      </c>
      <c r="O158" s="8">
        <f>IF($K158="","",IFERROR(INDEX('ערכים טכנולוגיים'!$G$2:$500,MATCH(A158,'ערכים טכנולוגיים'!$A$2:$500,0)),""))</f>
        <v/>
      </c>
      <c r="P158" s="8">
        <f>IF($K158="","",IFERROR(INDEX('ערכים טכנולוגיים'!$J$2:$500,MATCH(A158,'ערכים טכנולוגיים'!$A$2:$500,0)),""))</f>
        <v/>
      </c>
      <c r="Q158" s="8">
        <f>IF($K158="","",IFERROR(INDEX('ערכים טכנולוגיים'!$N$2:$500,MATCH(A158,'ערכים טכנולוגיים'!$A$2:$500,0)),""))</f>
        <v/>
      </c>
    </row>
    <row r="159">
      <c r="A159" s="2">
        <f>IF($K159="","",INDEX(מלאי!$D$2:$500,$K159))</f>
        <v/>
      </c>
      <c r="B159" s="2">
        <f>IF($K159="","",INDEX(מלאי!$B$2:$500,$K159))</f>
        <v/>
      </c>
      <c r="C159" s="2">
        <f>IF($K159="","",INDEX(מלאי!$C$2:$500,$K159))</f>
        <v/>
      </c>
      <c r="D159" s="2">
        <f>IF($K159="","",INDEX(מלאי!$G$2:$500,$K159))</f>
        <v/>
      </c>
      <c r="E159" s="2">
        <f>IF($K159="","",INDEX(מלאי!$M$2:$500,$K159))</f>
        <v/>
      </c>
      <c r="F159" s="2">
        <f>IF($K159="","",INDEX(מלאי!$N$2:$500,$K159))</f>
        <v/>
      </c>
      <c r="G159" s="2">
        <f>IF($K159="","",INDEX(מלאי!$O$2:$500,$K159))</f>
        <v/>
      </c>
      <c r="H159" s="2">
        <f>IF($K159="","",INDEX(מלאי!$U$2:$500,$K159))</f>
        <v/>
      </c>
      <c r="I159" s="2">
        <f>IF($K159="","",INDEX(מלאי!$X$2:$500,$K159))</f>
        <v/>
      </c>
      <c r="J159" s="2">
        <f>IF($K159="","",INDEX(מלאי!$AC$2:$500,$K159))</f>
        <v/>
      </c>
      <c r="K15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טכנולוגיים'!$A$2:$500,0))&lt;=$G$6),0))),ROW(מלאי!$A$2:$A$500)-ROW(מלאי!$A$2)+1,""),137),"")</f>
        <v/>
      </c>
      <c r="L159" s="2">
        <f>IF($K159="","",IFERROR(INDEX('ערכים טכנולוגיים'!$K$2:$500,MATCH(A159,'ערכים טכנולוגיים'!$A$2:$500,0)),""))</f>
        <v/>
      </c>
      <c r="M159" s="2">
        <f>IF($K159="","",IFERROR(INDEX('ערכים טכנולוגיים'!$F$2:$500,MATCH(A159,'ערכים טכנולוגיים'!$A$2:$500,0)),""))</f>
        <v/>
      </c>
      <c r="N159" s="2">
        <f>IF($K159="","",IFERROR(INDEX('ערכים טכנולוגיים'!$I$2:$500,MATCH(A159,'ערכים טכנולוגיים'!$A$2:$500,0)),""))</f>
        <v/>
      </c>
      <c r="O159" s="2">
        <f>IF($K159="","",IFERROR(INDEX('ערכים טכנולוגיים'!$G$2:$500,MATCH(A159,'ערכים טכנולוגיים'!$A$2:$500,0)),""))</f>
        <v/>
      </c>
      <c r="P159" s="2">
        <f>IF($K159="","",IFERROR(INDEX('ערכים טכנולוגיים'!$J$2:$500,MATCH(A159,'ערכים טכנולוגיים'!$A$2:$500,0)),""))</f>
        <v/>
      </c>
      <c r="Q159" s="2">
        <f>IF($K159="","",IFERROR(INDEX('ערכים טכנולוגיים'!$N$2:$500,MATCH(A159,'ערכים טכנולוגיים'!$A$2:$500,0)),""))</f>
        <v/>
      </c>
    </row>
    <row r="160">
      <c r="A160" s="8">
        <f>IF($K160="","",INDEX(מלאי!$D$2:$500,$K160))</f>
        <v/>
      </c>
      <c r="B160" s="8">
        <f>IF($K160="","",INDEX(מלאי!$B$2:$500,$K160))</f>
        <v/>
      </c>
      <c r="C160" s="8">
        <f>IF($K160="","",INDEX(מלאי!$C$2:$500,$K160))</f>
        <v/>
      </c>
      <c r="D160" s="8">
        <f>IF($K160="","",INDEX(מלאי!$G$2:$500,$K160))</f>
        <v/>
      </c>
      <c r="E160" s="8">
        <f>IF($K160="","",INDEX(מלאי!$M$2:$500,$K160))</f>
        <v/>
      </c>
      <c r="F160" s="8">
        <f>IF($K160="","",INDEX(מלאי!$N$2:$500,$K160))</f>
        <v/>
      </c>
      <c r="G160" s="8">
        <f>IF($K160="","",INDEX(מלאי!$O$2:$500,$K160))</f>
        <v/>
      </c>
      <c r="H160" s="8">
        <f>IF($K160="","",INDEX(מלאי!$U$2:$500,$K160))</f>
        <v/>
      </c>
      <c r="I160" s="8">
        <f>IF($K160="","",INDEX(מלאי!$X$2:$500,$K160))</f>
        <v/>
      </c>
      <c r="J160" s="8">
        <f>IF($K160="","",INDEX(מלאי!$AC$2:$500,$K160))</f>
        <v/>
      </c>
      <c r="K16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טכנולוגיים'!$A$2:$500,0))&lt;=$G$6),0))),ROW(מלאי!$A$2:$A$500)-ROW(מלאי!$A$2)+1,""),138),"")</f>
        <v/>
      </c>
      <c r="L160" s="8">
        <f>IF($K160="","",IFERROR(INDEX('ערכים טכנולוגיים'!$K$2:$500,MATCH(A160,'ערכים טכנולוגיים'!$A$2:$500,0)),""))</f>
        <v/>
      </c>
      <c r="M160" s="8">
        <f>IF($K160="","",IFERROR(INDEX('ערכים טכנולוגיים'!$F$2:$500,MATCH(A160,'ערכים טכנולוגיים'!$A$2:$500,0)),""))</f>
        <v/>
      </c>
      <c r="N160" s="8">
        <f>IF($K160="","",IFERROR(INDEX('ערכים טכנולוגיים'!$I$2:$500,MATCH(A160,'ערכים טכנולוגיים'!$A$2:$500,0)),""))</f>
        <v/>
      </c>
      <c r="O160" s="8">
        <f>IF($K160="","",IFERROR(INDEX('ערכים טכנולוגיים'!$G$2:$500,MATCH(A160,'ערכים טכנולוגיים'!$A$2:$500,0)),""))</f>
        <v/>
      </c>
      <c r="P160" s="8">
        <f>IF($K160="","",IFERROR(INDEX('ערכים טכנולוגיים'!$J$2:$500,MATCH(A160,'ערכים טכנולוגיים'!$A$2:$500,0)),""))</f>
        <v/>
      </c>
      <c r="Q160" s="8">
        <f>IF($K160="","",IFERROR(INDEX('ערכים טכנולוגיים'!$N$2:$500,MATCH(A160,'ערכים טכנולוגיים'!$A$2:$500,0)),""))</f>
        <v/>
      </c>
    </row>
    <row r="161">
      <c r="A161" s="2">
        <f>IF($K161="","",INDEX(מלאי!$D$2:$500,$K161))</f>
        <v/>
      </c>
      <c r="B161" s="2">
        <f>IF($K161="","",INDEX(מלאי!$B$2:$500,$K161))</f>
        <v/>
      </c>
      <c r="C161" s="2">
        <f>IF($K161="","",INDEX(מלאי!$C$2:$500,$K161))</f>
        <v/>
      </c>
      <c r="D161" s="2">
        <f>IF($K161="","",INDEX(מלאי!$G$2:$500,$K161))</f>
        <v/>
      </c>
      <c r="E161" s="2">
        <f>IF($K161="","",INDEX(מלאי!$M$2:$500,$K161))</f>
        <v/>
      </c>
      <c r="F161" s="2">
        <f>IF($K161="","",INDEX(מלאי!$N$2:$500,$K161))</f>
        <v/>
      </c>
      <c r="G161" s="2">
        <f>IF($K161="","",INDEX(מלאי!$O$2:$500,$K161))</f>
        <v/>
      </c>
      <c r="H161" s="2">
        <f>IF($K161="","",INDEX(מלאי!$U$2:$500,$K161))</f>
        <v/>
      </c>
      <c r="I161" s="2">
        <f>IF($K161="","",INDEX(מלאי!$X$2:$500,$K161))</f>
        <v/>
      </c>
      <c r="J161" s="2">
        <f>IF($K161="","",INDEX(מלאי!$AC$2:$500,$K161))</f>
        <v/>
      </c>
      <c r="K16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טכנולוגיים'!$A$2:$500,0))&lt;=$G$6),0))),ROW(מלאי!$A$2:$A$500)-ROW(מלאי!$A$2)+1,""),139),"")</f>
        <v/>
      </c>
      <c r="L161" s="2">
        <f>IF($K161="","",IFERROR(INDEX('ערכים טכנולוגיים'!$K$2:$500,MATCH(A161,'ערכים טכנולוגיים'!$A$2:$500,0)),""))</f>
        <v/>
      </c>
      <c r="M161" s="2">
        <f>IF($K161="","",IFERROR(INDEX('ערכים טכנולוגיים'!$F$2:$500,MATCH(A161,'ערכים טכנולוגיים'!$A$2:$500,0)),""))</f>
        <v/>
      </c>
      <c r="N161" s="2">
        <f>IF($K161="","",IFERROR(INDEX('ערכים טכנולוגיים'!$I$2:$500,MATCH(A161,'ערכים טכנולוגיים'!$A$2:$500,0)),""))</f>
        <v/>
      </c>
      <c r="O161" s="2">
        <f>IF($K161="","",IFERROR(INDEX('ערכים טכנולוגיים'!$G$2:$500,MATCH(A161,'ערכים טכנולוגיים'!$A$2:$500,0)),""))</f>
        <v/>
      </c>
      <c r="P161" s="2">
        <f>IF($K161="","",IFERROR(INDEX('ערכים טכנולוגיים'!$J$2:$500,MATCH(A161,'ערכים טכנולוגיים'!$A$2:$500,0)),""))</f>
        <v/>
      </c>
      <c r="Q161" s="2">
        <f>IF($K161="","",IFERROR(INDEX('ערכים טכנולוגיים'!$N$2:$500,MATCH(A161,'ערכים טכנולוגיים'!$A$2:$500,0)),""))</f>
        <v/>
      </c>
    </row>
    <row r="162">
      <c r="A162" s="8">
        <f>IF($K162="","",INDEX(מלאי!$D$2:$500,$K162))</f>
        <v/>
      </c>
      <c r="B162" s="8">
        <f>IF($K162="","",INDEX(מלאי!$B$2:$500,$K162))</f>
        <v/>
      </c>
      <c r="C162" s="8">
        <f>IF($K162="","",INDEX(מלאי!$C$2:$500,$K162))</f>
        <v/>
      </c>
      <c r="D162" s="8">
        <f>IF($K162="","",INDEX(מלאי!$G$2:$500,$K162))</f>
        <v/>
      </c>
      <c r="E162" s="8">
        <f>IF($K162="","",INDEX(מלאי!$M$2:$500,$K162))</f>
        <v/>
      </c>
      <c r="F162" s="8">
        <f>IF($K162="","",INDEX(מלאי!$N$2:$500,$K162))</f>
        <v/>
      </c>
      <c r="G162" s="8">
        <f>IF($K162="","",INDEX(מלאי!$O$2:$500,$K162))</f>
        <v/>
      </c>
      <c r="H162" s="8">
        <f>IF($K162="","",INDEX(מלאי!$U$2:$500,$K162))</f>
        <v/>
      </c>
      <c r="I162" s="8">
        <f>IF($K162="","",INDEX(מלאי!$X$2:$500,$K162))</f>
        <v/>
      </c>
      <c r="J162" s="8">
        <f>IF($K162="","",INDEX(מלאי!$AC$2:$500,$K162))</f>
        <v/>
      </c>
      <c r="K16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טכנולוגיים'!$A$2:$500,0))&lt;=$G$6),0))),ROW(מלאי!$A$2:$A$500)-ROW(מלאי!$A$2)+1,""),140),"")</f>
        <v/>
      </c>
      <c r="L162" s="8">
        <f>IF($K162="","",IFERROR(INDEX('ערכים טכנולוגיים'!$K$2:$500,MATCH(A162,'ערכים טכנולוגיים'!$A$2:$500,0)),""))</f>
        <v/>
      </c>
      <c r="M162" s="8">
        <f>IF($K162="","",IFERROR(INDEX('ערכים טכנולוגיים'!$F$2:$500,MATCH(A162,'ערכים טכנולוגיים'!$A$2:$500,0)),""))</f>
        <v/>
      </c>
      <c r="N162" s="8">
        <f>IF($K162="","",IFERROR(INDEX('ערכים טכנולוגיים'!$I$2:$500,MATCH(A162,'ערכים טכנולוגיים'!$A$2:$500,0)),""))</f>
        <v/>
      </c>
      <c r="O162" s="8">
        <f>IF($K162="","",IFERROR(INDEX('ערכים טכנולוגיים'!$G$2:$500,MATCH(A162,'ערכים טכנולוגיים'!$A$2:$500,0)),""))</f>
        <v/>
      </c>
      <c r="P162" s="8">
        <f>IF($K162="","",IFERROR(INDEX('ערכים טכנולוגיים'!$J$2:$500,MATCH(A162,'ערכים טכנולוגיים'!$A$2:$500,0)),""))</f>
        <v/>
      </c>
      <c r="Q162" s="8">
        <f>IF($K162="","",IFERROR(INDEX('ערכים טכנולוגיים'!$N$2:$500,MATCH(A162,'ערכים טכנולוגיים'!$A$2:$500,0)),""))</f>
        <v/>
      </c>
    </row>
    <row r="163">
      <c r="A163" s="2">
        <f>IF($K163="","",INDEX(מלאי!$D$2:$500,$K163))</f>
        <v/>
      </c>
      <c r="B163" s="2">
        <f>IF($K163="","",INDEX(מלאי!$B$2:$500,$K163))</f>
        <v/>
      </c>
      <c r="C163" s="2">
        <f>IF($K163="","",INDEX(מלאי!$C$2:$500,$K163))</f>
        <v/>
      </c>
      <c r="D163" s="2">
        <f>IF($K163="","",INDEX(מלאי!$G$2:$500,$K163))</f>
        <v/>
      </c>
      <c r="E163" s="2">
        <f>IF($K163="","",INDEX(מלאי!$M$2:$500,$K163))</f>
        <v/>
      </c>
      <c r="F163" s="2">
        <f>IF($K163="","",INDEX(מלאי!$N$2:$500,$K163))</f>
        <v/>
      </c>
      <c r="G163" s="2">
        <f>IF($K163="","",INDEX(מלאי!$O$2:$500,$K163))</f>
        <v/>
      </c>
      <c r="H163" s="2">
        <f>IF($K163="","",INDEX(מלאי!$U$2:$500,$K163))</f>
        <v/>
      </c>
      <c r="I163" s="2">
        <f>IF($K163="","",INDEX(מלאי!$X$2:$500,$K163))</f>
        <v/>
      </c>
      <c r="J163" s="2">
        <f>IF($K163="","",INDEX(מלאי!$AC$2:$500,$K163))</f>
        <v/>
      </c>
      <c r="K16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טכנולוגיים'!$A$2:$500,0))&lt;=$G$6),0))),ROW(מלאי!$A$2:$A$500)-ROW(מלאי!$A$2)+1,""),141),"")</f>
        <v/>
      </c>
      <c r="L163" s="2">
        <f>IF($K163="","",IFERROR(INDEX('ערכים טכנולוגיים'!$K$2:$500,MATCH(A163,'ערכים טכנולוגיים'!$A$2:$500,0)),""))</f>
        <v/>
      </c>
      <c r="M163" s="2">
        <f>IF($K163="","",IFERROR(INDEX('ערכים טכנולוגיים'!$F$2:$500,MATCH(A163,'ערכים טכנולוגיים'!$A$2:$500,0)),""))</f>
        <v/>
      </c>
      <c r="N163" s="2">
        <f>IF($K163="","",IFERROR(INDEX('ערכים טכנולוגיים'!$I$2:$500,MATCH(A163,'ערכים טכנולוגיים'!$A$2:$500,0)),""))</f>
        <v/>
      </c>
      <c r="O163" s="2">
        <f>IF($K163="","",IFERROR(INDEX('ערכים טכנולוגיים'!$G$2:$500,MATCH(A163,'ערכים טכנולוגיים'!$A$2:$500,0)),""))</f>
        <v/>
      </c>
      <c r="P163" s="2">
        <f>IF($K163="","",IFERROR(INDEX('ערכים טכנולוגיים'!$J$2:$500,MATCH(A163,'ערכים טכנולוגיים'!$A$2:$500,0)),""))</f>
        <v/>
      </c>
      <c r="Q163" s="2">
        <f>IF($K163="","",IFERROR(INDEX('ערכים טכנולוגיים'!$N$2:$500,MATCH(A163,'ערכים טכנולוגיים'!$A$2:$500,0)),""))</f>
        <v/>
      </c>
    </row>
    <row r="164">
      <c r="A164" s="8">
        <f>IF($K164="","",INDEX(מלאי!$D$2:$500,$K164))</f>
        <v/>
      </c>
      <c r="B164" s="8">
        <f>IF($K164="","",INDEX(מלאי!$B$2:$500,$K164))</f>
        <v/>
      </c>
      <c r="C164" s="8">
        <f>IF($K164="","",INDEX(מלאי!$C$2:$500,$K164))</f>
        <v/>
      </c>
      <c r="D164" s="8">
        <f>IF($K164="","",INDEX(מלאי!$G$2:$500,$K164))</f>
        <v/>
      </c>
      <c r="E164" s="8">
        <f>IF($K164="","",INDEX(מלאי!$M$2:$500,$K164))</f>
        <v/>
      </c>
      <c r="F164" s="8">
        <f>IF($K164="","",INDEX(מלאי!$N$2:$500,$K164))</f>
        <v/>
      </c>
      <c r="G164" s="8">
        <f>IF($K164="","",INDEX(מלאי!$O$2:$500,$K164))</f>
        <v/>
      </c>
      <c r="H164" s="8">
        <f>IF($K164="","",INDEX(מלאי!$U$2:$500,$K164))</f>
        <v/>
      </c>
      <c r="I164" s="8">
        <f>IF($K164="","",INDEX(מלאי!$X$2:$500,$K164))</f>
        <v/>
      </c>
      <c r="J164" s="8">
        <f>IF($K164="","",INDEX(מלאי!$AC$2:$500,$K164))</f>
        <v/>
      </c>
      <c r="K16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טכנולוגיים'!$A$2:$500,0))&lt;=$G$6),0))),ROW(מלאי!$A$2:$A$500)-ROW(מלאי!$A$2)+1,""),142),"")</f>
        <v/>
      </c>
      <c r="L164" s="8">
        <f>IF($K164="","",IFERROR(INDEX('ערכים טכנולוגיים'!$K$2:$500,MATCH(A164,'ערכים טכנולוגיים'!$A$2:$500,0)),""))</f>
        <v/>
      </c>
      <c r="M164" s="8">
        <f>IF($K164="","",IFERROR(INDEX('ערכים טכנולוגיים'!$F$2:$500,MATCH(A164,'ערכים טכנולוגיים'!$A$2:$500,0)),""))</f>
        <v/>
      </c>
      <c r="N164" s="8">
        <f>IF($K164="","",IFERROR(INDEX('ערכים טכנולוגיים'!$I$2:$500,MATCH(A164,'ערכים טכנולוגיים'!$A$2:$500,0)),""))</f>
        <v/>
      </c>
      <c r="O164" s="8">
        <f>IF($K164="","",IFERROR(INDEX('ערכים טכנולוגיים'!$G$2:$500,MATCH(A164,'ערכים טכנולוגיים'!$A$2:$500,0)),""))</f>
        <v/>
      </c>
      <c r="P164" s="8">
        <f>IF($K164="","",IFERROR(INDEX('ערכים טכנולוגיים'!$J$2:$500,MATCH(A164,'ערכים טכנולוגיים'!$A$2:$500,0)),""))</f>
        <v/>
      </c>
      <c r="Q164" s="8">
        <f>IF($K164="","",IFERROR(INDEX('ערכים טכנולוגיים'!$N$2:$500,MATCH(A164,'ערכים טכנולוגיים'!$A$2:$500,0)),""))</f>
        <v/>
      </c>
    </row>
    <row r="165">
      <c r="A165" s="2">
        <f>IF($K165="","",INDEX(מלאי!$D$2:$500,$K165))</f>
        <v/>
      </c>
      <c r="B165" s="2">
        <f>IF($K165="","",INDEX(מלאי!$B$2:$500,$K165))</f>
        <v/>
      </c>
      <c r="C165" s="2">
        <f>IF($K165="","",INDEX(מלאי!$C$2:$500,$K165))</f>
        <v/>
      </c>
      <c r="D165" s="2">
        <f>IF($K165="","",INDEX(מלאי!$G$2:$500,$K165))</f>
        <v/>
      </c>
      <c r="E165" s="2">
        <f>IF($K165="","",INDEX(מלאי!$M$2:$500,$K165))</f>
        <v/>
      </c>
      <c r="F165" s="2">
        <f>IF($K165="","",INDEX(מלאי!$N$2:$500,$K165))</f>
        <v/>
      </c>
      <c r="G165" s="2">
        <f>IF($K165="","",INDEX(מלאי!$O$2:$500,$K165))</f>
        <v/>
      </c>
      <c r="H165" s="2">
        <f>IF($K165="","",INDEX(מלאי!$U$2:$500,$K165))</f>
        <v/>
      </c>
      <c r="I165" s="2">
        <f>IF($K165="","",INDEX(מלאי!$X$2:$500,$K165))</f>
        <v/>
      </c>
      <c r="J165" s="2">
        <f>IF($K165="","",INDEX(מלאי!$AC$2:$500,$K165))</f>
        <v/>
      </c>
      <c r="K16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טכנולוגיים'!$A$2:$500,0))&lt;=$G$6),0))),ROW(מלאי!$A$2:$A$500)-ROW(מלאי!$A$2)+1,""),143),"")</f>
        <v/>
      </c>
      <c r="L165" s="2">
        <f>IF($K165="","",IFERROR(INDEX('ערכים טכנולוגיים'!$K$2:$500,MATCH(A165,'ערכים טכנולוגיים'!$A$2:$500,0)),""))</f>
        <v/>
      </c>
      <c r="M165" s="2">
        <f>IF($K165="","",IFERROR(INDEX('ערכים טכנולוגיים'!$F$2:$500,MATCH(A165,'ערכים טכנולוגיים'!$A$2:$500,0)),""))</f>
        <v/>
      </c>
      <c r="N165" s="2">
        <f>IF($K165="","",IFERROR(INDEX('ערכים טכנולוגיים'!$I$2:$500,MATCH(A165,'ערכים טכנולוגיים'!$A$2:$500,0)),""))</f>
        <v/>
      </c>
      <c r="O165" s="2">
        <f>IF($K165="","",IFERROR(INDEX('ערכים טכנולוגיים'!$G$2:$500,MATCH(A165,'ערכים טכנולוגיים'!$A$2:$500,0)),""))</f>
        <v/>
      </c>
      <c r="P165" s="2">
        <f>IF($K165="","",IFERROR(INDEX('ערכים טכנולוגיים'!$J$2:$500,MATCH(A165,'ערכים טכנולוגיים'!$A$2:$500,0)),""))</f>
        <v/>
      </c>
      <c r="Q165" s="2">
        <f>IF($K165="","",IFERROR(INDEX('ערכים טכנולוגיים'!$N$2:$500,MATCH(A165,'ערכים טכנולוגיים'!$A$2:$500,0)),""))</f>
        <v/>
      </c>
    </row>
    <row r="166">
      <c r="A166" s="8">
        <f>IF($K166="","",INDEX(מלאי!$D$2:$500,$K166))</f>
        <v/>
      </c>
      <c r="B166" s="8">
        <f>IF($K166="","",INDEX(מלאי!$B$2:$500,$K166))</f>
        <v/>
      </c>
      <c r="C166" s="8">
        <f>IF($K166="","",INDEX(מלאי!$C$2:$500,$K166))</f>
        <v/>
      </c>
      <c r="D166" s="8">
        <f>IF($K166="","",INDEX(מלאי!$G$2:$500,$K166))</f>
        <v/>
      </c>
      <c r="E166" s="8">
        <f>IF($K166="","",INDEX(מלאי!$M$2:$500,$K166))</f>
        <v/>
      </c>
      <c r="F166" s="8">
        <f>IF($K166="","",INDEX(מלאי!$N$2:$500,$K166))</f>
        <v/>
      </c>
      <c r="G166" s="8">
        <f>IF($K166="","",INDEX(מלאי!$O$2:$500,$K166))</f>
        <v/>
      </c>
      <c r="H166" s="8">
        <f>IF($K166="","",INDEX(מלאי!$U$2:$500,$K166))</f>
        <v/>
      </c>
      <c r="I166" s="8">
        <f>IF($K166="","",INDEX(מלאי!$X$2:$500,$K166))</f>
        <v/>
      </c>
      <c r="J166" s="8">
        <f>IF($K166="","",INDEX(מלאי!$AC$2:$500,$K166))</f>
        <v/>
      </c>
      <c r="K16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טכנולוגיים'!$A$2:$500,0))&lt;=$G$6),0))),ROW(מלאי!$A$2:$A$500)-ROW(מלאי!$A$2)+1,""),144),"")</f>
        <v/>
      </c>
      <c r="L166" s="8">
        <f>IF($K166="","",IFERROR(INDEX('ערכים טכנולוגיים'!$K$2:$500,MATCH(A166,'ערכים טכנולוגיים'!$A$2:$500,0)),""))</f>
        <v/>
      </c>
      <c r="M166" s="8">
        <f>IF($K166="","",IFERROR(INDEX('ערכים טכנולוגיים'!$F$2:$500,MATCH(A166,'ערכים טכנולוגיים'!$A$2:$500,0)),""))</f>
        <v/>
      </c>
      <c r="N166" s="8">
        <f>IF($K166="","",IFERROR(INDEX('ערכים טכנולוגיים'!$I$2:$500,MATCH(A166,'ערכים טכנולוגיים'!$A$2:$500,0)),""))</f>
        <v/>
      </c>
      <c r="O166" s="8">
        <f>IF($K166="","",IFERROR(INDEX('ערכים טכנולוגיים'!$G$2:$500,MATCH(A166,'ערכים טכנולוגיים'!$A$2:$500,0)),""))</f>
        <v/>
      </c>
      <c r="P166" s="8">
        <f>IF($K166="","",IFERROR(INDEX('ערכים טכנולוגיים'!$J$2:$500,MATCH(A166,'ערכים טכנולוגיים'!$A$2:$500,0)),""))</f>
        <v/>
      </c>
      <c r="Q166" s="8">
        <f>IF($K166="","",IFERROR(INDEX('ערכים טכנולוגיים'!$N$2:$500,MATCH(A166,'ערכים טכנולוגיים'!$A$2:$500,0)),""))</f>
        <v/>
      </c>
    </row>
    <row r="167">
      <c r="A167" s="2">
        <f>IF($K167="","",INDEX(מלאי!$D$2:$500,$K167))</f>
        <v/>
      </c>
      <c r="B167" s="2">
        <f>IF($K167="","",INDEX(מלאי!$B$2:$500,$K167))</f>
        <v/>
      </c>
      <c r="C167" s="2">
        <f>IF($K167="","",INDEX(מלאי!$C$2:$500,$K167))</f>
        <v/>
      </c>
      <c r="D167" s="2">
        <f>IF($K167="","",INDEX(מלאי!$G$2:$500,$K167))</f>
        <v/>
      </c>
      <c r="E167" s="2">
        <f>IF($K167="","",INDEX(מלאי!$M$2:$500,$K167))</f>
        <v/>
      </c>
      <c r="F167" s="2">
        <f>IF($K167="","",INDEX(מלאי!$N$2:$500,$K167))</f>
        <v/>
      </c>
      <c r="G167" s="2">
        <f>IF($K167="","",INDEX(מלאי!$O$2:$500,$K167))</f>
        <v/>
      </c>
      <c r="H167" s="2">
        <f>IF($K167="","",INDEX(מלאי!$U$2:$500,$K167))</f>
        <v/>
      </c>
      <c r="I167" s="2">
        <f>IF($K167="","",INDEX(מלאי!$X$2:$500,$K167))</f>
        <v/>
      </c>
      <c r="J167" s="2">
        <f>IF($K167="","",INDEX(מלאי!$AC$2:$500,$K167))</f>
        <v/>
      </c>
      <c r="K16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טכנולוגיים'!$A$2:$500,0))&lt;=$G$6),0))),ROW(מלאי!$A$2:$A$500)-ROW(מלאי!$A$2)+1,""),145),"")</f>
        <v/>
      </c>
      <c r="L167" s="2">
        <f>IF($K167="","",IFERROR(INDEX('ערכים טכנולוגיים'!$K$2:$500,MATCH(A167,'ערכים טכנולוגיים'!$A$2:$500,0)),""))</f>
        <v/>
      </c>
      <c r="M167" s="2">
        <f>IF($K167="","",IFERROR(INDEX('ערכים טכנולוגיים'!$F$2:$500,MATCH(A167,'ערכים טכנולוגיים'!$A$2:$500,0)),""))</f>
        <v/>
      </c>
      <c r="N167" s="2">
        <f>IF($K167="","",IFERROR(INDEX('ערכים טכנולוגיים'!$I$2:$500,MATCH(A167,'ערכים טכנולוגיים'!$A$2:$500,0)),""))</f>
        <v/>
      </c>
      <c r="O167" s="2">
        <f>IF($K167="","",IFERROR(INDEX('ערכים טכנולוגיים'!$G$2:$500,MATCH(A167,'ערכים טכנולוגיים'!$A$2:$500,0)),""))</f>
        <v/>
      </c>
      <c r="P167" s="2">
        <f>IF($K167="","",IFERROR(INDEX('ערכים טכנולוגיים'!$J$2:$500,MATCH(A167,'ערכים טכנולוגיים'!$A$2:$500,0)),""))</f>
        <v/>
      </c>
      <c r="Q167" s="2">
        <f>IF($K167="","",IFERROR(INDEX('ערכים טכנולוגיים'!$N$2:$500,MATCH(A167,'ערכים טכנולוגיים'!$A$2:$500,0)),""))</f>
        <v/>
      </c>
    </row>
    <row r="168">
      <c r="A168" s="8">
        <f>IF($K168="","",INDEX(מלאי!$D$2:$500,$K168))</f>
        <v/>
      </c>
      <c r="B168" s="8">
        <f>IF($K168="","",INDEX(מלאי!$B$2:$500,$K168))</f>
        <v/>
      </c>
      <c r="C168" s="8">
        <f>IF($K168="","",INDEX(מלאי!$C$2:$500,$K168))</f>
        <v/>
      </c>
      <c r="D168" s="8">
        <f>IF($K168="","",INDEX(מלאי!$G$2:$500,$K168))</f>
        <v/>
      </c>
      <c r="E168" s="8">
        <f>IF($K168="","",INDEX(מלאי!$M$2:$500,$K168))</f>
        <v/>
      </c>
      <c r="F168" s="8">
        <f>IF($K168="","",INDEX(מלאי!$N$2:$500,$K168))</f>
        <v/>
      </c>
      <c r="G168" s="8">
        <f>IF($K168="","",INDEX(מלאי!$O$2:$500,$K168))</f>
        <v/>
      </c>
      <c r="H168" s="8">
        <f>IF($K168="","",INDEX(מלאי!$U$2:$500,$K168))</f>
        <v/>
      </c>
      <c r="I168" s="8">
        <f>IF($K168="","",INDEX(מלאי!$X$2:$500,$K168))</f>
        <v/>
      </c>
      <c r="J168" s="8">
        <f>IF($K168="","",INDEX(מלאי!$AC$2:$500,$K168))</f>
        <v/>
      </c>
      <c r="K16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טכנולוגיים'!$A$2:$500,0))&lt;=$G$6),0))),ROW(מלאי!$A$2:$A$500)-ROW(מלאי!$A$2)+1,""),146),"")</f>
        <v/>
      </c>
      <c r="L168" s="8">
        <f>IF($K168="","",IFERROR(INDEX('ערכים טכנולוגיים'!$K$2:$500,MATCH(A168,'ערכים טכנולוגיים'!$A$2:$500,0)),""))</f>
        <v/>
      </c>
      <c r="M168" s="8">
        <f>IF($K168="","",IFERROR(INDEX('ערכים טכנולוגיים'!$F$2:$500,MATCH(A168,'ערכים טכנולוגיים'!$A$2:$500,0)),""))</f>
        <v/>
      </c>
      <c r="N168" s="8">
        <f>IF($K168="","",IFERROR(INDEX('ערכים טכנולוגיים'!$I$2:$500,MATCH(A168,'ערכים טכנולוגיים'!$A$2:$500,0)),""))</f>
        <v/>
      </c>
      <c r="O168" s="8">
        <f>IF($K168="","",IFERROR(INDEX('ערכים טכנולוגיים'!$G$2:$500,MATCH(A168,'ערכים טכנולוגיים'!$A$2:$500,0)),""))</f>
        <v/>
      </c>
      <c r="P168" s="8">
        <f>IF($K168="","",IFERROR(INDEX('ערכים טכנולוגיים'!$J$2:$500,MATCH(A168,'ערכים טכנולוגיים'!$A$2:$500,0)),""))</f>
        <v/>
      </c>
      <c r="Q168" s="8">
        <f>IF($K168="","",IFERROR(INDEX('ערכים טכנולוגיים'!$N$2:$500,MATCH(A168,'ערכים טכנולוגיים'!$A$2:$500,0)),""))</f>
        <v/>
      </c>
    </row>
    <row r="169">
      <c r="A169" s="2">
        <f>IF($K169="","",INDEX(מלאי!$D$2:$500,$K169))</f>
        <v/>
      </c>
      <c r="B169" s="2">
        <f>IF($K169="","",INDEX(מלאי!$B$2:$500,$K169))</f>
        <v/>
      </c>
      <c r="C169" s="2">
        <f>IF($K169="","",INDEX(מלאי!$C$2:$500,$K169))</f>
        <v/>
      </c>
      <c r="D169" s="2">
        <f>IF($K169="","",INDEX(מלאי!$G$2:$500,$K169))</f>
        <v/>
      </c>
      <c r="E169" s="2">
        <f>IF($K169="","",INDEX(מלאי!$M$2:$500,$K169))</f>
        <v/>
      </c>
      <c r="F169" s="2">
        <f>IF($K169="","",INDEX(מלאי!$N$2:$500,$K169))</f>
        <v/>
      </c>
      <c r="G169" s="2">
        <f>IF($K169="","",INDEX(מלאי!$O$2:$500,$K169))</f>
        <v/>
      </c>
      <c r="H169" s="2">
        <f>IF($K169="","",INDEX(מלאי!$U$2:$500,$K169))</f>
        <v/>
      </c>
      <c r="I169" s="2">
        <f>IF($K169="","",INDEX(מלאי!$X$2:$500,$K169))</f>
        <v/>
      </c>
      <c r="J169" s="2">
        <f>IF($K169="","",INDEX(מלאי!$AC$2:$500,$K169))</f>
        <v/>
      </c>
      <c r="K16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טכנולוגיים'!$A$2:$500,0))&lt;=$G$6),0))),ROW(מלאי!$A$2:$A$500)-ROW(מלאי!$A$2)+1,""),147),"")</f>
        <v/>
      </c>
      <c r="L169" s="2">
        <f>IF($K169="","",IFERROR(INDEX('ערכים טכנולוגיים'!$K$2:$500,MATCH(A169,'ערכים טכנולוגיים'!$A$2:$500,0)),""))</f>
        <v/>
      </c>
      <c r="M169" s="2">
        <f>IF($K169="","",IFERROR(INDEX('ערכים טכנולוגיים'!$F$2:$500,MATCH(A169,'ערכים טכנולוגיים'!$A$2:$500,0)),""))</f>
        <v/>
      </c>
      <c r="N169" s="2">
        <f>IF($K169="","",IFERROR(INDEX('ערכים טכנולוגיים'!$I$2:$500,MATCH(A169,'ערכים טכנולוגיים'!$A$2:$500,0)),""))</f>
        <v/>
      </c>
      <c r="O169" s="2">
        <f>IF($K169="","",IFERROR(INDEX('ערכים טכנולוגיים'!$G$2:$500,MATCH(A169,'ערכים טכנולוגיים'!$A$2:$500,0)),""))</f>
        <v/>
      </c>
      <c r="P169" s="2">
        <f>IF($K169="","",IFERROR(INDEX('ערכים טכנולוגיים'!$J$2:$500,MATCH(A169,'ערכים טכנולוגיים'!$A$2:$500,0)),""))</f>
        <v/>
      </c>
      <c r="Q169" s="2">
        <f>IF($K169="","",IFERROR(INDEX('ערכים טכנולוגיים'!$N$2:$500,MATCH(A169,'ערכים טכנולוגיים'!$A$2:$500,0)),""))</f>
        <v/>
      </c>
    </row>
    <row r="170">
      <c r="A170" s="8">
        <f>IF($K170="","",INDEX(מלאי!$D$2:$500,$K170))</f>
        <v/>
      </c>
      <c r="B170" s="8">
        <f>IF($K170="","",INDEX(מלאי!$B$2:$500,$K170))</f>
        <v/>
      </c>
      <c r="C170" s="8">
        <f>IF($K170="","",INDEX(מלאי!$C$2:$500,$K170))</f>
        <v/>
      </c>
      <c r="D170" s="8">
        <f>IF($K170="","",INDEX(מלאי!$G$2:$500,$K170))</f>
        <v/>
      </c>
      <c r="E170" s="8">
        <f>IF($K170="","",INDEX(מלאי!$M$2:$500,$K170))</f>
        <v/>
      </c>
      <c r="F170" s="8">
        <f>IF($K170="","",INDEX(מלאי!$N$2:$500,$K170))</f>
        <v/>
      </c>
      <c r="G170" s="8">
        <f>IF($K170="","",INDEX(מלאי!$O$2:$500,$K170))</f>
        <v/>
      </c>
      <c r="H170" s="8">
        <f>IF($K170="","",INDEX(מלאי!$U$2:$500,$K170))</f>
        <v/>
      </c>
      <c r="I170" s="8">
        <f>IF($K170="","",INDEX(מלאי!$X$2:$500,$K170))</f>
        <v/>
      </c>
      <c r="J170" s="8">
        <f>IF($K170="","",INDEX(מלאי!$AC$2:$500,$K170))</f>
        <v/>
      </c>
      <c r="K17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טכנולוגיים'!$A$2:$500,0))&lt;=$G$6),0))),ROW(מלאי!$A$2:$A$500)-ROW(מלאי!$A$2)+1,""),148),"")</f>
        <v/>
      </c>
      <c r="L170" s="8">
        <f>IF($K170="","",IFERROR(INDEX('ערכים טכנולוגיים'!$K$2:$500,MATCH(A170,'ערכים טכנולוגיים'!$A$2:$500,0)),""))</f>
        <v/>
      </c>
      <c r="M170" s="8">
        <f>IF($K170="","",IFERROR(INDEX('ערכים טכנולוגיים'!$F$2:$500,MATCH(A170,'ערכים טכנולוגיים'!$A$2:$500,0)),""))</f>
        <v/>
      </c>
      <c r="N170" s="8">
        <f>IF($K170="","",IFERROR(INDEX('ערכים טכנולוגיים'!$I$2:$500,MATCH(A170,'ערכים טכנולוגיים'!$A$2:$500,0)),""))</f>
        <v/>
      </c>
      <c r="O170" s="8">
        <f>IF($K170="","",IFERROR(INDEX('ערכים טכנולוגיים'!$G$2:$500,MATCH(A170,'ערכים טכנולוגיים'!$A$2:$500,0)),""))</f>
        <v/>
      </c>
      <c r="P170" s="8">
        <f>IF($K170="","",IFERROR(INDEX('ערכים טכנולוגיים'!$J$2:$500,MATCH(A170,'ערכים טכנולוגיים'!$A$2:$500,0)),""))</f>
        <v/>
      </c>
      <c r="Q170" s="8">
        <f>IF($K170="","",IFERROR(INDEX('ערכים טכנולוגיים'!$N$2:$500,MATCH(A170,'ערכים טכנולוגיים'!$A$2:$500,0)),""))</f>
        <v/>
      </c>
    </row>
    <row r="171">
      <c r="A171" s="2">
        <f>IF($K171="","",INDEX(מלאי!$D$2:$500,$K171))</f>
        <v/>
      </c>
      <c r="B171" s="2">
        <f>IF($K171="","",INDEX(מלאי!$B$2:$500,$K171))</f>
        <v/>
      </c>
      <c r="C171" s="2">
        <f>IF($K171="","",INDEX(מלאי!$C$2:$500,$K171))</f>
        <v/>
      </c>
      <c r="D171" s="2">
        <f>IF($K171="","",INDEX(מלאי!$G$2:$500,$K171))</f>
        <v/>
      </c>
      <c r="E171" s="2">
        <f>IF($K171="","",INDEX(מלאי!$M$2:$500,$K171))</f>
        <v/>
      </c>
      <c r="F171" s="2">
        <f>IF($K171="","",INDEX(מלאי!$N$2:$500,$K171))</f>
        <v/>
      </c>
      <c r="G171" s="2">
        <f>IF($K171="","",INDEX(מלאי!$O$2:$500,$K171))</f>
        <v/>
      </c>
      <c r="H171" s="2">
        <f>IF($K171="","",INDEX(מלאי!$U$2:$500,$K171))</f>
        <v/>
      </c>
      <c r="I171" s="2">
        <f>IF($K171="","",INDEX(מלאי!$X$2:$500,$K171))</f>
        <v/>
      </c>
      <c r="J171" s="2">
        <f>IF($K171="","",INDEX(מלאי!$AC$2:$500,$K171))</f>
        <v/>
      </c>
      <c r="K17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טכנולוגיים'!$A$2:$500,0))&lt;=$G$6),0))),ROW(מלאי!$A$2:$A$500)-ROW(מלאי!$A$2)+1,""),149),"")</f>
        <v/>
      </c>
      <c r="L171" s="2">
        <f>IF($K171="","",IFERROR(INDEX('ערכים טכנולוגיים'!$K$2:$500,MATCH(A171,'ערכים טכנולוגיים'!$A$2:$500,0)),""))</f>
        <v/>
      </c>
      <c r="M171" s="2">
        <f>IF($K171="","",IFERROR(INDEX('ערכים טכנולוגיים'!$F$2:$500,MATCH(A171,'ערכים טכנולוגיים'!$A$2:$500,0)),""))</f>
        <v/>
      </c>
      <c r="N171" s="2">
        <f>IF($K171="","",IFERROR(INDEX('ערכים טכנולוגיים'!$I$2:$500,MATCH(A171,'ערכים טכנולוגיים'!$A$2:$500,0)),""))</f>
        <v/>
      </c>
      <c r="O171" s="2">
        <f>IF($K171="","",IFERROR(INDEX('ערכים טכנולוגיים'!$G$2:$500,MATCH(A171,'ערכים טכנולוגיים'!$A$2:$500,0)),""))</f>
        <v/>
      </c>
      <c r="P171" s="2">
        <f>IF($K171="","",IFERROR(INDEX('ערכים טכנולוגיים'!$J$2:$500,MATCH(A171,'ערכים טכנולוגיים'!$A$2:$500,0)),""))</f>
        <v/>
      </c>
      <c r="Q171" s="2">
        <f>IF($K171="","",IFERROR(INDEX('ערכים טכנולוגיים'!$N$2:$500,MATCH(A171,'ערכים טכנולוגיים'!$A$2:$500,0)),""))</f>
        <v/>
      </c>
    </row>
    <row r="172">
      <c r="A172" s="8">
        <f>IF($K172="","",INDEX(מלאי!$D$2:$500,$K172))</f>
        <v/>
      </c>
      <c r="B172" s="8">
        <f>IF($K172="","",INDEX(מלאי!$B$2:$500,$K172))</f>
        <v/>
      </c>
      <c r="C172" s="8">
        <f>IF($K172="","",INDEX(מלאי!$C$2:$500,$K172))</f>
        <v/>
      </c>
      <c r="D172" s="8">
        <f>IF($K172="","",INDEX(מלאי!$G$2:$500,$K172))</f>
        <v/>
      </c>
      <c r="E172" s="8">
        <f>IF($K172="","",INDEX(מלאי!$M$2:$500,$K172))</f>
        <v/>
      </c>
      <c r="F172" s="8">
        <f>IF($K172="","",INDEX(מלאי!$N$2:$500,$K172))</f>
        <v/>
      </c>
      <c r="G172" s="8">
        <f>IF($K172="","",INDEX(מלאי!$O$2:$500,$K172))</f>
        <v/>
      </c>
      <c r="H172" s="8">
        <f>IF($K172="","",INDEX(מלאי!$U$2:$500,$K172))</f>
        <v/>
      </c>
      <c r="I172" s="8">
        <f>IF($K172="","",INDEX(מלאי!$X$2:$500,$K172))</f>
        <v/>
      </c>
      <c r="J172" s="8">
        <f>IF($K172="","",INDEX(מלאי!$AC$2:$500,$K172))</f>
        <v/>
      </c>
      <c r="K17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טכנולוגיים'!$A$2:$500,0))&lt;=$G$6),0))),ROW(מלאי!$A$2:$A$500)-ROW(מלאי!$A$2)+1,""),150),"")</f>
        <v/>
      </c>
      <c r="L172" s="8">
        <f>IF($K172="","",IFERROR(INDEX('ערכים טכנולוגיים'!$K$2:$500,MATCH(A172,'ערכים טכנולוגיים'!$A$2:$500,0)),""))</f>
        <v/>
      </c>
      <c r="M172" s="8">
        <f>IF($K172="","",IFERROR(INDEX('ערכים טכנולוגיים'!$F$2:$500,MATCH(A172,'ערכים טכנולוגיים'!$A$2:$500,0)),""))</f>
        <v/>
      </c>
      <c r="N172" s="8">
        <f>IF($K172="","",IFERROR(INDEX('ערכים טכנולוגיים'!$I$2:$500,MATCH(A172,'ערכים טכנולוגיים'!$A$2:$500,0)),""))</f>
        <v/>
      </c>
      <c r="O172" s="8">
        <f>IF($K172="","",IFERROR(INDEX('ערכים טכנולוגיים'!$G$2:$500,MATCH(A172,'ערכים טכנולוגיים'!$A$2:$500,0)),""))</f>
        <v/>
      </c>
      <c r="P172" s="8">
        <f>IF($K172="","",IFERROR(INDEX('ערכים טכנולוגיים'!$J$2:$500,MATCH(A172,'ערכים טכנולוגיים'!$A$2:$500,0)),""))</f>
        <v/>
      </c>
      <c r="Q172" s="8">
        <f>IF($K172="","",IFERROR(INDEX('ערכים טכנולוגיים'!$N$2:$500,MATCH(A172,'ערכים טכנולוגיים'!$A$2:$500,0)),""))</f>
        <v/>
      </c>
    </row>
    <row r="173">
      <c r="A173" s="2">
        <f>IF($K173="","",INDEX(מלאי!$D$2:$500,$K173))</f>
        <v/>
      </c>
      <c r="B173" s="2">
        <f>IF($K173="","",INDEX(מלאי!$B$2:$500,$K173))</f>
        <v/>
      </c>
      <c r="C173" s="2">
        <f>IF($K173="","",INDEX(מלאי!$C$2:$500,$K173))</f>
        <v/>
      </c>
      <c r="D173" s="2">
        <f>IF($K173="","",INDEX(מלאי!$G$2:$500,$K173))</f>
        <v/>
      </c>
      <c r="E173" s="2">
        <f>IF($K173="","",INDEX(מלאי!$M$2:$500,$K173))</f>
        <v/>
      </c>
      <c r="F173" s="2">
        <f>IF($K173="","",INDEX(מלאי!$N$2:$500,$K173))</f>
        <v/>
      </c>
      <c r="G173" s="2">
        <f>IF($K173="","",INDEX(מלאי!$O$2:$500,$K173))</f>
        <v/>
      </c>
      <c r="H173" s="2">
        <f>IF($K173="","",INDEX(מלאי!$U$2:$500,$K173))</f>
        <v/>
      </c>
      <c r="I173" s="2">
        <f>IF($K173="","",INDEX(מלאי!$X$2:$500,$K173))</f>
        <v/>
      </c>
      <c r="J173" s="2">
        <f>IF($K173="","",INDEX(מלאי!$AC$2:$500,$K173))</f>
        <v/>
      </c>
      <c r="K17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טכנולוגיים'!$A$2:$500,0))&lt;=$G$6),0))),ROW(מלאי!$A$2:$A$500)-ROW(מלאי!$A$2)+1,""),151),"")</f>
        <v/>
      </c>
      <c r="L173" s="2">
        <f>IF($K173="","",IFERROR(INDEX('ערכים טכנולוגיים'!$K$2:$500,MATCH(A173,'ערכים טכנולוגיים'!$A$2:$500,0)),""))</f>
        <v/>
      </c>
      <c r="M173" s="2">
        <f>IF($K173="","",IFERROR(INDEX('ערכים טכנולוגיים'!$F$2:$500,MATCH(A173,'ערכים טכנולוגיים'!$A$2:$500,0)),""))</f>
        <v/>
      </c>
      <c r="N173" s="2">
        <f>IF($K173="","",IFERROR(INDEX('ערכים טכנולוגיים'!$I$2:$500,MATCH(A173,'ערכים טכנולוגיים'!$A$2:$500,0)),""))</f>
        <v/>
      </c>
      <c r="O173" s="2">
        <f>IF($K173="","",IFERROR(INDEX('ערכים טכנולוגיים'!$G$2:$500,MATCH(A173,'ערכים טכנולוגיים'!$A$2:$500,0)),""))</f>
        <v/>
      </c>
      <c r="P173" s="2">
        <f>IF($K173="","",IFERROR(INDEX('ערכים טכנולוגיים'!$J$2:$500,MATCH(A173,'ערכים טכנולוגיים'!$A$2:$500,0)),""))</f>
        <v/>
      </c>
      <c r="Q173" s="2">
        <f>IF($K173="","",IFERROR(INDEX('ערכים טכנולוגיים'!$N$2:$500,MATCH(A173,'ערכים טכנולוגיים'!$A$2:$500,0)),""))</f>
        <v/>
      </c>
    </row>
    <row r="174">
      <c r="A174" s="8">
        <f>IF($K174="","",INDEX(מלאי!$D$2:$500,$K174))</f>
        <v/>
      </c>
      <c r="B174" s="8">
        <f>IF($K174="","",INDEX(מלאי!$B$2:$500,$K174))</f>
        <v/>
      </c>
      <c r="C174" s="8">
        <f>IF($K174="","",INDEX(מלאי!$C$2:$500,$K174))</f>
        <v/>
      </c>
      <c r="D174" s="8">
        <f>IF($K174="","",INDEX(מלאי!$G$2:$500,$K174))</f>
        <v/>
      </c>
      <c r="E174" s="8">
        <f>IF($K174="","",INDEX(מלאי!$M$2:$500,$K174))</f>
        <v/>
      </c>
      <c r="F174" s="8">
        <f>IF($K174="","",INDEX(מלאי!$N$2:$500,$K174))</f>
        <v/>
      </c>
      <c r="G174" s="8">
        <f>IF($K174="","",INDEX(מלאי!$O$2:$500,$K174))</f>
        <v/>
      </c>
      <c r="H174" s="8">
        <f>IF($K174="","",INDEX(מלאי!$U$2:$500,$K174))</f>
        <v/>
      </c>
      <c r="I174" s="8">
        <f>IF($K174="","",INDEX(מלאי!$X$2:$500,$K174))</f>
        <v/>
      </c>
      <c r="J174" s="8">
        <f>IF($K174="","",INDEX(מלאי!$AC$2:$500,$K174))</f>
        <v/>
      </c>
      <c r="K17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טכנולוגיים'!$A$2:$500,0))&lt;=$G$6),0))),ROW(מלאי!$A$2:$A$500)-ROW(מלאי!$A$2)+1,""),152),"")</f>
        <v/>
      </c>
      <c r="L174" s="8">
        <f>IF($K174="","",IFERROR(INDEX('ערכים טכנולוגיים'!$K$2:$500,MATCH(A174,'ערכים טכנולוגיים'!$A$2:$500,0)),""))</f>
        <v/>
      </c>
      <c r="M174" s="8">
        <f>IF($K174="","",IFERROR(INDEX('ערכים טכנולוגיים'!$F$2:$500,MATCH(A174,'ערכים טכנולוגיים'!$A$2:$500,0)),""))</f>
        <v/>
      </c>
      <c r="N174" s="8">
        <f>IF($K174="","",IFERROR(INDEX('ערכים טכנולוגיים'!$I$2:$500,MATCH(A174,'ערכים טכנולוגיים'!$A$2:$500,0)),""))</f>
        <v/>
      </c>
      <c r="O174" s="8">
        <f>IF($K174="","",IFERROR(INDEX('ערכים טכנולוגיים'!$G$2:$500,MATCH(A174,'ערכים טכנולוגיים'!$A$2:$500,0)),""))</f>
        <v/>
      </c>
      <c r="P174" s="8">
        <f>IF($K174="","",IFERROR(INDEX('ערכים טכנולוגיים'!$J$2:$500,MATCH(A174,'ערכים טכנולוגיים'!$A$2:$500,0)),""))</f>
        <v/>
      </c>
      <c r="Q174" s="8">
        <f>IF($K174="","",IFERROR(INDEX('ערכים טכנולוגיים'!$N$2:$500,MATCH(A174,'ערכים טכנולוגיים'!$A$2:$500,0)),""))</f>
        <v/>
      </c>
    </row>
    <row r="175">
      <c r="A175" s="2">
        <f>IF($K175="","",INDEX(מלאי!$D$2:$500,$K175))</f>
        <v/>
      </c>
      <c r="B175" s="2">
        <f>IF($K175="","",INDEX(מלאי!$B$2:$500,$K175))</f>
        <v/>
      </c>
      <c r="C175" s="2">
        <f>IF($K175="","",INDEX(מלאי!$C$2:$500,$K175))</f>
        <v/>
      </c>
      <c r="D175" s="2">
        <f>IF($K175="","",INDEX(מלאי!$G$2:$500,$K175))</f>
        <v/>
      </c>
      <c r="E175" s="2">
        <f>IF($K175="","",INDEX(מלאי!$M$2:$500,$K175))</f>
        <v/>
      </c>
      <c r="F175" s="2">
        <f>IF($K175="","",INDEX(מלאי!$N$2:$500,$K175))</f>
        <v/>
      </c>
      <c r="G175" s="2">
        <f>IF($K175="","",INDEX(מלאי!$O$2:$500,$K175))</f>
        <v/>
      </c>
      <c r="H175" s="2">
        <f>IF($K175="","",INDEX(מלאי!$U$2:$500,$K175))</f>
        <v/>
      </c>
      <c r="I175" s="2">
        <f>IF($K175="","",INDEX(מלאי!$X$2:$500,$K175))</f>
        <v/>
      </c>
      <c r="J175" s="2">
        <f>IF($K175="","",INDEX(מלאי!$AC$2:$500,$K175))</f>
        <v/>
      </c>
      <c r="K17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טכנולוגיים'!$A$2:$500,0))&lt;=$G$6),0))),ROW(מלאי!$A$2:$A$500)-ROW(מלאי!$A$2)+1,""),153),"")</f>
        <v/>
      </c>
      <c r="L175" s="2">
        <f>IF($K175="","",IFERROR(INDEX('ערכים טכנולוגיים'!$K$2:$500,MATCH(A175,'ערכים טכנולוגיים'!$A$2:$500,0)),""))</f>
        <v/>
      </c>
      <c r="M175" s="2">
        <f>IF($K175="","",IFERROR(INDEX('ערכים טכנולוגיים'!$F$2:$500,MATCH(A175,'ערכים טכנולוגיים'!$A$2:$500,0)),""))</f>
        <v/>
      </c>
      <c r="N175" s="2">
        <f>IF($K175="","",IFERROR(INDEX('ערכים טכנולוגיים'!$I$2:$500,MATCH(A175,'ערכים טכנולוגיים'!$A$2:$500,0)),""))</f>
        <v/>
      </c>
      <c r="O175" s="2">
        <f>IF($K175="","",IFERROR(INDEX('ערכים טכנולוגיים'!$G$2:$500,MATCH(A175,'ערכים טכנולוגיים'!$A$2:$500,0)),""))</f>
        <v/>
      </c>
      <c r="P175" s="2">
        <f>IF($K175="","",IFERROR(INDEX('ערכים טכנולוגיים'!$J$2:$500,MATCH(A175,'ערכים טכנולוגיים'!$A$2:$500,0)),""))</f>
        <v/>
      </c>
      <c r="Q175" s="2">
        <f>IF($K175="","",IFERROR(INDEX('ערכים טכנולוגיים'!$N$2:$500,MATCH(A175,'ערכים טכנולוגיים'!$A$2:$500,0)),""))</f>
        <v/>
      </c>
    </row>
    <row r="176">
      <c r="A176" s="8">
        <f>IF($K176="","",INDEX(מלאי!$D$2:$500,$K176))</f>
        <v/>
      </c>
      <c r="B176" s="8">
        <f>IF($K176="","",INDEX(מלאי!$B$2:$500,$K176))</f>
        <v/>
      </c>
      <c r="C176" s="8">
        <f>IF($K176="","",INDEX(מלאי!$C$2:$500,$K176))</f>
        <v/>
      </c>
      <c r="D176" s="8">
        <f>IF($K176="","",INDEX(מלאי!$G$2:$500,$K176))</f>
        <v/>
      </c>
      <c r="E176" s="8">
        <f>IF($K176="","",INDEX(מלאי!$M$2:$500,$K176))</f>
        <v/>
      </c>
      <c r="F176" s="8">
        <f>IF($K176="","",INDEX(מלאי!$N$2:$500,$K176))</f>
        <v/>
      </c>
      <c r="G176" s="8">
        <f>IF($K176="","",INDEX(מלאי!$O$2:$500,$K176))</f>
        <v/>
      </c>
      <c r="H176" s="8">
        <f>IF($K176="","",INDEX(מלאי!$U$2:$500,$K176))</f>
        <v/>
      </c>
      <c r="I176" s="8">
        <f>IF($K176="","",INDEX(מלאי!$X$2:$500,$K176))</f>
        <v/>
      </c>
      <c r="J176" s="8">
        <f>IF($K176="","",INDEX(מלאי!$AC$2:$500,$K176))</f>
        <v/>
      </c>
      <c r="K17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טכנולוגיים'!$A$2:$500,0))&lt;=$G$6),0))),ROW(מלאי!$A$2:$A$500)-ROW(מלאי!$A$2)+1,""),154),"")</f>
        <v/>
      </c>
      <c r="L176" s="8">
        <f>IF($K176="","",IFERROR(INDEX('ערכים טכנולוגיים'!$K$2:$500,MATCH(A176,'ערכים טכנולוגיים'!$A$2:$500,0)),""))</f>
        <v/>
      </c>
      <c r="M176" s="8">
        <f>IF($K176="","",IFERROR(INDEX('ערכים טכנולוגיים'!$F$2:$500,MATCH(A176,'ערכים טכנולוגיים'!$A$2:$500,0)),""))</f>
        <v/>
      </c>
      <c r="N176" s="8">
        <f>IF($K176="","",IFERROR(INDEX('ערכים טכנולוגיים'!$I$2:$500,MATCH(A176,'ערכים טכנולוגיים'!$A$2:$500,0)),""))</f>
        <v/>
      </c>
      <c r="O176" s="8">
        <f>IF($K176="","",IFERROR(INDEX('ערכים טכנולוגיים'!$G$2:$500,MATCH(A176,'ערכים טכנולוגיים'!$A$2:$500,0)),""))</f>
        <v/>
      </c>
      <c r="P176" s="8">
        <f>IF($K176="","",IFERROR(INDEX('ערכים טכנולוגיים'!$J$2:$500,MATCH(A176,'ערכים טכנולוגיים'!$A$2:$500,0)),""))</f>
        <v/>
      </c>
      <c r="Q176" s="8">
        <f>IF($K176="","",IFERROR(INDEX('ערכים טכנולוגיים'!$N$2:$500,MATCH(A176,'ערכים טכנולוגיים'!$A$2:$500,0)),""))</f>
        <v/>
      </c>
    </row>
    <row r="177">
      <c r="A177" s="2">
        <f>IF($K177="","",INDEX(מלאי!$D$2:$500,$K177))</f>
        <v/>
      </c>
      <c r="B177" s="2">
        <f>IF($K177="","",INDEX(מלאי!$B$2:$500,$K177))</f>
        <v/>
      </c>
      <c r="C177" s="2">
        <f>IF($K177="","",INDEX(מלאי!$C$2:$500,$K177))</f>
        <v/>
      </c>
      <c r="D177" s="2">
        <f>IF($K177="","",INDEX(מלאי!$G$2:$500,$K177))</f>
        <v/>
      </c>
      <c r="E177" s="2">
        <f>IF($K177="","",INDEX(מלאי!$M$2:$500,$K177))</f>
        <v/>
      </c>
      <c r="F177" s="2">
        <f>IF($K177="","",INDEX(מלאי!$N$2:$500,$K177))</f>
        <v/>
      </c>
      <c r="G177" s="2">
        <f>IF($K177="","",INDEX(מלאי!$O$2:$500,$K177))</f>
        <v/>
      </c>
      <c r="H177" s="2">
        <f>IF($K177="","",INDEX(מלאי!$U$2:$500,$K177))</f>
        <v/>
      </c>
      <c r="I177" s="2">
        <f>IF($K177="","",INDEX(מלאי!$X$2:$500,$K177))</f>
        <v/>
      </c>
      <c r="J177" s="2">
        <f>IF($K177="","",INDEX(מלאי!$AC$2:$500,$K177))</f>
        <v/>
      </c>
      <c r="K17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טכנולוגיים'!$A$2:$500,0))&lt;=$G$6),0))),ROW(מלאי!$A$2:$A$500)-ROW(מלאי!$A$2)+1,""),155),"")</f>
        <v/>
      </c>
      <c r="L177" s="2">
        <f>IF($K177="","",IFERROR(INDEX('ערכים טכנולוגיים'!$K$2:$500,MATCH(A177,'ערכים טכנולוגיים'!$A$2:$500,0)),""))</f>
        <v/>
      </c>
      <c r="M177" s="2">
        <f>IF($K177="","",IFERROR(INDEX('ערכים טכנולוגיים'!$F$2:$500,MATCH(A177,'ערכים טכנולוגיים'!$A$2:$500,0)),""))</f>
        <v/>
      </c>
      <c r="N177" s="2">
        <f>IF($K177="","",IFERROR(INDEX('ערכים טכנולוגיים'!$I$2:$500,MATCH(A177,'ערכים טכנולוגיים'!$A$2:$500,0)),""))</f>
        <v/>
      </c>
      <c r="O177" s="2">
        <f>IF($K177="","",IFERROR(INDEX('ערכים טכנולוגיים'!$G$2:$500,MATCH(A177,'ערכים טכנולוגיים'!$A$2:$500,0)),""))</f>
        <v/>
      </c>
      <c r="P177" s="2">
        <f>IF($K177="","",IFERROR(INDEX('ערכים טכנולוגיים'!$J$2:$500,MATCH(A177,'ערכים טכנולוגיים'!$A$2:$500,0)),""))</f>
        <v/>
      </c>
      <c r="Q177" s="2">
        <f>IF($K177="","",IFERROR(INDEX('ערכים טכנולוגיים'!$N$2:$500,MATCH(A177,'ערכים טכנולוגיים'!$A$2:$500,0)),""))</f>
        <v/>
      </c>
    </row>
    <row r="178">
      <c r="A178" s="8">
        <f>IF($K178="","",INDEX(מלאי!$D$2:$500,$K178))</f>
        <v/>
      </c>
      <c r="B178" s="8">
        <f>IF($K178="","",INDEX(מלאי!$B$2:$500,$K178))</f>
        <v/>
      </c>
      <c r="C178" s="8">
        <f>IF($K178="","",INDEX(מלאי!$C$2:$500,$K178))</f>
        <v/>
      </c>
      <c r="D178" s="8">
        <f>IF($K178="","",INDEX(מלאי!$G$2:$500,$K178))</f>
        <v/>
      </c>
      <c r="E178" s="8">
        <f>IF($K178="","",INDEX(מלאי!$M$2:$500,$K178))</f>
        <v/>
      </c>
      <c r="F178" s="8">
        <f>IF($K178="","",INDEX(מלאי!$N$2:$500,$K178))</f>
        <v/>
      </c>
      <c r="G178" s="8">
        <f>IF($K178="","",INDEX(מלאי!$O$2:$500,$K178))</f>
        <v/>
      </c>
      <c r="H178" s="8">
        <f>IF($K178="","",INDEX(מלאי!$U$2:$500,$K178))</f>
        <v/>
      </c>
      <c r="I178" s="8">
        <f>IF($K178="","",INDEX(מלאי!$X$2:$500,$K178))</f>
        <v/>
      </c>
      <c r="J178" s="8">
        <f>IF($K178="","",INDEX(מלאי!$AC$2:$500,$K178))</f>
        <v/>
      </c>
      <c r="K17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טכנולוגיים'!$A$2:$500,0))&lt;=$G$6),0))),ROW(מלאי!$A$2:$A$500)-ROW(מלאי!$A$2)+1,""),156),"")</f>
        <v/>
      </c>
      <c r="L178" s="8">
        <f>IF($K178="","",IFERROR(INDEX('ערכים טכנולוגיים'!$K$2:$500,MATCH(A178,'ערכים טכנולוגיים'!$A$2:$500,0)),""))</f>
        <v/>
      </c>
      <c r="M178" s="8">
        <f>IF($K178="","",IFERROR(INDEX('ערכים טכנולוגיים'!$F$2:$500,MATCH(A178,'ערכים טכנולוגיים'!$A$2:$500,0)),""))</f>
        <v/>
      </c>
      <c r="N178" s="8">
        <f>IF($K178="","",IFERROR(INDEX('ערכים טכנולוגיים'!$I$2:$500,MATCH(A178,'ערכים טכנולוגיים'!$A$2:$500,0)),""))</f>
        <v/>
      </c>
      <c r="O178" s="8">
        <f>IF($K178="","",IFERROR(INDEX('ערכים טכנולוגיים'!$G$2:$500,MATCH(A178,'ערכים טכנולוגיים'!$A$2:$500,0)),""))</f>
        <v/>
      </c>
      <c r="P178" s="8">
        <f>IF($K178="","",IFERROR(INDEX('ערכים טכנולוגיים'!$J$2:$500,MATCH(A178,'ערכים טכנולוגיים'!$A$2:$500,0)),""))</f>
        <v/>
      </c>
      <c r="Q178" s="8">
        <f>IF($K178="","",IFERROR(INDEX('ערכים טכנולוגיים'!$N$2:$500,MATCH(A178,'ערכים טכנולוגיים'!$A$2:$500,0)),""))</f>
        <v/>
      </c>
    </row>
    <row r="179">
      <c r="A179" s="2">
        <f>IF($K179="","",INDEX(מלאי!$D$2:$500,$K179))</f>
        <v/>
      </c>
      <c r="B179" s="2">
        <f>IF($K179="","",INDEX(מלאי!$B$2:$500,$K179))</f>
        <v/>
      </c>
      <c r="C179" s="2">
        <f>IF($K179="","",INDEX(מלאי!$C$2:$500,$K179))</f>
        <v/>
      </c>
      <c r="D179" s="2">
        <f>IF($K179="","",INDEX(מלאי!$G$2:$500,$K179))</f>
        <v/>
      </c>
      <c r="E179" s="2">
        <f>IF($K179="","",INDEX(מלאי!$M$2:$500,$K179))</f>
        <v/>
      </c>
      <c r="F179" s="2">
        <f>IF($K179="","",INDEX(מלאי!$N$2:$500,$K179))</f>
        <v/>
      </c>
      <c r="G179" s="2">
        <f>IF($K179="","",INDEX(מלאי!$O$2:$500,$K179))</f>
        <v/>
      </c>
      <c r="H179" s="2">
        <f>IF($K179="","",INDEX(מלאי!$U$2:$500,$K179))</f>
        <v/>
      </c>
      <c r="I179" s="2">
        <f>IF($K179="","",INDEX(מלאי!$X$2:$500,$K179))</f>
        <v/>
      </c>
      <c r="J179" s="2">
        <f>IF($K179="","",INDEX(מלאי!$AC$2:$500,$K179))</f>
        <v/>
      </c>
      <c r="K17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טכנולוגיים'!$A$2:$500,0))&lt;=$G$6),0))),ROW(מלאי!$A$2:$A$500)-ROW(מלאי!$A$2)+1,""),157),"")</f>
        <v/>
      </c>
      <c r="L179" s="2">
        <f>IF($K179="","",IFERROR(INDEX('ערכים טכנולוגיים'!$K$2:$500,MATCH(A179,'ערכים טכנולוגיים'!$A$2:$500,0)),""))</f>
        <v/>
      </c>
      <c r="M179" s="2">
        <f>IF($K179="","",IFERROR(INDEX('ערכים טכנולוגיים'!$F$2:$500,MATCH(A179,'ערכים טכנולוגיים'!$A$2:$500,0)),""))</f>
        <v/>
      </c>
      <c r="N179" s="2">
        <f>IF($K179="","",IFERROR(INDEX('ערכים טכנולוגיים'!$I$2:$500,MATCH(A179,'ערכים טכנולוגיים'!$A$2:$500,0)),""))</f>
        <v/>
      </c>
      <c r="O179" s="2">
        <f>IF($K179="","",IFERROR(INDEX('ערכים טכנולוגיים'!$G$2:$500,MATCH(A179,'ערכים טכנולוגיים'!$A$2:$500,0)),""))</f>
        <v/>
      </c>
      <c r="P179" s="2">
        <f>IF($K179="","",IFERROR(INDEX('ערכים טכנולוגיים'!$J$2:$500,MATCH(A179,'ערכים טכנולוגיים'!$A$2:$500,0)),""))</f>
        <v/>
      </c>
      <c r="Q179" s="2">
        <f>IF($K179="","",IFERROR(INDEX('ערכים טכנולוגיים'!$N$2:$500,MATCH(A179,'ערכים טכנולוגיים'!$A$2:$500,0)),""))</f>
        <v/>
      </c>
    </row>
    <row r="180">
      <c r="A180" s="8">
        <f>IF($K180="","",INDEX(מלאי!$D$2:$500,$K180))</f>
        <v/>
      </c>
      <c r="B180" s="8">
        <f>IF($K180="","",INDEX(מלאי!$B$2:$500,$K180))</f>
        <v/>
      </c>
      <c r="C180" s="8">
        <f>IF($K180="","",INDEX(מלאי!$C$2:$500,$K180))</f>
        <v/>
      </c>
      <c r="D180" s="8">
        <f>IF($K180="","",INDEX(מלאי!$G$2:$500,$K180))</f>
        <v/>
      </c>
      <c r="E180" s="8">
        <f>IF($K180="","",INDEX(מלאי!$M$2:$500,$K180))</f>
        <v/>
      </c>
      <c r="F180" s="8">
        <f>IF($K180="","",INDEX(מלאי!$N$2:$500,$K180))</f>
        <v/>
      </c>
      <c r="G180" s="8">
        <f>IF($K180="","",INDEX(מלאי!$O$2:$500,$K180))</f>
        <v/>
      </c>
      <c r="H180" s="8">
        <f>IF($K180="","",INDEX(מלאי!$U$2:$500,$K180))</f>
        <v/>
      </c>
      <c r="I180" s="8">
        <f>IF($K180="","",INDEX(מלאי!$X$2:$500,$K180))</f>
        <v/>
      </c>
      <c r="J180" s="8">
        <f>IF($K180="","",INDEX(מלאי!$AC$2:$500,$K180))</f>
        <v/>
      </c>
      <c r="K18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טכנולוגיים'!$A$2:$500,0))&lt;=$G$6),0))),ROW(מלאי!$A$2:$A$500)-ROW(מלאי!$A$2)+1,""),158),"")</f>
        <v/>
      </c>
      <c r="L180" s="8">
        <f>IF($K180="","",IFERROR(INDEX('ערכים טכנולוגיים'!$K$2:$500,MATCH(A180,'ערכים טכנולוגיים'!$A$2:$500,0)),""))</f>
        <v/>
      </c>
      <c r="M180" s="8">
        <f>IF($K180="","",IFERROR(INDEX('ערכים טכנולוגיים'!$F$2:$500,MATCH(A180,'ערכים טכנולוגיים'!$A$2:$500,0)),""))</f>
        <v/>
      </c>
      <c r="N180" s="8">
        <f>IF($K180="","",IFERROR(INDEX('ערכים טכנולוגיים'!$I$2:$500,MATCH(A180,'ערכים טכנולוגיים'!$A$2:$500,0)),""))</f>
        <v/>
      </c>
      <c r="O180" s="8">
        <f>IF($K180="","",IFERROR(INDEX('ערכים טכנולוגיים'!$G$2:$500,MATCH(A180,'ערכים טכנולוגיים'!$A$2:$500,0)),""))</f>
        <v/>
      </c>
      <c r="P180" s="8">
        <f>IF($K180="","",IFERROR(INDEX('ערכים טכנולוגיים'!$J$2:$500,MATCH(A180,'ערכים טכנולוגיים'!$A$2:$500,0)),""))</f>
        <v/>
      </c>
      <c r="Q180" s="8">
        <f>IF($K180="","",IFERROR(INDEX('ערכים טכנולוגיים'!$N$2:$500,MATCH(A180,'ערכים טכנולוגיים'!$A$2:$500,0)),""))</f>
        <v/>
      </c>
    </row>
    <row r="181">
      <c r="A181" s="2">
        <f>IF($K181="","",INDEX(מלאי!$D$2:$500,$K181))</f>
        <v/>
      </c>
      <c r="B181" s="2">
        <f>IF($K181="","",INDEX(מלאי!$B$2:$500,$K181))</f>
        <v/>
      </c>
      <c r="C181" s="2">
        <f>IF($K181="","",INDEX(מלאי!$C$2:$500,$K181))</f>
        <v/>
      </c>
      <c r="D181" s="2">
        <f>IF($K181="","",INDEX(מלאי!$G$2:$500,$K181))</f>
        <v/>
      </c>
      <c r="E181" s="2">
        <f>IF($K181="","",INDEX(מלאי!$M$2:$500,$K181))</f>
        <v/>
      </c>
      <c r="F181" s="2">
        <f>IF($K181="","",INDEX(מלאי!$N$2:$500,$K181))</f>
        <v/>
      </c>
      <c r="G181" s="2">
        <f>IF($K181="","",INDEX(מלאי!$O$2:$500,$K181))</f>
        <v/>
      </c>
      <c r="H181" s="2">
        <f>IF($K181="","",INDEX(מלאי!$U$2:$500,$K181))</f>
        <v/>
      </c>
      <c r="I181" s="2">
        <f>IF($K181="","",INDEX(מלאי!$X$2:$500,$K181))</f>
        <v/>
      </c>
      <c r="J181" s="2">
        <f>IF($K181="","",INDEX(מלאי!$AC$2:$500,$K181))</f>
        <v/>
      </c>
      <c r="K18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טכנולוגיים'!$A$2:$500,0))&lt;=$G$6),0))),ROW(מלאי!$A$2:$A$500)-ROW(מלאי!$A$2)+1,""),159),"")</f>
        <v/>
      </c>
      <c r="L181" s="2">
        <f>IF($K181="","",IFERROR(INDEX('ערכים טכנולוגיים'!$K$2:$500,MATCH(A181,'ערכים טכנולוגיים'!$A$2:$500,0)),""))</f>
        <v/>
      </c>
      <c r="M181" s="2">
        <f>IF($K181="","",IFERROR(INDEX('ערכים טכנולוגיים'!$F$2:$500,MATCH(A181,'ערכים טכנולוגיים'!$A$2:$500,0)),""))</f>
        <v/>
      </c>
      <c r="N181" s="2">
        <f>IF($K181="","",IFERROR(INDEX('ערכים טכנולוגיים'!$I$2:$500,MATCH(A181,'ערכים טכנולוגיים'!$A$2:$500,0)),""))</f>
        <v/>
      </c>
      <c r="O181" s="2">
        <f>IF($K181="","",IFERROR(INDEX('ערכים טכנולוגיים'!$G$2:$500,MATCH(A181,'ערכים טכנולוגיים'!$A$2:$500,0)),""))</f>
        <v/>
      </c>
      <c r="P181" s="2">
        <f>IF($K181="","",IFERROR(INDEX('ערכים טכנולוגיים'!$J$2:$500,MATCH(A181,'ערכים טכנולוגיים'!$A$2:$500,0)),""))</f>
        <v/>
      </c>
      <c r="Q181" s="2">
        <f>IF($K181="","",IFERROR(INDEX('ערכים טכנולוגיים'!$N$2:$500,MATCH(A181,'ערכים טכנולוגיים'!$A$2:$500,0)),""))</f>
        <v/>
      </c>
    </row>
    <row r="182">
      <c r="A182" s="8">
        <f>IF($K182="","",INDEX(מלאי!$D$2:$500,$K182))</f>
        <v/>
      </c>
      <c r="B182" s="8">
        <f>IF($K182="","",INDEX(מלאי!$B$2:$500,$K182))</f>
        <v/>
      </c>
      <c r="C182" s="8">
        <f>IF($K182="","",INDEX(מלאי!$C$2:$500,$K182))</f>
        <v/>
      </c>
      <c r="D182" s="8">
        <f>IF($K182="","",INDEX(מלאי!$G$2:$500,$K182))</f>
        <v/>
      </c>
      <c r="E182" s="8">
        <f>IF($K182="","",INDEX(מלאי!$M$2:$500,$K182))</f>
        <v/>
      </c>
      <c r="F182" s="8">
        <f>IF($K182="","",INDEX(מלאי!$N$2:$500,$K182))</f>
        <v/>
      </c>
      <c r="G182" s="8">
        <f>IF($K182="","",INDEX(מלאי!$O$2:$500,$K182))</f>
        <v/>
      </c>
      <c r="H182" s="8">
        <f>IF($K182="","",INDEX(מלאי!$U$2:$500,$K182))</f>
        <v/>
      </c>
      <c r="I182" s="8">
        <f>IF($K182="","",INDEX(מלאי!$X$2:$500,$K182))</f>
        <v/>
      </c>
      <c r="J182" s="8">
        <f>IF($K182="","",INDEX(מלאי!$AC$2:$500,$K182))</f>
        <v/>
      </c>
      <c r="K18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טכנולוגיים'!$A$2:$500,0))&lt;=$G$6),0))),ROW(מלאי!$A$2:$A$500)-ROW(מלאי!$A$2)+1,""),160),"")</f>
        <v/>
      </c>
      <c r="L182" s="8">
        <f>IF($K182="","",IFERROR(INDEX('ערכים טכנולוגיים'!$K$2:$500,MATCH(A182,'ערכים טכנולוגיים'!$A$2:$500,0)),""))</f>
        <v/>
      </c>
      <c r="M182" s="8">
        <f>IF($K182="","",IFERROR(INDEX('ערכים טכנולוגיים'!$F$2:$500,MATCH(A182,'ערכים טכנולוגיים'!$A$2:$500,0)),""))</f>
        <v/>
      </c>
      <c r="N182" s="8">
        <f>IF($K182="","",IFERROR(INDEX('ערכים טכנולוגיים'!$I$2:$500,MATCH(A182,'ערכים טכנולוגיים'!$A$2:$500,0)),""))</f>
        <v/>
      </c>
      <c r="O182" s="8">
        <f>IF($K182="","",IFERROR(INDEX('ערכים טכנולוגיים'!$G$2:$500,MATCH(A182,'ערכים טכנולוגיים'!$A$2:$500,0)),""))</f>
        <v/>
      </c>
      <c r="P182" s="8">
        <f>IF($K182="","",IFERROR(INDEX('ערכים טכנולוגיים'!$J$2:$500,MATCH(A182,'ערכים טכנולוגיים'!$A$2:$500,0)),""))</f>
        <v/>
      </c>
      <c r="Q182" s="8">
        <f>IF($K182="","",IFERROR(INDEX('ערכים טכנולוגיים'!$N$2:$500,MATCH(A182,'ערכים טכנולוגיים'!$A$2:$500,0)),""))</f>
        <v/>
      </c>
    </row>
    <row r="183">
      <c r="A183" s="2">
        <f>IF($K183="","",INDEX(מלאי!$D$2:$500,$K183))</f>
        <v/>
      </c>
      <c r="B183" s="2">
        <f>IF($K183="","",INDEX(מלאי!$B$2:$500,$K183))</f>
        <v/>
      </c>
      <c r="C183" s="2">
        <f>IF($K183="","",INDEX(מלאי!$C$2:$500,$K183))</f>
        <v/>
      </c>
      <c r="D183" s="2">
        <f>IF($K183="","",INDEX(מלאי!$G$2:$500,$K183))</f>
        <v/>
      </c>
      <c r="E183" s="2">
        <f>IF($K183="","",INDEX(מלאי!$M$2:$500,$K183))</f>
        <v/>
      </c>
      <c r="F183" s="2">
        <f>IF($K183="","",INDEX(מלאי!$N$2:$500,$K183))</f>
        <v/>
      </c>
      <c r="G183" s="2">
        <f>IF($K183="","",INDEX(מלאי!$O$2:$500,$K183))</f>
        <v/>
      </c>
      <c r="H183" s="2">
        <f>IF($K183="","",INDEX(מלאי!$U$2:$500,$K183))</f>
        <v/>
      </c>
      <c r="I183" s="2">
        <f>IF($K183="","",INDEX(מלאי!$X$2:$500,$K183))</f>
        <v/>
      </c>
      <c r="J183" s="2">
        <f>IF($K183="","",INDEX(מלאי!$AC$2:$500,$K183))</f>
        <v/>
      </c>
      <c r="K18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טכנולוגיים'!$A$2:$500,0))&lt;=$G$6),0))),ROW(מלאי!$A$2:$A$500)-ROW(מלאי!$A$2)+1,""),161),"")</f>
        <v/>
      </c>
      <c r="L183" s="2">
        <f>IF($K183="","",IFERROR(INDEX('ערכים טכנולוגיים'!$K$2:$500,MATCH(A183,'ערכים טכנולוגיים'!$A$2:$500,0)),""))</f>
        <v/>
      </c>
      <c r="M183" s="2">
        <f>IF($K183="","",IFERROR(INDEX('ערכים טכנולוגיים'!$F$2:$500,MATCH(A183,'ערכים טכנולוגיים'!$A$2:$500,0)),""))</f>
        <v/>
      </c>
      <c r="N183" s="2">
        <f>IF($K183="","",IFERROR(INDEX('ערכים טכנולוגיים'!$I$2:$500,MATCH(A183,'ערכים טכנולוגיים'!$A$2:$500,0)),""))</f>
        <v/>
      </c>
      <c r="O183" s="2">
        <f>IF($K183="","",IFERROR(INDEX('ערכים טכנולוגיים'!$G$2:$500,MATCH(A183,'ערכים טכנולוגיים'!$A$2:$500,0)),""))</f>
        <v/>
      </c>
      <c r="P183" s="2">
        <f>IF($K183="","",IFERROR(INDEX('ערכים טכנולוגיים'!$J$2:$500,MATCH(A183,'ערכים טכנולוגיים'!$A$2:$500,0)),""))</f>
        <v/>
      </c>
      <c r="Q183" s="2">
        <f>IF($K183="","",IFERROR(INDEX('ערכים טכנולוגיים'!$N$2:$500,MATCH(A183,'ערכים טכנולוגיים'!$A$2:$500,0)),""))</f>
        <v/>
      </c>
    </row>
    <row r="184">
      <c r="A184" s="8">
        <f>IF($K184="","",INDEX(מלאי!$D$2:$500,$K184))</f>
        <v/>
      </c>
      <c r="B184" s="8">
        <f>IF($K184="","",INDEX(מלאי!$B$2:$500,$K184))</f>
        <v/>
      </c>
      <c r="C184" s="8">
        <f>IF($K184="","",INDEX(מלאי!$C$2:$500,$K184))</f>
        <v/>
      </c>
      <c r="D184" s="8">
        <f>IF($K184="","",INDEX(מלאי!$G$2:$500,$K184))</f>
        <v/>
      </c>
      <c r="E184" s="8">
        <f>IF($K184="","",INDEX(מלאי!$M$2:$500,$K184))</f>
        <v/>
      </c>
      <c r="F184" s="8">
        <f>IF($K184="","",INDEX(מלאי!$N$2:$500,$K184))</f>
        <v/>
      </c>
      <c r="G184" s="8">
        <f>IF($K184="","",INDEX(מלאי!$O$2:$500,$K184))</f>
        <v/>
      </c>
      <c r="H184" s="8">
        <f>IF($K184="","",INDEX(מלאי!$U$2:$500,$K184))</f>
        <v/>
      </c>
      <c r="I184" s="8">
        <f>IF($K184="","",INDEX(מלאי!$X$2:$500,$K184))</f>
        <v/>
      </c>
      <c r="J184" s="8">
        <f>IF($K184="","",INDEX(מלאי!$AC$2:$500,$K184))</f>
        <v/>
      </c>
      <c r="K18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טכנולוגיים'!$A$2:$500,0))&lt;=$G$6),0))),ROW(מלאי!$A$2:$A$500)-ROW(מלאי!$A$2)+1,""),162),"")</f>
        <v/>
      </c>
      <c r="L184" s="8">
        <f>IF($K184="","",IFERROR(INDEX('ערכים טכנולוגיים'!$K$2:$500,MATCH(A184,'ערכים טכנולוגיים'!$A$2:$500,0)),""))</f>
        <v/>
      </c>
      <c r="M184" s="8">
        <f>IF($K184="","",IFERROR(INDEX('ערכים טכנולוגיים'!$F$2:$500,MATCH(A184,'ערכים טכנולוגיים'!$A$2:$500,0)),""))</f>
        <v/>
      </c>
      <c r="N184" s="8">
        <f>IF($K184="","",IFERROR(INDEX('ערכים טכנולוגיים'!$I$2:$500,MATCH(A184,'ערכים טכנולוגיים'!$A$2:$500,0)),""))</f>
        <v/>
      </c>
      <c r="O184" s="8">
        <f>IF($K184="","",IFERROR(INDEX('ערכים טכנולוגיים'!$G$2:$500,MATCH(A184,'ערכים טכנולוגיים'!$A$2:$500,0)),""))</f>
        <v/>
      </c>
      <c r="P184" s="8">
        <f>IF($K184="","",IFERROR(INDEX('ערכים טכנולוגיים'!$J$2:$500,MATCH(A184,'ערכים טכנולוגיים'!$A$2:$500,0)),""))</f>
        <v/>
      </c>
      <c r="Q184" s="8">
        <f>IF($K184="","",IFERROR(INDEX('ערכים טכנולוגיים'!$N$2:$500,MATCH(A184,'ערכים טכנולוגיים'!$A$2:$500,0)),""))</f>
        <v/>
      </c>
    </row>
    <row r="185">
      <c r="A185" s="2">
        <f>IF($K185="","",INDEX(מלאי!$D$2:$500,$K185))</f>
        <v/>
      </c>
      <c r="B185" s="2">
        <f>IF($K185="","",INDEX(מלאי!$B$2:$500,$K185))</f>
        <v/>
      </c>
      <c r="C185" s="2">
        <f>IF($K185="","",INDEX(מלאי!$C$2:$500,$K185))</f>
        <v/>
      </c>
      <c r="D185" s="2">
        <f>IF($K185="","",INDEX(מלאי!$G$2:$500,$K185))</f>
        <v/>
      </c>
      <c r="E185" s="2">
        <f>IF($K185="","",INDEX(מלאי!$M$2:$500,$K185))</f>
        <v/>
      </c>
      <c r="F185" s="2">
        <f>IF($K185="","",INDEX(מלאי!$N$2:$500,$K185))</f>
        <v/>
      </c>
      <c r="G185" s="2">
        <f>IF($K185="","",INDEX(מלאי!$O$2:$500,$K185))</f>
        <v/>
      </c>
      <c r="H185" s="2">
        <f>IF($K185="","",INDEX(מלאי!$U$2:$500,$K185))</f>
        <v/>
      </c>
      <c r="I185" s="2">
        <f>IF($K185="","",INDEX(מלאי!$X$2:$500,$K185))</f>
        <v/>
      </c>
      <c r="J185" s="2">
        <f>IF($K185="","",INDEX(מלאי!$AC$2:$500,$K185))</f>
        <v/>
      </c>
      <c r="K18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טכנולוגיים'!$A$2:$500,0))&lt;=$G$6),0))),ROW(מלאי!$A$2:$A$500)-ROW(מלאי!$A$2)+1,""),163),"")</f>
        <v/>
      </c>
      <c r="L185" s="2">
        <f>IF($K185="","",IFERROR(INDEX('ערכים טכנולוגיים'!$K$2:$500,MATCH(A185,'ערכים טכנולוגיים'!$A$2:$500,0)),""))</f>
        <v/>
      </c>
      <c r="M185" s="2">
        <f>IF($K185="","",IFERROR(INDEX('ערכים טכנולוגיים'!$F$2:$500,MATCH(A185,'ערכים טכנולוגיים'!$A$2:$500,0)),""))</f>
        <v/>
      </c>
      <c r="N185" s="2">
        <f>IF($K185="","",IFERROR(INDEX('ערכים טכנולוגיים'!$I$2:$500,MATCH(A185,'ערכים טכנולוגיים'!$A$2:$500,0)),""))</f>
        <v/>
      </c>
      <c r="O185" s="2">
        <f>IF($K185="","",IFERROR(INDEX('ערכים טכנולוגיים'!$G$2:$500,MATCH(A185,'ערכים טכנולוגיים'!$A$2:$500,0)),""))</f>
        <v/>
      </c>
      <c r="P185" s="2">
        <f>IF($K185="","",IFERROR(INDEX('ערכים טכנולוגיים'!$J$2:$500,MATCH(A185,'ערכים טכנולוגיים'!$A$2:$500,0)),""))</f>
        <v/>
      </c>
      <c r="Q185" s="2">
        <f>IF($K185="","",IFERROR(INDEX('ערכים טכנולוגיים'!$N$2:$500,MATCH(A185,'ערכים טכנולוגיים'!$A$2:$500,0)),""))</f>
        <v/>
      </c>
    </row>
    <row r="186">
      <c r="A186" s="8">
        <f>IF($K186="","",INDEX(מלאי!$D$2:$500,$K186))</f>
        <v/>
      </c>
      <c r="B186" s="8">
        <f>IF($K186="","",INDEX(מלאי!$B$2:$500,$K186))</f>
        <v/>
      </c>
      <c r="C186" s="8">
        <f>IF($K186="","",INDEX(מלאי!$C$2:$500,$K186))</f>
        <v/>
      </c>
      <c r="D186" s="8">
        <f>IF($K186="","",INDEX(מלאי!$G$2:$500,$K186))</f>
        <v/>
      </c>
      <c r="E186" s="8">
        <f>IF($K186="","",INDEX(מלאי!$M$2:$500,$K186))</f>
        <v/>
      </c>
      <c r="F186" s="8">
        <f>IF($K186="","",INDEX(מלאי!$N$2:$500,$K186))</f>
        <v/>
      </c>
      <c r="G186" s="8">
        <f>IF($K186="","",INDEX(מלאי!$O$2:$500,$K186))</f>
        <v/>
      </c>
      <c r="H186" s="8">
        <f>IF($K186="","",INDEX(מלאי!$U$2:$500,$K186))</f>
        <v/>
      </c>
      <c r="I186" s="8">
        <f>IF($K186="","",INDEX(מלאי!$X$2:$500,$K186))</f>
        <v/>
      </c>
      <c r="J186" s="8">
        <f>IF($K186="","",INDEX(מלאי!$AC$2:$500,$K186))</f>
        <v/>
      </c>
      <c r="K18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טכנולוגיים'!$A$2:$500,0))&lt;=$G$6),0))),ROW(מלאי!$A$2:$A$500)-ROW(מלאי!$A$2)+1,""),164),"")</f>
        <v/>
      </c>
      <c r="L186" s="8">
        <f>IF($K186="","",IFERROR(INDEX('ערכים טכנולוגיים'!$K$2:$500,MATCH(A186,'ערכים טכנולוגיים'!$A$2:$500,0)),""))</f>
        <v/>
      </c>
      <c r="M186" s="8">
        <f>IF($K186="","",IFERROR(INDEX('ערכים טכנולוגיים'!$F$2:$500,MATCH(A186,'ערכים טכנולוגיים'!$A$2:$500,0)),""))</f>
        <v/>
      </c>
      <c r="N186" s="8">
        <f>IF($K186="","",IFERROR(INDEX('ערכים טכנולוגיים'!$I$2:$500,MATCH(A186,'ערכים טכנולוגיים'!$A$2:$500,0)),""))</f>
        <v/>
      </c>
      <c r="O186" s="8">
        <f>IF($K186="","",IFERROR(INDEX('ערכים טכנולוגיים'!$G$2:$500,MATCH(A186,'ערכים טכנולוגיים'!$A$2:$500,0)),""))</f>
        <v/>
      </c>
      <c r="P186" s="8">
        <f>IF($K186="","",IFERROR(INDEX('ערכים טכנולוגיים'!$J$2:$500,MATCH(A186,'ערכים טכנולוגיים'!$A$2:$500,0)),""))</f>
        <v/>
      </c>
      <c r="Q186" s="8">
        <f>IF($K186="","",IFERROR(INDEX('ערכים טכנולוגיים'!$N$2:$500,MATCH(A186,'ערכים טכנולוגיים'!$A$2:$500,0)),""))</f>
        <v/>
      </c>
    </row>
    <row r="187">
      <c r="A187" s="2">
        <f>IF($K187="","",INDEX(מלאי!$D$2:$500,$K187))</f>
        <v/>
      </c>
      <c r="B187" s="2">
        <f>IF($K187="","",INDEX(מלאי!$B$2:$500,$K187))</f>
        <v/>
      </c>
      <c r="C187" s="2">
        <f>IF($K187="","",INDEX(מלאי!$C$2:$500,$K187))</f>
        <v/>
      </c>
      <c r="D187" s="2">
        <f>IF($K187="","",INDEX(מלאי!$G$2:$500,$K187))</f>
        <v/>
      </c>
      <c r="E187" s="2">
        <f>IF($K187="","",INDEX(מלאי!$M$2:$500,$K187))</f>
        <v/>
      </c>
      <c r="F187" s="2">
        <f>IF($K187="","",INDEX(מלאי!$N$2:$500,$K187))</f>
        <v/>
      </c>
      <c r="G187" s="2">
        <f>IF($K187="","",INDEX(מלאי!$O$2:$500,$K187))</f>
        <v/>
      </c>
      <c r="H187" s="2">
        <f>IF($K187="","",INDEX(מלאי!$U$2:$500,$K187))</f>
        <v/>
      </c>
      <c r="I187" s="2">
        <f>IF($K187="","",INDEX(מלאי!$X$2:$500,$K187))</f>
        <v/>
      </c>
      <c r="J187" s="2">
        <f>IF($K187="","",INDEX(מלאי!$AC$2:$500,$K187))</f>
        <v/>
      </c>
      <c r="K18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טכנולוגיים'!$A$2:$500,0))&lt;=$G$6),0))),ROW(מלאי!$A$2:$A$500)-ROW(מלאי!$A$2)+1,""),165),"")</f>
        <v/>
      </c>
      <c r="L187" s="2">
        <f>IF($K187="","",IFERROR(INDEX('ערכים טכנולוגיים'!$K$2:$500,MATCH(A187,'ערכים טכנולוגיים'!$A$2:$500,0)),""))</f>
        <v/>
      </c>
      <c r="M187" s="2">
        <f>IF($K187="","",IFERROR(INDEX('ערכים טכנולוגיים'!$F$2:$500,MATCH(A187,'ערכים טכנולוגיים'!$A$2:$500,0)),""))</f>
        <v/>
      </c>
      <c r="N187" s="2">
        <f>IF($K187="","",IFERROR(INDEX('ערכים טכנולוגיים'!$I$2:$500,MATCH(A187,'ערכים טכנולוגיים'!$A$2:$500,0)),""))</f>
        <v/>
      </c>
      <c r="O187" s="2">
        <f>IF($K187="","",IFERROR(INDEX('ערכים טכנולוגיים'!$G$2:$500,MATCH(A187,'ערכים טכנולוגיים'!$A$2:$500,0)),""))</f>
        <v/>
      </c>
      <c r="P187" s="2">
        <f>IF($K187="","",IFERROR(INDEX('ערכים טכנולוגיים'!$J$2:$500,MATCH(A187,'ערכים טכנולוגיים'!$A$2:$500,0)),""))</f>
        <v/>
      </c>
      <c r="Q187" s="2">
        <f>IF($K187="","",IFERROR(INDEX('ערכים טכנולוגיים'!$N$2:$500,MATCH(A187,'ערכים טכנולוגיים'!$A$2:$500,0)),""))</f>
        <v/>
      </c>
    </row>
    <row r="188">
      <c r="A188" s="8">
        <f>IF($K188="","",INDEX(מלאי!$D$2:$500,$K188))</f>
        <v/>
      </c>
      <c r="B188" s="8">
        <f>IF($K188="","",INDEX(מלאי!$B$2:$500,$K188))</f>
        <v/>
      </c>
      <c r="C188" s="8">
        <f>IF($K188="","",INDEX(מלאי!$C$2:$500,$K188))</f>
        <v/>
      </c>
      <c r="D188" s="8">
        <f>IF($K188="","",INDEX(מלאי!$G$2:$500,$K188))</f>
        <v/>
      </c>
      <c r="E188" s="8">
        <f>IF($K188="","",INDEX(מלאי!$M$2:$500,$K188))</f>
        <v/>
      </c>
      <c r="F188" s="8">
        <f>IF($K188="","",INDEX(מלאי!$N$2:$500,$K188))</f>
        <v/>
      </c>
      <c r="G188" s="8">
        <f>IF($K188="","",INDEX(מלאי!$O$2:$500,$K188))</f>
        <v/>
      </c>
      <c r="H188" s="8">
        <f>IF($K188="","",INDEX(מלאי!$U$2:$500,$K188))</f>
        <v/>
      </c>
      <c r="I188" s="8">
        <f>IF($K188="","",INDEX(מלאי!$X$2:$500,$K188))</f>
        <v/>
      </c>
      <c r="J188" s="8">
        <f>IF($K188="","",INDEX(מלאי!$AC$2:$500,$K188))</f>
        <v/>
      </c>
      <c r="K18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טכנולוגיים'!$A$2:$500,0))&lt;=$G$6),0))),ROW(מלאי!$A$2:$A$500)-ROW(מלאי!$A$2)+1,""),166),"")</f>
        <v/>
      </c>
      <c r="L188" s="8">
        <f>IF($K188="","",IFERROR(INDEX('ערכים טכנולוגיים'!$K$2:$500,MATCH(A188,'ערכים טכנולוגיים'!$A$2:$500,0)),""))</f>
        <v/>
      </c>
      <c r="M188" s="8">
        <f>IF($K188="","",IFERROR(INDEX('ערכים טכנולוגיים'!$F$2:$500,MATCH(A188,'ערכים טכנולוגיים'!$A$2:$500,0)),""))</f>
        <v/>
      </c>
      <c r="N188" s="8">
        <f>IF($K188="","",IFERROR(INDEX('ערכים טכנולוגיים'!$I$2:$500,MATCH(A188,'ערכים טכנולוגיים'!$A$2:$500,0)),""))</f>
        <v/>
      </c>
      <c r="O188" s="8">
        <f>IF($K188="","",IFERROR(INDEX('ערכים טכנולוגיים'!$G$2:$500,MATCH(A188,'ערכים טכנולוגיים'!$A$2:$500,0)),""))</f>
        <v/>
      </c>
      <c r="P188" s="8">
        <f>IF($K188="","",IFERROR(INDEX('ערכים טכנולוגיים'!$J$2:$500,MATCH(A188,'ערכים טכנולוגיים'!$A$2:$500,0)),""))</f>
        <v/>
      </c>
      <c r="Q188" s="8">
        <f>IF($K188="","",IFERROR(INDEX('ערכים טכנולוגיים'!$N$2:$500,MATCH(A188,'ערכים טכנולוגיים'!$A$2:$500,0)),""))</f>
        <v/>
      </c>
    </row>
    <row r="189">
      <c r="A189" s="2">
        <f>IF($K189="","",INDEX(מלאי!$D$2:$500,$K189))</f>
        <v/>
      </c>
      <c r="B189" s="2">
        <f>IF($K189="","",INDEX(מלאי!$B$2:$500,$K189))</f>
        <v/>
      </c>
      <c r="C189" s="2">
        <f>IF($K189="","",INDEX(מלאי!$C$2:$500,$K189))</f>
        <v/>
      </c>
      <c r="D189" s="2">
        <f>IF($K189="","",INDEX(מלאי!$G$2:$500,$K189))</f>
        <v/>
      </c>
      <c r="E189" s="2">
        <f>IF($K189="","",INDEX(מלאי!$M$2:$500,$K189))</f>
        <v/>
      </c>
      <c r="F189" s="2">
        <f>IF($K189="","",INDEX(מלאי!$N$2:$500,$K189))</f>
        <v/>
      </c>
      <c r="G189" s="2">
        <f>IF($K189="","",INDEX(מלאי!$O$2:$500,$K189))</f>
        <v/>
      </c>
      <c r="H189" s="2">
        <f>IF($K189="","",INDEX(מלאי!$U$2:$500,$K189))</f>
        <v/>
      </c>
      <c r="I189" s="2">
        <f>IF($K189="","",INDEX(מלאי!$X$2:$500,$K189))</f>
        <v/>
      </c>
      <c r="J189" s="2">
        <f>IF($K189="","",INDEX(מלאי!$AC$2:$500,$K189))</f>
        <v/>
      </c>
      <c r="K18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טכנולוגיים'!$A$2:$500,0))&lt;=$G$6),0))),ROW(מלאי!$A$2:$A$500)-ROW(מלאי!$A$2)+1,""),167),"")</f>
        <v/>
      </c>
      <c r="L189" s="2">
        <f>IF($K189="","",IFERROR(INDEX('ערכים טכנולוגיים'!$K$2:$500,MATCH(A189,'ערכים טכנולוגיים'!$A$2:$500,0)),""))</f>
        <v/>
      </c>
      <c r="M189" s="2">
        <f>IF($K189="","",IFERROR(INDEX('ערכים טכנולוגיים'!$F$2:$500,MATCH(A189,'ערכים טכנולוגיים'!$A$2:$500,0)),""))</f>
        <v/>
      </c>
      <c r="N189" s="2">
        <f>IF($K189="","",IFERROR(INDEX('ערכים טכנולוגיים'!$I$2:$500,MATCH(A189,'ערכים טכנולוגיים'!$A$2:$500,0)),""))</f>
        <v/>
      </c>
      <c r="O189" s="2">
        <f>IF($K189="","",IFERROR(INDEX('ערכים טכנולוגיים'!$G$2:$500,MATCH(A189,'ערכים טכנולוגיים'!$A$2:$500,0)),""))</f>
        <v/>
      </c>
      <c r="P189" s="2">
        <f>IF($K189="","",IFERROR(INDEX('ערכים טכנולוגיים'!$J$2:$500,MATCH(A189,'ערכים טכנולוגיים'!$A$2:$500,0)),""))</f>
        <v/>
      </c>
      <c r="Q189" s="2">
        <f>IF($K189="","",IFERROR(INDEX('ערכים טכנולוגיים'!$N$2:$500,MATCH(A189,'ערכים טכנולוגיים'!$A$2:$500,0)),""))</f>
        <v/>
      </c>
    </row>
    <row r="190">
      <c r="A190" s="8">
        <f>IF($K190="","",INDEX(מלאי!$D$2:$500,$K190))</f>
        <v/>
      </c>
      <c r="B190" s="8">
        <f>IF($K190="","",INDEX(מלאי!$B$2:$500,$K190))</f>
        <v/>
      </c>
      <c r="C190" s="8">
        <f>IF($K190="","",INDEX(מלאי!$C$2:$500,$K190))</f>
        <v/>
      </c>
      <c r="D190" s="8">
        <f>IF($K190="","",INDEX(מלאי!$G$2:$500,$K190))</f>
        <v/>
      </c>
      <c r="E190" s="8">
        <f>IF($K190="","",INDEX(מלאי!$M$2:$500,$K190))</f>
        <v/>
      </c>
      <c r="F190" s="8">
        <f>IF($K190="","",INDEX(מלאי!$N$2:$500,$K190))</f>
        <v/>
      </c>
      <c r="G190" s="8">
        <f>IF($K190="","",INDEX(מלאי!$O$2:$500,$K190))</f>
        <v/>
      </c>
      <c r="H190" s="8">
        <f>IF($K190="","",INDEX(מלאי!$U$2:$500,$K190))</f>
        <v/>
      </c>
      <c r="I190" s="8">
        <f>IF($K190="","",INDEX(מלאי!$X$2:$500,$K190))</f>
        <v/>
      </c>
      <c r="J190" s="8">
        <f>IF($K190="","",INDEX(מלאי!$AC$2:$500,$K190))</f>
        <v/>
      </c>
      <c r="K19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טכנולוגיים'!$A$2:$500,0))&lt;=$G$6),0))),ROW(מלאי!$A$2:$A$500)-ROW(מלאי!$A$2)+1,""),168),"")</f>
        <v/>
      </c>
      <c r="L190" s="8">
        <f>IF($K190="","",IFERROR(INDEX('ערכים טכנולוגיים'!$K$2:$500,MATCH(A190,'ערכים טכנולוגיים'!$A$2:$500,0)),""))</f>
        <v/>
      </c>
      <c r="M190" s="8">
        <f>IF($K190="","",IFERROR(INDEX('ערכים טכנולוגיים'!$F$2:$500,MATCH(A190,'ערכים טכנולוגיים'!$A$2:$500,0)),""))</f>
        <v/>
      </c>
      <c r="N190" s="8">
        <f>IF($K190="","",IFERROR(INDEX('ערכים טכנולוגיים'!$I$2:$500,MATCH(A190,'ערכים טכנולוגיים'!$A$2:$500,0)),""))</f>
        <v/>
      </c>
      <c r="O190" s="8">
        <f>IF($K190="","",IFERROR(INDEX('ערכים טכנולוגיים'!$G$2:$500,MATCH(A190,'ערכים טכנולוגיים'!$A$2:$500,0)),""))</f>
        <v/>
      </c>
      <c r="P190" s="8">
        <f>IF($K190="","",IFERROR(INDEX('ערכים טכנולוגיים'!$J$2:$500,MATCH(A190,'ערכים טכנולוגיים'!$A$2:$500,0)),""))</f>
        <v/>
      </c>
      <c r="Q190" s="8">
        <f>IF($K190="","",IFERROR(INDEX('ערכים טכנולוגיים'!$N$2:$500,MATCH(A190,'ערכים טכנולוגיים'!$A$2:$500,0)),""))</f>
        <v/>
      </c>
    </row>
    <row r="191">
      <c r="A191" s="2">
        <f>IF($K191="","",INDEX(מלאי!$D$2:$500,$K191))</f>
        <v/>
      </c>
      <c r="B191" s="2">
        <f>IF($K191="","",INDEX(מלאי!$B$2:$500,$K191))</f>
        <v/>
      </c>
      <c r="C191" s="2">
        <f>IF($K191="","",INDEX(מלאי!$C$2:$500,$K191))</f>
        <v/>
      </c>
      <c r="D191" s="2">
        <f>IF($K191="","",INDEX(מלאי!$G$2:$500,$K191))</f>
        <v/>
      </c>
      <c r="E191" s="2">
        <f>IF($K191="","",INDEX(מלאי!$M$2:$500,$K191))</f>
        <v/>
      </c>
      <c r="F191" s="2">
        <f>IF($K191="","",INDEX(מלאי!$N$2:$500,$K191))</f>
        <v/>
      </c>
      <c r="G191" s="2">
        <f>IF($K191="","",INDEX(מלאי!$O$2:$500,$K191))</f>
        <v/>
      </c>
      <c r="H191" s="2">
        <f>IF($K191="","",INDEX(מלאי!$U$2:$500,$K191))</f>
        <v/>
      </c>
      <c r="I191" s="2">
        <f>IF($K191="","",INDEX(מלאי!$X$2:$500,$K191))</f>
        <v/>
      </c>
      <c r="J191" s="2">
        <f>IF($K191="","",INDEX(מלאי!$AC$2:$500,$K191))</f>
        <v/>
      </c>
      <c r="K19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טכנולוגיים'!$A$2:$500,0))&lt;=$G$6),0))),ROW(מלאי!$A$2:$A$500)-ROW(מלאי!$A$2)+1,""),169),"")</f>
        <v/>
      </c>
      <c r="L191" s="2">
        <f>IF($K191="","",IFERROR(INDEX('ערכים טכנולוגיים'!$K$2:$500,MATCH(A191,'ערכים טכנולוגיים'!$A$2:$500,0)),""))</f>
        <v/>
      </c>
      <c r="M191" s="2">
        <f>IF($K191="","",IFERROR(INDEX('ערכים טכנולוגיים'!$F$2:$500,MATCH(A191,'ערכים טכנולוגיים'!$A$2:$500,0)),""))</f>
        <v/>
      </c>
      <c r="N191" s="2">
        <f>IF($K191="","",IFERROR(INDEX('ערכים טכנולוגיים'!$I$2:$500,MATCH(A191,'ערכים טכנולוגיים'!$A$2:$500,0)),""))</f>
        <v/>
      </c>
      <c r="O191" s="2">
        <f>IF($K191="","",IFERROR(INDEX('ערכים טכנולוגיים'!$G$2:$500,MATCH(A191,'ערכים טכנולוגיים'!$A$2:$500,0)),""))</f>
        <v/>
      </c>
      <c r="P191" s="2">
        <f>IF($K191="","",IFERROR(INDEX('ערכים טכנולוגיים'!$J$2:$500,MATCH(A191,'ערכים טכנולוגיים'!$A$2:$500,0)),""))</f>
        <v/>
      </c>
      <c r="Q191" s="2">
        <f>IF($K191="","",IFERROR(INDEX('ערכים טכנולוגיים'!$N$2:$500,MATCH(A191,'ערכים טכנולוגיים'!$A$2:$500,0)),""))</f>
        <v/>
      </c>
    </row>
    <row r="192">
      <c r="A192" s="8">
        <f>IF($K192="","",INDEX(מלאי!$D$2:$500,$K192))</f>
        <v/>
      </c>
      <c r="B192" s="8">
        <f>IF($K192="","",INDEX(מלאי!$B$2:$500,$K192))</f>
        <v/>
      </c>
      <c r="C192" s="8">
        <f>IF($K192="","",INDEX(מלאי!$C$2:$500,$K192))</f>
        <v/>
      </c>
      <c r="D192" s="8">
        <f>IF($K192="","",INDEX(מלאי!$G$2:$500,$K192))</f>
        <v/>
      </c>
      <c r="E192" s="8">
        <f>IF($K192="","",INDEX(מלאי!$M$2:$500,$K192))</f>
        <v/>
      </c>
      <c r="F192" s="8">
        <f>IF($K192="","",INDEX(מלאי!$N$2:$500,$K192))</f>
        <v/>
      </c>
      <c r="G192" s="8">
        <f>IF($K192="","",INDEX(מלאי!$O$2:$500,$K192))</f>
        <v/>
      </c>
      <c r="H192" s="8">
        <f>IF($K192="","",INDEX(מלאי!$U$2:$500,$K192))</f>
        <v/>
      </c>
      <c r="I192" s="8">
        <f>IF($K192="","",INDEX(מלאי!$X$2:$500,$K192))</f>
        <v/>
      </c>
      <c r="J192" s="8">
        <f>IF($K192="","",INDEX(מלאי!$AC$2:$500,$K192))</f>
        <v/>
      </c>
      <c r="K19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טכנולוגיים'!$A$2:$500,0))&lt;=$G$6),0))),ROW(מלאי!$A$2:$A$500)-ROW(מלאי!$A$2)+1,""),170),"")</f>
        <v/>
      </c>
      <c r="L192" s="8">
        <f>IF($K192="","",IFERROR(INDEX('ערכים טכנולוגיים'!$K$2:$500,MATCH(A192,'ערכים טכנולוגיים'!$A$2:$500,0)),""))</f>
        <v/>
      </c>
      <c r="M192" s="8">
        <f>IF($K192="","",IFERROR(INDEX('ערכים טכנולוגיים'!$F$2:$500,MATCH(A192,'ערכים טכנולוגיים'!$A$2:$500,0)),""))</f>
        <v/>
      </c>
      <c r="N192" s="8">
        <f>IF($K192="","",IFERROR(INDEX('ערכים טכנולוגיים'!$I$2:$500,MATCH(A192,'ערכים טכנולוגיים'!$A$2:$500,0)),""))</f>
        <v/>
      </c>
      <c r="O192" s="8">
        <f>IF($K192="","",IFERROR(INDEX('ערכים טכנולוגיים'!$G$2:$500,MATCH(A192,'ערכים טכנולוגיים'!$A$2:$500,0)),""))</f>
        <v/>
      </c>
      <c r="P192" s="8">
        <f>IF($K192="","",IFERROR(INDEX('ערכים טכנולוגיים'!$J$2:$500,MATCH(A192,'ערכים טכנולוגיים'!$A$2:$500,0)),""))</f>
        <v/>
      </c>
      <c r="Q192" s="8">
        <f>IF($K192="","",IFERROR(INDEX('ערכים טכנולוגיים'!$N$2:$500,MATCH(A192,'ערכים טכנולוגיים'!$A$2:$500,0)),""))</f>
        <v/>
      </c>
    </row>
    <row r="193">
      <c r="A193" s="2">
        <f>IF($K193="","",INDEX(מלאי!$D$2:$500,$K193))</f>
        <v/>
      </c>
      <c r="B193" s="2">
        <f>IF($K193="","",INDEX(מלאי!$B$2:$500,$K193))</f>
        <v/>
      </c>
      <c r="C193" s="2">
        <f>IF($K193="","",INDEX(מלאי!$C$2:$500,$K193))</f>
        <v/>
      </c>
      <c r="D193" s="2">
        <f>IF($K193="","",INDEX(מלאי!$G$2:$500,$K193))</f>
        <v/>
      </c>
      <c r="E193" s="2">
        <f>IF($K193="","",INDEX(מלאי!$M$2:$500,$K193))</f>
        <v/>
      </c>
      <c r="F193" s="2">
        <f>IF($K193="","",INDEX(מלאי!$N$2:$500,$K193))</f>
        <v/>
      </c>
      <c r="G193" s="2">
        <f>IF($K193="","",INDEX(מלאי!$O$2:$500,$K193))</f>
        <v/>
      </c>
      <c r="H193" s="2">
        <f>IF($K193="","",INDEX(מלאי!$U$2:$500,$K193))</f>
        <v/>
      </c>
      <c r="I193" s="2">
        <f>IF($K193="","",INDEX(מלאי!$X$2:$500,$K193))</f>
        <v/>
      </c>
      <c r="J193" s="2">
        <f>IF($K193="","",INDEX(מלאי!$AC$2:$500,$K193))</f>
        <v/>
      </c>
      <c r="K19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טכנולוגיים'!$A$2:$500,0))&lt;=$G$6),0))),ROW(מלאי!$A$2:$A$500)-ROW(מלאי!$A$2)+1,""),171),"")</f>
        <v/>
      </c>
      <c r="L193" s="2">
        <f>IF($K193="","",IFERROR(INDEX('ערכים טכנולוגיים'!$K$2:$500,MATCH(A193,'ערכים טכנולוגיים'!$A$2:$500,0)),""))</f>
        <v/>
      </c>
      <c r="M193" s="2">
        <f>IF($K193="","",IFERROR(INDEX('ערכים טכנולוגיים'!$F$2:$500,MATCH(A193,'ערכים טכנולוגיים'!$A$2:$500,0)),""))</f>
        <v/>
      </c>
      <c r="N193" s="2">
        <f>IF($K193="","",IFERROR(INDEX('ערכים טכנולוגיים'!$I$2:$500,MATCH(A193,'ערכים טכנולוגיים'!$A$2:$500,0)),""))</f>
        <v/>
      </c>
      <c r="O193" s="2">
        <f>IF($K193="","",IFERROR(INDEX('ערכים טכנולוגיים'!$G$2:$500,MATCH(A193,'ערכים טכנולוגיים'!$A$2:$500,0)),""))</f>
        <v/>
      </c>
      <c r="P193" s="2">
        <f>IF($K193="","",IFERROR(INDEX('ערכים טכנולוגיים'!$J$2:$500,MATCH(A193,'ערכים טכנולוגיים'!$A$2:$500,0)),""))</f>
        <v/>
      </c>
      <c r="Q193" s="2">
        <f>IF($K193="","",IFERROR(INDEX('ערכים טכנולוגיים'!$N$2:$500,MATCH(A193,'ערכים טכנולוגיים'!$A$2:$500,0)),""))</f>
        <v/>
      </c>
    </row>
    <row r="194">
      <c r="A194" s="8">
        <f>IF($K194="","",INDEX(מלאי!$D$2:$500,$K194))</f>
        <v/>
      </c>
      <c r="B194" s="8">
        <f>IF($K194="","",INDEX(מלאי!$B$2:$500,$K194))</f>
        <v/>
      </c>
      <c r="C194" s="8">
        <f>IF($K194="","",INDEX(מלאי!$C$2:$500,$K194))</f>
        <v/>
      </c>
      <c r="D194" s="8">
        <f>IF($K194="","",INDEX(מלאי!$G$2:$500,$K194))</f>
        <v/>
      </c>
      <c r="E194" s="8">
        <f>IF($K194="","",INDEX(מלאי!$M$2:$500,$K194))</f>
        <v/>
      </c>
      <c r="F194" s="8">
        <f>IF($K194="","",INDEX(מלאי!$N$2:$500,$K194))</f>
        <v/>
      </c>
      <c r="G194" s="8">
        <f>IF($K194="","",INDEX(מלאי!$O$2:$500,$K194))</f>
        <v/>
      </c>
      <c r="H194" s="8">
        <f>IF($K194="","",INDEX(מלאי!$U$2:$500,$K194))</f>
        <v/>
      </c>
      <c r="I194" s="8">
        <f>IF($K194="","",INDEX(מלאי!$X$2:$500,$K194))</f>
        <v/>
      </c>
      <c r="J194" s="8">
        <f>IF($K194="","",INDEX(מלאי!$AC$2:$500,$K194))</f>
        <v/>
      </c>
      <c r="K19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טכנולוגיים'!$A$2:$500,0))&lt;=$G$6),0))),ROW(מלאי!$A$2:$A$500)-ROW(מלאי!$A$2)+1,""),172),"")</f>
        <v/>
      </c>
      <c r="L194" s="8">
        <f>IF($K194="","",IFERROR(INDEX('ערכים טכנולוגיים'!$K$2:$500,MATCH(A194,'ערכים טכנולוגיים'!$A$2:$500,0)),""))</f>
        <v/>
      </c>
      <c r="M194" s="8">
        <f>IF($K194="","",IFERROR(INDEX('ערכים טכנולוגיים'!$F$2:$500,MATCH(A194,'ערכים טכנולוגיים'!$A$2:$500,0)),""))</f>
        <v/>
      </c>
      <c r="N194" s="8">
        <f>IF($K194="","",IFERROR(INDEX('ערכים טכנולוגיים'!$I$2:$500,MATCH(A194,'ערכים טכנולוגיים'!$A$2:$500,0)),""))</f>
        <v/>
      </c>
      <c r="O194" s="8">
        <f>IF($K194="","",IFERROR(INDEX('ערכים טכנולוגיים'!$G$2:$500,MATCH(A194,'ערכים טכנולוגיים'!$A$2:$500,0)),""))</f>
        <v/>
      </c>
      <c r="P194" s="8">
        <f>IF($K194="","",IFERROR(INDEX('ערכים טכנולוגיים'!$J$2:$500,MATCH(A194,'ערכים טכנולוגיים'!$A$2:$500,0)),""))</f>
        <v/>
      </c>
      <c r="Q194" s="8">
        <f>IF($K194="","",IFERROR(INDEX('ערכים טכנולוגיים'!$N$2:$500,MATCH(A194,'ערכים טכנולוגיים'!$A$2:$500,0)),""))</f>
        <v/>
      </c>
    </row>
    <row r="195">
      <c r="A195" s="2">
        <f>IF($K195="","",INDEX(מלאי!$D$2:$500,$K195))</f>
        <v/>
      </c>
      <c r="B195" s="2">
        <f>IF($K195="","",INDEX(מלאי!$B$2:$500,$K195))</f>
        <v/>
      </c>
      <c r="C195" s="2">
        <f>IF($K195="","",INDEX(מלאי!$C$2:$500,$K195))</f>
        <v/>
      </c>
      <c r="D195" s="2">
        <f>IF($K195="","",INDEX(מלאי!$G$2:$500,$K195))</f>
        <v/>
      </c>
      <c r="E195" s="2">
        <f>IF($K195="","",INDEX(מלאי!$M$2:$500,$K195))</f>
        <v/>
      </c>
      <c r="F195" s="2">
        <f>IF($K195="","",INDEX(מלאי!$N$2:$500,$K195))</f>
        <v/>
      </c>
      <c r="G195" s="2">
        <f>IF($K195="","",INDEX(מלאי!$O$2:$500,$K195))</f>
        <v/>
      </c>
      <c r="H195" s="2">
        <f>IF($K195="","",INDEX(מלאי!$U$2:$500,$K195))</f>
        <v/>
      </c>
      <c r="I195" s="2">
        <f>IF($K195="","",INDEX(מלאי!$X$2:$500,$K195))</f>
        <v/>
      </c>
      <c r="J195" s="2">
        <f>IF($K195="","",INDEX(מלאי!$AC$2:$500,$K195))</f>
        <v/>
      </c>
      <c r="K19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טכנולוגיים'!$A$2:$500,0))&lt;=$G$6),0))),ROW(מלאי!$A$2:$A$500)-ROW(מלאי!$A$2)+1,""),173),"")</f>
        <v/>
      </c>
      <c r="L195" s="2">
        <f>IF($K195="","",IFERROR(INDEX('ערכים טכנולוגיים'!$K$2:$500,MATCH(A195,'ערכים טכנולוגיים'!$A$2:$500,0)),""))</f>
        <v/>
      </c>
      <c r="M195" s="2">
        <f>IF($K195="","",IFERROR(INDEX('ערכים טכנולוגיים'!$F$2:$500,MATCH(A195,'ערכים טכנולוגיים'!$A$2:$500,0)),""))</f>
        <v/>
      </c>
      <c r="N195" s="2">
        <f>IF($K195="","",IFERROR(INDEX('ערכים טכנולוגיים'!$I$2:$500,MATCH(A195,'ערכים טכנולוגיים'!$A$2:$500,0)),""))</f>
        <v/>
      </c>
      <c r="O195" s="2">
        <f>IF($K195="","",IFERROR(INDEX('ערכים טכנולוגיים'!$G$2:$500,MATCH(A195,'ערכים טכנולוגיים'!$A$2:$500,0)),""))</f>
        <v/>
      </c>
      <c r="P195" s="2">
        <f>IF($K195="","",IFERROR(INDEX('ערכים טכנולוגיים'!$J$2:$500,MATCH(A195,'ערכים טכנולוגיים'!$A$2:$500,0)),""))</f>
        <v/>
      </c>
      <c r="Q195" s="2">
        <f>IF($K195="","",IFERROR(INDEX('ערכים טכנולוגיים'!$N$2:$500,MATCH(A195,'ערכים טכנולוגיים'!$A$2:$500,0)),""))</f>
        <v/>
      </c>
    </row>
    <row r="196">
      <c r="A196" s="8">
        <f>IF($K196="","",INDEX(מלאי!$D$2:$500,$K196))</f>
        <v/>
      </c>
      <c r="B196" s="8">
        <f>IF($K196="","",INDEX(מלאי!$B$2:$500,$K196))</f>
        <v/>
      </c>
      <c r="C196" s="8">
        <f>IF($K196="","",INDEX(מלאי!$C$2:$500,$K196))</f>
        <v/>
      </c>
      <c r="D196" s="8">
        <f>IF($K196="","",INDEX(מלאי!$G$2:$500,$K196))</f>
        <v/>
      </c>
      <c r="E196" s="8">
        <f>IF($K196="","",INDEX(מלאי!$M$2:$500,$K196))</f>
        <v/>
      </c>
      <c r="F196" s="8">
        <f>IF($K196="","",INDEX(מלאי!$N$2:$500,$K196))</f>
        <v/>
      </c>
      <c r="G196" s="8">
        <f>IF($K196="","",INDEX(מלאי!$O$2:$500,$K196))</f>
        <v/>
      </c>
      <c r="H196" s="8">
        <f>IF($K196="","",INDEX(מלאי!$U$2:$500,$K196))</f>
        <v/>
      </c>
      <c r="I196" s="8">
        <f>IF($K196="","",INDEX(מלאי!$X$2:$500,$K196))</f>
        <v/>
      </c>
      <c r="J196" s="8">
        <f>IF($K196="","",INDEX(מלאי!$AC$2:$500,$K196))</f>
        <v/>
      </c>
      <c r="K19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טכנולוגיים'!$A$2:$500,0))&lt;=$G$6),0))),ROW(מלאי!$A$2:$A$500)-ROW(מלאי!$A$2)+1,""),174),"")</f>
        <v/>
      </c>
      <c r="L196" s="8">
        <f>IF($K196="","",IFERROR(INDEX('ערכים טכנולוגיים'!$K$2:$500,MATCH(A196,'ערכים טכנולוגיים'!$A$2:$500,0)),""))</f>
        <v/>
      </c>
      <c r="M196" s="8">
        <f>IF($K196="","",IFERROR(INDEX('ערכים טכנולוגיים'!$F$2:$500,MATCH(A196,'ערכים טכנולוגיים'!$A$2:$500,0)),""))</f>
        <v/>
      </c>
      <c r="N196" s="8">
        <f>IF($K196="","",IFERROR(INDEX('ערכים טכנולוגיים'!$I$2:$500,MATCH(A196,'ערכים טכנולוגיים'!$A$2:$500,0)),""))</f>
        <v/>
      </c>
      <c r="O196" s="8">
        <f>IF($K196="","",IFERROR(INDEX('ערכים טכנולוגיים'!$G$2:$500,MATCH(A196,'ערכים טכנולוגיים'!$A$2:$500,0)),""))</f>
        <v/>
      </c>
      <c r="P196" s="8">
        <f>IF($K196="","",IFERROR(INDEX('ערכים טכנולוגיים'!$J$2:$500,MATCH(A196,'ערכים טכנולוגיים'!$A$2:$500,0)),""))</f>
        <v/>
      </c>
      <c r="Q196" s="8">
        <f>IF($K196="","",IFERROR(INDEX('ערכים טכנולוגיים'!$N$2:$500,MATCH(A196,'ערכים טכנולוגיים'!$A$2:$500,0)),""))</f>
        <v/>
      </c>
    </row>
    <row r="197">
      <c r="A197" s="2">
        <f>IF($K197="","",INDEX(מלאי!$D$2:$500,$K197))</f>
        <v/>
      </c>
      <c r="B197" s="2">
        <f>IF($K197="","",INDEX(מלאי!$B$2:$500,$K197))</f>
        <v/>
      </c>
      <c r="C197" s="2">
        <f>IF($K197="","",INDEX(מלאי!$C$2:$500,$K197))</f>
        <v/>
      </c>
      <c r="D197" s="2">
        <f>IF($K197="","",INDEX(מלאי!$G$2:$500,$K197))</f>
        <v/>
      </c>
      <c r="E197" s="2">
        <f>IF($K197="","",INDEX(מלאי!$M$2:$500,$K197))</f>
        <v/>
      </c>
      <c r="F197" s="2">
        <f>IF($K197="","",INDEX(מלאי!$N$2:$500,$K197))</f>
        <v/>
      </c>
      <c r="G197" s="2">
        <f>IF($K197="","",INDEX(מלאי!$O$2:$500,$K197))</f>
        <v/>
      </c>
      <c r="H197" s="2">
        <f>IF($K197="","",INDEX(מלאי!$U$2:$500,$K197))</f>
        <v/>
      </c>
      <c r="I197" s="2">
        <f>IF($K197="","",INDEX(מלאי!$X$2:$500,$K197))</f>
        <v/>
      </c>
      <c r="J197" s="2">
        <f>IF($K197="","",INDEX(מלאי!$AC$2:$500,$K197))</f>
        <v/>
      </c>
      <c r="K19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טכנולוגיים'!$A$2:$500,0))&lt;=$G$6),0))),ROW(מלאי!$A$2:$A$500)-ROW(מלאי!$A$2)+1,""),175),"")</f>
        <v/>
      </c>
      <c r="L197" s="2">
        <f>IF($K197="","",IFERROR(INDEX('ערכים טכנולוגיים'!$K$2:$500,MATCH(A197,'ערכים טכנולוגיים'!$A$2:$500,0)),""))</f>
        <v/>
      </c>
      <c r="M197" s="2">
        <f>IF($K197="","",IFERROR(INDEX('ערכים טכנולוגיים'!$F$2:$500,MATCH(A197,'ערכים טכנולוגיים'!$A$2:$500,0)),""))</f>
        <v/>
      </c>
      <c r="N197" s="2">
        <f>IF($K197="","",IFERROR(INDEX('ערכים טכנולוגיים'!$I$2:$500,MATCH(A197,'ערכים טכנולוגיים'!$A$2:$500,0)),""))</f>
        <v/>
      </c>
      <c r="O197" s="2">
        <f>IF($K197="","",IFERROR(INDEX('ערכים טכנולוגיים'!$G$2:$500,MATCH(A197,'ערכים טכנולוגיים'!$A$2:$500,0)),""))</f>
        <v/>
      </c>
      <c r="P197" s="2">
        <f>IF($K197="","",IFERROR(INDEX('ערכים טכנולוגיים'!$J$2:$500,MATCH(A197,'ערכים טכנולוגיים'!$A$2:$500,0)),""))</f>
        <v/>
      </c>
      <c r="Q197" s="2">
        <f>IF($K197="","",IFERROR(INDEX('ערכים טכנולוגיים'!$N$2:$500,MATCH(A197,'ערכים טכנולוגיים'!$A$2:$500,0)),""))</f>
        <v/>
      </c>
    </row>
    <row r="198">
      <c r="A198" s="8">
        <f>IF($K198="","",INDEX(מלאי!$D$2:$500,$K198))</f>
        <v/>
      </c>
      <c r="B198" s="8">
        <f>IF($K198="","",INDEX(מלאי!$B$2:$500,$K198))</f>
        <v/>
      </c>
      <c r="C198" s="8">
        <f>IF($K198="","",INDEX(מלאי!$C$2:$500,$K198))</f>
        <v/>
      </c>
      <c r="D198" s="8">
        <f>IF($K198="","",INDEX(מלאי!$G$2:$500,$K198))</f>
        <v/>
      </c>
      <c r="E198" s="8">
        <f>IF($K198="","",INDEX(מלאי!$M$2:$500,$K198))</f>
        <v/>
      </c>
      <c r="F198" s="8">
        <f>IF($K198="","",INDEX(מלאי!$N$2:$500,$K198))</f>
        <v/>
      </c>
      <c r="G198" s="8">
        <f>IF($K198="","",INDEX(מלאי!$O$2:$500,$K198))</f>
        <v/>
      </c>
      <c r="H198" s="8">
        <f>IF($K198="","",INDEX(מלאי!$U$2:$500,$K198))</f>
        <v/>
      </c>
      <c r="I198" s="8">
        <f>IF($K198="","",INDEX(מלאי!$X$2:$500,$K198))</f>
        <v/>
      </c>
      <c r="J198" s="8">
        <f>IF($K198="","",INDEX(מלאי!$AC$2:$500,$K198))</f>
        <v/>
      </c>
      <c r="K19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טכנולוגיים'!$A$2:$500,0))&lt;=$G$6),0))),ROW(מלאי!$A$2:$A$500)-ROW(מלאי!$A$2)+1,""),176),"")</f>
        <v/>
      </c>
      <c r="L198" s="8">
        <f>IF($K198="","",IFERROR(INDEX('ערכים טכנולוגיים'!$K$2:$500,MATCH(A198,'ערכים טכנולוגיים'!$A$2:$500,0)),""))</f>
        <v/>
      </c>
      <c r="M198" s="8">
        <f>IF($K198="","",IFERROR(INDEX('ערכים טכנולוגיים'!$F$2:$500,MATCH(A198,'ערכים טכנולוגיים'!$A$2:$500,0)),""))</f>
        <v/>
      </c>
      <c r="N198" s="8">
        <f>IF($K198="","",IFERROR(INDEX('ערכים טכנולוגיים'!$I$2:$500,MATCH(A198,'ערכים טכנולוגיים'!$A$2:$500,0)),""))</f>
        <v/>
      </c>
      <c r="O198" s="8">
        <f>IF($K198="","",IFERROR(INDEX('ערכים טכנולוגיים'!$G$2:$500,MATCH(A198,'ערכים טכנולוגיים'!$A$2:$500,0)),""))</f>
        <v/>
      </c>
      <c r="P198" s="8">
        <f>IF($K198="","",IFERROR(INDEX('ערכים טכנולוגיים'!$J$2:$500,MATCH(A198,'ערכים טכנולוגיים'!$A$2:$500,0)),""))</f>
        <v/>
      </c>
      <c r="Q198" s="8">
        <f>IF($K198="","",IFERROR(INDEX('ערכים טכנולוגיים'!$N$2:$500,MATCH(A198,'ערכים טכנולוגיים'!$A$2:$500,0)),""))</f>
        <v/>
      </c>
    </row>
    <row r="199">
      <c r="A199" s="2">
        <f>IF($K199="","",INDEX(מלאי!$D$2:$500,$K199))</f>
        <v/>
      </c>
      <c r="B199" s="2">
        <f>IF($K199="","",INDEX(מלאי!$B$2:$500,$K199))</f>
        <v/>
      </c>
      <c r="C199" s="2">
        <f>IF($K199="","",INDEX(מלאי!$C$2:$500,$K199))</f>
        <v/>
      </c>
      <c r="D199" s="2">
        <f>IF($K199="","",INDEX(מלאי!$G$2:$500,$K199))</f>
        <v/>
      </c>
      <c r="E199" s="2">
        <f>IF($K199="","",INDEX(מלאי!$M$2:$500,$K199))</f>
        <v/>
      </c>
      <c r="F199" s="2">
        <f>IF($K199="","",INDEX(מלאי!$N$2:$500,$K199))</f>
        <v/>
      </c>
      <c r="G199" s="2">
        <f>IF($K199="","",INDEX(מלאי!$O$2:$500,$K199))</f>
        <v/>
      </c>
      <c r="H199" s="2">
        <f>IF($K199="","",INDEX(מלאי!$U$2:$500,$K199))</f>
        <v/>
      </c>
      <c r="I199" s="2">
        <f>IF($K199="","",INDEX(מלאי!$X$2:$500,$K199))</f>
        <v/>
      </c>
      <c r="J199" s="2">
        <f>IF($K199="","",INDEX(מלאי!$AC$2:$500,$K199))</f>
        <v/>
      </c>
      <c r="K19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טכנולוגיים'!$A$2:$500,0))&lt;=$G$6),0))),ROW(מלאי!$A$2:$A$500)-ROW(מלאי!$A$2)+1,""),177),"")</f>
        <v/>
      </c>
      <c r="L199" s="2">
        <f>IF($K199="","",IFERROR(INDEX('ערכים טכנולוגיים'!$K$2:$500,MATCH(A199,'ערכים טכנולוגיים'!$A$2:$500,0)),""))</f>
        <v/>
      </c>
      <c r="M199" s="2">
        <f>IF($K199="","",IFERROR(INDEX('ערכים טכנולוגיים'!$F$2:$500,MATCH(A199,'ערכים טכנולוגיים'!$A$2:$500,0)),""))</f>
        <v/>
      </c>
      <c r="N199" s="2">
        <f>IF($K199="","",IFERROR(INDEX('ערכים טכנולוגיים'!$I$2:$500,MATCH(A199,'ערכים טכנולוגיים'!$A$2:$500,0)),""))</f>
        <v/>
      </c>
      <c r="O199" s="2">
        <f>IF($K199="","",IFERROR(INDEX('ערכים טכנולוגיים'!$G$2:$500,MATCH(A199,'ערכים טכנולוגיים'!$A$2:$500,0)),""))</f>
        <v/>
      </c>
      <c r="P199" s="2">
        <f>IF($K199="","",IFERROR(INDEX('ערכים טכנולוגיים'!$J$2:$500,MATCH(A199,'ערכים טכנולוגיים'!$A$2:$500,0)),""))</f>
        <v/>
      </c>
      <c r="Q199" s="2">
        <f>IF($K199="","",IFERROR(INDEX('ערכים טכנולוגיים'!$N$2:$500,MATCH(A199,'ערכים טכנולוגיים'!$A$2:$500,0)),""))</f>
        <v/>
      </c>
    </row>
    <row r="200">
      <c r="A200" s="8">
        <f>IF($K200="","",INDEX(מלאי!$D$2:$500,$K200))</f>
        <v/>
      </c>
      <c r="B200" s="8">
        <f>IF($K200="","",INDEX(מלאי!$B$2:$500,$K200))</f>
        <v/>
      </c>
      <c r="C200" s="8">
        <f>IF($K200="","",INDEX(מלאי!$C$2:$500,$K200))</f>
        <v/>
      </c>
      <c r="D200" s="8">
        <f>IF($K200="","",INDEX(מלאי!$G$2:$500,$K200))</f>
        <v/>
      </c>
      <c r="E200" s="8">
        <f>IF($K200="","",INDEX(מלאי!$M$2:$500,$K200))</f>
        <v/>
      </c>
      <c r="F200" s="8">
        <f>IF($K200="","",INDEX(מלאי!$N$2:$500,$K200))</f>
        <v/>
      </c>
      <c r="G200" s="8">
        <f>IF($K200="","",INDEX(מלאי!$O$2:$500,$K200))</f>
        <v/>
      </c>
      <c r="H200" s="8">
        <f>IF($K200="","",INDEX(מלאי!$U$2:$500,$K200))</f>
        <v/>
      </c>
      <c r="I200" s="8">
        <f>IF($K200="","",INDEX(מלאי!$X$2:$500,$K200))</f>
        <v/>
      </c>
      <c r="J200" s="8">
        <f>IF($K200="","",INDEX(מלאי!$AC$2:$500,$K200))</f>
        <v/>
      </c>
      <c r="K20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טכנולוגיים'!$A$2:$500,0))&lt;=$G$6),0))),ROW(מלאי!$A$2:$A$500)-ROW(מלאי!$A$2)+1,""),178),"")</f>
        <v/>
      </c>
      <c r="L200" s="8">
        <f>IF($K200="","",IFERROR(INDEX('ערכים טכנולוגיים'!$K$2:$500,MATCH(A200,'ערכים טכנולוגיים'!$A$2:$500,0)),""))</f>
        <v/>
      </c>
      <c r="M200" s="8">
        <f>IF($K200="","",IFERROR(INDEX('ערכים טכנולוגיים'!$F$2:$500,MATCH(A200,'ערכים טכנולוגיים'!$A$2:$500,0)),""))</f>
        <v/>
      </c>
      <c r="N200" s="8">
        <f>IF($K200="","",IFERROR(INDEX('ערכים טכנולוגיים'!$I$2:$500,MATCH(A200,'ערכים טכנולוגיים'!$A$2:$500,0)),""))</f>
        <v/>
      </c>
      <c r="O200" s="8">
        <f>IF($K200="","",IFERROR(INDEX('ערכים טכנולוגיים'!$G$2:$500,MATCH(A200,'ערכים טכנולוגיים'!$A$2:$500,0)),""))</f>
        <v/>
      </c>
      <c r="P200" s="8">
        <f>IF($K200="","",IFERROR(INDEX('ערכים טכנולוגיים'!$J$2:$500,MATCH(A200,'ערכים טכנולוגיים'!$A$2:$500,0)),""))</f>
        <v/>
      </c>
      <c r="Q200" s="8">
        <f>IF($K200="","",IFERROR(INDEX('ערכים טכנולוגיים'!$N$2:$500,MATCH(A200,'ערכים טכנולוגיים'!$A$2:$500,0)),""))</f>
        <v/>
      </c>
    </row>
    <row r="201">
      <c r="A201" s="2">
        <f>IF($K201="","",INDEX(מלאי!$D$2:$500,$K201))</f>
        <v/>
      </c>
      <c r="B201" s="2">
        <f>IF($K201="","",INDEX(מלאי!$B$2:$500,$K201))</f>
        <v/>
      </c>
      <c r="C201" s="2">
        <f>IF($K201="","",INDEX(מלאי!$C$2:$500,$K201))</f>
        <v/>
      </c>
      <c r="D201" s="2">
        <f>IF($K201="","",INDEX(מלאי!$G$2:$500,$K201))</f>
        <v/>
      </c>
      <c r="E201" s="2">
        <f>IF($K201="","",INDEX(מלאי!$M$2:$500,$K201))</f>
        <v/>
      </c>
      <c r="F201" s="2">
        <f>IF($K201="","",INDEX(מלאי!$N$2:$500,$K201))</f>
        <v/>
      </c>
      <c r="G201" s="2">
        <f>IF($K201="","",INDEX(מלאי!$O$2:$500,$K201))</f>
        <v/>
      </c>
      <c r="H201" s="2">
        <f>IF($K201="","",INDEX(מלאי!$U$2:$500,$K201))</f>
        <v/>
      </c>
      <c r="I201" s="2">
        <f>IF($K201="","",INDEX(מלאי!$X$2:$500,$K201))</f>
        <v/>
      </c>
      <c r="J201" s="2">
        <f>IF($K201="","",INDEX(מלאי!$AC$2:$500,$K201))</f>
        <v/>
      </c>
      <c r="K20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טכנולוגיים'!$A$2:$500,0))&lt;=$G$6),0))),ROW(מלאי!$A$2:$A$500)-ROW(מלאי!$A$2)+1,""),179),"")</f>
        <v/>
      </c>
      <c r="L201" s="2">
        <f>IF($K201="","",IFERROR(INDEX('ערכים טכנולוגיים'!$K$2:$500,MATCH(A201,'ערכים טכנולוגיים'!$A$2:$500,0)),""))</f>
        <v/>
      </c>
      <c r="M201" s="2">
        <f>IF($K201="","",IFERROR(INDEX('ערכים טכנולוגיים'!$F$2:$500,MATCH(A201,'ערכים טכנולוגיים'!$A$2:$500,0)),""))</f>
        <v/>
      </c>
      <c r="N201" s="2">
        <f>IF($K201="","",IFERROR(INDEX('ערכים טכנולוגיים'!$I$2:$500,MATCH(A201,'ערכים טכנולוגיים'!$A$2:$500,0)),""))</f>
        <v/>
      </c>
      <c r="O201" s="2">
        <f>IF($K201="","",IFERROR(INDEX('ערכים טכנולוגיים'!$G$2:$500,MATCH(A201,'ערכים טכנולוגיים'!$A$2:$500,0)),""))</f>
        <v/>
      </c>
      <c r="P201" s="2">
        <f>IF($K201="","",IFERROR(INDEX('ערכים טכנולוגיים'!$J$2:$500,MATCH(A201,'ערכים טכנולוגיים'!$A$2:$500,0)),""))</f>
        <v/>
      </c>
      <c r="Q201" s="2">
        <f>IF($K201="","",IFERROR(INDEX('ערכים טכנולוגיים'!$N$2:$500,MATCH(A201,'ערכים טכנולוגיים'!$A$2:$500,0)),""))</f>
        <v/>
      </c>
    </row>
    <row r="202">
      <c r="A202" s="8">
        <f>IF($K202="","",INDEX(מלאי!$D$2:$500,$K202))</f>
        <v/>
      </c>
      <c r="B202" s="8">
        <f>IF($K202="","",INDEX(מלאי!$B$2:$500,$K202))</f>
        <v/>
      </c>
      <c r="C202" s="8">
        <f>IF($K202="","",INDEX(מלאי!$C$2:$500,$K202))</f>
        <v/>
      </c>
      <c r="D202" s="8">
        <f>IF($K202="","",INDEX(מלאי!$G$2:$500,$K202))</f>
        <v/>
      </c>
      <c r="E202" s="8">
        <f>IF($K202="","",INDEX(מלאי!$M$2:$500,$K202))</f>
        <v/>
      </c>
      <c r="F202" s="8">
        <f>IF($K202="","",INDEX(מלאי!$N$2:$500,$K202))</f>
        <v/>
      </c>
      <c r="G202" s="8">
        <f>IF($K202="","",INDEX(מלאי!$O$2:$500,$K202))</f>
        <v/>
      </c>
      <c r="H202" s="8">
        <f>IF($K202="","",INDEX(מלאי!$U$2:$500,$K202))</f>
        <v/>
      </c>
      <c r="I202" s="8">
        <f>IF($K202="","",INDEX(מלאי!$X$2:$500,$K202))</f>
        <v/>
      </c>
      <c r="J202" s="8">
        <f>IF($K202="","",INDEX(מלאי!$AC$2:$500,$K202))</f>
        <v/>
      </c>
      <c r="K20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טכנולוגיים'!$A$2:$500,0))&lt;=$G$6),0))),ROW(מלאי!$A$2:$A$500)-ROW(מלאי!$A$2)+1,""),180),"")</f>
        <v/>
      </c>
      <c r="L202" s="8">
        <f>IF($K202="","",IFERROR(INDEX('ערכים טכנולוגיים'!$K$2:$500,MATCH(A202,'ערכים טכנולוגיים'!$A$2:$500,0)),""))</f>
        <v/>
      </c>
      <c r="M202" s="8">
        <f>IF($K202="","",IFERROR(INDEX('ערכים טכנולוגיים'!$F$2:$500,MATCH(A202,'ערכים טכנולוגיים'!$A$2:$500,0)),""))</f>
        <v/>
      </c>
      <c r="N202" s="8">
        <f>IF($K202="","",IFERROR(INDEX('ערכים טכנולוגיים'!$I$2:$500,MATCH(A202,'ערכים טכנולוגיים'!$A$2:$500,0)),""))</f>
        <v/>
      </c>
      <c r="O202" s="8">
        <f>IF($K202="","",IFERROR(INDEX('ערכים טכנולוגיים'!$G$2:$500,MATCH(A202,'ערכים טכנולוגיים'!$A$2:$500,0)),""))</f>
        <v/>
      </c>
      <c r="P202" s="8">
        <f>IF($K202="","",IFERROR(INDEX('ערכים טכנולוגיים'!$J$2:$500,MATCH(A202,'ערכים טכנולוגיים'!$A$2:$500,0)),""))</f>
        <v/>
      </c>
      <c r="Q202" s="8">
        <f>IF($K202="","",IFERROR(INDEX('ערכים טכנולוגיים'!$N$2:$500,MATCH(A202,'ערכים טכנולוגיים'!$A$2:$500,0)),""))</f>
        <v/>
      </c>
    </row>
    <row r="203">
      <c r="A203" s="2">
        <f>IF($K203="","",INDEX(מלאי!$D$2:$500,$K203))</f>
        <v/>
      </c>
      <c r="B203" s="2">
        <f>IF($K203="","",INDEX(מלאי!$B$2:$500,$K203))</f>
        <v/>
      </c>
      <c r="C203" s="2">
        <f>IF($K203="","",INDEX(מלאי!$C$2:$500,$K203))</f>
        <v/>
      </c>
      <c r="D203" s="2">
        <f>IF($K203="","",INDEX(מלאי!$G$2:$500,$K203))</f>
        <v/>
      </c>
      <c r="E203" s="2">
        <f>IF($K203="","",INDEX(מלאי!$M$2:$500,$K203))</f>
        <v/>
      </c>
      <c r="F203" s="2">
        <f>IF($K203="","",INDEX(מלאי!$N$2:$500,$K203))</f>
        <v/>
      </c>
      <c r="G203" s="2">
        <f>IF($K203="","",INDEX(מלאי!$O$2:$500,$K203))</f>
        <v/>
      </c>
      <c r="H203" s="2">
        <f>IF($K203="","",INDEX(מלאי!$U$2:$500,$K203))</f>
        <v/>
      </c>
      <c r="I203" s="2">
        <f>IF($K203="","",INDEX(מלאי!$X$2:$500,$K203))</f>
        <v/>
      </c>
      <c r="J203" s="2">
        <f>IF($K203="","",INDEX(מלאי!$AC$2:$500,$K203))</f>
        <v/>
      </c>
      <c r="K20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טכנולוגיים'!$A$2:$500,0))&lt;=$G$6),0))),ROW(מלאי!$A$2:$A$500)-ROW(מלאי!$A$2)+1,""),181),"")</f>
        <v/>
      </c>
      <c r="L203" s="2">
        <f>IF($K203="","",IFERROR(INDEX('ערכים טכנולוגיים'!$K$2:$500,MATCH(A203,'ערכים טכנולוגיים'!$A$2:$500,0)),""))</f>
        <v/>
      </c>
      <c r="M203" s="2">
        <f>IF($K203="","",IFERROR(INDEX('ערכים טכנולוגיים'!$F$2:$500,MATCH(A203,'ערכים טכנולוגיים'!$A$2:$500,0)),""))</f>
        <v/>
      </c>
      <c r="N203" s="2">
        <f>IF($K203="","",IFERROR(INDEX('ערכים טכנולוגיים'!$I$2:$500,MATCH(A203,'ערכים טכנולוגיים'!$A$2:$500,0)),""))</f>
        <v/>
      </c>
      <c r="O203" s="2">
        <f>IF($K203="","",IFERROR(INDEX('ערכים טכנולוגיים'!$G$2:$500,MATCH(A203,'ערכים טכנולוגיים'!$A$2:$500,0)),""))</f>
        <v/>
      </c>
      <c r="P203" s="2">
        <f>IF($K203="","",IFERROR(INDEX('ערכים טכנולוגיים'!$J$2:$500,MATCH(A203,'ערכים טכנולוגיים'!$A$2:$500,0)),""))</f>
        <v/>
      </c>
      <c r="Q203" s="2">
        <f>IF($K203="","",IFERROR(INDEX('ערכים טכנולוגיים'!$N$2:$500,MATCH(A203,'ערכים טכנולוגיים'!$A$2:$500,0)),""))</f>
        <v/>
      </c>
    </row>
    <row r="204">
      <c r="A204" s="8">
        <f>IF($K204="","",INDEX(מלאי!$D$2:$500,$K204))</f>
        <v/>
      </c>
      <c r="B204" s="8">
        <f>IF($K204="","",INDEX(מלאי!$B$2:$500,$K204))</f>
        <v/>
      </c>
      <c r="C204" s="8">
        <f>IF($K204="","",INDEX(מלאי!$C$2:$500,$K204))</f>
        <v/>
      </c>
      <c r="D204" s="8">
        <f>IF($K204="","",INDEX(מלאי!$G$2:$500,$K204))</f>
        <v/>
      </c>
      <c r="E204" s="8">
        <f>IF($K204="","",INDEX(מלאי!$M$2:$500,$K204))</f>
        <v/>
      </c>
      <c r="F204" s="8">
        <f>IF($K204="","",INDEX(מלאי!$N$2:$500,$K204))</f>
        <v/>
      </c>
      <c r="G204" s="8">
        <f>IF($K204="","",INDEX(מלאי!$O$2:$500,$K204))</f>
        <v/>
      </c>
      <c r="H204" s="8">
        <f>IF($K204="","",INDEX(מלאי!$U$2:$500,$K204))</f>
        <v/>
      </c>
      <c r="I204" s="8">
        <f>IF($K204="","",INDEX(מלאי!$X$2:$500,$K204))</f>
        <v/>
      </c>
      <c r="J204" s="8">
        <f>IF($K204="","",INDEX(מלאי!$AC$2:$500,$K204))</f>
        <v/>
      </c>
      <c r="K20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טכנולוגיים'!$A$2:$500,0))&lt;=$G$6),0))),ROW(מלאי!$A$2:$A$500)-ROW(מלאי!$A$2)+1,""),182),"")</f>
        <v/>
      </c>
      <c r="L204" s="8">
        <f>IF($K204="","",IFERROR(INDEX('ערכים טכנולוגיים'!$K$2:$500,MATCH(A204,'ערכים טכנולוגיים'!$A$2:$500,0)),""))</f>
        <v/>
      </c>
      <c r="M204" s="8">
        <f>IF($K204="","",IFERROR(INDEX('ערכים טכנולוגיים'!$F$2:$500,MATCH(A204,'ערכים טכנולוגיים'!$A$2:$500,0)),""))</f>
        <v/>
      </c>
      <c r="N204" s="8">
        <f>IF($K204="","",IFERROR(INDEX('ערכים טכנולוגיים'!$I$2:$500,MATCH(A204,'ערכים טכנולוגיים'!$A$2:$500,0)),""))</f>
        <v/>
      </c>
      <c r="O204" s="8">
        <f>IF($K204="","",IFERROR(INDEX('ערכים טכנולוגיים'!$G$2:$500,MATCH(A204,'ערכים טכנולוגיים'!$A$2:$500,0)),""))</f>
        <v/>
      </c>
      <c r="P204" s="8">
        <f>IF($K204="","",IFERROR(INDEX('ערכים טכנולוגיים'!$J$2:$500,MATCH(A204,'ערכים טכנולוגיים'!$A$2:$500,0)),""))</f>
        <v/>
      </c>
      <c r="Q204" s="8">
        <f>IF($K204="","",IFERROR(INDEX('ערכים טכנולוגיים'!$N$2:$500,MATCH(A204,'ערכים טכנולוגיים'!$A$2:$500,0)),""))</f>
        <v/>
      </c>
    </row>
    <row r="205">
      <c r="A205" s="2">
        <f>IF($K205="","",INDEX(מלאי!$D$2:$500,$K205))</f>
        <v/>
      </c>
      <c r="B205" s="2">
        <f>IF($K205="","",INDEX(מלאי!$B$2:$500,$K205))</f>
        <v/>
      </c>
      <c r="C205" s="2">
        <f>IF($K205="","",INDEX(מלאי!$C$2:$500,$K205))</f>
        <v/>
      </c>
      <c r="D205" s="2">
        <f>IF($K205="","",INDEX(מלאי!$G$2:$500,$K205))</f>
        <v/>
      </c>
      <c r="E205" s="2">
        <f>IF($K205="","",INDEX(מלאי!$M$2:$500,$K205))</f>
        <v/>
      </c>
      <c r="F205" s="2">
        <f>IF($K205="","",INDEX(מלאי!$N$2:$500,$K205))</f>
        <v/>
      </c>
      <c r="G205" s="2">
        <f>IF($K205="","",INDEX(מלאי!$O$2:$500,$K205))</f>
        <v/>
      </c>
      <c r="H205" s="2">
        <f>IF($K205="","",INDEX(מלאי!$U$2:$500,$K205))</f>
        <v/>
      </c>
      <c r="I205" s="2">
        <f>IF($K205="","",INDEX(מלאי!$X$2:$500,$K205))</f>
        <v/>
      </c>
      <c r="J205" s="2">
        <f>IF($K205="","",INDEX(מלאי!$AC$2:$500,$K205))</f>
        <v/>
      </c>
      <c r="K20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טכנולוגיים'!$A$2:$500,0))&lt;=$G$6),0))),ROW(מלאי!$A$2:$A$500)-ROW(מלאי!$A$2)+1,""),183),"")</f>
        <v/>
      </c>
      <c r="L205" s="2">
        <f>IF($K205="","",IFERROR(INDEX('ערכים טכנולוגיים'!$K$2:$500,MATCH(A205,'ערכים טכנולוגיים'!$A$2:$500,0)),""))</f>
        <v/>
      </c>
      <c r="M205" s="2">
        <f>IF($K205="","",IFERROR(INDEX('ערכים טכנולוגיים'!$F$2:$500,MATCH(A205,'ערכים טכנולוגיים'!$A$2:$500,0)),""))</f>
        <v/>
      </c>
      <c r="N205" s="2">
        <f>IF($K205="","",IFERROR(INDEX('ערכים טכנולוגיים'!$I$2:$500,MATCH(A205,'ערכים טכנולוגיים'!$A$2:$500,0)),""))</f>
        <v/>
      </c>
      <c r="O205" s="2">
        <f>IF($K205="","",IFERROR(INDEX('ערכים טכנולוגיים'!$G$2:$500,MATCH(A205,'ערכים טכנולוגיים'!$A$2:$500,0)),""))</f>
        <v/>
      </c>
      <c r="P205" s="2">
        <f>IF($K205="","",IFERROR(INDEX('ערכים טכנולוגיים'!$J$2:$500,MATCH(A205,'ערכים טכנולוגיים'!$A$2:$500,0)),""))</f>
        <v/>
      </c>
      <c r="Q205" s="2">
        <f>IF($K205="","",IFERROR(INDEX('ערכים טכנולוגיים'!$N$2:$500,MATCH(A205,'ערכים טכנולוגיים'!$A$2:$500,0)),""))</f>
        <v/>
      </c>
    </row>
    <row r="206">
      <c r="A206" s="8">
        <f>IF($K206="","",INDEX(מלאי!$D$2:$500,$K206))</f>
        <v/>
      </c>
      <c r="B206" s="8">
        <f>IF($K206="","",INDEX(מלאי!$B$2:$500,$K206))</f>
        <v/>
      </c>
      <c r="C206" s="8">
        <f>IF($K206="","",INDEX(מלאי!$C$2:$500,$K206))</f>
        <v/>
      </c>
      <c r="D206" s="8">
        <f>IF($K206="","",INDEX(מלאי!$G$2:$500,$K206))</f>
        <v/>
      </c>
      <c r="E206" s="8">
        <f>IF($K206="","",INDEX(מלאי!$M$2:$500,$K206))</f>
        <v/>
      </c>
      <c r="F206" s="8">
        <f>IF($K206="","",INDEX(מלאי!$N$2:$500,$K206))</f>
        <v/>
      </c>
      <c r="G206" s="8">
        <f>IF($K206="","",INDEX(מלאי!$O$2:$500,$K206))</f>
        <v/>
      </c>
      <c r="H206" s="8">
        <f>IF($K206="","",INDEX(מלאי!$U$2:$500,$K206))</f>
        <v/>
      </c>
      <c r="I206" s="8">
        <f>IF($K206="","",INDEX(מלאי!$X$2:$500,$K206))</f>
        <v/>
      </c>
      <c r="J206" s="8">
        <f>IF($K206="","",INDEX(מלאי!$AC$2:$500,$K206))</f>
        <v/>
      </c>
      <c r="K20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טכנולוגיים'!$A$2:$500,0))&lt;=$G$6),0))),ROW(מלאי!$A$2:$A$500)-ROW(מלאי!$A$2)+1,""),184),"")</f>
        <v/>
      </c>
      <c r="L206" s="8">
        <f>IF($K206="","",IFERROR(INDEX('ערכים טכנולוגיים'!$K$2:$500,MATCH(A206,'ערכים טכנולוגיים'!$A$2:$500,0)),""))</f>
        <v/>
      </c>
      <c r="M206" s="8">
        <f>IF($K206="","",IFERROR(INDEX('ערכים טכנולוגיים'!$F$2:$500,MATCH(A206,'ערכים טכנולוגיים'!$A$2:$500,0)),""))</f>
        <v/>
      </c>
      <c r="N206" s="8">
        <f>IF($K206="","",IFERROR(INDEX('ערכים טכנולוגיים'!$I$2:$500,MATCH(A206,'ערכים טכנולוגיים'!$A$2:$500,0)),""))</f>
        <v/>
      </c>
      <c r="O206" s="8">
        <f>IF($K206="","",IFERROR(INDEX('ערכים טכנולוגיים'!$G$2:$500,MATCH(A206,'ערכים טכנולוגיים'!$A$2:$500,0)),""))</f>
        <v/>
      </c>
      <c r="P206" s="8">
        <f>IF($K206="","",IFERROR(INDEX('ערכים טכנולוגיים'!$J$2:$500,MATCH(A206,'ערכים טכנולוגיים'!$A$2:$500,0)),""))</f>
        <v/>
      </c>
      <c r="Q206" s="8">
        <f>IF($K206="","",IFERROR(INDEX('ערכים טכנולוגיים'!$N$2:$500,MATCH(A206,'ערכים טכנולוגיים'!$A$2:$500,0)),""))</f>
        <v/>
      </c>
    </row>
    <row r="207">
      <c r="A207" s="2">
        <f>IF($K207="","",INDEX(מלאי!$D$2:$500,$K207))</f>
        <v/>
      </c>
      <c r="B207" s="2">
        <f>IF($K207="","",INDEX(מלאי!$B$2:$500,$K207))</f>
        <v/>
      </c>
      <c r="C207" s="2">
        <f>IF($K207="","",INDEX(מלאי!$C$2:$500,$K207))</f>
        <v/>
      </c>
      <c r="D207" s="2">
        <f>IF($K207="","",INDEX(מלאי!$G$2:$500,$K207))</f>
        <v/>
      </c>
      <c r="E207" s="2">
        <f>IF($K207="","",INDEX(מלאי!$M$2:$500,$K207))</f>
        <v/>
      </c>
      <c r="F207" s="2">
        <f>IF($K207="","",INDEX(מלאי!$N$2:$500,$K207))</f>
        <v/>
      </c>
      <c r="G207" s="2">
        <f>IF($K207="","",INDEX(מלאי!$O$2:$500,$K207))</f>
        <v/>
      </c>
      <c r="H207" s="2">
        <f>IF($K207="","",INDEX(מלאי!$U$2:$500,$K207))</f>
        <v/>
      </c>
      <c r="I207" s="2">
        <f>IF($K207="","",INDEX(מלאי!$X$2:$500,$K207))</f>
        <v/>
      </c>
      <c r="J207" s="2">
        <f>IF($K207="","",INDEX(מלאי!$AC$2:$500,$K207))</f>
        <v/>
      </c>
      <c r="K20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טכנולוגיים'!$A$2:$500,0))&lt;=$G$6),0))),ROW(מלאי!$A$2:$A$500)-ROW(מלאי!$A$2)+1,""),185),"")</f>
        <v/>
      </c>
      <c r="L207" s="2">
        <f>IF($K207="","",IFERROR(INDEX('ערכים טכנולוגיים'!$K$2:$500,MATCH(A207,'ערכים טכנולוגיים'!$A$2:$500,0)),""))</f>
        <v/>
      </c>
      <c r="M207" s="2">
        <f>IF($K207="","",IFERROR(INDEX('ערכים טכנולוגיים'!$F$2:$500,MATCH(A207,'ערכים טכנולוגיים'!$A$2:$500,0)),""))</f>
        <v/>
      </c>
      <c r="N207" s="2">
        <f>IF($K207="","",IFERROR(INDEX('ערכים טכנולוגיים'!$I$2:$500,MATCH(A207,'ערכים טכנולוגיים'!$A$2:$500,0)),""))</f>
        <v/>
      </c>
      <c r="O207" s="2">
        <f>IF($K207="","",IFERROR(INDEX('ערכים טכנולוגיים'!$G$2:$500,MATCH(A207,'ערכים טכנולוגיים'!$A$2:$500,0)),""))</f>
        <v/>
      </c>
      <c r="P207" s="2">
        <f>IF($K207="","",IFERROR(INDEX('ערכים טכנולוגיים'!$J$2:$500,MATCH(A207,'ערכים טכנולוגיים'!$A$2:$500,0)),""))</f>
        <v/>
      </c>
      <c r="Q207" s="2">
        <f>IF($K207="","",IFERROR(INDEX('ערכים טכנולוגיים'!$N$2:$500,MATCH(A207,'ערכים טכנולוגיים'!$A$2:$500,0)),""))</f>
        <v/>
      </c>
    </row>
    <row r="208">
      <c r="A208" s="8">
        <f>IF($K208="","",INDEX(מלאי!$D$2:$500,$K208))</f>
        <v/>
      </c>
      <c r="B208" s="8">
        <f>IF($K208="","",INDEX(מלאי!$B$2:$500,$K208))</f>
        <v/>
      </c>
      <c r="C208" s="8">
        <f>IF($K208="","",INDEX(מלאי!$C$2:$500,$K208))</f>
        <v/>
      </c>
      <c r="D208" s="8">
        <f>IF($K208="","",INDEX(מלאי!$G$2:$500,$K208))</f>
        <v/>
      </c>
      <c r="E208" s="8">
        <f>IF($K208="","",INDEX(מלאי!$M$2:$500,$K208))</f>
        <v/>
      </c>
      <c r="F208" s="8">
        <f>IF($K208="","",INDEX(מלאי!$N$2:$500,$K208))</f>
        <v/>
      </c>
      <c r="G208" s="8">
        <f>IF($K208="","",INDEX(מלאי!$O$2:$500,$K208))</f>
        <v/>
      </c>
      <c r="H208" s="8">
        <f>IF($K208="","",INDEX(מלאי!$U$2:$500,$K208))</f>
        <v/>
      </c>
      <c r="I208" s="8">
        <f>IF($K208="","",INDEX(מלאי!$X$2:$500,$K208))</f>
        <v/>
      </c>
      <c r="J208" s="8">
        <f>IF($K208="","",INDEX(מלאי!$AC$2:$500,$K208))</f>
        <v/>
      </c>
      <c r="K20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טכנולוגיים'!$A$2:$500,0))&lt;=$G$6),0))),ROW(מלאי!$A$2:$A$500)-ROW(מלאי!$A$2)+1,""),186),"")</f>
        <v/>
      </c>
      <c r="L208" s="8">
        <f>IF($K208="","",IFERROR(INDEX('ערכים טכנולוגיים'!$K$2:$500,MATCH(A208,'ערכים טכנולוגיים'!$A$2:$500,0)),""))</f>
        <v/>
      </c>
      <c r="M208" s="8">
        <f>IF($K208="","",IFERROR(INDEX('ערכים טכנולוגיים'!$F$2:$500,MATCH(A208,'ערכים טכנולוגיים'!$A$2:$500,0)),""))</f>
        <v/>
      </c>
      <c r="N208" s="8">
        <f>IF($K208="","",IFERROR(INDEX('ערכים טכנולוגיים'!$I$2:$500,MATCH(A208,'ערכים טכנולוגיים'!$A$2:$500,0)),""))</f>
        <v/>
      </c>
      <c r="O208" s="8">
        <f>IF($K208="","",IFERROR(INDEX('ערכים טכנולוגיים'!$G$2:$500,MATCH(A208,'ערכים טכנולוגיים'!$A$2:$500,0)),""))</f>
        <v/>
      </c>
      <c r="P208" s="8">
        <f>IF($K208="","",IFERROR(INDEX('ערכים טכנולוגיים'!$J$2:$500,MATCH(A208,'ערכים טכנולוגיים'!$A$2:$500,0)),""))</f>
        <v/>
      </c>
      <c r="Q208" s="8">
        <f>IF($K208="","",IFERROR(INDEX('ערכים טכנולוגיים'!$N$2:$500,MATCH(A208,'ערכים טכנולוגיים'!$A$2:$500,0)),""))</f>
        <v/>
      </c>
    </row>
    <row r="209">
      <c r="A209" s="2">
        <f>IF($K209="","",INDEX(מלאי!$D$2:$500,$K209))</f>
        <v/>
      </c>
      <c r="B209" s="2">
        <f>IF($K209="","",INDEX(מלאי!$B$2:$500,$K209))</f>
        <v/>
      </c>
      <c r="C209" s="2">
        <f>IF($K209="","",INDEX(מלאי!$C$2:$500,$K209))</f>
        <v/>
      </c>
      <c r="D209" s="2">
        <f>IF($K209="","",INDEX(מלאי!$G$2:$500,$K209))</f>
        <v/>
      </c>
      <c r="E209" s="2">
        <f>IF($K209="","",INDEX(מלאי!$M$2:$500,$K209))</f>
        <v/>
      </c>
      <c r="F209" s="2">
        <f>IF($K209="","",INDEX(מלאי!$N$2:$500,$K209))</f>
        <v/>
      </c>
      <c r="G209" s="2">
        <f>IF($K209="","",INDEX(מלאי!$O$2:$500,$K209))</f>
        <v/>
      </c>
      <c r="H209" s="2">
        <f>IF($K209="","",INDEX(מלאי!$U$2:$500,$K209))</f>
        <v/>
      </c>
      <c r="I209" s="2">
        <f>IF($K209="","",INDEX(מלאי!$X$2:$500,$K209))</f>
        <v/>
      </c>
      <c r="J209" s="2">
        <f>IF($K209="","",INDEX(מלאי!$AC$2:$500,$K209))</f>
        <v/>
      </c>
      <c r="K20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טכנולוגיים'!$A$2:$500,0))&lt;=$G$6),0))),ROW(מלאי!$A$2:$A$500)-ROW(מלאי!$A$2)+1,""),187),"")</f>
        <v/>
      </c>
      <c r="L209" s="2">
        <f>IF($K209="","",IFERROR(INDEX('ערכים טכנולוגיים'!$K$2:$500,MATCH(A209,'ערכים טכנולוגיים'!$A$2:$500,0)),""))</f>
        <v/>
      </c>
      <c r="M209" s="2">
        <f>IF($K209="","",IFERROR(INDEX('ערכים טכנולוגיים'!$F$2:$500,MATCH(A209,'ערכים טכנולוגיים'!$A$2:$500,0)),""))</f>
        <v/>
      </c>
      <c r="N209" s="2">
        <f>IF($K209="","",IFERROR(INDEX('ערכים טכנולוגיים'!$I$2:$500,MATCH(A209,'ערכים טכנולוגיים'!$A$2:$500,0)),""))</f>
        <v/>
      </c>
      <c r="O209" s="2">
        <f>IF($K209="","",IFERROR(INDEX('ערכים טכנולוגיים'!$G$2:$500,MATCH(A209,'ערכים טכנולוגיים'!$A$2:$500,0)),""))</f>
        <v/>
      </c>
      <c r="P209" s="2">
        <f>IF($K209="","",IFERROR(INDEX('ערכים טכנולוגיים'!$J$2:$500,MATCH(A209,'ערכים טכנולוגיים'!$A$2:$500,0)),""))</f>
        <v/>
      </c>
      <c r="Q209" s="2">
        <f>IF($K209="","",IFERROR(INDEX('ערכים טכנולוגיים'!$N$2:$500,MATCH(A209,'ערכים טכנולוגיים'!$A$2:$500,0)),""))</f>
        <v/>
      </c>
    </row>
    <row r="210">
      <c r="A210" s="8">
        <f>IF($K210="","",INDEX(מלאי!$D$2:$500,$K210))</f>
        <v/>
      </c>
      <c r="B210" s="8">
        <f>IF($K210="","",INDEX(מלאי!$B$2:$500,$K210))</f>
        <v/>
      </c>
      <c r="C210" s="8">
        <f>IF($K210="","",INDEX(מלאי!$C$2:$500,$K210))</f>
        <v/>
      </c>
      <c r="D210" s="8">
        <f>IF($K210="","",INDEX(מלאי!$G$2:$500,$K210))</f>
        <v/>
      </c>
      <c r="E210" s="8">
        <f>IF($K210="","",INDEX(מלאי!$M$2:$500,$K210))</f>
        <v/>
      </c>
      <c r="F210" s="8">
        <f>IF($K210="","",INDEX(מלאי!$N$2:$500,$K210))</f>
        <v/>
      </c>
      <c r="G210" s="8">
        <f>IF($K210="","",INDEX(מלאי!$O$2:$500,$K210))</f>
        <v/>
      </c>
      <c r="H210" s="8">
        <f>IF($K210="","",INDEX(מלאי!$U$2:$500,$K210))</f>
        <v/>
      </c>
      <c r="I210" s="8">
        <f>IF($K210="","",INDEX(מלאי!$X$2:$500,$K210))</f>
        <v/>
      </c>
      <c r="J210" s="8">
        <f>IF($K210="","",INDEX(מלאי!$AC$2:$500,$K210))</f>
        <v/>
      </c>
      <c r="K21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טכנולוגיים'!$A$2:$500,0))&lt;=$G$6),0))),ROW(מלאי!$A$2:$A$500)-ROW(מלאי!$A$2)+1,""),188),"")</f>
        <v/>
      </c>
      <c r="L210" s="8">
        <f>IF($K210="","",IFERROR(INDEX('ערכים טכנולוגיים'!$K$2:$500,MATCH(A210,'ערכים טכנולוגיים'!$A$2:$500,0)),""))</f>
        <v/>
      </c>
      <c r="M210" s="8">
        <f>IF($K210="","",IFERROR(INDEX('ערכים טכנולוגיים'!$F$2:$500,MATCH(A210,'ערכים טכנולוגיים'!$A$2:$500,0)),""))</f>
        <v/>
      </c>
      <c r="N210" s="8">
        <f>IF($K210="","",IFERROR(INDEX('ערכים טכנולוגיים'!$I$2:$500,MATCH(A210,'ערכים טכנולוגיים'!$A$2:$500,0)),""))</f>
        <v/>
      </c>
      <c r="O210" s="8">
        <f>IF($K210="","",IFERROR(INDEX('ערכים טכנולוגיים'!$G$2:$500,MATCH(A210,'ערכים טכנולוגיים'!$A$2:$500,0)),""))</f>
        <v/>
      </c>
      <c r="P210" s="8">
        <f>IF($K210="","",IFERROR(INDEX('ערכים טכנולוגיים'!$J$2:$500,MATCH(A210,'ערכים טכנולוגיים'!$A$2:$500,0)),""))</f>
        <v/>
      </c>
      <c r="Q210" s="8">
        <f>IF($K210="","",IFERROR(INDEX('ערכים טכנולוגיים'!$N$2:$500,MATCH(A210,'ערכים טכנולוגיים'!$A$2:$500,0)),""))</f>
        <v/>
      </c>
    </row>
    <row r="211">
      <c r="A211" s="2">
        <f>IF($K211="","",INDEX(מלאי!$D$2:$500,$K211))</f>
        <v/>
      </c>
      <c r="B211" s="2">
        <f>IF($K211="","",INDEX(מלאי!$B$2:$500,$K211))</f>
        <v/>
      </c>
      <c r="C211" s="2">
        <f>IF($K211="","",INDEX(מלאי!$C$2:$500,$K211))</f>
        <v/>
      </c>
      <c r="D211" s="2">
        <f>IF($K211="","",INDEX(מלאי!$G$2:$500,$K211))</f>
        <v/>
      </c>
      <c r="E211" s="2">
        <f>IF($K211="","",INDEX(מלאי!$M$2:$500,$K211))</f>
        <v/>
      </c>
      <c r="F211" s="2">
        <f>IF($K211="","",INDEX(מלאי!$N$2:$500,$K211))</f>
        <v/>
      </c>
      <c r="G211" s="2">
        <f>IF($K211="","",INDEX(מלאי!$O$2:$500,$K211))</f>
        <v/>
      </c>
      <c r="H211" s="2">
        <f>IF($K211="","",INDEX(מלאי!$U$2:$500,$K211))</f>
        <v/>
      </c>
      <c r="I211" s="2">
        <f>IF($K211="","",INDEX(מלאי!$X$2:$500,$K211))</f>
        <v/>
      </c>
      <c r="J211" s="2">
        <f>IF($K211="","",INDEX(מלאי!$AC$2:$500,$K211))</f>
        <v/>
      </c>
      <c r="K21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טכנולוגיים'!$A$2:$500,0))&lt;=$G$6),0))),ROW(מלאי!$A$2:$A$500)-ROW(מלאי!$A$2)+1,""),189),"")</f>
        <v/>
      </c>
      <c r="L211" s="2">
        <f>IF($K211="","",IFERROR(INDEX('ערכים טכנולוגיים'!$K$2:$500,MATCH(A211,'ערכים טכנולוגיים'!$A$2:$500,0)),""))</f>
        <v/>
      </c>
      <c r="M211" s="2">
        <f>IF($K211="","",IFERROR(INDEX('ערכים טכנולוגיים'!$F$2:$500,MATCH(A211,'ערכים טכנולוגיים'!$A$2:$500,0)),""))</f>
        <v/>
      </c>
      <c r="N211" s="2">
        <f>IF($K211="","",IFERROR(INDEX('ערכים טכנולוגיים'!$I$2:$500,MATCH(A211,'ערכים טכנולוגיים'!$A$2:$500,0)),""))</f>
        <v/>
      </c>
      <c r="O211" s="2">
        <f>IF($K211="","",IFERROR(INDEX('ערכים טכנולוגיים'!$G$2:$500,MATCH(A211,'ערכים טכנולוגיים'!$A$2:$500,0)),""))</f>
        <v/>
      </c>
      <c r="P211" s="2">
        <f>IF($K211="","",IFERROR(INDEX('ערכים טכנולוגיים'!$J$2:$500,MATCH(A211,'ערכים טכנולוגיים'!$A$2:$500,0)),""))</f>
        <v/>
      </c>
      <c r="Q211" s="2">
        <f>IF($K211="","",IFERROR(INDEX('ערכים טכנולוגיים'!$N$2:$500,MATCH(A211,'ערכים טכנולוגיים'!$A$2:$500,0)),""))</f>
        <v/>
      </c>
    </row>
    <row r="212">
      <c r="A212" s="8">
        <f>IF($K212="","",INDEX(מלאי!$D$2:$500,$K212))</f>
        <v/>
      </c>
      <c r="B212" s="8">
        <f>IF($K212="","",INDEX(מלאי!$B$2:$500,$K212))</f>
        <v/>
      </c>
      <c r="C212" s="8">
        <f>IF($K212="","",INDEX(מלאי!$C$2:$500,$K212))</f>
        <v/>
      </c>
      <c r="D212" s="8">
        <f>IF($K212="","",INDEX(מלאי!$G$2:$500,$K212))</f>
        <v/>
      </c>
      <c r="E212" s="8">
        <f>IF($K212="","",INDEX(מלאי!$M$2:$500,$K212))</f>
        <v/>
      </c>
      <c r="F212" s="8">
        <f>IF($K212="","",INDEX(מלאי!$N$2:$500,$K212))</f>
        <v/>
      </c>
      <c r="G212" s="8">
        <f>IF($K212="","",INDEX(מלאי!$O$2:$500,$K212))</f>
        <v/>
      </c>
      <c r="H212" s="8">
        <f>IF($K212="","",INDEX(מלאי!$U$2:$500,$K212))</f>
        <v/>
      </c>
      <c r="I212" s="8">
        <f>IF($K212="","",INDEX(מלאי!$X$2:$500,$K212))</f>
        <v/>
      </c>
      <c r="J212" s="8">
        <f>IF($K212="","",INDEX(מלאי!$AC$2:$500,$K212))</f>
        <v/>
      </c>
      <c r="K21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טכנולוגיים'!$A$2:$500,0))&lt;=$G$6),0))),ROW(מלאי!$A$2:$A$500)-ROW(מלאי!$A$2)+1,""),190),"")</f>
        <v/>
      </c>
      <c r="L212" s="8">
        <f>IF($K212="","",IFERROR(INDEX('ערכים טכנולוגיים'!$K$2:$500,MATCH(A212,'ערכים טכנולוגיים'!$A$2:$500,0)),""))</f>
        <v/>
      </c>
      <c r="M212" s="8">
        <f>IF($K212="","",IFERROR(INDEX('ערכים טכנולוגיים'!$F$2:$500,MATCH(A212,'ערכים טכנולוגיים'!$A$2:$500,0)),""))</f>
        <v/>
      </c>
      <c r="N212" s="8">
        <f>IF($K212="","",IFERROR(INDEX('ערכים טכנולוגיים'!$I$2:$500,MATCH(A212,'ערכים טכנולוגיים'!$A$2:$500,0)),""))</f>
        <v/>
      </c>
      <c r="O212" s="8">
        <f>IF($K212="","",IFERROR(INDEX('ערכים טכנולוגיים'!$G$2:$500,MATCH(A212,'ערכים טכנולוגיים'!$A$2:$500,0)),""))</f>
        <v/>
      </c>
      <c r="P212" s="8">
        <f>IF($K212="","",IFERROR(INDEX('ערכים טכנולוגיים'!$J$2:$500,MATCH(A212,'ערכים טכנולוגיים'!$A$2:$500,0)),""))</f>
        <v/>
      </c>
      <c r="Q212" s="8">
        <f>IF($K212="","",IFERROR(INDEX('ערכים טכנולוגיים'!$N$2:$500,MATCH(A212,'ערכים טכנולוגיים'!$A$2:$500,0)),""))</f>
        <v/>
      </c>
    </row>
    <row r="213">
      <c r="A213" s="2">
        <f>IF($K213="","",INDEX(מלאי!$D$2:$500,$K213))</f>
        <v/>
      </c>
      <c r="B213" s="2">
        <f>IF($K213="","",INDEX(מלאי!$B$2:$500,$K213))</f>
        <v/>
      </c>
      <c r="C213" s="2">
        <f>IF($K213="","",INDEX(מלאי!$C$2:$500,$K213))</f>
        <v/>
      </c>
      <c r="D213" s="2">
        <f>IF($K213="","",INDEX(מלאי!$G$2:$500,$K213))</f>
        <v/>
      </c>
      <c r="E213" s="2">
        <f>IF($K213="","",INDEX(מלאי!$M$2:$500,$K213))</f>
        <v/>
      </c>
      <c r="F213" s="2">
        <f>IF($K213="","",INDEX(מלאי!$N$2:$500,$K213))</f>
        <v/>
      </c>
      <c r="G213" s="2">
        <f>IF($K213="","",INDEX(מלאי!$O$2:$500,$K213))</f>
        <v/>
      </c>
      <c r="H213" s="2">
        <f>IF($K213="","",INDEX(מלאי!$U$2:$500,$K213))</f>
        <v/>
      </c>
      <c r="I213" s="2">
        <f>IF($K213="","",INDEX(מלאי!$X$2:$500,$K213))</f>
        <v/>
      </c>
      <c r="J213" s="2">
        <f>IF($K213="","",INDEX(מלאי!$AC$2:$500,$K213))</f>
        <v/>
      </c>
      <c r="K21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טכנולוגיים'!$A$2:$500,0))&lt;=$G$6),0))),ROW(מלאי!$A$2:$A$500)-ROW(מלאי!$A$2)+1,""),191),"")</f>
        <v/>
      </c>
      <c r="L213" s="2">
        <f>IF($K213="","",IFERROR(INDEX('ערכים טכנולוגיים'!$K$2:$500,MATCH(A213,'ערכים טכנולוגיים'!$A$2:$500,0)),""))</f>
        <v/>
      </c>
      <c r="M213" s="2">
        <f>IF($K213="","",IFERROR(INDEX('ערכים טכנולוגיים'!$F$2:$500,MATCH(A213,'ערכים טכנולוגיים'!$A$2:$500,0)),""))</f>
        <v/>
      </c>
      <c r="N213" s="2">
        <f>IF($K213="","",IFERROR(INDEX('ערכים טכנולוגיים'!$I$2:$500,MATCH(A213,'ערכים טכנולוגיים'!$A$2:$500,0)),""))</f>
        <v/>
      </c>
      <c r="O213" s="2">
        <f>IF($K213="","",IFERROR(INDEX('ערכים טכנולוגיים'!$G$2:$500,MATCH(A213,'ערכים טכנולוגיים'!$A$2:$500,0)),""))</f>
        <v/>
      </c>
      <c r="P213" s="2">
        <f>IF($K213="","",IFERROR(INDEX('ערכים טכנולוגיים'!$J$2:$500,MATCH(A213,'ערכים טכנולוגיים'!$A$2:$500,0)),""))</f>
        <v/>
      </c>
      <c r="Q213" s="2">
        <f>IF($K213="","",IFERROR(INDEX('ערכים טכנולוגיים'!$N$2:$500,MATCH(A213,'ערכים טכנולוגיים'!$A$2:$500,0)),""))</f>
        <v/>
      </c>
    </row>
    <row r="214">
      <c r="A214" s="8">
        <f>IF($K214="","",INDEX(מלאי!$D$2:$500,$K214))</f>
        <v/>
      </c>
      <c r="B214" s="8">
        <f>IF($K214="","",INDEX(מלאי!$B$2:$500,$K214))</f>
        <v/>
      </c>
      <c r="C214" s="8">
        <f>IF($K214="","",INDEX(מלאי!$C$2:$500,$K214))</f>
        <v/>
      </c>
      <c r="D214" s="8">
        <f>IF($K214="","",INDEX(מלאי!$G$2:$500,$K214))</f>
        <v/>
      </c>
      <c r="E214" s="8">
        <f>IF($K214="","",INDEX(מלאי!$M$2:$500,$K214))</f>
        <v/>
      </c>
      <c r="F214" s="8">
        <f>IF($K214="","",INDEX(מלאי!$N$2:$500,$K214))</f>
        <v/>
      </c>
      <c r="G214" s="8">
        <f>IF($K214="","",INDEX(מלאי!$O$2:$500,$K214))</f>
        <v/>
      </c>
      <c r="H214" s="8">
        <f>IF($K214="","",INDEX(מלאי!$U$2:$500,$K214))</f>
        <v/>
      </c>
      <c r="I214" s="8">
        <f>IF($K214="","",INDEX(מלאי!$X$2:$500,$K214))</f>
        <v/>
      </c>
      <c r="J214" s="8">
        <f>IF($K214="","",INDEX(מלאי!$AC$2:$500,$K214))</f>
        <v/>
      </c>
      <c r="K21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טכנולוגיים'!$A$2:$500,0))&lt;=$G$6),0))),ROW(מלאי!$A$2:$A$500)-ROW(מלאי!$A$2)+1,""),192),"")</f>
        <v/>
      </c>
      <c r="L214" s="8">
        <f>IF($K214="","",IFERROR(INDEX('ערכים טכנולוגיים'!$K$2:$500,MATCH(A214,'ערכים טכנולוגיים'!$A$2:$500,0)),""))</f>
        <v/>
      </c>
      <c r="M214" s="8">
        <f>IF($K214="","",IFERROR(INDEX('ערכים טכנולוגיים'!$F$2:$500,MATCH(A214,'ערכים טכנולוגיים'!$A$2:$500,0)),""))</f>
        <v/>
      </c>
      <c r="N214" s="8">
        <f>IF($K214="","",IFERROR(INDEX('ערכים טכנולוגיים'!$I$2:$500,MATCH(A214,'ערכים טכנולוגיים'!$A$2:$500,0)),""))</f>
        <v/>
      </c>
      <c r="O214" s="8">
        <f>IF($K214="","",IFERROR(INDEX('ערכים טכנולוגיים'!$G$2:$500,MATCH(A214,'ערכים טכנולוגיים'!$A$2:$500,0)),""))</f>
        <v/>
      </c>
      <c r="P214" s="8">
        <f>IF($K214="","",IFERROR(INDEX('ערכים טכנולוגיים'!$J$2:$500,MATCH(A214,'ערכים טכנולוגיים'!$A$2:$500,0)),""))</f>
        <v/>
      </c>
      <c r="Q214" s="8">
        <f>IF($K214="","",IFERROR(INDEX('ערכים טכנולוגיים'!$N$2:$500,MATCH(A214,'ערכים טכנולוגיים'!$A$2:$500,0)),""))</f>
        <v/>
      </c>
    </row>
    <row r="215">
      <c r="A215" s="2">
        <f>IF($K215="","",INDEX(מלאי!$D$2:$500,$K215))</f>
        <v/>
      </c>
      <c r="B215" s="2">
        <f>IF($K215="","",INDEX(מלאי!$B$2:$500,$K215))</f>
        <v/>
      </c>
      <c r="C215" s="2">
        <f>IF($K215="","",INDEX(מלאי!$C$2:$500,$K215))</f>
        <v/>
      </c>
      <c r="D215" s="2">
        <f>IF($K215="","",INDEX(מלאי!$G$2:$500,$K215))</f>
        <v/>
      </c>
      <c r="E215" s="2">
        <f>IF($K215="","",INDEX(מלאי!$M$2:$500,$K215))</f>
        <v/>
      </c>
      <c r="F215" s="2">
        <f>IF($K215="","",INDEX(מלאי!$N$2:$500,$K215))</f>
        <v/>
      </c>
      <c r="G215" s="2">
        <f>IF($K215="","",INDEX(מלאי!$O$2:$500,$K215))</f>
        <v/>
      </c>
      <c r="H215" s="2">
        <f>IF($K215="","",INDEX(מלאי!$U$2:$500,$K215))</f>
        <v/>
      </c>
      <c r="I215" s="2">
        <f>IF($K215="","",INDEX(מלאי!$X$2:$500,$K215))</f>
        <v/>
      </c>
      <c r="J215" s="2">
        <f>IF($K215="","",INDEX(מלאי!$AC$2:$500,$K215))</f>
        <v/>
      </c>
      <c r="K21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טכנולוגיים'!$A$2:$500,0))&lt;=$G$6),0))),ROW(מלאי!$A$2:$A$500)-ROW(מלאי!$A$2)+1,""),193),"")</f>
        <v/>
      </c>
      <c r="L215" s="2">
        <f>IF($K215="","",IFERROR(INDEX('ערכים טכנולוגיים'!$K$2:$500,MATCH(A215,'ערכים טכנולוגיים'!$A$2:$500,0)),""))</f>
        <v/>
      </c>
      <c r="M215" s="2">
        <f>IF($K215="","",IFERROR(INDEX('ערכים טכנולוגיים'!$F$2:$500,MATCH(A215,'ערכים טכנולוגיים'!$A$2:$500,0)),""))</f>
        <v/>
      </c>
      <c r="N215" s="2">
        <f>IF($K215="","",IFERROR(INDEX('ערכים טכנולוגיים'!$I$2:$500,MATCH(A215,'ערכים טכנולוגיים'!$A$2:$500,0)),""))</f>
        <v/>
      </c>
      <c r="O215" s="2">
        <f>IF($K215="","",IFERROR(INDEX('ערכים טכנולוגיים'!$G$2:$500,MATCH(A215,'ערכים טכנולוגיים'!$A$2:$500,0)),""))</f>
        <v/>
      </c>
      <c r="P215" s="2">
        <f>IF($K215="","",IFERROR(INDEX('ערכים טכנולוגיים'!$J$2:$500,MATCH(A215,'ערכים טכנולוגיים'!$A$2:$500,0)),""))</f>
        <v/>
      </c>
      <c r="Q215" s="2">
        <f>IF($K215="","",IFERROR(INDEX('ערכים טכנולוגיים'!$N$2:$500,MATCH(A215,'ערכים טכנולוגיים'!$A$2:$500,0)),""))</f>
        <v/>
      </c>
    </row>
    <row r="216">
      <c r="A216" s="8">
        <f>IF($K216="","",INDEX(מלאי!$D$2:$500,$K216))</f>
        <v/>
      </c>
      <c r="B216" s="8">
        <f>IF($K216="","",INDEX(מלאי!$B$2:$500,$K216))</f>
        <v/>
      </c>
      <c r="C216" s="8">
        <f>IF($K216="","",INDEX(מלאי!$C$2:$500,$K216))</f>
        <v/>
      </c>
      <c r="D216" s="8">
        <f>IF($K216="","",INDEX(מלאי!$G$2:$500,$K216))</f>
        <v/>
      </c>
      <c r="E216" s="8">
        <f>IF($K216="","",INDEX(מלאי!$M$2:$500,$K216))</f>
        <v/>
      </c>
      <c r="F216" s="8">
        <f>IF($K216="","",INDEX(מלאי!$N$2:$500,$K216))</f>
        <v/>
      </c>
      <c r="G216" s="8">
        <f>IF($K216="","",INDEX(מלאי!$O$2:$500,$K216))</f>
        <v/>
      </c>
      <c r="H216" s="8">
        <f>IF($K216="","",INDEX(מלאי!$U$2:$500,$K216))</f>
        <v/>
      </c>
      <c r="I216" s="8">
        <f>IF($K216="","",INDEX(מלאי!$X$2:$500,$K216))</f>
        <v/>
      </c>
      <c r="J216" s="8">
        <f>IF($K216="","",INDEX(מלאי!$AC$2:$500,$K216))</f>
        <v/>
      </c>
      <c r="K21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טכנולוגיים'!$A$2:$500,0))&lt;=$G$6),0))),ROW(מלאי!$A$2:$A$500)-ROW(מלאי!$A$2)+1,""),194),"")</f>
        <v/>
      </c>
      <c r="L216" s="8">
        <f>IF($K216="","",IFERROR(INDEX('ערכים טכנולוגיים'!$K$2:$500,MATCH(A216,'ערכים טכנולוגיים'!$A$2:$500,0)),""))</f>
        <v/>
      </c>
      <c r="M216" s="8">
        <f>IF($K216="","",IFERROR(INDEX('ערכים טכנולוגיים'!$F$2:$500,MATCH(A216,'ערכים טכנולוגיים'!$A$2:$500,0)),""))</f>
        <v/>
      </c>
      <c r="N216" s="8">
        <f>IF($K216="","",IFERROR(INDEX('ערכים טכנולוגיים'!$I$2:$500,MATCH(A216,'ערכים טכנולוגיים'!$A$2:$500,0)),""))</f>
        <v/>
      </c>
      <c r="O216" s="8">
        <f>IF($K216="","",IFERROR(INDEX('ערכים טכנולוגיים'!$G$2:$500,MATCH(A216,'ערכים טכנולוגיים'!$A$2:$500,0)),""))</f>
        <v/>
      </c>
      <c r="P216" s="8">
        <f>IF($K216="","",IFERROR(INDEX('ערכים טכנולוגיים'!$J$2:$500,MATCH(A216,'ערכים טכנולוגיים'!$A$2:$500,0)),""))</f>
        <v/>
      </c>
      <c r="Q216" s="8">
        <f>IF($K216="","",IFERROR(INDEX('ערכים טכנולוגיים'!$N$2:$500,MATCH(A216,'ערכים טכנולוגיים'!$A$2:$500,0)),""))</f>
        <v/>
      </c>
    </row>
    <row r="217">
      <c r="A217" s="2">
        <f>IF($K217="","",INDEX(מלאי!$D$2:$500,$K217))</f>
        <v/>
      </c>
      <c r="B217" s="2">
        <f>IF($K217="","",INDEX(מלאי!$B$2:$500,$K217))</f>
        <v/>
      </c>
      <c r="C217" s="2">
        <f>IF($K217="","",INDEX(מלאי!$C$2:$500,$K217))</f>
        <v/>
      </c>
      <c r="D217" s="2">
        <f>IF($K217="","",INDEX(מלאי!$G$2:$500,$K217))</f>
        <v/>
      </c>
      <c r="E217" s="2">
        <f>IF($K217="","",INDEX(מלאי!$M$2:$500,$K217))</f>
        <v/>
      </c>
      <c r="F217" s="2">
        <f>IF($K217="","",INDEX(מלאי!$N$2:$500,$K217))</f>
        <v/>
      </c>
      <c r="G217" s="2">
        <f>IF($K217="","",INDEX(מלאי!$O$2:$500,$K217))</f>
        <v/>
      </c>
      <c r="H217" s="2">
        <f>IF($K217="","",INDEX(מלאי!$U$2:$500,$K217))</f>
        <v/>
      </c>
      <c r="I217" s="2">
        <f>IF($K217="","",INDEX(מלאי!$X$2:$500,$K217))</f>
        <v/>
      </c>
      <c r="J217" s="2">
        <f>IF($K217="","",INDEX(מלאי!$AC$2:$500,$K217))</f>
        <v/>
      </c>
      <c r="K21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טכנולוגיים'!$A$2:$500,0))&lt;=$G$6),0))),ROW(מלאי!$A$2:$A$500)-ROW(מלאי!$A$2)+1,""),195),"")</f>
        <v/>
      </c>
      <c r="L217" s="2">
        <f>IF($K217="","",IFERROR(INDEX('ערכים טכנולוגיים'!$K$2:$500,MATCH(A217,'ערכים טכנולוגיים'!$A$2:$500,0)),""))</f>
        <v/>
      </c>
      <c r="M217" s="2">
        <f>IF($K217="","",IFERROR(INDEX('ערכים טכנולוגיים'!$F$2:$500,MATCH(A217,'ערכים טכנולוגיים'!$A$2:$500,0)),""))</f>
        <v/>
      </c>
      <c r="N217" s="2">
        <f>IF($K217="","",IFERROR(INDEX('ערכים טכנולוגיים'!$I$2:$500,MATCH(A217,'ערכים טכנולוגיים'!$A$2:$500,0)),""))</f>
        <v/>
      </c>
      <c r="O217" s="2">
        <f>IF($K217="","",IFERROR(INDEX('ערכים טכנולוגיים'!$G$2:$500,MATCH(A217,'ערכים טכנולוגיים'!$A$2:$500,0)),""))</f>
        <v/>
      </c>
      <c r="P217" s="2">
        <f>IF($K217="","",IFERROR(INDEX('ערכים טכנולוגיים'!$J$2:$500,MATCH(A217,'ערכים טכנולוגיים'!$A$2:$500,0)),""))</f>
        <v/>
      </c>
      <c r="Q217" s="2">
        <f>IF($K217="","",IFERROR(INDEX('ערכים טכנולוגיים'!$N$2:$500,MATCH(A217,'ערכים טכנולוגיים'!$A$2:$500,0)),""))</f>
        <v/>
      </c>
    </row>
    <row r="218">
      <c r="A218" s="8">
        <f>IF($K218="","",INDEX(מלאי!$D$2:$500,$K218))</f>
        <v/>
      </c>
      <c r="B218" s="8">
        <f>IF($K218="","",INDEX(מלאי!$B$2:$500,$K218))</f>
        <v/>
      </c>
      <c r="C218" s="8">
        <f>IF($K218="","",INDEX(מלאי!$C$2:$500,$K218))</f>
        <v/>
      </c>
      <c r="D218" s="8">
        <f>IF($K218="","",INDEX(מלאי!$G$2:$500,$K218))</f>
        <v/>
      </c>
      <c r="E218" s="8">
        <f>IF($K218="","",INDEX(מלאי!$M$2:$500,$K218))</f>
        <v/>
      </c>
      <c r="F218" s="8">
        <f>IF($K218="","",INDEX(מלאי!$N$2:$500,$K218))</f>
        <v/>
      </c>
      <c r="G218" s="8">
        <f>IF($K218="","",INDEX(מלאי!$O$2:$500,$K218))</f>
        <v/>
      </c>
      <c r="H218" s="8">
        <f>IF($K218="","",INDEX(מלאי!$U$2:$500,$K218))</f>
        <v/>
      </c>
      <c r="I218" s="8">
        <f>IF($K218="","",INDEX(מלאי!$X$2:$500,$K218))</f>
        <v/>
      </c>
      <c r="J218" s="8">
        <f>IF($K218="","",INDEX(מלאי!$AC$2:$500,$K218))</f>
        <v/>
      </c>
      <c r="K21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טכנולוגיים'!$A$2:$500,0))&lt;=$G$6),0))),ROW(מלאי!$A$2:$A$500)-ROW(מלאי!$A$2)+1,""),196),"")</f>
        <v/>
      </c>
      <c r="L218" s="8">
        <f>IF($K218="","",IFERROR(INDEX('ערכים טכנולוגיים'!$K$2:$500,MATCH(A218,'ערכים טכנולוגיים'!$A$2:$500,0)),""))</f>
        <v/>
      </c>
      <c r="M218" s="8">
        <f>IF($K218="","",IFERROR(INDEX('ערכים טכנולוגיים'!$F$2:$500,MATCH(A218,'ערכים טכנולוגיים'!$A$2:$500,0)),""))</f>
        <v/>
      </c>
      <c r="N218" s="8">
        <f>IF($K218="","",IFERROR(INDEX('ערכים טכנולוגיים'!$I$2:$500,MATCH(A218,'ערכים טכנולוגיים'!$A$2:$500,0)),""))</f>
        <v/>
      </c>
      <c r="O218" s="8">
        <f>IF($K218="","",IFERROR(INDEX('ערכים טכנולוגיים'!$G$2:$500,MATCH(A218,'ערכים טכנולוגיים'!$A$2:$500,0)),""))</f>
        <v/>
      </c>
      <c r="P218" s="8">
        <f>IF($K218="","",IFERROR(INDEX('ערכים טכנולוגיים'!$J$2:$500,MATCH(A218,'ערכים טכנולוגיים'!$A$2:$500,0)),""))</f>
        <v/>
      </c>
      <c r="Q218" s="8">
        <f>IF($K218="","",IFERROR(INDEX('ערכים טכנולוגיים'!$N$2:$500,MATCH(A218,'ערכים טכנולוגיים'!$A$2:$500,0)),""))</f>
        <v/>
      </c>
    </row>
    <row r="219">
      <c r="A219" s="2">
        <f>IF($K219="","",INDEX(מלאי!$D$2:$500,$K219))</f>
        <v/>
      </c>
      <c r="B219" s="2">
        <f>IF($K219="","",INDEX(מלאי!$B$2:$500,$K219))</f>
        <v/>
      </c>
      <c r="C219" s="2">
        <f>IF($K219="","",INDEX(מלאי!$C$2:$500,$K219))</f>
        <v/>
      </c>
      <c r="D219" s="2">
        <f>IF($K219="","",INDEX(מלאי!$G$2:$500,$K219))</f>
        <v/>
      </c>
      <c r="E219" s="2">
        <f>IF($K219="","",INDEX(מלאי!$M$2:$500,$K219))</f>
        <v/>
      </c>
      <c r="F219" s="2">
        <f>IF($K219="","",INDEX(מלאי!$N$2:$500,$K219))</f>
        <v/>
      </c>
      <c r="G219" s="2">
        <f>IF($K219="","",INDEX(מלאי!$O$2:$500,$K219))</f>
        <v/>
      </c>
      <c r="H219" s="2">
        <f>IF($K219="","",INDEX(מלאי!$U$2:$500,$K219))</f>
        <v/>
      </c>
      <c r="I219" s="2">
        <f>IF($K219="","",INDEX(מלאי!$X$2:$500,$K219))</f>
        <v/>
      </c>
      <c r="J219" s="2">
        <f>IF($K219="","",INDEX(מלאי!$AC$2:$500,$K219))</f>
        <v/>
      </c>
      <c r="K21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טכנולוגיים'!$A$2:$500,0))&lt;=$G$6),0))),ROW(מלאי!$A$2:$A$500)-ROW(מלאי!$A$2)+1,""),197),"")</f>
        <v/>
      </c>
      <c r="L219" s="2">
        <f>IF($K219="","",IFERROR(INDEX('ערכים טכנולוגיים'!$K$2:$500,MATCH(A219,'ערכים טכנולוגיים'!$A$2:$500,0)),""))</f>
        <v/>
      </c>
      <c r="M219" s="2">
        <f>IF($K219="","",IFERROR(INDEX('ערכים טכנולוגיים'!$F$2:$500,MATCH(A219,'ערכים טכנולוגיים'!$A$2:$500,0)),""))</f>
        <v/>
      </c>
      <c r="N219" s="2">
        <f>IF($K219="","",IFERROR(INDEX('ערכים טכנולוגיים'!$I$2:$500,MATCH(A219,'ערכים טכנולוגיים'!$A$2:$500,0)),""))</f>
        <v/>
      </c>
      <c r="O219" s="2">
        <f>IF($K219="","",IFERROR(INDEX('ערכים טכנולוגיים'!$G$2:$500,MATCH(A219,'ערכים טכנולוגיים'!$A$2:$500,0)),""))</f>
        <v/>
      </c>
      <c r="P219" s="2">
        <f>IF($K219="","",IFERROR(INDEX('ערכים טכנולוגיים'!$J$2:$500,MATCH(A219,'ערכים טכנולוגיים'!$A$2:$500,0)),""))</f>
        <v/>
      </c>
      <c r="Q219" s="2">
        <f>IF($K219="","",IFERROR(INDEX('ערכים טכנולוגיים'!$N$2:$500,MATCH(A219,'ערכים טכנולוגיים'!$A$2:$500,0)),""))</f>
        <v/>
      </c>
    </row>
    <row r="220">
      <c r="A220" s="8">
        <f>IF($K220="","",INDEX(מלאי!$D$2:$500,$K220))</f>
        <v/>
      </c>
      <c r="B220" s="8">
        <f>IF($K220="","",INDEX(מלאי!$B$2:$500,$K220))</f>
        <v/>
      </c>
      <c r="C220" s="8">
        <f>IF($K220="","",INDEX(מלאי!$C$2:$500,$K220))</f>
        <v/>
      </c>
      <c r="D220" s="8">
        <f>IF($K220="","",INDEX(מלאי!$G$2:$500,$K220))</f>
        <v/>
      </c>
      <c r="E220" s="8">
        <f>IF($K220="","",INDEX(מלאי!$M$2:$500,$K220))</f>
        <v/>
      </c>
      <c r="F220" s="8">
        <f>IF($K220="","",INDEX(מלאי!$N$2:$500,$K220))</f>
        <v/>
      </c>
      <c r="G220" s="8">
        <f>IF($K220="","",INDEX(מלאי!$O$2:$500,$K220))</f>
        <v/>
      </c>
      <c r="H220" s="8">
        <f>IF($K220="","",INDEX(מלאי!$U$2:$500,$K220))</f>
        <v/>
      </c>
      <c r="I220" s="8">
        <f>IF($K220="","",INDEX(מלאי!$X$2:$500,$K220))</f>
        <v/>
      </c>
      <c r="J220" s="8">
        <f>IF($K220="","",INDEX(מלאי!$AC$2:$500,$K220))</f>
        <v/>
      </c>
      <c r="K22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טכנולוגיים'!$A$2:$500,0))&lt;=$G$6),0))),ROW(מלאי!$A$2:$A$500)-ROW(מלאי!$A$2)+1,""),198),"")</f>
        <v/>
      </c>
      <c r="L220" s="8">
        <f>IF($K220="","",IFERROR(INDEX('ערכים טכנולוגיים'!$K$2:$500,MATCH(A220,'ערכים טכנולוגיים'!$A$2:$500,0)),""))</f>
        <v/>
      </c>
      <c r="M220" s="8">
        <f>IF($K220="","",IFERROR(INDEX('ערכים טכנולוגיים'!$F$2:$500,MATCH(A220,'ערכים טכנולוגיים'!$A$2:$500,0)),""))</f>
        <v/>
      </c>
      <c r="N220" s="8">
        <f>IF($K220="","",IFERROR(INDEX('ערכים טכנולוגיים'!$I$2:$500,MATCH(A220,'ערכים טכנולוגיים'!$A$2:$500,0)),""))</f>
        <v/>
      </c>
      <c r="O220" s="8">
        <f>IF($K220="","",IFERROR(INDEX('ערכים טכנולוגיים'!$G$2:$500,MATCH(A220,'ערכים טכנולוגיים'!$A$2:$500,0)),""))</f>
        <v/>
      </c>
      <c r="P220" s="8">
        <f>IF($K220="","",IFERROR(INDEX('ערכים טכנולוגיים'!$J$2:$500,MATCH(A220,'ערכים טכנולוגיים'!$A$2:$500,0)),""))</f>
        <v/>
      </c>
      <c r="Q220" s="8">
        <f>IF($K220="","",IFERROR(INDEX('ערכים טכנולוגיים'!$N$2:$500,MATCH(A220,'ערכים טכנולוגיים'!$A$2:$500,0)),""))</f>
        <v/>
      </c>
    </row>
    <row r="221">
      <c r="A221" s="2">
        <f>IF($K221="","",INDEX(מלאי!$D$2:$500,$K221))</f>
        <v/>
      </c>
      <c r="B221" s="2">
        <f>IF($K221="","",INDEX(מלאי!$B$2:$500,$K221))</f>
        <v/>
      </c>
      <c r="C221" s="2">
        <f>IF($K221="","",INDEX(מלאי!$C$2:$500,$K221))</f>
        <v/>
      </c>
      <c r="D221" s="2">
        <f>IF($K221="","",INDEX(מלאי!$G$2:$500,$K221))</f>
        <v/>
      </c>
      <c r="E221" s="2">
        <f>IF($K221="","",INDEX(מלאי!$M$2:$500,$K221))</f>
        <v/>
      </c>
      <c r="F221" s="2">
        <f>IF($K221="","",INDEX(מלאי!$N$2:$500,$K221))</f>
        <v/>
      </c>
      <c r="G221" s="2">
        <f>IF($K221="","",INDEX(מלאי!$O$2:$500,$K221))</f>
        <v/>
      </c>
      <c r="H221" s="2">
        <f>IF($K221="","",INDEX(מלאי!$U$2:$500,$K221))</f>
        <v/>
      </c>
      <c r="I221" s="2">
        <f>IF($K221="","",INDEX(מלאי!$X$2:$500,$K221))</f>
        <v/>
      </c>
      <c r="J221" s="2">
        <f>IF($K221="","",INDEX(מלאי!$AC$2:$500,$K221))</f>
        <v/>
      </c>
      <c r="K22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טכנולוגיים'!$A$2:$500,0))&lt;=$G$6),0))),ROW(מלאי!$A$2:$A$500)-ROW(מלאי!$A$2)+1,""),199),"")</f>
        <v/>
      </c>
      <c r="L221" s="2">
        <f>IF($K221="","",IFERROR(INDEX('ערכים טכנולוגיים'!$K$2:$500,MATCH(A221,'ערכים טכנולוגיים'!$A$2:$500,0)),""))</f>
        <v/>
      </c>
      <c r="M221" s="2">
        <f>IF($K221="","",IFERROR(INDEX('ערכים טכנולוגיים'!$F$2:$500,MATCH(A221,'ערכים טכנולוגיים'!$A$2:$500,0)),""))</f>
        <v/>
      </c>
      <c r="N221" s="2">
        <f>IF($K221="","",IFERROR(INDEX('ערכים טכנולוגיים'!$I$2:$500,MATCH(A221,'ערכים טכנולוגיים'!$A$2:$500,0)),""))</f>
        <v/>
      </c>
      <c r="O221" s="2">
        <f>IF($K221="","",IFERROR(INDEX('ערכים טכנולוגיים'!$G$2:$500,MATCH(A221,'ערכים טכנולוגיים'!$A$2:$500,0)),""))</f>
        <v/>
      </c>
      <c r="P221" s="2">
        <f>IF($K221="","",IFERROR(INDEX('ערכים טכנולוגיים'!$J$2:$500,MATCH(A221,'ערכים טכנולוגיים'!$A$2:$500,0)),""))</f>
        <v/>
      </c>
      <c r="Q221" s="2">
        <f>IF($K221="","",IFERROR(INDEX('ערכים טכנולוגיים'!$N$2:$500,MATCH(A221,'ערכים טכנולוגיים'!$A$2:$500,0)),""))</f>
        <v/>
      </c>
    </row>
    <row r="222">
      <c r="A222" s="8">
        <f>IF($K222="","",INDEX(מלאי!$D$2:$500,$K222))</f>
        <v/>
      </c>
      <c r="B222" s="8">
        <f>IF($K222="","",INDEX(מלאי!$B$2:$500,$K222))</f>
        <v/>
      </c>
      <c r="C222" s="8">
        <f>IF($K222="","",INDEX(מלאי!$C$2:$500,$K222))</f>
        <v/>
      </c>
      <c r="D222" s="8">
        <f>IF($K222="","",INDEX(מלאי!$G$2:$500,$K222))</f>
        <v/>
      </c>
      <c r="E222" s="8">
        <f>IF($K222="","",INDEX(מלאי!$M$2:$500,$K222))</f>
        <v/>
      </c>
      <c r="F222" s="8">
        <f>IF($K222="","",INDEX(מלאי!$N$2:$500,$K222))</f>
        <v/>
      </c>
      <c r="G222" s="8">
        <f>IF($K222="","",INDEX(מלאי!$O$2:$500,$K222))</f>
        <v/>
      </c>
      <c r="H222" s="8">
        <f>IF($K222="","",INDEX(מלאי!$U$2:$500,$K222))</f>
        <v/>
      </c>
      <c r="I222" s="8">
        <f>IF($K222="","",INDEX(מלאי!$X$2:$500,$K222))</f>
        <v/>
      </c>
      <c r="J222" s="8">
        <f>IF($K222="","",INDEX(מלאי!$AC$2:$500,$K222))</f>
        <v/>
      </c>
      <c r="K22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טכנולוגיים'!$A$2:$500,0))&lt;=$G$6),0))),ROW(מלאי!$A$2:$A$500)-ROW(מלאי!$A$2)+1,""),200),"")</f>
        <v/>
      </c>
      <c r="L222" s="8">
        <f>IF($K222="","",IFERROR(INDEX('ערכים טכנולוגיים'!$K$2:$500,MATCH(A222,'ערכים טכנולוגיים'!$A$2:$500,0)),""))</f>
        <v/>
      </c>
      <c r="M222" s="8">
        <f>IF($K222="","",IFERROR(INDEX('ערכים טכנולוגיים'!$F$2:$500,MATCH(A222,'ערכים טכנולוגיים'!$A$2:$500,0)),""))</f>
        <v/>
      </c>
      <c r="N222" s="8">
        <f>IF($K222="","",IFERROR(INDEX('ערכים טכנולוגיים'!$I$2:$500,MATCH(A222,'ערכים טכנולוגיים'!$A$2:$500,0)),""))</f>
        <v/>
      </c>
      <c r="O222" s="8">
        <f>IF($K222="","",IFERROR(INDEX('ערכים טכנולוגיים'!$G$2:$500,MATCH(A222,'ערכים טכנולוגיים'!$A$2:$500,0)),""))</f>
        <v/>
      </c>
      <c r="P222" s="8">
        <f>IF($K222="","",IFERROR(INDEX('ערכים טכנולוגיים'!$J$2:$500,MATCH(A222,'ערכים טכנולוגיים'!$A$2:$500,0)),""))</f>
        <v/>
      </c>
      <c r="Q222" s="8">
        <f>IF($K222="","",IFERROR(INDEX('ערכים טכנולוגיים'!$N$2:$500,MATCH(A222,'ערכים טכנולוגיים'!$A$2:$500,0)),""))</f>
        <v/>
      </c>
    </row>
    <row r="223">
      <c r="A223" s="2">
        <f>IF($K223="","",INDEX(מלאי!$D$2:$500,$K223))</f>
        <v/>
      </c>
      <c r="B223" s="2">
        <f>IF($K223="","",INDEX(מלאי!$B$2:$500,$K223))</f>
        <v/>
      </c>
      <c r="C223" s="2">
        <f>IF($K223="","",INDEX(מלאי!$C$2:$500,$K223))</f>
        <v/>
      </c>
      <c r="D223" s="2">
        <f>IF($K223="","",INDEX(מלאי!$G$2:$500,$K223))</f>
        <v/>
      </c>
      <c r="E223" s="2">
        <f>IF($K223="","",INDEX(מלאי!$M$2:$500,$K223))</f>
        <v/>
      </c>
      <c r="F223" s="2">
        <f>IF($K223="","",INDEX(מלאי!$N$2:$500,$K223))</f>
        <v/>
      </c>
      <c r="G223" s="2">
        <f>IF($K223="","",INDEX(מלאי!$O$2:$500,$K223))</f>
        <v/>
      </c>
      <c r="H223" s="2">
        <f>IF($K223="","",INDEX(מלאי!$U$2:$500,$K223))</f>
        <v/>
      </c>
      <c r="I223" s="2">
        <f>IF($K223="","",INDEX(מלאי!$X$2:$500,$K223))</f>
        <v/>
      </c>
      <c r="J223" s="2">
        <f>IF($K223="","",INDEX(מלאי!$AC$2:$500,$K223))</f>
        <v/>
      </c>
      <c r="K22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טכנולוגיים'!$A$2:$500,0))&lt;=$G$6),0))),ROW(מלאי!$A$2:$A$500)-ROW(מלאי!$A$2)+1,""),201),"")</f>
        <v/>
      </c>
      <c r="L223" s="2">
        <f>IF($K223="","",IFERROR(INDEX('ערכים טכנולוגיים'!$K$2:$500,MATCH(A223,'ערכים טכנולוגיים'!$A$2:$500,0)),""))</f>
        <v/>
      </c>
      <c r="M223" s="2">
        <f>IF($K223="","",IFERROR(INDEX('ערכים טכנולוגיים'!$F$2:$500,MATCH(A223,'ערכים טכנולוגיים'!$A$2:$500,0)),""))</f>
        <v/>
      </c>
      <c r="N223" s="2">
        <f>IF($K223="","",IFERROR(INDEX('ערכים טכנולוגיים'!$I$2:$500,MATCH(A223,'ערכים טכנולוגיים'!$A$2:$500,0)),""))</f>
        <v/>
      </c>
      <c r="O223" s="2">
        <f>IF($K223="","",IFERROR(INDEX('ערכים טכנולוגיים'!$G$2:$500,MATCH(A223,'ערכים טכנולוגיים'!$A$2:$500,0)),""))</f>
        <v/>
      </c>
      <c r="P223" s="2">
        <f>IF($K223="","",IFERROR(INDEX('ערכים טכנולוגיים'!$J$2:$500,MATCH(A223,'ערכים טכנולוגיים'!$A$2:$500,0)),""))</f>
        <v/>
      </c>
      <c r="Q223" s="2">
        <f>IF($K223="","",IFERROR(INDEX('ערכים טכנולוגיים'!$N$2:$500,MATCH(A223,'ערכים טכנולוגיים'!$A$2:$500,0)),""))</f>
        <v/>
      </c>
    </row>
    <row r="224">
      <c r="A224" s="8">
        <f>IF($K224="","",INDEX(מלאי!$D$2:$500,$K224))</f>
        <v/>
      </c>
      <c r="B224" s="8">
        <f>IF($K224="","",INDEX(מלאי!$B$2:$500,$K224))</f>
        <v/>
      </c>
      <c r="C224" s="8">
        <f>IF($K224="","",INDEX(מלאי!$C$2:$500,$K224))</f>
        <v/>
      </c>
      <c r="D224" s="8">
        <f>IF($K224="","",INDEX(מלאי!$G$2:$500,$K224))</f>
        <v/>
      </c>
      <c r="E224" s="8">
        <f>IF($K224="","",INDEX(מלאי!$M$2:$500,$K224))</f>
        <v/>
      </c>
      <c r="F224" s="8">
        <f>IF($K224="","",INDEX(מלאי!$N$2:$500,$K224))</f>
        <v/>
      </c>
      <c r="G224" s="8">
        <f>IF($K224="","",INDEX(מלאי!$O$2:$500,$K224))</f>
        <v/>
      </c>
      <c r="H224" s="8">
        <f>IF($K224="","",INDEX(מלאי!$U$2:$500,$K224))</f>
        <v/>
      </c>
      <c r="I224" s="8">
        <f>IF($K224="","",INDEX(מלאי!$X$2:$500,$K224))</f>
        <v/>
      </c>
      <c r="J224" s="8">
        <f>IF($K224="","",INDEX(מלאי!$AC$2:$500,$K224))</f>
        <v/>
      </c>
      <c r="K22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טכנולוגיים'!$A$2:$500,0))&lt;=$G$6),0))),ROW(מלאי!$A$2:$A$500)-ROW(מלאי!$A$2)+1,""),202),"")</f>
        <v/>
      </c>
      <c r="L224" s="8">
        <f>IF($K224="","",IFERROR(INDEX('ערכים טכנולוגיים'!$K$2:$500,MATCH(A224,'ערכים טכנולוגיים'!$A$2:$500,0)),""))</f>
        <v/>
      </c>
      <c r="M224" s="8">
        <f>IF($K224="","",IFERROR(INDEX('ערכים טכנולוגיים'!$F$2:$500,MATCH(A224,'ערכים טכנולוגיים'!$A$2:$500,0)),""))</f>
        <v/>
      </c>
      <c r="N224" s="8">
        <f>IF($K224="","",IFERROR(INDEX('ערכים טכנולוגיים'!$I$2:$500,MATCH(A224,'ערכים טכנולוגיים'!$A$2:$500,0)),""))</f>
        <v/>
      </c>
      <c r="O224" s="8">
        <f>IF($K224="","",IFERROR(INDEX('ערכים טכנולוגיים'!$G$2:$500,MATCH(A224,'ערכים טכנולוגיים'!$A$2:$500,0)),""))</f>
        <v/>
      </c>
      <c r="P224" s="8">
        <f>IF($K224="","",IFERROR(INDEX('ערכים טכנולוגיים'!$J$2:$500,MATCH(A224,'ערכים טכנולוגיים'!$A$2:$500,0)),""))</f>
        <v/>
      </c>
      <c r="Q224" s="8">
        <f>IF($K224="","",IFERROR(INDEX('ערכים טכנולוגיים'!$N$2:$500,MATCH(A224,'ערכים טכנולוגיים'!$A$2:$500,0)),""))</f>
        <v/>
      </c>
    </row>
    <row r="225">
      <c r="A225" s="2">
        <f>IF($K225="","",INDEX(מלאי!$D$2:$500,$K225))</f>
        <v/>
      </c>
      <c r="B225" s="2">
        <f>IF($K225="","",INDEX(מלאי!$B$2:$500,$K225))</f>
        <v/>
      </c>
      <c r="C225" s="2">
        <f>IF($K225="","",INDEX(מלאי!$C$2:$500,$K225))</f>
        <v/>
      </c>
      <c r="D225" s="2">
        <f>IF($K225="","",INDEX(מלאי!$G$2:$500,$K225))</f>
        <v/>
      </c>
      <c r="E225" s="2">
        <f>IF($K225="","",INDEX(מלאי!$M$2:$500,$K225))</f>
        <v/>
      </c>
      <c r="F225" s="2">
        <f>IF($K225="","",INDEX(מלאי!$N$2:$500,$K225))</f>
        <v/>
      </c>
      <c r="G225" s="2">
        <f>IF($K225="","",INDEX(מלאי!$O$2:$500,$K225))</f>
        <v/>
      </c>
      <c r="H225" s="2">
        <f>IF($K225="","",INDEX(מלאי!$U$2:$500,$K225))</f>
        <v/>
      </c>
      <c r="I225" s="2">
        <f>IF($K225="","",INDEX(מלאי!$X$2:$500,$K225))</f>
        <v/>
      </c>
      <c r="J225" s="2">
        <f>IF($K225="","",INDEX(מלאי!$AC$2:$500,$K225))</f>
        <v/>
      </c>
      <c r="K22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טכנולוגיים'!$A$2:$500,0))&lt;=$G$6),0))),ROW(מלאי!$A$2:$A$500)-ROW(מלאי!$A$2)+1,""),203),"")</f>
        <v/>
      </c>
      <c r="L225" s="2">
        <f>IF($K225="","",IFERROR(INDEX('ערכים טכנולוגיים'!$K$2:$500,MATCH(A225,'ערכים טכנולוגיים'!$A$2:$500,0)),""))</f>
        <v/>
      </c>
      <c r="M225" s="2">
        <f>IF($K225="","",IFERROR(INDEX('ערכים טכנולוגיים'!$F$2:$500,MATCH(A225,'ערכים טכנולוגיים'!$A$2:$500,0)),""))</f>
        <v/>
      </c>
      <c r="N225" s="2">
        <f>IF($K225="","",IFERROR(INDEX('ערכים טכנולוגיים'!$I$2:$500,MATCH(A225,'ערכים טכנולוגיים'!$A$2:$500,0)),""))</f>
        <v/>
      </c>
      <c r="O225" s="2">
        <f>IF($K225="","",IFERROR(INDEX('ערכים טכנולוגיים'!$G$2:$500,MATCH(A225,'ערכים טכנולוגיים'!$A$2:$500,0)),""))</f>
        <v/>
      </c>
      <c r="P225" s="2">
        <f>IF($K225="","",IFERROR(INDEX('ערכים טכנולוגיים'!$J$2:$500,MATCH(A225,'ערכים טכנולוגיים'!$A$2:$500,0)),""))</f>
        <v/>
      </c>
      <c r="Q225" s="2">
        <f>IF($K225="","",IFERROR(INDEX('ערכים טכנולוגיים'!$N$2:$500,MATCH(A225,'ערכים טכנולוגיים'!$A$2:$500,0)),""))</f>
        <v/>
      </c>
    </row>
    <row r="226">
      <c r="A226" s="8">
        <f>IF($K226="","",INDEX(מלאי!$D$2:$500,$K226))</f>
        <v/>
      </c>
      <c r="B226" s="8">
        <f>IF($K226="","",INDEX(מלאי!$B$2:$500,$K226))</f>
        <v/>
      </c>
      <c r="C226" s="8">
        <f>IF($K226="","",INDEX(מלאי!$C$2:$500,$K226))</f>
        <v/>
      </c>
      <c r="D226" s="8">
        <f>IF($K226="","",INDEX(מלאי!$G$2:$500,$K226))</f>
        <v/>
      </c>
      <c r="E226" s="8">
        <f>IF($K226="","",INDEX(מלאי!$M$2:$500,$K226))</f>
        <v/>
      </c>
      <c r="F226" s="8">
        <f>IF($K226="","",INDEX(מלאי!$N$2:$500,$K226))</f>
        <v/>
      </c>
      <c r="G226" s="8">
        <f>IF($K226="","",INDEX(מלאי!$O$2:$500,$K226))</f>
        <v/>
      </c>
      <c r="H226" s="8">
        <f>IF($K226="","",INDEX(מלאי!$U$2:$500,$K226))</f>
        <v/>
      </c>
      <c r="I226" s="8">
        <f>IF($K226="","",INDEX(מלאי!$X$2:$500,$K226))</f>
        <v/>
      </c>
      <c r="J226" s="8">
        <f>IF($K226="","",INDEX(מלאי!$AC$2:$500,$K226))</f>
        <v/>
      </c>
      <c r="K22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טכנולוגיים'!$A$2:$500,0))&lt;=$G$6),0))),ROW(מלאי!$A$2:$A$500)-ROW(מלאי!$A$2)+1,""),204),"")</f>
        <v/>
      </c>
      <c r="L226" s="8">
        <f>IF($K226="","",IFERROR(INDEX('ערכים טכנולוגיים'!$K$2:$500,MATCH(A226,'ערכים טכנולוגיים'!$A$2:$500,0)),""))</f>
        <v/>
      </c>
      <c r="M226" s="8">
        <f>IF($K226="","",IFERROR(INDEX('ערכים טכנולוגיים'!$F$2:$500,MATCH(A226,'ערכים טכנולוגיים'!$A$2:$500,0)),""))</f>
        <v/>
      </c>
      <c r="N226" s="8">
        <f>IF($K226="","",IFERROR(INDEX('ערכים טכנולוגיים'!$I$2:$500,MATCH(A226,'ערכים טכנולוגיים'!$A$2:$500,0)),""))</f>
        <v/>
      </c>
      <c r="O226" s="8">
        <f>IF($K226="","",IFERROR(INDEX('ערכים טכנולוגיים'!$G$2:$500,MATCH(A226,'ערכים טכנולוגיים'!$A$2:$500,0)),""))</f>
        <v/>
      </c>
      <c r="P226" s="8">
        <f>IF($K226="","",IFERROR(INDEX('ערכים טכנולוגיים'!$J$2:$500,MATCH(A226,'ערכים טכנולוגיים'!$A$2:$500,0)),""))</f>
        <v/>
      </c>
      <c r="Q226" s="8">
        <f>IF($K226="","",IFERROR(INDEX('ערכים טכנולוגיים'!$N$2:$500,MATCH(A226,'ערכים טכנולוגיים'!$A$2:$500,0)),""))</f>
        <v/>
      </c>
    </row>
    <row r="227">
      <c r="A227" s="2">
        <f>IF($K227="","",INDEX(מלאי!$D$2:$500,$K227))</f>
        <v/>
      </c>
      <c r="B227" s="2">
        <f>IF($K227="","",INDEX(מלאי!$B$2:$500,$K227))</f>
        <v/>
      </c>
      <c r="C227" s="2">
        <f>IF($K227="","",INDEX(מלאי!$C$2:$500,$K227))</f>
        <v/>
      </c>
      <c r="D227" s="2">
        <f>IF($K227="","",INDEX(מלאי!$G$2:$500,$K227))</f>
        <v/>
      </c>
      <c r="E227" s="2">
        <f>IF($K227="","",INDEX(מלאי!$M$2:$500,$K227))</f>
        <v/>
      </c>
      <c r="F227" s="2">
        <f>IF($K227="","",INDEX(מלאי!$N$2:$500,$K227))</f>
        <v/>
      </c>
      <c r="G227" s="2">
        <f>IF($K227="","",INDEX(מלאי!$O$2:$500,$K227))</f>
        <v/>
      </c>
      <c r="H227" s="2">
        <f>IF($K227="","",INDEX(מלאי!$U$2:$500,$K227))</f>
        <v/>
      </c>
      <c r="I227" s="2">
        <f>IF($K227="","",INDEX(מלאי!$X$2:$500,$K227))</f>
        <v/>
      </c>
      <c r="J227" s="2">
        <f>IF($K227="","",INDEX(מלאי!$AC$2:$500,$K227))</f>
        <v/>
      </c>
      <c r="K22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טכנולוגיים'!$A$2:$500,0))&lt;=$G$6),0))),ROW(מלאי!$A$2:$A$500)-ROW(מלאי!$A$2)+1,""),205),"")</f>
        <v/>
      </c>
      <c r="L227" s="2">
        <f>IF($K227="","",IFERROR(INDEX('ערכים טכנולוגיים'!$K$2:$500,MATCH(A227,'ערכים טכנולוגיים'!$A$2:$500,0)),""))</f>
        <v/>
      </c>
      <c r="M227" s="2">
        <f>IF($K227="","",IFERROR(INDEX('ערכים טכנולוגיים'!$F$2:$500,MATCH(A227,'ערכים טכנולוגיים'!$A$2:$500,0)),""))</f>
        <v/>
      </c>
      <c r="N227" s="2">
        <f>IF($K227="","",IFERROR(INDEX('ערכים טכנולוגיים'!$I$2:$500,MATCH(A227,'ערכים טכנולוגיים'!$A$2:$500,0)),""))</f>
        <v/>
      </c>
      <c r="O227" s="2">
        <f>IF($K227="","",IFERROR(INDEX('ערכים טכנולוגיים'!$G$2:$500,MATCH(A227,'ערכים טכנולוגיים'!$A$2:$500,0)),""))</f>
        <v/>
      </c>
      <c r="P227" s="2">
        <f>IF($K227="","",IFERROR(INDEX('ערכים טכנולוגיים'!$J$2:$500,MATCH(A227,'ערכים טכנולוגיים'!$A$2:$500,0)),""))</f>
        <v/>
      </c>
      <c r="Q227" s="2">
        <f>IF($K227="","",IFERROR(INDEX('ערכים טכנולוגיים'!$N$2:$500,MATCH(A227,'ערכים טכנולוגיים'!$A$2:$500,0)),""))</f>
        <v/>
      </c>
    </row>
    <row r="228">
      <c r="A228" s="8">
        <f>IF($K228="","",INDEX(מלאי!$D$2:$500,$K228))</f>
        <v/>
      </c>
      <c r="B228" s="8">
        <f>IF($K228="","",INDEX(מלאי!$B$2:$500,$K228))</f>
        <v/>
      </c>
      <c r="C228" s="8">
        <f>IF($K228="","",INDEX(מלאי!$C$2:$500,$K228))</f>
        <v/>
      </c>
      <c r="D228" s="8">
        <f>IF($K228="","",INDEX(מלאי!$G$2:$500,$K228))</f>
        <v/>
      </c>
      <c r="E228" s="8">
        <f>IF($K228="","",INDEX(מלאי!$M$2:$500,$K228))</f>
        <v/>
      </c>
      <c r="F228" s="8">
        <f>IF($K228="","",INDEX(מלאי!$N$2:$500,$K228))</f>
        <v/>
      </c>
      <c r="G228" s="8">
        <f>IF($K228="","",INDEX(מלאי!$O$2:$500,$K228))</f>
        <v/>
      </c>
      <c r="H228" s="8">
        <f>IF($K228="","",INDEX(מלאי!$U$2:$500,$K228))</f>
        <v/>
      </c>
      <c r="I228" s="8">
        <f>IF($K228="","",INDEX(מלאי!$X$2:$500,$K228))</f>
        <v/>
      </c>
      <c r="J228" s="8">
        <f>IF($K228="","",INDEX(מלאי!$AC$2:$500,$K228))</f>
        <v/>
      </c>
      <c r="K22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טכנולוגיים'!$A$2:$500,0))&lt;=$G$6),0))),ROW(מלאי!$A$2:$A$500)-ROW(מלאי!$A$2)+1,""),206),"")</f>
        <v/>
      </c>
      <c r="L228" s="8">
        <f>IF($K228="","",IFERROR(INDEX('ערכים טכנולוגיים'!$K$2:$500,MATCH(A228,'ערכים טכנולוגיים'!$A$2:$500,0)),""))</f>
        <v/>
      </c>
      <c r="M228" s="8">
        <f>IF($K228="","",IFERROR(INDEX('ערכים טכנולוגיים'!$F$2:$500,MATCH(A228,'ערכים טכנולוגיים'!$A$2:$500,0)),""))</f>
        <v/>
      </c>
      <c r="N228" s="8">
        <f>IF($K228="","",IFERROR(INDEX('ערכים טכנולוגיים'!$I$2:$500,MATCH(A228,'ערכים טכנולוגיים'!$A$2:$500,0)),""))</f>
        <v/>
      </c>
      <c r="O228" s="8">
        <f>IF($K228="","",IFERROR(INDEX('ערכים טכנולוגיים'!$G$2:$500,MATCH(A228,'ערכים טכנולוגיים'!$A$2:$500,0)),""))</f>
        <v/>
      </c>
      <c r="P228" s="8">
        <f>IF($K228="","",IFERROR(INDEX('ערכים טכנולוגיים'!$J$2:$500,MATCH(A228,'ערכים טכנולוגיים'!$A$2:$500,0)),""))</f>
        <v/>
      </c>
      <c r="Q228" s="8">
        <f>IF($K228="","",IFERROR(INDEX('ערכים טכנולוגיים'!$N$2:$500,MATCH(A228,'ערכים טכנולוגיים'!$A$2:$500,0)),""))</f>
        <v/>
      </c>
    </row>
    <row r="229">
      <c r="A229" s="2">
        <f>IF($K229="","",INDEX(מלאי!$D$2:$500,$K229))</f>
        <v/>
      </c>
      <c r="B229" s="2">
        <f>IF($K229="","",INDEX(מלאי!$B$2:$500,$K229))</f>
        <v/>
      </c>
      <c r="C229" s="2">
        <f>IF($K229="","",INDEX(מלאי!$C$2:$500,$K229))</f>
        <v/>
      </c>
      <c r="D229" s="2">
        <f>IF($K229="","",INDEX(מלאי!$G$2:$500,$K229))</f>
        <v/>
      </c>
      <c r="E229" s="2">
        <f>IF($K229="","",INDEX(מלאי!$M$2:$500,$K229))</f>
        <v/>
      </c>
      <c r="F229" s="2">
        <f>IF($K229="","",INDEX(מלאי!$N$2:$500,$K229))</f>
        <v/>
      </c>
      <c r="G229" s="2">
        <f>IF($K229="","",INDEX(מלאי!$O$2:$500,$K229))</f>
        <v/>
      </c>
      <c r="H229" s="2">
        <f>IF($K229="","",INDEX(מלאי!$U$2:$500,$K229))</f>
        <v/>
      </c>
      <c r="I229" s="2">
        <f>IF($K229="","",INDEX(מלאי!$X$2:$500,$K229))</f>
        <v/>
      </c>
      <c r="J229" s="2">
        <f>IF($K229="","",INDEX(מלאי!$AC$2:$500,$K229))</f>
        <v/>
      </c>
      <c r="K22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טכנולוגיים'!$A$2:$500,0))&lt;=$G$6),0))),ROW(מלאי!$A$2:$A$500)-ROW(מלאי!$A$2)+1,""),207),"")</f>
        <v/>
      </c>
      <c r="L229" s="2">
        <f>IF($K229="","",IFERROR(INDEX('ערכים טכנולוגיים'!$K$2:$500,MATCH(A229,'ערכים טכנולוגיים'!$A$2:$500,0)),""))</f>
        <v/>
      </c>
      <c r="M229" s="2">
        <f>IF($K229="","",IFERROR(INDEX('ערכים טכנולוגיים'!$F$2:$500,MATCH(A229,'ערכים טכנולוגיים'!$A$2:$500,0)),""))</f>
        <v/>
      </c>
      <c r="N229" s="2">
        <f>IF($K229="","",IFERROR(INDEX('ערכים טכנולוגיים'!$I$2:$500,MATCH(A229,'ערכים טכנולוגיים'!$A$2:$500,0)),""))</f>
        <v/>
      </c>
      <c r="O229" s="2">
        <f>IF($K229="","",IFERROR(INDEX('ערכים טכנולוגיים'!$G$2:$500,MATCH(A229,'ערכים טכנולוגיים'!$A$2:$500,0)),""))</f>
        <v/>
      </c>
      <c r="P229" s="2">
        <f>IF($K229="","",IFERROR(INDEX('ערכים טכנולוגיים'!$J$2:$500,MATCH(A229,'ערכים טכנולוגיים'!$A$2:$500,0)),""))</f>
        <v/>
      </c>
      <c r="Q229" s="2">
        <f>IF($K229="","",IFERROR(INDEX('ערכים טכנולוגיים'!$N$2:$500,MATCH(A229,'ערכים טכנולוגיים'!$A$2:$500,0)),""))</f>
        <v/>
      </c>
    </row>
    <row r="230">
      <c r="A230" s="8">
        <f>IF($K230="","",INDEX(מלאי!$D$2:$500,$K230))</f>
        <v/>
      </c>
      <c r="B230" s="8">
        <f>IF($K230="","",INDEX(מלאי!$B$2:$500,$K230))</f>
        <v/>
      </c>
      <c r="C230" s="8">
        <f>IF($K230="","",INDEX(מלאי!$C$2:$500,$K230))</f>
        <v/>
      </c>
      <c r="D230" s="8">
        <f>IF($K230="","",INDEX(מלאי!$G$2:$500,$K230))</f>
        <v/>
      </c>
      <c r="E230" s="8">
        <f>IF($K230="","",INDEX(מלאי!$M$2:$500,$K230))</f>
        <v/>
      </c>
      <c r="F230" s="8">
        <f>IF($K230="","",INDEX(מלאי!$N$2:$500,$K230))</f>
        <v/>
      </c>
      <c r="G230" s="8">
        <f>IF($K230="","",INDEX(מלאי!$O$2:$500,$K230))</f>
        <v/>
      </c>
      <c r="H230" s="8">
        <f>IF($K230="","",INDEX(מלאי!$U$2:$500,$K230))</f>
        <v/>
      </c>
      <c r="I230" s="8">
        <f>IF($K230="","",INDEX(מלאי!$X$2:$500,$K230))</f>
        <v/>
      </c>
      <c r="J230" s="8">
        <f>IF($K230="","",INDEX(מלאי!$AC$2:$500,$K230))</f>
        <v/>
      </c>
      <c r="K23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טכנולוגיים'!$A$2:$500,0))&lt;=$G$6),0))),ROW(מלאי!$A$2:$A$500)-ROW(מלאי!$A$2)+1,""),208),"")</f>
        <v/>
      </c>
      <c r="L230" s="8">
        <f>IF($K230="","",IFERROR(INDEX('ערכים טכנולוגיים'!$K$2:$500,MATCH(A230,'ערכים טכנולוגיים'!$A$2:$500,0)),""))</f>
        <v/>
      </c>
      <c r="M230" s="8">
        <f>IF($K230="","",IFERROR(INDEX('ערכים טכנולוגיים'!$F$2:$500,MATCH(A230,'ערכים טכנולוגיים'!$A$2:$500,0)),""))</f>
        <v/>
      </c>
      <c r="N230" s="8">
        <f>IF($K230="","",IFERROR(INDEX('ערכים טכנולוגיים'!$I$2:$500,MATCH(A230,'ערכים טכנולוגיים'!$A$2:$500,0)),""))</f>
        <v/>
      </c>
      <c r="O230" s="8">
        <f>IF($K230="","",IFERROR(INDEX('ערכים טכנולוגיים'!$G$2:$500,MATCH(A230,'ערכים טכנולוגיים'!$A$2:$500,0)),""))</f>
        <v/>
      </c>
      <c r="P230" s="8">
        <f>IF($K230="","",IFERROR(INDEX('ערכים טכנולוגיים'!$J$2:$500,MATCH(A230,'ערכים טכנולוגיים'!$A$2:$500,0)),""))</f>
        <v/>
      </c>
      <c r="Q230" s="8">
        <f>IF($K230="","",IFERROR(INDEX('ערכים טכנולוגיים'!$N$2:$500,MATCH(A230,'ערכים טכנולוגיים'!$A$2:$500,0)),""))</f>
        <v/>
      </c>
    </row>
    <row r="231">
      <c r="A231" s="2">
        <f>IF($K231="","",INDEX(מלאי!$D$2:$500,$K231))</f>
        <v/>
      </c>
      <c r="B231" s="2">
        <f>IF($K231="","",INDEX(מלאי!$B$2:$500,$K231))</f>
        <v/>
      </c>
      <c r="C231" s="2">
        <f>IF($K231="","",INDEX(מלאי!$C$2:$500,$K231))</f>
        <v/>
      </c>
      <c r="D231" s="2">
        <f>IF($K231="","",INDEX(מלאי!$G$2:$500,$K231))</f>
        <v/>
      </c>
      <c r="E231" s="2">
        <f>IF($K231="","",INDEX(מלאי!$M$2:$500,$K231))</f>
        <v/>
      </c>
      <c r="F231" s="2">
        <f>IF($K231="","",INDEX(מלאי!$N$2:$500,$K231))</f>
        <v/>
      </c>
      <c r="G231" s="2">
        <f>IF($K231="","",INDEX(מלאי!$O$2:$500,$K231))</f>
        <v/>
      </c>
      <c r="H231" s="2">
        <f>IF($K231="","",INDEX(מלאי!$U$2:$500,$K231))</f>
        <v/>
      </c>
      <c r="I231" s="2">
        <f>IF($K231="","",INDEX(מלאי!$X$2:$500,$K231))</f>
        <v/>
      </c>
      <c r="J231" s="2">
        <f>IF($K231="","",INDEX(מלאי!$AC$2:$500,$K231))</f>
        <v/>
      </c>
      <c r="K23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טכנולוגיים'!$A$2:$500,0))&lt;=$G$6),0))),ROW(מלאי!$A$2:$A$500)-ROW(מלאי!$A$2)+1,""),209),"")</f>
        <v/>
      </c>
      <c r="L231" s="2">
        <f>IF($K231="","",IFERROR(INDEX('ערכים טכנולוגיים'!$K$2:$500,MATCH(A231,'ערכים טכנולוגיים'!$A$2:$500,0)),""))</f>
        <v/>
      </c>
      <c r="M231" s="2">
        <f>IF($K231="","",IFERROR(INDEX('ערכים טכנולוגיים'!$F$2:$500,MATCH(A231,'ערכים טכנולוגיים'!$A$2:$500,0)),""))</f>
        <v/>
      </c>
      <c r="N231" s="2">
        <f>IF($K231="","",IFERROR(INDEX('ערכים טכנולוגיים'!$I$2:$500,MATCH(A231,'ערכים טכנולוגיים'!$A$2:$500,0)),""))</f>
        <v/>
      </c>
      <c r="O231" s="2">
        <f>IF($K231="","",IFERROR(INDEX('ערכים טכנולוגיים'!$G$2:$500,MATCH(A231,'ערכים טכנולוגיים'!$A$2:$500,0)),""))</f>
        <v/>
      </c>
      <c r="P231" s="2">
        <f>IF($K231="","",IFERROR(INDEX('ערכים טכנולוגיים'!$J$2:$500,MATCH(A231,'ערכים טכנולוגיים'!$A$2:$500,0)),""))</f>
        <v/>
      </c>
      <c r="Q231" s="2">
        <f>IF($K231="","",IFERROR(INDEX('ערכים טכנולוגיים'!$N$2:$500,MATCH(A231,'ערכים טכנולוגיים'!$A$2:$500,0)),""))</f>
        <v/>
      </c>
    </row>
    <row r="232">
      <c r="A232" s="8">
        <f>IF($K232="","",INDEX(מלאי!$D$2:$500,$K232))</f>
        <v/>
      </c>
      <c r="B232" s="8">
        <f>IF($K232="","",INDEX(מלאי!$B$2:$500,$K232))</f>
        <v/>
      </c>
      <c r="C232" s="8">
        <f>IF($K232="","",INDEX(מלאי!$C$2:$500,$K232))</f>
        <v/>
      </c>
      <c r="D232" s="8">
        <f>IF($K232="","",INDEX(מלאי!$G$2:$500,$K232))</f>
        <v/>
      </c>
      <c r="E232" s="8">
        <f>IF($K232="","",INDEX(מלאי!$M$2:$500,$K232))</f>
        <v/>
      </c>
      <c r="F232" s="8">
        <f>IF($K232="","",INDEX(מלאי!$N$2:$500,$K232))</f>
        <v/>
      </c>
      <c r="G232" s="8">
        <f>IF($K232="","",INDEX(מלאי!$O$2:$500,$K232))</f>
        <v/>
      </c>
      <c r="H232" s="8">
        <f>IF($K232="","",INDEX(מלאי!$U$2:$500,$K232))</f>
        <v/>
      </c>
      <c r="I232" s="8">
        <f>IF($K232="","",INDEX(מלאי!$X$2:$500,$K232))</f>
        <v/>
      </c>
      <c r="J232" s="8">
        <f>IF($K232="","",INDEX(מלאי!$AC$2:$500,$K232))</f>
        <v/>
      </c>
      <c r="K23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טכנולוגיים'!$A$2:$500,0))&lt;=$G$6),0))),ROW(מלאי!$A$2:$A$500)-ROW(מלאי!$A$2)+1,""),210),"")</f>
        <v/>
      </c>
      <c r="L232" s="8">
        <f>IF($K232="","",IFERROR(INDEX('ערכים טכנולוגיים'!$K$2:$500,MATCH(A232,'ערכים טכנולוגיים'!$A$2:$500,0)),""))</f>
        <v/>
      </c>
      <c r="M232" s="8">
        <f>IF($K232="","",IFERROR(INDEX('ערכים טכנולוגיים'!$F$2:$500,MATCH(A232,'ערכים טכנולוגיים'!$A$2:$500,0)),""))</f>
        <v/>
      </c>
      <c r="N232" s="8">
        <f>IF($K232="","",IFERROR(INDEX('ערכים טכנולוגיים'!$I$2:$500,MATCH(A232,'ערכים טכנולוגיים'!$A$2:$500,0)),""))</f>
        <v/>
      </c>
      <c r="O232" s="8">
        <f>IF($K232="","",IFERROR(INDEX('ערכים טכנולוגיים'!$G$2:$500,MATCH(A232,'ערכים טכנולוגיים'!$A$2:$500,0)),""))</f>
        <v/>
      </c>
      <c r="P232" s="8">
        <f>IF($K232="","",IFERROR(INDEX('ערכים טכנולוגיים'!$J$2:$500,MATCH(A232,'ערכים טכנולוגיים'!$A$2:$500,0)),""))</f>
        <v/>
      </c>
      <c r="Q232" s="8">
        <f>IF($K232="","",IFERROR(INDEX('ערכים טכנולוגיים'!$N$2:$500,MATCH(A232,'ערכים טכנולוגיים'!$A$2:$500,0)),""))</f>
        <v/>
      </c>
    </row>
    <row r="233">
      <c r="A233" s="2">
        <f>IF($K233="","",INDEX(מלאי!$D$2:$500,$K233))</f>
        <v/>
      </c>
      <c r="B233" s="2">
        <f>IF($K233="","",INDEX(מלאי!$B$2:$500,$K233))</f>
        <v/>
      </c>
      <c r="C233" s="2">
        <f>IF($K233="","",INDEX(מלאי!$C$2:$500,$K233))</f>
        <v/>
      </c>
      <c r="D233" s="2">
        <f>IF($K233="","",INDEX(מלאי!$G$2:$500,$K233))</f>
        <v/>
      </c>
      <c r="E233" s="2">
        <f>IF($K233="","",INDEX(מלאי!$M$2:$500,$K233))</f>
        <v/>
      </c>
      <c r="F233" s="2">
        <f>IF($K233="","",INDEX(מלאי!$N$2:$500,$K233))</f>
        <v/>
      </c>
      <c r="G233" s="2">
        <f>IF($K233="","",INDEX(מלאי!$O$2:$500,$K233))</f>
        <v/>
      </c>
      <c r="H233" s="2">
        <f>IF($K233="","",INDEX(מלאי!$U$2:$500,$K233))</f>
        <v/>
      </c>
      <c r="I233" s="2">
        <f>IF($K233="","",INDEX(מלאי!$X$2:$500,$K233))</f>
        <v/>
      </c>
      <c r="J233" s="2">
        <f>IF($K233="","",INDEX(מלאי!$AC$2:$500,$K233))</f>
        <v/>
      </c>
      <c r="K23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טכנולוגיים'!$A$2:$500,0))&lt;=$G$6),0))),ROW(מלאי!$A$2:$A$500)-ROW(מלאי!$A$2)+1,""),211),"")</f>
        <v/>
      </c>
      <c r="L233" s="2">
        <f>IF($K233="","",IFERROR(INDEX('ערכים טכנולוגיים'!$K$2:$500,MATCH(A233,'ערכים טכנולוגיים'!$A$2:$500,0)),""))</f>
        <v/>
      </c>
      <c r="M233" s="2">
        <f>IF($K233="","",IFERROR(INDEX('ערכים טכנולוגיים'!$F$2:$500,MATCH(A233,'ערכים טכנולוגיים'!$A$2:$500,0)),""))</f>
        <v/>
      </c>
      <c r="N233" s="2">
        <f>IF($K233="","",IFERROR(INDEX('ערכים טכנולוגיים'!$I$2:$500,MATCH(A233,'ערכים טכנולוגיים'!$A$2:$500,0)),""))</f>
        <v/>
      </c>
      <c r="O233" s="2">
        <f>IF($K233="","",IFERROR(INDEX('ערכים טכנולוגיים'!$G$2:$500,MATCH(A233,'ערכים טכנולוגיים'!$A$2:$500,0)),""))</f>
        <v/>
      </c>
      <c r="P233" s="2">
        <f>IF($K233="","",IFERROR(INDEX('ערכים טכנולוגיים'!$J$2:$500,MATCH(A233,'ערכים טכנולוגיים'!$A$2:$500,0)),""))</f>
        <v/>
      </c>
      <c r="Q233" s="2">
        <f>IF($K233="","",IFERROR(INDEX('ערכים טכנולוגיים'!$N$2:$500,MATCH(A233,'ערכים טכנולוגיים'!$A$2:$500,0)),""))</f>
        <v/>
      </c>
    </row>
    <row r="234">
      <c r="A234" s="8">
        <f>IF($K234="","",INDEX(מלאי!$D$2:$500,$K234))</f>
        <v/>
      </c>
      <c r="B234" s="8">
        <f>IF($K234="","",INDEX(מלאי!$B$2:$500,$K234))</f>
        <v/>
      </c>
      <c r="C234" s="8">
        <f>IF($K234="","",INDEX(מלאי!$C$2:$500,$K234))</f>
        <v/>
      </c>
      <c r="D234" s="8">
        <f>IF($K234="","",INDEX(מלאי!$G$2:$500,$K234))</f>
        <v/>
      </c>
      <c r="E234" s="8">
        <f>IF($K234="","",INDEX(מלאי!$M$2:$500,$K234))</f>
        <v/>
      </c>
      <c r="F234" s="8">
        <f>IF($K234="","",INDEX(מלאי!$N$2:$500,$K234))</f>
        <v/>
      </c>
      <c r="G234" s="8">
        <f>IF($K234="","",INDEX(מלאי!$O$2:$500,$K234))</f>
        <v/>
      </c>
      <c r="H234" s="8">
        <f>IF($K234="","",INDEX(מלאי!$U$2:$500,$K234))</f>
        <v/>
      </c>
      <c r="I234" s="8">
        <f>IF($K234="","",INDEX(מלאי!$X$2:$500,$K234))</f>
        <v/>
      </c>
      <c r="J234" s="8">
        <f>IF($K234="","",INDEX(מלאי!$AC$2:$500,$K234))</f>
        <v/>
      </c>
      <c r="K23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טכנולוגיים'!$A$2:$500,0))&lt;=$G$6),0))),ROW(מלאי!$A$2:$A$500)-ROW(מלאי!$A$2)+1,""),212),"")</f>
        <v/>
      </c>
      <c r="L234" s="8">
        <f>IF($K234="","",IFERROR(INDEX('ערכים טכנולוגיים'!$K$2:$500,MATCH(A234,'ערכים טכנולוגיים'!$A$2:$500,0)),""))</f>
        <v/>
      </c>
      <c r="M234" s="8">
        <f>IF($K234="","",IFERROR(INDEX('ערכים טכנולוגיים'!$F$2:$500,MATCH(A234,'ערכים טכנולוגיים'!$A$2:$500,0)),""))</f>
        <v/>
      </c>
      <c r="N234" s="8">
        <f>IF($K234="","",IFERROR(INDEX('ערכים טכנולוגיים'!$I$2:$500,MATCH(A234,'ערכים טכנולוגיים'!$A$2:$500,0)),""))</f>
        <v/>
      </c>
      <c r="O234" s="8">
        <f>IF($K234="","",IFERROR(INDEX('ערכים טכנולוגיים'!$G$2:$500,MATCH(A234,'ערכים טכנולוגיים'!$A$2:$500,0)),""))</f>
        <v/>
      </c>
      <c r="P234" s="8">
        <f>IF($K234="","",IFERROR(INDEX('ערכים טכנולוגיים'!$J$2:$500,MATCH(A234,'ערכים טכנולוגיים'!$A$2:$500,0)),""))</f>
        <v/>
      </c>
      <c r="Q234" s="8">
        <f>IF($K234="","",IFERROR(INDEX('ערכים טכנולוגיים'!$N$2:$500,MATCH(A234,'ערכים טכנולוגיים'!$A$2:$500,0)),""))</f>
        <v/>
      </c>
    </row>
    <row r="235">
      <c r="A235" s="2">
        <f>IF($K235="","",INDEX(מלאי!$D$2:$500,$K235))</f>
        <v/>
      </c>
      <c r="B235" s="2">
        <f>IF($K235="","",INDEX(מלאי!$B$2:$500,$K235))</f>
        <v/>
      </c>
      <c r="C235" s="2">
        <f>IF($K235="","",INDEX(מלאי!$C$2:$500,$K235))</f>
        <v/>
      </c>
      <c r="D235" s="2">
        <f>IF($K235="","",INDEX(מלאי!$G$2:$500,$K235))</f>
        <v/>
      </c>
      <c r="E235" s="2">
        <f>IF($K235="","",INDEX(מלאי!$M$2:$500,$K235))</f>
        <v/>
      </c>
      <c r="F235" s="2">
        <f>IF($K235="","",INDEX(מלאי!$N$2:$500,$K235))</f>
        <v/>
      </c>
      <c r="G235" s="2">
        <f>IF($K235="","",INDEX(מלאי!$O$2:$500,$K235))</f>
        <v/>
      </c>
      <c r="H235" s="2">
        <f>IF($K235="","",INDEX(מלאי!$U$2:$500,$K235))</f>
        <v/>
      </c>
      <c r="I235" s="2">
        <f>IF($K235="","",INDEX(מלאי!$X$2:$500,$K235))</f>
        <v/>
      </c>
      <c r="J235" s="2">
        <f>IF($K235="","",INDEX(מלאי!$AC$2:$500,$K235))</f>
        <v/>
      </c>
      <c r="K23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טכנולוגיים'!$A$2:$500,0))&lt;=$G$6),0))),ROW(מלאי!$A$2:$A$500)-ROW(מלאי!$A$2)+1,""),213),"")</f>
        <v/>
      </c>
      <c r="L235" s="2">
        <f>IF($K235="","",IFERROR(INDEX('ערכים טכנולוגיים'!$K$2:$500,MATCH(A235,'ערכים טכנולוגיים'!$A$2:$500,0)),""))</f>
        <v/>
      </c>
      <c r="M235" s="2">
        <f>IF($K235="","",IFERROR(INDEX('ערכים טכנולוגיים'!$F$2:$500,MATCH(A235,'ערכים טכנולוגיים'!$A$2:$500,0)),""))</f>
        <v/>
      </c>
      <c r="N235" s="2">
        <f>IF($K235="","",IFERROR(INDEX('ערכים טכנולוגיים'!$I$2:$500,MATCH(A235,'ערכים טכנולוגיים'!$A$2:$500,0)),""))</f>
        <v/>
      </c>
      <c r="O235" s="2">
        <f>IF($K235="","",IFERROR(INDEX('ערכים טכנולוגיים'!$G$2:$500,MATCH(A235,'ערכים טכנולוגיים'!$A$2:$500,0)),""))</f>
        <v/>
      </c>
      <c r="P235" s="2">
        <f>IF($K235="","",IFERROR(INDEX('ערכים טכנולוגיים'!$J$2:$500,MATCH(A235,'ערכים טכנולוגיים'!$A$2:$500,0)),""))</f>
        <v/>
      </c>
      <c r="Q235" s="2">
        <f>IF($K235="","",IFERROR(INDEX('ערכים טכנולוגיים'!$N$2:$500,MATCH(A235,'ערכים טכנולוגיים'!$A$2:$500,0)),""))</f>
        <v/>
      </c>
    </row>
    <row r="236">
      <c r="A236" s="8">
        <f>IF($K236="","",INDEX(מלאי!$D$2:$500,$K236))</f>
        <v/>
      </c>
      <c r="B236" s="8">
        <f>IF($K236="","",INDEX(מלאי!$B$2:$500,$K236))</f>
        <v/>
      </c>
      <c r="C236" s="8">
        <f>IF($K236="","",INDEX(מלאי!$C$2:$500,$K236))</f>
        <v/>
      </c>
      <c r="D236" s="8">
        <f>IF($K236="","",INDEX(מלאי!$G$2:$500,$K236))</f>
        <v/>
      </c>
      <c r="E236" s="8">
        <f>IF($K236="","",INDEX(מלאי!$M$2:$500,$K236))</f>
        <v/>
      </c>
      <c r="F236" s="8">
        <f>IF($K236="","",INDEX(מלאי!$N$2:$500,$K236))</f>
        <v/>
      </c>
      <c r="G236" s="8">
        <f>IF($K236="","",INDEX(מלאי!$O$2:$500,$K236))</f>
        <v/>
      </c>
      <c r="H236" s="8">
        <f>IF($K236="","",INDEX(מלאי!$U$2:$500,$K236))</f>
        <v/>
      </c>
      <c r="I236" s="8">
        <f>IF($K236="","",INDEX(מלאי!$X$2:$500,$K236))</f>
        <v/>
      </c>
      <c r="J236" s="8">
        <f>IF($K236="","",INDEX(מלאי!$AC$2:$500,$K236))</f>
        <v/>
      </c>
      <c r="K23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טכנולוגיים'!$A$2:$500,0))&lt;=$G$6),0))),ROW(מלאי!$A$2:$A$500)-ROW(מלאי!$A$2)+1,""),214),"")</f>
        <v/>
      </c>
      <c r="L236" s="8">
        <f>IF($K236="","",IFERROR(INDEX('ערכים טכנולוגיים'!$K$2:$500,MATCH(A236,'ערכים טכנולוגיים'!$A$2:$500,0)),""))</f>
        <v/>
      </c>
      <c r="M236" s="8">
        <f>IF($K236="","",IFERROR(INDEX('ערכים טכנולוגיים'!$F$2:$500,MATCH(A236,'ערכים טכנולוגיים'!$A$2:$500,0)),""))</f>
        <v/>
      </c>
      <c r="N236" s="8">
        <f>IF($K236="","",IFERROR(INDEX('ערכים טכנולוגיים'!$I$2:$500,MATCH(A236,'ערכים טכנולוגיים'!$A$2:$500,0)),""))</f>
        <v/>
      </c>
      <c r="O236" s="8">
        <f>IF($K236="","",IFERROR(INDEX('ערכים טכנולוגיים'!$G$2:$500,MATCH(A236,'ערכים טכנולוגיים'!$A$2:$500,0)),""))</f>
        <v/>
      </c>
      <c r="P236" s="8">
        <f>IF($K236="","",IFERROR(INDEX('ערכים טכנולוגיים'!$J$2:$500,MATCH(A236,'ערכים טכנולוגיים'!$A$2:$500,0)),""))</f>
        <v/>
      </c>
      <c r="Q236" s="8">
        <f>IF($K236="","",IFERROR(INDEX('ערכים טכנולוגיים'!$N$2:$500,MATCH(A236,'ערכים טכנולוגיים'!$A$2:$500,0)),""))</f>
        <v/>
      </c>
    </row>
    <row r="237">
      <c r="A237" s="2">
        <f>IF($K237="","",INDEX(מלאי!$D$2:$500,$K237))</f>
        <v/>
      </c>
      <c r="B237" s="2">
        <f>IF($K237="","",INDEX(מלאי!$B$2:$500,$K237))</f>
        <v/>
      </c>
      <c r="C237" s="2">
        <f>IF($K237="","",INDEX(מלאי!$C$2:$500,$K237))</f>
        <v/>
      </c>
      <c r="D237" s="2">
        <f>IF($K237="","",INDEX(מלאי!$G$2:$500,$K237))</f>
        <v/>
      </c>
      <c r="E237" s="2">
        <f>IF($K237="","",INDEX(מלאי!$M$2:$500,$K237))</f>
        <v/>
      </c>
      <c r="F237" s="2">
        <f>IF($K237="","",INDEX(מלאי!$N$2:$500,$K237))</f>
        <v/>
      </c>
      <c r="G237" s="2">
        <f>IF($K237="","",INDEX(מלאי!$O$2:$500,$K237))</f>
        <v/>
      </c>
      <c r="H237" s="2">
        <f>IF($K237="","",INDEX(מלאי!$U$2:$500,$K237))</f>
        <v/>
      </c>
      <c r="I237" s="2">
        <f>IF($K237="","",INDEX(מלאי!$X$2:$500,$K237))</f>
        <v/>
      </c>
      <c r="J237" s="2">
        <f>IF($K237="","",INDEX(מלאי!$AC$2:$500,$K237))</f>
        <v/>
      </c>
      <c r="K23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טכנולוגיים'!$A$2:$500,0))&lt;=$G$6),0))),ROW(מלאי!$A$2:$A$500)-ROW(מלאי!$A$2)+1,""),215),"")</f>
        <v/>
      </c>
      <c r="L237" s="2">
        <f>IF($K237="","",IFERROR(INDEX('ערכים טכנולוגיים'!$K$2:$500,MATCH(A237,'ערכים טכנולוגיים'!$A$2:$500,0)),""))</f>
        <v/>
      </c>
      <c r="M237" s="2">
        <f>IF($K237="","",IFERROR(INDEX('ערכים טכנולוגיים'!$F$2:$500,MATCH(A237,'ערכים טכנולוגיים'!$A$2:$500,0)),""))</f>
        <v/>
      </c>
      <c r="N237" s="2">
        <f>IF($K237="","",IFERROR(INDEX('ערכים טכנולוגיים'!$I$2:$500,MATCH(A237,'ערכים טכנולוגיים'!$A$2:$500,0)),""))</f>
        <v/>
      </c>
      <c r="O237" s="2">
        <f>IF($K237="","",IFERROR(INDEX('ערכים טכנולוגיים'!$G$2:$500,MATCH(A237,'ערכים טכנולוגיים'!$A$2:$500,0)),""))</f>
        <v/>
      </c>
      <c r="P237" s="2">
        <f>IF($K237="","",IFERROR(INDEX('ערכים טכנולוגיים'!$J$2:$500,MATCH(A237,'ערכים טכנולוגיים'!$A$2:$500,0)),""))</f>
        <v/>
      </c>
      <c r="Q237" s="2">
        <f>IF($K237="","",IFERROR(INDEX('ערכים טכנולוגיים'!$N$2:$500,MATCH(A237,'ערכים טכנולוגיים'!$A$2:$500,0)),""))</f>
        <v/>
      </c>
    </row>
    <row r="238">
      <c r="A238" s="8">
        <f>IF($K238="","",INDEX(מלאי!$D$2:$500,$K238))</f>
        <v/>
      </c>
      <c r="B238" s="8">
        <f>IF($K238="","",INDEX(מלאי!$B$2:$500,$K238))</f>
        <v/>
      </c>
      <c r="C238" s="8">
        <f>IF($K238="","",INDEX(מלאי!$C$2:$500,$K238))</f>
        <v/>
      </c>
      <c r="D238" s="8">
        <f>IF($K238="","",INDEX(מלאי!$G$2:$500,$K238))</f>
        <v/>
      </c>
      <c r="E238" s="8">
        <f>IF($K238="","",INDEX(מלאי!$M$2:$500,$K238))</f>
        <v/>
      </c>
      <c r="F238" s="8">
        <f>IF($K238="","",INDEX(מלאי!$N$2:$500,$K238))</f>
        <v/>
      </c>
      <c r="G238" s="8">
        <f>IF($K238="","",INDEX(מלאי!$O$2:$500,$K238))</f>
        <v/>
      </c>
      <c r="H238" s="8">
        <f>IF($K238="","",INDEX(מלאי!$U$2:$500,$K238))</f>
        <v/>
      </c>
      <c r="I238" s="8">
        <f>IF($K238="","",INDEX(מלאי!$X$2:$500,$K238))</f>
        <v/>
      </c>
      <c r="J238" s="8">
        <f>IF($K238="","",INDEX(מלאי!$AC$2:$500,$K238))</f>
        <v/>
      </c>
      <c r="K23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טכנולוגיים'!$A$2:$500,0))&lt;=$G$6),0))),ROW(מלאי!$A$2:$A$500)-ROW(מלאי!$A$2)+1,""),216),"")</f>
        <v/>
      </c>
      <c r="L238" s="8">
        <f>IF($K238="","",IFERROR(INDEX('ערכים טכנולוגיים'!$K$2:$500,MATCH(A238,'ערכים טכנולוגיים'!$A$2:$500,0)),""))</f>
        <v/>
      </c>
      <c r="M238" s="8">
        <f>IF($K238="","",IFERROR(INDEX('ערכים טכנולוגיים'!$F$2:$500,MATCH(A238,'ערכים טכנולוגיים'!$A$2:$500,0)),""))</f>
        <v/>
      </c>
      <c r="N238" s="8">
        <f>IF($K238="","",IFERROR(INDEX('ערכים טכנולוגיים'!$I$2:$500,MATCH(A238,'ערכים טכנולוגיים'!$A$2:$500,0)),""))</f>
        <v/>
      </c>
      <c r="O238" s="8">
        <f>IF($K238="","",IFERROR(INDEX('ערכים טכנולוגיים'!$G$2:$500,MATCH(A238,'ערכים טכנולוגיים'!$A$2:$500,0)),""))</f>
        <v/>
      </c>
      <c r="P238" s="8">
        <f>IF($K238="","",IFERROR(INDEX('ערכים טכנולוגיים'!$J$2:$500,MATCH(A238,'ערכים טכנולוגיים'!$A$2:$500,0)),""))</f>
        <v/>
      </c>
      <c r="Q238" s="8">
        <f>IF($K238="","",IFERROR(INDEX('ערכים טכנולוגיים'!$N$2:$500,MATCH(A238,'ערכים טכנולוגיים'!$A$2:$500,0)),""))</f>
        <v/>
      </c>
    </row>
    <row r="239">
      <c r="A239" s="2">
        <f>IF($K239="","",INDEX(מלאי!$D$2:$500,$K239))</f>
        <v/>
      </c>
      <c r="B239" s="2">
        <f>IF($K239="","",INDEX(מלאי!$B$2:$500,$K239))</f>
        <v/>
      </c>
      <c r="C239" s="2">
        <f>IF($K239="","",INDEX(מלאי!$C$2:$500,$K239))</f>
        <v/>
      </c>
      <c r="D239" s="2">
        <f>IF($K239="","",INDEX(מלאי!$G$2:$500,$K239))</f>
        <v/>
      </c>
      <c r="E239" s="2">
        <f>IF($K239="","",INDEX(מלאי!$M$2:$500,$K239))</f>
        <v/>
      </c>
      <c r="F239" s="2">
        <f>IF($K239="","",INDEX(מלאי!$N$2:$500,$K239))</f>
        <v/>
      </c>
      <c r="G239" s="2">
        <f>IF($K239="","",INDEX(מלאי!$O$2:$500,$K239))</f>
        <v/>
      </c>
      <c r="H239" s="2">
        <f>IF($K239="","",INDEX(מלאי!$U$2:$500,$K239))</f>
        <v/>
      </c>
      <c r="I239" s="2">
        <f>IF($K239="","",INDEX(מלאי!$X$2:$500,$K239))</f>
        <v/>
      </c>
      <c r="J239" s="2">
        <f>IF($K239="","",INDEX(מלאי!$AC$2:$500,$K239))</f>
        <v/>
      </c>
      <c r="K23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טכנולוגיים'!$A$2:$500,0))&lt;=$G$6),0))),ROW(מלאי!$A$2:$A$500)-ROW(מלאי!$A$2)+1,""),217),"")</f>
        <v/>
      </c>
      <c r="L239" s="2">
        <f>IF($K239="","",IFERROR(INDEX('ערכים טכנולוגיים'!$K$2:$500,MATCH(A239,'ערכים טכנולוגיים'!$A$2:$500,0)),""))</f>
        <v/>
      </c>
      <c r="M239" s="2">
        <f>IF($K239="","",IFERROR(INDEX('ערכים טכנולוגיים'!$F$2:$500,MATCH(A239,'ערכים טכנולוגיים'!$A$2:$500,0)),""))</f>
        <v/>
      </c>
      <c r="N239" s="2">
        <f>IF($K239="","",IFERROR(INDEX('ערכים טכנולוגיים'!$I$2:$500,MATCH(A239,'ערכים טכנולוגיים'!$A$2:$500,0)),""))</f>
        <v/>
      </c>
      <c r="O239" s="2">
        <f>IF($K239="","",IFERROR(INDEX('ערכים טכנולוגיים'!$G$2:$500,MATCH(A239,'ערכים טכנולוגיים'!$A$2:$500,0)),""))</f>
        <v/>
      </c>
      <c r="P239" s="2">
        <f>IF($K239="","",IFERROR(INDEX('ערכים טכנולוגיים'!$J$2:$500,MATCH(A239,'ערכים טכנולוגיים'!$A$2:$500,0)),""))</f>
        <v/>
      </c>
      <c r="Q239" s="2">
        <f>IF($K239="","",IFERROR(INDEX('ערכים טכנולוגיים'!$N$2:$500,MATCH(A239,'ערכים טכנולוגיים'!$A$2:$500,0)),""))</f>
        <v/>
      </c>
    </row>
    <row r="240">
      <c r="A240" s="8">
        <f>IF($K240="","",INDEX(מלאי!$D$2:$500,$K240))</f>
        <v/>
      </c>
      <c r="B240" s="8">
        <f>IF($K240="","",INDEX(מלאי!$B$2:$500,$K240))</f>
        <v/>
      </c>
      <c r="C240" s="8">
        <f>IF($K240="","",INDEX(מלאי!$C$2:$500,$K240))</f>
        <v/>
      </c>
      <c r="D240" s="8">
        <f>IF($K240="","",INDEX(מלאי!$G$2:$500,$K240))</f>
        <v/>
      </c>
      <c r="E240" s="8">
        <f>IF($K240="","",INDEX(מלאי!$M$2:$500,$K240))</f>
        <v/>
      </c>
      <c r="F240" s="8">
        <f>IF($K240="","",INDEX(מלאי!$N$2:$500,$K240))</f>
        <v/>
      </c>
      <c r="G240" s="8">
        <f>IF($K240="","",INDEX(מלאי!$O$2:$500,$K240))</f>
        <v/>
      </c>
      <c r="H240" s="8">
        <f>IF($K240="","",INDEX(מלאי!$U$2:$500,$K240))</f>
        <v/>
      </c>
      <c r="I240" s="8">
        <f>IF($K240="","",INDEX(מלאי!$X$2:$500,$K240))</f>
        <v/>
      </c>
      <c r="J240" s="8">
        <f>IF($K240="","",INDEX(מלאי!$AC$2:$500,$K240))</f>
        <v/>
      </c>
      <c r="K24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טכנולוגיים'!$A$2:$500,0))&lt;=$G$6),0))),ROW(מלאי!$A$2:$A$500)-ROW(מלאי!$A$2)+1,""),218),"")</f>
        <v/>
      </c>
      <c r="L240" s="8">
        <f>IF($K240="","",IFERROR(INDEX('ערכים טכנולוגיים'!$K$2:$500,MATCH(A240,'ערכים טכנולוגיים'!$A$2:$500,0)),""))</f>
        <v/>
      </c>
      <c r="M240" s="8">
        <f>IF($K240="","",IFERROR(INDEX('ערכים טכנולוגיים'!$F$2:$500,MATCH(A240,'ערכים טכנולוגיים'!$A$2:$500,0)),""))</f>
        <v/>
      </c>
      <c r="N240" s="8">
        <f>IF($K240="","",IFERROR(INDEX('ערכים טכנולוגיים'!$I$2:$500,MATCH(A240,'ערכים טכנולוגיים'!$A$2:$500,0)),""))</f>
        <v/>
      </c>
      <c r="O240" s="8">
        <f>IF($K240="","",IFERROR(INDEX('ערכים טכנולוגיים'!$G$2:$500,MATCH(A240,'ערכים טכנולוגיים'!$A$2:$500,0)),""))</f>
        <v/>
      </c>
      <c r="P240" s="8">
        <f>IF($K240="","",IFERROR(INDEX('ערכים טכנולוגיים'!$J$2:$500,MATCH(A240,'ערכים טכנולוגיים'!$A$2:$500,0)),""))</f>
        <v/>
      </c>
      <c r="Q240" s="8">
        <f>IF($K240="","",IFERROR(INDEX('ערכים טכנולוגיים'!$N$2:$500,MATCH(A240,'ערכים טכנולוגיים'!$A$2:$500,0)),""))</f>
        <v/>
      </c>
    </row>
    <row r="241">
      <c r="A241" s="2">
        <f>IF($K241="","",INDEX(מלאי!$D$2:$500,$K241))</f>
        <v/>
      </c>
      <c r="B241" s="2">
        <f>IF($K241="","",INDEX(מלאי!$B$2:$500,$K241))</f>
        <v/>
      </c>
      <c r="C241" s="2">
        <f>IF($K241="","",INDEX(מלאי!$C$2:$500,$K241))</f>
        <v/>
      </c>
      <c r="D241" s="2">
        <f>IF($K241="","",INDEX(מלאי!$G$2:$500,$K241))</f>
        <v/>
      </c>
      <c r="E241" s="2">
        <f>IF($K241="","",INDEX(מלאי!$M$2:$500,$K241))</f>
        <v/>
      </c>
      <c r="F241" s="2">
        <f>IF($K241="","",INDEX(מלאי!$N$2:$500,$K241))</f>
        <v/>
      </c>
      <c r="G241" s="2">
        <f>IF($K241="","",INDEX(מלאי!$O$2:$500,$K241))</f>
        <v/>
      </c>
      <c r="H241" s="2">
        <f>IF($K241="","",INDEX(מלאי!$U$2:$500,$K241))</f>
        <v/>
      </c>
      <c r="I241" s="2">
        <f>IF($K241="","",INDEX(מלאי!$X$2:$500,$K241))</f>
        <v/>
      </c>
      <c r="J241" s="2">
        <f>IF($K241="","",INDEX(מלאי!$AC$2:$500,$K241))</f>
        <v/>
      </c>
      <c r="K24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טכנולוגיים'!$A$2:$500,0))&lt;=$G$6),0))),ROW(מלאי!$A$2:$A$500)-ROW(מלאי!$A$2)+1,""),219),"")</f>
        <v/>
      </c>
      <c r="L241" s="2">
        <f>IF($K241="","",IFERROR(INDEX('ערכים טכנולוגיים'!$K$2:$500,MATCH(A241,'ערכים טכנולוגיים'!$A$2:$500,0)),""))</f>
        <v/>
      </c>
      <c r="M241" s="2">
        <f>IF($K241="","",IFERROR(INDEX('ערכים טכנולוגיים'!$F$2:$500,MATCH(A241,'ערכים טכנולוגיים'!$A$2:$500,0)),""))</f>
        <v/>
      </c>
      <c r="N241" s="2">
        <f>IF($K241="","",IFERROR(INDEX('ערכים טכנולוגיים'!$I$2:$500,MATCH(A241,'ערכים טכנולוגיים'!$A$2:$500,0)),""))</f>
        <v/>
      </c>
      <c r="O241" s="2">
        <f>IF($K241="","",IFERROR(INDEX('ערכים טכנולוגיים'!$G$2:$500,MATCH(A241,'ערכים טכנולוגיים'!$A$2:$500,0)),""))</f>
        <v/>
      </c>
      <c r="P241" s="2">
        <f>IF($K241="","",IFERROR(INDEX('ערכים טכנולוגיים'!$J$2:$500,MATCH(A241,'ערכים טכנולוגיים'!$A$2:$500,0)),""))</f>
        <v/>
      </c>
      <c r="Q241" s="2">
        <f>IF($K241="","",IFERROR(INDEX('ערכים טכנולוגיים'!$N$2:$500,MATCH(A241,'ערכים טכנולוגיים'!$A$2:$500,0)),""))</f>
        <v/>
      </c>
    </row>
    <row r="242">
      <c r="A242" s="8">
        <f>IF($K242="","",INDEX(מלאי!$D$2:$500,$K242))</f>
        <v/>
      </c>
      <c r="B242" s="8">
        <f>IF($K242="","",INDEX(מלאי!$B$2:$500,$K242))</f>
        <v/>
      </c>
      <c r="C242" s="8">
        <f>IF($K242="","",INDEX(מלאי!$C$2:$500,$K242))</f>
        <v/>
      </c>
      <c r="D242" s="8">
        <f>IF($K242="","",INDEX(מלאי!$G$2:$500,$K242))</f>
        <v/>
      </c>
      <c r="E242" s="8">
        <f>IF($K242="","",INDEX(מלאי!$M$2:$500,$K242))</f>
        <v/>
      </c>
      <c r="F242" s="8">
        <f>IF($K242="","",INDEX(מלאי!$N$2:$500,$K242))</f>
        <v/>
      </c>
      <c r="G242" s="8">
        <f>IF($K242="","",INDEX(מלאי!$O$2:$500,$K242))</f>
        <v/>
      </c>
      <c r="H242" s="8">
        <f>IF($K242="","",INDEX(מלאי!$U$2:$500,$K242))</f>
        <v/>
      </c>
      <c r="I242" s="8">
        <f>IF($K242="","",INDEX(מלאי!$X$2:$500,$K242))</f>
        <v/>
      </c>
      <c r="J242" s="8">
        <f>IF($K242="","",INDEX(מלאי!$AC$2:$500,$K242))</f>
        <v/>
      </c>
      <c r="K24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טכנולוגיים'!$A$2:$500,0))&lt;=$G$6),0))),ROW(מלאי!$A$2:$A$500)-ROW(מלאי!$A$2)+1,""),220),"")</f>
        <v/>
      </c>
      <c r="L242" s="8">
        <f>IF($K242="","",IFERROR(INDEX('ערכים טכנולוגיים'!$K$2:$500,MATCH(A242,'ערכים טכנולוגיים'!$A$2:$500,0)),""))</f>
        <v/>
      </c>
      <c r="M242" s="8">
        <f>IF($K242="","",IFERROR(INDEX('ערכים טכנולוגיים'!$F$2:$500,MATCH(A242,'ערכים טכנולוגיים'!$A$2:$500,0)),""))</f>
        <v/>
      </c>
      <c r="N242" s="8">
        <f>IF($K242="","",IFERROR(INDEX('ערכים טכנולוגיים'!$I$2:$500,MATCH(A242,'ערכים טכנולוגיים'!$A$2:$500,0)),""))</f>
        <v/>
      </c>
      <c r="O242" s="8">
        <f>IF($K242="","",IFERROR(INDEX('ערכים טכנולוגיים'!$G$2:$500,MATCH(A242,'ערכים טכנולוגיים'!$A$2:$500,0)),""))</f>
        <v/>
      </c>
      <c r="P242" s="8">
        <f>IF($K242="","",IFERROR(INDEX('ערכים טכנולוגיים'!$J$2:$500,MATCH(A242,'ערכים טכנולוגיים'!$A$2:$500,0)),""))</f>
        <v/>
      </c>
      <c r="Q242" s="8">
        <f>IF($K242="","",IFERROR(INDEX('ערכים טכנולוגיים'!$N$2:$500,MATCH(A242,'ערכים טכנולוגיים'!$A$2:$500,0)),""))</f>
        <v/>
      </c>
    </row>
    <row r="243">
      <c r="A243" s="2">
        <f>IF($K243="","",INDEX(מלאי!$D$2:$500,$K243))</f>
        <v/>
      </c>
      <c r="B243" s="2">
        <f>IF($K243="","",INDEX(מלאי!$B$2:$500,$K243))</f>
        <v/>
      </c>
      <c r="C243" s="2">
        <f>IF($K243="","",INDEX(מלאי!$C$2:$500,$K243))</f>
        <v/>
      </c>
      <c r="D243" s="2">
        <f>IF($K243="","",INDEX(מלאי!$G$2:$500,$K243))</f>
        <v/>
      </c>
      <c r="E243" s="2">
        <f>IF($K243="","",INDEX(מלאי!$M$2:$500,$K243))</f>
        <v/>
      </c>
      <c r="F243" s="2">
        <f>IF($K243="","",INDEX(מלאי!$N$2:$500,$K243))</f>
        <v/>
      </c>
      <c r="G243" s="2">
        <f>IF($K243="","",INDEX(מלאי!$O$2:$500,$K243))</f>
        <v/>
      </c>
      <c r="H243" s="2">
        <f>IF($K243="","",INDEX(מלאי!$U$2:$500,$K243))</f>
        <v/>
      </c>
      <c r="I243" s="2">
        <f>IF($K243="","",INDEX(מלאי!$X$2:$500,$K243))</f>
        <v/>
      </c>
      <c r="J243" s="2">
        <f>IF($K243="","",INDEX(מלאי!$AC$2:$500,$K243))</f>
        <v/>
      </c>
      <c r="K24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טכנולוגיים'!$A$2:$500,0))&lt;=$G$6),0))),ROW(מלאי!$A$2:$A$500)-ROW(מלאי!$A$2)+1,""),221),"")</f>
        <v/>
      </c>
      <c r="L243" s="2">
        <f>IF($K243="","",IFERROR(INDEX('ערכים טכנולוגיים'!$K$2:$500,MATCH(A243,'ערכים טכנולוגיים'!$A$2:$500,0)),""))</f>
        <v/>
      </c>
      <c r="M243" s="2">
        <f>IF($K243="","",IFERROR(INDEX('ערכים טכנולוגיים'!$F$2:$500,MATCH(A243,'ערכים טכנולוגיים'!$A$2:$500,0)),""))</f>
        <v/>
      </c>
      <c r="N243" s="2">
        <f>IF($K243="","",IFERROR(INDEX('ערכים טכנולוגיים'!$I$2:$500,MATCH(A243,'ערכים טכנולוגיים'!$A$2:$500,0)),""))</f>
        <v/>
      </c>
      <c r="O243" s="2">
        <f>IF($K243="","",IFERROR(INDEX('ערכים טכנולוגיים'!$G$2:$500,MATCH(A243,'ערכים טכנולוגיים'!$A$2:$500,0)),""))</f>
        <v/>
      </c>
      <c r="P243" s="2">
        <f>IF($K243="","",IFERROR(INDEX('ערכים טכנולוגיים'!$J$2:$500,MATCH(A243,'ערכים טכנולוגיים'!$A$2:$500,0)),""))</f>
        <v/>
      </c>
      <c r="Q243" s="2">
        <f>IF($K243="","",IFERROR(INDEX('ערכים טכנולוגיים'!$N$2:$500,MATCH(A243,'ערכים טכנולוגיים'!$A$2:$500,0)),""))</f>
        <v/>
      </c>
    </row>
    <row r="244">
      <c r="A244" s="8">
        <f>IF($K244="","",INDEX(מלאי!$D$2:$500,$K244))</f>
        <v/>
      </c>
      <c r="B244" s="8">
        <f>IF($K244="","",INDEX(מלאי!$B$2:$500,$K244))</f>
        <v/>
      </c>
      <c r="C244" s="8">
        <f>IF($K244="","",INDEX(מלאי!$C$2:$500,$K244))</f>
        <v/>
      </c>
      <c r="D244" s="8">
        <f>IF($K244="","",INDEX(מלאי!$G$2:$500,$K244))</f>
        <v/>
      </c>
      <c r="E244" s="8">
        <f>IF($K244="","",INDEX(מלאי!$M$2:$500,$K244))</f>
        <v/>
      </c>
      <c r="F244" s="8">
        <f>IF($K244="","",INDEX(מלאי!$N$2:$500,$K244))</f>
        <v/>
      </c>
      <c r="G244" s="8">
        <f>IF($K244="","",INDEX(מלאי!$O$2:$500,$K244))</f>
        <v/>
      </c>
      <c r="H244" s="8">
        <f>IF($K244="","",INDEX(מלאי!$U$2:$500,$K244))</f>
        <v/>
      </c>
      <c r="I244" s="8">
        <f>IF($K244="","",INDEX(מלאי!$X$2:$500,$K244))</f>
        <v/>
      </c>
      <c r="J244" s="8">
        <f>IF($K244="","",INDEX(מלאי!$AC$2:$500,$K244))</f>
        <v/>
      </c>
      <c r="K24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טכנולוגיים'!$A$2:$500,0))&lt;=$G$6),0))),ROW(מלאי!$A$2:$A$500)-ROW(מלאי!$A$2)+1,""),222),"")</f>
        <v/>
      </c>
      <c r="L244" s="8">
        <f>IF($K244="","",IFERROR(INDEX('ערכים טכנולוגיים'!$K$2:$500,MATCH(A244,'ערכים טכנולוגיים'!$A$2:$500,0)),""))</f>
        <v/>
      </c>
      <c r="M244" s="8">
        <f>IF($K244="","",IFERROR(INDEX('ערכים טכנולוגיים'!$F$2:$500,MATCH(A244,'ערכים טכנולוגיים'!$A$2:$500,0)),""))</f>
        <v/>
      </c>
      <c r="N244" s="8">
        <f>IF($K244="","",IFERROR(INDEX('ערכים טכנולוגיים'!$I$2:$500,MATCH(A244,'ערכים טכנולוגיים'!$A$2:$500,0)),""))</f>
        <v/>
      </c>
      <c r="O244" s="8">
        <f>IF($K244="","",IFERROR(INDEX('ערכים טכנולוגיים'!$G$2:$500,MATCH(A244,'ערכים טכנולוגיים'!$A$2:$500,0)),""))</f>
        <v/>
      </c>
      <c r="P244" s="8">
        <f>IF($K244="","",IFERROR(INDEX('ערכים טכנולוגיים'!$J$2:$500,MATCH(A244,'ערכים טכנולוגיים'!$A$2:$500,0)),""))</f>
        <v/>
      </c>
      <c r="Q244" s="8">
        <f>IF($K244="","",IFERROR(INDEX('ערכים טכנולוגיים'!$N$2:$500,MATCH(A244,'ערכים טכנולוגיים'!$A$2:$500,0)),""))</f>
        <v/>
      </c>
    </row>
    <row r="245">
      <c r="A245" s="2">
        <f>IF($K245="","",INDEX(מלאי!$D$2:$500,$K245))</f>
        <v/>
      </c>
      <c r="B245" s="2">
        <f>IF($K245="","",INDEX(מלאי!$B$2:$500,$K245))</f>
        <v/>
      </c>
      <c r="C245" s="2">
        <f>IF($K245="","",INDEX(מלאי!$C$2:$500,$K245))</f>
        <v/>
      </c>
      <c r="D245" s="2">
        <f>IF($K245="","",INDEX(מלאי!$G$2:$500,$K245))</f>
        <v/>
      </c>
      <c r="E245" s="2">
        <f>IF($K245="","",INDEX(מלאי!$M$2:$500,$K245))</f>
        <v/>
      </c>
      <c r="F245" s="2">
        <f>IF($K245="","",INDEX(מלאי!$N$2:$500,$K245))</f>
        <v/>
      </c>
      <c r="G245" s="2">
        <f>IF($K245="","",INDEX(מלאי!$O$2:$500,$K245))</f>
        <v/>
      </c>
      <c r="H245" s="2">
        <f>IF($K245="","",INDEX(מלאי!$U$2:$500,$K245))</f>
        <v/>
      </c>
      <c r="I245" s="2">
        <f>IF($K245="","",INDEX(מלאי!$X$2:$500,$K245))</f>
        <v/>
      </c>
      <c r="J245" s="2">
        <f>IF($K245="","",INDEX(מלאי!$AC$2:$500,$K245))</f>
        <v/>
      </c>
      <c r="K24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טכנולוגיים'!$A$2:$500,0))&lt;=$G$6),0))),ROW(מלאי!$A$2:$A$500)-ROW(מלאי!$A$2)+1,""),223),"")</f>
        <v/>
      </c>
      <c r="L245" s="2">
        <f>IF($K245="","",IFERROR(INDEX('ערכים טכנולוגיים'!$K$2:$500,MATCH(A245,'ערכים טכנולוגיים'!$A$2:$500,0)),""))</f>
        <v/>
      </c>
      <c r="M245" s="2">
        <f>IF($K245="","",IFERROR(INDEX('ערכים טכנולוגיים'!$F$2:$500,MATCH(A245,'ערכים טכנולוגיים'!$A$2:$500,0)),""))</f>
        <v/>
      </c>
      <c r="N245" s="2">
        <f>IF($K245="","",IFERROR(INDEX('ערכים טכנולוגיים'!$I$2:$500,MATCH(A245,'ערכים טכנולוגיים'!$A$2:$500,0)),""))</f>
        <v/>
      </c>
      <c r="O245" s="2">
        <f>IF($K245="","",IFERROR(INDEX('ערכים טכנולוגיים'!$G$2:$500,MATCH(A245,'ערכים טכנולוגיים'!$A$2:$500,0)),""))</f>
        <v/>
      </c>
      <c r="P245" s="2">
        <f>IF($K245="","",IFERROR(INDEX('ערכים טכנולוגיים'!$J$2:$500,MATCH(A245,'ערכים טכנולוגיים'!$A$2:$500,0)),""))</f>
        <v/>
      </c>
      <c r="Q245" s="2">
        <f>IF($K245="","",IFERROR(INDEX('ערכים טכנולוגיים'!$N$2:$500,MATCH(A245,'ערכים טכנולוגיים'!$A$2:$500,0)),""))</f>
        <v/>
      </c>
    </row>
    <row r="246">
      <c r="A246" s="8">
        <f>IF($K246="","",INDEX(מלאי!$D$2:$500,$K246))</f>
        <v/>
      </c>
      <c r="B246" s="8">
        <f>IF($K246="","",INDEX(מלאי!$B$2:$500,$K246))</f>
        <v/>
      </c>
      <c r="C246" s="8">
        <f>IF($K246="","",INDEX(מלאי!$C$2:$500,$K246))</f>
        <v/>
      </c>
      <c r="D246" s="8">
        <f>IF($K246="","",INDEX(מלאי!$G$2:$500,$K246))</f>
        <v/>
      </c>
      <c r="E246" s="8">
        <f>IF($K246="","",INDEX(מלאי!$M$2:$500,$K246))</f>
        <v/>
      </c>
      <c r="F246" s="8">
        <f>IF($K246="","",INDEX(מלאי!$N$2:$500,$K246))</f>
        <v/>
      </c>
      <c r="G246" s="8">
        <f>IF($K246="","",INDEX(מלאי!$O$2:$500,$K246))</f>
        <v/>
      </c>
      <c r="H246" s="8">
        <f>IF($K246="","",INDEX(מלאי!$U$2:$500,$K246))</f>
        <v/>
      </c>
      <c r="I246" s="8">
        <f>IF($K246="","",INDEX(מלאי!$X$2:$500,$K246))</f>
        <v/>
      </c>
      <c r="J246" s="8">
        <f>IF($K246="","",INDEX(מלאי!$AC$2:$500,$K246))</f>
        <v/>
      </c>
      <c r="K24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טכנולוגיים'!$A$2:$500,0))&lt;=$G$6),0))),ROW(מלאי!$A$2:$A$500)-ROW(מלאי!$A$2)+1,""),224),"")</f>
        <v/>
      </c>
      <c r="L246" s="8">
        <f>IF($K246="","",IFERROR(INDEX('ערכים טכנולוגיים'!$K$2:$500,MATCH(A246,'ערכים טכנולוגיים'!$A$2:$500,0)),""))</f>
        <v/>
      </c>
      <c r="M246" s="8">
        <f>IF($K246="","",IFERROR(INDEX('ערכים טכנולוגיים'!$F$2:$500,MATCH(A246,'ערכים טכנולוגיים'!$A$2:$500,0)),""))</f>
        <v/>
      </c>
      <c r="N246" s="8">
        <f>IF($K246="","",IFERROR(INDEX('ערכים טכנולוגיים'!$I$2:$500,MATCH(A246,'ערכים טכנולוגיים'!$A$2:$500,0)),""))</f>
        <v/>
      </c>
      <c r="O246" s="8">
        <f>IF($K246="","",IFERROR(INDEX('ערכים טכנולוגיים'!$G$2:$500,MATCH(A246,'ערכים טכנולוגיים'!$A$2:$500,0)),""))</f>
        <v/>
      </c>
      <c r="P246" s="8">
        <f>IF($K246="","",IFERROR(INDEX('ערכים טכנולוגיים'!$J$2:$500,MATCH(A246,'ערכים טכנולוגיים'!$A$2:$500,0)),""))</f>
        <v/>
      </c>
      <c r="Q246" s="8">
        <f>IF($K246="","",IFERROR(INDEX('ערכים טכנולוגיים'!$N$2:$500,MATCH(A246,'ערכים טכנולוגיים'!$A$2:$500,0)),""))</f>
        <v/>
      </c>
    </row>
    <row r="247">
      <c r="A247" s="2">
        <f>IF($K247="","",INDEX(מלאי!$D$2:$500,$K247))</f>
        <v/>
      </c>
      <c r="B247" s="2">
        <f>IF($K247="","",INDEX(מלאי!$B$2:$500,$K247))</f>
        <v/>
      </c>
      <c r="C247" s="2">
        <f>IF($K247="","",INDEX(מלאי!$C$2:$500,$K247))</f>
        <v/>
      </c>
      <c r="D247" s="2">
        <f>IF($K247="","",INDEX(מלאי!$G$2:$500,$K247))</f>
        <v/>
      </c>
      <c r="E247" s="2">
        <f>IF($K247="","",INDEX(מלאי!$M$2:$500,$K247))</f>
        <v/>
      </c>
      <c r="F247" s="2">
        <f>IF($K247="","",INDEX(מלאי!$N$2:$500,$K247))</f>
        <v/>
      </c>
      <c r="G247" s="2">
        <f>IF($K247="","",INDEX(מלאי!$O$2:$500,$K247))</f>
        <v/>
      </c>
      <c r="H247" s="2">
        <f>IF($K247="","",INDEX(מלאי!$U$2:$500,$K247))</f>
        <v/>
      </c>
      <c r="I247" s="2">
        <f>IF($K247="","",INDEX(מלאי!$X$2:$500,$K247))</f>
        <v/>
      </c>
      <c r="J247" s="2">
        <f>IF($K247="","",INDEX(מלאי!$AC$2:$500,$K247))</f>
        <v/>
      </c>
      <c r="K24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טכנולוגיים'!$A$2:$500,0))&lt;=$G$6),0))),ROW(מלאי!$A$2:$A$500)-ROW(מלאי!$A$2)+1,""),225),"")</f>
        <v/>
      </c>
      <c r="L247" s="2">
        <f>IF($K247="","",IFERROR(INDEX('ערכים טכנולוגיים'!$K$2:$500,MATCH(A247,'ערכים טכנולוגיים'!$A$2:$500,0)),""))</f>
        <v/>
      </c>
      <c r="M247" s="2">
        <f>IF($K247="","",IFERROR(INDEX('ערכים טכנולוגיים'!$F$2:$500,MATCH(A247,'ערכים טכנולוגיים'!$A$2:$500,0)),""))</f>
        <v/>
      </c>
      <c r="N247" s="2">
        <f>IF($K247="","",IFERROR(INDEX('ערכים טכנולוגיים'!$I$2:$500,MATCH(A247,'ערכים טכנולוגיים'!$A$2:$500,0)),""))</f>
        <v/>
      </c>
      <c r="O247" s="2">
        <f>IF($K247="","",IFERROR(INDEX('ערכים טכנולוגיים'!$G$2:$500,MATCH(A247,'ערכים טכנולוגיים'!$A$2:$500,0)),""))</f>
        <v/>
      </c>
      <c r="P247" s="2">
        <f>IF($K247="","",IFERROR(INDEX('ערכים טכנולוגיים'!$J$2:$500,MATCH(A247,'ערכים טכנולוגיים'!$A$2:$500,0)),""))</f>
        <v/>
      </c>
      <c r="Q247" s="2">
        <f>IF($K247="","",IFERROR(INDEX('ערכים טכנולוגיים'!$N$2:$500,MATCH(A247,'ערכים טכנולוגיים'!$A$2:$500,0)),""))</f>
        <v/>
      </c>
    </row>
    <row r="248">
      <c r="A248" s="8">
        <f>IF($K248="","",INDEX(מלאי!$D$2:$500,$K248))</f>
        <v/>
      </c>
      <c r="B248" s="8">
        <f>IF($K248="","",INDEX(מלאי!$B$2:$500,$K248))</f>
        <v/>
      </c>
      <c r="C248" s="8">
        <f>IF($K248="","",INDEX(מלאי!$C$2:$500,$K248))</f>
        <v/>
      </c>
      <c r="D248" s="8">
        <f>IF($K248="","",INDEX(מלאי!$G$2:$500,$K248))</f>
        <v/>
      </c>
      <c r="E248" s="8">
        <f>IF($K248="","",INDEX(מלאי!$M$2:$500,$K248))</f>
        <v/>
      </c>
      <c r="F248" s="8">
        <f>IF($K248="","",INDEX(מלאי!$N$2:$500,$K248))</f>
        <v/>
      </c>
      <c r="G248" s="8">
        <f>IF($K248="","",INDEX(מלאי!$O$2:$500,$K248))</f>
        <v/>
      </c>
      <c r="H248" s="8">
        <f>IF($K248="","",INDEX(מלאי!$U$2:$500,$K248))</f>
        <v/>
      </c>
      <c r="I248" s="8">
        <f>IF($K248="","",INDEX(מלאי!$X$2:$500,$K248))</f>
        <v/>
      </c>
      <c r="J248" s="8">
        <f>IF($K248="","",INDEX(מלאי!$AC$2:$500,$K248))</f>
        <v/>
      </c>
      <c r="K24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טכנולוגיים'!$A$2:$500,0))&lt;=$G$6),0))),ROW(מלאי!$A$2:$A$500)-ROW(מלאי!$A$2)+1,""),226),"")</f>
        <v/>
      </c>
      <c r="L248" s="8">
        <f>IF($K248="","",IFERROR(INDEX('ערכים טכנולוגיים'!$K$2:$500,MATCH(A248,'ערכים טכנולוגיים'!$A$2:$500,0)),""))</f>
        <v/>
      </c>
      <c r="M248" s="8">
        <f>IF($K248="","",IFERROR(INDEX('ערכים טכנולוגיים'!$F$2:$500,MATCH(A248,'ערכים טכנולוגיים'!$A$2:$500,0)),""))</f>
        <v/>
      </c>
      <c r="N248" s="8">
        <f>IF($K248="","",IFERROR(INDEX('ערכים טכנולוגיים'!$I$2:$500,MATCH(A248,'ערכים טכנולוגיים'!$A$2:$500,0)),""))</f>
        <v/>
      </c>
      <c r="O248" s="8">
        <f>IF($K248="","",IFERROR(INDEX('ערכים טכנולוגיים'!$G$2:$500,MATCH(A248,'ערכים טכנולוגיים'!$A$2:$500,0)),""))</f>
        <v/>
      </c>
      <c r="P248" s="8">
        <f>IF($K248="","",IFERROR(INDEX('ערכים טכנולוגיים'!$J$2:$500,MATCH(A248,'ערכים טכנולוגיים'!$A$2:$500,0)),""))</f>
        <v/>
      </c>
      <c r="Q248" s="8">
        <f>IF($K248="","",IFERROR(INDEX('ערכים טכנולוגיים'!$N$2:$500,MATCH(A248,'ערכים טכנולוגיים'!$A$2:$500,0)),""))</f>
        <v/>
      </c>
    </row>
    <row r="249">
      <c r="A249" s="2">
        <f>IF($K249="","",INDEX(מלאי!$D$2:$500,$K249))</f>
        <v/>
      </c>
      <c r="B249" s="2">
        <f>IF($K249="","",INDEX(מלאי!$B$2:$500,$K249))</f>
        <v/>
      </c>
      <c r="C249" s="2">
        <f>IF($K249="","",INDEX(מלאי!$C$2:$500,$K249))</f>
        <v/>
      </c>
      <c r="D249" s="2">
        <f>IF($K249="","",INDEX(מלאי!$G$2:$500,$K249))</f>
        <v/>
      </c>
      <c r="E249" s="2">
        <f>IF($K249="","",INDEX(מלאי!$M$2:$500,$K249))</f>
        <v/>
      </c>
      <c r="F249" s="2">
        <f>IF($K249="","",INDEX(מלאי!$N$2:$500,$K249))</f>
        <v/>
      </c>
      <c r="G249" s="2">
        <f>IF($K249="","",INDEX(מלאי!$O$2:$500,$K249))</f>
        <v/>
      </c>
      <c r="H249" s="2">
        <f>IF($K249="","",INDEX(מלאי!$U$2:$500,$K249))</f>
        <v/>
      </c>
      <c r="I249" s="2">
        <f>IF($K249="","",INDEX(מלאי!$X$2:$500,$K249))</f>
        <v/>
      </c>
      <c r="J249" s="2">
        <f>IF($K249="","",INDEX(מלאי!$AC$2:$500,$K249))</f>
        <v/>
      </c>
      <c r="K24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טכנולוגיים'!$A$2:$500,0))&lt;=$G$6),0))),ROW(מלאי!$A$2:$A$500)-ROW(מלאי!$A$2)+1,""),227),"")</f>
        <v/>
      </c>
      <c r="L249" s="2">
        <f>IF($K249="","",IFERROR(INDEX('ערכים טכנולוגיים'!$K$2:$500,MATCH(A249,'ערכים טכנולוגיים'!$A$2:$500,0)),""))</f>
        <v/>
      </c>
      <c r="M249" s="2">
        <f>IF($K249="","",IFERROR(INDEX('ערכים טכנולוגיים'!$F$2:$500,MATCH(A249,'ערכים טכנולוגיים'!$A$2:$500,0)),""))</f>
        <v/>
      </c>
      <c r="N249" s="2">
        <f>IF($K249="","",IFERROR(INDEX('ערכים טכנולוגיים'!$I$2:$500,MATCH(A249,'ערכים טכנולוגיים'!$A$2:$500,0)),""))</f>
        <v/>
      </c>
      <c r="O249" s="2">
        <f>IF($K249="","",IFERROR(INDEX('ערכים טכנולוגיים'!$G$2:$500,MATCH(A249,'ערכים טכנולוגיים'!$A$2:$500,0)),""))</f>
        <v/>
      </c>
      <c r="P249" s="2">
        <f>IF($K249="","",IFERROR(INDEX('ערכים טכנולוגיים'!$J$2:$500,MATCH(A249,'ערכים טכנולוגיים'!$A$2:$500,0)),""))</f>
        <v/>
      </c>
      <c r="Q249" s="2">
        <f>IF($K249="","",IFERROR(INDEX('ערכים טכנולוגיים'!$N$2:$500,MATCH(A249,'ערכים טכנולוגיים'!$A$2:$500,0)),""))</f>
        <v/>
      </c>
    </row>
    <row r="250">
      <c r="A250" s="8">
        <f>IF($K250="","",INDEX(מלאי!$D$2:$500,$K250))</f>
        <v/>
      </c>
      <c r="B250" s="8">
        <f>IF($K250="","",INDEX(מלאי!$B$2:$500,$K250))</f>
        <v/>
      </c>
      <c r="C250" s="8">
        <f>IF($K250="","",INDEX(מלאי!$C$2:$500,$K250))</f>
        <v/>
      </c>
      <c r="D250" s="8">
        <f>IF($K250="","",INDEX(מלאי!$G$2:$500,$K250))</f>
        <v/>
      </c>
      <c r="E250" s="8">
        <f>IF($K250="","",INDEX(מלאי!$M$2:$500,$K250))</f>
        <v/>
      </c>
      <c r="F250" s="8">
        <f>IF($K250="","",INDEX(מלאי!$N$2:$500,$K250))</f>
        <v/>
      </c>
      <c r="G250" s="8">
        <f>IF($K250="","",INDEX(מלאי!$O$2:$500,$K250))</f>
        <v/>
      </c>
      <c r="H250" s="8">
        <f>IF($K250="","",INDEX(מלאי!$U$2:$500,$K250))</f>
        <v/>
      </c>
      <c r="I250" s="8">
        <f>IF($K250="","",INDEX(מלאי!$X$2:$500,$K250))</f>
        <v/>
      </c>
      <c r="J250" s="8">
        <f>IF($K250="","",INDEX(מלאי!$AC$2:$500,$K250))</f>
        <v/>
      </c>
      <c r="K25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טכנולוגיים'!$A$2:$500,0))&lt;=$G$6),0))),ROW(מלאי!$A$2:$A$500)-ROW(מלאי!$A$2)+1,""),228),"")</f>
        <v/>
      </c>
      <c r="L250" s="8">
        <f>IF($K250="","",IFERROR(INDEX('ערכים טכנולוגיים'!$K$2:$500,MATCH(A250,'ערכים טכנולוגיים'!$A$2:$500,0)),""))</f>
        <v/>
      </c>
      <c r="M250" s="8">
        <f>IF($K250="","",IFERROR(INDEX('ערכים טכנולוגיים'!$F$2:$500,MATCH(A250,'ערכים טכנולוגיים'!$A$2:$500,0)),""))</f>
        <v/>
      </c>
      <c r="N250" s="8">
        <f>IF($K250="","",IFERROR(INDEX('ערכים טכנולוגיים'!$I$2:$500,MATCH(A250,'ערכים טכנולוגיים'!$A$2:$500,0)),""))</f>
        <v/>
      </c>
      <c r="O250" s="8">
        <f>IF($K250="","",IFERROR(INDEX('ערכים טכנולוגיים'!$G$2:$500,MATCH(A250,'ערכים טכנולוגיים'!$A$2:$500,0)),""))</f>
        <v/>
      </c>
      <c r="P250" s="8">
        <f>IF($K250="","",IFERROR(INDEX('ערכים טכנולוגיים'!$J$2:$500,MATCH(A250,'ערכים טכנולוגיים'!$A$2:$500,0)),""))</f>
        <v/>
      </c>
      <c r="Q250" s="8">
        <f>IF($K250="","",IFERROR(INDEX('ערכים טכנולוגיים'!$N$2:$500,MATCH(A250,'ערכים טכנולוגיים'!$A$2:$500,0)),""))</f>
        <v/>
      </c>
    </row>
    <row r="251">
      <c r="A251" s="2">
        <f>IF($K251="","",INDEX(מלאי!$D$2:$500,$K251))</f>
        <v/>
      </c>
      <c r="B251" s="2">
        <f>IF($K251="","",INDEX(מלאי!$B$2:$500,$K251))</f>
        <v/>
      </c>
      <c r="C251" s="2">
        <f>IF($K251="","",INDEX(מלאי!$C$2:$500,$K251))</f>
        <v/>
      </c>
      <c r="D251" s="2">
        <f>IF($K251="","",INDEX(מלאי!$G$2:$500,$K251))</f>
        <v/>
      </c>
      <c r="E251" s="2">
        <f>IF($K251="","",INDEX(מלאי!$M$2:$500,$K251))</f>
        <v/>
      </c>
      <c r="F251" s="2">
        <f>IF($K251="","",INDEX(מלאי!$N$2:$500,$K251))</f>
        <v/>
      </c>
      <c r="G251" s="2">
        <f>IF($K251="","",INDEX(מלאי!$O$2:$500,$K251))</f>
        <v/>
      </c>
      <c r="H251" s="2">
        <f>IF($K251="","",INDEX(מלאי!$U$2:$500,$K251))</f>
        <v/>
      </c>
      <c r="I251" s="2">
        <f>IF($K251="","",INDEX(מלאי!$X$2:$500,$K251))</f>
        <v/>
      </c>
      <c r="J251" s="2">
        <f>IF($K251="","",INDEX(מלאי!$AC$2:$500,$K251))</f>
        <v/>
      </c>
      <c r="K25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טכנולוגיים'!$A$2:$500,0))&lt;=$G$6),0))),ROW(מלאי!$A$2:$A$500)-ROW(מלאי!$A$2)+1,""),229),"")</f>
        <v/>
      </c>
      <c r="L251" s="2">
        <f>IF($K251="","",IFERROR(INDEX('ערכים טכנולוגיים'!$K$2:$500,MATCH(A251,'ערכים טכנולוגיים'!$A$2:$500,0)),""))</f>
        <v/>
      </c>
      <c r="M251" s="2">
        <f>IF($K251="","",IFERROR(INDEX('ערכים טכנולוגיים'!$F$2:$500,MATCH(A251,'ערכים טכנולוגיים'!$A$2:$500,0)),""))</f>
        <v/>
      </c>
      <c r="N251" s="2">
        <f>IF($K251="","",IFERROR(INDEX('ערכים טכנולוגיים'!$I$2:$500,MATCH(A251,'ערכים טכנולוגיים'!$A$2:$500,0)),""))</f>
        <v/>
      </c>
      <c r="O251" s="2">
        <f>IF($K251="","",IFERROR(INDEX('ערכים טכנולוגיים'!$G$2:$500,MATCH(A251,'ערכים טכנולוגיים'!$A$2:$500,0)),""))</f>
        <v/>
      </c>
      <c r="P251" s="2">
        <f>IF($K251="","",IFERROR(INDEX('ערכים טכנולוגיים'!$J$2:$500,MATCH(A251,'ערכים טכנולוגיים'!$A$2:$500,0)),""))</f>
        <v/>
      </c>
      <c r="Q251" s="2">
        <f>IF($K251="","",IFERROR(INDEX('ערכים טכנולוגיים'!$N$2:$500,MATCH(A251,'ערכים טכנולוגיים'!$A$2:$500,0)),""))</f>
        <v/>
      </c>
    </row>
    <row r="252">
      <c r="A252" s="8">
        <f>IF($K252="","",INDEX(מלאי!$D$2:$500,$K252))</f>
        <v/>
      </c>
      <c r="B252" s="8">
        <f>IF($K252="","",INDEX(מלאי!$B$2:$500,$K252))</f>
        <v/>
      </c>
      <c r="C252" s="8">
        <f>IF($K252="","",INDEX(מלאי!$C$2:$500,$K252))</f>
        <v/>
      </c>
      <c r="D252" s="8">
        <f>IF($K252="","",INDEX(מלאי!$G$2:$500,$K252))</f>
        <v/>
      </c>
      <c r="E252" s="8">
        <f>IF($K252="","",INDEX(מלאי!$M$2:$500,$K252))</f>
        <v/>
      </c>
      <c r="F252" s="8">
        <f>IF($K252="","",INDEX(מלאי!$N$2:$500,$K252))</f>
        <v/>
      </c>
      <c r="G252" s="8">
        <f>IF($K252="","",INDEX(מלאי!$O$2:$500,$K252))</f>
        <v/>
      </c>
      <c r="H252" s="8">
        <f>IF($K252="","",INDEX(מלאי!$U$2:$500,$K252))</f>
        <v/>
      </c>
      <c r="I252" s="8">
        <f>IF($K252="","",INDEX(מלאי!$X$2:$500,$K252))</f>
        <v/>
      </c>
      <c r="J252" s="8">
        <f>IF($K252="","",INDEX(מלאי!$AC$2:$500,$K252))</f>
        <v/>
      </c>
      <c r="K25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טכנולוגיים'!$A$2:$500,0))&lt;=$G$6),0))),ROW(מלאי!$A$2:$A$500)-ROW(מלאי!$A$2)+1,""),230),"")</f>
        <v/>
      </c>
      <c r="L252" s="8">
        <f>IF($K252="","",IFERROR(INDEX('ערכים טכנולוגיים'!$K$2:$500,MATCH(A252,'ערכים טכנולוגיים'!$A$2:$500,0)),""))</f>
        <v/>
      </c>
      <c r="M252" s="8">
        <f>IF($K252="","",IFERROR(INDEX('ערכים טכנולוגיים'!$F$2:$500,MATCH(A252,'ערכים טכנולוגיים'!$A$2:$500,0)),""))</f>
        <v/>
      </c>
      <c r="N252" s="8">
        <f>IF($K252="","",IFERROR(INDEX('ערכים טכנולוגיים'!$I$2:$500,MATCH(A252,'ערכים טכנולוגיים'!$A$2:$500,0)),""))</f>
        <v/>
      </c>
      <c r="O252" s="8">
        <f>IF($K252="","",IFERROR(INDEX('ערכים טכנולוגיים'!$G$2:$500,MATCH(A252,'ערכים טכנולוגיים'!$A$2:$500,0)),""))</f>
        <v/>
      </c>
      <c r="P252" s="8">
        <f>IF($K252="","",IFERROR(INDEX('ערכים טכנולוגיים'!$J$2:$500,MATCH(A252,'ערכים טכנולוגיים'!$A$2:$500,0)),""))</f>
        <v/>
      </c>
      <c r="Q252" s="8">
        <f>IF($K252="","",IFERROR(INDEX('ערכים טכנולוגיים'!$N$2:$500,MATCH(A252,'ערכים טכנולוגיים'!$A$2:$500,0)),""))</f>
        <v/>
      </c>
    </row>
    <row r="253">
      <c r="A253" s="2">
        <f>IF($K253="","",INDEX(מלאי!$D$2:$500,$K253))</f>
        <v/>
      </c>
      <c r="B253" s="2">
        <f>IF($K253="","",INDEX(מלאי!$B$2:$500,$K253))</f>
        <v/>
      </c>
      <c r="C253" s="2">
        <f>IF($K253="","",INDEX(מלאי!$C$2:$500,$K253))</f>
        <v/>
      </c>
      <c r="D253" s="2">
        <f>IF($K253="","",INDEX(מלאי!$G$2:$500,$K253))</f>
        <v/>
      </c>
      <c r="E253" s="2">
        <f>IF($K253="","",INDEX(מלאי!$M$2:$500,$K253))</f>
        <v/>
      </c>
      <c r="F253" s="2">
        <f>IF($K253="","",INDEX(מלאי!$N$2:$500,$K253))</f>
        <v/>
      </c>
      <c r="G253" s="2">
        <f>IF($K253="","",INDEX(מלאי!$O$2:$500,$K253))</f>
        <v/>
      </c>
      <c r="H253" s="2">
        <f>IF($K253="","",INDEX(מלאי!$U$2:$500,$K253))</f>
        <v/>
      </c>
      <c r="I253" s="2">
        <f>IF($K253="","",INDEX(מלאי!$X$2:$500,$K253))</f>
        <v/>
      </c>
      <c r="J253" s="2">
        <f>IF($K253="","",INDEX(מלאי!$AC$2:$500,$K253))</f>
        <v/>
      </c>
      <c r="K25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טכנולוגיים'!$A$2:$500,0))&lt;=$G$6),0))),ROW(מלאי!$A$2:$A$500)-ROW(מלאי!$A$2)+1,""),231),"")</f>
        <v/>
      </c>
      <c r="L253" s="2">
        <f>IF($K253="","",IFERROR(INDEX('ערכים טכנולוגיים'!$K$2:$500,MATCH(A253,'ערכים טכנולוגיים'!$A$2:$500,0)),""))</f>
        <v/>
      </c>
      <c r="M253" s="2">
        <f>IF($K253="","",IFERROR(INDEX('ערכים טכנולוגיים'!$F$2:$500,MATCH(A253,'ערכים טכנולוגיים'!$A$2:$500,0)),""))</f>
        <v/>
      </c>
      <c r="N253" s="2">
        <f>IF($K253="","",IFERROR(INDEX('ערכים טכנולוגיים'!$I$2:$500,MATCH(A253,'ערכים טכנולוגיים'!$A$2:$500,0)),""))</f>
        <v/>
      </c>
      <c r="O253" s="2">
        <f>IF($K253="","",IFERROR(INDEX('ערכים טכנולוגיים'!$G$2:$500,MATCH(A253,'ערכים טכנולוגיים'!$A$2:$500,0)),""))</f>
        <v/>
      </c>
      <c r="P253" s="2">
        <f>IF($K253="","",IFERROR(INDEX('ערכים טכנולוגיים'!$J$2:$500,MATCH(A253,'ערכים טכנולוגיים'!$A$2:$500,0)),""))</f>
        <v/>
      </c>
      <c r="Q253" s="2">
        <f>IF($K253="","",IFERROR(INDEX('ערכים טכנולוגיים'!$N$2:$500,MATCH(A253,'ערכים טכנולוגיים'!$A$2:$500,0)),""))</f>
        <v/>
      </c>
    </row>
    <row r="254">
      <c r="A254" s="8">
        <f>IF($K254="","",INDEX(מלאי!$D$2:$500,$K254))</f>
        <v/>
      </c>
      <c r="B254" s="8">
        <f>IF($K254="","",INDEX(מלאי!$B$2:$500,$K254))</f>
        <v/>
      </c>
      <c r="C254" s="8">
        <f>IF($K254="","",INDEX(מלאי!$C$2:$500,$K254))</f>
        <v/>
      </c>
      <c r="D254" s="8">
        <f>IF($K254="","",INDEX(מלאי!$G$2:$500,$K254))</f>
        <v/>
      </c>
      <c r="E254" s="8">
        <f>IF($K254="","",INDEX(מלאי!$M$2:$500,$K254))</f>
        <v/>
      </c>
      <c r="F254" s="8">
        <f>IF($K254="","",INDEX(מלאי!$N$2:$500,$K254))</f>
        <v/>
      </c>
      <c r="G254" s="8">
        <f>IF($K254="","",INDEX(מלאי!$O$2:$500,$K254))</f>
        <v/>
      </c>
      <c r="H254" s="8">
        <f>IF($K254="","",INDEX(מלאי!$U$2:$500,$K254))</f>
        <v/>
      </c>
      <c r="I254" s="8">
        <f>IF($K254="","",INDEX(מלאי!$X$2:$500,$K254))</f>
        <v/>
      </c>
      <c r="J254" s="8">
        <f>IF($K254="","",INDEX(מלאי!$AC$2:$500,$K254))</f>
        <v/>
      </c>
      <c r="K25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טכנולוגיים'!$A$2:$500,0))&lt;=$G$6),0))),ROW(מלאי!$A$2:$A$500)-ROW(מלאי!$A$2)+1,""),232),"")</f>
        <v/>
      </c>
      <c r="L254" s="8">
        <f>IF($K254="","",IFERROR(INDEX('ערכים טכנולוגיים'!$K$2:$500,MATCH(A254,'ערכים טכנולוגיים'!$A$2:$500,0)),""))</f>
        <v/>
      </c>
      <c r="M254" s="8">
        <f>IF($K254="","",IFERROR(INDEX('ערכים טכנולוגיים'!$F$2:$500,MATCH(A254,'ערכים טכנולוגיים'!$A$2:$500,0)),""))</f>
        <v/>
      </c>
      <c r="N254" s="8">
        <f>IF($K254="","",IFERROR(INDEX('ערכים טכנולוגיים'!$I$2:$500,MATCH(A254,'ערכים טכנולוגיים'!$A$2:$500,0)),""))</f>
        <v/>
      </c>
      <c r="O254" s="8">
        <f>IF($K254="","",IFERROR(INDEX('ערכים טכנולוגיים'!$G$2:$500,MATCH(A254,'ערכים טכנולוגיים'!$A$2:$500,0)),""))</f>
        <v/>
      </c>
      <c r="P254" s="8">
        <f>IF($K254="","",IFERROR(INDEX('ערכים טכנולוגיים'!$J$2:$500,MATCH(A254,'ערכים טכנולוגיים'!$A$2:$500,0)),""))</f>
        <v/>
      </c>
      <c r="Q254" s="8">
        <f>IF($K254="","",IFERROR(INDEX('ערכים טכנולוגיים'!$N$2:$500,MATCH(A254,'ערכים טכנולוגיים'!$A$2:$500,0)),""))</f>
        <v/>
      </c>
    </row>
    <row r="255">
      <c r="A255" s="2">
        <f>IF($K255="","",INDEX(מלאי!$D$2:$500,$K255))</f>
        <v/>
      </c>
      <c r="B255" s="2">
        <f>IF($K255="","",INDEX(מלאי!$B$2:$500,$K255))</f>
        <v/>
      </c>
      <c r="C255" s="2">
        <f>IF($K255="","",INDEX(מלאי!$C$2:$500,$K255))</f>
        <v/>
      </c>
      <c r="D255" s="2">
        <f>IF($K255="","",INDEX(מלאי!$G$2:$500,$K255))</f>
        <v/>
      </c>
      <c r="E255" s="2">
        <f>IF($K255="","",INDEX(מלאי!$M$2:$500,$K255))</f>
        <v/>
      </c>
      <c r="F255" s="2">
        <f>IF($K255="","",INDEX(מלאי!$N$2:$500,$K255))</f>
        <v/>
      </c>
      <c r="G255" s="2">
        <f>IF($K255="","",INDEX(מלאי!$O$2:$500,$K255))</f>
        <v/>
      </c>
      <c r="H255" s="2">
        <f>IF($K255="","",INDEX(מלאי!$U$2:$500,$K255))</f>
        <v/>
      </c>
      <c r="I255" s="2">
        <f>IF($K255="","",INDEX(מלאי!$X$2:$500,$K255))</f>
        <v/>
      </c>
      <c r="J255" s="2">
        <f>IF($K255="","",INDEX(מלאי!$AC$2:$500,$K255))</f>
        <v/>
      </c>
      <c r="K25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טכנולוגיים'!$A$2:$500,0))&lt;=$G$6),0))),ROW(מלאי!$A$2:$A$500)-ROW(מלאי!$A$2)+1,""),233),"")</f>
        <v/>
      </c>
      <c r="L255" s="2">
        <f>IF($K255="","",IFERROR(INDEX('ערכים טכנולוגיים'!$K$2:$500,MATCH(A255,'ערכים טכנולוגיים'!$A$2:$500,0)),""))</f>
        <v/>
      </c>
      <c r="M255" s="2">
        <f>IF($K255="","",IFERROR(INDEX('ערכים טכנולוגיים'!$F$2:$500,MATCH(A255,'ערכים טכנולוגיים'!$A$2:$500,0)),""))</f>
        <v/>
      </c>
      <c r="N255" s="2">
        <f>IF($K255="","",IFERROR(INDEX('ערכים טכנולוגיים'!$I$2:$500,MATCH(A255,'ערכים טכנולוגיים'!$A$2:$500,0)),""))</f>
        <v/>
      </c>
      <c r="O255" s="2">
        <f>IF($K255="","",IFERROR(INDEX('ערכים טכנולוגיים'!$G$2:$500,MATCH(A255,'ערכים טכנולוגיים'!$A$2:$500,0)),""))</f>
        <v/>
      </c>
      <c r="P255" s="2">
        <f>IF($K255="","",IFERROR(INDEX('ערכים טכנולוגיים'!$J$2:$500,MATCH(A255,'ערכים טכנולוגיים'!$A$2:$500,0)),""))</f>
        <v/>
      </c>
      <c r="Q255" s="2">
        <f>IF($K255="","",IFERROR(INDEX('ערכים טכנולוגיים'!$N$2:$500,MATCH(A255,'ערכים טכנולוגיים'!$A$2:$500,0)),""))</f>
        <v/>
      </c>
    </row>
    <row r="256">
      <c r="A256" s="8">
        <f>IF($K256="","",INDEX(מלאי!$D$2:$500,$K256))</f>
        <v/>
      </c>
      <c r="B256" s="8">
        <f>IF($K256="","",INDEX(מלאי!$B$2:$500,$K256))</f>
        <v/>
      </c>
      <c r="C256" s="8">
        <f>IF($K256="","",INDEX(מלאי!$C$2:$500,$K256))</f>
        <v/>
      </c>
      <c r="D256" s="8">
        <f>IF($K256="","",INDEX(מלאי!$G$2:$500,$K256))</f>
        <v/>
      </c>
      <c r="E256" s="8">
        <f>IF($K256="","",INDEX(מלאי!$M$2:$500,$K256))</f>
        <v/>
      </c>
      <c r="F256" s="8">
        <f>IF($K256="","",INDEX(מלאי!$N$2:$500,$K256))</f>
        <v/>
      </c>
      <c r="G256" s="8">
        <f>IF($K256="","",INDEX(מלאי!$O$2:$500,$K256))</f>
        <v/>
      </c>
      <c r="H256" s="8">
        <f>IF($K256="","",INDEX(מלאי!$U$2:$500,$K256))</f>
        <v/>
      </c>
      <c r="I256" s="8">
        <f>IF($K256="","",INDEX(מלאי!$X$2:$500,$K256))</f>
        <v/>
      </c>
      <c r="J256" s="8">
        <f>IF($K256="","",INDEX(מלאי!$AC$2:$500,$K256))</f>
        <v/>
      </c>
      <c r="K25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טכנולוגיים'!$A$2:$500,0))&lt;=$G$6),0))),ROW(מלאי!$A$2:$A$500)-ROW(מלאי!$A$2)+1,""),234),"")</f>
        <v/>
      </c>
      <c r="L256" s="8">
        <f>IF($K256="","",IFERROR(INDEX('ערכים טכנולוגיים'!$K$2:$500,MATCH(A256,'ערכים טכנולוגיים'!$A$2:$500,0)),""))</f>
        <v/>
      </c>
      <c r="M256" s="8">
        <f>IF($K256="","",IFERROR(INDEX('ערכים טכנולוגיים'!$F$2:$500,MATCH(A256,'ערכים טכנולוגיים'!$A$2:$500,0)),""))</f>
        <v/>
      </c>
      <c r="N256" s="8">
        <f>IF($K256="","",IFERROR(INDEX('ערכים טכנולוגיים'!$I$2:$500,MATCH(A256,'ערכים טכנולוגיים'!$A$2:$500,0)),""))</f>
        <v/>
      </c>
      <c r="O256" s="8">
        <f>IF($K256="","",IFERROR(INDEX('ערכים טכנולוגיים'!$G$2:$500,MATCH(A256,'ערכים טכנולוגיים'!$A$2:$500,0)),""))</f>
        <v/>
      </c>
      <c r="P256" s="8">
        <f>IF($K256="","",IFERROR(INDEX('ערכים טכנולוגיים'!$J$2:$500,MATCH(A256,'ערכים טכנולוגיים'!$A$2:$500,0)),""))</f>
        <v/>
      </c>
      <c r="Q256" s="8">
        <f>IF($K256="","",IFERROR(INDEX('ערכים טכנולוגיים'!$N$2:$500,MATCH(A256,'ערכים טכנולוגיים'!$A$2:$500,0)),""))</f>
        <v/>
      </c>
    </row>
    <row r="257">
      <c r="A257" s="2">
        <f>IF($K257="","",INDEX(מלאי!$D$2:$500,$K257))</f>
        <v/>
      </c>
      <c r="B257" s="2">
        <f>IF($K257="","",INDEX(מלאי!$B$2:$500,$K257))</f>
        <v/>
      </c>
      <c r="C257" s="2">
        <f>IF($K257="","",INDEX(מלאי!$C$2:$500,$K257))</f>
        <v/>
      </c>
      <c r="D257" s="2">
        <f>IF($K257="","",INDEX(מלאי!$G$2:$500,$K257))</f>
        <v/>
      </c>
      <c r="E257" s="2">
        <f>IF($K257="","",INDEX(מלאי!$M$2:$500,$K257))</f>
        <v/>
      </c>
      <c r="F257" s="2">
        <f>IF($K257="","",INDEX(מלאי!$N$2:$500,$K257))</f>
        <v/>
      </c>
      <c r="G257" s="2">
        <f>IF($K257="","",INDEX(מלאי!$O$2:$500,$K257))</f>
        <v/>
      </c>
      <c r="H257" s="2">
        <f>IF($K257="","",INDEX(מלאי!$U$2:$500,$K257))</f>
        <v/>
      </c>
      <c r="I257" s="2">
        <f>IF($K257="","",INDEX(מלאי!$X$2:$500,$K257))</f>
        <v/>
      </c>
      <c r="J257" s="2">
        <f>IF($K257="","",INDEX(מלאי!$AC$2:$500,$K257))</f>
        <v/>
      </c>
      <c r="K25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טכנולוגיים'!$A$2:$500,0))&lt;=$G$6),0))),ROW(מלאי!$A$2:$A$500)-ROW(מלאי!$A$2)+1,""),235),"")</f>
        <v/>
      </c>
      <c r="L257" s="2">
        <f>IF($K257="","",IFERROR(INDEX('ערכים טכנולוגיים'!$K$2:$500,MATCH(A257,'ערכים טכנולוגיים'!$A$2:$500,0)),""))</f>
        <v/>
      </c>
      <c r="M257" s="2">
        <f>IF($K257="","",IFERROR(INDEX('ערכים טכנולוגיים'!$F$2:$500,MATCH(A257,'ערכים טכנולוגיים'!$A$2:$500,0)),""))</f>
        <v/>
      </c>
      <c r="N257" s="2">
        <f>IF($K257="","",IFERROR(INDEX('ערכים טכנולוגיים'!$I$2:$500,MATCH(A257,'ערכים טכנולוגיים'!$A$2:$500,0)),""))</f>
        <v/>
      </c>
      <c r="O257" s="2">
        <f>IF($K257="","",IFERROR(INDEX('ערכים טכנולוגיים'!$G$2:$500,MATCH(A257,'ערכים טכנולוגיים'!$A$2:$500,0)),""))</f>
        <v/>
      </c>
      <c r="P257" s="2">
        <f>IF($K257="","",IFERROR(INDEX('ערכים טכנולוגיים'!$J$2:$500,MATCH(A257,'ערכים טכנולוגיים'!$A$2:$500,0)),""))</f>
        <v/>
      </c>
      <c r="Q257" s="2">
        <f>IF($K257="","",IFERROR(INDEX('ערכים טכנולוגיים'!$N$2:$500,MATCH(A257,'ערכים טכנולוגיים'!$A$2:$500,0)),""))</f>
        <v/>
      </c>
    </row>
    <row r="258">
      <c r="A258" s="8">
        <f>IF($K258="","",INDEX(מלאי!$D$2:$500,$K258))</f>
        <v/>
      </c>
      <c r="B258" s="8">
        <f>IF($K258="","",INDEX(מלאי!$B$2:$500,$K258))</f>
        <v/>
      </c>
      <c r="C258" s="8">
        <f>IF($K258="","",INDEX(מלאי!$C$2:$500,$K258))</f>
        <v/>
      </c>
      <c r="D258" s="8">
        <f>IF($K258="","",INDEX(מלאי!$G$2:$500,$K258))</f>
        <v/>
      </c>
      <c r="E258" s="8">
        <f>IF($K258="","",INDEX(מלאי!$M$2:$500,$K258))</f>
        <v/>
      </c>
      <c r="F258" s="8">
        <f>IF($K258="","",INDEX(מלאי!$N$2:$500,$K258))</f>
        <v/>
      </c>
      <c r="G258" s="8">
        <f>IF($K258="","",INDEX(מלאי!$O$2:$500,$K258))</f>
        <v/>
      </c>
      <c r="H258" s="8">
        <f>IF($K258="","",INDEX(מלאי!$U$2:$500,$K258))</f>
        <v/>
      </c>
      <c r="I258" s="8">
        <f>IF($K258="","",INDEX(מלאי!$X$2:$500,$K258))</f>
        <v/>
      </c>
      <c r="J258" s="8">
        <f>IF($K258="","",INDEX(מלאי!$AC$2:$500,$K258))</f>
        <v/>
      </c>
      <c r="K25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טכנולוגיים'!$A$2:$500,0))&lt;=$G$6),0))),ROW(מלאי!$A$2:$A$500)-ROW(מלאי!$A$2)+1,""),236),"")</f>
        <v/>
      </c>
      <c r="L258" s="8">
        <f>IF($K258="","",IFERROR(INDEX('ערכים טכנולוגיים'!$K$2:$500,MATCH(A258,'ערכים טכנולוגיים'!$A$2:$500,0)),""))</f>
        <v/>
      </c>
      <c r="M258" s="8">
        <f>IF($K258="","",IFERROR(INDEX('ערכים טכנולוגיים'!$F$2:$500,MATCH(A258,'ערכים טכנולוגיים'!$A$2:$500,0)),""))</f>
        <v/>
      </c>
      <c r="N258" s="8">
        <f>IF($K258="","",IFERROR(INDEX('ערכים טכנולוגיים'!$I$2:$500,MATCH(A258,'ערכים טכנולוגיים'!$A$2:$500,0)),""))</f>
        <v/>
      </c>
      <c r="O258" s="8">
        <f>IF($K258="","",IFERROR(INDEX('ערכים טכנולוגיים'!$G$2:$500,MATCH(A258,'ערכים טכנולוגיים'!$A$2:$500,0)),""))</f>
        <v/>
      </c>
      <c r="P258" s="8">
        <f>IF($K258="","",IFERROR(INDEX('ערכים טכנולוגיים'!$J$2:$500,MATCH(A258,'ערכים טכנולוגיים'!$A$2:$500,0)),""))</f>
        <v/>
      </c>
      <c r="Q258" s="8">
        <f>IF($K258="","",IFERROR(INDEX('ערכים טכנולוגיים'!$N$2:$500,MATCH(A258,'ערכים טכנולוגיים'!$A$2:$500,0)),""))</f>
        <v/>
      </c>
    </row>
    <row r="259">
      <c r="A259" s="2">
        <f>IF($K259="","",INDEX(מלאי!$D$2:$500,$K259))</f>
        <v/>
      </c>
      <c r="B259" s="2">
        <f>IF($K259="","",INDEX(מלאי!$B$2:$500,$K259))</f>
        <v/>
      </c>
      <c r="C259" s="2">
        <f>IF($K259="","",INDEX(מלאי!$C$2:$500,$K259))</f>
        <v/>
      </c>
      <c r="D259" s="2">
        <f>IF($K259="","",INDEX(מלאי!$G$2:$500,$K259))</f>
        <v/>
      </c>
      <c r="E259" s="2">
        <f>IF($K259="","",INDEX(מלאי!$M$2:$500,$K259))</f>
        <v/>
      </c>
      <c r="F259" s="2">
        <f>IF($K259="","",INDEX(מלאי!$N$2:$500,$K259))</f>
        <v/>
      </c>
      <c r="G259" s="2">
        <f>IF($K259="","",INDEX(מלאי!$O$2:$500,$K259))</f>
        <v/>
      </c>
      <c r="H259" s="2">
        <f>IF($K259="","",INDEX(מלאי!$U$2:$500,$K259))</f>
        <v/>
      </c>
      <c r="I259" s="2">
        <f>IF($K259="","",INDEX(מלאי!$X$2:$500,$K259))</f>
        <v/>
      </c>
      <c r="J259" s="2">
        <f>IF($K259="","",INDEX(מלאי!$AC$2:$500,$K259))</f>
        <v/>
      </c>
      <c r="K25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טכנולוגיים'!$A$2:$500,0))&lt;=$G$6),0))),ROW(מלאי!$A$2:$A$500)-ROW(מלאי!$A$2)+1,""),237),"")</f>
        <v/>
      </c>
      <c r="L259" s="2">
        <f>IF($K259="","",IFERROR(INDEX('ערכים טכנולוגיים'!$K$2:$500,MATCH(A259,'ערכים טכנולוגיים'!$A$2:$500,0)),""))</f>
        <v/>
      </c>
      <c r="M259" s="2">
        <f>IF($K259="","",IFERROR(INDEX('ערכים טכנולוגיים'!$F$2:$500,MATCH(A259,'ערכים טכנולוגיים'!$A$2:$500,0)),""))</f>
        <v/>
      </c>
      <c r="N259" s="2">
        <f>IF($K259="","",IFERROR(INDEX('ערכים טכנולוגיים'!$I$2:$500,MATCH(A259,'ערכים טכנולוגיים'!$A$2:$500,0)),""))</f>
        <v/>
      </c>
      <c r="O259" s="2">
        <f>IF($K259="","",IFERROR(INDEX('ערכים טכנולוגיים'!$G$2:$500,MATCH(A259,'ערכים טכנולוגיים'!$A$2:$500,0)),""))</f>
        <v/>
      </c>
      <c r="P259" s="2">
        <f>IF($K259="","",IFERROR(INDEX('ערכים טכנולוגיים'!$J$2:$500,MATCH(A259,'ערכים טכנולוגיים'!$A$2:$500,0)),""))</f>
        <v/>
      </c>
      <c r="Q259" s="2">
        <f>IF($K259="","",IFERROR(INDEX('ערכים טכנולוגיים'!$N$2:$500,MATCH(A259,'ערכים טכנולוגיים'!$A$2:$500,0)),""))</f>
        <v/>
      </c>
    </row>
    <row r="260">
      <c r="A260" s="8">
        <f>IF($K260="","",INDEX(מלאי!$D$2:$500,$K260))</f>
        <v/>
      </c>
      <c r="B260" s="8">
        <f>IF($K260="","",INDEX(מלאי!$B$2:$500,$K260))</f>
        <v/>
      </c>
      <c r="C260" s="8">
        <f>IF($K260="","",INDEX(מלאי!$C$2:$500,$K260))</f>
        <v/>
      </c>
      <c r="D260" s="8">
        <f>IF($K260="","",INDEX(מלאי!$G$2:$500,$K260))</f>
        <v/>
      </c>
      <c r="E260" s="8">
        <f>IF($K260="","",INDEX(מלאי!$M$2:$500,$K260))</f>
        <v/>
      </c>
      <c r="F260" s="8">
        <f>IF($K260="","",INDEX(מלאי!$N$2:$500,$K260))</f>
        <v/>
      </c>
      <c r="G260" s="8">
        <f>IF($K260="","",INDEX(מלאי!$O$2:$500,$K260))</f>
        <v/>
      </c>
      <c r="H260" s="8">
        <f>IF($K260="","",INDEX(מלאי!$U$2:$500,$K260))</f>
        <v/>
      </c>
      <c r="I260" s="8">
        <f>IF($K260="","",INDEX(מלאי!$X$2:$500,$K260))</f>
        <v/>
      </c>
      <c r="J260" s="8">
        <f>IF($K260="","",INDEX(מלאי!$AC$2:$500,$K260))</f>
        <v/>
      </c>
      <c r="K26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טכנולוגיים'!$A$2:$500,0))&lt;=$G$6),0))),ROW(מלאי!$A$2:$A$500)-ROW(מלאי!$A$2)+1,""),238),"")</f>
        <v/>
      </c>
      <c r="L260" s="8">
        <f>IF($K260="","",IFERROR(INDEX('ערכים טכנולוגיים'!$K$2:$500,MATCH(A260,'ערכים טכנולוגיים'!$A$2:$500,0)),""))</f>
        <v/>
      </c>
      <c r="M260" s="8">
        <f>IF($K260="","",IFERROR(INDEX('ערכים טכנולוגיים'!$F$2:$500,MATCH(A260,'ערכים טכנולוגיים'!$A$2:$500,0)),""))</f>
        <v/>
      </c>
      <c r="N260" s="8">
        <f>IF($K260="","",IFERROR(INDEX('ערכים טכנולוגיים'!$I$2:$500,MATCH(A260,'ערכים טכנולוגיים'!$A$2:$500,0)),""))</f>
        <v/>
      </c>
      <c r="O260" s="8">
        <f>IF($K260="","",IFERROR(INDEX('ערכים טכנולוגיים'!$G$2:$500,MATCH(A260,'ערכים טכנולוגיים'!$A$2:$500,0)),""))</f>
        <v/>
      </c>
      <c r="P260" s="8">
        <f>IF($K260="","",IFERROR(INDEX('ערכים טכנולוגיים'!$J$2:$500,MATCH(A260,'ערכים טכנולוגיים'!$A$2:$500,0)),""))</f>
        <v/>
      </c>
      <c r="Q260" s="8">
        <f>IF($K260="","",IFERROR(INDEX('ערכים טכנולוגיים'!$N$2:$500,MATCH(A260,'ערכים טכנולוגיים'!$A$2:$500,0)),""))</f>
        <v/>
      </c>
    </row>
    <row r="261">
      <c r="A261" s="2">
        <f>IF($K261="","",INDEX(מלאי!$D$2:$500,$K261))</f>
        <v/>
      </c>
      <c r="B261" s="2">
        <f>IF($K261="","",INDEX(מלאי!$B$2:$500,$K261))</f>
        <v/>
      </c>
      <c r="C261" s="2">
        <f>IF($K261="","",INDEX(מלאי!$C$2:$500,$K261))</f>
        <v/>
      </c>
      <c r="D261" s="2">
        <f>IF($K261="","",INDEX(מלאי!$G$2:$500,$K261))</f>
        <v/>
      </c>
      <c r="E261" s="2">
        <f>IF($K261="","",INDEX(מלאי!$M$2:$500,$K261))</f>
        <v/>
      </c>
      <c r="F261" s="2">
        <f>IF($K261="","",INDEX(מלאי!$N$2:$500,$K261))</f>
        <v/>
      </c>
      <c r="G261" s="2">
        <f>IF($K261="","",INDEX(מלאי!$O$2:$500,$K261))</f>
        <v/>
      </c>
      <c r="H261" s="2">
        <f>IF($K261="","",INDEX(מלאי!$U$2:$500,$K261))</f>
        <v/>
      </c>
      <c r="I261" s="2">
        <f>IF($K261="","",INDEX(מלאי!$X$2:$500,$K261))</f>
        <v/>
      </c>
      <c r="J261" s="2">
        <f>IF($K261="","",INDEX(מלאי!$AC$2:$500,$K261))</f>
        <v/>
      </c>
      <c r="K26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טכנולוגיים'!$A$2:$500,0))&lt;=$G$6),0))),ROW(מלאי!$A$2:$A$500)-ROW(מלאי!$A$2)+1,""),239),"")</f>
        <v/>
      </c>
      <c r="L261" s="2">
        <f>IF($K261="","",IFERROR(INDEX('ערכים טכנולוגיים'!$K$2:$500,MATCH(A261,'ערכים טכנולוגיים'!$A$2:$500,0)),""))</f>
        <v/>
      </c>
      <c r="M261" s="2">
        <f>IF($K261="","",IFERROR(INDEX('ערכים טכנולוגיים'!$F$2:$500,MATCH(A261,'ערכים טכנולוגיים'!$A$2:$500,0)),""))</f>
        <v/>
      </c>
      <c r="N261" s="2">
        <f>IF($K261="","",IFERROR(INDEX('ערכים טכנולוגיים'!$I$2:$500,MATCH(A261,'ערכים טכנולוגיים'!$A$2:$500,0)),""))</f>
        <v/>
      </c>
      <c r="O261" s="2">
        <f>IF($K261="","",IFERROR(INDEX('ערכים טכנולוגיים'!$G$2:$500,MATCH(A261,'ערכים טכנולוגיים'!$A$2:$500,0)),""))</f>
        <v/>
      </c>
      <c r="P261" s="2">
        <f>IF($K261="","",IFERROR(INDEX('ערכים טכנולוגיים'!$J$2:$500,MATCH(A261,'ערכים טכנולוגיים'!$A$2:$500,0)),""))</f>
        <v/>
      </c>
      <c r="Q261" s="2">
        <f>IF($K261="","",IFERROR(INDEX('ערכים טכנולוגיים'!$N$2:$500,MATCH(A261,'ערכים טכנולוגיים'!$A$2:$500,0)),""))</f>
        <v/>
      </c>
    </row>
    <row r="262">
      <c r="A262" s="8">
        <f>IF($K262="","",INDEX(מלאי!$D$2:$500,$K262))</f>
        <v/>
      </c>
      <c r="B262" s="8">
        <f>IF($K262="","",INDEX(מלאי!$B$2:$500,$K262))</f>
        <v/>
      </c>
      <c r="C262" s="8">
        <f>IF($K262="","",INDEX(מלאי!$C$2:$500,$K262))</f>
        <v/>
      </c>
      <c r="D262" s="8">
        <f>IF($K262="","",INDEX(מלאי!$G$2:$500,$K262))</f>
        <v/>
      </c>
      <c r="E262" s="8">
        <f>IF($K262="","",INDEX(מלאי!$M$2:$500,$K262))</f>
        <v/>
      </c>
      <c r="F262" s="8">
        <f>IF($K262="","",INDEX(מלאי!$N$2:$500,$K262))</f>
        <v/>
      </c>
      <c r="G262" s="8">
        <f>IF($K262="","",INDEX(מלאי!$O$2:$500,$K262))</f>
        <v/>
      </c>
      <c r="H262" s="8">
        <f>IF($K262="","",INDEX(מלאי!$U$2:$500,$K262))</f>
        <v/>
      </c>
      <c r="I262" s="8">
        <f>IF($K262="","",INDEX(מלאי!$X$2:$500,$K262))</f>
        <v/>
      </c>
      <c r="J262" s="8">
        <f>IF($K262="","",INDEX(מלאי!$AC$2:$500,$K262))</f>
        <v/>
      </c>
      <c r="K26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טכנולוגיים'!$A$2:$500,0))&lt;=$G$6),0))),ROW(מלאי!$A$2:$A$500)-ROW(מלאי!$A$2)+1,""),240),"")</f>
        <v/>
      </c>
      <c r="L262" s="8">
        <f>IF($K262="","",IFERROR(INDEX('ערכים טכנולוגיים'!$K$2:$500,MATCH(A262,'ערכים טכנולוגיים'!$A$2:$500,0)),""))</f>
        <v/>
      </c>
      <c r="M262" s="8">
        <f>IF($K262="","",IFERROR(INDEX('ערכים טכנולוגיים'!$F$2:$500,MATCH(A262,'ערכים טכנולוגיים'!$A$2:$500,0)),""))</f>
        <v/>
      </c>
      <c r="N262" s="8">
        <f>IF($K262="","",IFERROR(INDEX('ערכים טכנולוגיים'!$I$2:$500,MATCH(A262,'ערכים טכנולוגיים'!$A$2:$500,0)),""))</f>
        <v/>
      </c>
      <c r="O262" s="8">
        <f>IF($K262="","",IFERROR(INDEX('ערכים טכנולוגיים'!$G$2:$500,MATCH(A262,'ערכים טכנולוגיים'!$A$2:$500,0)),""))</f>
        <v/>
      </c>
      <c r="P262" s="8">
        <f>IF($K262="","",IFERROR(INDEX('ערכים טכנולוגיים'!$J$2:$500,MATCH(A262,'ערכים טכנולוגיים'!$A$2:$500,0)),""))</f>
        <v/>
      </c>
      <c r="Q262" s="8">
        <f>IF($K262="","",IFERROR(INDEX('ערכים טכנולוגיים'!$N$2:$500,MATCH(A262,'ערכים טכנולוגיים'!$A$2:$500,0)),""))</f>
        <v/>
      </c>
    </row>
    <row r="263">
      <c r="A263" s="2">
        <f>IF($K263="","",INDEX(מלאי!$D$2:$500,$K263))</f>
        <v/>
      </c>
      <c r="B263" s="2">
        <f>IF($K263="","",INDEX(מלאי!$B$2:$500,$K263))</f>
        <v/>
      </c>
      <c r="C263" s="2">
        <f>IF($K263="","",INDEX(מלאי!$C$2:$500,$K263))</f>
        <v/>
      </c>
      <c r="D263" s="2">
        <f>IF($K263="","",INDEX(מלאי!$G$2:$500,$K263))</f>
        <v/>
      </c>
      <c r="E263" s="2">
        <f>IF($K263="","",INDEX(מלאי!$M$2:$500,$K263))</f>
        <v/>
      </c>
      <c r="F263" s="2">
        <f>IF($K263="","",INDEX(מלאי!$N$2:$500,$K263))</f>
        <v/>
      </c>
      <c r="G263" s="2">
        <f>IF($K263="","",INDEX(מלאי!$O$2:$500,$K263))</f>
        <v/>
      </c>
      <c r="H263" s="2">
        <f>IF($K263="","",INDEX(מלאי!$U$2:$500,$K263))</f>
        <v/>
      </c>
      <c r="I263" s="2">
        <f>IF($K263="","",INDEX(מלאי!$X$2:$500,$K263))</f>
        <v/>
      </c>
      <c r="J263" s="2">
        <f>IF($K263="","",INDEX(מלאי!$AC$2:$500,$K263))</f>
        <v/>
      </c>
      <c r="K26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טכנולוגיים'!$A$2:$500,0))&lt;=$G$6),0))),ROW(מלאי!$A$2:$A$500)-ROW(מלאי!$A$2)+1,""),241),"")</f>
        <v/>
      </c>
      <c r="L263" s="2">
        <f>IF($K263="","",IFERROR(INDEX('ערכים טכנולוגיים'!$K$2:$500,MATCH(A263,'ערכים טכנולוגיים'!$A$2:$500,0)),""))</f>
        <v/>
      </c>
      <c r="M263" s="2">
        <f>IF($K263="","",IFERROR(INDEX('ערכים טכנולוגיים'!$F$2:$500,MATCH(A263,'ערכים טכנולוגיים'!$A$2:$500,0)),""))</f>
        <v/>
      </c>
      <c r="N263" s="2">
        <f>IF($K263="","",IFERROR(INDEX('ערכים טכנולוגיים'!$I$2:$500,MATCH(A263,'ערכים טכנולוגיים'!$A$2:$500,0)),""))</f>
        <v/>
      </c>
      <c r="O263" s="2">
        <f>IF($K263="","",IFERROR(INDEX('ערכים טכנולוגיים'!$G$2:$500,MATCH(A263,'ערכים טכנולוגיים'!$A$2:$500,0)),""))</f>
        <v/>
      </c>
      <c r="P263" s="2">
        <f>IF($K263="","",IFERROR(INDEX('ערכים טכנולוגיים'!$J$2:$500,MATCH(A263,'ערכים טכנולוגיים'!$A$2:$500,0)),""))</f>
        <v/>
      </c>
      <c r="Q263" s="2">
        <f>IF($K263="","",IFERROR(INDEX('ערכים טכנולוגיים'!$N$2:$500,MATCH(A263,'ערכים טכנולוגיים'!$A$2:$500,0)),""))</f>
        <v/>
      </c>
    </row>
    <row r="264">
      <c r="A264" s="8">
        <f>IF($K264="","",INDEX(מלאי!$D$2:$500,$K264))</f>
        <v/>
      </c>
      <c r="B264" s="8">
        <f>IF($K264="","",INDEX(מלאי!$B$2:$500,$K264))</f>
        <v/>
      </c>
      <c r="C264" s="8">
        <f>IF($K264="","",INDEX(מלאי!$C$2:$500,$K264))</f>
        <v/>
      </c>
      <c r="D264" s="8">
        <f>IF($K264="","",INDEX(מלאי!$G$2:$500,$K264))</f>
        <v/>
      </c>
      <c r="E264" s="8">
        <f>IF($K264="","",INDEX(מלאי!$M$2:$500,$K264))</f>
        <v/>
      </c>
      <c r="F264" s="8">
        <f>IF($K264="","",INDEX(מלאי!$N$2:$500,$K264))</f>
        <v/>
      </c>
      <c r="G264" s="8">
        <f>IF($K264="","",INDEX(מלאי!$O$2:$500,$K264))</f>
        <v/>
      </c>
      <c r="H264" s="8">
        <f>IF($K264="","",INDEX(מלאי!$U$2:$500,$K264))</f>
        <v/>
      </c>
      <c r="I264" s="8">
        <f>IF($K264="","",INDEX(מלאי!$X$2:$500,$K264))</f>
        <v/>
      </c>
      <c r="J264" s="8">
        <f>IF($K264="","",INDEX(מלאי!$AC$2:$500,$K264))</f>
        <v/>
      </c>
      <c r="K26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טכנולוגיים'!$A$2:$500,0))&lt;=$G$6),0))),ROW(מלאי!$A$2:$A$500)-ROW(מלאי!$A$2)+1,""),242),"")</f>
        <v/>
      </c>
      <c r="L264" s="8">
        <f>IF($K264="","",IFERROR(INDEX('ערכים טכנולוגיים'!$K$2:$500,MATCH(A264,'ערכים טכנולוגיים'!$A$2:$500,0)),""))</f>
        <v/>
      </c>
      <c r="M264" s="8">
        <f>IF($K264="","",IFERROR(INDEX('ערכים טכנולוגיים'!$F$2:$500,MATCH(A264,'ערכים טכנולוגיים'!$A$2:$500,0)),""))</f>
        <v/>
      </c>
      <c r="N264" s="8">
        <f>IF($K264="","",IFERROR(INDEX('ערכים טכנולוגיים'!$I$2:$500,MATCH(A264,'ערכים טכנולוגיים'!$A$2:$500,0)),""))</f>
        <v/>
      </c>
      <c r="O264" s="8">
        <f>IF($K264="","",IFERROR(INDEX('ערכים טכנולוגיים'!$G$2:$500,MATCH(A264,'ערכים טכנולוגיים'!$A$2:$500,0)),""))</f>
        <v/>
      </c>
      <c r="P264" s="8">
        <f>IF($K264="","",IFERROR(INDEX('ערכים טכנולוגיים'!$J$2:$500,MATCH(A264,'ערכים טכנולוגיים'!$A$2:$500,0)),""))</f>
        <v/>
      </c>
      <c r="Q264" s="8">
        <f>IF($K264="","",IFERROR(INDEX('ערכים טכנולוגיים'!$N$2:$500,MATCH(A264,'ערכים טכנולוגיים'!$A$2:$500,0)),""))</f>
        <v/>
      </c>
    </row>
    <row r="265">
      <c r="A265" s="2">
        <f>IF($K265="","",INDEX(מלאי!$D$2:$500,$K265))</f>
        <v/>
      </c>
      <c r="B265" s="2">
        <f>IF($K265="","",INDEX(מלאי!$B$2:$500,$K265))</f>
        <v/>
      </c>
      <c r="C265" s="2">
        <f>IF($K265="","",INDEX(מלאי!$C$2:$500,$K265))</f>
        <v/>
      </c>
      <c r="D265" s="2">
        <f>IF($K265="","",INDEX(מלאי!$G$2:$500,$K265))</f>
        <v/>
      </c>
      <c r="E265" s="2">
        <f>IF($K265="","",INDEX(מלאי!$M$2:$500,$K265))</f>
        <v/>
      </c>
      <c r="F265" s="2">
        <f>IF($K265="","",INDEX(מלאי!$N$2:$500,$K265))</f>
        <v/>
      </c>
      <c r="G265" s="2">
        <f>IF($K265="","",INDEX(מלאי!$O$2:$500,$K265))</f>
        <v/>
      </c>
      <c r="H265" s="2">
        <f>IF($K265="","",INDEX(מלאי!$U$2:$500,$K265))</f>
        <v/>
      </c>
      <c r="I265" s="2">
        <f>IF($K265="","",INDEX(מלאי!$X$2:$500,$K265))</f>
        <v/>
      </c>
      <c r="J265" s="2">
        <f>IF($K265="","",INDEX(מלאי!$AC$2:$500,$K265))</f>
        <v/>
      </c>
      <c r="K26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טכנולוגיים'!$A$2:$500,0))&lt;=$G$6),0))),ROW(מלאי!$A$2:$A$500)-ROW(מלאי!$A$2)+1,""),243),"")</f>
        <v/>
      </c>
      <c r="L265" s="2">
        <f>IF($K265="","",IFERROR(INDEX('ערכים טכנולוגיים'!$K$2:$500,MATCH(A265,'ערכים טכנולוגיים'!$A$2:$500,0)),""))</f>
        <v/>
      </c>
      <c r="M265" s="2">
        <f>IF($K265="","",IFERROR(INDEX('ערכים טכנולוגיים'!$F$2:$500,MATCH(A265,'ערכים טכנולוגיים'!$A$2:$500,0)),""))</f>
        <v/>
      </c>
      <c r="N265" s="2">
        <f>IF($K265="","",IFERROR(INDEX('ערכים טכנולוגיים'!$I$2:$500,MATCH(A265,'ערכים טכנולוגיים'!$A$2:$500,0)),""))</f>
        <v/>
      </c>
      <c r="O265" s="2">
        <f>IF($K265="","",IFERROR(INDEX('ערכים טכנולוגיים'!$G$2:$500,MATCH(A265,'ערכים טכנולוגיים'!$A$2:$500,0)),""))</f>
        <v/>
      </c>
      <c r="P265" s="2">
        <f>IF($K265="","",IFERROR(INDEX('ערכים טכנולוגיים'!$J$2:$500,MATCH(A265,'ערכים טכנולוגיים'!$A$2:$500,0)),""))</f>
        <v/>
      </c>
      <c r="Q265" s="2">
        <f>IF($K265="","",IFERROR(INDEX('ערכים טכנולוגיים'!$N$2:$500,MATCH(A265,'ערכים טכנולוגיים'!$A$2:$500,0)),""))</f>
        <v/>
      </c>
    </row>
    <row r="266">
      <c r="A266" s="8">
        <f>IF($K266="","",INDEX(מלאי!$D$2:$500,$K266))</f>
        <v/>
      </c>
      <c r="B266" s="8">
        <f>IF($K266="","",INDEX(מלאי!$B$2:$500,$K266))</f>
        <v/>
      </c>
      <c r="C266" s="8">
        <f>IF($K266="","",INDEX(מלאי!$C$2:$500,$K266))</f>
        <v/>
      </c>
      <c r="D266" s="8">
        <f>IF($K266="","",INDEX(מלאי!$G$2:$500,$K266))</f>
        <v/>
      </c>
      <c r="E266" s="8">
        <f>IF($K266="","",INDEX(מלאי!$M$2:$500,$K266))</f>
        <v/>
      </c>
      <c r="F266" s="8">
        <f>IF($K266="","",INDEX(מלאי!$N$2:$500,$K266))</f>
        <v/>
      </c>
      <c r="G266" s="8">
        <f>IF($K266="","",INDEX(מלאי!$O$2:$500,$K266))</f>
        <v/>
      </c>
      <c r="H266" s="8">
        <f>IF($K266="","",INDEX(מלאי!$U$2:$500,$K266))</f>
        <v/>
      </c>
      <c r="I266" s="8">
        <f>IF($K266="","",INDEX(מלאי!$X$2:$500,$K266))</f>
        <v/>
      </c>
      <c r="J266" s="8">
        <f>IF($K266="","",INDEX(מלאי!$AC$2:$500,$K266))</f>
        <v/>
      </c>
      <c r="K26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טכנולוגיים'!$A$2:$500,0))&lt;=$G$6),0))),ROW(מלאי!$A$2:$A$500)-ROW(מלאי!$A$2)+1,""),244),"")</f>
        <v/>
      </c>
      <c r="L266" s="8">
        <f>IF($K266="","",IFERROR(INDEX('ערכים טכנולוגיים'!$K$2:$500,MATCH(A266,'ערכים טכנולוגיים'!$A$2:$500,0)),""))</f>
        <v/>
      </c>
      <c r="M266" s="8">
        <f>IF($K266="","",IFERROR(INDEX('ערכים טכנולוגיים'!$F$2:$500,MATCH(A266,'ערכים טכנולוגיים'!$A$2:$500,0)),""))</f>
        <v/>
      </c>
      <c r="N266" s="8">
        <f>IF($K266="","",IFERROR(INDEX('ערכים טכנולוגיים'!$I$2:$500,MATCH(A266,'ערכים טכנולוגיים'!$A$2:$500,0)),""))</f>
        <v/>
      </c>
      <c r="O266" s="8">
        <f>IF($K266="","",IFERROR(INDEX('ערכים טכנולוגיים'!$G$2:$500,MATCH(A266,'ערכים טכנולוגיים'!$A$2:$500,0)),""))</f>
        <v/>
      </c>
      <c r="P266" s="8">
        <f>IF($K266="","",IFERROR(INDEX('ערכים טכנולוגיים'!$J$2:$500,MATCH(A266,'ערכים טכנולוגיים'!$A$2:$500,0)),""))</f>
        <v/>
      </c>
      <c r="Q266" s="8">
        <f>IF($K266="","",IFERROR(INDEX('ערכים טכנולוגיים'!$N$2:$500,MATCH(A266,'ערכים טכנולוגיים'!$A$2:$500,0)),""))</f>
        <v/>
      </c>
    </row>
    <row r="267">
      <c r="A267" s="2">
        <f>IF($K267="","",INDEX(מלאי!$D$2:$500,$K267))</f>
        <v/>
      </c>
      <c r="B267" s="2">
        <f>IF($K267="","",INDEX(מלאי!$B$2:$500,$K267))</f>
        <v/>
      </c>
      <c r="C267" s="2">
        <f>IF($K267="","",INDEX(מלאי!$C$2:$500,$K267))</f>
        <v/>
      </c>
      <c r="D267" s="2">
        <f>IF($K267="","",INDEX(מלאי!$G$2:$500,$K267))</f>
        <v/>
      </c>
      <c r="E267" s="2">
        <f>IF($K267="","",INDEX(מלאי!$M$2:$500,$K267))</f>
        <v/>
      </c>
      <c r="F267" s="2">
        <f>IF($K267="","",INDEX(מלאי!$N$2:$500,$K267))</f>
        <v/>
      </c>
      <c r="G267" s="2">
        <f>IF($K267="","",INDEX(מלאי!$O$2:$500,$K267))</f>
        <v/>
      </c>
      <c r="H267" s="2">
        <f>IF($K267="","",INDEX(מלאי!$U$2:$500,$K267))</f>
        <v/>
      </c>
      <c r="I267" s="2">
        <f>IF($K267="","",INDEX(מלאי!$X$2:$500,$K267))</f>
        <v/>
      </c>
      <c r="J267" s="2">
        <f>IF($K267="","",INDEX(מלאי!$AC$2:$500,$K267))</f>
        <v/>
      </c>
      <c r="K26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טכנולוגיים'!$A$2:$500,0))&lt;=$G$6),0))),ROW(מלאי!$A$2:$A$500)-ROW(מלאי!$A$2)+1,""),245),"")</f>
        <v/>
      </c>
      <c r="L267" s="2">
        <f>IF($K267="","",IFERROR(INDEX('ערכים טכנולוגיים'!$K$2:$500,MATCH(A267,'ערכים טכנולוגיים'!$A$2:$500,0)),""))</f>
        <v/>
      </c>
      <c r="M267" s="2">
        <f>IF($K267="","",IFERROR(INDEX('ערכים טכנולוגיים'!$F$2:$500,MATCH(A267,'ערכים טכנולוגיים'!$A$2:$500,0)),""))</f>
        <v/>
      </c>
      <c r="N267" s="2">
        <f>IF($K267="","",IFERROR(INDEX('ערכים טכנולוגיים'!$I$2:$500,MATCH(A267,'ערכים טכנולוגיים'!$A$2:$500,0)),""))</f>
        <v/>
      </c>
      <c r="O267" s="2">
        <f>IF($K267="","",IFERROR(INDEX('ערכים טכנולוגיים'!$G$2:$500,MATCH(A267,'ערכים טכנולוגיים'!$A$2:$500,0)),""))</f>
        <v/>
      </c>
      <c r="P267" s="2">
        <f>IF($K267="","",IFERROR(INDEX('ערכים טכנולוגיים'!$J$2:$500,MATCH(A267,'ערכים טכנולוגיים'!$A$2:$500,0)),""))</f>
        <v/>
      </c>
      <c r="Q267" s="2">
        <f>IF($K267="","",IFERROR(INDEX('ערכים טכנולוגיים'!$N$2:$500,MATCH(A267,'ערכים טכנולוגיים'!$A$2:$500,0)),""))</f>
        <v/>
      </c>
    </row>
    <row r="268">
      <c r="A268" s="8">
        <f>IF($K268="","",INDEX(מלאי!$D$2:$500,$K268))</f>
        <v/>
      </c>
      <c r="B268" s="8">
        <f>IF($K268="","",INDEX(מלאי!$B$2:$500,$K268))</f>
        <v/>
      </c>
      <c r="C268" s="8">
        <f>IF($K268="","",INDEX(מלאי!$C$2:$500,$K268))</f>
        <v/>
      </c>
      <c r="D268" s="8">
        <f>IF($K268="","",INDEX(מלאי!$G$2:$500,$K268))</f>
        <v/>
      </c>
      <c r="E268" s="8">
        <f>IF($K268="","",INDEX(מלאי!$M$2:$500,$K268))</f>
        <v/>
      </c>
      <c r="F268" s="8">
        <f>IF($K268="","",INDEX(מלאי!$N$2:$500,$K268))</f>
        <v/>
      </c>
      <c r="G268" s="8">
        <f>IF($K268="","",INDEX(מלאי!$O$2:$500,$K268))</f>
        <v/>
      </c>
      <c r="H268" s="8">
        <f>IF($K268="","",INDEX(מלאי!$U$2:$500,$K268))</f>
        <v/>
      </c>
      <c r="I268" s="8">
        <f>IF($K268="","",INDEX(מלאי!$X$2:$500,$K268))</f>
        <v/>
      </c>
      <c r="J268" s="8">
        <f>IF($K268="","",INDEX(מלאי!$AC$2:$500,$K268))</f>
        <v/>
      </c>
      <c r="K26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טכנולוגיים'!$A$2:$500,0))&lt;=$G$6),0))),ROW(מלאי!$A$2:$A$500)-ROW(מלאי!$A$2)+1,""),246),"")</f>
        <v/>
      </c>
      <c r="L268" s="8">
        <f>IF($K268="","",IFERROR(INDEX('ערכים טכנולוגיים'!$K$2:$500,MATCH(A268,'ערכים טכנולוגיים'!$A$2:$500,0)),""))</f>
        <v/>
      </c>
      <c r="M268" s="8">
        <f>IF($K268="","",IFERROR(INDEX('ערכים טכנולוגיים'!$F$2:$500,MATCH(A268,'ערכים טכנולוגיים'!$A$2:$500,0)),""))</f>
        <v/>
      </c>
      <c r="N268" s="8">
        <f>IF($K268="","",IFERROR(INDEX('ערכים טכנולוגיים'!$I$2:$500,MATCH(A268,'ערכים טכנולוגיים'!$A$2:$500,0)),""))</f>
        <v/>
      </c>
      <c r="O268" s="8">
        <f>IF($K268="","",IFERROR(INDEX('ערכים טכנולוגיים'!$G$2:$500,MATCH(A268,'ערכים טכנולוגיים'!$A$2:$500,0)),""))</f>
        <v/>
      </c>
      <c r="P268" s="8">
        <f>IF($K268="","",IFERROR(INDEX('ערכים טכנולוגיים'!$J$2:$500,MATCH(A268,'ערכים טכנולוגיים'!$A$2:$500,0)),""))</f>
        <v/>
      </c>
      <c r="Q268" s="8">
        <f>IF($K268="","",IFERROR(INDEX('ערכים טכנולוגיים'!$N$2:$500,MATCH(A268,'ערכים טכנולוגיים'!$A$2:$500,0)),""))</f>
        <v/>
      </c>
    </row>
    <row r="269">
      <c r="A269" s="2">
        <f>IF($K269="","",INDEX(מלאי!$D$2:$500,$K269))</f>
        <v/>
      </c>
      <c r="B269" s="2">
        <f>IF($K269="","",INDEX(מלאי!$B$2:$500,$K269))</f>
        <v/>
      </c>
      <c r="C269" s="2">
        <f>IF($K269="","",INDEX(מלאי!$C$2:$500,$K269))</f>
        <v/>
      </c>
      <c r="D269" s="2">
        <f>IF($K269="","",INDEX(מלאי!$G$2:$500,$K269))</f>
        <v/>
      </c>
      <c r="E269" s="2">
        <f>IF($K269="","",INDEX(מלאי!$M$2:$500,$K269))</f>
        <v/>
      </c>
      <c r="F269" s="2">
        <f>IF($K269="","",INDEX(מלאי!$N$2:$500,$K269))</f>
        <v/>
      </c>
      <c r="G269" s="2">
        <f>IF($K269="","",INDEX(מלאי!$O$2:$500,$K269))</f>
        <v/>
      </c>
      <c r="H269" s="2">
        <f>IF($K269="","",INDEX(מלאי!$U$2:$500,$K269))</f>
        <v/>
      </c>
      <c r="I269" s="2">
        <f>IF($K269="","",INDEX(מלאי!$X$2:$500,$K269))</f>
        <v/>
      </c>
      <c r="J269" s="2">
        <f>IF($K269="","",INDEX(מלאי!$AC$2:$500,$K269))</f>
        <v/>
      </c>
      <c r="K26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טכנולוגיים'!$A$2:$500,0))&lt;=$G$6),0))),ROW(מלאי!$A$2:$A$500)-ROW(מלאי!$A$2)+1,""),247),"")</f>
        <v/>
      </c>
      <c r="L269" s="2">
        <f>IF($K269="","",IFERROR(INDEX('ערכים טכנולוגיים'!$K$2:$500,MATCH(A269,'ערכים טכנולוגיים'!$A$2:$500,0)),""))</f>
        <v/>
      </c>
      <c r="M269" s="2">
        <f>IF($K269="","",IFERROR(INDEX('ערכים טכנולוגיים'!$F$2:$500,MATCH(A269,'ערכים טכנולוגיים'!$A$2:$500,0)),""))</f>
        <v/>
      </c>
      <c r="N269" s="2">
        <f>IF($K269="","",IFERROR(INDEX('ערכים טכנולוגיים'!$I$2:$500,MATCH(A269,'ערכים טכנולוגיים'!$A$2:$500,0)),""))</f>
        <v/>
      </c>
      <c r="O269" s="2">
        <f>IF($K269="","",IFERROR(INDEX('ערכים טכנולוגיים'!$G$2:$500,MATCH(A269,'ערכים טכנולוגיים'!$A$2:$500,0)),""))</f>
        <v/>
      </c>
      <c r="P269" s="2">
        <f>IF($K269="","",IFERROR(INDEX('ערכים טכנולוגיים'!$J$2:$500,MATCH(A269,'ערכים טכנולוגיים'!$A$2:$500,0)),""))</f>
        <v/>
      </c>
      <c r="Q269" s="2">
        <f>IF($K269="","",IFERROR(INDEX('ערכים טכנולוגיים'!$N$2:$500,MATCH(A269,'ערכים טכנולוגיים'!$A$2:$500,0)),""))</f>
        <v/>
      </c>
    </row>
    <row r="270">
      <c r="A270" s="8">
        <f>IF($K270="","",INDEX(מלאי!$D$2:$500,$K270))</f>
        <v/>
      </c>
      <c r="B270" s="8">
        <f>IF($K270="","",INDEX(מלאי!$B$2:$500,$K270))</f>
        <v/>
      </c>
      <c r="C270" s="8">
        <f>IF($K270="","",INDEX(מלאי!$C$2:$500,$K270))</f>
        <v/>
      </c>
      <c r="D270" s="8">
        <f>IF($K270="","",INDEX(מלאי!$G$2:$500,$K270))</f>
        <v/>
      </c>
      <c r="E270" s="8">
        <f>IF($K270="","",INDEX(מלאי!$M$2:$500,$K270))</f>
        <v/>
      </c>
      <c r="F270" s="8">
        <f>IF($K270="","",INDEX(מלאי!$N$2:$500,$K270))</f>
        <v/>
      </c>
      <c r="G270" s="8">
        <f>IF($K270="","",INDEX(מלאי!$O$2:$500,$K270))</f>
        <v/>
      </c>
      <c r="H270" s="8">
        <f>IF($K270="","",INDEX(מלאי!$U$2:$500,$K270))</f>
        <v/>
      </c>
      <c r="I270" s="8">
        <f>IF($K270="","",INDEX(מלאי!$X$2:$500,$K270))</f>
        <v/>
      </c>
      <c r="J270" s="8">
        <f>IF($K270="","",INDEX(מלאי!$AC$2:$500,$K270))</f>
        <v/>
      </c>
      <c r="K27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טכנולוגיים'!$A$2:$500,0))&lt;=$G$6),0))),ROW(מלאי!$A$2:$A$500)-ROW(מלאי!$A$2)+1,""),248),"")</f>
        <v/>
      </c>
      <c r="L270" s="8">
        <f>IF($K270="","",IFERROR(INDEX('ערכים טכנולוגיים'!$K$2:$500,MATCH(A270,'ערכים טכנולוגיים'!$A$2:$500,0)),""))</f>
        <v/>
      </c>
      <c r="M270" s="8">
        <f>IF($K270="","",IFERROR(INDEX('ערכים טכנולוגיים'!$F$2:$500,MATCH(A270,'ערכים טכנולוגיים'!$A$2:$500,0)),""))</f>
        <v/>
      </c>
      <c r="N270" s="8">
        <f>IF($K270="","",IFERROR(INDEX('ערכים טכנולוגיים'!$I$2:$500,MATCH(A270,'ערכים טכנולוגיים'!$A$2:$500,0)),""))</f>
        <v/>
      </c>
      <c r="O270" s="8">
        <f>IF($K270="","",IFERROR(INDEX('ערכים טכנולוגיים'!$G$2:$500,MATCH(A270,'ערכים טכנולוגיים'!$A$2:$500,0)),""))</f>
        <v/>
      </c>
      <c r="P270" s="8">
        <f>IF($K270="","",IFERROR(INDEX('ערכים טכנולוגיים'!$J$2:$500,MATCH(A270,'ערכים טכנולוגיים'!$A$2:$500,0)),""))</f>
        <v/>
      </c>
      <c r="Q270" s="8">
        <f>IF($K270="","",IFERROR(INDEX('ערכים טכנולוגיים'!$N$2:$500,MATCH(A270,'ערכים טכנולוגיים'!$A$2:$500,0)),""))</f>
        <v/>
      </c>
    </row>
    <row r="271">
      <c r="A271" s="2">
        <f>IF($K271="","",INDEX(מלאי!$D$2:$500,$K271))</f>
        <v/>
      </c>
      <c r="B271" s="2">
        <f>IF($K271="","",INDEX(מלאי!$B$2:$500,$K271))</f>
        <v/>
      </c>
      <c r="C271" s="2">
        <f>IF($K271="","",INDEX(מלאי!$C$2:$500,$K271))</f>
        <v/>
      </c>
      <c r="D271" s="2">
        <f>IF($K271="","",INDEX(מלאי!$G$2:$500,$K271))</f>
        <v/>
      </c>
      <c r="E271" s="2">
        <f>IF($K271="","",INDEX(מלאי!$M$2:$500,$K271))</f>
        <v/>
      </c>
      <c r="F271" s="2">
        <f>IF($K271="","",INDEX(מלאי!$N$2:$500,$K271))</f>
        <v/>
      </c>
      <c r="G271" s="2">
        <f>IF($K271="","",INDEX(מלאי!$O$2:$500,$K271))</f>
        <v/>
      </c>
      <c r="H271" s="2">
        <f>IF($K271="","",INDEX(מלאי!$U$2:$500,$K271))</f>
        <v/>
      </c>
      <c r="I271" s="2">
        <f>IF($K271="","",INDEX(מלאי!$X$2:$500,$K271))</f>
        <v/>
      </c>
      <c r="J271" s="2">
        <f>IF($K271="","",INDEX(מלאי!$AC$2:$500,$K271))</f>
        <v/>
      </c>
      <c r="K27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טכנולוגיים'!$A$2:$500,0))&lt;=$G$6),0))),ROW(מלאי!$A$2:$A$500)-ROW(מלאי!$A$2)+1,""),249),"")</f>
        <v/>
      </c>
      <c r="L271" s="2">
        <f>IF($K271="","",IFERROR(INDEX('ערכים טכנולוגיים'!$K$2:$500,MATCH(A271,'ערכים טכנולוגיים'!$A$2:$500,0)),""))</f>
        <v/>
      </c>
      <c r="M271" s="2">
        <f>IF($K271="","",IFERROR(INDEX('ערכים טכנולוגיים'!$F$2:$500,MATCH(A271,'ערכים טכנולוגיים'!$A$2:$500,0)),""))</f>
        <v/>
      </c>
      <c r="N271" s="2">
        <f>IF($K271="","",IFERROR(INDEX('ערכים טכנולוגיים'!$I$2:$500,MATCH(A271,'ערכים טכנולוגיים'!$A$2:$500,0)),""))</f>
        <v/>
      </c>
      <c r="O271" s="2">
        <f>IF($K271="","",IFERROR(INDEX('ערכים טכנולוגיים'!$G$2:$500,MATCH(A271,'ערכים טכנולוגיים'!$A$2:$500,0)),""))</f>
        <v/>
      </c>
      <c r="P271" s="2">
        <f>IF($K271="","",IFERROR(INDEX('ערכים טכנולוגיים'!$J$2:$500,MATCH(A271,'ערכים טכנולוגיים'!$A$2:$500,0)),""))</f>
        <v/>
      </c>
      <c r="Q271" s="2">
        <f>IF($K271="","",IFERROR(INDEX('ערכים טכנולוגיים'!$N$2:$500,MATCH(A271,'ערכים טכנולוגיים'!$A$2:$500,0)),""))</f>
        <v/>
      </c>
    </row>
    <row r="272">
      <c r="A272" s="8">
        <f>IF($K272="","",INDEX(מלאי!$D$2:$500,$K272))</f>
        <v/>
      </c>
      <c r="B272" s="8">
        <f>IF($K272="","",INDEX(מלאי!$B$2:$500,$K272))</f>
        <v/>
      </c>
      <c r="C272" s="8">
        <f>IF($K272="","",INDEX(מלאי!$C$2:$500,$K272))</f>
        <v/>
      </c>
      <c r="D272" s="8">
        <f>IF($K272="","",INDEX(מלאי!$G$2:$500,$K272))</f>
        <v/>
      </c>
      <c r="E272" s="8">
        <f>IF($K272="","",INDEX(מלאי!$M$2:$500,$K272))</f>
        <v/>
      </c>
      <c r="F272" s="8">
        <f>IF($K272="","",INDEX(מלאי!$N$2:$500,$K272))</f>
        <v/>
      </c>
      <c r="G272" s="8">
        <f>IF($K272="","",INDEX(מלאי!$O$2:$500,$K272))</f>
        <v/>
      </c>
      <c r="H272" s="8">
        <f>IF($K272="","",INDEX(מלאי!$U$2:$500,$K272))</f>
        <v/>
      </c>
      <c r="I272" s="8">
        <f>IF($K272="","",INDEX(מלאי!$X$2:$500,$K272))</f>
        <v/>
      </c>
      <c r="J272" s="8">
        <f>IF($K272="","",INDEX(מלאי!$AC$2:$500,$K272))</f>
        <v/>
      </c>
      <c r="K27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טכנולוגיים'!$A$2:$500,0))&lt;=$G$6),0))),ROW(מלאי!$A$2:$A$500)-ROW(מלאי!$A$2)+1,""),250),"")</f>
        <v/>
      </c>
      <c r="L272" s="8">
        <f>IF($K272="","",IFERROR(INDEX('ערכים טכנולוגיים'!$K$2:$500,MATCH(A272,'ערכים טכנולוגיים'!$A$2:$500,0)),""))</f>
        <v/>
      </c>
      <c r="M272" s="8">
        <f>IF($K272="","",IFERROR(INDEX('ערכים טכנולוגיים'!$F$2:$500,MATCH(A272,'ערכים טכנולוגיים'!$A$2:$500,0)),""))</f>
        <v/>
      </c>
      <c r="N272" s="8">
        <f>IF($K272="","",IFERROR(INDEX('ערכים טכנולוגיים'!$I$2:$500,MATCH(A272,'ערכים טכנולוגיים'!$A$2:$500,0)),""))</f>
        <v/>
      </c>
      <c r="O272" s="8">
        <f>IF($K272="","",IFERROR(INDEX('ערכים טכנולוגיים'!$G$2:$500,MATCH(A272,'ערכים טכנולוגיים'!$A$2:$500,0)),""))</f>
        <v/>
      </c>
      <c r="P272" s="8">
        <f>IF($K272="","",IFERROR(INDEX('ערכים טכנולוגיים'!$J$2:$500,MATCH(A272,'ערכים טכנולוגיים'!$A$2:$500,0)),""))</f>
        <v/>
      </c>
      <c r="Q272" s="8">
        <f>IF($K272="","",IFERROR(INDEX('ערכים טכנולוגיים'!$N$2:$500,MATCH(A272,'ערכים טכנולוגיים'!$A$2:$500,0)),""))</f>
        <v/>
      </c>
    </row>
    <row r="273">
      <c r="A273" s="2">
        <f>IF($K273="","",INDEX(מלאי!$D$2:$500,$K273))</f>
        <v/>
      </c>
      <c r="B273" s="2">
        <f>IF($K273="","",INDEX(מלאי!$B$2:$500,$K273))</f>
        <v/>
      </c>
      <c r="C273" s="2">
        <f>IF($K273="","",INDEX(מלאי!$C$2:$500,$K273))</f>
        <v/>
      </c>
      <c r="D273" s="2">
        <f>IF($K273="","",INDEX(מלאי!$G$2:$500,$K273))</f>
        <v/>
      </c>
      <c r="E273" s="2">
        <f>IF($K273="","",INDEX(מלאי!$M$2:$500,$K273))</f>
        <v/>
      </c>
      <c r="F273" s="2">
        <f>IF($K273="","",INDEX(מלאי!$N$2:$500,$K273))</f>
        <v/>
      </c>
      <c r="G273" s="2">
        <f>IF($K273="","",INDEX(מלאי!$O$2:$500,$K273))</f>
        <v/>
      </c>
      <c r="H273" s="2">
        <f>IF($K273="","",INDEX(מלאי!$U$2:$500,$K273))</f>
        <v/>
      </c>
      <c r="I273" s="2">
        <f>IF($K273="","",INDEX(מלאי!$X$2:$500,$K273))</f>
        <v/>
      </c>
      <c r="J273" s="2">
        <f>IF($K273="","",INDEX(מלאי!$AC$2:$500,$K273))</f>
        <v/>
      </c>
      <c r="K27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טכנולוגיים'!$A$2:$500,0))&lt;=$G$6),0))),ROW(מלאי!$A$2:$A$500)-ROW(מלאי!$A$2)+1,""),251),"")</f>
        <v/>
      </c>
      <c r="L273" s="2">
        <f>IF($K273="","",IFERROR(INDEX('ערכים טכנולוגיים'!$K$2:$500,MATCH(A273,'ערכים טכנולוגיים'!$A$2:$500,0)),""))</f>
        <v/>
      </c>
      <c r="M273" s="2">
        <f>IF($K273="","",IFERROR(INDEX('ערכים טכנולוגיים'!$F$2:$500,MATCH(A273,'ערכים טכנולוגיים'!$A$2:$500,0)),""))</f>
        <v/>
      </c>
      <c r="N273" s="2">
        <f>IF($K273="","",IFERROR(INDEX('ערכים טכנולוגיים'!$I$2:$500,MATCH(A273,'ערכים טכנולוגיים'!$A$2:$500,0)),""))</f>
        <v/>
      </c>
      <c r="O273" s="2">
        <f>IF($K273="","",IFERROR(INDEX('ערכים טכנולוגיים'!$G$2:$500,MATCH(A273,'ערכים טכנולוגיים'!$A$2:$500,0)),""))</f>
        <v/>
      </c>
      <c r="P273" s="2">
        <f>IF($K273="","",IFERROR(INDEX('ערכים טכנולוגיים'!$J$2:$500,MATCH(A273,'ערכים טכנולוגיים'!$A$2:$500,0)),""))</f>
        <v/>
      </c>
      <c r="Q273" s="2">
        <f>IF($K273="","",IFERROR(INDEX('ערכים טכנולוגיים'!$N$2:$500,MATCH(A273,'ערכים טכנולוגיים'!$A$2:$500,0)),""))</f>
        <v/>
      </c>
    </row>
    <row r="274">
      <c r="A274" s="8">
        <f>IF($K274="","",INDEX(מלאי!$D$2:$500,$K274))</f>
        <v/>
      </c>
      <c r="B274" s="8">
        <f>IF($K274="","",INDEX(מלאי!$B$2:$500,$K274))</f>
        <v/>
      </c>
      <c r="C274" s="8">
        <f>IF($K274="","",INDEX(מלאי!$C$2:$500,$K274))</f>
        <v/>
      </c>
      <c r="D274" s="8">
        <f>IF($K274="","",INDEX(מלאי!$G$2:$500,$K274))</f>
        <v/>
      </c>
      <c r="E274" s="8">
        <f>IF($K274="","",INDEX(מלאי!$M$2:$500,$K274))</f>
        <v/>
      </c>
      <c r="F274" s="8">
        <f>IF($K274="","",INDEX(מלאי!$N$2:$500,$K274))</f>
        <v/>
      </c>
      <c r="G274" s="8">
        <f>IF($K274="","",INDEX(מלאי!$O$2:$500,$K274))</f>
        <v/>
      </c>
      <c r="H274" s="8">
        <f>IF($K274="","",INDEX(מלאי!$U$2:$500,$K274))</f>
        <v/>
      </c>
      <c r="I274" s="8">
        <f>IF($K274="","",INDEX(מלאי!$X$2:$500,$K274))</f>
        <v/>
      </c>
      <c r="J274" s="8">
        <f>IF($K274="","",INDEX(מלאי!$AC$2:$500,$K274))</f>
        <v/>
      </c>
      <c r="K27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טכנולוגיים'!$A$2:$500,0))&lt;=$G$6),0))),ROW(מלאי!$A$2:$A$500)-ROW(מלאי!$A$2)+1,""),252),"")</f>
        <v/>
      </c>
      <c r="L274" s="8">
        <f>IF($K274="","",IFERROR(INDEX('ערכים טכנולוגיים'!$K$2:$500,MATCH(A274,'ערכים טכנולוגיים'!$A$2:$500,0)),""))</f>
        <v/>
      </c>
      <c r="M274" s="8">
        <f>IF($K274="","",IFERROR(INDEX('ערכים טכנולוגיים'!$F$2:$500,MATCH(A274,'ערכים טכנולוגיים'!$A$2:$500,0)),""))</f>
        <v/>
      </c>
      <c r="N274" s="8">
        <f>IF($K274="","",IFERROR(INDEX('ערכים טכנולוגיים'!$I$2:$500,MATCH(A274,'ערכים טכנולוגיים'!$A$2:$500,0)),""))</f>
        <v/>
      </c>
      <c r="O274" s="8">
        <f>IF($K274="","",IFERROR(INDEX('ערכים טכנולוגיים'!$G$2:$500,MATCH(A274,'ערכים טכנולוגיים'!$A$2:$500,0)),""))</f>
        <v/>
      </c>
      <c r="P274" s="8">
        <f>IF($K274="","",IFERROR(INDEX('ערכים טכנולוגיים'!$J$2:$500,MATCH(A274,'ערכים טכנולוגיים'!$A$2:$500,0)),""))</f>
        <v/>
      </c>
      <c r="Q274" s="8">
        <f>IF($K274="","",IFERROR(INDEX('ערכים טכנולוגיים'!$N$2:$500,MATCH(A274,'ערכים טכנולוגיים'!$A$2:$500,0)),""))</f>
        <v/>
      </c>
    </row>
    <row r="275">
      <c r="A275" s="2">
        <f>IF($K275="","",INDEX(מלאי!$D$2:$500,$K275))</f>
        <v/>
      </c>
      <c r="B275" s="2">
        <f>IF($K275="","",INDEX(מלאי!$B$2:$500,$K275))</f>
        <v/>
      </c>
      <c r="C275" s="2">
        <f>IF($K275="","",INDEX(מלאי!$C$2:$500,$K275))</f>
        <v/>
      </c>
      <c r="D275" s="2">
        <f>IF($K275="","",INDEX(מלאי!$G$2:$500,$K275))</f>
        <v/>
      </c>
      <c r="E275" s="2">
        <f>IF($K275="","",INDEX(מלאי!$M$2:$500,$K275))</f>
        <v/>
      </c>
      <c r="F275" s="2">
        <f>IF($K275="","",INDEX(מלאי!$N$2:$500,$K275))</f>
        <v/>
      </c>
      <c r="G275" s="2">
        <f>IF($K275="","",INDEX(מלאי!$O$2:$500,$K275))</f>
        <v/>
      </c>
      <c r="H275" s="2">
        <f>IF($K275="","",INDEX(מלאי!$U$2:$500,$K275))</f>
        <v/>
      </c>
      <c r="I275" s="2">
        <f>IF($K275="","",INDEX(מלאי!$X$2:$500,$K275))</f>
        <v/>
      </c>
      <c r="J275" s="2">
        <f>IF($K275="","",INDEX(מלאי!$AC$2:$500,$K275))</f>
        <v/>
      </c>
      <c r="K27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טכנולוגיים'!$A$2:$500,0))&lt;=$G$6),0))),ROW(מלאי!$A$2:$A$500)-ROW(מלאי!$A$2)+1,""),253),"")</f>
        <v/>
      </c>
      <c r="L275" s="2">
        <f>IF($K275="","",IFERROR(INDEX('ערכים טכנולוגיים'!$K$2:$500,MATCH(A275,'ערכים טכנולוגיים'!$A$2:$500,0)),""))</f>
        <v/>
      </c>
      <c r="M275" s="2">
        <f>IF($K275="","",IFERROR(INDEX('ערכים טכנולוגיים'!$F$2:$500,MATCH(A275,'ערכים טכנולוגיים'!$A$2:$500,0)),""))</f>
        <v/>
      </c>
      <c r="N275" s="2">
        <f>IF($K275="","",IFERROR(INDEX('ערכים טכנולוגיים'!$I$2:$500,MATCH(A275,'ערכים טכנולוגיים'!$A$2:$500,0)),""))</f>
        <v/>
      </c>
      <c r="O275" s="2">
        <f>IF($K275="","",IFERROR(INDEX('ערכים טכנולוגיים'!$G$2:$500,MATCH(A275,'ערכים טכנולוגיים'!$A$2:$500,0)),""))</f>
        <v/>
      </c>
      <c r="P275" s="2">
        <f>IF($K275="","",IFERROR(INDEX('ערכים טכנולוגיים'!$J$2:$500,MATCH(A275,'ערכים טכנולוגיים'!$A$2:$500,0)),""))</f>
        <v/>
      </c>
      <c r="Q275" s="2">
        <f>IF($K275="","",IFERROR(INDEX('ערכים טכנולוגיים'!$N$2:$500,MATCH(A275,'ערכים טכנולוגיים'!$A$2:$500,0)),""))</f>
        <v/>
      </c>
    </row>
    <row r="276">
      <c r="A276" s="8">
        <f>IF($K276="","",INDEX(מלאי!$D$2:$500,$K276))</f>
        <v/>
      </c>
      <c r="B276" s="8">
        <f>IF($K276="","",INDEX(מלאי!$B$2:$500,$K276))</f>
        <v/>
      </c>
      <c r="C276" s="8">
        <f>IF($K276="","",INDEX(מלאי!$C$2:$500,$K276))</f>
        <v/>
      </c>
      <c r="D276" s="8">
        <f>IF($K276="","",INDEX(מלאי!$G$2:$500,$K276))</f>
        <v/>
      </c>
      <c r="E276" s="8">
        <f>IF($K276="","",INDEX(מלאי!$M$2:$500,$K276))</f>
        <v/>
      </c>
      <c r="F276" s="8">
        <f>IF($K276="","",INDEX(מלאי!$N$2:$500,$K276))</f>
        <v/>
      </c>
      <c r="G276" s="8">
        <f>IF($K276="","",INDEX(מלאי!$O$2:$500,$K276))</f>
        <v/>
      </c>
      <c r="H276" s="8">
        <f>IF($K276="","",INDEX(מלאי!$U$2:$500,$K276))</f>
        <v/>
      </c>
      <c r="I276" s="8">
        <f>IF($K276="","",INDEX(מלאי!$X$2:$500,$K276))</f>
        <v/>
      </c>
      <c r="J276" s="8">
        <f>IF($K276="","",INDEX(מלאי!$AC$2:$500,$K276))</f>
        <v/>
      </c>
      <c r="K27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טכנולוגיים'!$A$2:$500,0))&lt;=$G$6),0))),ROW(מלאי!$A$2:$A$500)-ROW(מלאי!$A$2)+1,""),254),"")</f>
        <v/>
      </c>
      <c r="L276" s="8">
        <f>IF($K276="","",IFERROR(INDEX('ערכים טכנולוגיים'!$K$2:$500,MATCH(A276,'ערכים טכנולוגיים'!$A$2:$500,0)),""))</f>
        <v/>
      </c>
      <c r="M276" s="8">
        <f>IF($K276="","",IFERROR(INDEX('ערכים טכנולוגיים'!$F$2:$500,MATCH(A276,'ערכים טכנולוגיים'!$A$2:$500,0)),""))</f>
        <v/>
      </c>
      <c r="N276" s="8">
        <f>IF($K276="","",IFERROR(INDEX('ערכים טכנולוגיים'!$I$2:$500,MATCH(A276,'ערכים טכנולוגיים'!$A$2:$500,0)),""))</f>
        <v/>
      </c>
      <c r="O276" s="8">
        <f>IF($K276="","",IFERROR(INDEX('ערכים טכנולוגיים'!$G$2:$500,MATCH(A276,'ערכים טכנולוגיים'!$A$2:$500,0)),""))</f>
        <v/>
      </c>
      <c r="P276" s="8">
        <f>IF($K276="","",IFERROR(INDEX('ערכים טכנולוגיים'!$J$2:$500,MATCH(A276,'ערכים טכנולוגיים'!$A$2:$500,0)),""))</f>
        <v/>
      </c>
      <c r="Q276" s="8">
        <f>IF($K276="","",IFERROR(INDEX('ערכים טכנולוגיים'!$N$2:$500,MATCH(A276,'ערכים טכנולוגיים'!$A$2:$500,0)),""))</f>
        <v/>
      </c>
    </row>
    <row r="277">
      <c r="A277" s="2">
        <f>IF($K277="","",INDEX(מלאי!$D$2:$500,$K277))</f>
        <v/>
      </c>
      <c r="B277" s="2">
        <f>IF($K277="","",INDEX(מלאי!$B$2:$500,$K277))</f>
        <v/>
      </c>
      <c r="C277" s="2">
        <f>IF($K277="","",INDEX(מלאי!$C$2:$500,$K277))</f>
        <v/>
      </c>
      <c r="D277" s="2">
        <f>IF($K277="","",INDEX(מלאי!$G$2:$500,$K277))</f>
        <v/>
      </c>
      <c r="E277" s="2">
        <f>IF($K277="","",INDEX(מלאי!$M$2:$500,$K277))</f>
        <v/>
      </c>
      <c r="F277" s="2">
        <f>IF($K277="","",INDEX(מלאי!$N$2:$500,$K277))</f>
        <v/>
      </c>
      <c r="G277" s="2">
        <f>IF($K277="","",INDEX(מלאי!$O$2:$500,$K277))</f>
        <v/>
      </c>
      <c r="H277" s="2">
        <f>IF($K277="","",INDEX(מלאי!$U$2:$500,$K277))</f>
        <v/>
      </c>
      <c r="I277" s="2">
        <f>IF($K277="","",INDEX(מלאי!$X$2:$500,$K277))</f>
        <v/>
      </c>
      <c r="J277" s="2">
        <f>IF($K277="","",INDEX(מלאי!$AC$2:$500,$K277))</f>
        <v/>
      </c>
      <c r="K27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טכנולוגיים'!$A$2:$500,0))&lt;=$G$6),0))),ROW(מלאי!$A$2:$A$500)-ROW(מלאי!$A$2)+1,""),255),"")</f>
        <v/>
      </c>
      <c r="L277" s="2">
        <f>IF($K277="","",IFERROR(INDEX('ערכים טכנולוגיים'!$K$2:$500,MATCH(A277,'ערכים טכנולוגיים'!$A$2:$500,0)),""))</f>
        <v/>
      </c>
      <c r="M277" s="2">
        <f>IF($K277="","",IFERROR(INDEX('ערכים טכנולוגיים'!$F$2:$500,MATCH(A277,'ערכים טכנולוגיים'!$A$2:$500,0)),""))</f>
        <v/>
      </c>
      <c r="N277" s="2">
        <f>IF($K277="","",IFERROR(INDEX('ערכים טכנולוגיים'!$I$2:$500,MATCH(A277,'ערכים טכנולוגיים'!$A$2:$500,0)),""))</f>
        <v/>
      </c>
      <c r="O277" s="2">
        <f>IF($K277="","",IFERROR(INDEX('ערכים טכנולוגיים'!$G$2:$500,MATCH(A277,'ערכים טכנולוגיים'!$A$2:$500,0)),""))</f>
        <v/>
      </c>
      <c r="P277" s="2">
        <f>IF($K277="","",IFERROR(INDEX('ערכים טכנולוגיים'!$J$2:$500,MATCH(A277,'ערכים טכנולוגיים'!$A$2:$500,0)),""))</f>
        <v/>
      </c>
      <c r="Q277" s="2">
        <f>IF($K277="","",IFERROR(INDEX('ערכים טכנולוגיים'!$N$2:$500,MATCH(A277,'ערכים טכנולוגיים'!$A$2:$500,0)),""))</f>
        <v/>
      </c>
    </row>
    <row r="278">
      <c r="A278" s="8">
        <f>IF($K278="","",INDEX(מלאי!$D$2:$500,$K278))</f>
        <v/>
      </c>
      <c r="B278" s="8">
        <f>IF($K278="","",INDEX(מלאי!$B$2:$500,$K278))</f>
        <v/>
      </c>
      <c r="C278" s="8">
        <f>IF($K278="","",INDEX(מלאי!$C$2:$500,$K278))</f>
        <v/>
      </c>
      <c r="D278" s="8">
        <f>IF($K278="","",INDEX(מלאי!$G$2:$500,$K278))</f>
        <v/>
      </c>
      <c r="E278" s="8">
        <f>IF($K278="","",INDEX(מלאי!$M$2:$500,$K278))</f>
        <v/>
      </c>
      <c r="F278" s="8">
        <f>IF($K278="","",INDEX(מלאי!$N$2:$500,$K278))</f>
        <v/>
      </c>
      <c r="G278" s="8">
        <f>IF($K278="","",INDEX(מלאי!$O$2:$500,$K278))</f>
        <v/>
      </c>
      <c r="H278" s="8">
        <f>IF($K278="","",INDEX(מלאי!$U$2:$500,$K278))</f>
        <v/>
      </c>
      <c r="I278" s="8">
        <f>IF($K278="","",INDEX(מלאי!$X$2:$500,$K278))</f>
        <v/>
      </c>
      <c r="J278" s="8">
        <f>IF($K278="","",INDEX(מלאי!$AC$2:$500,$K278))</f>
        <v/>
      </c>
      <c r="K27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טכנולוגיים'!$A$2:$500,0))&lt;=$G$6),0))),ROW(מלאי!$A$2:$A$500)-ROW(מלאי!$A$2)+1,""),256),"")</f>
        <v/>
      </c>
      <c r="L278" s="8">
        <f>IF($K278="","",IFERROR(INDEX('ערכים טכנולוגיים'!$K$2:$500,MATCH(A278,'ערכים טכנולוגיים'!$A$2:$500,0)),""))</f>
        <v/>
      </c>
      <c r="M278" s="8">
        <f>IF($K278="","",IFERROR(INDEX('ערכים טכנולוגיים'!$F$2:$500,MATCH(A278,'ערכים טכנולוגיים'!$A$2:$500,0)),""))</f>
        <v/>
      </c>
      <c r="N278" s="8">
        <f>IF($K278="","",IFERROR(INDEX('ערכים טכנולוגיים'!$I$2:$500,MATCH(A278,'ערכים טכנולוגיים'!$A$2:$500,0)),""))</f>
        <v/>
      </c>
      <c r="O278" s="8">
        <f>IF($K278="","",IFERROR(INDEX('ערכים טכנולוגיים'!$G$2:$500,MATCH(A278,'ערכים טכנולוגיים'!$A$2:$500,0)),""))</f>
        <v/>
      </c>
      <c r="P278" s="8">
        <f>IF($K278="","",IFERROR(INDEX('ערכים טכנולוגיים'!$J$2:$500,MATCH(A278,'ערכים טכנולוגיים'!$A$2:$500,0)),""))</f>
        <v/>
      </c>
      <c r="Q278" s="8">
        <f>IF($K278="","",IFERROR(INDEX('ערכים טכנולוגיים'!$N$2:$500,MATCH(A278,'ערכים טכנולוגיים'!$A$2:$500,0)),""))</f>
        <v/>
      </c>
    </row>
    <row r="279">
      <c r="A279" s="2">
        <f>IF($K279="","",INDEX(מלאי!$D$2:$500,$K279))</f>
        <v/>
      </c>
      <c r="B279" s="2">
        <f>IF($K279="","",INDEX(מלאי!$B$2:$500,$K279))</f>
        <v/>
      </c>
      <c r="C279" s="2">
        <f>IF($K279="","",INDEX(מלאי!$C$2:$500,$K279))</f>
        <v/>
      </c>
      <c r="D279" s="2">
        <f>IF($K279="","",INDEX(מלאי!$G$2:$500,$K279))</f>
        <v/>
      </c>
      <c r="E279" s="2">
        <f>IF($K279="","",INDEX(מלאי!$M$2:$500,$K279))</f>
        <v/>
      </c>
      <c r="F279" s="2">
        <f>IF($K279="","",INDEX(מלאי!$N$2:$500,$K279))</f>
        <v/>
      </c>
      <c r="G279" s="2">
        <f>IF($K279="","",INDEX(מלאי!$O$2:$500,$K279))</f>
        <v/>
      </c>
      <c r="H279" s="2">
        <f>IF($K279="","",INDEX(מלאי!$U$2:$500,$K279))</f>
        <v/>
      </c>
      <c r="I279" s="2">
        <f>IF($K279="","",INDEX(מלאי!$X$2:$500,$K279))</f>
        <v/>
      </c>
      <c r="J279" s="2">
        <f>IF($K279="","",INDEX(מלאי!$AC$2:$500,$K279))</f>
        <v/>
      </c>
      <c r="K27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טכנולוגיים'!$A$2:$500,0))&lt;=$G$6),0))),ROW(מלאי!$A$2:$A$500)-ROW(מלאי!$A$2)+1,""),257),"")</f>
        <v/>
      </c>
      <c r="L279" s="2">
        <f>IF($K279="","",IFERROR(INDEX('ערכים טכנולוגיים'!$K$2:$500,MATCH(A279,'ערכים טכנולוגיים'!$A$2:$500,0)),""))</f>
        <v/>
      </c>
      <c r="M279" s="2">
        <f>IF($K279="","",IFERROR(INDEX('ערכים טכנולוגיים'!$F$2:$500,MATCH(A279,'ערכים טכנולוגיים'!$A$2:$500,0)),""))</f>
        <v/>
      </c>
      <c r="N279" s="2">
        <f>IF($K279="","",IFERROR(INDEX('ערכים טכנולוגיים'!$I$2:$500,MATCH(A279,'ערכים טכנולוגיים'!$A$2:$500,0)),""))</f>
        <v/>
      </c>
      <c r="O279" s="2">
        <f>IF($K279="","",IFERROR(INDEX('ערכים טכנולוגיים'!$G$2:$500,MATCH(A279,'ערכים טכנולוגיים'!$A$2:$500,0)),""))</f>
        <v/>
      </c>
      <c r="P279" s="2">
        <f>IF($K279="","",IFERROR(INDEX('ערכים טכנולוגיים'!$J$2:$500,MATCH(A279,'ערכים טכנולוגיים'!$A$2:$500,0)),""))</f>
        <v/>
      </c>
      <c r="Q279" s="2">
        <f>IF($K279="","",IFERROR(INDEX('ערכים טכנולוגיים'!$N$2:$500,MATCH(A279,'ערכים טכנולוגיים'!$A$2:$500,0)),""))</f>
        <v/>
      </c>
    </row>
    <row r="280">
      <c r="A280" s="8">
        <f>IF($K280="","",INDEX(מלאי!$D$2:$500,$K280))</f>
        <v/>
      </c>
      <c r="B280" s="8">
        <f>IF($K280="","",INDEX(מלאי!$B$2:$500,$K280))</f>
        <v/>
      </c>
      <c r="C280" s="8">
        <f>IF($K280="","",INDEX(מלאי!$C$2:$500,$K280))</f>
        <v/>
      </c>
      <c r="D280" s="8">
        <f>IF($K280="","",INDEX(מלאי!$G$2:$500,$K280))</f>
        <v/>
      </c>
      <c r="E280" s="8">
        <f>IF($K280="","",INDEX(מלאי!$M$2:$500,$K280))</f>
        <v/>
      </c>
      <c r="F280" s="8">
        <f>IF($K280="","",INDEX(מלאי!$N$2:$500,$K280))</f>
        <v/>
      </c>
      <c r="G280" s="8">
        <f>IF($K280="","",INDEX(מלאי!$O$2:$500,$K280))</f>
        <v/>
      </c>
      <c r="H280" s="8">
        <f>IF($K280="","",INDEX(מלאי!$U$2:$500,$K280))</f>
        <v/>
      </c>
      <c r="I280" s="8">
        <f>IF($K280="","",INDEX(מלאי!$X$2:$500,$K280))</f>
        <v/>
      </c>
      <c r="J280" s="8">
        <f>IF($K280="","",INDEX(מלאי!$AC$2:$500,$K280))</f>
        <v/>
      </c>
      <c r="K28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טכנולוגיים'!$A$2:$500,0))&lt;=$G$6),0))),ROW(מלאי!$A$2:$A$500)-ROW(מלאי!$A$2)+1,""),258),"")</f>
        <v/>
      </c>
      <c r="L280" s="8">
        <f>IF($K280="","",IFERROR(INDEX('ערכים טכנולוגיים'!$K$2:$500,MATCH(A280,'ערכים טכנולוגיים'!$A$2:$500,0)),""))</f>
        <v/>
      </c>
      <c r="M280" s="8">
        <f>IF($K280="","",IFERROR(INDEX('ערכים טכנולוגיים'!$F$2:$500,MATCH(A280,'ערכים טכנולוגיים'!$A$2:$500,0)),""))</f>
        <v/>
      </c>
      <c r="N280" s="8">
        <f>IF($K280="","",IFERROR(INDEX('ערכים טכנולוגיים'!$I$2:$500,MATCH(A280,'ערכים טכנולוגיים'!$A$2:$500,0)),""))</f>
        <v/>
      </c>
      <c r="O280" s="8">
        <f>IF($K280="","",IFERROR(INDEX('ערכים טכנולוגיים'!$G$2:$500,MATCH(A280,'ערכים טכנולוגיים'!$A$2:$500,0)),""))</f>
        <v/>
      </c>
      <c r="P280" s="8">
        <f>IF($K280="","",IFERROR(INDEX('ערכים טכנולוגיים'!$J$2:$500,MATCH(A280,'ערכים טכנולוגיים'!$A$2:$500,0)),""))</f>
        <v/>
      </c>
      <c r="Q280" s="8">
        <f>IF($K280="","",IFERROR(INDEX('ערכים טכנולוגיים'!$N$2:$500,MATCH(A280,'ערכים טכנולוגיים'!$A$2:$500,0)),""))</f>
        <v/>
      </c>
    </row>
    <row r="281">
      <c r="A281" s="2">
        <f>IF($K281="","",INDEX(מלאי!$D$2:$500,$K281))</f>
        <v/>
      </c>
      <c r="B281" s="2">
        <f>IF($K281="","",INDEX(מלאי!$B$2:$500,$K281))</f>
        <v/>
      </c>
      <c r="C281" s="2">
        <f>IF($K281="","",INDEX(מלאי!$C$2:$500,$K281))</f>
        <v/>
      </c>
      <c r="D281" s="2">
        <f>IF($K281="","",INDEX(מלאי!$G$2:$500,$K281))</f>
        <v/>
      </c>
      <c r="E281" s="2">
        <f>IF($K281="","",INDEX(מלאי!$M$2:$500,$K281))</f>
        <v/>
      </c>
      <c r="F281" s="2">
        <f>IF($K281="","",INDEX(מלאי!$N$2:$500,$K281))</f>
        <v/>
      </c>
      <c r="G281" s="2">
        <f>IF($K281="","",INDEX(מלאי!$O$2:$500,$K281))</f>
        <v/>
      </c>
      <c r="H281" s="2">
        <f>IF($K281="","",INDEX(מלאי!$U$2:$500,$K281))</f>
        <v/>
      </c>
      <c r="I281" s="2">
        <f>IF($K281="","",INDEX(מלאי!$X$2:$500,$K281))</f>
        <v/>
      </c>
      <c r="J281" s="2">
        <f>IF($K281="","",INDEX(מלאי!$AC$2:$500,$K281))</f>
        <v/>
      </c>
      <c r="K28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טכנולוגיים'!$A$2:$500,0))&lt;=$G$6),0))),ROW(מלאי!$A$2:$A$500)-ROW(מלאי!$A$2)+1,""),259),"")</f>
        <v/>
      </c>
      <c r="L281" s="2">
        <f>IF($K281="","",IFERROR(INDEX('ערכים טכנולוגיים'!$K$2:$500,MATCH(A281,'ערכים טכנולוגיים'!$A$2:$500,0)),""))</f>
        <v/>
      </c>
      <c r="M281" s="2">
        <f>IF($K281="","",IFERROR(INDEX('ערכים טכנולוגיים'!$F$2:$500,MATCH(A281,'ערכים טכנולוגיים'!$A$2:$500,0)),""))</f>
        <v/>
      </c>
      <c r="N281" s="2">
        <f>IF($K281="","",IFERROR(INDEX('ערכים טכנולוגיים'!$I$2:$500,MATCH(A281,'ערכים טכנולוגיים'!$A$2:$500,0)),""))</f>
        <v/>
      </c>
      <c r="O281" s="2">
        <f>IF($K281="","",IFERROR(INDEX('ערכים טכנולוגיים'!$G$2:$500,MATCH(A281,'ערכים טכנולוגיים'!$A$2:$500,0)),""))</f>
        <v/>
      </c>
      <c r="P281" s="2">
        <f>IF($K281="","",IFERROR(INDEX('ערכים טכנולוגיים'!$J$2:$500,MATCH(A281,'ערכים טכנולוגיים'!$A$2:$500,0)),""))</f>
        <v/>
      </c>
      <c r="Q281" s="2">
        <f>IF($K281="","",IFERROR(INDEX('ערכים טכנולוגיים'!$N$2:$500,MATCH(A281,'ערכים טכנולוגיים'!$A$2:$500,0)),""))</f>
        <v/>
      </c>
    </row>
    <row r="282">
      <c r="A282" s="8">
        <f>IF($K282="","",INDEX(מלאי!$D$2:$500,$K282))</f>
        <v/>
      </c>
      <c r="B282" s="8">
        <f>IF($K282="","",INDEX(מלאי!$B$2:$500,$K282))</f>
        <v/>
      </c>
      <c r="C282" s="8">
        <f>IF($K282="","",INDEX(מלאי!$C$2:$500,$K282))</f>
        <v/>
      </c>
      <c r="D282" s="8">
        <f>IF($K282="","",INDEX(מלאי!$G$2:$500,$K282))</f>
        <v/>
      </c>
      <c r="E282" s="8">
        <f>IF($K282="","",INDEX(מלאי!$M$2:$500,$K282))</f>
        <v/>
      </c>
      <c r="F282" s="8">
        <f>IF($K282="","",INDEX(מלאי!$N$2:$500,$K282))</f>
        <v/>
      </c>
      <c r="G282" s="8">
        <f>IF($K282="","",INDEX(מלאי!$O$2:$500,$K282))</f>
        <v/>
      </c>
      <c r="H282" s="8">
        <f>IF($K282="","",INDEX(מלאי!$U$2:$500,$K282))</f>
        <v/>
      </c>
      <c r="I282" s="8">
        <f>IF($K282="","",INDEX(מלאי!$X$2:$500,$K282))</f>
        <v/>
      </c>
      <c r="J282" s="8">
        <f>IF($K282="","",INDEX(מלאי!$AC$2:$500,$K282))</f>
        <v/>
      </c>
      <c r="K28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טכנולוגיים'!$A$2:$500,0))&lt;=$G$6),0))),ROW(מלאי!$A$2:$A$500)-ROW(מלאי!$A$2)+1,""),260),"")</f>
        <v/>
      </c>
      <c r="L282" s="8">
        <f>IF($K282="","",IFERROR(INDEX('ערכים טכנולוגיים'!$K$2:$500,MATCH(A282,'ערכים טכנולוגיים'!$A$2:$500,0)),""))</f>
        <v/>
      </c>
      <c r="M282" s="8">
        <f>IF($K282="","",IFERROR(INDEX('ערכים טכנולוגיים'!$F$2:$500,MATCH(A282,'ערכים טכנולוגיים'!$A$2:$500,0)),""))</f>
        <v/>
      </c>
      <c r="N282" s="8">
        <f>IF($K282="","",IFERROR(INDEX('ערכים טכנולוגיים'!$I$2:$500,MATCH(A282,'ערכים טכנולוגיים'!$A$2:$500,0)),""))</f>
        <v/>
      </c>
      <c r="O282" s="8">
        <f>IF($K282="","",IFERROR(INDEX('ערכים טכנולוגיים'!$G$2:$500,MATCH(A282,'ערכים טכנולוגיים'!$A$2:$500,0)),""))</f>
        <v/>
      </c>
      <c r="P282" s="8">
        <f>IF($K282="","",IFERROR(INDEX('ערכים טכנולוגיים'!$J$2:$500,MATCH(A282,'ערכים טכנולוגיים'!$A$2:$500,0)),""))</f>
        <v/>
      </c>
      <c r="Q282" s="8">
        <f>IF($K282="","",IFERROR(INDEX('ערכים טכנולוגיים'!$N$2:$500,MATCH(A282,'ערכים טכנולוגיים'!$A$2:$500,0)),""))</f>
        <v/>
      </c>
    </row>
    <row r="283">
      <c r="A283" s="2">
        <f>IF($K283="","",INDEX(מלאי!$D$2:$500,$K283))</f>
        <v/>
      </c>
      <c r="B283" s="2">
        <f>IF($K283="","",INDEX(מלאי!$B$2:$500,$K283))</f>
        <v/>
      </c>
      <c r="C283" s="2">
        <f>IF($K283="","",INDEX(מלאי!$C$2:$500,$K283))</f>
        <v/>
      </c>
      <c r="D283" s="2">
        <f>IF($K283="","",INDEX(מלאי!$G$2:$500,$K283))</f>
        <v/>
      </c>
      <c r="E283" s="2">
        <f>IF($K283="","",INDEX(מלאי!$M$2:$500,$K283))</f>
        <v/>
      </c>
      <c r="F283" s="2">
        <f>IF($K283="","",INDEX(מלאי!$N$2:$500,$K283))</f>
        <v/>
      </c>
      <c r="G283" s="2">
        <f>IF($K283="","",INDEX(מלאי!$O$2:$500,$K283))</f>
        <v/>
      </c>
      <c r="H283" s="2">
        <f>IF($K283="","",INDEX(מלאי!$U$2:$500,$K283))</f>
        <v/>
      </c>
      <c r="I283" s="2">
        <f>IF($K283="","",INDEX(מלאי!$X$2:$500,$K283))</f>
        <v/>
      </c>
      <c r="J283" s="2">
        <f>IF($K283="","",INDEX(מלאי!$AC$2:$500,$K283))</f>
        <v/>
      </c>
      <c r="K28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טכנולוגיים'!$A$2:$500,0))&lt;=$G$6),0))),ROW(מלאי!$A$2:$A$500)-ROW(מלאי!$A$2)+1,""),261),"")</f>
        <v/>
      </c>
      <c r="L283" s="2">
        <f>IF($K283="","",IFERROR(INDEX('ערכים טכנולוגיים'!$K$2:$500,MATCH(A283,'ערכים טכנולוגיים'!$A$2:$500,0)),""))</f>
        <v/>
      </c>
      <c r="M283" s="2">
        <f>IF($K283="","",IFERROR(INDEX('ערכים טכנולוגיים'!$F$2:$500,MATCH(A283,'ערכים טכנולוגיים'!$A$2:$500,0)),""))</f>
        <v/>
      </c>
      <c r="N283" s="2">
        <f>IF($K283="","",IFERROR(INDEX('ערכים טכנולוגיים'!$I$2:$500,MATCH(A283,'ערכים טכנולוגיים'!$A$2:$500,0)),""))</f>
        <v/>
      </c>
      <c r="O283" s="2">
        <f>IF($K283="","",IFERROR(INDEX('ערכים טכנולוגיים'!$G$2:$500,MATCH(A283,'ערכים טכנולוגיים'!$A$2:$500,0)),""))</f>
        <v/>
      </c>
      <c r="P283" s="2">
        <f>IF($K283="","",IFERROR(INDEX('ערכים טכנולוגיים'!$J$2:$500,MATCH(A283,'ערכים טכנולוגיים'!$A$2:$500,0)),""))</f>
        <v/>
      </c>
      <c r="Q283" s="2">
        <f>IF($K283="","",IFERROR(INDEX('ערכים טכנולוגיים'!$N$2:$500,MATCH(A283,'ערכים טכנולוגיים'!$A$2:$500,0)),""))</f>
        <v/>
      </c>
    </row>
    <row r="284">
      <c r="A284" s="8">
        <f>IF($K284="","",INDEX(מלאי!$D$2:$500,$K284))</f>
        <v/>
      </c>
      <c r="B284" s="8">
        <f>IF($K284="","",INDEX(מלאי!$B$2:$500,$K284))</f>
        <v/>
      </c>
      <c r="C284" s="8">
        <f>IF($K284="","",INDEX(מלאי!$C$2:$500,$K284))</f>
        <v/>
      </c>
      <c r="D284" s="8">
        <f>IF($K284="","",INDEX(מלאי!$G$2:$500,$K284))</f>
        <v/>
      </c>
      <c r="E284" s="8">
        <f>IF($K284="","",INDEX(מלאי!$M$2:$500,$K284))</f>
        <v/>
      </c>
      <c r="F284" s="8">
        <f>IF($K284="","",INDEX(מלאי!$N$2:$500,$K284))</f>
        <v/>
      </c>
      <c r="G284" s="8">
        <f>IF($K284="","",INDEX(מלאי!$O$2:$500,$K284))</f>
        <v/>
      </c>
      <c r="H284" s="8">
        <f>IF($K284="","",INDEX(מלאי!$U$2:$500,$K284))</f>
        <v/>
      </c>
      <c r="I284" s="8">
        <f>IF($K284="","",INDEX(מלאי!$X$2:$500,$K284))</f>
        <v/>
      </c>
      <c r="J284" s="8">
        <f>IF($K284="","",INDEX(מלאי!$AC$2:$500,$K284))</f>
        <v/>
      </c>
      <c r="K28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טכנולוגיים'!$A$2:$500,0))&lt;=$G$6),0))),ROW(מלאי!$A$2:$A$500)-ROW(מלאי!$A$2)+1,""),262),"")</f>
        <v/>
      </c>
      <c r="L284" s="8">
        <f>IF($K284="","",IFERROR(INDEX('ערכים טכנולוגיים'!$K$2:$500,MATCH(A284,'ערכים טכנולוגיים'!$A$2:$500,0)),""))</f>
        <v/>
      </c>
      <c r="M284" s="8">
        <f>IF($K284="","",IFERROR(INDEX('ערכים טכנולוגיים'!$F$2:$500,MATCH(A284,'ערכים טכנולוגיים'!$A$2:$500,0)),""))</f>
        <v/>
      </c>
      <c r="N284" s="8">
        <f>IF($K284="","",IFERROR(INDEX('ערכים טכנולוגיים'!$I$2:$500,MATCH(A284,'ערכים טכנולוגיים'!$A$2:$500,0)),""))</f>
        <v/>
      </c>
      <c r="O284" s="8">
        <f>IF($K284="","",IFERROR(INDEX('ערכים טכנולוגיים'!$G$2:$500,MATCH(A284,'ערכים טכנולוגיים'!$A$2:$500,0)),""))</f>
        <v/>
      </c>
      <c r="P284" s="8">
        <f>IF($K284="","",IFERROR(INDEX('ערכים טכנולוגיים'!$J$2:$500,MATCH(A284,'ערכים טכנולוגיים'!$A$2:$500,0)),""))</f>
        <v/>
      </c>
      <c r="Q284" s="8">
        <f>IF($K284="","",IFERROR(INDEX('ערכים טכנולוגיים'!$N$2:$500,MATCH(A284,'ערכים טכנולוגיים'!$A$2:$500,0)),""))</f>
        <v/>
      </c>
    </row>
    <row r="285">
      <c r="A285" s="2">
        <f>IF($K285="","",INDEX(מלאי!$D$2:$500,$K285))</f>
        <v/>
      </c>
      <c r="B285" s="2">
        <f>IF($K285="","",INDEX(מלאי!$B$2:$500,$K285))</f>
        <v/>
      </c>
      <c r="C285" s="2">
        <f>IF($K285="","",INDEX(מלאי!$C$2:$500,$K285))</f>
        <v/>
      </c>
      <c r="D285" s="2">
        <f>IF($K285="","",INDEX(מלאי!$G$2:$500,$K285))</f>
        <v/>
      </c>
      <c r="E285" s="2">
        <f>IF($K285="","",INDEX(מלאי!$M$2:$500,$K285))</f>
        <v/>
      </c>
      <c r="F285" s="2">
        <f>IF($K285="","",INDEX(מלאי!$N$2:$500,$K285))</f>
        <v/>
      </c>
      <c r="G285" s="2">
        <f>IF($K285="","",INDEX(מלאי!$O$2:$500,$K285))</f>
        <v/>
      </c>
      <c r="H285" s="2">
        <f>IF($K285="","",INDEX(מלאי!$U$2:$500,$K285))</f>
        <v/>
      </c>
      <c r="I285" s="2">
        <f>IF($K285="","",INDEX(מלאי!$X$2:$500,$K285))</f>
        <v/>
      </c>
      <c r="J285" s="2">
        <f>IF($K285="","",INDEX(מלאי!$AC$2:$500,$K285))</f>
        <v/>
      </c>
      <c r="K28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טכנולוגיים'!$A$2:$500,0))&lt;=$G$6),0))),ROW(מלאי!$A$2:$A$500)-ROW(מלאי!$A$2)+1,""),263),"")</f>
        <v/>
      </c>
      <c r="L285" s="2">
        <f>IF($K285="","",IFERROR(INDEX('ערכים טכנולוגיים'!$K$2:$500,MATCH(A285,'ערכים טכנולוגיים'!$A$2:$500,0)),""))</f>
        <v/>
      </c>
      <c r="M285" s="2">
        <f>IF($K285="","",IFERROR(INDEX('ערכים טכנולוגיים'!$F$2:$500,MATCH(A285,'ערכים טכנולוגיים'!$A$2:$500,0)),""))</f>
        <v/>
      </c>
      <c r="N285" s="2">
        <f>IF($K285="","",IFERROR(INDEX('ערכים טכנולוגיים'!$I$2:$500,MATCH(A285,'ערכים טכנולוגיים'!$A$2:$500,0)),""))</f>
        <v/>
      </c>
      <c r="O285" s="2">
        <f>IF($K285="","",IFERROR(INDEX('ערכים טכנולוגיים'!$G$2:$500,MATCH(A285,'ערכים טכנולוגיים'!$A$2:$500,0)),""))</f>
        <v/>
      </c>
      <c r="P285" s="2">
        <f>IF($K285="","",IFERROR(INDEX('ערכים טכנולוגיים'!$J$2:$500,MATCH(A285,'ערכים טכנולוגיים'!$A$2:$500,0)),""))</f>
        <v/>
      </c>
      <c r="Q285" s="2">
        <f>IF($K285="","",IFERROR(INDEX('ערכים טכנולוגיים'!$N$2:$500,MATCH(A285,'ערכים טכנולוגיים'!$A$2:$500,0)),""))</f>
        <v/>
      </c>
    </row>
    <row r="286">
      <c r="A286" s="8">
        <f>IF($K286="","",INDEX(מלאי!$D$2:$500,$K286))</f>
        <v/>
      </c>
      <c r="B286" s="8">
        <f>IF($K286="","",INDEX(מלאי!$B$2:$500,$K286))</f>
        <v/>
      </c>
      <c r="C286" s="8">
        <f>IF($K286="","",INDEX(מלאי!$C$2:$500,$K286))</f>
        <v/>
      </c>
      <c r="D286" s="8">
        <f>IF($K286="","",INDEX(מלאי!$G$2:$500,$K286))</f>
        <v/>
      </c>
      <c r="E286" s="8">
        <f>IF($K286="","",INDEX(מלאי!$M$2:$500,$K286))</f>
        <v/>
      </c>
      <c r="F286" s="8">
        <f>IF($K286="","",INDEX(מלאי!$N$2:$500,$K286))</f>
        <v/>
      </c>
      <c r="G286" s="8">
        <f>IF($K286="","",INDEX(מלאי!$O$2:$500,$K286))</f>
        <v/>
      </c>
      <c r="H286" s="8">
        <f>IF($K286="","",INDEX(מלאי!$U$2:$500,$K286))</f>
        <v/>
      </c>
      <c r="I286" s="8">
        <f>IF($K286="","",INDEX(מלאי!$X$2:$500,$K286))</f>
        <v/>
      </c>
      <c r="J286" s="8">
        <f>IF($K286="","",INDEX(מלאי!$AC$2:$500,$K286))</f>
        <v/>
      </c>
      <c r="K28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טכנולוגיים'!$A$2:$500,0))&lt;=$G$6),0))),ROW(מלאי!$A$2:$A$500)-ROW(מלאי!$A$2)+1,""),264),"")</f>
        <v/>
      </c>
      <c r="L286" s="8">
        <f>IF($K286="","",IFERROR(INDEX('ערכים טכנולוגיים'!$K$2:$500,MATCH(A286,'ערכים טכנולוגיים'!$A$2:$500,0)),""))</f>
        <v/>
      </c>
      <c r="M286" s="8">
        <f>IF($K286="","",IFERROR(INDEX('ערכים טכנולוגיים'!$F$2:$500,MATCH(A286,'ערכים טכנולוגיים'!$A$2:$500,0)),""))</f>
        <v/>
      </c>
      <c r="N286" s="8">
        <f>IF($K286="","",IFERROR(INDEX('ערכים טכנולוגיים'!$I$2:$500,MATCH(A286,'ערכים טכנולוגיים'!$A$2:$500,0)),""))</f>
        <v/>
      </c>
      <c r="O286" s="8">
        <f>IF($K286="","",IFERROR(INDEX('ערכים טכנולוגיים'!$G$2:$500,MATCH(A286,'ערכים טכנולוגיים'!$A$2:$500,0)),""))</f>
        <v/>
      </c>
      <c r="P286" s="8">
        <f>IF($K286="","",IFERROR(INDEX('ערכים טכנולוגיים'!$J$2:$500,MATCH(A286,'ערכים טכנולוגיים'!$A$2:$500,0)),""))</f>
        <v/>
      </c>
      <c r="Q286" s="8">
        <f>IF($K286="","",IFERROR(INDEX('ערכים טכנולוגיים'!$N$2:$500,MATCH(A286,'ערכים טכנולוגיים'!$A$2:$500,0)),""))</f>
        <v/>
      </c>
    </row>
    <row r="287">
      <c r="A287" s="2">
        <f>IF($K287="","",INDEX(מלאי!$D$2:$500,$K287))</f>
        <v/>
      </c>
      <c r="B287" s="2">
        <f>IF($K287="","",INDEX(מלאי!$B$2:$500,$K287))</f>
        <v/>
      </c>
      <c r="C287" s="2">
        <f>IF($K287="","",INDEX(מלאי!$C$2:$500,$K287))</f>
        <v/>
      </c>
      <c r="D287" s="2">
        <f>IF($K287="","",INDEX(מלאי!$G$2:$500,$K287))</f>
        <v/>
      </c>
      <c r="E287" s="2">
        <f>IF($K287="","",INDEX(מלאי!$M$2:$500,$K287))</f>
        <v/>
      </c>
      <c r="F287" s="2">
        <f>IF($K287="","",INDEX(מלאי!$N$2:$500,$K287))</f>
        <v/>
      </c>
      <c r="G287" s="2">
        <f>IF($K287="","",INDEX(מלאי!$O$2:$500,$K287))</f>
        <v/>
      </c>
      <c r="H287" s="2">
        <f>IF($K287="","",INDEX(מלאי!$U$2:$500,$K287))</f>
        <v/>
      </c>
      <c r="I287" s="2">
        <f>IF($K287="","",INDEX(מלאי!$X$2:$500,$K287))</f>
        <v/>
      </c>
      <c r="J287" s="2">
        <f>IF($K287="","",INDEX(מלאי!$AC$2:$500,$K287))</f>
        <v/>
      </c>
      <c r="K28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טכנולוגיים'!$A$2:$500,0))&lt;=$G$6),0))),ROW(מלאי!$A$2:$A$500)-ROW(מלאי!$A$2)+1,""),265),"")</f>
        <v/>
      </c>
      <c r="L287" s="2">
        <f>IF($K287="","",IFERROR(INDEX('ערכים טכנולוגיים'!$K$2:$500,MATCH(A287,'ערכים טכנולוגיים'!$A$2:$500,0)),""))</f>
        <v/>
      </c>
      <c r="M287" s="2">
        <f>IF($K287="","",IFERROR(INDEX('ערכים טכנולוגיים'!$F$2:$500,MATCH(A287,'ערכים טכנולוגיים'!$A$2:$500,0)),""))</f>
        <v/>
      </c>
      <c r="N287" s="2">
        <f>IF($K287="","",IFERROR(INDEX('ערכים טכנולוגיים'!$I$2:$500,MATCH(A287,'ערכים טכנולוגיים'!$A$2:$500,0)),""))</f>
        <v/>
      </c>
      <c r="O287" s="2">
        <f>IF($K287="","",IFERROR(INDEX('ערכים טכנולוגיים'!$G$2:$500,MATCH(A287,'ערכים טכנולוגיים'!$A$2:$500,0)),""))</f>
        <v/>
      </c>
      <c r="P287" s="2">
        <f>IF($K287="","",IFERROR(INDEX('ערכים טכנולוגיים'!$J$2:$500,MATCH(A287,'ערכים טכנולוגיים'!$A$2:$500,0)),""))</f>
        <v/>
      </c>
      <c r="Q287" s="2">
        <f>IF($K287="","",IFERROR(INDEX('ערכים טכנולוגיים'!$N$2:$500,MATCH(A287,'ערכים טכנולוגיים'!$A$2:$500,0)),""))</f>
        <v/>
      </c>
    </row>
    <row r="288">
      <c r="A288" s="8">
        <f>IF($K288="","",INDEX(מלאי!$D$2:$500,$K288))</f>
        <v/>
      </c>
      <c r="B288" s="8">
        <f>IF($K288="","",INDEX(מלאי!$B$2:$500,$K288))</f>
        <v/>
      </c>
      <c r="C288" s="8">
        <f>IF($K288="","",INDEX(מלאי!$C$2:$500,$K288))</f>
        <v/>
      </c>
      <c r="D288" s="8">
        <f>IF($K288="","",INDEX(מלאי!$G$2:$500,$K288))</f>
        <v/>
      </c>
      <c r="E288" s="8">
        <f>IF($K288="","",INDEX(מלאי!$M$2:$500,$K288))</f>
        <v/>
      </c>
      <c r="F288" s="8">
        <f>IF($K288="","",INDEX(מלאי!$N$2:$500,$K288))</f>
        <v/>
      </c>
      <c r="G288" s="8">
        <f>IF($K288="","",INDEX(מלאי!$O$2:$500,$K288))</f>
        <v/>
      </c>
      <c r="H288" s="8">
        <f>IF($K288="","",INDEX(מלאי!$U$2:$500,$K288))</f>
        <v/>
      </c>
      <c r="I288" s="8">
        <f>IF($K288="","",INDEX(מלאי!$X$2:$500,$K288))</f>
        <v/>
      </c>
      <c r="J288" s="8">
        <f>IF($K288="","",INDEX(מלאי!$AC$2:$500,$K288))</f>
        <v/>
      </c>
      <c r="K28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טכנולוגיים'!$A$2:$500,0))&lt;=$G$6),0))),ROW(מלאי!$A$2:$A$500)-ROW(מלאי!$A$2)+1,""),266),"")</f>
        <v/>
      </c>
      <c r="L288" s="8">
        <f>IF($K288="","",IFERROR(INDEX('ערכים טכנולוגיים'!$K$2:$500,MATCH(A288,'ערכים טכנולוגיים'!$A$2:$500,0)),""))</f>
        <v/>
      </c>
      <c r="M288" s="8">
        <f>IF($K288="","",IFERROR(INDEX('ערכים טכנולוגיים'!$F$2:$500,MATCH(A288,'ערכים טכנולוגיים'!$A$2:$500,0)),""))</f>
        <v/>
      </c>
      <c r="N288" s="8">
        <f>IF($K288="","",IFERROR(INDEX('ערכים טכנולוגיים'!$I$2:$500,MATCH(A288,'ערכים טכנולוגיים'!$A$2:$500,0)),""))</f>
        <v/>
      </c>
      <c r="O288" s="8">
        <f>IF($K288="","",IFERROR(INDEX('ערכים טכנולוגיים'!$G$2:$500,MATCH(A288,'ערכים טכנולוגיים'!$A$2:$500,0)),""))</f>
        <v/>
      </c>
      <c r="P288" s="8">
        <f>IF($K288="","",IFERROR(INDEX('ערכים טכנולוגיים'!$J$2:$500,MATCH(A288,'ערכים טכנולוגיים'!$A$2:$500,0)),""))</f>
        <v/>
      </c>
      <c r="Q288" s="8">
        <f>IF($K288="","",IFERROR(INDEX('ערכים טכנולוגיים'!$N$2:$500,MATCH(A288,'ערכים טכנולוגיים'!$A$2:$500,0)),""))</f>
        <v/>
      </c>
    </row>
    <row r="289">
      <c r="A289" s="2">
        <f>IF($K289="","",INDEX(מלאי!$D$2:$500,$K289))</f>
        <v/>
      </c>
      <c r="B289" s="2">
        <f>IF($K289="","",INDEX(מלאי!$B$2:$500,$K289))</f>
        <v/>
      </c>
      <c r="C289" s="2">
        <f>IF($K289="","",INDEX(מלאי!$C$2:$500,$K289))</f>
        <v/>
      </c>
      <c r="D289" s="2">
        <f>IF($K289="","",INDEX(מלאי!$G$2:$500,$K289))</f>
        <v/>
      </c>
      <c r="E289" s="2">
        <f>IF($K289="","",INDEX(מלאי!$M$2:$500,$K289))</f>
        <v/>
      </c>
      <c r="F289" s="2">
        <f>IF($K289="","",INDEX(מלאי!$N$2:$500,$K289))</f>
        <v/>
      </c>
      <c r="G289" s="2">
        <f>IF($K289="","",INDEX(מלאי!$O$2:$500,$K289))</f>
        <v/>
      </c>
      <c r="H289" s="2">
        <f>IF($K289="","",INDEX(מלאי!$U$2:$500,$K289))</f>
        <v/>
      </c>
      <c r="I289" s="2">
        <f>IF($K289="","",INDEX(מלאי!$X$2:$500,$K289))</f>
        <v/>
      </c>
      <c r="J289" s="2">
        <f>IF($K289="","",INDEX(מלאי!$AC$2:$500,$K289))</f>
        <v/>
      </c>
      <c r="K28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טכנולוגיים'!$A$2:$500,0))&lt;=$G$6),0))),ROW(מלאי!$A$2:$A$500)-ROW(מלאי!$A$2)+1,""),267),"")</f>
        <v/>
      </c>
      <c r="L289" s="2">
        <f>IF($K289="","",IFERROR(INDEX('ערכים טכנולוגיים'!$K$2:$500,MATCH(A289,'ערכים טכנולוגיים'!$A$2:$500,0)),""))</f>
        <v/>
      </c>
      <c r="M289" s="2">
        <f>IF($K289="","",IFERROR(INDEX('ערכים טכנולוגיים'!$F$2:$500,MATCH(A289,'ערכים טכנולוגיים'!$A$2:$500,0)),""))</f>
        <v/>
      </c>
      <c r="N289" s="2">
        <f>IF($K289="","",IFERROR(INDEX('ערכים טכנולוגיים'!$I$2:$500,MATCH(A289,'ערכים טכנולוגיים'!$A$2:$500,0)),""))</f>
        <v/>
      </c>
      <c r="O289" s="2">
        <f>IF($K289="","",IFERROR(INDEX('ערכים טכנולוגיים'!$G$2:$500,MATCH(A289,'ערכים טכנולוגיים'!$A$2:$500,0)),""))</f>
        <v/>
      </c>
      <c r="P289" s="2">
        <f>IF($K289="","",IFERROR(INDEX('ערכים טכנולוגיים'!$J$2:$500,MATCH(A289,'ערכים טכנולוגיים'!$A$2:$500,0)),""))</f>
        <v/>
      </c>
      <c r="Q289" s="2">
        <f>IF($K289="","",IFERROR(INDEX('ערכים טכנולוגיים'!$N$2:$500,MATCH(A289,'ערכים טכנולוגיים'!$A$2:$500,0)),""))</f>
        <v/>
      </c>
    </row>
    <row r="290">
      <c r="A290" s="8">
        <f>IF($K290="","",INDEX(מלאי!$D$2:$500,$K290))</f>
        <v/>
      </c>
      <c r="B290" s="8">
        <f>IF($K290="","",INDEX(מלאי!$B$2:$500,$K290))</f>
        <v/>
      </c>
      <c r="C290" s="8">
        <f>IF($K290="","",INDEX(מלאי!$C$2:$500,$K290))</f>
        <v/>
      </c>
      <c r="D290" s="8">
        <f>IF($K290="","",INDEX(מלאי!$G$2:$500,$K290))</f>
        <v/>
      </c>
      <c r="E290" s="8">
        <f>IF($K290="","",INDEX(מלאי!$M$2:$500,$K290))</f>
        <v/>
      </c>
      <c r="F290" s="8">
        <f>IF($K290="","",INDEX(מלאי!$N$2:$500,$K290))</f>
        <v/>
      </c>
      <c r="G290" s="8">
        <f>IF($K290="","",INDEX(מלאי!$O$2:$500,$K290))</f>
        <v/>
      </c>
      <c r="H290" s="8">
        <f>IF($K290="","",INDEX(מלאי!$U$2:$500,$K290))</f>
        <v/>
      </c>
      <c r="I290" s="8">
        <f>IF($K290="","",INDEX(מלאי!$X$2:$500,$K290))</f>
        <v/>
      </c>
      <c r="J290" s="8">
        <f>IF($K290="","",INDEX(מלאי!$AC$2:$500,$K290))</f>
        <v/>
      </c>
      <c r="K29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טכנולוגיים'!$A$2:$500,0))&lt;=$G$6),0))),ROW(מלאי!$A$2:$A$500)-ROW(מלאי!$A$2)+1,""),268),"")</f>
        <v/>
      </c>
      <c r="L290" s="8">
        <f>IF($K290="","",IFERROR(INDEX('ערכים טכנולוגיים'!$K$2:$500,MATCH(A290,'ערכים טכנולוגיים'!$A$2:$500,0)),""))</f>
        <v/>
      </c>
      <c r="M290" s="8">
        <f>IF($K290="","",IFERROR(INDEX('ערכים טכנולוגיים'!$F$2:$500,MATCH(A290,'ערכים טכנולוגיים'!$A$2:$500,0)),""))</f>
        <v/>
      </c>
      <c r="N290" s="8">
        <f>IF($K290="","",IFERROR(INDEX('ערכים טכנולוגיים'!$I$2:$500,MATCH(A290,'ערכים טכנולוגיים'!$A$2:$500,0)),""))</f>
        <v/>
      </c>
      <c r="O290" s="8">
        <f>IF($K290="","",IFERROR(INDEX('ערכים טכנולוגיים'!$G$2:$500,MATCH(A290,'ערכים טכנולוגיים'!$A$2:$500,0)),""))</f>
        <v/>
      </c>
      <c r="P290" s="8">
        <f>IF($K290="","",IFERROR(INDEX('ערכים טכנולוגיים'!$J$2:$500,MATCH(A290,'ערכים טכנולוגיים'!$A$2:$500,0)),""))</f>
        <v/>
      </c>
      <c r="Q290" s="8">
        <f>IF($K290="","",IFERROR(INDEX('ערכים טכנולוגיים'!$N$2:$500,MATCH(A290,'ערכים טכנולוגיים'!$A$2:$500,0)),""))</f>
        <v/>
      </c>
    </row>
    <row r="291">
      <c r="A291" s="2">
        <f>IF($K291="","",INDEX(מלאי!$D$2:$500,$K291))</f>
        <v/>
      </c>
      <c r="B291" s="2">
        <f>IF($K291="","",INDEX(מלאי!$B$2:$500,$K291))</f>
        <v/>
      </c>
      <c r="C291" s="2">
        <f>IF($K291="","",INDEX(מלאי!$C$2:$500,$K291))</f>
        <v/>
      </c>
      <c r="D291" s="2">
        <f>IF($K291="","",INDEX(מלאי!$G$2:$500,$K291))</f>
        <v/>
      </c>
      <c r="E291" s="2">
        <f>IF($K291="","",INDEX(מלאי!$M$2:$500,$K291))</f>
        <v/>
      </c>
      <c r="F291" s="2">
        <f>IF($K291="","",INDEX(מלאי!$N$2:$500,$K291))</f>
        <v/>
      </c>
      <c r="G291" s="2">
        <f>IF($K291="","",INDEX(מלאי!$O$2:$500,$K291))</f>
        <v/>
      </c>
      <c r="H291" s="2">
        <f>IF($K291="","",INDEX(מלאי!$U$2:$500,$K291))</f>
        <v/>
      </c>
      <c r="I291" s="2">
        <f>IF($K291="","",INDEX(מלאי!$X$2:$500,$K291))</f>
        <v/>
      </c>
      <c r="J291" s="2">
        <f>IF($K291="","",INDEX(מלאי!$AC$2:$500,$K291))</f>
        <v/>
      </c>
      <c r="K29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טכנולוגיים'!$A$2:$500,0))&lt;=$G$6),0))),ROW(מלאי!$A$2:$A$500)-ROW(מלאי!$A$2)+1,""),269),"")</f>
        <v/>
      </c>
      <c r="L291" s="2">
        <f>IF($K291="","",IFERROR(INDEX('ערכים טכנולוגיים'!$K$2:$500,MATCH(A291,'ערכים טכנולוגיים'!$A$2:$500,0)),""))</f>
        <v/>
      </c>
      <c r="M291" s="2">
        <f>IF($K291="","",IFERROR(INDEX('ערכים טכנולוגיים'!$F$2:$500,MATCH(A291,'ערכים טכנולוגיים'!$A$2:$500,0)),""))</f>
        <v/>
      </c>
      <c r="N291" s="2">
        <f>IF($K291="","",IFERROR(INDEX('ערכים טכנולוגיים'!$I$2:$500,MATCH(A291,'ערכים טכנולוגיים'!$A$2:$500,0)),""))</f>
        <v/>
      </c>
      <c r="O291" s="2">
        <f>IF($K291="","",IFERROR(INDEX('ערכים טכנולוגיים'!$G$2:$500,MATCH(A291,'ערכים טכנולוגיים'!$A$2:$500,0)),""))</f>
        <v/>
      </c>
      <c r="P291" s="2">
        <f>IF($K291="","",IFERROR(INDEX('ערכים טכנולוגיים'!$J$2:$500,MATCH(A291,'ערכים טכנולוגיים'!$A$2:$500,0)),""))</f>
        <v/>
      </c>
      <c r="Q291" s="2">
        <f>IF($K291="","",IFERROR(INDEX('ערכים טכנולוגיים'!$N$2:$500,MATCH(A291,'ערכים טכנולוגיים'!$A$2:$500,0)),""))</f>
        <v/>
      </c>
    </row>
    <row r="292">
      <c r="A292" s="8">
        <f>IF($K292="","",INDEX(מלאי!$D$2:$500,$K292))</f>
        <v/>
      </c>
      <c r="B292" s="8">
        <f>IF($K292="","",INDEX(מלאי!$B$2:$500,$K292))</f>
        <v/>
      </c>
      <c r="C292" s="8">
        <f>IF($K292="","",INDEX(מלאי!$C$2:$500,$K292))</f>
        <v/>
      </c>
      <c r="D292" s="8">
        <f>IF($K292="","",INDEX(מלאי!$G$2:$500,$K292))</f>
        <v/>
      </c>
      <c r="E292" s="8">
        <f>IF($K292="","",INDEX(מלאי!$M$2:$500,$K292))</f>
        <v/>
      </c>
      <c r="F292" s="8">
        <f>IF($K292="","",INDEX(מלאי!$N$2:$500,$K292))</f>
        <v/>
      </c>
      <c r="G292" s="8">
        <f>IF($K292="","",INDEX(מלאי!$O$2:$500,$K292))</f>
        <v/>
      </c>
      <c r="H292" s="8">
        <f>IF($K292="","",INDEX(מלאי!$U$2:$500,$K292))</f>
        <v/>
      </c>
      <c r="I292" s="8">
        <f>IF($K292="","",INDEX(מלאי!$X$2:$500,$K292))</f>
        <v/>
      </c>
      <c r="J292" s="8">
        <f>IF($K292="","",INDEX(מלאי!$AC$2:$500,$K292))</f>
        <v/>
      </c>
      <c r="K29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טכנולוגיים'!$A$2:$500,0))&lt;=$G$6),0))),ROW(מלאי!$A$2:$A$500)-ROW(מלאי!$A$2)+1,""),270),"")</f>
        <v/>
      </c>
      <c r="L292" s="8">
        <f>IF($K292="","",IFERROR(INDEX('ערכים טכנולוגיים'!$K$2:$500,MATCH(A292,'ערכים טכנולוגיים'!$A$2:$500,0)),""))</f>
        <v/>
      </c>
      <c r="M292" s="8">
        <f>IF($K292="","",IFERROR(INDEX('ערכים טכנולוגיים'!$F$2:$500,MATCH(A292,'ערכים טכנולוגיים'!$A$2:$500,0)),""))</f>
        <v/>
      </c>
      <c r="N292" s="8">
        <f>IF($K292="","",IFERROR(INDEX('ערכים טכנולוגיים'!$I$2:$500,MATCH(A292,'ערכים טכנולוגיים'!$A$2:$500,0)),""))</f>
        <v/>
      </c>
      <c r="O292" s="8">
        <f>IF($K292="","",IFERROR(INDEX('ערכים טכנולוגיים'!$G$2:$500,MATCH(A292,'ערכים טכנולוגיים'!$A$2:$500,0)),""))</f>
        <v/>
      </c>
      <c r="P292" s="8">
        <f>IF($K292="","",IFERROR(INDEX('ערכים טכנולוגיים'!$J$2:$500,MATCH(A292,'ערכים טכנולוגיים'!$A$2:$500,0)),""))</f>
        <v/>
      </c>
      <c r="Q292" s="8">
        <f>IF($K292="","",IFERROR(INDEX('ערכים טכנולוגיים'!$N$2:$500,MATCH(A292,'ערכים טכנולוגיים'!$A$2:$500,0)),""))</f>
        <v/>
      </c>
    </row>
    <row r="293">
      <c r="A293" s="2">
        <f>IF($K293="","",INDEX(מלאי!$D$2:$500,$K293))</f>
        <v/>
      </c>
      <c r="B293" s="2">
        <f>IF($K293="","",INDEX(מלאי!$B$2:$500,$K293))</f>
        <v/>
      </c>
      <c r="C293" s="2">
        <f>IF($K293="","",INDEX(מלאי!$C$2:$500,$K293))</f>
        <v/>
      </c>
      <c r="D293" s="2">
        <f>IF($K293="","",INDEX(מלאי!$G$2:$500,$K293))</f>
        <v/>
      </c>
      <c r="E293" s="2">
        <f>IF($K293="","",INDEX(מלאי!$M$2:$500,$K293))</f>
        <v/>
      </c>
      <c r="F293" s="2">
        <f>IF($K293="","",INDEX(מלאי!$N$2:$500,$K293))</f>
        <v/>
      </c>
      <c r="G293" s="2">
        <f>IF($K293="","",INDEX(מלאי!$O$2:$500,$K293))</f>
        <v/>
      </c>
      <c r="H293" s="2">
        <f>IF($K293="","",INDEX(מלאי!$U$2:$500,$K293))</f>
        <v/>
      </c>
      <c r="I293" s="2">
        <f>IF($K293="","",INDEX(מלאי!$X$2:$500,$K293))</f>
        <v/>
      </c>
      <c r="J293" s="2">
        <f>IF($K293="","",INDEX(מלאי!$AC$2:$500,$K293))</f>
        <v/>
      </c>
      <c r="K29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טכנולוגיים'!$A$2:$500,0))&lt;=$G$6),0))),ROW(מלאי!$A$2:$A$500)-ROW(מלאי!$A$2)+1,""),271),"")</f>
        <v/>
      </c>
      <c r="L293" s="2">
        <f>IF($K293="","",IFERROR(INDEX('ערכים טכנולוגיים'!$K$2:$500,MATCH(A293,'ערכים טכנולוגיים'!$A$2:$500,0)),""))</f>
        <v/>
      </c>
      <c r="M293" s="2">
        <f>IF($K293="","",IFERROR(INDEX('ערכים טכנולוגיים'!$F$2:$500,MATCH(A293,'ערכים טכנולוגיים'!$A$2:$500,0)),""))</f>
        <v/>
      </c>
      <c r="N293" s="2">
        <f>IF($K293="","",IFERROR(INDEX('ערכים טכנולוגיים'!$I$2:$500,MATCH(A293,'ערכים טכנולוגיים'!$A$2:$500,0)),""))</f>
        <v/>
      </c>
      <c r="O293" s="2">
        <f>IF($K293="","",IFERROR(INDEX('ערכים טכנולוגיים'!$G$2:$500,MATCH(A293,'ערכים טכנולוגיים'!$A$2:$500,0)),""))</f>
        <v/>
      </c>
      <c r="P293" s="2">
        <f>IF($K293="","",IFERROR(INDEX('ערכים טכנולוגיים'!$J$2:$500,MATCH(A293,'ערכים טכנולוגיים'!$A$2:$500,0)),""))</f>
        <v/>
      </c>
      <c r="Q293" s="2">
        <f>IF($K293="","",IFERROR(INDEX('ערכים טכנולוגיים'!$N$2:$500,MATCH(A293,'ערכים טכנולוגיים'!$A$2:$500,0)),""))</f>
        <v/>
      </c>
    </row>
    <row r="294">
      <c r="A294" s="8">
        <f>IF($K294="","",INDEX(מלאי!$D$2:$500,$K294))</f>
        <v/>
      </c>
      <c r="B294" s="8">
        <f>IF($K294="","",INDEX(מלאי!$B$2:$500,$K294))</f>
        <v/>
      </c>
      <c r="C294" s="8">
        <f>IF($K294="","",INDEX(מלאי!$C$2:$500,$K294))</f>
        <v/>
      </c>
      <c r="D294" s="8">
        <f>IF($K294="","",INDEX(מלאי!$G$2:$500,$K294))</f>
        <v/>
      </c>
      <c r="E294" s="8">
        <f>IF($K294="","",INDEX(מלאי!$M$2:$500,$K294))</f>
        <v/>
      </c>
      <c r="F294" s="8">
        <f>IF($K294="","",INDEX(מלאי!$N$2:$500,$K294))</f>
        <v/>
      </c>
      <c r="G294" s="8">
        <f>IF($K294="","",INDEX(מלאי!$O$2:$500,$K294))</f>
        <v/>
      </c>
      <c r="H294" s="8">
        <f>IF($K294="","",INDEX(מלאי!$U$2:$500,$K294))</f>
        <v/>
      </c>
      <c r="I294" s="8">
        <f>IF($K294="","",INDEX(מלאי!$X$2:$500,$K294))</f>
        <v/>
      </c>
      <c r="J294" s="8">
        <f>IF($K294="","",INDEX(מלאי!$AC$2:$500,$K294))</f>
        <v/>
      </c>
      <c r="K29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טכנולוגיים'!$A$2:$500,0))&lt;=$G$6),0))),ROW(מלאי!$A$2:$A$500)-ROW(מלאי!$A$2)+1,""),272),"")</f>
        <v/>
      </c>
      <c r="L294" s="8">
        <f>IF($K294="","",IFERROR(INDEX('ערכים טכנולוגיים'!$K$2:$500,MATCH(A294,'ערכים טכנולוגיים'!$A$2:$500,0)),""))</f>
        <v/>
      </c>
      <c r="M294" s="8">
        <f>IF($K294="","",IFERROR(INDEX('ערכים טכנולוגיים'!$F$2:$500,MATCH(A294,'ערכים טכנולוגיים'!$A$2:$500,0)),""))</f>
        <v/>
      </c>
      <c r="N294" s="8">
        <f>IF($K294="","",IFERROR(INDEX('ערכים טכנולוגיים'!$I$2:$500,MATCH(A294,'ערכים טכנולוגיים'!$A$2:$500,0)),""))</f>
        <v/>
      </c>
      <c r="O294" s="8">
        <f>IF($K294="","",IFERROR(INDEX('ערכים טכנולוגיים'!$G$2:$500,MATCH(A294,'ערכים טכנולוגיים'!$A$2:$500,0)),""))</f>
        <v/>
      </c>
      <c r="P294" s="8">
        <f>IF($K294="","",IFERROR(INDEX('ערכים טכנולוגיים'!$J$2:$500,MATCH(A294,'ערכים טכנולוגיים'!$A$2:$500,0)),""))</f>
        <v/>
      </c>
      <c r="Q294" s="8">
        <f>IF($K294="","",IFERROR(INDEX('ערכים טכנולוגיים'!$N$2:$500,MATCH(A294,'ערכים טכנולוגיים'!$A$2:$500,0)),""))</f>
        <v/>
      </c>
    </row>
    <row r="295">
      <c r="A295" s="2">
        <f>IF($K295="","",INDEX(מלאי!$D$2:$500,$K295))</f>
        <v/>
      </c>
      <c r="B295" s="2">
        <f>IF($K295="","",INDEX(מלאי!$B$2:$500,$K295))</f>
        <v/>
      </c>
      <c r="C295" s="2">
        <f>IF($K295="","",INDEX(מלאי!$C$2:$500,$K295))</f>
        <v/>
      </c>
      <c r="D295" s="2">
        <f>IF($K295="","",INDEX(מלאי!$G$2:$500,$K295))</f>
        <v/>
      </c>
      <c r="E295" s="2">
        <f>IF($K295="","",INDEX(מלאי!$M$2:$500,$K295))</f>
        <v/>
      </c>
      <c r="F295" s="2">
        <f>IF($K295="","",INDEX(מלאי!$N$2:$500,$K295))</f>
        <v/>
      </c>
      <c r="G295" s="2">
        <f>IF($K295="","",INDEX(מלאי!$O$2:$500,$K295))</f>
        <v/>
      </c>
      <c r="H295" s="2">
        <f>IF($K295="","",INDEX(מלאי!$U$2:$500,$K295))</f>
        <v/>
      </c>
      <c r="I295" s="2">
        <f>IF($K295="","",INDEX(מלאי!$X$2:$500,$K295))</f>
        <v/>
      </c>
      <c r="J295" s="2">
        <f>IF($K295="","",INDEX(מלאי!$AC$2:$500,$K295))</f>
        <v/>
      </c>
      <c r="K29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טכנולוגיים'!$A$2:$500,0))&lt;=$G$6),0))),ROW(מלאי!$A$2:$A$500)-ROW(מלאי!$A$2)+1,""),273),"")</f>
        <v/>
      </c>
      <c r="L295" s="2">
        <f>IF($K295="","",IFERROR(INDEX('ערכים טכנולוגיים'!$K$2:$500,MATCH(A295,'ערכים טכנולוגיים'!$A$2:$500,0)),""))</f>
        <v/>
      </c>
      <c r="M295" s="2">
        <f>IF($K295="","",IFERROR(INDEX('ערכים טכנולוגיים'!$F$2:$500,MATCH(A295,'ערכים טכנולוגיים'!$A$2:$500,0)),""))</f>
        <v/>
      </c>
      <c r="N295" s="2">
        <f>IF($K295="","",IFERROR(INDEX('ערכים טכנולוגיים'!$I$2:$500,MATCH(A295,'ערכים טכנולוגיים'!$A$2:$500,0)),""))</f>
        <v/>
      </c>
      <c r="O295" s="2">
        <f>IF($K295="","",IFERROR(INDEX('ערכים טכנולוגיים'!$G$2:$500,MATCH(A295,'ערכים טכנולוגיים'!$A$2:$500,0)),""))</f>
        <v/>
      </c>
      <c r="P295" s="2">
        <f>IF($K295="","",IFERROR(INDEX('ערכים טכנולוגיים'!$J$2:$500,MATCH(A295,'ערכים טכנולוגיים'!$A$2:$500,0)),""))</f>
        <v/>
      </c>
      <c r="Q295" s="2">
        <f>IF($K295="","",IFERROR(INDEX('ערכים טכנולוגיים'!$N$2:$500,MATCH(A295,'ערכים טכנולוגיים'!$A$2:$500,0)),""))</f>
        <v/>
      </c>
    </row>
    <row r="296">
      <c r="A296" s="8">
        <f>IF($K296="","",INDEX(מלאי!$D$2:$500,$K296))</f>
        <v/>
      </c>
      <c r="B296" s="8">
        <f>IF($K296="","",INDEX(מלאי!$B$2:$500,$K296))</f>
        <v/>
      </c>
      <c r="C296" s="8">
        <f>IF($K296="","",INDEX(מלאי!$C$2:$500,$K296))</f>
        <v/>
      </c>
      <c r="D296" s="8">
        <f>IF($K296="","",INDEX(מלאי!$G$2:$500,$K296))</f>
        <v/>
      </c>
      <c r="E296" s="8">
        <f>IF($K296="","",INDEX(מלאי!$M$2:$500,$K296))</f>
        <v/>
      </c>
      <c r="F296" s="8">
        <f>IF($K296="","",INDEX(מלאי!$N$2:$500,$K296))</f>
        <v/>
      </c>
      <c r="G296" s="8">
        <f>IF($K296="","",INDEX(מלאי!$O$2:$500,$K296))</f>
        <v/>
      </c>
      <c r="H296" s="8">
        <f>IF($K296="","",INDEX(מלאי!$U$2:$500,$K296))</f>
        <v/>
      </c>
      <c r="I296" s="8">
        <f>IF($K296="","",INDEX(מלאי!$X$2:$500,$K296))</f>
        <v/>
      </c>
      <c r="J296" s="8">
        <f>IF($K296="","",INDEX(מלאי!$AC$2:$500,$K296))</f>
        <v/>
      </c>
      <c r="K29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טכנולוגיים'!$A$2:$500,0))&lt;=$G$6),0))),ROW(מלאי!$A$2:$A$500)-ROW(מלאי!$A$2)+1,""),274),"")</f>
        <v/>
      </c>
      <c r="L296" s="8">
        <f>IF($K296="","",IFERROR(INDEX('ערכים טכנולוגיים'!$K$2:$500,MATCH(A296,'ערכים טכנולוגיים'!$A$2:$500,0)),""))</f>
        <v/>
      </c>
      <c r="M296" s="8">
        <f>IF($K296="","",IFERROR(INDEX('ערכים טכנולוגיים'!$F$2:$500,MATCH(A296,'ערכים טכנולוגיים'!$A$2:$500,0)),""))</f>
        <v/>
      </c>
      <c r="N296" s="8">
        <f>IF($K296="","",IFERROR(INDEX('ערכים טכנולוגיים'!$I$2:$500,MATCH(A296,'ערכים טכנולוגיים'!$A$2:$500,0)),""))</f>
        <v/>
      </c>
      <c r="O296" s="8">
        <f>IF($K296="","",IFERROR(INDEX('ערכים טכנולוגיים'!$G$2:$500,MATCH(A296,'ערכים טכנולוגיים'!$A$2:$500,0)),""))</f>
        <v/>
      </c>
      <c r="P296" s="8">
        <f>IF($K296="","",IFERROR(INDEX('ערכים טכנולוגיים'!$J$2:$500,MATCH(A296,'ערכים טכנולוגיים'!$A$2:$500,0)),""))</f>
        <v/>
      </c>
      <c r="Q296" s="8">
        <f>IF($K296="","",IFERROR(INDEX('ערכים טכנולוגיים'!$N$2:$500,MATCH(A296,'ערכים טכנולוגיים'!$A$2:$500,0)),""))</f>
        <v/>
      </c>
    </row>
    <row r="297">
      <c r="A297" s="2">
        <f>IF($K297="","",INDEX(מלאי!$D$2:$500,$K297))</f>
        <v/>
      </c>
      <c r="B297" s="2">
        <f>IF($K297="","",INDEX(מלאי!$B$2:$500,$K297))</f>
        <v/>
      </c>
      <c r="C297" s="2">
        <f>IF($K297="","",INDEX(מלאי!$C$2:$500,$K297))</f>
        <v/>
      </c>
      <c r="D297" s="2">
        <f>IF($K297="","",INDEX(מלאי!$G$2:$500,$K297))</f>
        <v/>
      </c>
      <c r="E297" s="2">
        <f>IF($K297="","",INDEX(מלאי!$M$2:$500,$K297))</f>
        <v/>
      </c>
      <c r="F297" s="2">
        <f>IF($K297="","",INDEX(מלאי!$N$2:$500,$K297))</f>
        <v/>
      </c>
      <c r="G297" s="2">
        <f>IF($K297="","",INDEX(מלאי!$O$2:$500,$K297))</f>
        <v/>
      </c>
      <c r="H297" s="2">
        <f>IF($K297="","",INDEX(מלאי!$U$2:$500,$K297))</f>
        <v/>
      </c>
      <c r="I297" s="2">
        <f>IF($K297="","",INDEX(מלאי!$X$2:$500,$K297))</f>
        <v/>
      </c>
      <c r="J297" s="2">
        <f>IF($K297="","",INDEX(מלאי!$AC$2:$500,$K297))</f>
        <v/>
      </c>
      <c r="K29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טכנולוגיים'!$A$2:$500,0))&lt;=$G$6),0))),ROW(מלאי!$A$2:$A$500)-ROW(מלאי!$A$2)+1,""),275),"")</f>
        <v/>
      </c>
      <c r="L297" s="2">
        <f>IF($K297="","",IFERROR(INDEX('ערכים טכנולוגיים'!$K$2:$500,MATCH(A297,'ערכים טכנולוגיים'!$A$2:$500,0)),""))</f>
        <v/>
      </c>
      <c r="M297" s="2">
        <f>IF($K297="","",IFERROR(INDEX('ערכים טכנולוגיים'!$F$2:$500,MATCH(A297,'ערכים טכנולוגיים'!$A$2:$500,0)),""))</f>
        <v/>
      </c>
      <c r="N297" s="2">
        <f>IF($K297="","",IFERROR(INDEX('ערכים טכנולוגיים'!$I$2:$500,MATCH(A297,'ערכים טכנולוגיים'!$A$2:$500,0)),""))</f>
        <v/>
      </c>
      <c r="O297" s="2">
        <f>IF($K297="","",IFERROR(INDEX('ערכים טכנולוגיים'!$G$2:$500,MATCH(A297,'ערכים טכנולוגיים'!$A$2:$500,0)),""))</f>
        <v/>
      </c>
      <c r="P297" s="2">
        <f>IF($K297="","",IFERROR(INDEX('ערכים טכנולוגיים'!$J$2:$500,MATCH(A297,'ערכים טכנולוגיים'!$A$2:$500,0)),""))</f>
        <v/>
      </c>
      <c r="Q297" s="2">
        <f>IF($K297="","",IFERROR(INDEX('ערכים טכנולוגיים'!$N$2:$500,MATCH(A297,'ערכים טכנולוגיים'!$A$2:$500,0)),""))</f>
        <v/>
      </c>
    </row>
    <row r="298">
      <c r="A298" s="8">
        <f>IF($K298="","",INDEX(מלאי!$D$2:$500,$K298))</f>
        <v/>
      </c>
      <c r="B298" s="8">
        <f>IF($K298="","",INDEX(מלאי!$B$2:$500,$K298))</f>
        <v/>
      </c>
      <c r="C298" s="8">
        <f>IF($K298="","",INDEX(מלאי!$C$2:$500,$K298))</f>
        <v/>
      </c>
      <c r="D298" s="8">
        <f>IF($K298="","",INDEX(מלאי!$G$2:$500,$K298))</f>
        <v/>
      </c>
      <c r="E298" s="8">
        <f>IF($K298="","",INDEX(מלאי!$M$2:$500,$K298))</f>
        <v/>
      </c>
      <c r="F298" s="8">
        <f>IF($K298="","",INDEX(מלאי!$N$2:$500,$K298))</f>
        <v/>
      </c>
      <c r="G298" s="8">
        <f>IF($K298="","",INDEX(מלאי!$O$2:$500,$K298))</f>
        <v/>
      </c>
      <c r="H298" s="8">
        <f>IF($K298="","",INDEX(מלאי!$U$2:$500,$K298))</f>
        <v/>
      </c>
      <c r="I298" s="8">
        <f>IF($K298="","",INDEX(מלאי!$X$2:$500,$K298))</f>
        <v/>
      </c>
      <c r="J298" s="8">
        <f>IF($K298="","",INDEX(מלאי!$AC$2:$500,$K298))</f>
        <v/>
      </c>
      <c r="K29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טכנולוגיים'!$A$2:$500,0))&lt;=$G$6),0))),ROW(מלאי!$A$2:$A$500)-ROW(מלאי!$A$2)+1,""),276),"")</f>
        <v/>
      </c>
      <c r="L298" s="8">
        <f>IF($K298="","",IFERROR(INDEX('ערכים טכנולוגיים'!$K$2:$500,MATCH(A298,'ערכים טכנולוגיים'!$A$2:$500,0)),""))</f>
        <v/>
      </c>
      <c r="M298" s="8">
        <f>IF($K298="","",IFERROR(INDEX('ערכים טכנולוגיים'!$F$2:$500,MATCH(A298,'ערכים טכנולוגיים'!$A$2:$500,0)),""))</f>
        <v/>
      </c>
      <c r="N298" s="8">
        <f>IF($K298="","",IFERROR(INDEX('ערכים טכנולוגיים'!$I$2:$500,MATCH(A298,'ערכים טכנולוגיים'!$A$2:$500,0)),""))</f>
        <v/>
      </c>
      <c r="O298" s="8">
        <f>IF($K298="","",IFERROR(INDEX('ערכים טכנולוגיים'!$G$2:$500,MATCH(A298,'ערכים טכנולוגיים'!$A$2:$500,0)),""))</f>
        <v/>
      </c>
      <c r="P298" s="8">
        <f>IF($K298="","",IFERROR(INDEX('ערכים טכנולוגיים'!$J$2:$500,MATCH(A298,'ערכים טכנולוגיים'!$A$2:$500,0)),""))</f>
        <v/>
      </c>
      <c r="Q298" s="8">
        <f>IF($K298="","",IFERROR(INDEX('ערכים טכנולוגיים'!$N$2:$500,MATCH(A298,'ערכים טכנולוגיים'!$A$2:$500,0)),""))</f>
        <v/>
      </c>
    </row>
    <row r="299">
      <c r="A299" s="2">
        <f>IF($K299="","",INDEX(מלאי!$D$2:$500,$K299))</f>
        <v/>
      </c>
      <c r="B299" s="2">
        <f>IF($K299="","",INDEX(מלאי!$B$2:$500,$K299))</f>
        <v/>
      </c>
      <c r="C299" s="2">
        <f>IF($K299="","",INDEX(מלאי!$C$2:$500,$K299))</f>
        <v/>
      </c>
      <c r="D299" s="2">
        <f>IF($K299="","",INDEX(מלאי!$G$2:$500,$K299))</f>
        <v/>
      </c>
      <c r="E299" s="2">
        <f>IF($K299="","",INDEX(מלאי!$M$2:$500,$K299))</f>
        <v/>
      </c>
      <c r="F299" s="2">
        <f>IF($K299="","",INDEX(מלאי!$N$2:$500,$K299))</f>
        <v/>
      </c>
      <c r="G299" s="2">
        <f>IF($K299="","",INDEX(מלאי!$O$2:$500,$K299))</f>
        <v/>
      </c>
      <c r="H299" s="2">
        <f>IF($K299="","",INDEX(מלאי!$U$2:$500,$K299))</f>
        <v/>
      </c>
      <c r="I299" s="2">
        <f>IF($K299="","",INDEX(מלאי!$X$2:$500,$K299))</f>
        <v/>
      </c>
      <c r="J299" s="2">
        <f>IF($K299="","",INDEX(מלאי!$AC$2:$500,$K299))</f>
        <v/>
      </c>
      <c r="K29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טכנולוגיים'!$A$2:$500,0))&lt;=$G$6),0))),ROW(מלאי!$A$2:$A$500)-ROW(מלאי!$A$2)+1,""),277),"")</f>
        <v/>
      </c>
      <c r="L299" s="2">
        <f>IF($K299="","",IFERROR(INDEX('ערכים טכנולוגיים'!$K$2:$500,MATCH(A299,'ערכים טכנולוגיים'!$A$2:$500,0)),""))</f>
        <v/>
      </c>
      <c r="M299" s="2">
        <f>IF($K299="","",IFERROR(INDEX('ערכים טכנולוגיים'!$F$2:$500,MATCH(A299,'ערכים טכנולוגיים'!$A$2:$500,0)),""))</f>
        <v/>
      </c>
      <c r="N299" s="2">
        <f>IF($K299="","",IFERROR(INDEX('ערכים טכנולוגיים'!$I$2:$500,MATCH(A299,'ערכים טכנולוגיים'!$A$2:$500,0)),""))</f>
        <v/>
      </c>
      <c r="O299" s="2">
        <f>IF($K299="","",IFERROR(INDEX('ערכים טכנולוגיים'!$G$2:$500,MATCH(A299,'ערכים טכנולוגיים'!$A$2:$500,0)),""))</f>
        <v/>
      </c>
      <c r="P299" s="2">
        <f>IF($K299="","",IFERROR(INDEX('ערכים טכנולוגיים'!$J$2:$500,MATCH(A299,'ערכים טכנולוגיים'!$A$2:$500,0)),""))</f>
        <v/>
      </c>
      <c r="Q299" s="2">
        <f>IF($K299="","",IFERROR(INDEX('ערכים טכנולוגיים'!$N$2:$500,MATCH(A299,'ערכים טכנולוגיים'!$A$2:$500,0)),""))</f>
        <v/>
      </c>
    </row>
    <row r="300">
      <c r="A300" s="8">
        <f>IF($K300="","",INDEX(מלאי!$D$2:$500,$K300))</f>
        <v/>
      </c>
      <c r="B300" s="8">
        <f>IF($K300="","",INDEX(מלאי!$B$2:$500,$K300))</f>
        <v/>
      </c>
      <c r="C300" s="8">
        <f>IF($K300="","",INDEX(מלאי!$C$2:$500,$K300))</f>
        <v/>
      </c>
      <c r="D300" s="8">
        <f>IF($K300="","",INDEX(מלאי!$G$2:$500,$K300))</f>
        <v/>
      </c>
      <c r="E300" s="8">
        <f>IF($K300="","",INDEX(מלאי!$M$2:$500,$K300))</f>
        <v/>
      </c>
      <c r="F300" s="8">
        <f>IF($K300="","",INDEX(מלאי!$N$2:$500,$K300))</f>
        <v/>
      </c>
      <c r="G300" s="8">
        <f>IF($K300="","",INDEX(מלאי!$O$2:$500,$K300))</f>
        <v/>
      </c>
      <c r="H300" s="8">
        <f>IF($K300="","",INDEX(מלאי!$U$2:$500,$K300))</f>
        <v/>
      </c>
      <c r="I300" s="8">
        <f>IF($K300="","",INDEX(מלאי!$X$2:$500,$K300))</f>
        <v/>
      </c>
      <c r="J300" s="8">
        <f>IF($K300="","",INDEX(מלאי!$AC$2:$500,$K300))</f>
        <v/>
      </c>
      <c r="K30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טכנולוגיים'!$A$2:$500,0))&lt;=$G$6),0))),ROW(מלאי!$A$2:$A$500)-ROW(מלאי!$A$2)+1,""),278),"")</f>
        <v/>
      </c>
      <c r="L300" s="8">
        <f>IF($K300="","",IFERROR(INDEX('ערכים טכנולוגיים'!$K$2:$500,MATCH(A300,'ערכים טכנולוגיים'!$A$2:$500,0)),""))</f>
        <v/>
      </c>
      <c r="M300" s="8">
        <f>IF($K300="","",IFERROR(INDEX('ערכים טכנולוגיים'!$F$2:$500,MATCH(A300,'ערכים טכנולוגיים'!$A$2:$500,0)),""))</f>
        <v/>
      </c>
      <c r="N300" s="8">
        <f>IF($K300="","",IFERROR(INDEX('ערכים טכנולוגיים'!$I$2:$500,MATCH(A300,'ערכים טכנולוגיים'!$A$2:$500,0)),""))</f>
        <v/>
      </c>
      <c r="O300" s="8">
        <f>IF($K300="","",IFERROR(INDEX('ערכים טכנולוגיים'!$G$2:$500,MATCH(A300,'ערכים טכנולוגיים'!$A$2:$500,0)),""))</f>
        <v/>
      </c>
      <c r="P300" s="8">
        <f>IF($K300="","",IFERROR(INDEX('ערכים טכנולוגיים'!$J$2:$500,MATCH(A300,'ערכים טכנולוגיים'!$A$2:$500,0)),""))</f>
        <v/>
      </c>
      <c r="Q300" s="8">
        <f>IF($K300="","",IFERROR(INDEX('ערכים טכנולוגיים'!$N$2:$500,MATCH(A300,'ערכים טכנולוגיים'!$A$2:$500,0)),""))</f>
        <v/>
      </c>
    </row>
    <row r="301">
      <c r="A301" s="2">
        <f>IF($K301="","",INDEX(מלאי!$D$2:$500,$K301))</f>
        <v/>
      </c>
      <c r="B301" s="2">
        <f>IF($K301="","",INDEX(מלאי!$B$2:$500,$K301))</f>
        <v/>
      </c>
      <c r="C301" s="2">
        <f>IF($K301="","",INDEX(מלאי!$C$2:$500,$K301))</f>
        <v/>
      </c>
      <c r="D301" s="2">
        <f>IF($K301="","",INDEX(מלאי!$G$2:$500,$K301))</f>
        <v/>
      </c>
      <c r="E301" s="2">
        <f>IF($K301="","",INDEX(מלאי!$M$2:$500,$K301))</f>
        <v/>
      </c>
      <c r="F301" s="2">
        <f>IF($K301="","",INDEX(מלאי!$N$2:$500,$K301))</f>
        <v/>
      </c>
      <c r="G301" s="2">
        <f>IF($K301="","",INDEX(מלאי!$O$2:$500,$K301))</f>
        <v/>
      </c>
      <c r="H301" s="2">
        <f>IF($K301="","",INDEX(מלאי!$U$2:$500,$K301))</f>
        <v/>
      </c>
      <c r="I301" s="2">
        <f>IF($K301="","",INDEX(מלאי!$X$2:$500,$K301))</f>
        <v/>
      </c>
      <c r="J301" s="2">
        <f>IF($K301="","",INDEX(מלאי!$AC$2:$500,$K301))</f>
        <v/>
      </c>
      <c r="K30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טכנולוגיים'!$A$2:$500,0))&lt;=$G$6),0))),ROW(מלאי!$A$2:$A$500)-ROW(מלאי!$A$2)+1,""),279),"")</f>
        <v/>
      </c>
      <c r="L301" s="2">
        <f>IF($K301="","",IFERROR(INDEX('ערכים טכנולוגיים'!$K$2:$500,MATCH(A301,'ערכים טכנולוגיים'!$A$2:$500,0)),""))</f>
        <v/>
      </c>
      <c r="M301" s="2">
        <f>IF($K301="","",IFERROR(INDEX('ערכים טכנולוגיים'!$F$2:$500,MATCH(A301,'ערכים טכנולוגיים'!$A$2:$500,0)),""))</f>
        <v/>
      </c>
      <c r="N301" s="2">
        <f>IF($K301="","",IFERROR(INDEX('ערכים טכנולוגיים'!$I$2:$500,MATCH(A301,'ערכים טכנולוגיים'!$A$2:$500,0)),""))</f>
        <v/>
      </c>
      <c r="O301" s="2">
        <f>IF($K301="","",IFERROR(INDEX('ערכים טכנולוגיים'!$G$2:$500,MATCH(A301,'ערכים טכנולוגיים'!$A$2:$500,0)),""))</f>
        <v/>
      </c>
      <c r="P301" s="2">
        <f>IF($K301="","",IFERROR(INDEX('ערכים טכנולוגיים'!$J$2:$500,MATCH(A301,'ערכים טכנולוגיים'!$A$2:$500,0)),""))</f>
        <v/>
      </c>
      <c r="Q301" s="2">
        <f>IF($K301="","",IFERROR(INDEX('ערכים טכנולוגיים'!$N$2:$500,MATCH(A301,'ערכים טכנולוגיים'!$A$2:$500,0)),""))</f>
        <v/>
      </c>
    </row>
    <row r="302">
      <c r="A302" s="8">
        <f>IF($K302="","",INDEX(מלאי!$D$2:$500,$K302))</f>
        <v/>
      </c>
      <c r="B302" s="8">
        <f>IF($K302="","",INDEX(מלאי!$B$2:$500,$K302))</f>
        <v/>
      </c>
      <c r="C302" s="8">
        <f>IF($K302="","",INDEX(מלאי!$C$2:$500,$K302))</f>
        <v/>
      </c>
      <c r="D302" s="8">
        <f>IF($K302="","",INDEX(מלאי!$G$2:$500,$K302))</f>
        <v/>
      </c>
      <c r="E302" s="8">
        <f>IF($K302="","",INDEX(מלאי!$M$2:$500,$K302))</f>
        <v/>
      </c>
      <c r="F302" s="8">
        <f>IF($K302="","",INDEX(מלאי!$N$2:$500,$K302))</f>
        <v/>
      </c>
      <c r="G302" s="8">
        <f>IF($K302="","",INDEX(מלאי!$O$2:$500,$K302))</f>
        <v/>
      </c>
      <c r="H302" s="8">
        <f>IF($K302="","",INDEX(מלאי!$U$2:$500,$K302))</f>
        <v/>
      </c>
      <c r="I302" s="8">
        <f>IF($K302="","",INDEX(מלאי!$X$2:$500,$K302))</f>
        <v/>
      </c>
      <c r="J302" s="8">
        <f>IF($K302="","",INDEX(מלאי!$AC$2:$500,$K302))</f>
        <v/>
      </c>
      <c r="K30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טכנולוגיים'!$A$2:$500,0))&lt;=$G$6),0))),ROW(מלאי!$A$2:$A$500)-ROW(מלאי!$A$2)+1,""),280),"")</f>
        <v/>
      </c>
      <c r="L302" s="8">
        <f>IF($K302="","",IFERROR(INDEX('ערכים טכנולוגיים'!$K$2:$500,MATCH(A302,'ערכים טכנולוגיים'!$A$2:$500,0)),""))</f>
        <v/>
      </c>
      <c r="M302" s="8">
        <f>IF($K302="","",IFERROR(INDEX('ערכים טכנולוגיים'!$F$2:$500,MATCH(A302,'ערכים טכנולוגיים'!$A$2:$500,0)),""))</f>
        <v/>
      </c>
      <c r="N302" s="8">
        <f>IF($K302="","",IFERROR(INDEX('ערכים טכנולוגיים'!$I$2:$500,MATCH(A302,'ערכים טכנולוגיים'!$A$2:$500,0)),""))</f>
        <v/>
      </c>
      <c r="O302" s="8">
        <f>IF($K302="","",IFERROR(INDEX('ערכים טכנולוגיים'!$G$2:$500,MATCH(A302,'ערכים טכנולוגיים'!$A$2:$500,0)),""))</f>
        <v/>
      </c>
      <c r="P302" s="8">
        <f>IF($K302="","",IFERROR(INDEX('ערכים טכנולוגיים'!$J$2:$500,MATCH(A302,'ערכים טכנולוגיים'!$A$2:$500,0)),""))</f>
        <v/>
      </c>
      <c r="Q302" s="8">
        <f>IF($K302="","",IFERROR(INDEX('ערכים טכנולוגיים'!$N$2:$500,MATCH(A302,'ערכים טכנולוגיים'!$A$2:$500,0)),""))</f>
        <v/>
      </c>
    </row>
    <row r="303">
      <c r="A303" s="2">
        <f>IF($K303="","",INDEX(מלאי!$D$2:$500,$K303))</f>
        <v/>
      </c>
      <c r="B303" s="2">
        <f>IF($K303="","",INDEX(מלאי!$B$2:$500,$K303))</f>
        <v/>
      </c>
      <c r="C303" s="2">
        <f>IF($K303="","",INDEX(מלאי!$C$2:$500,$K303))</f>
        <v/>
      </c>
      <c r="D303" s="2">
        <f>IF($K303="","",INDEX(מלאי!$G$2:$500,$K303))</f>
        <v/>
      </c>
      <c r="E303" s="2">
        <f>IF($K303="","",INDEX(מלאי!$M$2:$500,$K303))</f>
        <v/>
      </c>
      <c r="F303" s="2">
        <f>IF($K303="","",INDEX(מלאי!$N$2:$500,$K303))</f>
        <v/>
      </c>
      <c r="G303" s="2">
        <f>IF($K303="","",INDEX(מלאי!$O$2:$500,$K303))</f>
        <v/>
      </c>
      <c r="H303" s="2">
        <f>IF($K303="","",INDEX(מלאי!$U$2:$500,$K303))</f>
        <v/>
      </c>
      <c r="I303" s="2">
        <f>IF($K303="","",INDEX(מלאי!$X$2:$500,$K303))</f>
        <v/>
      </c>
      <c r="J303" s="2">
        <f>IF($K303="","",INDEX(מלאי!$AC$2:$500,$K303))</f>
        <v/>
      </c>
      <c r="K30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טכנולוגיים'!$A$2:$500,0))&lt;=$G$6),0))),ROW(מלאי!$A$2:$A$500)-ROW(מלאי!$A$2)+1,""),281),"")</f>
        <v/>
      </c>
      <c r="L303" s="2">
        <f>IF($K303="","",IFERROR(INDEX('ערכים טכנולוגיים'!$K$2:$500,MATCH(A303,'ערכים טכנולוגיים'!$A$2:$500,0)),""))</f>
        <v/>
      </c>
      <c r="M303" s="2">
        <f>IF($K303="","",IFERROR(INDEX('ערכים טכנולוגיים'!$F$2:$500,MATCH(A303,'ערכים טכנולוגיים'!$A$2:$500,0)),""))</f>
        <v/>
      </c>
      <c r="N303" s="2">
        <f>IF($K303="","",IFERROR(INDEX('ערכים טכנולוגיים'!$I$2:$500,MATCH(A303,'ערכים טכנולוגיים'!$A$2:$500,0)),""))</f>
        <v/>
      </c>
      <c r="O303" s="2">
        <f>IF($K303="","",IFERROR(INDEX('ערכים טכנולוגיים'!$G$2:$500,MATCH(A303,'ערכים טכנולוגיים'!$A$2:$500,0)),""))</f>
        <v/>
      </c>
      <c r="P303" s="2">
        <f>IF($K303="","",IFERROR(INDEX('ערכים טכנולוגיים'!$J$2:$500,MATCH(A303,'ערכים טכנולוגיים'!$A$2:$500,0)),""))</f>
        <v/>
      </c>
      <c r="Q303" s="2">
        <f>IF($K303="","",IFERROR(INDEX('ערכים טכנולוגיים'!$N$2:$500,MATCH(A303,'ערכים טכנולוגיים'!$A$2:$500,0)),""))</f>
        <v/>
      </c>
    </row>
    <row r="304">
      <c r="A304" s="8">
        <f>IF($K304="","",INDEX(מלאי!$D$2:$500,$K304))</f>
        <v/>
      </c>
      <c r="B304" s="8">
        <f>IF($K304="","",INDEX(מלאי!$B$2:$500,$K304))</f>
        <v/>
      </c>
      <c r="C304" s="8">
        <f>IF($K304="","",INDEX(מלאי!$C$2:$500,$K304))</f>
        <v/>
      </c>
      <c r="D304" s="8">
        <f>IF($K304="","",INDEX(מלאי!$G$2:$500,$K304))</f>
        <v/>
      </c>
      <c r="E304" s="8">
        <f>IF($K304="","",INDEX(מלאי!$M$2:$500,$K304))</f>
        <v/>
      </c>
      <c r="F304" s="8">
        <f>IF($K304="","",INDEX(מלאי!$N$2:$500,$K304))</f>
        <v/>
      </c>
      <c r="G304" s="8">
        <f>IF($K304="","",INDEX(מלאי!$O$2:$500,$K304))</f>
        <v/>
      </c>
      <c r="H304" s="8">
        <f>IF($K304="","",INDEX(מלאי!$U$2:$500,$K304))</f>
        <v/>
      </c>
      <c r="I304" s="8">
        <f>IF($K304="","",INDEX(מלאי!$X$2:$500,$K304))</f>
        <v/>
      </c>
      <c r="J304" s="8">
        <f>IF($K304="","",INDEX(מלאי!$AC$2:$500,$K304))</f>
        <v/>
      </c>
      <c r="K30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טכנולוגיים'!$A$2:$500,0))&lt;=$G$6),0))),ROW(מלאי!$A$2:$A$500)-ROW(מלאי!$A$2)+1,""),282),"")</f>
        <v/>
      </c>
      <c r="L304" s="8">
        <f>IF($K304="","",IFERROR(INDEX('ערכים טכנולוגיים'!$K$2:$500,MATCH(A304,'ערכים טכנולוגיים'!$A$2:$500,0)),""))</f>
        <v/>
      </c>
      <c r="M304" s="8">
        <f>IF($K304="","",IFERROR(INDEX('ערכים טכנולוגיים'!$F$2:$500,MATCH(A304,'ערכים טכנולוגיים'!$A$2:$500,0)),""))</f>
        <v/>
      </c>
      <c r="N304" s="8">
        <f>IF($K304="","",IFERROR(INDEX('ערכים טכנולוגיים'!$I$2:$500,MATCH(A304,'ערכים טכנולוגיים'!$A$2:$500,0)),""))</f>
        <v/>
      </c>
      <c r="O304" s="8">
        <f>IF($K304="","",IFERROR(INDEX('ערכים טכנולוגיים'!$G$2:$500,MATCH(A304,'ערכים טכנולוגיים'!$A$2:$500,0)),""))</f>
        <v/>
      </c>
      <c r="P304" s="8">
        <f>IF($K304="","",IFERROR(INDEX('ערכים טכנולוגיים'!$J$2:$500,MATCH(A304,'ערכים טכנולוגיים'!$A$2:$500,0)),""))</f>
        <v/>
      </c>
      <c r="Q304" s="8">
        <f>IF($K304="","",IFERROR(INDEX('ערכים טכנולוגיים'!$N$2:$500,MATCH(A304,'ערכים טכנולוגיים'!$A$2:$500,0)),""))</f>
        <v/>
      </c>
    </row>
    <row r="305">
      <c r="A305" s="2">
        <f>IF($K305="","",INDEX(מלאי!$D$2:$500,$K305))</f>
        <v/>
      </c>
      <c r="B305" s="2">
        <f>IF($K305="","",INDEX(מלאי!$B$2:$500,$K305))</f>
        <v/>
      </c>
      <c r="C305" s="2">
        <f>IF($K305="","",INDEX(מלאי!$C$2:$500,$K305))</f>
        <v/>
      </c>
      <c r="D305" s="2">
        <f>IF($K305="","",INDEX(מלאי!$G$2:$500,$K305))</f>
        <v/>
      </c>
      <c r="E305" s="2">
        <f>IF($K305="","",INDEX(מלאי!$M$2:$500,$K305))</f>
        <v/>
      </c>
      <c r="F305" s="2">
        <f>IF($K305="","",INDEX(מלאי!$N$2:$500,$K305))</f>
        <v/>
      </c>
      <c r="G305" s="2">
        <f>IF($K305="","",INDEX(מלאי!$O$2:$500,$K305))</f>
        <v/>
      </c>
      <c r="H305" s="2">
        <f>IF($K305="","",INDEX(מלאי!$U$2:$500,$K305))</f>
        <v/>
      </c>
      <c r="I305" s="2">
        <f>IF($K305="","",INDEX(מלאי!$X$2:$500,$K305))</f>
        <v/>
      </c>
      <c r="J305" s="2">
        <f>IF($K305="","",INDEX(מלאי!$AC$2:$500,$K305))</f>
        <v/>
      </c>
      <c r="K30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טכנולוגיים'!$A$2:$500,0))&lt;=$G$6),0))),ROW(מלאי!$A$2:$A$500)-ROW(מלאי!$A$2)+1,""),283),"")</f>
        <v/>
      </c>
      <c r="L305" s="2">
        <f>IF($K305="","",IFERROR(INDEX('ערכים טכנולוגיים'!$K$2:$500,MATCH(A305,'ערכים טכנולוגיים'!$A$2:$500,0)),""))</f>
        <v/>
      </c>
      <c r="M305" s="2">
        <f>IF($K305="","",IFERROR(INDEX('ערכים טכנולוגיים'!$F$2:$500,MATCH(A305,'ערכים טכנולוגיים'!$A$2:$500,0)),""))</f>
        <v/>
      </c>
      <c r="N305" s="2">
        <f>IF($K305="","",IFERROR(INDEX('ערכים טכנולוגיים'!$I$2:$500,MATCH(A305,'ערכים טכנולוגיים'!$A$2:$500,0)),""))</f>
        <v/>
      </c>
      <c r="O305" s="2">
        <f>IF($K305="","",IFERROR(INDEX('ערכים טכנולוגיים'!$G$2:$500,MATCH(A305,'ערכים טכנולוגיים'!$A$2:$500,0)),""))</f>
        <v/>
      </c>
      <c r="P305" s="2">
        <f>IF($K305="","",IFERROR(INDEX('ערכים טכנולוגיים'!$J$2:$500,MATCH(A305,'ערכים טכנולוגיים'!$A$2:$500,0)),""))</f>
        <v/>
      </c>
      <c r="Q305" s="2">
        <f>IF($K305="","",IFERROR(INDEX('ערכים טכנולוגיים'!$N$2:$500,MATCH(A305,'ערכים טכנולוגיים'!$A$2:$500,0)),""))</f>
        <v/>
      </c>
    </row>
    <row r="306">
      <c r="A306" s="8">
        <f>IF($K306="","",INDEX(מלאי!$D$2:$500,$K306))</f>
        <v/>
      </c>
      <c r="B306" s="8">
        <f>IF($K306="","",INDEX(מלאי!$B$2:$500,$K306))</f>
        <v/>
      </c>
      <c r="C306" s="8">
        <f>IF($K306="","",INDEX(מלאי!$C$2:$500,$K306))</f>
        <v/>
      </c>
      <c r="D306" s="8">
        <f>IF($K306="","",INDEX(מלאי!$G$2:$500,$K306))</f>
        <v/>
      </c>
      <c r="E306" s="8">
        <f>IF($K306="","",INDEX(מלאי!$M$2:$500,$K306))</f>
        <v/>
      </c>
      <c r="F306" s="8">
        <f>IF($K306="","",INDEX(מלאי!$N$2:$500,$K306))</f>
        <v/>
      </c>
      <c r="G306" s="8">
        <f>IF($K306="","",INDEX(מלאי!$O$2:$500,$K306))</f>
        <v/>
      </c>
      <c r="H306" s="8">
        <f>IF($K306="","",INDEX(מלאי!$U$2:$500,$K306))</f>
        <v/>
      </c>
      <c r="I306" s="8">
        <f>IF($K306="","",INDEX(מלאי!$X$2:$500,$K306))</f>
        <v/>
      </c>
      <c r="J306" s="8">
        <f>IF($K306="","",INDEX(מלאי!$AC$2:$500,$K306))</f>
        <v/>
      </c>
      <c r="K30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טכנולוגיים'!$A$2:$500,0))&lt;=$G$6),0))),ROW(מלאי!$A$2:$A$500)-ROW(מלאי!$A$2)+1,""),284),"")</f>
        <v/>
      </c>
      <c r="L306" s="8">
        <f>IF($K306="","",IFERROR(INDEX('ערכים טכנולוגיים'!$K$2:$500,MATCH(A306,'ערכים טכנולוגיים'!$A$2:$500,0)),""))</f>
        <v/>
      </c>
      <c r="M306" s="8">
        <f>IF($K306="","",IFERROR(INDEX('ערכים טכנולוגיים'!$F$2:$500,MATCH(A306,'ערכים טכנולוגיים'!$A$2:$500,0)),""))</f>
        <v/>
      </c>
      <c r="N306" s="8">
        <f>IF($K306="","",IFERROR(INDEX('ערכים טכנולוגיים'!$I$2:$500,MATCH(A306,'ערכים טכנולוגיים'!$A$2:$500,0)),""))</f>
        <v/>
      </c>
      <c r="O306" s="8">
        <f>IF($K306="","",IFERROR(INDEX('ערכים טכנולוגיים'!$G$2:$500,MATCH(A306,'ערכים טכנולוגיים'!$A$2:$500,0)),""))</f>
        <v/>
      </c>
      <c r="P306" s="8">
        <f>IF($K306="","",IFERROR(INDEX('ערכים טכנולוגיים'!$J$2:$500,MATCH(A306,'ערכים טכנולוגיים'!$A$2:$500,0)),""))</f>
        <v/>
      </c>
      <c r="Q306" s="8">
        <f>IF($K306="","",IFERROR(INDEX('ערכים טכנולוגיים'!$N$2:$500,MATCH(A306,'ערכים טכנולוגיים'!$A$2:$500,0)),""))</f>
        <v/>
      </c>
    </row>
    <row r="307">
      <c r="A307" s="2">
        <f>IF($K307="","",INDEX(מלאי!$D$2:$500,$K307))</f>
        <v/>
      </c>
      <c r="B307" s="2">
        <f>IF($K307="","",INDEX(מלאי!$B$2:$500,$K307))</f>
        <v/>
      </c>
      <c r="C307" s="2">
        <f>IF($K307="","",INDEX(מלאי!$C$2:$500,$K307))</f>
        <v/>
      </c>
      <c r="D307" s="2">
        <f>IF($K307="","",INDEX(מלאי!$G$2:$500,$K307))</f>
        <v/>
      </c>
      <c r="E307" s="2">
        <f>IF($K307="","",INDEX(מלאי!$M$2:$500,$K307))</f>
        <v/>
      </c>
      <c r="F307" s="2">
        <f>IF($K307="","",INDEX(מלאי!$N$2:$500,$K307))</f>
        <v/>
      </c>
      <c r="G307" s="2">
        <f>IF($K307="","",INDEX(מלאי!$O$2:$500,$K307))</f>
        <v/>
      </c>
      <c r="H307" s="2">
        <f>IF($K307="","",INDEX(מלאי!$U$2:$500,$K307))</f>
        <v/>
      </c>
      <c r="I307" s="2">
        <f>IF($K307="","",INDEX(מלאי!$X$2:$500,$K307))</f>
        <v/>
      </c>
      <c r="J307" s="2">
        <f>IF($K307="","",INDEX(מלאי!$AC$2:$500,$K307))</f>
        <v/>
      </c>
      <c r="K30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טכנולוגיים'!$A$2:$500,0))&lt;=$G$6),0))),ROW(מלאי!$A$2:$A$500)-ROW(מלאי!$A$2)+1,""),285),"")</f>
        <v/>
      </c>
      <c r="L307" s="2">
        <f>IF($K307="","",IFERROR(INDEX('ערכים טכנולוגיים'!$K$2:$500,MATCH(A307,'ערכים טכנולוגיים'!$A$2:$500,0)),""))</f>
        <v/>
      </c>
      <c r="M307" s="2">
        <f>IF($K307="","",IFERROR(INDEX('ערכים טכנולוגיים'!$F$2:$500,MATCH(A307,'ערכים טכנולוגיים'!$A$2:$500,0)),""))</f>
        <v/>
      </c>
      <c r="N307" s="2">
        <f>IF($K307="","",IFERROR(INDEX('ערכים טכנולוגיים'!$I$2:$500,MATCH(A307,'ערכים טכנולוגיים'!$A$2:$500,0)),""))</f>
        <v/>
      </c>
      <c r="O307" s="2">
        <f>IF($K307="","",IFERROR(INDEX('ערכים טכנולוגיים'!$G$2:$500,MATCH(A307,'ערכים טכנולוגיים'!$A$2:$500,0)),""))</f>
        <v/>
      </c>
      <c r="P307" s="2">
        <f>IF($K307="","",IFERROR(INDEX('ערכים טכנולוגיים'!$J$2:$500,MATCH(A307,'ערכים טכנולוגיים'!$A$2:$500,0)),""))</f>
        <v/>
      </c>
      <c r="Q307" s="2">
        <f>IF($K307="","",IFERROR(INDEX('ערכים טכנולוגיים'!$N$2:$500,MATCH(A307,'ערכים טכנולוגיים'!$A$2:$500,0)),""))</f>
        <v/>
      </c>
    </row>
    <row r="308">
      <c r="A308" s="8">
        <f>IF($K308="","",INDEX(מלאי!$D$2:$500,$K308))</f>
        <v/>
      </c>
      <c r="B308" s="8">
        <f>IF($K308="","",INDEX(מלאי!$B$2:$500,$K308))</f>
        <v/>
      </c>
      <c r="C308" s="8">
        <f>IF($K308="","",INDEX(מלאי!$C$2:$500,$K308))</f>
        <v/>
      </c>
      <c r="D308" s="8">
        <f>IF($K308="","",INDEX(מלאי!$G$2:$500,$K308))</f>
        <v/>
      </c>
      <c r="E308" s="8">
        <f>IF($K308="","",INDEX(מלאי!$M$2:$500,$K308))</f>
        <v/>
      </c>
      <c r="F308" s="8">
        <f>IF($K308="","",INDEX(מלאי!$N$2:$500,$K308))</f>
        <v/>
      </c>
      <c r="G308" s="8">
        <f>IF($K308="","",INDEX(מלאי!$O$2:$500,$K308))</f>
        <v/>
      </c>
      <c r="H308" s="8">
        <f>IF($K308="","",INDEX(מלאי!$U$2:$500,$K308))</f>
        <v/>
      </c>
      <c r="I308" s="8">
        <f>IF($K308="","",INDEX(מלאי!$X$2:$500,$K308))</f>
        <v/>
      </c>
      <c r="J308" s="8">
        <f>IF($K308="","",INDEX(מלאי!$AC$2:$500,$K308))</f>
        <v/>
      </c>
      <c r="K30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טכנולוגיים'!$A$2:$500,0))&lt;=$G$6),0))),ROW(מלאי!$A$2:$A$500)-ROW(מלאי!$A$2)+1,""),286),"")</f>
        <v/>
      </c>
      <c r="L308" s="8">
        <f>IF($K308="","",IFERROR(INDEX('ערכים טכנולוגיים'!$K$2:$500,MATCH(A308,'ערכים טכנולוגיים'!$A$2:$500,0)),""))</f>
        <v/>
      </c>
      <c r="M308" s="8">
        <f>IF($K308="","",IFERROR(INDEX('ערכים טכנולוגיים'!$F$2:$500,MATCH(A308,'ערכים טכנולוגיים'!$A$2:$500,0)),""))</f>
        <v/>
      </c>
      <c r="N308" s="8">
        <f>IF($K308="","",IFERROR(INDEX('ערכים טכנולוגיים'!$I$2:$500,MATCH(A308,'ערכים טכנולוגיים'!$A$2:$500,0)),""))</f>
        <v/>
      </c>
      <c r="O308" s="8">
        <f>IF($K308="","",IFERROR(INDEX('ערכים טכנולוגיים'!$G$2:$500,MATCH(A308,'ערכים טכנולוגיים'!$A$2:$500,0)),""))</f>
        <v/>
      </c>
      <c r="P308" s="8">
        <f>IF($K308="","",IFERROR(INDEX('ערכים טכנולוגיים'!$J$2:$500,MATCH(A308,'ערכים טכנולוגיים'!$A$2:$500,0)),""))</f>
        <v/>
      </c>
      <c r="Q308" s="8">
        <f>IF($K308="","",IFERROR(INDEX('ערכים טכנולוגיים'!$N$2:$500,MATCH(A308,'ערכים טכנולוגיים'!$A$2:$500,0)),""))</f>
        <v/>
      </c>
    </row>
    <row r="309">
      <c r="A309" s="2">
        <f>IF($K309="","",INDEX(מלאי!$D$2:$500,$K309))</f>
        <v/>
      </c>
      <c r="B309" s="2">
        <f>IF($K309="","",INDEX(מלאי!$B$2:$500,$K309))</f>
        <v/>
      </c>
      <c r="C309" s="2">
        <f>IF($K309="","",INDEX(מלאי!$C$2:$500,$K309))</f>
        <v/>
      </c>
      <c r="D309" s="2">
        <f>IF($K309="","",INDEX(מלאי!$G$2:$500,$K309))</f>
        <v/>
      </c>
      <c r="E309" s="2">
        <f>IF($K309="","",INDEX(מלאי!$M$2:$500,$K309))</f>
        <v/>
      </c>
      <c r="F309" s="2">
        <f>IF($K309="","",INDEX(מלאי!$N$2:$500,$K309))</f>
        <v/>
      </c>
      <c r="G309" s="2">
        <f>IF($K309="","",INDEX(מלאי!$O$2:$500,$K309))</f>
        <v/>
      </c>
      <c r="H309" s="2">
        <f>IF($K309="","",INDEX(מלאי!$U$2:$500,$K309))</f>
        <v/>
      </c>
      <c r="I309" s="2">
        <f>IF($K309="","",INDEX(מלאי!$X$2:$500,$K309))</f>
        <v/>
      </c>
      <c r="J309" s="2">
        <f>IF($K309="","",INDEX(מלאי!$AC$2:$500,$K309))</f>
        <v/>
      </c>
      <c r="K30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טכנולוגיים'!$A$2:$500,0))&lt;=$G$6),0))),ROW(מלאי!$A$2:$A$500)-ROW(מלאי!$A$2)+1,""),287),"")</f>
        <v/>
      </c>
      <c r="L309" s="2">
        <f>IF($K309="","",IFERROR(INDEX('ערכים טכנולוגיים'!$K$2:$500,MATCH(A309,'ערכים טכנולוגיים'!$A$2:$500,0)),""))</f>
        <v/>
      </c>
      <c r="M309" s="2">
        <f>IF($K309="","",IFERROR(INDEX('ערכים טכנולוגיים'!$F$2:$500,MATCH(A309,'ערכים טכנולוגיים'!$A$2:$500,0)),""))</f>
        <v/>
      </c>
      <c r="N309" s="2">
        <f>IF($K309="","",IFERROR(INDEX('ערכים טכנולוגיים'!$I$2:$500,MATCH(A309,'ערכים טכנולוגיים'!$A$2:$500,0)),""))</f>
        <v/>
      </c>
      <c r="O309" s="2">
        <f>IF($K309="","",IFERROR(INDEX('ערכים טכנולוגיים'!$G$2:$500,MATCH(A309,'ערכים טכנולוגיים'!$A$2:$500,0)),""))</f>
        <v/>
      </c>
      <c r="P309" s="2">
        <f>IF($K309="","",IFERROR(INDEX('ערכים טכנולוגיים'!$J$2:$500,MATCH(A309,'ערכים טכנולוגיים'!$A$2:$500,0)),""))</f>
        <v/>
      </c>
      <c r="Q309" s="2">
        <f>IF($K309="","",IFERROR(INDEX('ערכים טכנולוגיים'!$N$2:$500,MATCH(A309,'ערכים טכנולוגיים'!$A$2:$500,0)),""))</f>
        <v/>
      </c>
    </row>
    <row r="310">
      <c r="A310" s="8">
        <f>IF($K310="","",INDEX(מלאי!$D$2:$500,$K310))</f>
        <v/>
      </c>
      <c r="B310" s="8">
        <f>IF($K310="","",INDEX(מלאי!$B$2:$500,$K310))</f>
        <v/>
      </c>
      <c r="C310" s="8">
        <f>IF($K310="","",INDEX(מלאי!$C$2:$500,$K310))</f>
        <v/>
      </c>
      <c r="D310" s="8">
        <f>IF($K310="","",INDEX(מלאי!$G$2:$500,$K310))</f>
        <v/>
      </c>
      <c r="E310" s="8">
        <f>IF($K310="","",INDEX(מלאי!$M$2:$500,$K310))</f>
        <v/>
      </c>
      <c r="F310" s="8">
        <f>IF($K310="","",INDEX(מלאי!$N$2:$500,$K310))</f>
        <v/>
      </c>
      <c r="G310" s="8">
        <f>IF($K310="","",INDEX(מלאי!$O$2:$500,$K310))</f>
        <v/>
      </c>
      <c r="H310" s="8">
        <f>IF($K310="","",INDEX(מלאי!$U$2:$500,$K310))</f>
        <v/>
      </c>
      <c r="I310" s="8">
        <f>IF($K310="","",INDEX(מלאי!$X$2:$500,$K310))</f>
        <v/>
      </c>
      <c r="J310" s="8">
        <f>IF($K310="","",INDEX(מלאי!$AC$2:$500,$K310))</f>
        <v/>
      </c>
      <c r="K31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טכנולוגיים'!$A$2:$500,0))&lt;=$G$6),0))),ROW(מלאי!$A$2:$A$500)-ROW(מלאי!$A$2)+1,""),288),"")</f>
        <v/>
      </c>
      <c r="L310" s="8">
        <f>IF($K310="","",IFERROR(INDEX('ערכים טכנולוגיים'!$K$2:$500,MATCH(A310,'ערכים טכנולוגיים'!$A$2:$500,0)),""))</f>
        <v/>
      </c>
      <c r="M310" s="8">
        <f>IF($K310="","",IFERROR(INDEX('ערכים טכנולוגיים'!$F$2:$500,MATCH(A310,'ערכים טכנולוגיים'!$A$2:$500,0)),""))</f>
        <v/>
      </c>
      <c r="N310" s="8">
        <f>IF($K310="","",IFERROR(INDEX('ערכים טכנולוגיים'!$I$2:$500,MATCH(A310,'ערכים טכנולוגיים'!$A$2:$500,0)),""))</f>
        <v/>
      </c>
      <c r="O310" s="8">
        <f>IF($K310="","",IFERROR(INDEX('ערכים טכנולוגיים'!$G$2:$500,MATCH(A310,'ערכים טכנולוגיים'!$A$2:$500,0)),""))</f>
        <v/>
      </c>
      <c r="P310" s="8">
        <f>IF($K310="","",IFERROR(INDEX('ערכים טכנולוגיים'!$J$2:$500,MATCH(A310,'ערכים טכנולוגיים'!$A$2:$500,0)),""))</f>
        <v/>
      </c>
      <c r="Q310" s="8">
        <f>IF($K310="","",IFERROR(INDEX('ערכים טכנולוגיים'!$N$2:$500,MATCH(A310,'ערכים טכנולוגיים'!$A$2:$500,0)),""))</f>
        <v/>
      </c>
    </row>
    <row r="311">
      <c r="A311" s="2">
        <f>IF($K311="","",INDEX(מלאי!$D$2:$500,$K311))</f>
        <v/>
      </c>
      <c r="B311" s="2">
        <f>IF($K311="","",INDEX(מלאי!$B$2:$500,$K311))</f>
        <v/>
      </c>
      <c r="C311" s="2">
        <f>IF($K311="","",INDEX(מלאי!$C$2:$500,$K311))</f>
        <v/>
      </c>
      <c r="D311" s="2">
        <f>IF($K311="","",INDEX(מלאי!$G$2:$500,$K311))</f>
        <v/>
      </c>
      <c r="E311" s="2">
        <f>IF($K311="","",INDEX(מלאי!$M$2:$500,$K311))</f>
        <v/>
      </c>
      <c r="F311" s="2">
        <f>IF($K311="","",INDEX(מלאי!$N$2:$500,$K311))</f>
        <v/>
      </c>
      <c r="G311" s="2">
        <f>IF($K311="","",INDEX(מלאי!$O$2:$500,$K311))</f>
        <v/>
      </c>
      <c r="H311" s="2">
        <f>IF($K311="","",INDEX(מלאי!$U$2:$500,$K311))</f>
        <v/>
      </c>
      <c r="I311" s="2">
        <f>IF($K311="","",INDEX(מלאי!$X$2:$500,$K311))</f>
        <v/>
      </c>
      <c r="J311" s="2">
        <f>IF($K311="","",INDEX(מלאי!$AC$2:$500,$K311))</f>
        <v/>
      </c>
      <c r="K31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טכנולוגיים'!$A$2:$500,0))&lt;=$G$6),0))),ROW(מלאי!$A$2:$A$500)-ROW(מלאי!$A$2)+1,""),289),"")</f>
        <v/>
      </c>
      <c r="L311" s="2">
        <f>IF($K311="","",IFERROR(INDEX('ערכים טכנולוגיים'!$K$2:$500,MATCH(A311,'ערכים טכנולוגיים'!$A$2:$500,0)),""))</f>
        <v/>
      </c>
      <c r="M311" s="2">
        <f>IF($K311="","",IFERROR(INDEX('ערכים טכנולוגיים'!$F$2:$500,MATCH(A311,'ערכים טכנולוגיים'!$A$2:$500,0)),""))</f>
        <v/>
      </c>
      <c r="N311" s="2">
        <f>IF($K311="","",IFERROR(INDEX('ערכים טכנולוגיים'!$I$2:$500,MATCH(A311,'ערכים טכנולוגיים'!$A$2:$500,0)),""))</f>
        <v/>
      </c>
      <c r="O311" s="2">
        <f>IF($K311="","",IFERROR(INDEX('ערכים טכנולוגיים'!$G$2:$500,MATCH(A311,'ערכים טכנולוגיים'!$A$2:$500,0)),""))</f>
        <v/>
      </c>
      <c r="P311" s="2">
        <f>IF($K311="","",IFERROR(INDEX('ערכים טכנולוגיים'!$J$2:$500,MATCH(A311,'ערכים טכנולוגיים'!$A$2:$500,0)),""))</f>
        <v/>
      </c>
      <c r="Q311" s="2">
        <f>IF($K311="","",IFERROR(INDEX('ערכים טכנולוגיים'!$N$2:$500,MATCH(A311,'ערכים טכנולוגיים'!$A$2:$500,0)),""))</f>
        <v/>
      </c>
    </row>
    <row r="312">
      <c r="A312" s="8">
        <f>IF($K312="","",INDEX(מלאי!$D$2:$500,$K312))</f>
        <v/>
      </c>
      <c r="B312" s="8">
        <f>IF($K312="","",INDEX(מלאי!$B$2:$500,$K312))</f>
        <v/>
      </c>
      <c r="C312" s="8">
        <f>IF($K312="","",INDEX(מלאי!$C$2:$500,$K312))</f>
        <v/>
      </c>
      <c r="D312" s="8">
        <f>IF($K312="","",INDEX(מלאי!$G$2:$500,$K312))</f>
        <v/>
      </c>
      <c r="E312" s="8">
        <f>IF($K312="","",INDEX(מלאי!$M$2:$500,$K312))</f>
        <v/>
      </c>
      <c r="F312" s="8">
        <f>IF($K312="","",INDEX(מלאי!$N$2:$500,$K312))</f>
        <v/>
      </c>
      <c r="G312" s="8">
        <f>IF($K312="","",INDEX(מלאי!$O$2:$500,$K312))</f>
        <v/>
      </c>
      <c r="H312" s="8">
        <f>IF($K312="","",INDEX(מלאי!$U$2:$500,$K312))</f>
        <v/>
      </c>
      <c r="I312" s="8">
        <f>IF($K312="","",INDEX(מלאי!$X$2:$500,$K312))</f>
        <v/>
      </c>
      <c r="J312" s="8">
        <f>IF($K312="","",INDEX(מלאי!$AC$2:$500,$K312))</f>
        <v/>
      </c>
      <c r="K31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טכנולוגיים'!$A$2:$500,0))&lt;=$G$6),0))),ROW(מלאי!$A$2:$A$500)-ROW(מלאי!$A$2)+1,""),290),"")</f>
        <v/>
      </c>
      <c r="L312" s="8">
        <f>IF($K312="","",IFERROR(INDEX('ערכים טכנולוגיים'!$K$2:$500,MATCH(A312,'ערכים טכנולוגיים'!$A$2:$500,0)),""))</f>
        <v/>
      </c>
      <c r="M312" s="8">
        <f>IF($K312="","",IFERROR(INDEX('ערכים טכנולוגיים'!$F$2:$500,MATCH(A312,'ערכים טכנולוגיים'!$A$2:$500,0)),""))</f>
        <v/>
      </c>
      <c r="N312" s="8">
        <f>IF($K312="","",IFERROR(INDEX('ערכים טכנולוגיים'!$I$2:$500,MATCH(A312,'ערכים טכנולוגיים'!$A$2:$500,0)),""))</f>
        <v/>
      </c>
      <c r="O312" s="8">
        <f>IF($K312="","",IFERROR(INDEX('ערכים טכנולוגיים'!$G$2:$500,MATCH(A312,'ערכים טכנולוגיים'!$A$2:$500,0)),""))</f>
        <v/>
      </c>
      <c r="P312" s="8">
        <f>IF($K312="","",IFERROR(INDEX('ערכים טכנולוגיים'!$J$2:$500,MATCH(A312,'ערכים טכנולוגיים'!$A$2:$500,0)),""))</f>
        <v/>
      </c>
      <c r="Q312" s="8">
        <f>IF($K312="","",IFERROR(INDEX('ערכים טכנולוגיים'!$N$2:$500,MATCH(A312,'ערכים טכנולוגיים'!$A$2:$500,0)),""))</f>
        <v/>
      </c>
    </row>
    <row r="313">
      <c r="A313" s="2">
        <f>IF($K313="","",INDEX(מלאי!$D$2:$500,$K313))</f>
        <v/>
      </c>
      <c r="B313" s="2">
        <f>IF($K313="","",INDEX(מלאי!$B$2:$500,$K313))</f>
        <v/>
      </c>
      <c r="C313" s="2">
        <f>IF($K313="","",INDEX(מלאי!$C$2:$500,$K313))</f>
        <v/>
      </c>
      <c r="D313" s="2">
        <f>IF($K313="","",INDEX(מלאי!$G$2:$500,$K313))</f>
        <v/>
      </c>
      <c r="E313" s="2">
        <f>IF($K313="","",INDEX(מלאי!$M$2:$500,$K313))</f>
        <v/>
      </c>
      <c r="F313" s="2">
        <f>IF($K313="","",INDEX(מלאי!$N$2:$500,$K313))</f>
        <v/>
      </c>
      <c r="G313" s="2">
        <f>IF($K313="","",INDEX(מלאי!$O$2:$500,$K313))</f>
        <v/>
      </c>
      <c r="H313" s="2">
        <f>IF($K313="","",INDEX(מלאי!$U$2:$500,$K313))</f>
        <v/>
      </c>
      <c r="I313" s="2">
        <f>IF($K313="","",INDEX(מלאי!$X$2:$500,$K313))</f>
        <v/>
      </c>
      <c r="J313" s="2">
        <f>IF($K313="","",INDEX(מלאי!$AC$2:$500,$K313))</f>
        <v/>
      </c>
      <c r="K313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טכנולוגיים'!$A$2:$500,0))&lt;=$G$6),0))),ROW(מלאי!$A$2:$A$500)-ROW(מלאי!$A$2)+1,""),291),"")</f>
        <v/>
      </c>
      <c r="L313" s="2">
        <f>IF($K313="","",IFERROR(INDEX('ערכים טכנולוגיים'!$K$2:$500,MATCH(A313,'ערכים טכנולוגיים'!$A$2:$500,0)),""))</f>
        <v/>
      </c>
      <c r="M313" s="2">
        <f>IF($K313="","",IFERROR(INDEX('ערכים טכנולוגיים'!$F$2:$500,MATCH(A313,'ערכים טכנולוגיים'!$A$2:$500,0)),""))</f>
        <v/>
      </c>
      <c r="N313" s="2">
        <f>IF($K313="","",IFERROR(INDEX('ערכים טכנולוגיים'!$I$2:$500,MATCH(A313,'ערכים טכנולוגיים'!$A$2:$500,0)),""))</f>
        <v/>
      </c>
      <c r="O313" s="2">
        <f>IF($K313="","",IFERROR(INDEX('ערכים טכנולוגיים'!$G$2:$500,MATCH(A313,'ערכים טכנולוגיים'!$A$2:$500,0)),""))</f>
        <v/>
      </c>
      <c r="P313" s="2">
        <f>IF($K313="","",IFERROR(INDEX('ערכים טכנולוגיים'!$J$2:$500,MATCH(A313,'ערכים טכנולוגיים'!$A$2:$500,0)),""))</f>
        <v/>
      </c>
      <c r="Q313" s="2">
        <f>IF($K313="","",IFERROR(INDEX('ערכים טכנולוגיים'!$N$2:$500,MATCH(A313,'ערכים טכנולוגיים'!$A$2:$500,0)),""))</f>
        <v/>
      </c>
    </row>
    <row r="314">
      <c r="A314" s="8">
        <f>IF($K314="","",INDEX(מלאי!$D$2:$500,$K314))</f>
        <v/>
      </c>
      <c r="B314" s="8">
        <f>IF($K314="","",INDEX(מלאי!$B$2:$500,$K314))</f>
        <v/>
      </c>
      <c r="C314" s="8">
        <f>IF($K314="","",INDEX(מלאי!$C$2:$500,$K314))</f>
        <v/>
      </c>
      <c r="D314" s="8">
        <f>IF($K314="","",INDEX(מלאי!$G$2:$500,$K314))</f>
        <v/>
      </c>
      <c r="E314" s="8">
        <f>IF($K314="","",INDEX(מלאי!$M$2:$500,$K314))</f>
        <v/>
      </c>
      <c r="F314" s="8">
        <f>IF($K314="","",INDEX(מלאי!$N$2:$500,$K314))</f>
        <v/>
      </c>
      <c r="G314" s="8">
        <f>IF($K314="","",INDEX(מלאי!$O$2:$500,$K314))</f>
        <v/>
      </c>
      <c r="H314" s="8">
        <f>IF($K314="","",INDEX(מלאי!$U$2:$500,$K314))</f>
        <v/>
      </c>
      <c r="I314" s="8">
        <f>IF($K314="","",INDEX(מלאי!$X$2:$500,$K314))</f>
        <v/>
      </c>
      <c r="J314" s="8">
        <f>IF($K314="","",INDEX(מלאי!$AC$2:$500,$K314))</f>
        <v/>
      </c>
      <c r="K314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טכנולוגיים'!$A$2:$500,0))&lt;=$G$6),0))),ROW(מלאי!$A$2:$A$500)-ROW(מלאי!$A$2)+1,""),292),"")</f>
        <v/>
      </c>
      <c r="L314" s="8">
        <f>IF($K314="","",IFERROR(INDEX('ערכים טכנולוגיים'!$K$2:$500,MATCH(A314,'ערכים טכנולוגיים'!$A$2:$500,0)),""))</f>
        <v/>
      </c>
      <c r="M314" s="8">
        <f>IF($K314="","",IFERROR(INDEX('ערכים טכנולוגיים'!$F$2:$500,MATCH(A314,'ערכים טכנולוגיים'!$A$2:$500,0)),""))</f>
        <v/>
      </c>
      <c r="N314" s="8">
        <f>IF($K314="","",IFERROR(INDEX('ערכים טכנולוגיים'!$I$2:$500,MATCH(A314,'ערכים טכנולוגיים'!$A$2:$500,0)),""))</f>
        <v/>
      </c>
      <c r="O314" s="8">
        <f>IF($K314="","",IFERROR(INDEX('ערכים טכנולוגיים'!$G$2:$500,MATCH(A314,'ערכים טכנולוגיים'!$A$2:$500,0)),""))</f>
        <v/>
      </c>
      <c r="P314" s="8">
        <f>IF($K314="","",IFERROR(INDEX('ערכים טכנולוגיים'!$J$2:$500,MATCH(A314,'ערכים טכנולוגיים'!$A$2:$500,0)),""))</f>
        <v/>
      </c>
      <c r="Q314" s="8">
        <f>IF($K314="","",IFERROR(INDEX('ערכים טכנולוגיים'!$N$2:$500,MATCH(A314,'ערכים טכנולוגיים'!$A$2:$500,0)),""))</f>
        <v/>
      </c>
    </row>
    <row r="315">
      <c r="A315" s="2">
        <f>IF($K315="","",INDEX(מלאי!$D$2:$500,$K315))</f>
        <v/>
      </c>
      <c r="B315" s="2">
        <f>IF($K315="","",INDEX(מלאי!$B$2:$500,$K315))</f>
        <v/>
      </c>
      <c r="C315" s="2">
        <f>IF($K315="","",INDEX(מלאי!$C$2:$500,$K315))</f>
        <v/>
      </c>
      <c r="D315" s="2">
        <f>IF($K315="","",INDEX(מלאי!$G$2:$500,$K315))</f>
        <v/>
      </c>
      <c r="E315" s="2">
        <f>IF($K315="","",INDEX(מלאי!$M$2:$500,$K315))</f>
        <v/>
      </c>
      <c r="F315" s="2">
        <f>IF($K315="","",INDEX(מלאי!$N$2:$500,$K315))</f>
        <v/>
      </c>
      <c r="G315" s="2">
        <f>IF($K315="","",INDEX(מלאי!$O$2:$500,$K315))</f>
        <v/>
      </c>
      <c r="H315" s="2">
        <f>IF($K315="","",INDEX(מלאי!$U$2:$500,$K315))</f>
        <v/>
      </c>
      <c r="I315" s="2">
        <f>IF($K315="","",INDEX(מלאי!$X$2:$500,$K315))</f>
        <v/>
      </c>
      <c r="J315" s="2">
        <f>IF($K315="","",INDEX(מלאי!$AC$2:$500,$K315))</f>
        <v/>
      </c>
      <c r="K315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טכנולוגיים'!$A$2:$500,0))&lt;=$G$6),0))),ROW(מלאי!$A$2:$A$500)-ROW(מלאי!$A$2)+1,""),293),"")</f>
        <v/>
      </c>
      <c r="L315" s="2">
        <f>IF($K315="","",IFERROR(INDEX('ערכים טכנולוגיים'!$K$2:$500,MATCH(A315,'ערכים טכנולוגיים'!$A$2:$500,0)),""))</f>
        <v/>
      </c>
      <c r="M315" s="2">
        <f>IF($K315="","",IFERROR(INDEX('ערכים טכנולוגיים'!$F$2:$500,MATCH(A315,'ערכים טכנולוגיים'!$A$2:$500,0)),""))</f>
        <v/>
      </c>
      <c r="N315" s="2">
        <f>IF($K315="","",IFERROR(INDEX('ערכים טכנולוגיים'!$I$2:$500,MATCH(A315,'ערכים טכנולוגיים'!$A$2:$500,0)),""))</f>
        <v/>
      </c>
      <c r="O315" s="2">
        <f>IF($K315="","",IFERROR(INDEX('ערכים טכנולוגיים'!$G$2:$500,MATCH(A315,'ערכים טכנולוגיים'!$A$2:$500,0)),""))</f>
        <v/>
      </c>
      <c r="P315" s="2">
        <f>IF($K315="","",IFERROR(INDEX('ערכים טכנולוגיים'!$J$2:$500,MATCH(A315,'ערכים טכנולוגיים'!$A$2:$500,0)),""))</f>
        <v/>
      </c>
      <c r="Q315" s="2">
        <f>IF($K315="","",IFERROR(INDEX('ערכים טכנולוגיים'!$N$2:$500,MATCH(A315,'ערכים טכנולוגיים'!$A$2:$500,0)),""))</f>
        <v/>
      </c>
    </row>
    <row r="316">
      <c r="A316" s="8">
        <f>IF($K316="","",INDEX(מלאי!$D$2:$500,$K316))</f>
        <v/>
      </c>
      <c r="B316" s="8">
        <f>IF($K316="","",INDEX(מלאי!$B$2:$500,$K316))</f>
        <v/>
      </c>
      <c r="C316" s="8">
        <f>IF($K316="","",INDEX(מלאי!$C$2:$500,$K316))</f>
        <v/>
      </c>
      <c r="D316" s="8">
        <f>IF($K316="","",INDEX(מלאי!$G$2:$500,$K316))</f>
        <v/>
      </c>
      <c r="E316" s="8">
        <f>IF($K316="","",INDEX(מלאי!$M$2:$500,$K316))</f>
        <v/>
      </c>
      <c r="F316" s="8">
        <f>IF($K316="","",INDEX(מלאי!$N$2:$500,$K316))</f>
        <v/>
      </c>
      <c r="G316" s="8">
        <f>IF($K316="","",INDEX(מלאי!$O$2:$500,$K316))</f>
        <v/>
      </c>
      <c r="H316" s="8">
        <f>IF($K316="","",INDEX(מלאי!$U$2:$500,$K316))</f>
        <v/>
      </c>
      <c r="I316" s="8">
        <f>IF($K316="","",INDEX(מלאי!$X$2:$500,$K316))</f>
        <v/>
      </c>
      <c r="J316" s="8">
        <f>IF($K316="","",INDEX(מלאי!$AC$2:$500,$K316))</f>
        <v/>
      </c>
      <c r="K316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טכנולוגיים'!$A$2:$500,0))&lt;=$G$6),0))),ROW(מלאי!$A$2:$A$500)-ROW(מלאי!$A$2)+1,""),294),"")</f>
        <v/>
      </c>
      <c r="L316" s="8">
        <f>IF($K316="","",IFERROR(INDEX('ערכים טכנולוגיים'!$K$2:$500,MATCH(A316,'ערכים טכנולוגיים'!$A$2:$500,0)),""))</f>
        <v/>
      </c>
      <c r="M316" s="8">
        <f>IF($K316="","",IFERROR(INDEX('ערכים טכנולוגיים'!$F$2:$500,MATCH(A316,'ערכים טכנולוגיים'!$A$2:$500,0)),""))</f>
        <v/>
      </c>
      <c r="N316" s="8">
        <f>IF($K316="","",IFERROR(INDEX('ערכים טכנולוגיים'!$I$2:$500,MATCH(A316,'ערכים טכנולוגיים'!$A$2:$500,0)),""))</f>
        <v/>
      </c>
      <c r="O316" s="8">
        <f>IF($K316="","",IFERROR(INDEX('ערכים טכנולוגיים'!$G$2:$500,MATCH(A316,'ערכים טכנולוגיים'!$A$2:$500,0)),""))</f>
        <v/>
      </c>
      <c r="P316" s="8">
        <f>IF($K316="","",IFERROR(INDEX('ערכים טכנולוגיים'!$J$2:$500,MATCH(A316,'ערכים טכנולוגיים'!$A$2:$500,0)),""))</f>
        <v/>
      </c>
      <c r="Q316" s="8">
        <f>IF($K316="","",IFERROR(INDEX('ערכים טכנולוגיים'!$N$2:$500,MATCH(A316,'ערכים טכנולוגיים'!$A$2:$500,0)),""))</f>
        <v/>
      </c>
    </row>
    <row r="317">
      <c r="A317" s="2">
        <f>IF($K317="","",INDEX(מלאי!$D$2:$500,$K317))</f>
        <v/>
      </c>
      <c r="B317" s="2">
        <f>IF($K317="","",INDEX(מלאי!$B$2:$500,$K317))</f>
        <v/>
      </c>
      <c r="C317" s="2">
        <f>IF($K317="","",INDEX(מלאי!$C$2:$500,$K317))</f>
        <v/>
      </c>
      <c r="D317" s="2">
        <f>IF($K317="","",INDEX(מלאי!$G$2:$500,$K317))</f>
        <v/>
      </c>
      <c r="E317" s="2">
        <f>IF($K317="","",INDEX(מלאי!$M$2:$500,$K317))</f>
        <v/>
      </c>
      <c r="F317" s="2">
        <f>IF($K317="","",INDEX(מלאי!$N$2:$500,$K317))</f>
        <v/>
      </c>
      <c r="G317" s="2">
        <f>IF($K317="","",INDEX(מלאי!$O$2:$500,$K317))</f>
        <v/>
      </c>
      <c r="H317" s="2">
        <f>IF($K317="","",INDEX(מלאי!$U$2:$500,$K317))</f>
        <v/>
      </c>
      <c r="I317" s="2">
        <f>IF($K317="","",INDEX(מלאי!$X$2:$500,$K317))</f>
        <v/>
      </c>
      <c r="J317" s="2">
        <f>IF($K317="","",INDEX(מלאי!$AC$2:$500,$K317))</f>
        <v/>
      </c>
      <c r="K317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טכנולוגיים'!$A$2:$500,0))&lt;=$G$6),0))),ROW(מלאי!$A$2:$A$500)-ROW(מלאי!$A$2)+1,""),295),"")</f>
        <v/>
      </c>
      <c r="L317" s="2">
        <f>IF($K317="","",IFERROR(INDEX('ערכים טכנולוגיים'!$K$2:$500,MATCH(A317,'ערכים טכנולוגיים'!$A$2:$500,0)),""))</f>
        <v/>
      </c>
      <c r="M317" s="2">
        <f>IF($K317="","",IFERROR(INDEX('ערכים טכנולוגיים'!$F$2:$500,MATCH(A317,'ערכים טכנולוגיים'!$A$2:$500,0)),""))</f>
        <v/>
      </c>
      <c r="N317" s="2">
        <f>IF($K317="","",IFERROR(INDEX('ערכים טכנולוגיים'!$I$2:$500,MATCH(A317,'ערכים טכנולוגיים'!$A$2:$500,0)),""))</f>
        <v/>
      </c>
      <c r="O317" s="2">
        <f>IF($K317="","",IFERROR(INDEX('ערכים טכנולוגיים'!$G$2:$500,MATCH(A317,'ערכים טכנולוגיים'!$A$2:$500,0)),""))</f>
        <v/>
      </c>
      <c r="P317" s="2">
        <f>IF($K317="","",IFERROR(INDEX('ערכים טכנולוגיים'!$J$2:$500,MATCH(A317,'ערכים טכנולוגיים'!$A$2:$500,0)),""))</f>
        <v/>
      </c>
      <c r="Q317" s="2">
        <f>IF($K317="","",IFERROR(INDEX('ערכים טכנולוגיים'!$N$2:$500,MATCH(A317,'ערכים טכנולוגיים'!$A$2:$500,0)),""))</f>
        <v/>
      </c>
    </row>
    <row r="318">
      <c r="A318" s="8">
        <f>IF($K318="","",INDEX(מלאי!$D$2:$500,$K318))</f>
        <v/>
      </c>
      <c r="B318" s="8">
        <f>IF($K318="","",INDEX(מלאי!$B$2:$500,$K318))</f>
        <v/>
      </c>
      <c r="C318" s="8">
        <f>IF($K318="","",INDEX(מלאי!$C$2:$500,$K318))</f>
        <v/>
      </c>
      <c r="D318" s="8">
        <f>IF($K318="","",INDEX(מלאי!$G$2:$500,$K318))</f>
        <v/>
      </c>
      <c r="E318" s="8">
        <f>IF($K318="","",INDEX(מלאי!$M$2:$500,$K318))</f>
        <v/>
      </c>
      <c r="F318" s="8">
        <f>IF($K318="","",INDEX(מלאי!$N$2:$500,$K318))</f>
        <v/>
      </c>
      <c r="G318" s="8">
        <f>IF($K318="","",INDEX(מלאי!$O$2:$500,$K318))</f>
        <v/>
      </c>
      <c r="H318" s="8">
        <f>IF($K318="","",INDEX(מלאי!$U$2:$500,$K318))</f>
        <v/>
      </c>
      <c r="I318" s="8">
        <f>IF($K318="","",INDEX(מלאי!$X$2:$500,$K318))</f>
        <v/>
      </c>
      <c r="J318" s="8">
        <f>IF($K318="","",INDEX(מלאי!$AC$2:$500,$K318))</f>
        <v/>
      </c>
      <c r="K318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טכנולוגיים'!$A$2:$500,0))&lt;=$G$6),0))),ROW(מלאי!$A$2:$A$500)-ROW(מלאי!$A$2)+1,""),296),"")</f>
        <v/>
      </c>
      <c r="L318" s="8">
        <f>IF($K318="","",IFERROR(INDEX('ערכים טכנולוגיים'!$K$2:$500,MATCH(A318,'ערכים טכנולוגיים'!$A$2:$500,0)),""))</f>
        <v/>
      </c>
      <c r="M318" s="8">
        <f>IF($K318="","",IFERROR(INDEX('ערכים טכנולוגיים'!$F$2:$500,MATCH(A318,'ערכים טכנולוגיים'!$A$2:$500,0)),""))</f>
        <v/>
      </c>
      <c r="N318" s="8">
        <f>IF($K318="","",IFERROR(INDEX('ערכים טכנולוגיים'!$I$2:$500,MATCH(A318,'ערכים טכנולוגיים'!$A$2:$500,0)),""))</f>
        <v/>
      </c>
      <c r="O318" s="8">
        <f>IF($K318="","",IFERROR(INDEX('ערכים טכנולוגיים'!$G$2:$500,MATCH(A318,'ערכים טכנולוגיים'!$A$2:$500,0)),""))</f>
        <v/>
      </c>
      <c r="P318" s="8">
        <f>IF($K318="","",IFERROR(INDEX('ערכים טכנולוגיים'!$J$2:$500,MATCH(A318,'ערכים טכנולוגיים'!$A$2:$500,0)),""))</f>
        <v/>
      </c>
      <c r="Q318" s="8">
        <f>IF($K318="","",IFERROR(INDEX('ערכים טכנולוגיים'!$N$2:$500,MATCH(A318,'ערכים טכנולוגיים'!$A$2:$500,0)),""))</f>
        <v/>
      </c>
    </row>
    <row r="319">
      <c r="A319" s="2">
        <f>IF($K319="","",INDEX(מלאי!$D$2:$500,$K319))</f>
        <v/>
      </c>
      <c r="B319" s="2">
        <f>IF($K319="","",INDEX(מלאי!$B$2:$500,$K319))</f>
        <v/>
      </c>
      <c r="C319" s="2">
        <f>IF($K319="","",INDEX(מלאי!$C$2:$500,$K319))</f>
        <v/>
      </c>
      <c r="D319" s="2">
        <f>IF($K319="","",INDEX(מלאי!$G$2:$500,$K319))</f>
        <v/>
      </c>
      <c r="E319" s="2">
        <f>IF($K319="","",INDEX(מלאי!$M$2:$500,$K319))</f>
        <v/>
      </c>
      <c r="F319" s="2">
        <f>IF($K319="","",INDEX(מלאי!$N$2:$500,$K319))</f>
        <v/>
      </c>
      <c r="G319" s="2">
        <f>IF($K319="","",INDEX(מלאי!$O$2:$500,$K319))</f>
        <v/>
      </c>
      <c r="H319" s="2">
        <f>IF($K319="","",INDEX(מלאי!$U$2:$500,$K319))</f>
        <v/>
      </c>
      <c r="I319" s="2">
        <f>IF($K319="","",INDEX(מלאי!$X$2:$500,$K319))</f>
        <v/>
      </c>
      <c r="J319" s="2">
        <f>IF($K319="","",INDEX(מלאי!$AC$2:$500,$K319))</f>
        <v/>
      </c>
      <c r="K319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טכנולוגיים'!$A$2:$500,0))&lt;=$G$6),0))),ROW(מלאי!$A$2:$A$500)-ROW(מלאי!$A$2)+1,""),297),"")</f>
        <v/>
      </c>
      <c r="L319" s="2">
        <f>IF($K319="","",IFERROR(INDEX('ערכים טכנולוגיים'!$K$2:$500,MATCH(A319,'ערכים טכנולוגיים'!$A$2:$500,0)),""))</f>
        <v/>
      </c>
      <c r="M319" s="2">
        <f>IF($K319="","",IFERROR(INDEX('ערכים טכנולוגיים'!$F$2:$500,MATCH(A319,'ערכים טכנולוגיים'!$A$2:$500,0)),""))</f>
        <v/>
      </c>
      <c r="N319" s="2">
        <f>IF($K319="","",IFERROR(INDEX('ערכים טכנולוגיים'!$I$2:$500,MATCH(A319,'ערכים טכנולוגיים'!$A$2:$500,0)),""))</f>
        <v/>
      </c>
      <c r="O319" s="2">
        <f>IF($K319="","",IFERROR(INDEX('ערכים טכנולוגיים'!$G$2:$500,MATCH(A319,'ערכים טכנולוגיים'!$A$2:$500,0)),""))</f>
        <v/>
      </c>
      <c r="P319" s="2">
        <f>IF($K319="","",IFERROR(INDEX('ערכים טכנולוגיים'!$J$2:$500,MATCH(A319,'ערכים טכנולוגיים'!$A$2:$500,0)),""))</f>
        <v/>
      </c>
      <c r="Q319" s="2">
        <f>IF($K319="","",IFERROR(INDEX('ערכים טכנולוגיים'!$N$2:$500,MATCH(A319,'ערכים טכנולוגיים'!$A$2:$500,0)),""))</f>
        <v/>
      </c>
    </row>
    <row r="320">
      <c r="A320" s="8">
        <f>IF($K320="","",INDEX(מלאי!$D$2:$500,$K320))</f>
        <v/>
      </c>
      <c r="B320" s="8">
        <f>IF($K320="","",INDEX(מלאי!$B$2:$500,$K320))</f>
        <v/>
      </c>
      <c r="C320" s="8">
        <f>IF($K320="","",INDEX(מלאי!$C$2:$500,$K320))</f>
        <v/>
      </c>
      <c r="D320" s="8">
        <f>IF($K320="","",INDEX(מלאי!$G$2:$500,$K320))</f>
        <v/>
      </c>
      <c r="E320" s="8">
        <f>IF($K320="","",INDEX(מלאי!$M$2:$500,$K320))</f>
        <v/>
      </c>
      <c r="F320" s="8">
        <f>IF($K320="","",INDEX(מלאי!$N$2:$500,$K320))</f>
        <v/>
      </c>
      <c r="G320" s="8">
        <f>IF($K320="","",INDEX(מלאי!$O$2:$500,$K320))</f>
        <v/>
      </c>
      <c r="H320" s="8">
        <f>IF($K320="","",INDEX(מלאי!$U$2:$500,$K320))</f>
        <v/>
      </c>
      <c r="I320" s="8">
        <f>IF($K320="","",INDEX(מלאי!$X$2:$500,$K320))</f>
        <v/>
      </c>
      <c r="J320" s="8">
        <f>IF($K320="","",INDEX(מלאי!$AC$2:$500,$K320))</f>
        <v/>
      </c>
      <c r="K320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טכנולוגיים'!$A$2:$500,0))&lt;=$G$6),0))),ROW(מלאי!$A$2:$A$500)-ROW(מלאי!$A$2)+1,""),298),"")</f>
        <v/>
      </c>
      <c r="L320" s="8">
        <f>IF($K320="","",IFERROR(INDEX('ערכים טכנולוגיים'!$K$2:$500,MATCH(A320,'ערכים טכנולוגיים'!$A$2:$500,0)),""))</f>
        <v/>
      </c>
      <c r="M320" s="8">
        <f>IF($K320="","",IFERROR(INDEX('ערכים טכנולוגיים'!$F$2:$500,MATCH(A320,'ערכים טכנולוגיים'!$A$2:$500,0)),""))</f>
        <v/>
      </c>
      <c r="N320" s="8">
        <f>IF($K320="","",IFERROR(INDEX('ערכים טכנולוגיים'!$I$2:$500,MATCH(A320,'ערכים טכנולוגיים'!$A$2:$500,0)),""))</f>
        <v/>
      </c>
      <c r="O320" s="8">
        <f>IF($K320="","",IFERROR(INDEX('ערכים טכנולוגיים'!$G$2:$500,MATCH(A320,'ערכים טכנולוגיים'!$A$2:$500,0)),""))</f>
        <v/>
      </c>
      <c r="P320" s="8">
        <f>IF($K320="","",IFERROR(INDEX('ערכים טכנולוגיים'!$J$2:$500,MATCH(A320,'ערכים טכנולוגיים'!$A$2:$500,0)),""))</f>
        <v/>
      </c>
      <c r="Q320" s="8">
        <f>IF($K320="","",IFERROR(INDEX('ערכים טכנולוגיים'!$N$2:$500,MATCH(A320,'ערכים טכנולוגיים'!$A$2:$500,0)),""))</f>
        <v/>
      </c>
    </row>
    <row r="321">
      <c r="A321" s="2">
        <f>IF($K321="","",INDEX(מלאי!$D$2:$500,$K321))</f>
        <v/>
      </c>
      <c r="B321" s="2">
        <f>IF($K321="","",INDEX(מלאי!$B$2:$500,$K321))</f>
        <v/>
      </c>
      <c r="C321" s="2">
        <f>IF($K321="","",INDEX(מלאי!$C$2:$500,$K321))</f>
        <v/>
      </c>
      <c r="D321" s="2">
        <f>IF($K321="","",INDEX(מלאי!$G$2:$500,$K321))</f>
        <v/>
      </c>
      <c r="E321" s="2">
        <f>IF($K321="","",INDEX(מלאי!$M$2:$500,$K321))</f>
        <v/>
      </c>
      <c r="F321" s="2">
        <f>IF($K321="","",INDEX(מלאי!$N$2:$500,$K321))</f>
        <v/>
      </c>
      <c r="G321" s="2">
        <f>IF($K321="","",INDEX(מלאי!$O$2:$500,$K321))</f>
        <v/>
      </c>
      <c r="H321" s="2">
        <f>IF($K321="","",INDEX(מלאי!$U$2:$500,$K321))</f>
        <v/>
      </c>
      <c r="I321" s="2">
        <f>IF($K321="","",INDEX(מלאי!$X$2:$500,$K321))</f>
        <v/>
      </c>
      <c r="J321" s="2">
        <f>IF($K321="","",INDEX(מלאי!$AC$2:$500,$K321))</f>
        <v/>
      </c>
      <c r="K321" s="2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טכנולוגיים'!$A$2:$500,0))&lt;=$G$6),0))),ROW(מלאי!$A$2:$A$500)-ROW(מלאי!$A$2)+1,""),299),"")</f>
        <v/>
      </c>
      <c r="L321" s="2">
        <f>IF($K321="","",IFERROR(INDEX('ערכים טכנולוגיים'!$K$2:$500,MATCH(A321,'ערכים טכנולוגיים'!$A$2:$500,0)),""))</f>
        <v/>
      </c>
      <c r="M321" s="2">
        <f>IF($K321="","",IFERROR(INDEX('ערכים טכנולוגיים'!$F$2:$500,MATCH(A321,'ערכים טכנולוגיים'!$A$2:$500,0)),""))</f>
        <v/>
      </c>
      <c r="N321" s="2">
        <f>IF($K321="","",IFERROR(INDEX('ערכים טכנולוגיים'!$I$2:$500,MATCH(A321,'ערכים טכנולוגיים'!$A$2:$500,0)),""))</f>
        <v/>
      </c>
      <c r="O321" s="2">
        <f>IF($K321="","",IFERROR(INDEX('ערכים טכנולוגיים'!$G$2:$500,MATCH(A321,'ערכים טכנולוגיים'!$A$2:$500,0)),""))</f>
        <v/>
      </c>
      <c r="P321" s="2">
        <f>IF($K321="","",IFERROR(INDEX('ערכים טכנולוגיים'!$J$2:$500,MATCH(A321,'ערכים טכנולוגיים'!$A$2:$500,0)),""))</f>
        <v/>
      </c>
      <c r="Q321" s="2">
        <f>IF($K321="","",IFERROR(INDEX('ערכים טכנולוגיים'!$N$2:$500,MATCH(A321,'ערכים טכנולוגיים'!$A$2:$500,0)),""))</f>
        <v/>
      </c>
    </row>
    <row r="322">
      <c r="A322" s="8">
        <f>IF($K322="","",INDEX(מלאי!$D$2:$500,$K322))</f>
        <v/>
      </c>
      <c r="B322" s="8">
        <f>IF($K322="","",INDEX(מלאי!$B$2:$500,$K322))</f>
        <v/>
      </c>
      <c r="C322" s="8">
        <f>IF($K322="","",INDEX(מלאי!$C$2:$500,$K322))</f>
        <v/>
      </c>
      <c r="D322" s="8">
        <f>IF($K322="","",INDEX(מלאי!$G$2:$500,$K322))</f>
        <v/>
      </c>
      <c r="E322" s="8">
        <f>IF($K322="","",INDEX(מלאי!$M$2:$500,$K322))</f>
        <v/>
      </c>
      <c r="F322" s="8">
        <f>IF($K322="","",INDEX(מלאי!$N$2:$500,$K322))</f>
        <v/>
      </c>
      <c r="G322" s="8">
        <f>IF($K322="","",INDEX(מלאי!$O$2:$500,$K322))</f>
        <v/>
      </c>
      <c r="H322" s="8">
        <f>IF($K322="","",INDEX(מלאי!$U$2:$500,$K322))</f>
        <v/>
      </c>
      <c r="I322" s="8">
        <f>IF($K322="","",INDEX(מלאי!$X$2:$500,$K322))</f>
        <v/>
      </c>
      <c r="J322" s="8">
        <f>IF($K322="","",INDEX(מלאי!$AC$2:$500,$K322))</f>
        <v/>
      </c>
      <c r="K322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טכנולוגיים'!$A$2:$500,0))&lt;=$G$6),0))),ROW(מלאי!$A$2:$A$500)-ROW(מלאי!$A$2)+1,""),300),"")</f>
        <v/>
      </c>
      <c r="L322" s="8">
        <f>IF($K322="","",IFERROR(INDEX('ערכים טכנולוגיים'!$K$2:$500,MATCH(A322,'ערכים טכנולוגיים'!$A$2:$500,0)),""))</f>
        <v/>
      </c>
      <c r="M322" s="8">
        <f>IF($K322="","",IFERROR(INDEX('ערכים טכנולוגיים'!$F$2:$500,MATCH(A322,'ערכים טכנולוגיים'!$A$2:$500,0)),""))</f>
        <v/>
      </c>
      <c r="N322" s="8">
        <f>IF($K322="","",IFERROR(INDEX('ערכים טכנולוגיים'!$I$2:$500,MATCH(A322,'ערכים טכנולוגיים'!$A$2:$500,0)),""))</f>
        <v/>
      </c>
      <c r="O322" s="8">
        <f>IF($K322="","",IFERROR(INDEX('ערכים טכנולוגיים'!$G$2:$500,MATCH(A322,'ערכים טכנולוגיים'!$A$2:$500,0)),""))</f>
        <v/>
      </c>
      <c r="P322" s="8">
        <f>IF($K322="","",IFERROR(INDEX('ערכים טכנולוגיים'!$J$2:$500,MATCH(A322,'ערכים טכנולוגיים'!$A$2:$500,0)),""))</f>
        <v/>
      </c>
      <c r="Q322" s="8">
        <f>IF($K322="","",IFERROR(INDEX('ערכים טכנולוגיים'!$N$2:$500,MATCH(A322,'ערכים טכנולוגיים'!$A$2:$500,0)),""))</f>
        <v/>
      </c>
    </row>
    <row r="324">
      <c r="A324" s="3" t="inlineStr">
        <is>
          <t>השאלות פעילות</t>
        </is>
      </c>
    </row>
    <row r="325">
      <c r="A325" s="7" t="inlineStr">
        <is>
          <t>מזהה</t>
        </is>
      </c>
      <c r="B325" s="7" t="inlineStr">
        <is>
          <t>מוצר</t>
        </is>
      </c>
      <c r="C325" s="7" t="inlineStr">
        <is>
          <t>מושאל ל</t>
        </is>
      </c>
      <c r="D325" s="7" t="inlineStr">
        <is>
          <t>מדינה</t>
        </is>
      </c>
      <c r="E325" s="7" t="inlineStr">
        <is>
          <t>החזרה משוערת</t>
        </is>
      </c>
      <c r="F325" s="7" t="inlineStr">
        <is>
          <t>באיחור</t>
        </is>
      </c>
      <c r="K325" s="7" t="inlineStr">
        <is>
          <t>loan_ref</t>
        </is>
      </c>
    </row>
    <row r="326">
      <c r="A326" s="2">
        <f>IF($K326="","",INDEX(מלאי!$D$2:$500,$K326))</f>
        <v/>
      </c>
      <c r="B326" s="2">
        <f>IF($K326="","",INDEX(מלאי!$B$2:$500,$K326))</f>
        <v/>
      </c>
      <c r="C326" s="2">
        <f>IF($K326="","",INDEX(מלאי!$Y$2:$500,$K326))</f>
        <v/>
      </c>
      <c r="D326" s="2">
        <f>IF($K326="","",INDEX(מלאי!$Z$2:$500,$K326))</f>
        <v/>
      </c>
      <c r="E326" s="9">
        <f>IF($K326="","",INDEX(מלאי!$AB$2:$500,$K326))</f>
        <v/>
      </c>
      <c r="F326" s="2">
        <f>IF($K326="","",IF(AND(INDEX(מלאי!$AB$2:$500,$K326)&lt;&gt;"",INDEX(מלאי!$AB$2:$500,$K326)&lt;TODAY()),"באיחור!","תקין"))</f>
        <v/>
      </c>
      <c r="G326" s="2" t="n"/>
      <c r="H326" s="2" t="n"/>
      <c r="I326" s="2" t="n"/>
      <c r="J326" s="2" t="n"/>
      <c r="K326" s="2">
        <f>IFERROR(SMALL(IF((מלאי!$D$2:$500&lt;&gt;"")*(מלאי!$X$2:$500="מושאל"),ROW(מלאי!$A$2:$A$500)-ROW(מלאי!$A$2)+1,""),1),"")</f>
        <v/>
      </c>
      <c r="L326" s="2" t="n"/>
      <c r="M326" s="2" t="n"/>
      <c r="N326" s="2" t="n"/>
      <c r="O326" s="2" t="n"/>
      <c r="P326" s="2" t="n"/>
      <c r="Q326" s="2" t="n"/>
    </row>
    <row r="327">
      <c r="A327" s="8">
        <f>IF($K327="","",INDEX(מלאי!$D$2:$500,$K327))</f>
        <v/>
      </c>
      <c r="B327" s="8">
        <f>IF($K327="","",INDEX(מלאי!$B$2:$500,$K327))</f>
        <v/>
      </c>
      <c r="C327" s="8">
        <f>IF($K327="","",INDEX(מלאי!$Y$2:$500,$K327))</f>
        <v/>
      </c>
      <c r="D327" s="8">
        <f>IF($K327="","",INDEX(מלאי!$Z$2:$500,$K327))</f>
        <v/>
      </c>
      <c r="E327" s="10">
        <f>IF($K327="","",INDEX(מלאי!$AB$2:$500,$K327))</f>
        <v/>
      </c>
      <c r="F327" s="8">
        <f>IF($K327="","",IF(AND(INDEX(מלאי!$AB$2:$500,$K327)&lt;&gt;"",INDEX(מלאי!$AB$2:$500,$K327)&lt;TODAY()),"באיחור!","תקין"))</f>
        <v/>
      </c>
      <c r="G327" s="8" t="n"/>
      <c r="H327" s="8" t="n"/>
      <c r="I327" s="8" t="n"/>
      <c r="J327" s="8" t="n"/>
      <c r="K327" s="8">
        <f>IFERROR(SMALL(IF((מלאי!$D$2:$500&lt;&gt;"")*(מלאי!$X$2:$500="מושאל"),ROW(מלאי!$A$2:$A$500)-ROW(מלאי!$A$2)+1,""),2),"")</f>
        <v/>
      </c>
      <c r="L327" s="8" t="n"/>
      <c r="M327" s="8" t="n"/>
      <c r="N327" s="8" t="n"/>
      <c r="O327" s="8" t="n"/>
      <c r="P327" s="8" t="n"/>
      <c r="Q327" s="8" t="n"/>
    </row>
    <row r="328">
      <c r="A328" s="2">
        <f>IF($K328="","",INDEX(מלאי!$D$2:$500,$K328))</f>
        <v/>
      </c>
      <c r="B328" s="2">
        <f>IF($K328="","",INDEX(מלאי!$B$2:$500,$K328))</f>
        <v/>
      </c>
      <c r="C328" s="2">
        <f>IF($K328="","",INDEX(מלאי!$Y$2:$500,$K328))</f>
        <v/>
      </c>
      <c r="D328" s="2">
        <f>IF($K328="","",INDEX(מלאי!$Z$2:$500,$K328))</f>
        <v/>
      </c>
      <c r="E328" s="9">
        <f>IF($K328="","",INDEX(מלאי!$AB$2:$500,$K328))</f>
        <v/>
      </c>
      <c r="F328" s="2">
        <f>IF($K328="","",IF(AND(INDEX(מלאי!$AB$2:$500,$K328)&lt;&gt;"",INDEX(מלאי!$AB$2:$500,$K328)&lt;TODAY()),"באיחור!","תקין"))</f>
        <v/>
      </c>
      <c r="G328" s="2" t="n"/>
      <c r="H328" s="2" t="n"/>
      <c r="I328" s="2" t="n"/>
      <c r="J328" s="2" t="n"/>
      <c r="K328" s="2">
        <f>IFERROR(SMALL(IF((מלאי!$D$2:$500&lt;&gt;"")*(מלאי!$X$2:$500="מושאל"),ROW(מלאי!$A$2:$A$500)-ROW(מלאי!$A$2)+1,""),3),"")</f>
        <v/>
      </c>
      <c r="L328" s="2" t="n"/>
      <c r="M328" s="2" t="n"/>
      <c r="N328" s="2" t="n"/>
      <c r="O328" s="2" t="n"/>
      <c r="P328" s="2" t="n"/>
      <c r="Q328" s="2" t="n"/>
    </row>
    <row r="329">
      <c r="A329" s="8">
        <f>IF($K329="","",INDEX(מלאי!$D$2:$500,$K329))</f>
        <v/>
      </c>
      <c r="B329" s="8">
        <f>IF($K329="","",INDEX(מלאי!$B$2:$500,$K329))</f>
        <v/>
      </c>
      <c r="C329" s="8">
        <f>IF($K329="","",INDEX(מלאי!$Y$2:$500,$K329))</f>
        <v/>
      </c>
      <c r="D329" s="8">
        <f>IF($K329="","",INDEX(מלאי!$Z$2:$500,$K329))</f>
        <v/>
      </c>
      <c r="E329" s="10">
        <f>IF($K329="","",INDEX(מלאי!$AB$2:$500,$K329))</f>
        <v/>
      </c>
      <c r="F329" s="8">
        <f>IF($K329="","",IF(AND(INDEX(מלאי!$AB$2:$500,$K329)&lt;&gt;"",INDEX(מלאי!$AB$2:$500,$K329)&lt;TODAY()),"באיחור!","תקין"))</f>
        <v/>
      </c>
      <c r="G329" s="8" t="n"/>
      <c r="H329" s="8" t="n"/>
      <c r="I329" s="8" t="n"/>
      <c r="J329" s="8" t="n"/>
      <c r="K329" s="8">
        <f>IFERROR(SMALL(IF((מלאי!$D$2:$500&lt;&gt;"")*(מלאי!$X$2:$500="מושאל"),ROW(מלאי!$A$2:$A$500)-ROW(מלאי!$A$2)+1,""),4),"")</f>
        <v/>
      </c>
      <c r="L329" s="8" t="n"/>
      <c r="M329" s="8" t="n"/>
      <c r="N329" s="8" t="n"/>
      <c r="O329" s="8" t="n"/>
      <c r="P329" s="8" t="n"/>
      <c r="Q329" s="8" t="n"/>
    </row>
    <row r="330">
      <c r="A330" s="2">
        <f>IF($K330="","",INDEX(מלאי!$D$2:$500,$K330))</f>
        <v/>
      </c>
      <c r="B330" s="2">
        <f>IF($K330="","",INDEX(מלאי!$B$2:$500,$K330))</f>
        <v/>
      </c>
      <c r="C330" s="2">
        <f>IF($K330="","",INDEX(מלאי!$Y$2:$500,$K330))</f>
        <v/>
      </c>
      <c r="D330" s="2">
        <f>IF($K330="","",INDEX(מלאי!$Z$2:$500,$K330))</f>
        <v/>
      </c>
      <c r="E330" s="9">
        <f>IF($K330="","",INDEX(מלאי!$AB$2:$500,$K330))</f>
        <v/>
      </c>
      <c r="F330" s="2">
        <f>IF($K330="","",IF(AND(INDEX(מלאי!$AB$2:$500,$K330)&lt;&gt;"",INDEX(מלאי!$AB$2:$500,$K330)&lt;TODAY()),"באיחור!","תקין"))</f>
        <v/>
      </c>
      <c r="G330" s="2" t="n"/>
      <c r="H330" s="2" t="n"/>
      <c r="I330" s="2" t="n"/>
      <c r="J330" s="2" t="n"/>
      <c r="K330" s="2">
        <f>IFERROR(SMALL(IF((מלאי!$D$2:$500&lt;&gt;"")*(מלאי!$X$2:$500="מושאל"),ROW(מלאי!$A$2:$A$500)-ROW(מלאי!$A$2)+1,""),5),"")</f>
        <v/>
      </c>
      <c r="L330" s="2" t="n"/>
      <c r="M330" s="2" t="n"/>
      <c r="N330" s="2" t="n"/>
      <c r="O330" s="2" t="n"/>
      <c r="P330" s="2" t="n"/>
      <c r="Q330" s="2" t="n"/>
    </row>
    <row r="331">
      <c r="A331" s="8">
        <f>IF($K331="","",INDEX(מלאי!$D$2:$500,$K331))</f>
        <v/>
      </c>
      <c r="B331" s="8">
        <f>IF($K331="","",INDEX(מלאי!$B$2:$500,$K331))</f>
        <v/>
      </c>
      <c r="C331" s="8">
        <f>IF($K331="","",INDEX(מלאי!$Y$2:$500,$K331))</f>
        <v/>
      </c>
      <c r="D331" s="8">
        <f>IF($K331="","",INDEX(מלאי!$Z$2:$500,$K331))</f>
        <v/>
      </c>
      <c r="E331" s="10">
        <f>IF($K331="","",INDEX(מלאי!$AB$2:$500,$K331))</f>
        <v/>
      </c>
      <c r="F331" s="8">
        <f>IF($K331="","",IF(AND(INDEX(מלאי!$AB$2:$500,$K331)&lt;&gt;"",INDEX(מלאי!$AB$2:$500,$K331)&lt;TODAY()),"באיחור!","תקין"))</f>
        <v/>
      </c>
      <c r="G331" s="8" t="n"/>
      <c r="H331" s="8" t="n"/>
      <c r="I331" s="8" t="n"/>
      <c r="J331" s="8" t="n"/>
      <c r="K331" s="8">
        <f>IFERROR(SMALL(IF((מלאי!$D$2:$500&lt;&gt;"")*(מלאי!$X$2:$500="מושאל"),ROW(מלאי!$A$2:$A$500)-ROW(מלאי!$A$2)+1,""),6),"")</f>
        <v/>
      </c>
      <c r="L331" s="8" t="n"/>
      <c r="M331" s="8" t="n"/>
      <c r="N331" s="8" t="n"/>
      <c r="O331" s="8" t="n"/>
      <c r="P331" s="8" t="n"/>
      <c r="Q331" s="8" t="n"/>
    </row>
    <row r="332">
      <c r="A332" s="2">
        <f>IF($K332="","",INDEX(מלאי!$D$2:$500,$K332))</f>
        <v/>
      </c>
      <c r="B332" s="2">
        <f>IF($K332="","",INDEX(מלאי!$B$2:$500,$K332))</f>
        <v/>
      </c>
      <c r="C332" s="2">
        <f>IF($K332="","",INDEX(מלאי!$Y$2:$500,$K332))</f>
        <v/>
      </c>
      <c r="D332" s="2">
        <f>IF($K332="","",INDEX(מלאי!$Z$2:$500,$K332))</f>
        <v/>
      </c>
      <c r="E332" s="9">
        <f>IF($K332="","",INDEX(מלאי!$AB$2:$500,$K332))</f>
        <v/>
      </c>
      <c r="F332" s="2">
        <f>IF($K332="","",IF(AND(INDEX(מלאי!$AB$2:$500,$K332)&lt;&gt;"",INDEX(מלאי!$AB$2:$500,$K332)&lt;TODAY()),"באיחור!","תקין"))</f>
        <v/>
      </c>
      <c r="G332" s="2" t="n"/>
      <c r="H332" s="2" t="n"/>
      <c r="I332" s="2" t="n"/>
      <c r="J332" s="2" t="n"/>
      <c r="K332" s="2">
        <f>IFERROR(SMALL(IF((מלאי!$D$2:$500&lt;&gt;"")*(מלאי!$X$2:$500="מושאל"),ROW(מלאי!$A$2:$A$500)-ROW(מלאי!$A$2)+1,""),7),"")</f>
        <v/>
      </c>
      <c r="L332" s="2" t="n"/>
      <c r="M332" s="2" t="n"/>
      <c r="N332" s="2" t="n"/>
      <c r="O332" s="2" t="n"/>
      <c r="P332" s="2" t="n"/>
      <c r="Q332" s="2" t="n"/>
    </row>
    <row r="333">
      <c r="A333" s="8">
        <f>IF($K333="","",INDEX(מלאי!$D$2:$500,$K333))</f>
        <v/>
      </c>
      <c r="B333" s="8">
        <f>IF($K333="","",INDEX(מלאי!$B$2:$500,$K333))</f>
        <v/>
      </c>
      <c r="C333" s="8">
        <f>IF($K333="","",INDEX(מלאי!$Y$2:$500,$K333))</f>
        <v/>
      </c>
      <c r="D333" s="8">
        <f>IF($K333="","",INDEX(מלאי!$Z$2:$500,$K333))</f>
        <v/>
      </c>
      <c r="E333" s="10">
        <f>IF($K333="","",INDEX(מלאי!$AB$2:$500,$K333))</f>
        <v/>
      </c>
      <c r="F333" s="8">
        <f>IF($K333="","",IF(AND(INDEX(מלאי!$AB$2:$500,$K333)&lt;&gt;"",INDEX(מלאי!$AB$2:$500,$K333)&lt;TODAY()),"באיחור!","תקין"))</f>
        <v/>
      </c>
      <c r="G333" s="8" t="n"/>
      <c r="H333" s="8" t="n"/>
      <c r="I333" s="8" t="n"/>
      <c r="J333" s="8" t="n"/>
      <c r="K333" s="8">
        <f>IFERROR(SMALL(IF((מלאי!$D$2:$500&lt;&gt;"")*(מלאי!$X$2:$500="מושאל"),ROW(מלאי!$A$2:$A$500)-ROW(מלאי!$A$2)+1,""),8),"")</f>
        <v/>
      </c>
      <c r="L333" s="8" t="n"/>
      <c r="M333" s="8" t="n"/>
      <c r="N333" s="8" t="n"/>
      <c r="O333" s="8" t="n"/>
      <c r="P333" s="8" t="n"/>
      <c r="Q333" s="8" t="n"/>
    </row>
    <row r="334">
      <c r="A334" s="2">
        <f>IF($K334="","",INDEX(מלאי!$D$2:$500,$K334))</f>
        <v/>
      </c>
      <c r="B334" s="2">
        <f>IF($K334="","",INDEX(מלאי!$B$2:$500,$K334))</f>
        <v/>
      </c>
      <c r="C334" s="2">
        <f>IF($K334="","",INDEX(מלאי!$Y$2:$500,$K334))</f>
        <v/>
      </c>
      <c r="D334" s="2">
        <f>IF($K334="","",INDEX(מלאי!$Z$2:$500,$K334))</f>
        <v/>
      </c>
      <c r="E334" s="9">
        <f>IF($K334="","",INDEX(מלאי!$AB$2:$500,$K334))</f>
        <v/>
      </c>
      <c r="F334" s="2">
        <f>IF($K334="","",IF(AND(INDEX(מלאי!$AB$2:$500,$K334)&lt;&gt;"",INDEX(מלאי!$AB$2:$500,$K334)&lt;TODAY()),"באיחור!","תקין"))</f>
        <v/>
      </c>
      <c r="G334" s="2" t="n"/>
      <c r="H334" s="2" t="n"/>
      <c r="I334" s="2" t="n"/>
      <c r="J334" s="2" t="n"/>
      <c r="K334" s="2">
        <f>IFERROR(SMALL(IF((מלאי!$D$2:$500&lt;&gt;"")*(מלאי!$X$2:$500="מושאל"),ROW(מלאי!$A$2:$A$500)-ROW(מלאי!$A$2)+1,""),9),"")</f>
        <v/>
      </c>
      <c r="L334" s="2" t="n"/>
      <c r="M334" s="2" t="n"/>
      <c r="N334" s="2" t="n"/>
      <c r="O334" s="2" t="n"/>
      <c r="P334" s="2" t="n"/>
      <c r="Q334" s="2" t="n"/>
    </row>
    <row r="335">
      <c r="A335" s="8">
        <f>IF($K335="","",INDEX(מלאי!$D$2:$500,$K335))</f>
        <v/>
      </c>
      <c r="B335" s="8">
        <f>IF($K335="","",INDEX(מלאי!$B$2:$500,$K335))</f>
        <v/>
      </c>
      <c r="C335" s="8">
        <f>IF($K335="","",INDEX(מלאי!$Y$2:$500,$K335))</f>
        <v/>
      </c>
      <c r="D335" s="8">
        <f>IF($K335="","",INDEX(מלאי!$Z$2:$500,$K335))</f>
        <v/>
      </c>
      <c r="E335" s="10">
        <f>IF($K335="","",INDEX(מלאי!$AB$2:$500,$K335))</f>
        <v/>
      </c>
      <c r="F335" s="8">
        <f>IF($K335="","",IF(AND(INDEX(מלאי!$AB$2:$500,$K335)&lt;&gt;"",INDEX(מלאי!$AB$2:$500,$K335)&lt;TODAY()),"באיחור!","תקין"))</f>
        <v/>
      </c>
      <c r="G335" s="8" t="n"/>
      <c r="H335" s="8" t="n"/>
      <c r="I335" s="8" t="n"/>
      <c r="J335" s="8" t="n"/>
      <c r="K335" s="8">
        <f>IFERROR(SMALL(IF((מלאי!$D$2:$500&lt;&gt;"")*(מלאי!$X$2:$500="מושאל"),ROW(מלאי!$A$2:$A$500)-ROW(מלאי!$A$2)+1,""),10),"")</f>
        <v/>
      </c>
      <c r="L335" s="8" t="n"/>
      <c r="M335" s="8" t="n"/>
      <c r="N335" s="8" t="n"/>
      <c r="O335" s="8" t="n"/>
      <c r="P335" s="8" t="n"/>
      <c r="Q335" s="8" t="n"/>
    </row>
    <row r="336">
      <c r="A336" s="2">
        <f>IF($K336="","",INDEX(מלאי!$D$2:$500,$K336))</f>
        <v/>
      </c>
      <c r="B336" s="2">
        <f>IF($K336="","",INDEX(מלאי!$B$2:$500,$K336))</f>
        <v/>
      </c>
      <c r="C336" s="2">
        <f>IF($K336="","",INDEX(מלאי!$Y$2:$500,$K336))</f>
        <v/>
      </c>
      <c r="D336" s="2">
        <f>IF($K336="","",INDEX(מלאי!$Z$2:$500,$K336))</f>
        <v/>
      </c>
      <c r="E336" s="9">
        <f>IF($K336="","",INDEX(מלאי!$AB$2:$500,$K336))</f>
        <v/>
      </c>
      <c r="F336" s="2">
        <f>IF($K336="","",IF(AND(INDEX(מלאי!$AB$2:$500,$K336)&lt;&gt;"",INDEX(מלאי!$AB$2:$500,$K336)&lt;TODAY()),"באיחור!","תקין"))</f>
        <v/>
      </c>
      <c r="G336" s="2" t="n"/>
      <c r="H336" s="2" t="n"/>
      <c r="I336" s="2" t="n"/>
      <c r="J336" s="2" t="n"/>
      <c r="K336" s="2">
        <f>IFERROR(SMALL(IF((מלאי!$D$2:$500&lt;&gt;"")*(מלאי!$X$2:$500="מושאל"),ROW(מלאי!$A$2:$A$500)-ROW(מלאי!$A$2)+1,""),11),"")</f>
        <v/>
      </c>
      <c r="L336" s="2" t="n"/>
      <c r="M336" s="2" t="n"/>
      <c r="N336" s="2" t="n"/>
      <c r="O336" s="2" t="n"/>
      <c r="P336" s="2" t="n"/>
      <c r="Q336" s="2" t="n"/>
    </row>
    <row r="337">
      <c r="A337" s="8">
        <f>IF($K337="","",INDEX(מלאי!$D$2:$500,$K337))</f>
        <v/>
      </c>
      <c r="B337" s="8">
        <f>IF($K337="","",INDEX(מלאי!$B$2:$500,$K337))</f>
        <v/>
      </c>
      <c r="C337" s="8">
        <f>IF($K337="","",INDEX(מלאי!$Y$2:$500,$K337))</f>
        <v/>
      </c>
      <c r="D337" s="8">
        <f>IF($K337="","",INDEX(מלאי!$Z$2:$500,$K337))</f>
        <v/>
      </c>
      <c r="E337" s="10">
        <f>IF($K337="","",INDEX(מלאי!$AB$2:$500,$K337))</f>
        <v/>
      </c>
      <c r="F337" s="8">
        <f>IF($K337="","",IF(AND(INDEX(מלאי!$AB$2:$500,$K337)&lt;&gt;"",INDEX(מלאי!$AB$2:$500,$K337)&lt;TODAY()),"באיחור!","תקין"))</f>
        <v/>
      </c>
      <c r="G337" s="8" t="n"/>
      <c r="H337" s="8" t="n"/>
      <c r="I337" s="8" t="n"/>
      <c r="J337" s="8" t="n"/>
      <c r="K337" s="8">
        <f>IFERROR(SMALL(IF((מלאי!$D$2:$500&lt;&gt;"")*(מלאי!$X$2:$500="מושאל"),ROW(מלאי!$A$2:$A$500)-ROW(מלאי!$A$2)+1,""),12),"")</f>
        <v/>
      </c>
      <c r="L337" s="8" t="n"/>
      <c r="M337" s="8" t="n"/>
      <c r="N337" s="8" t="n"/>
      <c r="O337" s="8" t="n"/>
      <c r="P337" s="8" t="n"/>
      <c r="Q337" s="8" t="n"/>
    </row>
    <row r="338">
      <c r="A338" s="2">
        <f>IF($K338="","",INDEX(מלאי!$D$2:$500,$K338))</f>
        <v/>
      </c>
      <c r="B338" s="2">
        <f>IF($K338="","",INDEX(מלאי!$B$2:$500,$K338))</f>
        <v/>
      </c>
      <c r="C338" s="2">
        <f>IF($K338="","",INDEX(מלאי!$Y$2:$500,$K338))</f>
        <v/>
      </c>
      <c r="D338" s="2">
        <f>IF($K338="","",INDEX(מלאי!$Z$2:$500,$K338))</f>
        <v/>
      </c>
      <c r="E338" s="9">
        <f>IF($K338="","",INDEX(מלאי!$AB$2:$500,$K338))</f>
        <v/>
      </c>
      <c r="F338" s="2">
        <f>IF($K338="","",IF(AND(INDEX(מלאי!$AB$2:$500,$K338)&lt;&gt;"",INDEX(מלאי!$AB$2:$500,$K338)&lt;TODAY()),"באיחור!","תקין"))</f>
        <v/>
      </c>
      <c r="G338" s="2" t="n"/>
      <c r="H338" s="2" t="n"/>
      <c r="I338" s="2" t="n"/>
      <c r="J338" s="2" t="n"/>
      <c r="K338" s="2">
        <f>IFERROR(SMALL(IF((מלאי!$D$2:$500&lt;&gt;"")*(מלאי!$X$2:$500="מושאל"),ROW(מלאי!$A$2:$A$500)-ROW(מלאי!$A$2)+1,""),13),"")</f>
        <v/>
      </c>
      <c r="L338" s="2" t="n"/>
      <c r="M338" s="2" t="n"/>
      <c r="N338" s="2" t="n"/>
      <c r="O338" s="2" t="n"/>
      <c r="P338" s="2" t="n"/>
      <c r="Q338" s="2" t="n"/>
    </row>
    <row r="339">
      <c r="A339" s="8">
        <f>IF($K339="","",INDEX(מלאי!$D$2:$500,$K339))</f>
        <v/>
      </c>
      <c r="B339" s="8">
        <f>IF($K339="","",INDEX(מלאי!$B$2:$500,$K339))</f>
        <v/>
      </c>
      <c r="C339" s="8">
        <f>IF($K339="","",INDEX(מלאי!$Y$2:$500,$K339))</f>
        <v/>
      </c>
      <c r="D339" s="8">
        <f>IF($K339="","",INDEX(מלאי!$Z$2:$500,$K339))</f>
        <v/>
      </c>
      <c r="E339" s="10">
        <f>IF($K339="","",INDEX(מלאי!$AB$2:$500,$K339))</f>
        <v/>
      </c>
      <c r="F339" s="8">
        <f>IF($K339="","",IF(AND(INDEX(מלאי!$AB$2:$500,$K339)&lt;&gt;"",INDEX(מלאי!$AB$2:$500,$K339)&lt;TODAY()),"באיחור!","תקין"))</f>
        <v/>
      </c>
      <c r="G339" s="8" t="n"/>
      <c r="H339" s="8" t="n"/>
      <c r="I339" s="8" t="n"/>
      <c r="J339" s="8" t="n"/>
      <c r="K339" s="8">
        <f>IFERROR(SMALL(IF((מלאי!$D$2:$500&lt;&gt;"")*(מלאי!$X$2:$500="מושאל"),ROW(מלאי!$A$2:$A$500)-ROW(מלאי!$A$2)+1,""),14),"")</f>
        <v/>
      </c>
      <c r="L339" s="8" t="n"/>
      <c r="M339" s="8" t="n"/>
      <c r="N339" s="8" t="n"/>
      <c r="O339" s="8" t="n"/>
      <c r="P339" s="8" t="n"/>
      <c r="Q339" s="8" t="n"/>
    </row>
    <row r="340">
      <c r="A340" s="2">
        <f>IF($K340="","",INDEX(מלאי!$D$2:$500,$K340))</f>
        <v/>
      </c>
      <c r="B340" s="2">
        <f>IF($K340="","",INDEX(מלאי!$B$2:$500,$K340))</f>
        <v/>
      </c>
      <c r="C340" s="2">
        <f>IF($K340="","",INDEX(מלאי!$Y$2:$500,$K340))</f>
        <v/>
      </c>
      <c r="D340" s="2">
        <f>IF($K340="","",INDEX(מלאי!$Z$2:$500,$K340))</f>
        <v/>
      </c>
      <c r="E340" s="9">
        <f>IF($K340="","",INDEX(מלאי!$AB$2:$500,$K340))</f>
        <v/>
      </c>
      <c r="F340" s="2">
        <f>IF($K340="","",IF(AND(INDEX(מלאי!$AB$2:$500,$K340)&lt;&gt;"",INDEX(מלאי!$AB$2:$500,$K340)&lt;TODAY()),"באיחור!","תקין"))</f>
        <v/>
      </c>
      <c r="G340" s="2" t="n"/>
      <c r="H340" s="2" t="n"/>
      <c r="I340" s="2" t="n"/>
      <c r="J340" s="2" t="n"/>
      <c r="K340" s="2">
        <f>IFERROR(SMALL(IF((מלאי!$D$2:$500&lt;&gt;"")*(מלאי!$X$2:$500="מושאל"),ROW(מלאי!$A$2:$A$500)-ROW(מלאי!$A$2)+1,""),15),"")</f>
        <v/>
      </c>
      <c r="L340" s="2" t="n"/>
      <c r="M340" s="2" t="n"/>
      <c r="N340" s="2" t="n"/>
      <c r="O340" s="2" t="n"/>
      <c r="P340" s="2" t="n"/>
      <c r="Q340" s="2" t="n"/>
    </row>
    <row r="341">
      <c r="A341" s="8">
        <f>IF($K341="","",INDEX(מלאי!$D$2:$500,$K341))</f>
        <v/>
      </c>
      <c r="B341" s="8">
        <f>IF($K341="","",INDEX(מלאי!$B$2:$500,$K341))</f>
        <v/>
      </c>
      <c r="C341" s="8">
        <f>IF($K341="","",INDEX(מלאי!$Y$2:$500,$K341))</f>
        <v/>
      </c>
      <c r="D341" s="8">
        <f>IF($K341="","",INDEX(מלאי!$Z$2:$500,$K341))</f>
        <v/>
      </c>
      <c r="E341" s="10">
        <f>IF($K341="","",INDEX(מלאי!$AB$2:$500,$K341))</f>
        <v/>
      </c>
      <c r="F341" s="8">
        <f>IF($K341="","",IF(AND(INDEX(מלאי!$AB$2:$500,$K341)&lt;&gt;"",INDEX(מלאי!$AB$2:$500,$K341)&lt;TODAY()),"באיחור!","תקין"))</f>
        <v/>
      </c>
      <c r="G341" s="8" t="n"/>
      <c r="H341" s="8" t="n"/>
      <c r="I341" s="8" t="n"/>
      <c r="J341" s="8" t="n"/>
      <c r="K341" s="8">
        <f>IFERROR(SMALL(IF((מלאי!$D$2:$500&lt;&gt;"")*(מלאי!$X$2:$500="מושאל"),ROW(מלאי!$A$2:$A$500)-ROW(מלאי!$A$2)+1,""),16),"")</f>
        <v/>
      </c>
      <c r="L341" s="8" t="n"/>
      <c r="M341" s="8" t="n"/>
      <c r="N341" s="8" t="n"/>
      <c r="O341" s="8" t="n"/>
      <c r="P341" s="8" t="n"/>
      <c r="Q341" s="8" t="n"/>
    </row>
    <row r="342">
      <c r="A342" s="2">
        <f>IF($K342="","",INDEX(מלאי!$D$2:$500,$K342))</f>
        <v/>
      </c>
      <c r="B342" s="2">
        <f>IF($K342="","",INDEX(מלאי!$B$2:$500,$K342))</f>
        <v/>
      </c>
      <c r="C342" s="2">
        <f>IF($K342="","",INDEX(מלאי!$Y$2:$500,$K342))</f>
        <v/>
      </c>
      <c r="D342" s="2">
        <f>IF($K342="","",INDEX(מלאי!$Z$2:$500,$K342))</f>
        <v/>
      </c>
      <c r="E342" s="9">
        <f>IF($K342="","",INDEX(מלאי!$AB$2:$500,$K342))</f>
        <v/>
      </c>
      <c r="F342" s="2">
        <f>IF($K342="","",IF(AND(INDEX(מלאי!$AB$2:$500,$K342)&lt;&gt;"",INDEX(מלאי!$AB$2:$500,$K342)&lt;TODAY()),"באיחור!","תקין"))</f>
        <v/>
      </c>
      <c r="G342" s="2" t="n"/>
      <c r="H342" s="2" t="n"/>
      <c r="I342" s="2" t="n"/>
      <c r="J342" s="2" t="n"/>
      <c r="K342" s="2">
        <f>IFERROR(SMALL(IF((מלאי!$D$2:$500&lt;&gt;"")*(מלאי!$X$2:$500="מושאל"),ROW(מלאי!$A$2:$A$500)-ROW(מלאי!$A$2)+1,""),17),"")</f>
        <v/>
      </c>
      <c r="L342" s="2" t="n"/>
      <c r="M342" s="2" t="n"/>
      <c r="N342" s="2" t="n"/>
      <c r="O342" s="2" t="n"/>
      <c r="P342" s="2" t="n"/>
      <c r="Q342" s="2" t="n"/>
    </row>
    <row r="343">
      <c r="A343" s="8">
        <f>IF($K343="","",INDEX(מלאי!$D$2:$500,$K343))</f>
        <v/>
      </c>
      <c r="B343" s="8">
        <f>IF($K343="","",INDEX(מלאי!$B$2:$500,$K343))</f>
        <v/>
      </c>
      <c r="C343" s="8">
        <f>IF($K343="","",INDEX(מלאי!$Y$2:$500,$K343))</f>
        <v/>
      </c>
      <c r="D343" s="8">
        <f>IF($K343="","",INDEX(מלאי!$Z$2:$500,$K343))</f>
        <v/>
      </c>
      <c r="E343" s="10">
        <f>IF($K343="","",INDEX(מלאי!$AB$2:$500,$K343))</f>
        <v/>
      </c>
      <c r="F343" s="8">
        <f>IF($K343="","",IF(AND(INDEX(מלאי!$AB$2:$500,$K343)&lt;&gt;"",INDEX(מלאי!$AB$2:$500,$K343)&lt;TODAY()),"באיחור!","תקין"))</f>
        <v/>
      </c>
      <c r="G343" s="8" t="n"/>
      <c r="H343" s="8" t="n"/>
      <c r="I343" s="8" t="n"/>
      <c r="J343" s="8" t="n"/>
      <c r="K343" s="8">
        <f>IFERROR(SMALL(IF((מלאי!$D$2:$500&lt;&gt;"")*(מלאי!$X$2:$500="מושאל"),ROW(מלאי!$A$2:$A$500)-ROW(מלאי!$A$2)+1,""),18),"")</f>
        <v/>
      </c>
      <c r="L343" s="8" t="n"/>
      <c r="M343" s="8" t="n"/>
      <c r="N343" s="8" t="n"/>
      <c r="O343" s="8" t="n"/>
      <c r="P343" s="8" t="n"/>
      <c r="Q343" s="8" t="n"/>
    </row>
    <row r="344">
      <c r="A344" s="2">
        <f>IF($K344="","",INDEX(מלאי!$D$2:$500,$K344))</f>
        <v/>
      </c>
      <c r="B344" s="2">
        <f>IF($K344="","",INDEX(מלאי!$B$2:$500,$K344))</f>
        <v/>
      </c>
      <c r="C344" s="2">
        <f>IF($K344="","",INDEX(מלאי!$Y$2:$500,$K344))</f>
        <v/>
      </c>
      <c r="D344" s="2">
        <f>IF($K344="","",INDEX(מלאי!$Z$2:$500,$K344))</f>
        <v/>
      </c>
      <c r="E344" s="9">
        <f>IF($K344="","",INDEX(מלאי!$AB$2:$500,$K344))</f>
        <v/>
      </c>
      <c r="F344" s="2">
        <f>IF($K344="","",IF(AND(INDEX(מלאי!$AB$2:$500,$K344)&lt;&gt;"",INDEX(מלאי!$AB$2:$500,$K344)&lt;TODAY()),"באיחור!","תקין"))</f>
        <v/>
      </c>
      <c r="G344" s="2" t="n"/>
      <c r="H344" s="2" t="n"/>
      <c r="I344" s="2" t="n"/>
      <c r="J344" s="2" t="n"/>
      <c r="K344" s="2">
        <f>IFERROR(SMALL(IF((מלאי!$D$2:$500&lt;&gt;"")*(מלאי!$X$2:$500="מושאל"),ROW(מלאי!$A$2:$A$500)-ROW(מלאי!$A$2)+1,""),19),"")</f>
        <v/>
      </c>
      <c r="L344" s="2" t="n"/>
      <c r="M344" s="2" t="n"/>
      <c r="N344" s="2" t="n"/>
      <c r="O344" s="2" t="n"/>
      <c r="P344" s="2" t="n"/>
      <c r="Q344" s="2" t="n"/>
    </row>
    <row r="345">
      <c r="A345" s="8">
        <f>IF($K345="","",INDEX(מלאי!$D$2:$500,$K345))</f>
        <v/>
      </c>
      <c r="B345" s="8">
        <f>IF($K345="","",INDEX(מלאי!$B$2:$500,$K345))</f>
        <v/>
      </c>
      <c r="C345" s="8">
        <f>IF($K345="","",INDEX(מלאי!$Y$2:$500,$K345))</f>
        <v/>
      </c>
      <c r="D345" s="8">
        <f>IF($K345="","",INDEX(מלאי!$Z$2:$500,$K345))</f>
        <v/>
      </c>
      <c r="E345" s="10">
        <f>IF($K345="","",INDEX(מלאי!$AB$2:$500,$K345))</f>
        <v/>
      </c>
      <c r="F345" s="8">
        <f>IF($K345="","",IF(AND(INDEX(מלאי!$AB$2:$500,$K345)&lt;&gt;"",INDEX(מלאי!$AB$2:$500,$K345)&lt;TODAY()),"באיחור!","תקין"))</f>
        <v/>
      </c>
      <c r="G345" s="8" t="n"/>
      <c r="H345" s="8" t="n"/>
      <c r="I345" s="8" t="n"/>
      <c r="J345" s="8" t="n"/>
      <c r="K345" s="8">
        <f>IFERROR(SMALL(IF((מלאי!$D$2:$500&lt;&gt;"")*(מלאי!$X$2:$500="מושאל"),ROW(מלאי!$A$2:$A$500)-ROW(מלאי!$A$2)+1,""),20),"")</f>
        <v/>
      </c>
      <c r="L345" s="8" t="n"/>
      <c r="M345" s="8" t="n"/>
      <c r="N345" s="8" t="n"/>
      <c r="O345" s="8" t="n"/>
      <c r="P345" s="8" t="n"/>
      <c r="Q345" s="8" t="n"/>
    </row>
    <row r="346">
      <c r="A346" s="2">
        <f>IF($K346="","",INDEX(מלאי!$D$2:$500,$K346))</f>
        <v/>
      </c>
      <c r="B346" s="2">
        <f>IF($K346="","",INDEX(מלאי!$B$2:$500,$K346))</f>
        <v/>
      </c>
      <c r="C346" s="2">
        <f>IF($K346="","",INDEX(מלאי!$Y$2:$500,$K346))</f>
        <v/>
      </c>
      <c r="D346" s="2">
        <f>IF($K346="","",INDEX(מלאי!$Z$2:$500,$K346))</f>
        <v/>
      </c>
      <c r="E346" s="9">
        <f>IF($K346="","",INDEX(מלאי!$AB$2:$500,$K346))</f>
        <v/>
      </c>
      <c r="F346" s="2">
        <f>IF($K346="","",IF(AND(INDEX(מלאי!$AB$2:$500,$K346)&lt;&gt;"",INDEX(מלאי!$AB$2:$500,$K346)&lt;TODAY()),"באיחור!","תקין"))</f>
        <v/>
      </c>
      <c r="G346" s="2" t="n"/>
      <c r="H346" s="2" t="n"/>
      <c r="I346" s="2" t="n"/>
      <c r="J346" s="2" t="n"/>
      <c r="K346" s="2">
        <f>IFERROR(SMALL(IF((מלאי!$D$2:$500&lt;&gt;"")*(מלאי!$X$2:$500="מושאל"),ROW(מלאי!$A$2:$A$500)-ROW(מלאי!$A$2)+1,""),21),"")</f>
        <v/>
      </c>
      <c r="L346" s="2" t="n"/>
      <c r="M346" s="2" t="n"/>
      <c r="N346" s="2" t="n"/>
      <c r="O346" s="2" t="n"/>
      <c r="P346" s="2" t="n"/>
      <c r="Q346" s="2" t="n"/>
    </row>
    <row r="347">
      <c r="A347" s="8">
        <f>IF($K347="","",INDEX(מלאי!$D$2:$500,$K347))</f>
        <v/>
      </c>
      <c r="B347" s="8">
        <f>IF($K347="","",INDEX(מלאי!$B$2:$500,$K347))</f>
        <v/>
      </c>
      <c r="C347" s="8">
        <f>IF($K347="","",INDEX(מלאי!$Y$2:$500,$K347))</f>
        <v/>
      </c>
      <c r="D347" s="8">
        <f>IF($K347="","",INDEX(מלאי!$Z$2:$500,$K347))</f>
        <v/>
      </c>
      <c r="E347" s="10">
        <f>IF($K347="","",INDEX(מלאי!$AB$2:$500,$K347))</f>
        <v/>
      </c>
      <c r="F347" s="8">
        <f>IF($K347="","",IF(AND(INDEX(מלאי!$AB$2:$500,$K347)&lt;&gt;"",INDEX(מלאי!$AB$2:$500,$K347)&lt;TODAY()),"באיחור!","תקין"))</f>
        <v/>
      </c>
      <c r="G347" s="8" t="n"/>
      <c r="H347" s="8" t="n"/>
      <c r="I347" s="8" t="n"/>
      <c r="J347" s="8" t="n"/>
      <c r="K347" s="8">
        <f>IFERROR(SMALL(IF((מלאי!$D$2:$500&lt;&gt;"")*(מלאי!$X$2:$500="מושאל"),ROW(מלאי!$A$2:$A$500)-ROW(מלאי!$A$2)+1,""),22),"")</f>
        <v/>
      </c>
      <c r="L347" s="8" t="n"/>
      <c r="M347" s="8" t="n"/>
      <c r="N347" s="8" t="n"/>
      <c r="O347" s="8" t="n"/>
      <c r="P347" s="8" t="n"/>
      <c r="Q347" s="8" t="n"/>
    </row>
    <row r="348">
      <c r="A348" s="2">
        <f>IF($K348="","",INDEX(מלאי!$D$2:$500,$K348))</f>
        <v/>
      </c>
      <c r="B348" s="2">
        <f>IF($K348="","",INDEX(מלאי!$B$2:$500,$K348))</f>
        <v/>
      </c>
      <c r="C348" s="2">
        <f>IF($K348="","",INDEX(מלאי!$Y$2:$500,$K348))</f>
        <v/>
      </c>
      <c r="D348" s="2">
        <f>IF($K348="","",INDEX(מלאי!$Z$2:$500,$K348))</f>
        <v/>
      </c>
      <c r="E348" s="9">
        <f>IF($K348="","",INDEX(מלאי!$AB$2:$500,$K348))</f>
        <v/>
      </c>
      <c r="F348" s="2">
        <f>IF($K348="","",IF(AND(INDEX(מלאי!$AB$2:$500,$K348)&lt;&gt;"",INDEX(מלאי!$AB$2:$500,$K348)&lt;TODAY()),"באיחור!","תקין"))</f>
        <v/>
      </c>
      <c r="G348" s="2" t="n"/>
      <c r="H348" s="2" t="n"/>
      <c r="I348" s="2" t="n"/>
      <c r="J348" s="2" t="n"/>
      <c r="K348" s="2">
        <f>IFERROR(SMALL(IF((מלאי!$D$2:$500&lt;&gt;"")*(מלאי!$X$2:$500="מושאל"),ROW(מלאי!$A$2:$A$500)-ROW(מלאי!$A$2)+1,""),23),"")</f>
        <v/>
      </c>
      <c r="L348" s="2" t="n"/>
      <c r="M348" s="2" t="n"/>
      <c r="N348" s="2" t="n"/>
      <c r="O348" s="2" t="n"/>
      <c r="P348" s="2" t="n"/>
      <c r="Q348" s="2" t="n"/>
    </row>
    <row r="349">
      <c r="A349" s="8">
        <f>IF($K349="","",INDEX(מלאי!$D$2:$500,$K349))</f>
        <v/>
      </c>
      <c r="B349" s="8">
        <f>IF($K349="","",INDEX(מלאי!$B$2:$500,$K349))</f>
        <v/>
      </c>
      <c r="C349" s="8">
        <f>IF($K349="","",INDEX(מלאי!$Y$2:$500,$K349))</f>
        <v/>
      </c>
      <c r="D349" s="8">
        <f>IF($K349="","",INDEX(מלאי!$Z$2:$500,$K349))</f>
        <v/>
      </c>
      <c r="E349" s="10">
        <f>IF($K349="","",INDEX(מלאי!$AB$2:$500,$K349))</f>
        <v/>
      </c>
      <c r="F349" s="8">
        <f>IF($K349="","",IF(AND(INDEX(מלאי!$AB$2:$500,$K349)&lt;&gt;"",INDEX(מלאי!$AB$2:$500,$K349)&lt;TODAY()),"באיחור!","תקין"))</f>
        <v/>
      </c>
      <c r="G349" s="8" t="n"/>
      <c r="H349" s="8" t="n"/>
      <c r="I349" s="8" t="n"/>
      <c r="J349" s="8" t="n"/>
      <c r="K349" s="8">
        <f>IFERROR(SMALL(IF((מלאי!$D$2:$500&lt;&gt;"")*(מלאי!$X$2:$500="מושאל"),ROW(מלאי!$A$2:$A$500)-ROW(מלאי!$A$2)+1,""),24),"")</f>
        <v/>
      </c>
      <c r="L349" s="8" t="n"/>
      <c r="M349" s="8" t="n"/>
      <c r="N349" s="8" t="n"/>
      <c r="O349" s="8" t="n"/>
      <c r="P349" s="8" t="n"/>
      <c r="Q349" s="8" t="n"/>
    </row>
    <row r="350">
      <c r="A350" s="2">
        <f>IF($K350="","",INDEX(מלאי!$D$2:$500,$K350))</f>
        <v/>
      </c>
      <c r="B350" s="2">
        <f>IF($K350="","",INDEX(מלאי!$B$2:$500,$K350))</f>
        <v/>
      </c>
      <c r="C350" s="2">
        <f>IF($K350="","",INDEX(מלאי!$Y$2:$500,$K350))</f>
        <v/>
      </c>
      <c r="D350" s="2">
        <f>IF($K350="","",INDEX(מלאי!$Z$2:$500,$K350))</f>
        <v/>
      </c>
      <c r="E350" s="9">
        <f>IF($K350="","",INDEX(מלאי!$AB$2:$500,$K350))</f>
        <v/>
      </c>
      <c r="F350" s="2">
        <f>IF($K350="","",IF(AND(INDEX(מלאי!$AB$2:$500,$K350)&lt;&gt;"",INDEX(מלאי!$AB$2:$500,$K350)&lt;TODAY()),"באיחור!","תקין"))</f>
        <v/>
      </c>
      <c r="G350" s="2" t="n"/>
      <c r="H350" s="2" t="n"/>
      <c r="I350" s="2" t="n"/>
      <c r="J350" s="2" t="n"/>
      <c r="K350" s="2">
        <f>IFERROR(SMALL(IF((מלאי!$D$2:$500&lt;&gt;"")*(מלאי!$X$2:$500="מושאל"),ROW(מלאי!$A$2:$A$500)-ROW(מלאי!$A$2)+1,""),25),"")</f>
        <v/>
      </c>
      <c r="L350" s="2" t="n"/>
      <c r="M350" s="2" t="n"/>
      <c r="N350" s="2" t="n"/>
      <c r="O350" s="2" t="n"/>
      <c r="P350" s="2" t="n"/>
      <c r="Q350" s="2" t="n"/>
    </row>
    <row r="351">
      <c r="A351" s="8">
        <f>IF($K351="","",INDEX(מלאי!$D$2:$500,$K351))</f>
        <v/>
      </c>
      <c r="B351" s="8">
        <f>IF($K351="","",INDEX(מלאי!$B$2:$500,$K351))</f>
        <v/>
      </c>
      <c r="C351" s="8">
        <f>IF($K351="","",INDEX(מלאי!$Y$2:$500,$K351))</f>
        <v/>
      </c>
      <c r="D351" s="8">
        <f>IF($K351="","",INDEX(מלאי!$Z$2:$500,$K351))</f>
        <v/>
      </c>
      <c r="E351" s="10">
        <f>IF($K351="","",INDEX(מלאי!$AB$2:$500,$K351))</f>
        <v/>
      </c>
      <c r="F351" s="8">
        <f>IF($K351="","",IF(AND(INDEX(מלאי!$AB$2:$500,$K351)&lt;&gt;"",INDEX(מלאי!$AB$2:$500,$K351)&lt;TODAY()),"באיחור!","תקין"))</f>
        <v/>
      </c>
      <c r="G351" s="8" t="n"/>
      <c r="H351" s="8" t="n"/>
      <c r="I351" s="8" t="n"/>
      <c r="J351" s="8" t="n"/>
      <c r="K351" s="8">
        <f>IFERROR(SMALL(IF((מלאי!$D$2:$500&lt;&gt;"")*(מלאי!$X$2:$500="מושאל"),ROW(מלאי!$A$2:$A$500)-ROW(מלאי!$A$2)+1,""),26),"")</f>
        <v/>
      </c>
      <c r="L351" s="8" t="n"/>
      <c r="M351" s="8" t="n"/>
      <c r="N351" s="8" t="n"/>
      <c r="O351" s="8" t="n"/>
      <c r="P351" s="8" t="n"/>
      <c r="Q351" s="8" t="n"/>
    </row>
    <row r="352">
      <c r="A352" s="2">
        <f>IF($K352="","",INDEX(מלאי!$D$2:$500,$K352))</f>
        <v/>
      </c>
      <c r="B352" s="2">
        <f>IF($K352="","",INDEX(מלאי!$B$2:$500,$K352))</f>
        <v/>
      </c>
      <c r="C352" s="2">
        <f>IF($K352="","",INDEX(מלאי!$Y$2:$500,$K352))</f>
        <v/>
      </c>
      <c r="D352" s="2">
        <f>IF($K352="","",INDEX(מלאי!$Z$2:$500,$K352))</f>
        <v/>
      </c>
      <c r="E352" s="9">
        <f>IF($K352="","",INDEX(מלאי!$AB$2:$500,$K352))</f>
        <v/>
      </c>
      <c r="F352" s="2">
        <f>IF($K352="","",IF(AND(INDEX(מלאי!$AB$2:$500,$K352)&lt;&gt;"",INDEX(מלאי!$AB$2:$500,$K352)&lt;TODAY()),"באיחור!","תקין"))</f>
        <v/>
      </c>
      <c r="G352" s="2" t="n"/>
      <c r="H352" s="2" t="n"/>
      <c r="I352" s="2" t="n"/>
      <c r="J352" s="2" t="n"/>
      <c r="K352" s="2">
        <f>IFERROR(SMALL(IF((מלאי!$D$2:$500&lt;&gt;"")*(מלאי!$X$2:$500="מושאל"),ROW(מלאי!$A$2:$A$500)-ROW(מלאי!$A$2)+1,""),27),"")</f>
        <v/>
      </c>
      <c r="L352" s="2" t="n"/>
      <c r="M352" s="2" t="n"/>
      <c r="N352" s="2" t="n"/>
      <c r="O352" s="2" t="n"/>
      <c r="P352" s="2" t="n"/>
      <c r="Q352" s="2" t="n"/>
    </row>
    <row r="353">
      <c r="A353" s="8">
        <f>IF($K353="","",INDEX(מלאי!$D$2:$500,$K353))</f>
        <v/>
      </c>
      <c r="B353" s="8">
        <f>IF($K353="","",INDEX(מלאי!$B$2:$500,$K353))</f>
        <v/>
      </c>
      <c r="C353" s="8">
        <f>IF($K353="","",INDEX(מלאי!$Y$2:$500,$K353))</f>
        <v/>
      </c>
      <c r="D353" s="8">
        <f>IF($K353="","",INDEX(מלאי!$Z$2:$500,$K353))</f>
        <v/>
      </c>
      <c r="E353" s="10">
        <f>IF($K353="","",INDEX(מלאי!$AB$2:$500,$K353))</f>
        <v/>
      </c>
      <c r="F353" s="8">
        <f>IF($K353="","",IF(AND(INDEX(מלאי!$AB$2:$500,$K353)&lt;&gt;"",INDEX(מלאי!$AB$2:$500,$K353)&lt;TODAY()),"באיחור!","תקין"))</f>
        <v/>
      </c>
      <c r="G353" s="8" t="n"/>
      <c r="H353" s="8" t="n"/>
      <c r="I353" s="8" t="n"/>
      <c r="J353" s="8" t="n"/>
      <c r="K353" s="8">
        <f>IFERROR(SMALL(IF((מלאי!$D$2:$500&lt;&gt;"")*(מלאי!$X$2:$500="מושאל"),ROW(מלאי!$A$2:$A$500)-ROW(מלאי!$A$2)+1,""),28),"")</f>
        <v/>
      </c>
      <c r="L353" s="8" t="n"/>
      <c r="M353" s="8" t="n"/>
      <c r="N353" s="8" t="n"/>
      <c r="O353" s="8" t="n"/>
      <c r="P353" s="8" t="n"/>
      <c r="Q353" s="8" t="n"/>
    </row>
    <row r="354">
      <c r="A354" s="2">
        <f>IF($K354="","",INDEX(מלאי!$D$2:$500,$K354))</f>
        <v/>
      </c>
      <c r="B354" s="2">
        <f>IF($K354="","",INDEX(מלאי!$B$2:$500,$K354))</f>
        <v/>
      </c>
      <c r="C354" s="2">
        <f>IF($K354="","",INDEX(מלאי!$Y$2:$500,$K354))</f>
        <v/>
      </c>
      <c r="D354" s="2">
        <f>IF($K354="","",INDEX(מלאי!$Z$2:$500,$K354))</f>
        <v/>
      </c>
      <c r="E354" s="9">
        <f>IF($K354="","",INDEX(מלאי!$AB$2:$500,$K354))</f>
        <v/>
      </c>
      <c r="F354" s="2">
        <f>IF($K354="","",IF(AND(INDEX(מלאי!$AB$2:$500,$K354)&lt;&gt;"",INDEX(מלאי!$AB$2:$500,$K354)&lt;TODAY()),"באיחור!","תקין"))</f>
        <v/>
      </c>
      <c r="G354" s="2" t="n"/>
      <c r="H354" s="2" t="n"/>
      <c r="I354" s="2" t="n"/>
      <c r="J354" s="2" t="n"/>
      <c r="K354" s="2">
        <f>IFERROR(SMALL(IF((מלאי!$D$2:$500&lt;&gt;"")*(מלאי!$X$2:$500="מושאל"),ROW(מלאי!$A$2:$A$500)-ROW(מלאי!$A$2)+1,""),29),"")</f>
        <v/>
      </c>
      <c r="L354" s="2" t="n"/>
      <c r="M354" s="2" t="n"/>
      <c r="N354" s="2" t="n"/>
      <c r="O354" s="2" t="n"/>
      <c r="P354" s="2" t="n"/>
      <c r="Q354" s="2" t="n"/>
    </row>
    <row r="355">
      <c r="A355" s="8">
        <f>IF($K355="","",INDEX(מלאי!$D$2:$500,$K355))</f>
        <v/>
      </c>
      <c r="B355" s="8">
        <f>IF($K355="","",INDEX(מלאי!$B$2:$500,$K355))</f>
        <v/>
      </c>
      <c r="C355" s="8">
        <f>IF($K355="","",INDEX(מלאי!$Y$2:$500,$K355))</f>
        <v/>
      </c>
      <c r="D355" s="8">
        <f>IF($K355="","",INDEX(מלאי!$Z$2:$500,$K355))</f>
        <v/>
      </c>
      <c r="E355" s="10">
        <f>IF($K355="","",INDEX(מלאי!$AB$2:$500,$K355))</f>
        <v/>
      </c>
      <c r="F355" s="8">
        <f>IF($K355="","",IF(AND(INDEX(מלאי!$AB$2:$500,$K355)&lt;&gt;"",INDEX(מלאי!$AB$2:$500,$K355)&lt;TODAY()),"באיחור!","תקין"))</f>
        <v/>
      </c>
      <c r="G355" s="8" t="n"/>
      <c r="H355" s="8" t="n"/>
      <c r="I355" s="8" t="n"/>
      <c r="J355" s="8" t="n"/>
      <c r="K355" s="8">
        <f>IFERROR(SMALL(IF((מלאי!$D$2:$500&lt;&gt;"")*(מלאי!$X$2:$500="מושאל"),ROW(מלאי!$A$2:$A$500)-ROW(מלאי!$A$2)+1,""),30),"")</f>
        <v/>
      </c>
      <c r="L355" s="8" t="n"/>
      <c r="M355" s="8" t="n"/>
      <c r="N355" s="8" t="n"/>
      <c r="O355" s="8" t="n"/>
      <c r="P355" s="8" t="n"/>
      <c r="Q355" s="8" t="n"/>
    </row>
    <row r="356">
      <c r="A356" s="2">
        <f>IF($K356="","",INDEX(מלאי!$D$2:$500,$K356))</f>
        <v/>
      </c>
      <c r="B356" s="2">
        <f>IF($K356="","",INDEX(מלאי!$B$2:$500,$K356))</f>
        <v/>
      </c>
      <c r="C356" s="2">
        <f>IF($K356="","",INDEX(מלאי!$Y$2:$500,$K356))</f>
        <v/>
      </c>
      <c r="D356" s="2">
        <f>IF($K356="","",INDEX(מלאי!$Z$2:$500,$K356))</f>
        <v/>
      </c>
      <c r="E356" s="9">
        <f>IF($K356="","",INDEX(מלאי!$AB$2:$500,$K356))</f>
        <v/>
      </c>
      <c r="F356" s="2">
        <f>IF($K356="","",IF(AND(INDEX(מלאי!$AB$2:$500,$K356)&lt;&gt;"",INDEX(מלאי!$AB$2:$500,$K356)&lt;TODAY()),"באיחור!","תקין"))</f>
        <v/>
      </c>
      <c r="G356" s="2" t="n"/>
      <c r="H356" s="2" t="n"/>
      <c r="I356" s="2" t="n"/>
      <c r="J356" s="2" t="n"/>
      <c r="K356" s="2">
        <f>IFERROR(SMALL(IF((מלאי!$D$2:$500&lt;&gt;"")*(מלאי!$X$2:$500="מושאל"),ROW(מלאי!$A$2:$A$500)-ROW(מלאי!$A$2)+1,""),31),"")</f>
        <v/>
      </c>
      <c r="L356" s="2" t="n"/>
      <c r="M356" s="2" t="n"/>
      <c r="N356" s="2" t="n"/>
      <c r="O356" s="2" t="n"/>
      <c r="P356" s="2" t="n"/>
      <c r="Q356" s="2" t="n"/>
    </row>
    <row r="357">
      <c r="A357" s="8">
        <f>IF($K357="","",INDEX(מלאי!$D$2:$500,$K357))</f>
        <v/>
      </c>
      <c r="B357" s="8">
        <f>IF($K357="","",INDEX(מלאי!$B$2:$500,$K357))</f>
        <v/>
      </c>
      <c r="C357" s="8">
        <f>IF($K357="","",INDEX(מלאי!$Y$2:$500,$K357))</f>
        <v/>
      </c>
      <c r="D357" s="8">
        <f>IF($K357="","",INDEX(מלאי!$Z$2:$500,$K357))</f>
        <v/>
      </c>
      <c r="E357" s="10">
        <f>IF($K357="","",INDEX(מלאי!$AB$2:$500,$K357))</f>
        <v/>
      </c>
      <c r="F357" s="8">
        <f>IF($K357="","",IF(AND(INDEX(מלאי!$AB$2:$500,$K357)&lt;&gt;"",INDEX(מלאי!$AB$2:$500,$K357)&lt;TODAY()),"באיחור!","תקין"))</f>
        <v/>
      </c>
      <c r="G357" s="8" t="n"/>
      <c r="H357" s="8" t="n"/>
      <c r="I357" s="8" t="n"/>
      <c r="J357" s="8" t="n"/>
      <c r="K357" s="8">
        <f>IFERROR(SMALL(IF((מלאי!$D$2:$500&lt;&gt;"")*(מלאי!$X$2:$500="מושאל"),ROW(מלאי!$A$2:$A$500)-ROW(מלאי!$A$2)+1,""),32),"")</f>
        <v/>
      </c>
      <c r="L357" s="8" t="n"/>
      <c r="M357" s="8" t="n"/>
      <c r="N357" s="8" t="n"/>
      <c r="O357" s="8" t="n"/>
      <c r="P357" s="8" t="n"/>
      <c r="Q357" s="8" t="n"/>
    </row>
    <row r="358">
      <c r="A358" s="2">
        <f>IF($K358="","",INDEX(מלאי!$D$2:$500,$K358))</f>
        <v/>
      </c>
      <c r="B358" s="2">
        <f>IF($K358="","",INDEX(מלאי!$B$2:$500,$K358))</f>
        <v/>
      </c>
      <c r="C358" s="2">
        <f>IF($K358="","",INDEX(מלאי!$Y$2:$500,$K358))</f>
        <v/>
      </c>
      <c r="D358" s="2">
        <f>IF($K358="","",INDEX(מלאי!$Z$2:$500,$K358))</f>
        <v/>
      </c>
      <c r="E358" s="9">
        <f>IF($K358="","",INDEX(מלאי!$AB$2:$500,$K358))</f>
        <v/>
      </c>
      <c r="F358" s="2">
        <f>IF($K358="","",IF(AND(INDEX(מלאי!$AB$2:$500,$K358)&lt;&gt;"",INDEX(מלאי!$AB$2:$500,$K358)&lt;TODAY()),"באיחור!","תקין"))</f>
        <v/>
      </c>
      <c r="G358" s="2" t="n"/>
      <c r="H358" s="2" t="n"/>
      <c r="I358" s="2" t="n"/>
      <c r="J358" s="2" t="n"/>
      <c r="K358" s="2">
        <f>IFERROR(SMALL(IF((מלאי!$D$2:$500&lt;&gt;"")*(מלאי!$X$2:$500="מושאל"),ROW(מלאי!$A$2:$A$500)-ROW(מלאי!$A$2)+1,""),33),"")</f>
        <v/>
      </c>
      <c r="L358" s="2" t="n"/>
      <c r="M358" s="2" t="n"/>
      <c r="N358" s="2" t="n"/>
      <c r="O358" s="2" t="n"/>
      <c r="P358" s="2" t="n"/>
      <c r="Q358" s="2" t="n"/>
    </row>
    <row r="359">
      <c r="A359" s="8">
        <f>IF($K359="","",INDEX(מלאי!$D$2:$500,$K359))</f>
        <v/>
      </c>
      <c r="B359" s="8">
        <f>IF($K359="","",INDEX(מלאי!$B$2:$500,$K359))</f>
        <v/>
      </c>
      <c r="C359" s="8">
        <f>IF($K359="","",INDEX(מלאי!$Y$2:$500,$K359))</f>
        <v/>
      </c>
      <c r="D359" s="8">
        <f>IF($K359="","",INDEX(מלאי!$Z$2:$500,$K359))</f>
        <v/>
      </c>
      <c r="E359" s="10">
        <f>IF($K359="","",INDEX(מלאי!$AB$2:$500,$K359))</f>
        <v/>
      </c>
      <c r="F359" s="8">
        <f>IF($K359="","",IF(AND(INDEX(מלאי!$AB$2:$500,$K359)&lt;&gt;"",INDEX(מלאי!$AB$2:$500,$K359)&lt;TODAY()),"באיחור!","תקין"))</f>
        <v/>
      </c>
      <c r="G359" s="8" t="n"/>
      <c r="H359" s="8" t="n"/>
      <c r="I359" s="8" t="n"/>
      <c r="J359" s="8" t="n"/>
      <c r="K359" s="8">
        <f>IFERROR(SMALL(IF((מלאי!$D$2:$500&lt;&gt;"")*(מלאי!$X$2:$500="מושאל"),ROW(מלאי!$A$2:$A$500)-ROW(מלאי!$A$2)+1,""),34),"")</f>
        <v/>
      </c>
      <c r="L359" s="8" t="n"/>
      <c r="M359" s="8" t="n"/>
      <c r="N359" s="8" t="n"/>
      <c r="O359" s="8" t="n"/>
      <c r="P359" s="8" t="n"/>
      <c r="Q359" s="8" t="n"/>
    </row>
    <row r="360">
      <c r="A360" s="2">
        <f>IF($K360="","",INDEX(מלאי!$D$2:$500,$K360))</f>
        <v/>
      </c>
      <c r="B360" s="2">
        <f>IF($K360="","",INDEX(מלאי!$B$2:$500,$K360))</f>
        <v/>
      </c>
      <c r="C360" s="2">
        <f>IF($K360="","",INDEX(מלאי!$Y$2:$500,$K360))</f>
        <v/>
      </c>
      <c r="D360" s="2">
        <f>IF($K360="","",INDEX(מלאי!$Z$2:$500,$K360))</f>
        <v/>
      </c>
      <c r="E360" s="9">
        <f>IF($K360="","",INDEX(מלאי!$AB$2:$500,$K360))</f>
        <v/>
      </c>
      <c r="F360" s="2">
        <f>IF($K360="","",IF(AND(INDEX(מלאי!$AB$2:$500,$K360)&lt;&gt;"",INDEX(מלאי!$AB$2:$500,$K360)&lt;TODAY()),"באיחור!","תקין"))</f>
        <v/>
      </c>
      <c r="G360" s="2" t="n"/>
      <c r="H360" s="2" t="n"/>
      <c r="I360" s="2" t="n"/>
      <c r="J360" s="2" t="n"/>
      <c r="K360" s="2">
        <f>IFERROR(SMALL(IF((מלאי!$D$2:$500&lt;&gt;"")*(מלאי!$X$2:$500="מושאל"),ROW(מלאי!$A$2:$A$500)-ROW(מלאי!$A$2)+1,""),35),"")</f>
        <v/>
      </c>
      <c r="L360" s="2" t="n"/>
      <c r="M360" s="2" t="n"/>
      <c r="N360" s="2" t="n"/>
      <c r="O360" s="2" t="n"/>
      <c r="P360" s="2" t="n"/>
      <c r="Q360" s="2" t="n"/>
    </row>
    <row r="361">
      <c r="A361" s="8">
        <f>IF($K361="","",INDEX(מלאי!$D$2:$500,$K361))</f>
        <v/>
      </c>
      <c r="B361" s="8">
        <f>IF($K361="","",INDEX(מלאי!$B$2:$500,$K361))</f>
        <v/>
      </c>
      <c r="C361" s="8">
        <f>IF($K361="","",INDEX(מלאי!$Y$2:$500,$K361))</f>
        <v/>
      </c>
      <c r="D361" s="8">
        <f>IF($K361="","",INDEX(מלאי!$Z$2:$500,$K361))</f>
        <v/>
      </c>
      <c r="E361" s="10">
        <f>IF($K361="","",INDEX(מלאי!$AB$2:$500,$K361))</f>
        <v/>
      </c>
      <c r="F361" s="8">
        <f>IF($K361="","",IF(AND(INDEX(מלאי!$AB$2:$500,$K361)&lt;&gt;"",INDEX(מלאי!$AB$2:$500,$K361)&lt;TODAY()),"באיחור!","תקין"))</f>
        <v/>
      </c>
      <c r="G361" s="8" t="n"/>
      <c r="H361" s="8" t="n"/>
      <c r="I361" s="8" t="n"/>
      <c r="J361" s="8" t="n"/>
      <c r="K361" s="8">
        <f>IFERROR(SMALL(IF((מלאי!$D$2:$500&lt;&gt;"")*(מלאי!$X$2:$500="מושאל"),ROW(מלאי!$A$2:$A$500)-ROW(מלאי!$A$2)+1,""),36),"")</f>
        <v/>
      </c>
      <c r="L361" s="8" t="n"/>
      <c r="M361" s="8" t="n"/>
      <c r="N361" s="8" t="n"/>
      <c r="O361" s="8" t="n"/>
      <c r="P361" s="8" t="n"/>
      <c r="Q361" s="8" t="n"/>
    </row>
    <row r="362">
      <c r="A362" s="2">
        <f>IF($K362="","",INDEX(מלאי!$D$2:$500,$K362))</f>
        <v/>
      </c>
      <c r="B362" s="2">
        <f>IF($K362="","",INDEX(מלאי!$B$2:$500,$K362))</f>
        <v/>
      </c>
      <c r="C362" s="2">
        <f>IF($K362="","",INDEX(מלאי!$Y$2:$500,$K362))</f>
        <v/>
      </c>
      <c r="D362" s="2">
        <f>IF($K362="","",INDEX(מלאי!$Z$2:$500,$K362))</f>
        <v/>
      </c>
      <c r="E362" s="9">
        <f>IF($K362="","",INDEX(מלאי!$AB$2:$500,$K362))</f>
        <v/>
      </c>
      <c r="F362" s="2">
        <f>IF($K362="","",IF(AND(INDEX(מלאי!$AB$2:$500,$K362)&lt;&gt;"",INDEX(מלאי!$AB$2:$500,$K362)&lt;TODAY()),"באיחור!","תקין"))</f>
        <v/>
      </c>
      <c r="G362" s="2" t="n"/>
      <c r="H362" s="2" t="n"/>
      <c r="I362" s="2" t="n"/>
      <c r="J362" s="2" t="n"/>
      <c r="K362" s="2">
        <f>IFERROR(SMALL(IF((מלאי!$D$2:$500&lt;&gt;"")*(מלאי!$X$2:$500="מושאל"),ROW(מלאי!$A$2:$A$500)-ROW(מלאי!$A$2)+1,""),37),"")</f>
        <v/>
      </c>
      <c r="L362" s="2" t="n"/>
      <c r="M362" s="2" t="n"/>
      <c r="N362" s="2" t="n"/>
      <c r="O362" s="2" t="n"/>
      <c r="P362" s="2" t="n"/>
      <c r="Q362" s="2" t="n"/>
    </row>
    <row r="363">
      <c r="A363" s="8">
        <f>IF($K363="","",INDEX(מלאי!$D$2:$500,$K363))</f>
        <v/>
      </c>
      <c r="B363" s="8">
        <f>IF($K363="","",INDEX(מלאי!$B$2:$500,$K363))</f>
        <v/>
      </c>
      <c r="C363" s="8">
        <f>IF($K363="","",INDEX(מלאי!$Y$2:$500,$K363))</f>
        <v/>
      </c>
      <c r="D363" s="8">
        <f>IF($K363="","",INDEX(מלאי!$Z$2:$500,$K363))</f>
        <v/>
      </c>
      <c r="E363" s="10">
        <f>IF($K363="","",INDEX(מלאי!$AB$2:$500,$K363))</f>
        <v/>
      </c>
      <c r="F363" s="8">
        <f>IF($K363="","",IF(AND(INDEX(מלאי!$AB$2:$500,$K363)&lt;&gt;"",INDEX(מלאי!$AB$2:$500,$K363)&lt;TODAY()),"באיחור!","תקין"))</f>
        <v/>
      </c>
      <c r="G363" s="8" t="n"/>
      <c r="H363" s="8" t="n"/>
      <c r="I363" s="8" t="n"/>
      <c r="J363" s="8" t="n"/>
      <c r="K363" s="8">
        <f>IFERROR(SMALL(IF((מלאי!$D$2:$500&lt;&gt;"")*(מלאי!$X$2:$500="מושאל"),ROW(מלאי!$A$2:$A$500)-ROW(מלאי!$A$2)+1,""),38),"")</f>
        <v/>
      </c>
      <c r="L363" s="8" t="n"/>
      <c r="M363" s="8" t="n"/>
      <c r="N363" s="8" t="n"/>
      <c r="O363" s="8" t="n"/>
      <c r="P363" s="8" t="n"/>
      <c r="Q363" s="8" t="n"/>
    </row>
    <row r="364">
      <c r="A364" s="2">
        <f>IF($K364="","",INDEX(מלאי!$D$2:$500,$K364))</f>
        <v/>
      </c>
      <c r="B364" s="2">
        <f>IF($K364="","",INDEX(מלאי!$B$2:$500,$K364))</f>
        <v/>
      </c>
      <c r="C364" s="2">
        <f>IF($K364="","",INDEX(מלאי!$Y$2:$500,$K364))</f>
        <v/>
      </c>
      <c r="D364" s="2">
        <f>IF($K364="","",INDEX(מלאי!$Z$2:$500,$K364))</f>
        <v/>
      </c>
      <c r="E364" s="9">
        <f>IF($K364="","",INDEX(מלאי!$AB$2:$500,$K364))</f>
        <v/>
      </c>
      <c r="F364" s="2">
        <f>IF($K364="","",IF(AND(INDEX(מלאי!$AB$2:$500,$K364)&lt;&gt;"",INDEX(מלאי!$AB$2:$500,$K364)&lt;TODAY()),"באיחור!","תקין"))</f>
        <v/>
      </c>
      <c r="G364" s="2" t="n"/>
      <c r="H364" s="2" t="n"/>
      <c r="I364" s="2" t="n"/>
      <c r="J364" s="2" t="n"/>
      <c r="K364" s="2">
        <f>IFERROR(SMALL(IF((מלאי!$D$2:$500&lt;&gt;"")*(מלאי!$X$2:$500="מושאל"),ROW(מלאי!$A$2:$A$500)-ROW(מלאי!$A$2)+1,""),39),"")</f>
        <v/>
      </c>
      <c r="L364" s="2" t="n"/>
      <c r="M364" s="2" t="n"/>
      <c r="N364" s="2" t="n"/>
      <c r="O364" s="2" t="n"/>
      <c r="P364" s="2" t="n"/>
      <c r="Q364" s="2" t="n"/>
    </row>
    <row r="365">
      <c r="A365" s="8">
        <f>IF($K365="","",INDEX(מלאי!$D$2:$500,$K365))</f>
        <v/>
      </c>
      <c r="B365" s="8">
        <f>IF($K365="","",INDEX(מלאי!$B$2:$500,$K365))</f>
        <v/>
      </c>
      <c r="C365" s="8">
        <f>IF($K365="","",INDEX(מלאי!$Y$2:$500,$K365))</f>
        <v/>
      </c>
      <c r="D365" s="8">
        <f>IF($K365="","",INDEX(מלאי!$Z$2:$500,$K365))</f>
        <v/>
      </c>
      <c r="E365" s="10">
        <f>IF($K365="","",INDEX(מלאי!$AB$2:$500,$K365))</f>
        <v/>
      </c>
      <c r="F365" s="8">
        <f>IF($K365="","",IF(AND(INDEX(מלאי!$AB$2:$500,$K365)&lt;&gt;"",INDEX(מלאי!$AB$2:$500,$K365)&lt;TODAY()),"באיחור!","תקין"))</f>
        <v/>
      </c>
      <c r="G365" s="8" t="n"/>
      <c r="H365" s="8" t="n"/>
      <c r="I365" s="8" t="n"/>
      <c r="J365" s="8" t="n"/>
      <c r="K365" s="8">
        <f>IFERROR(SMALL(IF((מלאי!$D$2:$500&lt;&gt;"")*(מלאי!$X$2:$500="מושאל"),ROW(מלאי!$A$2:$A$500)-ROW(מלאי!$A$2)+1,""),40),"")</f>
        <v/>
      </c>
      <c r="L365" s="8" t="n"/>
      <c r="M365" s="8" t="n"/>
      <c r="N365" s="8" t="n"/>
      <c r="O365" s="8" t="n"/>
      <c r="P365" s="8" t="n"/>
      <c r="Q365" s="8" t="n"/>
    </row>
    <row r="366">
      <c r="A366" s="2">
        <f>IF($K366="","",INDEX(מלאי!$D$2:$500,$K366))</f>
        <v/>
      </c>
      <c r="B366" s="2">
        <f>IF($K366="","",INDEX(מלאי!$B$2:$500,$K366))</f>
        <v/>
      </c>
      <c r="C366" s="2">
        <f>IF($K366="","",INDEX(מלאי!$Y$2:$500,$K366))</f>
        <v/>
      </c>
      <c r="D366" s="2">
        <f>IF($K366="","",INDEX(מלאי!$Z$2:$500,$K366))</f>
        <v/>
      </c>
      <c r="E366" s="9">
        <f>IF($K366="","",INDEX(מלאי!$AB$2:$500,$K366))</f>
        <v/>
      </c>
      <c r="F366" s="2">
        <f>IF($K366="","",IF(AND(INDEX(מלאי!$AB$2:$500,$K366)&lt;&gt;"",INDEX(מלאי!$AB$2:$500,$K366)&lt;TODAY()),"באיחור!","תקין"))</f>
        <v/>
      </c>
      <c r="G366" s="2" t="n"/>
      <c r="H366" s="2" t="n"/>
      <c r="I366" s="2" t="n"/>
      <c r="J366" s="2" t="n"/>
      <c r="K366" s="2">
        <f>IFERROR(SMALL(IF((מלאי!$D$2:$500&lt;&gt;"")*(מלאי!$X$2:$500="מושאל"),ROW(מלאי!$A$2:$A$500)-ROW(מלאי!$A$2)+1,""),41),"")</f>
        <v/>
      </c>
      <c r="L366" s="2" t="n"/>
      <c r="M366" s="2" t="n"/>
      <c r="N366" s="2" t="n"/>
      <c r="O366" s="2" t="n"/>
      <c r="P366" s="2" t="n"/>
      <c r="Q366" s="2" t="n"/>
    </row>
    <row r="367">
      <c r="A367" s="8">
        <f>IF($K367="","",INDEX(מלאי!$D$2:$500,$K367))</f>
        <v/>
      </c>
      <c r="B367" s="8">
        <f>IF($K367="","",INDEX(מלאי!$B$2:$500,$K367))</f>
        <v/>
      </c>
      <c r="C367" s="8">
        <f>IF($K367="","",INDEX(מלאי!$Y$2:$500,$K367))</f>
        <v/>
      </c>
      <c r="D367" s="8">
        <f>IF($K367="","",INDEX(מלאי!$Z$2:$500,$K367))</f>
        <v/>
      </c>
      <c r="E367" s="10">
        <f>IF($K367="","",INDEX(מלאי!$AB$2:$500,$K367))</f>
        <v/>
      </c>
      <c r="F367" s="8">
        <f>IF($K367="","",IF(AND(INDEX(מלאי!$AB$2:$500,$K367)&lt;&gt;"",INDEX(מלאי!$AB$2:$500,$K367)&lt;TODAY()),"באיחור!","תקין"))</f>
        <v/>
      </c>
      <c r="G367" s="8" t="n"/>
      <c r="H367" s="8" t="n"/>
      <c r="I367" s="8" t="n"/>
      <c r="J367" s="8" t="n"/>
      <c r="K367" s="8">
        <f>IFERROR(SMALL(IF((מלאי!$D$2:$500&lt;&gt;"")*(מלאי!$X$2:$500="מושאל"),ROW(מלאי!$A$2:$A$500)-ROW(מלאי!$A$2)+1,""),42),"")</f>
        <v/>
      </c>
      <c r="L367" s="8" t="n"/>
      <c r="M367" s="8" t="n"/>
      <c r="N367" s="8" t="n"/>
      <c r="O367" s="8" t="n"/>
      <c r="P367" s="8" t="n"/>
      <c r="Q367" s="8" t="n"/>
    </row>
    <row r="368">
      <c r="A368" s="2">
        <f>IF($K368="","",INDEX(מלאי!$D$2:$500,$K368))</f>
        <v/>
      </c>
      <c r="B368" s="2">
        <f>IF($K368="","",INDEX(מלאי!$B$2:$500,$K368))</f>
        <v/>
      </c>
      <c r="C368" s="2">
        <f>IF($K368="","",INDEX(מלאי!$Y$2:$500,$K368))</f>
        <v/>
      </c>
      <c r="D368" s="2">
        <f>IF($K368="","",INDEX(מלאי!$Z$2:$500,$K368))</f>
        <v/>
      </c>
      <c r="E368" s="9">
        <f>IF($K368="","",INDEX(מלאי!$AB$2:$500,$K368))</f>
        <v/>
      </c>
      <c r="F368" s="2">
        <f>IF($K368="","",IF(AND(INDEX(מלאי!$AB$2:$500,$K368)&lt;&gt;"",INDEX(מלאי!$AB$2:$500,$K368)&lt;TODAY()),"באיחור!","תקין"))</f>
        <v/>
      </c>
      <c r="G368" s="2" t="n"/>
      <c r="H368" s="2" t="n"/>
      <c r="I368" s="2" t="n"/>
      <c r="J368" s="2" t="n"/>
      <c r="K368" s="2">
        <f>IFERROR(SMALL(IF((מלאי!$D$2:$500&lt;&gt;"")*(מלאי!$X$2:$500="מושאל"),ROW(מלאי!$A$2:$A$500)-ROW(מלאי!$A$2)+1,""),43),"")</f>
        <v/>
      </c>
      <c r="L368" s="2" t="n"/>
      <c r="M368" s="2" t="n"/>
      <c r="N368" s="2" t="n"/>
      <c r="O368" s="2" t="n"/>
      <c r="P368" s="2" t="n"/>
      <c r="Q368" s="2" t="n"/>
    </row>
    <row r="369">
      <c r="A369" s="8">
        <f>IF($K369="","",INDEX(מלאי!$D$2:$500,$K369))</f>
        <v/>
      </c>
      <c r="B369" s="8">
        <f>IF($K369="","",INDEX(מלאי!$B$2:$500,$K369))</f>
        <v/>
      </c>
      <c r="C369" s="8">
        <f>IF($K369="","",INDEX(מלאי!$Y$2:$500,$K369))</f>
        <v/>
      </c>
      <c r="D369" s="8">
        <f>IF($K369="","",INDEX(מלאי!$Z$2:$500,$K369))</f>
        <v/>
      </c>
      <c r="E369" s="10">
        <f>IF($K369="","",INDEX(מלאי!$AB$2:$500,$K369))</f>
        <v/>
      </c>
      <c r="F369" s="8">
        <f>IF($K369="","",IF(AND(INDEX(מלאי!$AB$2:$500,$K369)&lt;&gt;"",INDEX(מלאי!$AB$2:$500,$K369)&lt;TODAY()),"באיחור!","תקין"))</f>
        <v/>
      </c>
      <c r="G369" s="8" t="n"/>
      <c r="H369" s="8" t="n"/>
      <c r="I369" s="8" t="n"/>
      <c r="J369" s="8" t="n"/>
      <c r="K369" s="8">
        <f>IFERROR(SMALL(IF((מלאי!$D$2:$500&lt;&gt;"")*(מלאי!$X$2:$500="מושאל"),ROW(מלאי!$A$2:$A$500)-ROW(מלאי!$A$2)+1,""),44),"")</f>
        <v/>
      </c>
      <c r="L369" s="8" t="n"/>
      <c r="M369" s="8" t="n"/>
      <c r="N369" s="8" t="n"/>
      <c r="O369" s="8" t="n"/>
      <c r="P369" s="8" t="n"/>
      <c r="Q369" s="8" t="n"/>
    </row>
    <row r="370">
      <c r="A370" s="2">
        <f>IF($K370="","",INDEX(מלאי!$D$2:$500,$K370))</f>
        <v/>
      </c>
      <c r="B370" s="2">
        <f>IF($K370="","",INDEX(מלאי!$B$2:$500,$K370))</f>
        <v/>
      </c>
      <c r="C370" s="2">
        <f>IF($K370="","",INDEX(מלאי!$Y$2:$500,$K370))</f>
        <v/>
      </c>
      <c r="D370" s="2">
        <f>IF($K370="","",INDEX(מלאי!$Z$2:$500,$K370))</f>
        <v/>
      </c>
      <c r="E370" s="9">
        <f>IF($K370="","",INDEX(מלאי!$AB$2:$500,$K370))</f>
        <v/>
      </c>
      <c r="F370" s="2">
        <f>IF($K370="","",IF(AND(INDEX(מלאי!$AB$2:$500,$K370)&lt;&gt;"",INDEX(מלאי!$AB$2:$500,$K370)&lt;TODAY()),"באיחור!","תקין"))</f>
        <v/>
      </c>
      <c r="G370" s="2" t="n"/>
      <c r="H370" s="2" t="n"/>
      <c r="I370" s="2" t="n"/>
      <c r="J370" s="2" t="n"/>
      <c r="K370" s="2">
        <f>IFERROR(SMALL(IF((מלאי!$D$2:$500&lt;&gt;"")*(מלאי!$X$2:$500="מושאל"),ROW(מלאי!$A$2:$A$500)-ROW(מלאי!$A$2)+1,""),45),"")</f>
        <v/>
      </c>
      <c r="L370" s="2" t="n"/>
      <c r="M370" s="2" t="n"/>
      <c r="N370" s="2" t="n"/>
      <c r="O370" s="2" t="n"/>
      <c r="P370" s="2" t="n"/>
      <c r="Q370" s="2" t="n"/>
    </row>
    <row r="371">
      <c r="A371" s="8">
        <f>IF($K371="","",INDEX(מלאי!$D$2:$500,$K371))</f>
        <v/>
      </c>
      <c r="B371" s="8">
        <f>IF($K371="","",INDEX(מלאי!$B$2:$500,$K371))</f>
        <v/>
      </c>
      <c r="C371" s="8">
        <f>IF($K371="","",INDEX(מלאי!$Y$2:$500,$K371))</f>
        <v/>
      </c>
      <c r="D371" s="8">
        <f>IF($K371="","",INDEX(מלאי!$Z$2:$500,$K371))</f>
        <v/>
      </c>
      <c r="E371" s="10">
        <f>IF($K371="","",INDEX(מלאי!$AB$2:$500,$K371))</f>
        <v/>
      </c>
      <c r="F371" s="8">
        <f>IF($K371="","",IF(AND(INDEX(מלאי!$AB$2:$500,$K371)&lt;&gt;"",INDEX(מלאי!$AB$2:$500,$K371)&lt;TODAY()),"באיחור!","תקין"))</f>
        <v/>
      </c>
      <c r="G371" s="8" t="n"/>
      <c r="H371" s="8" t="n"/>
      <c r="I371" s="8" t="n"/>
      <c r="J371" s="8" t="n"/>
      <c r="K371" s="8">
        <f>IFERROR(SMALL(IF((מלאי!$D$2:$500&lt;&gt;"")*(מלאי!$X$2:$500="מושאל"),ROW(מלאי!$A$2:$A$500)-ROW(מלאי!$A$2)+1,""),46),"")</f>
        <v/>
      </c>
      <c r="L371" s="8" t="n"/>
      <c r="M371" s="8" t="n"/>
      <c r="N371" s="8" t="n"/>
      <c r="O371" s="8" t="n"/>
      <c r="P371" s="8" t="n"/>
      <c r="Q371" s="8" t="n"/>
    </row>
    <row r="372">
      <c r="A372" s="2">
        <f>IF($K372="","",INDEX(מלאי!$D$2:$500,$K372))</f>
        <v/>
      </c>
      <c r="B372" s="2">
        <f>IF($K372="","",INDEX(מלאי!$B$2:$500,$K372))</f>
        <v/>
      </c>
      <c r="C372" s="2">
        <f>IF($K372="","",INDEX(מלאי!$Y$2:$500,$K372))</f>
        <v/>
      </c>
      <c r="D372" s="2">
        <f>IF($K372="","",INDEX(מלאי!$Z$2:$500,$K372))</f>
        <v/>
      </c>
      <c r="E372" s="9">
        <f>IF($K372="","",INDEX(מלאי!$AB$2:$500,$K372))</f>
        <v/>
      </c>
      <c r="F372" s="2">
        <f>IF($K372="","",IF(AND(INDEX(מלאי!$AB$2:$500,$K372)&lt;&gt;"",INDEX(מלאי!$AB$2:$500,$K372)&lt;TODAY()),"באיחור!","תקין"))</f>
        <v/>
      </c>
      <c r="G372" s="2" t="n"/>
      <c r="H372" s="2" t="n"/>
      <c r="I372" s="2" t="n"/>
      <c r="J372" s="2" t="n"/>
      <c r="K372" s="2">
        <f>IFERROR(SMALL(IF((מלאי!$D$2:$500&lt;&gt;"")*(מלאי!$X$2:$500="מושאל"),ROW(מלאי!$A$2:$A$500)-ROW(מלאי!$A$2)+1,""),47),"")</f>
        <v/>
      </c>
      <c r="L372" s="2" t="n"/>
      <c r="M372" s="2" t="n"/>
      <c r="N372" s="2" t="n"/>
      <c r="O372" s="2" t="n"/>
      <c r="P372" s="2" t="n"/>
      <c r="Q372" s="2" t="n"/>
    </row>
    <row r="373">
      <c r="A373" s="8">
        <f>IF($K373="","",INDEX(מלאי!$D$2:$500,$K373))</f>
        <v/>
      </c>
      <c r="B373" s="8">
        <f>IF($K373="","",INDEX(מלאי!$B$2:$500,$K373))</f>
        <v/>
      </c>
      <c r="C373" s="8">
        <f>IF($K373="","",INDEX(מלאי!$Y$2:$500,$K373))</f>
        <v/>
      </c>
      <c r="D373" s="8">
        <f>IF($K373="","",INDEX(מלאי!$Z$2:$500,$K373))</f>
        <v/>
      </c>
      <c r="E373" s="10">
        <f>IF($K373="","",INDEX(מלאי!$AB$2:$500,$K373))</f>
        <v/>
      </c>
      <c r="F373" s="8">
        <f>IF($K373="","",IF(AND(INDEX(מלאי!$AB$2:$500,$K373)&lt;&gt;"",INDEX(מלאי!$AB$2:$500,$K373)&lt;TODAY()),"באיחור!","תקין"))</f>
        <v/>
      </c>
      <c r="G373" s="8" t="n"/>
      <c r="H373" s="8" t="n"/>
      <c r="I373" s="8" t="n"/>
      <c r="J373" s="8" t="n"/>
      <c r="K373" s="8">
        <f>IFERROR(SMALL(IF((מלאי!$D$2:$500&lt;&gt;"")*(מלאי!$X$2:$500="מושאל"),ROW(מלאי!$A$2:$A$500)-ROW(מלאי!$A$2)+1,""),48),"")</f>
        <v/>
      </c>
      <c r="L373" s="8" t="n"/>
      <c r="M373" s="8" t="n"/>
      <c r="N373" s="8" t="n"/>
      <c r="O373" s="8" t="n"/>
      <c r="P373" s="8" t="n"/>
      <c r="Q373" s="8" t="n"/>
    </row>
    <row r="374">
      <c r="A374" s="2">
        <f>IF($K374="","",INDEX(מלאי!$D$2:$500,$K374))</f>
        <v/>
      </c>
      <c r="B374" s="2">
        <f>IF($K374="","",INDEX(מלאי!$B$2:$500,$K374))</f>
        <v/>
      </c>
      <c r="C374" s="2">
        <f>IF($K374="","",INDEX(מלאי!$Y$2:$500,$K374))</f>
        <v/>
      </c>
      <c r="D374" s="2">
        <f>IF($K374="","",INDEX(מלאי!$Z$2:$500,$K374))</f>
        <v/>
      </c>
      <c r="E374" s="9">
        <f>IF($K374="","",INDEX(מלאי!$AB$2:$500,$K374))</f>
        <v/>
      </c>
      <c r="F374" s="2">
        <f>IF($K374="","",IF(AND(INDEX(מלאי!$AB$2:$500,$K374)&lt;&gt;"",INDEX(מלאי!$AB$2:$500,$K374)&lt;TODAY()),"באיחור!","תקין"))</f>
        <v/>
      </c>
      <c r="G374" s="2" t="n"/>
      <c r="H374" s="2" t="n"/>
      <c r="I374" s="2" t="n"/>
      <c r="J374" s="2" t="n"/>
      <c r="K374" s="2">
        <f>IFERROR(SMALL(IF((מלאי!$D$2:$500&lt;&gt;"")*(מלאי!$X$2:$500="מושאל"),ROW(מלאי!$A$2:$A$500)-ROW(מלאי!$A$2)+1,""),49),"")</f>
        <v/>
      </c>
      <c r="L374" s="2" t="n"/>
      <c r="M374" s="2" t="n"/>
      <c r="N374" s="2" t="n"/>
      <c r="O374" s="2" t="n"/>
      <c r="P374" s="2" t="n"/>
      <c r="Q374" s="2" t="n"/>
    </row>
    <row r="375">
      <c r="A375" s="8">
        <f>IF($K375="","",INDEX(מלאי!$D$2:$500,$K375))</f>
        <v/>
      </c>
      <c r="B375" s="8">
        <f>IF($K375="","",INDEX(מלאי!$B$2:$500,$K375))</f>
        <v/>
      </c>
      <c r="C375" s="8">
        <f>IF($K375="","",INDEX(מלאי!$Y$2:$500,$K375))</f>
        <v/>
      </c>
      <c r="D375" s="8">
        <f>IF($K375="","",INDEX(מלאי!$Z$2:$500,$K375))</f>
        <v/>
      </c>
      <c r="E375" s="10">
        <f>IF($K375="","",INDEX(מלאי!$AB$2:$500,$K375))</f>
        <v/>
      </c>
      <c r="F375" s="8">
        <f>IF($K375="","",IF(AND(INDEX(מלאי!$AB$2:$500,$K375)&lt;&gt;"",INDEX(מלאי!$AB$2:$500,$K375)&lt;TODAY()),"באיחור!","תקין"))</f>
        <v/>
      </c>
      <c r="G375" s="8" t="n"/>
      <c r="H375" s="8" t="n"/>
      <c r="I375" s="8" t="n"/>
      <c r="J375" s="8" t="n"/>
      <c r="K375" s="8">
        <f>IFERROR(SMALL(IF((מלאי!$D$2:$500&lt;&gt;"")*(מלאי!$X$2:$500="מושאל"),ROW(מלאי!$A$2:$A$500)-ROW(מלאי!$A$2)+1,""),50),"")</f>
        <v/>
      </c>
      <c r="L375" s="8" t="n"/>
      <c r="M375" s="8" t="n"/>
      <c r="N375" s="8" t="n"/>
      <c r="O375" s="8" t="n"/>
      <c r="P375" s="8" t="n"/>
      <c r="Q375" s="8" t="n"/>
    </row>
    <row r="376">
      <c r="A376" s="2">
        <f>IF($K376="","",INDEX(מלאי!$D$2:$500,$K376))</f>
        <v/>
      </c>
      <c r="B376" s="2">
        <f>IF($K376="","",INDEX(מלאי!$B$2:$500,$K376))</f>
        <v/>
      </c>
      <c r="C376" s="2">
        <f>IF($K376="","",INDEX(מלאי!$Y$2:$500,$K376))</f>
        <v/>
      </c>
      <c r="D376" s="2">
        <f>IF($K376="","",INDEX(מלאי!$Z$2:$500,$K376))</f>
        <v/>
      </c>
      <c r="E376" s="9">
        <f>IF($K376="","",INDEX(מלאי!$AB$2:$500,$K376))</f>
        <v/>
      </c>
      <c r="F376" s="2">
        <f>IF($K376="","",IF(AND(INDEX(מלאי!$AB$2:$500,$K376)&lt;&gt;"",INDEX(מלאי!$AB$2:$500,$K376)&lt;TODAY()),"באיחור!","תקין"))</f>
        <v/>
      </c>
      <c r="G376" s="2" t="n"/>
      <c r="H376" s="2" t="n"/>
      <c r="I376" s="2" t="n"/>
      <c r="J376" s="2" t="n"/>
      <c r="K376" s="2">
        <f>IFERROR(SMALL(IF((מלאי!$D$2:$500&lt;&gt;"")*(מלאי!$X$2:$500="מושאל"),ROW(מלאי!$A$2:$A$500)-ROW(מלאי!$A$2)+1,""),51),"")</f>
        <v/>
      </c>
      <c r="L376" s="2" t="n"/>
      <c r="M376" s="2" t="n"/>
      <c r="N376" s="2" t="n"/>
      <c r="O376" s="2" t="n"/>
      <c r="P376" s="2" t="n"/>
      <c r="Q376" s="2" t="n"/>
    </row>
    <row r="377">
      <c r="A377" s="8">
        <f>IF($K377="","",INDEX(מלאי!$D$2:$500,$K377))</f>
        <v/>
      </c>
      <c r="B377" s="8">
        <f>IF($K377="","",INDEX(מלאי!$B$2:$500,$K377))</f>
        <v/>
      </c>
      <c r="C377" s="8">
        <f>IF($K377="","",INDEX(מלאי!$Y$2:$500,$K377))</f>
        <v/>
      </c>
      <c r="D377" s="8">
        <f>IF($K377="","",INDEX(מלאי!$Z$2:$500,$K377))</f>
        <v/>
      </c>
      <c r="E377" s="10">
        <f>IF($K377="","",INDEX(מלאי!$AB$2:$500,$K377))</f>
        <v/>
      </c>
      <c r="F377" s="8">
        <f>IF($K377="","",IF(AND(INDEX(מלאי!$AB$2:$500,$K377)&lt;&gt;"",INDEX(מלאי!$AB$2:$500,$K377)&lt;TODAY()),"באיחור!","תקין"))</f>
        <v/>
      </c>
      <c r="G377" s="8" t="n"/>
      <c r="H377" s="8" t="n"/>
      <c r="I377" s="8" t="n"/>
      <c r="J377" s="8" t="n"/>
      <c r="K377" s="8">
        <f>IFERROR(SMALL(IF((מלאי!$D$2:$500&lt;&gt;"")*(מלאי!$X$2:$500="מושאל"),ROW(מלאי!$A$2:$A$500)-ROW(מלאי!$A$2)+1,""),52),"")</f>
        <v/>
      </c>
      <c r="L377" s="8" t="n"/>
      <c r="M377" s="8" t="n"/>
      <c r="N377" s="8" t="n"/>
      <c r="O377" s="8" t="n"/>
      <c r="P377" s="8" t="n"/>
      <c r="Q377" s="8" t="n"/>
    </row>
    <row r="378">
      <c r="A378" s="2">
        <f>IF($K378="","",INDEX(מלאי!$D$2:$500,$K378))</f>
        <v/>
      </c>
      <c r="B378" s="2">
        <f>IF($K378="","",INDEX(מלאי!$B$2:$500,$K378))</f>
        <v/>
      </c>
      <c r="C378" s="2">
        <f>IF($K378="","",INDEX(מלאי!$Y$2:$500,$K378))</f>
        <v/>
      </c>
      <c r="D378" s="2">
        <f>IF($K378="","",INDEX(מלאי!$Z$2:$500,$K378))</f>
        <v/>
      </c>
      <c r="E378" s="9">
        <f>IF($K378="","",INDEX(מלאי!$AB$2:$500,$K378))</f>
        <v/>
      </c>
      <c r="F378" s="2">
        <f>IF($K378="","",IF(AND(INDEX(מלאי!$AB$2:$500,$K378)&lt;&gt;"",INDEX(מלאי!$AB$2:$500,$K378)&lt;TODAY()),"באיחור!","תקין"))</f>
        <v/>
      </c>
      <c r="G378" s="2" t="n"/>
      <c r="H378" s="2" t="n"/>
      <c r="I378" s="2" t="n"/>
      <c r="J378" s="2" t="n"/>
      <c r="K378" s="2">
        <f>IFERROR(SMALL(IF((מלאי!$D$2:$500&lt;&gt;"")*(מלאי!$X$2:$500="מושאל"),ROW(מלאי!$A$2:$A$500)-ROW(מלאי!$A$2)+1,""),53),"")</f>
        <v/>
      </c>
      <c r="L378" s="2" t="n"/>
      <c r="M378" s="2" t="n"/>
      <c r="N378" s="2" t="n"/>
      <c r="O378" s="2" t="n"/>
      <c r="P378" s="2" t="n"/>
      <c r="Q378" s="2" t="n"/>
    </row>
    <row r="379">
      <c r="A379" s="8">
        <f>IF($K379="","",INDEX(מלאי!$D$2:$500,$K379))</f>
        <v/>
      </c>
      <c r="B379" s="8">
        <f>IF($K379="","",INDEX(מלאי!$B$2:$500,$K379))</f>
        <v/>
      </c>
      <c r="C379" s="8">
        <f>IF($K379="","",INDEX(מלאי!$Y$2:$500,$K379))</f>
        <v/>
      </c>
      <c r="D379" s="8">
        <f>IF($K379="","",INDEX(מלאי!$Z$2:$500,$K379))</f>
        <v/>
      </c>
      <c r="E379" s="10">
        <f>IF($K379="","",INDEX(מלאי!$AB$2:$500,$K379))</f>
        <v/>
      </c>
      <c r="F379" s="8">
        <f>IF($K379="","",IF(AND(INDEX(מלאי!$AB$2:$500,$K379)&lt;&gt;"",INDEX(מלאי!$AB$2:$500,$K379)&lt;TODAY()),"באיחור!","תקין"))</f>
        <v/>
      </c>
      <c r="G379" s="8" t="n"/>
      <c r="H379" s="8" t="n"/>
      <c r="I379" s="8" t="n"/>
      <c r="J379" s="8" t="n"/>
      <c r="K379" s="8">
        <f>IFERROR(SMALL(IF((מלאי!$D$2:$500&lt;&gt;"")*(מלאי!$X$2:$500="מושאל"),ROW(מלאי!$A$2:$A$500)-ROW(מלאי!$A$2)+1,""),54),"")</f>
        <v/>
      </c>
      <c r="L379" s="8" t="n"/>
      <c r="M379" s="8" t="n"/>
      <c r="N379" s="8" t="n"/>
      <c r="O379" s="8" t="n"/>
      <c r="P379" s="8" t="n"/>
      <c r="Q379" s="8" t="n"/>
    </row>
    <row r="380">
      <c r="A380" s="2">
        <f>IF($K380="","",INDEX(מלאי!$D$2:$500,$K380))</f>
        <v/>
      </c>
      <c r="B380" s="2">
        <f>IF($K380="","",INDEX(מלאי!$B$2:$500,$K380))</f>
        <v/>
      </c>
      <c r="C380" s="2">
        <f>IF($K380="","",INDEX(מלאי!$Y$2:$500,$K380))</f>
        <v/>
      </c>
      <c r="D380" s="2">
        <f>IF($K380="","",INDEX(מלאי!$Z$2:$500,$K380))</f>
        <v/>
      </c>
      <c r="E380" s="9">
        <f>IF($K380="","",INDEX(מלאי!$AB$2:$500,$K380))</f>
        <v/>
      </c>
      <c r="F380" s="2">
        <f>IF($K380="","",IF(AND(INDEX(מלאי!$AB$2:$500,$K380)&lt;&gt;"",INDEX(מלאי!$AB$2:$500,$K380)&lt;TODAY()),"באיחור!","תקין"))</f>
        <v/>
      </c>
      <c r="G380" s="2" t="n"/>
      <c r="H380" s="2" t="n"/>
      <c r="I380" s="2" t="n"/>
      <c r="J380" s="2" t="n"/>
      <c r="K380" s="2">
        <f>IFERROR(SMALL(IF((מלאי!$D$2:$500&lt;&gt;"")*(מלאי!$X$2:$500="מושאל"),ROW(מלאי!$A$2:$A$500)-ROW(מלאי!$A$2)+1,""),55),"")</f>
        <v/>
      </c>
      <c r="L380" s="2" t="n"/>
      <c r="M380" s="2" t="n"/>
      <c r="N380" s="2" t="n"/>
      <c r="O380" s="2" t="n"/>
      <c r="P380" s="2" t="n"/>
      <c r="Q380" s="2" t="n"/>
    </row>
    <row r="381">
      <c r="A381" s="8">
        <f>IF($K381="","",INDEX(מלאי!$D$2:$500,$K381))</f>
        <v/>
      </c>
      <c r="B381" s="8">
        <f>IF($K381="","",INDEX(מלאי!$B$2:$500,$K381))</f>
        <v/>
      </c>
      <c r="C381" s="8">
        <f>IF($K381="","",INDEX(מלאי!$Y$2:$500,$K381))</f>
        <v/>
      </c>
      <c r="D381" s="8">
        <f>IF($K381="","",INDEX(מלאי!$Z$2:$500,$K381))</f>
        <v/>
      </c>
      <c r="E381" s="10">
        <f>IF($K381="","",INDEX(מלאי!$AB$2:$500,$K381))</f>
        <v/>
      </c>
      <c r="F381" s="8">
        <f>IF($K381="","",IF(AND(INDEX(מלאי!$AB$2:$500,$K381)&lt;&gt;"",INDEX(מלאי!$AB$2:$500,$K381)&lt;TODAY()),"באיחור!","תקין"))</f>
        <v/>
      </c>
      <c r="G381" s="8" t="n"/>
      <c r="H381" s="8" t="n"/>
      <c r="I381" s="8" t="n"/>
      <c r="J381" s="8" t="n"/>
      <c r="K381" s="8">
        <f>IFERROR(SMALL(IF((מלאי!$D$2:$500&lt;&gt;"")*(מלאי!$X$2:$500="מושאל"),ROW(מלאי!$A$2:$A$500)-ROW(מלאי!$A$2)+1,""),56),"")</f>
        <v/>
      </c>
      <c r="L381" s="8" t="n"/>
      <c r="M381" s="8" t="n"/>
      <c r="N381" s="8" t="n"/>
      <c r="O381" s="8" t="n"/>
      <c r="P381" s="8" t="n"/>
      <c r="Q381" s="8" t="n"/>
    </row>
    <row r="382">
      <c r="A382" s="2">
        <f>IF($K382="","",INDEX(מלאי!$D$2:$500,$K382))</f>
        <v/>
      </c>
      <c r="B382" s="2">
        <f>IF($K382="","",INDEX(מלאי!$B$2:$500,$K382))</f>
        <v/>
      </c>
      <c r="C382" s="2">
        <f>IF($K382="","",INDEX(מלאי!$Y$2:$500,$K382))</f>
        <v/>
      </c>
      <c r="D382" s="2">
        <f>IF($K382="","",INDEX(מלאי!$Z$2:$500,$K382))</f>
        <v/>
      </c>
      <c r="E382" s="9">
        <f>IF($K382="","",INDEX(מלאי!$AB$2:$500,$K382))</f>
        <v/>
      </c>
      <c r="F382" s="2">
        <f>IF($K382="","",IF(AND(INDEX(מלאי!$AB$2:$500,$K382)&lt;&gt;"",INDEX(מלאי!$AB$2:$500,$K382)&lt;TODAY()),"באיחור!","תקין"))</f>
        <v/>
      </c>
      <c r="G382" s="2" t="n"/>
      <c r="H382" s="2" t="n"/>
      <c r="I382" s="2" t="n"/>
      <c r="J382" s="2" t="n"/>
      <c r="K382" s="2">
        <f>IFERROR(SMALL(IF((מלאי!$D$2:$500&lt;&gt;"")*(מלאי!$X$2:$500="מושאל"),ROW(מלאי!$A$2:$A$500)-ROW(מלאי!$A$2)+1,""),57),"")</f>
        <v/>
      </c>
      <c r="L382" s="2" t="n"/>
      <c r="M382" s="2" t="n"/>
      <c r="N382" s="2" t="n"/>
      <c r="O382" s="2" t="n"/>
      <c r="P382" s="2" t="n"/>
      <c r="Q382" s="2" t="n"/>
    </row>
    <row r="383">
      <c r="A383" s="8">
        <f>IF($K383="","",INDEX(מלאי!$D$2:$500,$K383))</f>
        <v/>
      </c>
      <c r="B383" s="8">
        <f>IF($K383="","",INDEX(מלאי!$B$2:$500,$K383))</f>
        <v/>
      </c>
      <c r="C383" s="8">
        <f>IF($K383="","",INDEX(מלאי!$Y$2:$500,$K383))</f>
        <v/>
      </c>
      <c r="D383" s="8">
        <f>IF($K383="","",INDEX(מלאי!$Z$2:$500,$K383))</f>
        <v/>
      </c>
      <c r="E383" s="10">
        <f>IF($K383="","",INDEX(מלאי!$AB$2:$500,$K383))</f>
        <v/>
      </c>
      <c r="F383" s="8">
        <f>IF($K383="","",IF(AND(INDEX(מלאי!$AB$2:$500,$K383)&lt;&gt;"",INDEX(מלאי!$AB$2:$500,$K383)&lt;TODAY()),"באיחור!","תקין"))</f>
        <v/>
      </c>
      <c r="G383" s="8" t="n"/>
      <c r="H383" s="8" t="n"/>
      <c r="I383" s="8" t="n"/>
      <c r="J383" s="8" t="n"/>
      <c r="K383" s="8">
        <f>IFERROR(SMALL(IF((מלאי!$D$2:$500&lt;&gt;"")*(מלאי!$X$2:$500="מושאל"),ROW(מלאי!$A$2:$A$500)-ROW(מלאי!$A$2)+1,""),58),"")</f>
        <v/>
      </c>
      <c r="L383" s="8" t="n"/>
      <c r="M383" s="8" t="n"/>
      <c r="N383" s="8" t="n"/>
      <c r="O383" s="8" t="n"/>
      <c r="P383" s="8" t="n"/>
      <c r="Q383" s="8" t="n"/>
    </row>
    <row r="384">
      <c r="A384" s="2">
        <f>IF($K384="","",INDEX(מלאי!$D$2:$500,$K384))</f>
        <v/>
      </c>
      <c r="B384" s="2">
        <f>IF($K384="","",INDEX(מלאי!$B$2:$500,$K384))</f>
        <v/>
      </c>
      <c r="C384" s="2">
        <f>IF($K384="","",INDEX(מלאי!$Y$2:$500,$K384))</f>
        <v/>
      </c>
      <c r="D384" s="2">
        <f>IF($K384="","",INDEX(מלאי!$Z$2:$500,$K384))</f>
        <v/>
      </c>
      <c r="E384" s="9">
        <f>IF($K384="","",INDEX(מלאי!$AB$2:$500,$K384))</f>
        <v/>
      </c>
      <c r="F384" s="2">
        <f>IF($K384="","",IF(AND(INDEX(מלאי!$AB$2:$500,$K384)&lt;&gt;"",INDEX(מלאי!$AB$2:$500,$K384)&lt;TODAY()),"באיחור!","תקין"))</f>
        <v/>
      </c>
      <c r="G384" s="2" t="n"/>
      <c r="H384" s="2" t="n"/>
      <c r="I384" s="2" t="n"/>
      <c r="J384" s="2" t="n"/>
      <c r="K384" s="2">
        <f>IFERROR(SMALL(IF((מלאי!$D$2:$500&lt;&gt;"")*(מלאי!$X$2:$500="מושאל"),ROW(מלאי!$A$2:$A$500)-ROW(מלאי!$A$2)+1,""),59),"")</f>
        <v/>
      </c>
      <c r="L384" s="2" t="n"/>
      <c r="M384" s="2" t="n"/>
      <c r="N384" s="2" t="n"/>
      <c r="O384" s="2" t="n"/>
      <c r="P384" s="2" t="n"/>
      <c r="Q384" s="2" t="n"/>
    </row>
    <row r="385">
      <c r="A385" s="8">
        <f>IF($K385="","",INDEX(מלאי!$D$2:$500,$K385))</f>
        <v/>
      </c>
      <c r="B385" s="8">
        <f>IF($K385="","",INDEX(מלאי!$B$2:$500,$K385))</f>
        <v/>
      </c>
      <c r="C385" s="8">
        <f>IF($K385="","",INDEX(מלאי!$Y$2:$500,$K385))</f>
        <v/>
      </c>
      <c r="D385" s="8">
        <f>IF($K385="","",INDEX(מלאי!$Z$2:$500,$K385))</f>
        <v/>
      </c>
      <c r="E385" s="10">
        <f>IF($K385="","",INDEX(מלאי!$AB$2:$500,$K385))</f>
        <v/>
      </c>
      <c r="F385" s="8">
        <f>IF($K385="","",IF(AND(INDEX(מלאי!$AB$2:$500,$K385)&lt;&gt;"",INDEX(מלאי!$AB$2:$500,$K385)&lt;TODAY()),"באיחור!","תקין"))</f>
        <v/>
      </c>
      <c r="G385" s="8" t="n"/>
      <c r="H385" s="8" t="n"/>
      <c r="I385" s="8" t="n"/>
      <c r="J385" s="8" t="n"/>
      <c r="K385" s="8">
        <f>IFERROR(SMALL(IF((מלאי!$D$2:$500&lt;&gt;"")*(מלאי!$X$2:$500="מושאל"),ROW(מלאי!$A$2:$A$500)-ROW(מלאי!$A$2)+1,""),60),"")</f>
        <v/>
      </c>
      <c r="L385" s="8" t="n"/>
      <c r="M385" s="8" t="n"/>
      <c r="N385" s="8" t="n"/>
      <c r="O385" s="8" t="n"/>
      <c r="P385" s="8" t="n"/>
      <c r="Q385" s="8" t="n"/>
    </row>
    <row r="386">
      <c r="A386" s="2">
        <f>IF($K386="","",INDEX(מלאי!$D$2:$500,$K386))</f>
        <v/>
      </c>
      <c r="B386" s="2">
        <f>IF($K386="","",INDEX(מלאי!$B$2:$500,$K386))</f>
        <v/>
      </c>
      <c r="C386" s="2">
        <f>IF($K386="","",INDEX(מלאי!$Y$2:$500,$K386))</f>
        <v/>
      </c>
      <c r="D386" s="2">
        <f>IF($K386="","",INDEX(מלאי!$Z$2:$500,$K386))</f>
        <v/>
      </c>
      <c r="E386" s="9">
        <f>IF($K386="","",INDEX(מלאי!$AB$2:$500,$K386))</f>
        <v/>
      </c>
      <c r="F386" s="2">
        <f>IF($K386="","",IF(AND(INDEX(מלאי!$AB$2:$500,$K386)&lt;&gt;"",INDEX(מלאי!$AB$2:$500,$K386)&lt;TODAY()),"באיחור!","תקין"))</f>
        <v/>
      </c>
      <c r="G386" s="2" t="n"/>
      <c r="H386" s="2" t="n"/>
      <c r="I386" s="2" t="n"/>
      <c r="J386" s="2" t="n"/>
      <c r="K386" s="2">
        <f>IFERROR(SMALL(IF((מלאי!$D$2:$500&lt;&gt;"")*(מלאי!$X$2:$500="מושאל"),ROW(מלאי!$A$2:$A$500)-ROW(מלאי!$A$2)+1,""),61),"")</f>
        <v/>
      </c>
      <c r="L386" s="2" t="n"/>
      <c r="M386" s="2" t="n"/>
      <c r="N386" s="2" t="n"/>
      <c r="O386" s="2" t="n"/>
      <c r="P386" s="2" t="n"/>
      <c r="Q386" s="2" t="n"/>
    </row>
    <row r="387">
      <c r="A387" s="8">
        <f>IF($K387="","",INDEX(מלאי!$D$2:$500,$K387))</f>
        <v/>
      </c>
      <c r="B387" s="8">
        <f>IF($K387="","",INDEX(מלאי!$B$2:$500,$K387))</f>
        <v/>
      </c>
      <c r="C387" s="8">
        <f>IF($K387="","",INDEX(מלאי!$Y$2:$500,$K387))</f>
        <v/>
      </c>
      <c r="D387" s="8">
        <f>IF($K387="","",INDEX(מלאי!$Z$2:$500,$K387))</f>
        <v/>
      </c>
      <c r="E387" s="10">
        <f>IF($K387="","",INDEX(מלאי!$AB$2:$500,$K387))</f>
        <v/>
      </c>
      <c r="F387" s="8">
        <f>IF($K387="","",IF(AND(INDEX(מלאי!$AB$2:$500,$K387)&lt;&gt;"",INDEX(מלאי!$AB$2:$500,$K387)&lt;TODAY()),"באיחור!","תקין"))</f>
        <v/>
      </c>
      <c r="G387" s="8" t="n"/>
      <c r="H387" s="8" t="n"/>
      <c r="I387" s="8" t="n"/>
      <c r="J387" s="8" t="n"/>
      <c r="K387" s="8">
        <f>IFERROR(SMALL(IF((מלאי!$D$2:$500&lt;&gt;"")*(מלאי!$X$2:$500="מושאל"),ROW(מלאי!$A$2:$A$500)-ROW(מלאי!$A$2)+1,""),62),"")</f>
        <v/>
      </c>
      <c r="L387" s="8" t="n"/>
      <c r="M387" s="8" t="n"/>
      <c r="N387" s="8" t="n"/>
      <c r="O387" s="8" t="n"/>
      <c r="P387" s="8" t="n"/>
      <c r="Q387" s="8" t="n"/>
    </row>
    <row r="388">
      <c r="A388" s="2">
        <f>IF($K388="","",INDEX(מלאי!$D$2:$500,$K388))</f>
        <v/>
      </c>
      <c r="B388" s="2">
        <f>IF($K388="","",INDEX(מלאי!$B$2:$500,$K388))</f>
        <v/>
      </c>
      <c r="C388" s="2">
        <f>IF($K388="","",INDEX(מלאי!$Y$2:$500,$K388))</f>
        <v/>
      </c>
      <c r="D388" s="2">
        <f>IF($K388="","",INDEX(מלאי!$Z$2:$500,$K388))</f>
        <v/>
      </c>
      <c r="E388" s="9">
        <f>IF($K388="","",INDEX(מלאי!$AB$2:$500,$K388))</f>
        <v/>
      </c>
      <c r="F388" s="2">
        <f>IF($K388="","",IF(AND(INDEX(מלאי!$AB$2:$500,$K388)&lt;&gt;"",INDEX(מלאי!$AB$2:$500,$K388)&lt;TODAY()),"באיחור!","תקין"))</f>
        <v/>
      </c>
      <c r="G388" s="2" t="n"/>
      <c r="H388" s="2" t="n"/>
      <c r="I388" s="2" t="n"/>
      <c r="J388" s="2" t="n"/>
      <c r="K388" s="2">
        <f>IFERROR(SMALL(IF((מלאי!$D$2:$500&lt;&gt;"")*(מלאי!$X$2:$500="מושאל"),ROW(מלאי!$A$2:$A$500)-ROW(מלאי!$A$2)+1,""),63),"")</f>
        <v/>
      </c>
      <c r="L388" s="2" t="n"/>
      <c r="M388" s="2" t="n"/>
      <c r="N388" s="2" t="n"/>
      <c r="O388" s="2" t="n"/>
      <c r="P388" s="2" t="n"/>
      <c r="Q388" s="2" t="n"/>
    </row>
    <row r="389">
      <c r="A389" s="8">
        <f>IF($K389="","",INDEX(מלאי!$D$2:$500,$K389))</f>
        <v/>
      </c>
      <c r="B389" s="8">
        <f>IF($K389="","",INDEX(מלאי!$B$2:$500,$K389))</f>
        <v/>
      </c>
      <c r="C389" s="8">
        <f>IF($K389="","",INDEX(מלאי!$Y$2:$500,$K389))</f>
        <v/>
      </c>
      <c r="D389" s="8">
        <f>IF($K389="","",INDEX(מלאי!$Z$2:$500,$K389))</f>
        <v/>
      </c>
      <c r="E389" s="10">
        <f>IF($K389="","",INDEX(מלאי!$AB$2:$500,$K389))</f>
        <v/>
      </c>
      <c r="F389" s="8">
        <f>IF($K389="","",IF(AND(INDEX(מלאי!$AB$2:$500,$K389)&lt;&gt;"",INDEX(מלאי!$AB$2:$500,$K389)&lt;TODAY()),"באיחור!","תקין"))</f>
        <v/>
      </c>
      <c r="G389" s="8" t="n"/>
      <c r="H389" s="8" t="n"/>
      <c r="I389" s="8" t="n"/>
      <c r="J389" s="8" t="n"/>
      <c r="K389" s="8">
        <f>IFERROR(SMALL(IF((מלאי!$D$2:$500&lt;&gt;"")*(מלאי!$X$2:$500="מושאל"),ROW(מלאי!$A$2:$A$500)-ROW(מלאי!$A$2)+1,""),64),"")</f>
        <v/>
      </c>
      <c r="L389" s="8" t="n"/>
      <c r="M389" s="8" t="n"/>
      <c r="N389" s="8" t="n"/>
      <c r="O389" s="8" t="n"/>
      <c r="P389" s="8" t="n"/>
      <c r="Q389" s="8" t="n"/>
    </row>
    <row r="390">
      <c r="A390" s="2">
        <f>IF($K390="","",INDEX(מלאי!$D$2:$500,$K390))</f>
        <v/>
      </c>
      <c r="B390" s="2">
        <f>IF($K390="","",INDEX(מלאי!$B$2:$500,$K390))</f>
        <v/>
      </c>
      <c r="C390" s="2">
        <f>IF($K390="","",INDEX(מלאי!$Y$2:$500,$K390))</f>
        <v/>
      </c>
      <c r="D390" s="2">
        <f>IF($K390="","",INDEX(מלאי!$Z$2:$500,$K390))</f>
        <v/>
      </c>
      <c r="E390" s="9">
        <f>IF($K390="","",INDEX(מלאי!$AB$2:$500,$K390))</f>
        <v/>
      </c>
      <c r="F390" s="2">
        <f>IF($K390="","",IF(AND(INDEX(מלאי!$AB$2:$500,$K390)&lt;&gt;"",INDEX(מלאי!$AB$2:$500,$K390)&lt;TODAY()),"באיחור!","תקין"))</f>
        <v/>
      </c>
      <c r="G390" s="2" t="n"/>
      <c r="H390" s="2" t="n"/>
      <c r="I390" s="2" t="n"/>
      <c r="J390" s="2" t="n"/>
      <c r="K390" s="2">
        <f>IFERROR(SMALL(IF((מלאי!$D$2:$500&lt;&gt;"")*(מלאי!$X$2:$500="מושאל"),ROW(מלאי!$A$2:$A$500)-ROW(מלאי!$A$2)+1,""),65),"")</f>
        <v/>
      </c>
      <c r="L390" s="2" t="n"/>
      <c r="M390" s="2" t="n"/>
      <c r="N390" s="2" t="n"/>
      <c r="O390" s="2" t="n"/>
      <c r="P390" s="2" t="n"/>
      <c r="Q390" s="2" t="n"/>
    </row>
    <row r="391">
      <c r="A391" s="8">
        <f>IF($K391="","",INDEX(מלאי!$D$2:$500,$K391))</f>
        <v/>
      </c>
      <c r="B391" s="8">
        <f>IF($K391="","",INDEX(מלאי!$B$2:$500,$K391))</f>
        <v/>
      </c>
      <c r="C391" s="8">
        <f>IF($K391="","",INDEX(מלאי!$Y$2:$500,$K391))</f>
        <v/>
      </c>
      <c r="D391" s="8">
        <f>IF($K391="","",INDEX(מלאי!$Z$2:$500,$K391))</f>
        <v/>
      </c>
      <c r="E391" s="10">
        <f>IF($K391="","",INDEX(מלאי!$AB$2:$500,$K391))</f>
        <v/>
      </c>
      <c r="F391" s="8">
        <f>IF($K391="","",IF(AND(INDEX(מלאי!$AB$2:$500,$K391)&lt;&gt;"",INDEX(מלאי!$AB$2:$500,$K391)&lt;TODAY()),"באיחור!","תקין"))</f>
        <v/>
      </c>
      <c r="G391" s="8" t="n"/>
      <c r="H391" s="8" t="n"/>
      <c r="I391" s="8" t="n"/>
      <c r="J391" s="8" t="n"/>
      <c r="K391" s="8">
        <f>IFERROR(SMALL(IF((מלאי!$D$2:$500&lt;&gt;"")*(מלאי!$X$2:$500="מושאל"),ROW(מלאי!$A$2:$A$500)-ROW(מלאי!$A$2)+1,""),66),"")</f>
        <v/>
      </c>
      <c r="L391" s="8" t="n"/>
      <c r="M391" s="8" t="n"/>
      <c r="N391" s="8" t="n"/>
      <c r="O391" s="8" t="n"/>
      <c r="P391" s="8" t="n"/>
      <c r="Q391" s="8" t="n"/>
    </row>
    <row r="392">
      <c r="A392" s="2">
        <f>IF($K392="","",INDEX(מלאי!$D$2:$500,$K392))</f>
        <v/>
      </c>
      <c r="B392" s="2">
        <f>IF($K392="","",INDEX(מלאי!$B$2:$500,$K392))</f>
        <v/>
      </c>
      <c r="C392" s="2">
        <f>IF($K392="","",INDEX(מלאי!$Y$2:$500,$K392))</f>
        <v/>
      </c>
      <c r="D392" s="2">
        <f>IF($K392="","",INDEX(מלאי!$Z$2:$500,$K392))</f>
        <v/>
      </c>
      <c r="E392" s="9">
        <f>IF($K392="","",INDEX(מלאי!$AB$2:$500,$K392))</f>
        <v/>
      </c>
      <c r="F392" s="2">
        <f>IF($K392="","",IF(AND(INDEX(מלאי!$AB$2:$500,$K392)&lt;&gt;"",INDEX(מלאי!$AB$2:$500,$K392)&lt;TODAY()),"באיחור!","תקין"))</f>
        <v/>
      </c>
      <c r="G392" s="2" t="n"/>
      <c r="H392" s="2" t="n"/>
      <c r="I392" s="2" t="n"/>
      <c r="J392" s="2" t="n"/>
      <c r="K392" s="2">
        <f>IFERROR(SMALL(IF((מלאי!$D$2:$500&lt;&gt;"")*(מלאי!$X$2:$500="מושאל"),ROW(מלאי!$A$2:$A$500)-ROW(מלאי!$A$2)+1,""),67),"")</f>
        <v/>
      </c>
      <c r="L392" s="2" t="n"/>
      <c r="M392" s="2" t="n"/>
      <c r="N392" s="2" t="n"/>
      <c r="O392" s="2" t="n"/>
      <c r="P392" s="2" t="n"/>
      <c r="Q392" s="2" t="n"/>
    </row>
    <row r="393">
      <c r="A393" s="8">
        <f>IF($K393="","",INDEX(מלאי!$D$2:$500,$K393))</f>
        <v/>
      </c>
      <c r="B393" s="8">
        <f>IF($K393="","",INDEX(מלאי!$B$2:$500,$K393))</f>
        <v/>
      </c>
      <c r="C393" s="8">
        <f>IF($K393="","",INDEX(מלאי!$Y$2:$500,$K393))</f>
        <v/>
      </c>
      <c r="D393" s="8">
        <f>IF($K393="","",INDEX(מלאי!$Z$2:$500,$K393))</f>
        <v/>
      </c>
      <c r="E393" s="10">
        <f>IF($K393="","",INDEX(מלאי!$AB$2:$500,$K393))</f>
        <v/>
      </c>
      <c r="F393" s="8">
        <f>IF($K393="","",IF(AND(INDEX(מלאי!$AB$2:$500,$K393)&lt;&gt;"",INDEX(מלאי!$AB$2:$500,$K393)&lt;TODAY()),"באיחור!","תקין"))</f>
        <v/>
      </c>
      <c r="G393" s="8" t="n"/>
      <c r="H393" s="8" t="n"/>
      <c r="I393" s="8" t="n"/>
      <c r="J393" s="8" t="n"/>
      <c r="K393" s="8">
        <f>IFERROR(SMALL(IF((מלאי!$D$2:$500&lt;&gt;"")*(מלאי!$X$2:$500="מושאל"),ROW(מלאי!$A$2:$A$500)-ROW(מלאי!$A$2)+1,""),68),"")</f>
        <v/>
      </c>
      <c r="L393" s="8" t="n"/>
      <c r="M393" s="8" t="n"/>
      <c r="N393" s="8" t="n"/>
      <c r="O393" s="8" t="n"/>
      <c r="P393" s="8" t="n"/>
      <c r="Q393" s="8" t="n"/>
    </row>
    <row r="394">
      <c r="A394" s="2">
        <f>IF($K394="","",INDEX(מלאי!$D$2:$500,$K394))</f>
        <v/>
      </c>
      <c r="B394" s="2">
        <f>IF($K394="","",INDEX(מלאי!$B$2:$500,$K394))</f>
        <v/>
      </c>
      <c r="C394" s="2">
        <f>IF($K394="","",INDEX(מלאי!$Y$2:$500,$K394))</f>
        <v/>
      </c>
      <c r="D394" s="2">
        <f>IF($K394="","",INDEX(מלאי!$Z$2:$500,$K394))</f>
        <v/>
      </c>
      <c r="E394" s="9">
        <f>IF($K394="","",INDEX(מלאי!$AB$2:$500,$K394))</f>
        <v/>
      </c>
      <c r="F394" s="2">
        <f>IF($K394="","",IF(AND(INDEX(מלאי!$AB$2:$500,$K394)&lt;&gt;"",INDEX(מלאי!$AB$2:$500,$K394)&lt;TODAY()),"באיחור!","תקין"))</f>
        <v/>
      </c>
      <c r="G394" s="2" t="n"/>
      <c r="H394" s="2" t="n"/>
      <c r="I394" s="2" t="n"/>
      <c r="J394" s="2" t="n"/>
      <c r="K394" s="2">
        <f>IFERROR(SMALL(IF((מלאי!$D$2:$500&lt;&gt;"")*(מלאי!$X$2:$500="מושאל"),ROW(מלאי!$A$2:$A$500)-ROW(מלאי!$A$2)+1,""),69),"")</f>
        <v/>
      </c>
      <c r="L394" s="2" t="n"/>
      <c r="M394" s="2" t="n"/>
      <c r="N394" s="2" t="n"/>
      <c r="O394" s="2" t="n"/>
      <c r="P394" s="2" t="n"/>
      <c r="Q394" s="2" t="n"/>
    </row>
    <row r="395">
      <c r="A395" s="8">
        <f>IF($K395="","",INDEX(מלאי!$D$2:$500,$K395))</f>
        <v/>
      </c>
      <c r="B395" s="8">
        <f>IF($K395="","",INDEX(מלאי!$B$2:$500,$K395))</f>
        <v/>
      </c>
      <c r="C395" s="8">
        <f>IF($K395="","",INDEX(מלאי!$Y$2:$500,$K395))</f>
        <v/>
      </c>
      <c r="D395" s="8">
        <f>IF($K395="","",INDEX(מלאי!$Z$2:$500,$K395))</f>
        <v/>
      </c>
      <c r="E395" s="10">
        <f>IF($K395="","",INDEX(מלאי!$AB$2:$500,$K395))</f>
        <v/>
      </c>
      <c r="F395" s="8">
        <f>IF($K395="","",IF(AND(INDEX(מלאי!$AB$2:$500,$K395)&lt;&gt;"",INDEX(מלאי!$AB$2:$500,$K395)&lt;TODAY()),"באיחור!","תקין"))</f>
        <v/>
      </c>
      <c r="G395" s="8" t="n"/>
      <c r="H395" s="8" t="n"/>
      <c r="I395" s="8" t="n"/>
      <c r="J395" s="8" t="n"/>
      <c r="K395" s="8">
        <f>IFERROR(SMALL(IF((מלאי!$D$2:$500&lt;&gt;"")*(מלאי!$X$2:$500="מושאל"),ROW(מלאי!$A$2:$A$500)-ROW(מלאי!$A$2)+1,""),70),"")</f>
        <v/>
      </c>
      <c r="L395" s="8" t="n"/>
      <c r="M395" s="8" t="n"/>
      <c r="N395" s="8" t="n"/>
      <c r="O395" s="8" t="n"/>
      <c r="P395" s="8" t="n"/>
      <c r="Q395" s="8" t="n"/>
    </row>
    <row r="396">
      <c r="A396" s="2">
        <f>IF($K396="","",INDEX(מלאי!$D$2:$500,$K396))</f>
        <v/>
      </c>
      <c r="B396" s="2">
        <f>IF($K396="","",INDEX(מלאי!$B$2:$500,$K396))</f>
        <v/>
      </c>
      <c r="C396" s="2">
        <f>IF($K396="","",INDEX(מלאי!$Y$2:$500,$K396))</f>
        <v/>
      </c>
      <c r="D396" s="2">
        <f>IF($K396="","",INDEX(מלאי!$Z$2:$500,$K396))</f>
        <v/>
      </c>
      <c r="E396" s="9">
        <f>IF($K396="","",INDEX(מלאי!$AB$2:$500,$K396))</f>
        <v/>
      </c>
      <c r="F396" s="2">
        <f>IF($K396="","",IF(AND(INDEX(מלאי!$AB$2:$500,$K396)&lt;&gt;"",INDEX(מלאי!$AB$2:$500,$K396)&lt;TODAY()),"באיחור!","תקין"))</f>
        <v/>
      </c>
      <c r="G396" s="2" t="n"/>
      <c r="H396" s="2" t="n"/>
      <c r="I396" s="2" t="n"/>
      <c r="J396" s="2" t="n"/>
      <c r="K396" s="2">
        <f>IFERROR(SMALL(IF((מלאי!$D$2:$500&lt;&gt;"")*(מלאי!$X$2:$500="מושאל"),ROW(מלאי!$A$2:$A$500)-ROW(מלאי!$A$2)+1,""),71),"")</f>
        <v/>
      </c>
      <c r="L396" s="2" t="n"/>
      <c r="M396" s="2" t="n"/>
      <c r="N396" s="2" t="n"/>
      <c r="O396" s="2" t="n"/>
      <c r="P396" s="2" t="n"/>
      <c r="Q396" s="2" t="n"/>
    </row>
    <row r="397">
      <c r="A397" s="8">
        <f>IF($K397="","",INDEX(מלאי!$D$2:$500,$K397))</f>
        <v/>
      </c>
      <c r="B397" s="8">
        <f>IF($K397="","",INDEX(מלאי!$B$2:$500,$K397))</f>
        <v/>
      </c>
      <c r="C397" s="8">
        <f>IF($K397="","",INDEX(מלאי!$Y$2:$500,$K397))</f>
        <v/>
      </c>
      <c r="D397" s="8">
        <f>IF($K397="","",INDEX(מלאי!$Z$2:$500,$K397))</f>
        <v/>
      </c>
      <c r="E397" s="10">
        <f>IF($K397="","",INDEX(מלאי!$AB$2:$500,$K397))</f>
        <v/>
      </c>
      <c r="F397" s="8">
        <f>IF($K397="","",IF(AND(INDEX(מלאי!$AB$2:$500,$K397)&lt;&gt;"",INDEX(מלאי!$AB$2:$500,$K397)&lt;TODAY()),"באיחור!","תקין"))</f>
        <v/>
      </c>
      <c r="G397" s="8" t="n"/>
      <c r="H397" s="8" t="n"/>
      <c r="I397" s="8" t="n"/>
      <c r="J397" s="8" t="n"/>
      <c r="K397" s="8">
        <f>IFERROR(SMALL(IF((מלאי!$D$2:$500&lt;&gt;"")*(מלאי!$X$2:$500="מושאל"),ROW(מלאי!$A$2:$A$500)-ROW(מלאי!$A$2)+1,""),72),"")</f>
        <v/>
      </c>
      <c r="L397" s="8" t="n"/>
      <c r="M397" s="8" t="n"/>
      <c r="N397" s="8" t="n"/>
      <c r="O397" s="8" t="n"/>
      <c r="P397" s="8" t="n"/>
      <c r="Q397" s="8" t="n"/>
    </row>
    <row r="398">
      <c r="A398" s="2">
        <f>IF($K398="","",INDEX(מלאי!$D$2:$500,$K398))</f>
        <v/>
      </c>
      <c r="B398" s="2">
        <f>IF($K398="","",INDEX(מלאי!$B$2:$500,$K398))</f>
        <v/>
      </c>
      <c r="C398" s="2">
        <f>IF($K398="","",INDEX(מלאי!$Y$2:$500,$K398))</f>
        <v/>
      </c>
      <c r="D398" s="2">
        <f>IF($K398="","",INDEX(מלאי!$Z$2:$500,$K398))</f>
        <v/>
      </c>
      <c r="E398" s="9">
        <f>IF($K398="","",INDEX(מלאי!$AB$2:$500,$K398))</f>
        <v/>
      </c>
      <c r="F398" s="2">
        <f>IF($K398="","",IF(AND(INDEX(מלאי!$AB$2:$500,$K398)&lt;&gt;"",INDEX(מלאי!$AB$2:$500,$K398)&lt;TODAY()),"באיחור!","תקין"))</f>
        <v/>
      </c>
      <c r="G398" s="2" t="n"/>
      <c r="H398" s="2" t="n"/>
      <c r="I398" s="2" t="n"/>
      <c r="J398" s="2" t="n"/>
      <c r="K398" s="2">
        <f>IFERROR(SMALL(IF((מלאי!$D$2:$500&lt;&gt;"")*(מלאי!$X$2:$500="מושאל"),ROW(מלאי!$A$2:$A$500)-ROW(מלאי!$A$2)+1,""),73),"")</f>
        <v/>
      </c>
      <c r="L398" s="2" t="n"/>
      <c r="M398" s="2" t="n"/>
      <c r="N398" s="2" t="n"/>
      <c r="O398" s="2" t="n"/>
      <c r="P398" s="2" t="n"/>
      <c r="Q398" s="2" t="n"/>
    </row>
    <row r="399">
      <c r="A399" s="8">
        <f>IF($K399="","",INDEX(מלאי!$D$2:$500,$K399))</f>
        <v/>
      </c>
      <c r="B399" s="8">
        <f>IF($K399="","",INDEX(מלאי!$B$2:$500,$K399))</f>
        <v/>
      </c>
      <c r="C399" s="8">
        <f>IF($K399="","",INDEX(מלאי!$Y$2:$500,$K399))</f>
        <v/>
      </c>
      <c r="D399" s="8">
        <f>IF($K399="","",INDEX(מלאי!$Z$2:$500,$K399))</f>
        <v/>
      </c>
      <c r="E399" s="10">
        <f>IF($K399="","",INDEX(מלאי!$AB$2:$500,$K399))</f>
        <v/>
      </c>
      <c r="F399" s="8">
        <f>IF($K399="","",IF(AND(INDEX(מלאי!$AB$2:$500,$K399)&lt;&gt;"",INDEX(מלאי!$AB$2:$500,$K399)&lt;TODAY()),"באיחור!","תקין"))</f>
        <v/>
      </c>
      <c r="G399" s="8" t="n"/>
      <c r="H399" s="8" t="n"/>
      <c r="I399" s="8" t="n"/>
      <c r="J399" s="8" t="n"/>
      <c r="K399" s="8">
        <f>IFERROR(SMALL(IF((מלאי!$D$2:$500&lt;&gt;"")*(מלאי!$X$2:$500="מושאל"),ROW(מלאי!$A$2:$A$500)-ROW(מלאי!$A$2)+1,""),74),"")</f>
        <v/>
      </c>
      <c r="L399" s="8" t="n"/>
      <c r="M399" s="8" t="n"/>
      <c r="N399" s="8" t="n"/>
      <c r="O399" s="8" t="n"/>
      <c r="P399" s="8" t="n"/>
      <c r="Q399" s="8" t="n"/>
    </row>
    <row r="400">
      <c r="A400" s="2">
        <f>IF($K400="","",INDEX(מלאי!$D$2:$500,$K400))</f>
        <v/>
      </c>
      <c r="B400" s="2">
        <f>IF($K400="","",INDEX(מלאי!$B$2:$500,$K400))</f>
        <v/>
      </c>
      <c r="C400" s="2">
        <f>IF($K400="","",INDEX(מלאי!$Y$2:$500,$K400))</f>
        <v/>
      </c>
      <c r="D400" s="2">
        <f>IF($K400="","",INDEX(מלאי!$Z$2:$500,$K400))</f>
        <v/>
      </c>
      <c r="E400" s="9">
        <f>IF($K400="","",INDEX(מלאי!$AB$2:$500,$K400))</f>
        <v/>
      </c>
      <c r="F400" s="2">
        <f>IF($K400="","",IF(AND(INDEX(מלאי!$AB$2:$500,$K400)&lt;&gt;"",INDEX(מלאי!$AB$2:$500,$K400)&lt;TODAY()),"באיחור!","תקין"))</f>
        <v/>
      </c>
      <c r="G400" s="2" t="n"/>
      <c r="H400" s="2" t="n"/>
      <c r="I400" s="2" t="n"/>
      <c r="J400" s="2" t="n"/>
      <c r="K400" s="2">
        <f>IFERROR(SMALL(IF((מלאי!$D$2:$500&lt;&gt;"")*(מלאי!$X$2:$500="מושאל"),ROW(מלאי!$A$2:$A$500)-ROW(מלאי!$A$2)+1,""),75),"")</f>
        <v/>
      </c>
      <c r="L400" s="2" t="n"/>
      <c r="M400" s="2" t="n"/>
      <c r="N400" s="2" t="n"/>
      <c r="O400" s="2" t="n"/>
      <c r="P400" s="2" t="n"/>
      <c r="Q400" s="2" t="n"/>
    </row>
    <row r="401">
      <c r="A401" s="8">
        <f>IF($K401="","",INDEX(מלאי!$D$2:$500,$K401))</f>
        <v/>
      </c>
      <c r="B401" s="8">
        <f>IF($K401="","",INDEX(מלאי!$B$2:$500,$K401))</f>
        <v/>
      </c>
      <c r="C401" s="8">
        <f>IF($K401="","",INDEX(מלאי!$Y$2:$500,$K401))</f>
        <v/>
      </c>
      <c r="D401" s="8">
        <f>IF($K401="","",INDEX(מלאי!$Z$2:$500,$K401))</f>
        <v/>
      </c>
      <c r="E401" s="10">
        <f>IF($K401="","",INDEX(מלאי!$AB$2:$500,$K401))</f>
        <v/>
      </c>
      <c r="F401" s="8">
        <f>IF($K401="","",IF(AND(INDEX(מלאי!$AB$2:$500,$K401)&lt;&gt;"",INDEX(מלאי!$AB$2:$500,$K401)&lt;TODAY()),"באיחור!","תקין"))</f>
        <v/>
      </c>
      <c r="G401" s="8" t="n"/>
      <c r="H401" s="8" t="n"/>
      <c r="I401" s="8" t="n"/>
      <c r="J401" s="8" t="n"/>
      <c r="K401" s="8">
        <f>IFERROR(SMALL(IF((מלאי!$D$2:$500&lt;&gt;"")*(מלאי!$X$2:$500="מושאל"),ROW(מלאי!$A$2:$A$500)-ROW(מלאי!$A$2)+1,""),76),"")</f>
        <v/>
      </c>
      <c r="L401" s="8" t="n"/>
      <c r="M401" s="8" t="n"/>
      <c r="N401" s="8" t="n"/>
      <c r="O401" s="8" t="n"/>
      <c r="P401" s="8" t="n"/>
      <c r="Q401" s="8" t="n"/>
    </row>
    <row r="402">
      <c r="A402" s="2">
        <f>IF($K402="","",INDEX(מלאי!$D$2:$500,$K402))</f>
        <v/>
      </c>
      <c r="B402" s="2">
        <f>IF($K402="","",INDEX(מלאי!$B$2:$500,$K402))</f>
        <v/>
      </c>
      <c r="C402" s="2">
        <f>IF($K402="","",INDEX(מלאי!$Y$2:$500,$K402))</f>
        <v/>
      </c>
      <c r="D402" s="2">
        <f>IF($K402="","",INDEX(מלאי!$Z$2:$500,$K402))</f>
        <v/>
      </c>
      <c r="E402" s="9">
        <f>IF($K402="","",INDEX(מלאי!$AB$2:$500,$K402))</f>
        <v/>
      </c>
      <c r="F402" s="2">
        <f>IF($K402="","",IF(AND(INDEX(מלאי!$AB$2:$500,$K402)&lt;&gt;"",INDEX(מלאי!$AB$2:$500,$K402)&lt;TODAY()),"באיחור!","תקין"))</f>
        <v/>
      </c>
      <c r="G402" s="2" t="n"/>
      <c r="H402" s="2" t="n"/>
      <c r="I402" s="2" t="n"/>
      <c r="J402" s="2" t="n"/>
      <c r="K402" s="2">
        <f>IFERROR(SMALL(IF((מלאי!$D$2:$500&lt;&gt;"")*(מלאי!$X$2:$500="מושאל"),ROW(מלאי!$A$2:$A$500)-ROW(מלאי!$A$2)+1,""),77),"")</f>
        <v/>
      </c>
      <c r="L402" s="2" t="n"/>
      <c r="M402" s="2" t="n"/>
      <c r="N402" s="2" t="n"/>
      <c r="O402" s="2" t="n"/>
      <c r="P402" s="2" t="n"/>
      <c r="Q402" s="2" t="n"/>
    </row>
    <row r="403">
      <c r="A403" s="8">
        <f>IF($K403="","",INDEX(מלאי!$D$2:$500,$K403))</f>
        <v/>
      </c>
      <c r="B403" s="8">
        <f>IF($K403="","",INDEX(מלאי!$B$2:$500,$K403))</f>
        <v/>
      </c>
      <c r="C403" s="8">
        <f>IF($K403="","",INDEX(מלאי!$Y$2:$500,$K403))</f>
        <v/>
      </c>
      <c r="D403" s="8">
        <f>IF($K403="","",INDEX(מלאי!$Z$2:$500,$K403))</f>
        <v/>
      </c>
      <c r="E403" s="10">
        <f>IF($K403="","",INDEX(מלאי!$AB$2:$500,$K403))</f>
        <v/>
      </c>
      <c r="F403" s="8">
        <f>IF($K403="","",IF(AND(INDEX(מלאי!$AB$2:$500,$K403)&lt;&gt;"",INDEX(מלאי!$AB$2:$500,$K403)&lt;TODAY()),"באיחור!","תקין"))</f>
        <v/>
      </c>
      <c r="G403" s="8" t="n"/>
      <c r="H403" s="8" t="n"/>
      <c r="I403" s="8" t="n"/>
      <c r="J403" s="8" t="n"/>
      <c r="K403" s="8">
        <f>IFERROR(SMALL(IF((מלאי!$D$2:$500&lt;&gt;"")*(מלאי!$X$2:$500="מושאל"),ROW(מלאי!$A$2:$A$500)-ROW(מלאי!$A$2)+1,""),78),"")</f>
        <v/>
      </c>
      <c r="L403" s="8" t="n"/>
      <c r="M403" s="8" t="n"/>
      <c r="N403" s="8" t="n"/>
      <c r="O403" s="8" t="n"/>
      <c r="P403" s="8" t="n"/>
      <c r="Q403" s="8" t="n"/>
    </row>
    <row r="404">
      <c r="A404" s="2">
        <f>IF($K404="","",INDEX(מלאי!$D$2:$500,$K404))</f>
        <v/>
      </c>
      <c r="B404" s="2">
        <f>IF($K404="","",INDEX(מלאי!$B$2:$500,$K404))</f>
        <v/>
      </c>
      <c r="C404" s="2">
        <f>IF($K404="","",INDEX(מלאי!$Y$2:$500,$K404))</f>
        <v/>
      </c>
      <c r="D404" s="2">
        <f>IF($K404="","",INDEX(מלאי!$Z$2:$500,$K404))</f>
        <v/>
      </c>
      <c r="E404" s="9">
        <f>IF($K404="","",INDEX(מלאי!$AB$2:$500,$K404))</f>
        <v/>
      </c>
      <c r="F404" s="2">
        <f>IF($K404="","",IF(AND(INDEX(מלאי!$AB$2:$500,$K404)&lt;&gt;"",INDEX(מלאי!$AB$2:$500,$K404)&lt;TODAY()),"באיחור!","תקין"))</f>
        <v/>
      </c>
      <c r="G404" s="2" t="n"/>
      <c r="H404" s="2" t="n"/>
      <c r="I404" s="2" t="n"/>
      <c r="J404" s="2" t="n"/>
      <c r="K404" s="2">
        <f>IFERROR(SMALL(IF((מלאי!$D$2:$500&lt;&gt;"")*(מלאי!$X$2:$500="מושאל"),ROW(מלאי!$A$2:$A$500)-ROW(מלאי!$A$2)+1,""),79),"")</f>
        <v/>
      </c>
      <c r="L404" s="2" t="n"/>
      <c r="M404" s="2" t="n"/>
      <c r="N404" s="2" t="n"/>
      <c r="O404" s="2" t="n"/>
      <c r="P404" s="2" t="n"/>
      <c r="Q404" s="2" t="n"/>
    </row>
    <row r="405">
      <c r="A405" s="8">
        <f>IF($K405="","",INDEX(מלאי!$D$2:$500,$K405))</f>
        <v/>
      </c>
      <c r="B405" s="8">
        <f>IF($K405="","",INDEX(מלאי!$B$2:$500,$K405))</f>
        <v/>
      </c>
      <c r="C405" s="8">
        <f>IF($K405="","",INDEX(מלאי!$Y$2:$500,$K405))</f>
        <v/>
      </c>
      <c r="D405" s="8">
        <f>IF($K405="","",INDEX(מלאי!$Z$2:$500,$K405))</f>
        <v/>
      </c>
      <c r="E405" s="10">
        <f>IF($K405="","",INDEX(מלאי!$AB$2:$500,$K405))</f>
        <v/>
      </c>
      <c r="F405" s="8">
        <f>IF($K405="","",IF(AND(INDEX(מלאי!$AB$2:$500,$K405)&lt;&gt;"",INDEX(מלאי!$AB$2:$500,$K405)&lt;TODAY()),"באיחור!","תקין"))</f>
        <v/>
      </c>
      <c r="G405" s="8" t="n"/>
      <c r="H405" s="8" t="n"/>
      <c r="I405" s="8" t="n"/>
      <c r="J405" s="8" t="n"/>
      <c r="K405" s="8">
        <f>IFERROR(SMALL(IF((מלאי!$D$2:$500&lt;&gt;"")*(מלאי!$X$2:$500="מושאל"),ROW(מלאי!$A$2:$A$500)-ROW(מלאי!$A$2)+1,""),80),"")</f>
        <v/>
      </c>
      <c r="L405" s="8" t="n"/>
      <c r="M405" s="8" t="n"/>
      <c r="N405" s="8" t="n"/>
      <c r="O405" s="8" t="n"/>
      <c r="P405" s="8" t="n"/>
      <c r="Q405" s="8" t="n"/>
    </row>
    <row r="406">
      <c r="A406" s="2">
        <f>IF($K406="","",INDEX(מלאי!$D$2:$500,$K406))</f>
        <v/>
      </c>
      <c r="B406" s="2">
        <f>IF($K406="","",INDEX(מלאי!$B$2:$500,$K406))</f>
        <v/>
      </c>
      <c r="C406" s="2">
        <f>IF($K406="","",INDEX(מלאי!$Y$2:$500,$K406))</f>
        <v/>
      </c>
      <c r="D406" s="2">
        <f>IF($K406="","",INDEX(מלאי!$Z$2:$500,$K406))</f>
        <v/>
      </c>
      <c r="E406" s="9">
        <f>IF($K406="","",INDEX(מלאי!$AB$2:$500,$K406))</f>
        <v/>
      </c>
      <c r="F406" s="2">
        <f>IF($K406="","",IF(AND(INDEX(מלאי!$AB$2:$500,$K406)&lt;&gt;"",INDEX(מלאי!$AB$2:$500,$K406)&lt;TODAY()),"באיחור!","תקין"))</f>
        <v/>
      </c>
      <c r="G406" s="2" t="n"/>
      <c r="H406" s="2" t="n"/>
      <c r="I406" s="2" t="n"/>
      <c r="J406" s="2" t="n"/>
      <c r="K406" s="2">
        <f>IFERROR(SMALL(IF((מלאי!$D$2:$500&lt;&gt;"")*(מלאי!$X$2:$500="מושאל"),ROW(מלאי!$A$2:$A$500)-ROW(מלאי!$A$2)+1,""),81),"")</f>
        <v/>
      </c>
      <c r="L406" s="2" t="n"/>
      <c r="M406" s="2" t="n"/>
      <c r="N406" s="2" t="n"/>
      <c r="O406" s="2" t="n"/>
      <c r="P406" s="2" t="n"/>
      <c r="Q406" s="2" t="n"/>
    </row>
    <row r="407">
      <c r="A407" s="8">
        <f>IF($K407="","",INDEX(מלאי!$D$2:$500,$K407))</f>
        <v/>
      </c>
      <c r="B407" s="8">
        <f>IF($K407="","",INDEX(מלאי!$B$2:$500,$K407))</f>
        <v/>
      </c>
      <c r="C407" s="8">
        <f>IF($K407="","",INDEX(מלאי!$Y$2:$500,$K407))</f>
        <v/>
      </c>
      <c r="D407" s="8">
        <f>IF($K407="","",INDEX(מלאי!$Z$2:$500,$K407))</f>
        <v/>
      </c>
      <c r="E407" s="10">
        <f>IF($K407="","",INDEX(מלאי!$AB$2:$500,$K407))</f>
        <v/>
      </c>
      <c r="F407" s="8">
        <f>IF($K407="","",IF(AND(INDEX(מלאי!$AB$2:$500,$K407)&lt;&gt;"",INDEX(מלאי!$AB$2:$500,$K407)&lt;TODAY()),"באיחור!","תקין"))</f>
        <v/>
      </c>
      <c r="G407" s="8" t="n"/>
      <c r="H407" s="8" t="n"/>
      <c r="I407" s="8" t="n"/>
      <c r="J407" s="8" t="n"/>
      <c r="K407" s="8">
        <f>IFERROR(SMALL(IF((מלאי!$D$2:$500&lt;&gt;"")*(מלאי!$X$2:$500="מושאל"),ROW(מלאי!$A$2:$A$500)-ROW(מלאי!$A$2)+1,""),82),"")</f>
        <v/>
      </c>
      <c r="L407" s="8" t="n"/>
      <c r="M407" s="8" t="n"/>
      <c r="N407" s="8" t="n"/>
      <c r="O407" s="8" t="n"/>
      <c r="P407" s="8" t="n"/>
      <c r="Q407" s="8" t="n"/>
    </row>
    <row r="408">
      <c r="A408" s="2">
        <f>IF($K408="","",INDEX(מלאי!$D$2:$500,$K408))</f>
        <v/>
      </c>
      <c r="B408" s="2">
        <f>IF($K408="","",INDEX(מלאי!$B$2:$500,$K408))</f>
        <v/>
      </c>
      <c r="C408" s="2">
        <f>IF($K408="","",INDEX(מלאי!$Y$2:$500,$K408))</f>
        <v/>
      </c>
      <c r="D408" s="2">
        <f>IF($K408="","",INDEX(מלאי!$Z$2:$500,$K408))</f>
        <v/>
      </c>
      <c r="E408" s="9">
        <f>IF($K408="","",INDEX(מלאי!$AB$2:$500,$K408))</f>
        <v/>
      </c>
      <c r="F408" s="2">
        <f>IF($K408="","",IF(AND(INDEX(מלאי!$AB$2:$500,$K408)&lt;&gt;"",INDEX(מלאי!$AB$2:$500,$K408)&lt;TODAY()),"באיחור!","תקין"))</f>
        <v/>
      </c>
      <c r="G408" s="2" t="n"/>
      <c r="H408" s="2" t="n"/>
      <c r="I408" s="2" t="n"/>
      <c r="J408" s="2" t="n"/>
      <c r="K408" s="2">
        <f>IFERROR(SMALL(IF((מלאי!$D$2:$500&lt;&gt;"")*(מלאי!$X$2:$500="מושאל"),ROW(מלאי!$A$2:$A$500)-ROW(מלאי!$A$2)+1,""),83),"")</f>
        <v/>
      </c>
      <c r="L408" s="2" t="n"/>
      <c r="M408" s="2" t="n"/>
      <c r="N408" s="2" t="n"/>
      <c r="O408" s="2" t="n"/>
      <c r="P408" s="2" t="n"/>
      <c r="Q408" s="2" t="n"/>
    </row>
    <row r="409">
      <c r="A409" s="8">
        <f>IF($K409="","",INDEX(מלאי!$D$2:$500,$K409))</f>
        <v/>
      </c>
      <c r="B409" s="8">
        <f>IF($K409="","",INDEX(מלאי!$B$2:$500,$K409))</f>
        <v/>
      </c>
      <c r="C409" s="8">
        <f>IF($K409="","",INDEX(מלאי!$Y$2:$500,$K409))</f>
        <v/>
      </c>
      <c r="D409" s="8">
        <f>IF($K409="","",INDEX(מלאי!$Z$2:$500,$K409))</f>
        <v/>
      </c>
      <c r="E409" s="10">
        <f>IF($K409="","",INDEX(מלאי!$AB$2:$500,$K409))</f>
        <v/>
      </c>
      <c r="F409" s="8">
        <f>IF($K409="","",IF(AND(INDEX(מלאי!$AB$2:$500,$K409)&lt;&gt;"",INDEX(מלאי!$AB$2:$500,$K409)&lt;TODAY()),"באיחור!","תקין"))</f>
        <v/>
      </c>
      <c r="G409" s="8" t="n"/>
      <c r="H409" s="8" t="n"/>
      <c r="I409" s="8" t="n"/>
      <c r="J409" s="8" t="n"/>
      <c r="K409" s="8">
        <f>IFERROR(SMALL(IF((מלאי!$D$2:$500&lt;&gt;"")*(מלאי!$X$2:$500="מושאל"),ROW(מלאי!$A$2:$A$500)-ROW(מלאי!$A$2)+1,""),84),"")</f>
        <v/>
      </c>
      <c r="L409" s="8" t="n"/>
      <c r="M409" s="8" t="n"/>
      <c r="N409" s="8" t="n"/>
      <c r="O409" s="8" t="n"/>
      <c r="P409" s="8" t="n"/>
      <c r="Q409" s="8" t="n"/>
    </row>
    <row r="410">
      <c r="A410" s="2">
        <f>IF($K410="","",INDEX(מלאי!$D$2:$500,$K410))</f>
        <v/>
      </c>
      <c r="B410" s="2">
        <f>IF($K410="","",INDEX(מלאי!$B$2:$500,$K410))</f>
        <v/>
      </c>
      <c r="C410" s="2">
        <f>IF($K410="","",INDEX(מלאי!$Y$2:$500,$K410))</f>
        <v/>
      </c>
      <c r="D410" s="2">
        <f>IF($K410="","",INDEX(מלאי!$Z$2:$500,$K410))</f>
        <v/>
      </c>
      <c r="E410" s="9">
        <f>IF($K410="","",INDEX(מלאי!$AB$2:$500,$K410))</f>
        <v/>
      </c>
      <c r="F410" s="2">
        <f>IF($K410="","",IF(AND(INDEX(מלאי!$AB$2:$500,$K410)&lt;&gt;"",INDEX(מלאי!$AB$2:$500,$K410)&lt;TODAY()),"באיחור!","תקין"))</f>
        <v/>
      </c>
      <c r="G410" s="2" t="n"/>
      <c r="H410" s="2" t="n"/>
      <c r="I410" s="2" t="n"/>
      <c r="J410" s="2" t="n"/>
      <c r="K410" s="2">
        <f>IFERROR(SMALL(IF((מלאי!$D$2:$500&lt;&gt;"")*(מלאי!$X$2:$500="מושאל"),ROW(מלאי!$A$2:$A$500)-ROW(מלאי!$A$2)+1,""),85),"")</f>
        <v/>
      </c>
      <c r="L410" s="2" t="n"/>
      <c r="M410" s="2" t="n"/>
      <c r="N410" s="2" t="n"/>
      <c r="O410" s="2" t="n"/>
      <c r="P410" s="2" t="n"/>
      <c r="Q410" s="2" t="n"/>
    </row>
    <row r="411">
      <c r="A411" s="8">
        <f>IF($K411="","",INDEX(מלאי!$D$2:$500,$K411))</f>
        <v/>
      </c>
      <c r="B411" s="8">
        <f>IF($K411="","",INDEX(מלאי!$B$2:$500,$K411))</f>
        <v/>
      </c>
      <c r="C411" s="8">
        <f>IF($K411="","",INDEX(מלאי!$Y$2:$500,$K411))</f>
        <v/>
      </c>
      <c r="D411" s="8">
        <f>IF($K411="","",INDEX(מלאי!$Z$2:$500,$K411))</f>
        <v/>
      </c>
      <c r="E411" s="10">
        <f>IF($K411="","",INDEX(מלאי!$AB$2:$500,$K411))</f>
        <v/>
      </c>
      <c r="F411" s="8">
        <f>IF($K411="","",IF(AND(INDEX(מלאי!$AB$2:$500,$K411)&lt;&gt;"",INDEX(מלאי!$AB$2:$500,$K411)&lt;TODAY()),"באיחור!","תקין"))</f>
        <v/>
      </c>
      <c r="G411" s="8" t="n"/>
      <c r="H411" s="8" t="n"/>
      <c r="I411" s="8" t="n"/>
      <c r="J411" s="8" t="n"/>
      <c r="K411" s="8">
        <f>IFERROR(SMALL(IF((מלאי!$D$2:$500&lt;&gt;"")*(מלאי!$X$2:$500="מושאל"),ROW(מלאי!$A$2:$A$500)-ROW(מלאי!$A$2)+1,""),86),"")</f>
        <v/>
      </c>
      <c r="L411" s="8" t="n"/>
      <c r="M411" s="8" t="n"/>
      <c r="N411" s="8" t="n"/>
      <c r="O411" s="8" t="n"/>
      <c r="P411" s="8" t="n"/>
      <c r="Q411" s="8" t="n"/>
    </row>
    <row r="412">
      <c r="A412" s="2">
        <f>IF($K412="","",INDEX(מלאי!$D$2:$500,$K412))</f>
        <v/>
      </c>
      <c r="B412" s="2">
        <f>IF($K412="","",INDEX(מלאי!$B$2:$500,$K412))</f>
        <v/>
      </c>
      <c r="C412" s="2">
        <f>IF($K412="","",INDEX(מלאי!$Y$2:$500,$K412))</f>
        <v/>
      </c>
      <c r="D412" s="2">
        <f>IF($K412="","",INDEX(מלאי!$Z$2:$500,$K412))</f>
        <v/>
      </c>
      <c r="E412" s="9">
        <f>IF($K412="","",INDEX(מלאי!$AB$2:$500,$K412))</f>
        <v/>
      </c>
      <c r="F412" s="2">
        <f>IF($K412="","",IF(AND(INDEX(מלאי!$AB$2:$500,$K412)&lt;&gt;"",INDEX(מלאי!$AB$2:$500,$K412)&lt;TODAY()),"באיחור!","תקין"))</f>
        <v/>
      </c>
      <c r="G412" s="2" t="n"/>
      <c r="H412" s="2" t="n"/>
      <c r="I412" s="2" t="n"/>
      <c r="J412" s="2" t="n"/>
      <c r="K412" s="2">
        <f>IFERROR(SMALL(IF((מלאי!$D$2:$500&lt;&gt;"")*(מלאי!$X$2:$500="מושאל"),ROW(מלאי!$A$2:$A$500)-ROW(מלאי!$A$2)+1,""),87),"")</f>
        <v/>
      </c>
      <c r="L412" s="2" t="n"/>
      <c r="M412" s="2" t="n"/>
      <c r="N412" s="2" t="n"/>
      <c r="O412" s="2" t="n"/>
      <c r="P412" s="2" t="n"/>
      <c r="Q412" s="2" t="n"/>
    </row>
    <row r="413">
      <c r="A413" s="8">
        <f>IF($K413="","",INDEX(מלאי!$D$2:$500,$K413))</f>
        <v/>
      </c>
      <c r="B413" s="8">
        <f>IF($K413="","",INDEX(מלאי!$B$2:$500,$K413))</f>
        <v/>
      </c>
      <c r="C413" s="8">
        <f>IF($K413="","",INDEX(מלאי!$Y$2:$500,$K413))</f>
        <v/>
      </c>
      <c r="D413" s="8">
        <f>IF($K413="","",INDEX(מלאי!$Z$2:$500,$K413))</f>
        <v/>
      </c>
      <c r="E413" s="10">
        <f>IF($K413="","",INDEX(מלאי!$AB$2:$500,$K413))</f>
        <v/>
      </c>
      <c r="F413" s="8">
        <f>IF($K413="","",IF(AND(INDEX(מלאי!$AB$2:$500,$K413)&lt;&gt;"",INDEX(מלאי!$AB$2:$500,$K413)&lt;TODAY()),"באיחור!","תקין"))</f>
        <v/>
      </c>
      <c r="G413" s="8" t="n"/>
      <c r="H413" s="8" t="n"/>
      <c r="I413" s="8" t="n"/>
      <c r="J413" s="8" t="n"/>
      <c r="K413" s="8">
        <f>IFERROR(SMALL(IF((מלאי!$D$2:$500&lt;&gt;"")*(מלאי!$X$2:$500="מושאל"),ROW(מלאי!$A$2:$A$500)-ROW(מלאי!$A$2)+1,""),88),"")</f>
        <v/>
      </c>
      <c r="L413" s="8" t="n"/>
      <c r="M413" s="8" t="n"/>
      <c r="N413" s="8" t="n"/>
      <c r="O413" s="8" t="n"/>
      <c r="P413" s="8" t="n"/>
      <c r="Q413" s="8" t="n"/>
    </row>
    <row r="414">
      <c r="A414" s="2">
        <f>IF($K414="","",INDEX(מלאי!$D$2:$500,$K414))</f>
        <v/>
      </c>
      <c r="B414" s="2">
        <f>IF($K414="","",INDEX(מלאי!$B$2:$500,$K414))</f>
        <v/>
      </c>
      <c r="C414" s="2">
        <f>IF($K414="","",INDEX(מלאי!$Y$2:$500,$K414))</f>
        <v/>
      </c>
      <c r="D414" s="2">
        <f>IF($K414="","",INDEX(מלאי!$Z$2:$500,$K414))</f>
        <v/>
      </c>
      <c r="E414" s="9">
        <f>IF($K414="","",INDEX(מלאי!$AB$2:$500,$K414))</f>
        <v/>
      </c>
      <c r="F414" s="2">
        <f>IF($K414="","",IF(AND(INDEX(מלאי!$AB$2:$500,$K414)&lt;&gt;"",INDEX(מלאי!$AB$2:$500,$K414)&lt;TODAY()),"באיחור!","תקין"))</f>
        <v/>
      </c>
      <c r="G414" s="2" t="n"/>
      <c r="H414" s="2" t="n"/>
      <c r="I414" s="2" t="n"/>
      <c r="J414" s="2" t="n"/>
      <c r="K414" s="2">
        <f>IFERROR(SMALL(IF((מלאי!$D$2:$500&lt;&gt;"")*(מלאי!$X$2:$500="מושאל"),ROW(מלאי!$A$2:$A$500)-ROW(מלאי!$A$2)+1,""),89),"")</f>
        <v/>
      </c>
      <c r="L414" s="2" t="n"/>
      <c r="M414" s="2" t="n"/>
      <c r="N414" s="2" t="n"/>
      <c r="O414" s="2" t="n"/>
      <c r="P414" s="2" t="n"/>
      <c r="Q414" s="2" t="n"/>
    </row>
    <row r="415">
      <c r="A415" s="8">
        <f>IF($K415="","",INDEX(מלאי!$D$2:$500,$K415))</f>
        <v/>
      </c>
      <c r="B415" s="8">
        <f>IF($K415="","",INDEX(מלאי!$B$2:$500,$K415))</f>
        <v/>
      </c>
      <c r="C415" s="8">
        <f>IF($K415="","",INDEX(מלאי!$Y$2:$500,$K415))</f>
        <v/>
      </c>
      <c r="D415" s="8">
        <f>IF($K415="","",INDEX(מלאי!$Z$2:$500,$K415))</f>
        <v/>
      </c>
      <c r="E415" s="10">
        <f>IF($K415="","",INDEX(מלאי!$AB$2:$500,$K415))</f>
        <v/>
      </c>
      <c r="F415" s="8">
        <f>IF($K415="","",IF(AND(INDEX(מלאי!$AB$2:$500,$K415)&lt;&gt;"",INDEX(מלאי!$AB$2:$500,$K415)&lt;TODAY()),"באיחור!","תקין"))</f>
        <v/>
      </c>
      <c r="G415" s="8" t="n"/>
      <c r="H415" s="8" t="n"/>
      <c r="I415" s="8" t="n"/>
      <c r="J415" s="8" t="n"/>
      <c r="K415" s="8">
        <f>IFERROR(SMALL(IF((מלאי!$D$2:$500&lt;&gt;"")*(מלאי!$X$2:$500="מושאל"),ROW(מלאי!$A$2:$A$500)-ROW(מלאי!$A$2)+1,""),90),"")</f>
        <v/>
      </c>
      <c r="L415" s="8" t="n"/>
      <c r="M415" s="8" t="n"/>
      <c r="N415" s="8" t="n"/>
      <c r="O415" s="8" t="n"/>
      <c r="P415" s="8" t="n"/>
      <c r="Q415" s="8" t="n"/>
    </row>
    <row r="416">
      <c r="A416" s="2">
        <f>IF($K416="","",INDEX(מלאי!$D$2:$500,$K416))</f>
        <v/>
      </c>
      <c r="B416" s="2">
        <f>IF($K416="","",INDEX(מלאי!$B$2:$500,$K416))</f>
        <v/>
      </c>
      <c r="C416" s="2">
        <f>IF($K416="","",INDEX(מלאי!$Y$2:$500,$K416))</f>
        <v/>
      </c>
      <c r="D416" s="2">
        <f>IF($K416="","",INDEX(מלאי!$Z$2:$500,$K416))</f>
        <v/>
      </c>
      <c r="E416" s="9">
        <f>IF($K416="","",INDEX(מלאי!$AB$2:$500,$K416))</f>
        <v/>
      </c>
      <c r="F416" s="2">
        <f>IF($K416="","",IF(AND(INDEX(מלאי!$AB$2:$500,$K416)&lt;&gt;"",INDEX(מלאי!$AB$2:$500,$K416)&lt;TODAY()),"באיחור!","תקין"))</f>
        <v/>
      </c>
      <c r="G416" s="2" t="n"/>
      <c r="H416" s="2" t="n"/>
      <c r="I416" s="2" t="n"/>
      <c r="J416" s="2" t="n"/>
      <c r="K416" s="2">
        <f>IFERROR(SMALL(IF((מלאי!$D$2:$500&lt;&gt;"")*(מלאי!$X$2:$500="מושאל"),ROW(מלאי!$A$2:$A$500)-ROW(מלאי!$A$2)+1,""),91),"")</f>
        <v/>
      </c>
      <c r="L416" s="2" t="n"/>
      <c r="M416" s="2" t="n"/>
      <c r="N416" s="2" t="n"/>
      <c r="O416" s="2" t="n"/>
      <c r="P416" s="2" t="n"/>
      <c r="Q416" s="2" t="n"/>
    </row>
    <row r="417">
      <c r="A417" s="8">
        <f>IF($K417="","",INDEX(מלאי!$D$2:$500,$K417))</f>
        <v/>
      </c>
      <c r="B417" s="8">
        <f>IF($K417="","",INDEX(מלאי!$B$2:$500,$K417))</f>
        <v/>
      </c>
      <c r="C417" s="8">
        <f>IF($K417="","",INDEX(מלאי!$Y$2:$500,$K417))</f>
        <v/>
      </c>
      <c r="D417" s="8">
        <f>IF($K417="","",INDEX(מלאי!$Z$2:$500,$K417))</f>
        <v/>
      </c>
      <c r="E417" s="10">
        <f>IF($K417="","",INDEX(מלאי!$AB$2:$500,$K417))</f>
        <v/>
      </c>
      <c r="F417" s="8">
        <f>IF($K417="","",IF(AND(INDEX(מלאי!$AB$2:$500,$K417)&lt;&gt;"",INDEX(מלאי!$AB$2:$500,$K417)&lt;TODAY()),"באיחור!","תקין"))</f>
        <v/>
      </c>
      <c r="G417" s="8" t="n"/>
      <c r="H417" s="8" t="n"/>
      <c r="I417" s="8" t="n"/>
      <c r="J417" s="8" t="n"/>
      <c r="K417" s="8">
        <f>IFERROR(SMALL(IF((מלאי!$D$2:$500&lt;&gt;"")*(מלאי!$X$2:$500="מושאל"),ROW(מלאי!$A$2:$A$500)-ROW(מלאי!$A$2)+1,""),92),"")</f>
        <v/>
      </c>
      <c r="L417" s="8" t="n"/>
      <c r="M417" s="8" t="n"/>
      <c r="N417" s="8" t="n"/>
      <c r="O417" s="8" t="n"/>
      <c r="P417" s="8" t="n"/>
      <c r="Q417" s="8" t="n"/>
    </row>
    <row r="418">
      <c r="A418" s="2">
        <f>IF($K418="","",INDEX(מלאי!$D$2:$500,$K418))</f>
        <v/>
      </c>
      <c r="B418" s="2">
        <f>IF($K418="","",INDEX(מלאי!$B$2:$500,$K418))</f>
        <v/>
      </c>
      <c r="C418" s="2">
        <f>IF($K418="","",INDEX(מלאי!$Y$2:$500,$K418))</f>
        <v/>
      </c>
      <c r="D418" s="2">
        <f>IF($K418="","",INDEX(מלאי!$Z$2:$500,$K418))</f>
        <v/>
      </c>
      <c r="E418" s="9">
        <f>IF($K418="","",INDEX(מלאי!$AB$2:$500,$K418))</f>
        <v/>
      </c>
      <c r="F418" s="2">
        <f>IF($K418="","",IF(AND(INDEX(מלאי!$AB$2:$500,$K418)&lt;&gt;"",INDEX(מלאי!$AB$2:$500,$K418)&lt;TODAY()),"באיחור!","תקין"))</f>
        <v/>
      </c>
      <c r="G418" s="2" t="n"/>
      <c r="H418" s="2" t="n"/>
      <c r="I418" s="2" t="n"/>
      <c r="J418" s="2" t="n"/>
      <c r="K418" s="2">
        <f>IFERROR(SMALL(IF((מלאי!$D$2:$500&lt;&gt;"")*(מלאי!$X$2:$500="מושאל"),ROW(מלאי!$A$2:$A$500)-ROW(מלאי!$A$2)+1,""),93),"")</f>
        <v/>
      </c>
      <c r="L418" s="2" t="n"/>
      <c r="M418" s="2" t="n"/>
      <c r="N418" s="2" t="n"/>
      <c r="O418" s="2" t="n"/>
      <c r="P418" s="2" t="n"/>
      <c r="Q418" s="2" t="n"/>
    </row>
    <row r="419">
      <c r="A419" s="8">
        <f>IF($K419="","",INDEX(מלאי!$D$2:$500,$K419))</f>
        <v/>
      </c>
      <c r="B419" s="8">
        <f>IF($K419="","",INDEX(מלאי!$B$2:$500,$K419))</f>
        <v/>
      </c>
      <c r="C419" s="8">
        <f>IF($K419="","",INDEX(מלאי!$Y$2:$500,$K419))</f>
        <v/>
      </c>
      <c r="D419" s="8">
        <f>IF($K419="","",INDEX(מלאי!$Z$2:$500,$K419))</f>
        <v/>
      </c>
      <c r="E419" s="10">
        <f>IF($K419="","",INDEX(מלאי!$AB$2:$500,$K419))</f>
        <v/>
      </c>
      <c r="F419" s="8">
        <f>IF($K419="","",IF(AND(INDEX(מלאי!$AB$2:$500,$K419)&lt;&gt;"",INDEX(מלאי!$AB$2:$500,$K419)&lt;TODAY()),"באיחור!","תקין"))</f>
        <v/>
      </c>
      <c r="G419" s="8" t="n"/>
      <c r="H419" s="8" t="n"/>
      <c r="I419" s="8" t="n"/>
      <c r="J419" s="8" t="n"/>
      <c r="K419" s="8">
        <f>IFERROR(SMALL(IF((מלאי!$D$2:$500&lt;&gt;"")*(מלאי!$X$2:$500="מושאל"),ROW(מלאי!$A$2:$A$500)-ROW(מלאי!$A$2)+1,""),94),"")</f>
        <v/>
      </c>
      <c r="L419" s="8" t="n"/>
      <c r="M419" s="8" t="n"/>
      <c r="N419" s="8" t="n"/>
      <c r="O419" s="8" t="n"/>
      <c r="P419" s="8" t="n"/>
      <c r="Q419" s="8" t="n"/>
    </row>
    <row r="420">
      <c r="A420" s="2">
        <f>IF($K420="","",INDEX(מלאי!$D$2:$500,$K420))</f>
        <v/>
      </c>
      <c r="B420" s="2">
        <f>IF($K420="","",INDEX(מלאי!$B$2:$500,$K420))</f>
        <v/>
      </c>
      <c r="C420" s="2">
        <f>IF($K420="","",INDEX(מלאי!$Y$2:$500,$K420))</f>
        <v/>
      </c>
      <c r="D420" s="2">
        <f>IF($K420="","",INDEX(מלאי!$Z$2:$500,$K420))</f>
        <v/>
      </c>
      <c r="E420" s="9">
        <f>IF($K420="","",INDEX(מלאי!$AB$2:$500,$K420))</f>
        <v/>
      </c>
      <c r="F420" s="2">
        <f>IF($K420="","",IF(AND(INDEX(מלאי!$AB$2:$500,$K420)&lt;&gt;"",INDEX(מלאי!$AB$2:$500,$K420)&lt;TODAY()),"באיחור!","תקין"))</f>
        <v/>
      </c>
      <c r="G420" s="2" t="n"/>
      <c r="H420" s="2" t="n"/>
      <c r="I420" s="2" t="n"/>
      <c r="J420" s="2" t="n"/>
      <c r="K420" s="2">
        <f>IFERROR(SMALL(IF((מלאי!$D$2:$500&lt;&gt;"")*(מלאי!$X$2:$500="מושאל"),ROW(מלאי!$A$2:$A$500)-ROW(מלאי!$A$2)+1,""),95),"")</f>
        <v/>
      </c>
      <c r="L420" s="2" t="n"/>
      <c r="M420" s="2" t="n"/>
      <c r="N420" s="2" t="n"/>
      <c r="O420" s="2" t="n"/>
      <c r="P420" s="2" t="n"/>
      <c r="Q420" s="2" t="n"/>
    </row>
    <row r="421">
      <c r="A421" s="8">
        <f>IF($K421="","",INDEX(מלאי!$D$2:$500,$K421))</f>
        <v/>
      </c>
      <c r="B421" s="8">
        <f>IF($K421="","",INDEX(מלאי!$B$2:$500,$K421))</f>
        <v/>
      </c>
      <c r="C421" s="8">
        <f>IF($K421="","",INDEX(מלאי!$Y$2:$500,$K421))</f>
        <v/>
      </c>
      <c r="D421" s="8">
        <f>IF($K421="","",INDEX(מלאי!$Z$2:$500,$K421))</f>
        <v/>
      </c>
      <c r="E421" s="10">
        <f>IF($K421="","",INDEX(מלאי!$AB$2:$500,$K421))</f>
        <v/>
      </c>
      <c r="F421" s="8">
        <f>IF($K421="","",IF(AND(INDEX(מלאי!$AB$2:$500,$K421)&lt;&gt;"",INDEX(מלאי!$AB$2:$500,$K421)&lt;TODAY()),"באיחור!","תקין"))</f>
        <v/>
      </c>
      <c r="G421" s="8" t="n"/>
      <c r="H421" s="8" t="n"/>
      <c r="I421" s="8" t="n"/>
      <c r="J421" s="8" t="n"/>
      <c r="K421" s="8">
        <f>IFERROR(SMALL(IF((מלאי!$D$2:$500&lt;&gt;"")*(מלאי!$X$2:$500="מושאל"),ROW(מלאי!$A$2:$A$500)-ROW(מלאי!$A$2)+1,""),96),"")</f>
        <v/>
      </c>
      <c r="L421" s="8" t="n"/>
      <c r="M421" s="8" t="n"/>
      <c r="N421" s="8" t="n"/>
      <c r="O421" s="8" t="n"/>
      <c r="P421" s="8" t="n"/>
      <c r="Q421" s="8" t="n"/>
    </row>
    <row r="422">
      <c r="A422" s="2">
        <f>IF($K422="","",INDEX(מלאי!$D$2:$500,$K422))</f>
        <v/>
      </c>
      <c r="B422" s="2">
        <f>IF($K422="","",INDEX(מלאי!$B$2:$500,$K422))</f>
        <v/>
      </c>
      <c r="C422" s="2">
        <f>IF($K422="","",INDEX(מלאי!$Y$2:$500,$K422))</f>
        <v/>
      </c>
      <c r="D422" s="2">
        <f>IF($K422="","",INDEX(מלאי!$Z$2:$500,$K422))</f>
        <v/>
      </c>
      <c r="E422" s="9">
        <f>IF($K422="","",INDEX(מלאי!$AB$2:$500,$K422))</f>
        <v/>
      </c>
      <c r="F422" s="2">
        <f>IF($K422="","",IF(AND(INDEX(מלאי!$AB$2:$500,$K422)&lt;&gt;"",INDEX(מלאי!$AB$2:$500,$K422)&lt;TODAY()),"באיחור!","תקין"))</f>
        <v/>
      </c>
      <c r="G422" s="2" t="n"/>
      <c r="H422" s="2" t="n"/>
      <c r="I422" s="2" t="n"/>
      <c r="J422" s="2" t="n"/>
      <c r="K422" s="2">
        <f>IFERROR(SMALL(IF((מלאי!$D$2:$500&lt;&gt;"")*(מלאי!$X$2:$500="מושאל"),ROW(מלאי!$A$2:$A$500)-ROW(מלאי!$A$2)+1,""),97),"")</f>
        <v/>
      </c>
      <c r="L422" s="2" t="n"/>
      <c r="M422" s="2" t="n"/>
      <c r="N422" s="2" t="n"/>
      <c r="O422" s="2" t="n"/>
      <c r="P422" s="2" t="n"/>
      <c r="Q422" s="2" t="n"/>
    </row>
    <row r="423">
      <c r="A423" s="8">
        <f>IF($K423="","",INDEX(מלאי!$D$2:$500,$K423))</f>
        <v/>
      </c>
      <c r="B423" s="8">
        <f>IF($K423="","",INDEX(מלאי!$B$2:$500,$K423))</f>
        <v/>
      </c>
      <c r="C423" s="8">
        <f>IF($K423="","",INDEX(מלאי!$Y$2:$500,$K423))</f>
        <v/>
      </c>
      <c r="D423" s="8">
        <f>IF($K423="","",INDEX(מלאי!$Z$2:$500,$K423))</f>
        <v/>
      </c>
      <c r="E423" s="10">
        <f>IF($K423="","",INDEX(מלאי!$AB$2:$500,$K423))</f>
        <v/>
      </c>
      <c r="F423" s="8">
        <f>IF($K423="","",IF(AND(INDEX(מלאי!$AB$2:$500,$K423)&lt;&gt;"",INDEX(מלאי!$AB$2:$500,$K423)&lt;TODAY()),"באיחור!","תקין"))</f>
        <v/>
      </c>
      <c r="G423" s="8" t="n"/>
      <c r="H423" s="8" t="n"/>
      <c r="I423" s="8" t="n"/>
      <c r="J423" s="8" t="n"/>
      <c r="K423" s="8">
        <f>IFERROR(SMALL(IF((מלאי!$D$2:$500&lt;&gt;"")*(מלאי!$X$2:$500="מושאל"),ROW(מלאי!$A$2:$A$500)-ROW(מלאי!$A$2)+1,""),98),"")</f>
        <v/>
      </c>
      <c r="L423" s="8" t="n"/>
      <c r="M423" s="8" t="n"/>
      <c r="N423" s="8" t="n"/>
      <c r="O423" s="8" t="n"/>
      <c r="P423" s="8" t="n"/>
      <c r="Q423" s="8" t="n"/>
    </row>
    <row r="424">
      <c r="A424" s="2">
        <f>IF($K424="","",INDEX(מלאי!$D$2:$500,$K424))</f>
        <v/>
      </c>
      <c r="B424" s="2">
        <f>IF($K424="","",INDEX(מלאי!$B$2:$500,$K424))</f>
        <v/>
      </c>
      <c r="C424" s="2">
        <f>IF($K424="","",INDEX(מלאי!$Y$2:$500,$K424))</f>
        <v/>
      </c>
      <c r="D424" s="2">
        <f>IF($K424="","",INDEX(מלאי!$Z$2:$500,$K424))</f>
        <v/>
      </c>
      <c r="E424" s="9">
        <f>IF($K424="","",INDEX(מלאי!$AB$2:$500,$K424))</f>
        <v/>
      </c>
      <c r="F424" s="2">
        <f>IF($K424="","",IF(AND(INDEX(מלאי!$AB$2:$500,$K424)&lt;&gt;"",INDEX(מלאי!$AB$2:$500,$K424)&lt;TODAY()),"באיחור!","תקין"))</f>
        <v/>
      </c>
      <c r="G424" s="2" t="n"/>
      <c r="H424" s="2" t="n"/>
      <c r="I424" s="2" t="n"/>
      <c r="J424" s="2" t="n"/>
      <c r="K424" s="2">
        <f>IFERROR(SMALL(IF((מלאי!$D$2:$500&lt;&gt;"")*(מלאי!$X$2:$500="מושאל"),ROW(מלאי!$A$2:$A$500)-ROW(מלאי!$A$2)+1,""),99),"")</f>
        <v/>
      </c>
      <c r="L424" s="2" t="n"/>
      <c r="M424" s="2" t="n"/>
      <c r="N424" s="2" t="n"/>
      <c r="O424" s="2" t="n"/>
      <c r="P424" s="2" t="n"/>
      <c r="Q424" s="2" t="n"/>
    </row>
    <row r="425">
      <c r="A425" s="8">
        <f>IF($K425="","",INDEX(מלאי!$D$2:$500,$K425))</f>
        <v/>
      </c>
      <c r="B425" s="8">
        <f>IF($K425="","",INDEX(מלאי!$B$2:$500,$K425))</f>
        <v/>
      </c>
      <c r="C425" s="8">
        <f>IF($K425="","",INDEX(מלאי!$Y$2:$500,$K425))</f>
        <v/>
      </c>
      <c r="D425" s="8">
        <f>IF($K425="","",INDEX(מלאי!$Z$2:$500,$K425))</f>
        <v/>
      </c>
      <c r="E425" s="10">
        <f>IF($K425="","",INDEX(מלאי!$AB$2:$500,$K425))</f>
        <v/>
      </c>
      <c r="F425" s="8">
        <f>IF($K425="","",IF(AND(INDEX(מלאי!$AB$2:$500,$K425)&lt;&gt;"",INDEX(מלאי!$AB$2:$500,$K425)&lt;TODAY()),"באיחור!","תקין"))</f>
        <v/>
      </c>
      <c r="G425" s="8" t="n"/>
      <c r="H425" s="8" t="n"/>
      <c r="I425" s="8" t="n"/>
      <c r="J425" s="8" t="n"/>
      <c r="K425" s="8">
        <f>IFERROR(SMALL(IF((מלאי!$D$2:$500&lt;&gt;"")*(מלאי!$X$2:$500="מושאל"),ROW(מלאי!$A$2:$A$500)-ROW(מלאי!$A$2)+1,""),100),"")</f>
        <v/>
      </c>
      <c r="L425" s="8" t="n"/>
      <c r="M425" s="8" t="n"/>
      <c r="N425" s="8" t="n"/>
      <c r="O425" s="8" t="n"/>
      <c r="P425" s="8" t="n"/>
      <c r="Q425" s="8" t="n"/>
    </row>
  </sheetData>
  <mergeCells count="13">
    <mergeCell ref="A10:C10"/>
    <mergeCell ref="A13:C13"/>
    <mergeCell ref="A11:C11"/>
    <mergeCell ref="A19:C19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F326:F425">
    <cfRule type="expression" priority="1" dxfId="0">
      <formula>F326="באיחור!"</formula>
    </cfRule>
  </conditionalFormatting>
  <conditionalFormatting sqref="A326:F425">
    <cfRule type="expression" priority="2" dxfId="1">
      <formula>$F326="באיחור!"</formula>
    </cfRule>
  </conditionalFormatting>
  <dataValidations count="9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"הכל,Sahar,Inbar,SRV,Gabardine,Meron,Arber,IRR,Polar,Nylon,Mesh,PVC,Other"</formula1>
    </dataValidation>
    <dataValidation sqref="F2" showDropDown="0" showInputMessage="0" showErrorMessage="0" allowBlank="1" type="list">
      <formula1>"הכל,S,M,L,XL,XXL,One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7" t="inlineStr">
        <is>
          <t>מזהה פריט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קו מוצר</t>
        </is>
      </c>
      <c r="E1" s="7" t="inlineStr">
        <is>
          <t>הדפס צד A</t>
        </is>
      </c>
      <c r="F1" s="7" t="inlineStr">
        <is>
          <t>MWIR צד A</t>
        </is>
      </c>
      <c r="G1" s="7" t="inlineStr">
        <is>
          <t>LWIR צד A</t>
        </is>
      </c>
      <c r="H1" s="7" t="inlineStr">
        <is>
          <t>הדפס צד B</t>
        </is>
      </c>
      <c r="I1" s="7" t="inlineStr">
        <is>
          <t>MWIR צד B</t>
        </is>
      </c>
      <c r="J1" s="7" t="inlineStr">
        <is>
          <t>LWIR צד B</t>
        </is>
      </c>
      <c r="K1" s="7" t="inlineStr">
        <is>
          <t>נובל</t>
        </is>
      </c>
      <c r="L1" s="7" t="inlineStr">
        <is>
          <t>ממוצע MWIR</t>
        </is>
      </c>
      <c r="M1" s="7" t="inlineStr">
        <is>
          <t>ממוצע LWIR</t>
        </is>
      </c>
      <c r="N1" s="7" t="inlineStr">
        <is>
          <t>ממוצע משולב</t>
        </is>
      </c>
    </row>
    <row r="2">
      <c r="A2" s="2" t="inlineStr">
        <is>
          <t>INV-001</t>
        </is>
      </c>
      <c r="B2" s="2">
        <f>IFERROR(INDEX(מלאי!$B$2:$B$500,MATCH(A2,מלאי!$D$2:$D$500,0)),"")</f>
        <v/>
      </c>
      <c r="C2" s="2">
        <f>IFERROR(INDEX(מלאי!$C$2:$C$500,MATCH(A2,מלאי!$D$2:$D$500,0)),"")</f>
        <v/>
      </c>
      <c r="D2" s="2">
        <f>IFERROR(INDEX(מלאי!$A$2:$A$500,MATCH(A2,מלאי!$D$2:$D$500,0)),"")</f>
        <v/>
      </c>
      <c r="E2" s="2">
        <f>IFERROR(INDEX(מלאי!$M$2:$M$500,MATCH(A2,מלאי!$D$2:$D$500,0)),"")</f>
        <v/>
      </c>
      <c r="F2" s="13" t="n">
        <v>0.85</v>
      </c>
      <c r="G2" s="13" t="n">
        <v>0.78</v>
      </c>
      <c r="H2" s="2">
        <f>IFERROR(INDEX(מלאי!$N$2:$N$500,MATCH(A2,מלאי!$D$2:$D$500,0)),"")</f>
        <v/>
      </c>
      <c r="I2" s="13" t="n">
        <v>0.72</v>
      </c>
      <c r="J2" s="13" t="n">
        <v>0.65</v>
      </c>
      <c r="K2" s="2" t="inlineStr">
        <is>
          <t>לא</t>
        </is>
      </c>
      <c r="L2" s="13">
        <f>IF(F2="","",IF(I2&lt;&gt;"",AVERAGE(F2,I2),F2))</f>
        <v/>
      </c>
      <c r="M2" s="13">
        <f>IF(G2="","",IF(J2&lt;&gt;"",AVERAGE(G2,J2),G2))</f>
        <v/>
      </c>
      <c r="N2" s="13">
        <f>IF(OR(L2="",M2=""),"",AVERAGE(L2,M2))</f>
        <v/>
      </c>
    </row>
    <row r="3">
      <c r="A3" s="8" t="inlineStr">
        <is>
          <t>INV-002</t>
        </is>
      </c>
      <c r="B3" s="8">
        <f>IFERROR(INDEX(מלאי!$B$2:$B$500,MATCH(A3,מלאי!$D$2:$D$500,0)),"")</f>
        <v/>
      </c>
      <c r="C3" s="8">
        <f>IFERROR(INDEX(מלאי!$C$2:$C$500,MATCH(A3,מלאי!$D$2:$D$500,0)),"")</f>
        <v/>
      </c>
      <c r="D3" s="8">
        <f>IFERROR(INDEX(מלאי!$A$2:$A$500,MATCH(A3,מלאי!$D$2:$D$500,0)),"")</f>
        <v/>
      </c>
      <c r="E3" s="8">
        <f>IFERROR(INDEX(מלאי!$M$2:$M$500,MATCH(A3,מלאי!$D$2:$D$500,0)),"")</f>
        <v/>
      </c>
      <c r="F3" s="14" t="n">
        <v>0.91</v>
      </c>
      <c r="G3" s="14" t="n">
        <v>0.83</v>
      </c>
      <c r="H3" s="8">
        <f>IFERROR(INDEX(מלאי!$N$2:$N$500,MATCH(A3,מלאי!$D$2:$D$500,0)),"")</f>
        <v/>
      </c>
      <c r="I3" s="14" t="n"/>
      <c r="J3" s="14" t="n"/>
      <c r="K3" s="8" t="inlineStr">
        <is>
          <t>כן</t>
        </is>
      </c>
      <c r="L3" s="14">
        <f>IF(F3="","",IF(I3&lt;&gt;"",AVERAGE(F3,I3),F3))</f>
        <v/>
      </c>
      <c r="M3" s="14">
        <f>IF(G3="","",IF(J3&lt;&gt;"",AVERAGE(G3,J3),G3))</f>
        <v/>
      </c>
      <c r="N3" s="14">
        <f>IF(OR(L3="",M3=""),"",AVERAGE(L3,M3))</f>
        <v/>
      </c>
    </row>
    <row r="4">
      <c r="A4" s="2" t="inlineStr">
        <is>
          <t>INV-003</t>
        </is>
      </c>
      <c r="B4" s="2">
        <f>IFERROR(INDEX(מלאי!$B$2:$B$500,MATCH(A4,מלאי!$D$2:$D$500,0)),"")</f>
        <v/>
      </c>
      <c r="C4" s="2">
        <f>IFERROR(INDEX(מלאי!$C$2:$C$500,MATCH(A4,מלאי!$D$2:$D$500,0)),"")</f>
        <v/>
      </c>
      <c r="D4" s="2">
        <f>IFERROR(INDEX(מלאי!$A$2:$A$500,MATCH(A4,מלאי!$D$2:$D$500,0)),"")</f>
        <v/>
      </c>
      <c r="E4" s="2">
        <f>IFERROR(INDEX(מלאי!$M$2:$M$500,MATCH(A4,מלאי!$D$2:$D$500,0)),"")</f>
        <v/>
      </c>
      <c r="F4" s="13" t="n">
        <v>0.76</v>
      </c>
      <c r="G4" s="13" t="n">
        <v>0.71</v>
      </c>
      <c r="H4" s="2">
        <f>IFERROR(INDEX(מלאי!$N$2:$N$500,MATCH(A4,מלאי!$D$2:$D$500,0)),"")</f>
        <v/>
      </c>
      <c r="I4" s="13" t="n">
        <v>0.79</v>
      </c>
      <c r="J4" s="13" t="n">
        <v>0.74</v>
      </c>
      <c r="K4" s="2" t="inlineStr">
        <is>
          <t>לא</t>
        </is>
      </c>
      <c r="L4" s="13">
        <f>IF(F4="","",IF(I4&lt;&gt;"",AVERAGE(F4,I4),F4))</f>
        <v/>
      </c>
      <c r="M4" s="13">
        <f>IF(G4="","",IF(J4&lt;&gt;"",AVERAGE(G4,J4),G4))</f>
        <v/>
      </c>
      <c r="N4" s="13">
        <f>IF(OR(L4="",M4=""),"",AVERAGE(L4,M4))</f>
        <v/>
      </c>
    </row>
    <row r="5">
      <c r="A5" s="8" t="inlineStr">
        <is>
          <t>INV-004</t>
        </is>
      </c>
      <c r="B5" s="8">
        <f>IFERROR(INDEX(מלאי!$B$2:$B$500,MATCH(A5,מלאי!$D$2:$D$500,0)),"")</f>
        <v/>
      </c>
      <c r="C5" s="8">
        <f>IFERROR(INDEX(מלאי!$C$2:$C$500,MATCH(A5,מלאי!$D$2:$D$500,0)),"")</f>
        <v/>
      </c>
      <c r="D5" s="8">
        <f>IFERROR(INDEX(מלאי!$A$2:$A$500,MATCH(A5,מלאי!$D$2:$D$500,0)),"")</f>
        <v/>
      </c>
      <c r="E5" s="8">
        <f>IFERROR(INDEX(מלאי!$M$2:$M$500,MATCH(A5,מלאי!$D$2:$D$500,0)),"")</f>
        <v/>
      </c>
      <c r="F5" s="14" t="n">
        <v>0.95</v>
      </c>
      <c r="G5" s="14" t="n">
        <v>0.89</v>
      </c>
      <c r="H5" s="8">
        <f>IFERROR(INDEX(מלאי!$N$2:$N$500,MATCH(A5,מלאי!$D$2:$D$500,0)),"")</f>
        <v/>
      </c>
      <c r="I5" s="14" t="n"/>
      <c r="J5" s="14" t="n"/>
      <c r="K5" s="8" t="inlineStr">
        <is>
          <t>כן</t>
        </is>
      </c>
      <c r="L5" s="14">
        <f>IF(F5="","",IF(I5&lt;&gt;"",AVERAGE(F5,I5),F5))</f>
        <v/>
      </c>
      <c r="M5" s="14">
        <f>IF(G5="","",IF(J5&lt;&gt;"",AVERAGE(G5,J5),G5))</f>
        <v/>
      </c>
      <c r="N5" s="14">
        <f>IF(OR(L5="",M5=""),"",AVERAGE(L5,M5))</f>
        <v/>
      </c>
    </row>
    <row r="6">
      <c r="A6" s="2" t="inlineStr">
        <is>
          <t>INV-005</t>
        </is>
      </c>
      <c r="B6" s="2">
        <f>IFERROR(INDEX(מלאי!$B$2:$B$500,MATCH(A6,מלאי!$D$2:$D$500,0)),"")</f>
        <v/>
      </c>
      <c r="C6" s="2">
        <f>IFERROR(INDEX(מלאי!$C$2:$C$500,MATCH(A6,מלאי!$D$2:$D$500,0)),"")</f>
        <v/>
      </c>
      <c r="D6" s="2">
        <f>IFERROR(INDEX(מלאי!$A$2:$A$500,MATCH(A6,מלאי!$D$2:$D$500,0)),"")</f>
        <v/>
      </c>
      <c r="E6" s="2">
        <f>IFERROR(INDEX(מלאי!$M$2:$M$500,MATCH(A6,מלאי!$D$2:$D$500,0)),"")</f>
        <v/>
      </c>
      <c r="F6" s="13" t="n">
        <v>0.88</v>
      </c>
      <c r="G6" s="13" t="n">
        <v>0.82</v>
      </c>
      <c r="H6" s="2">
        <f>IFERROR(INDEX(מלאי!$N$2:$N$500,MATCH(A6,מלאי!$D$2:$D$500,0)),"")</f>
        <v/>
      </c>
      <c r="I6" s="13" t="n">
        <v>0.73</v>
      </c>
      <c r="J6" s="13" t="n">
        <v>0.68</v>
      </c>
      <c r="K6" s="2" t="inlineStr">
        <is>
          <t>לא</t>
        </is>
      </c>
      <c r="L6" s="13">
        <f>IF(F6="","",IF(I6&lt;&gt;"",AVERAGE(F6,I6),F6))</f>
        <v/>
      </c>
      <c r="M6" s="13">
        <f>IF(G6="","",IF(J6&lt;&gt;"",AVERAGE(G6,J6),G6))</f>
        <v/>
      </c>
      <c r="N6" s="13">
        <f>IF(OR(L6="",M6=""),"",AVERAGE(L6,M6))</f>
        <v/>
      </c>
    </row>
    <row r="7"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15" t="n"/>
      <c r="G7" s="15" t="n"/>
      <c r="H7">
        <f>IFERROR(INDEX(מלאי!$N$2:$N$500,MATCH(A7,מלאי!$D$2:$D$500,0)),"")</f>
        <v/>
      </c>
      <c r="I7" s="15" t="n"/>
      <c r="J7" s="15" t="n"/>
      <c r="L7" s="15">
        <f>IF(F7="","",IF(I7&lt;&gt;"",AVERAGE(F7,I7),F7))</f>
        <v/>
      </c>
      <c r="M7" s="15">
        <f>IF(G7="","",IF(J7&lt;&gt;"",AVERAGE(G7,J7),G7))</f>
        <v/>
      </c>
      <c r="N7" s="15">
        <f>IF(OR(L7="",M7=""),"",AVERAGE(L7,M7))</f>
        <v/>
      </c>
    </row>
    <row r="8"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15" t="n"/>
      <c r="G8" s="15" t="n"/>
      <c r="H8">
        <f>IFERROR(INDEX(מלאי!$N$2:$N$500,MATCH(A8,מלאי!$D$2:$D$500,0)),"")</f>
        <v/>
      </c>
      <c r="I8" s="15" t="n"/>
      <c r="J8" s="15" t="n"/>
      <c r="L8" s="15">
        <f>IF(F8="","",IF(I8&lt;&gt;"",AVERAGE(F8,I8),F8))</f>
        <v/>
      </c>
      <c r="M8" s="15">
        <f>IF(G8="","",IF(J8&lt;&gt;"",AVERAGE(G8,J8),G8))</f>
        <v/>
      </c>
      <c r="N8" s="15">
        <f>IF(OR(L8="",M8=""),"",AVERAGE(L8,M8))</f>
        <v/>
      </c>
    </row>
    <row r="9"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15" t="n"/>
      <c r="G9" s="15" t="n"/>
      <c r="H9">
        <f>IFERROR(INDEX(מלאי!$N$2:$N$500,MATCH(A9,מלאי!$D$2:$D$500,0)),"")</f>
        <v/>
      </c>
      <c r="I9" s="15" t="n"/>
      <c r="J9" s="15" t="n"/>
      <c r="L9" s="15">
        <f>IF(F9="","",IF(I9&lt;&gt;"",AVERAGE(F9,I9),F9))</f>
        <v/>
      </c>
      <c r="M9" s="15">
        <f>IF(G9="","",IF(J9&lt;&gt;"",AVERAGE(G9,J9),G9))</f>
        <v/>
      </c>
      <c r="N9" s="15">
        <f>IF(OR(L9="",M9=""),"",AVERAGE(L9,M9))</f>
        <v/>
      </c>
    </row>
    <row r="10"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15" t="n"/>
      <c r="G10" s="15" t="n"/>
      <c r="H10">
        <f>IFERROR(INDEX(מלאי!$N$2:$N$500,MATCH(A10,מלאי!$D$2:$D$500,0)),"")</f>
        <v/>
      </c>
      <c r="I10" s="15" t="n"/>
      <c r="J10" s="15" t="n"/>
      <c r="L10" s="15">
        <f>IF(F10="","",IF(I10&lt;&gt;"",AVERAGE(F10,I10),F10))</f>
        <v/>
      </c>
      <c r="M10" s="15">
        <f>IF(G10="","",IF(J10&lt;&gt;"",AVERAGE(G10,J10),G10))</f>
        <v/>
      </c>
      <c r="N10" s="15">
        <f>IF(OR(L10="",M10=""),"",AVERAGE(L10,M10))</f>
        <v/>
      </c>
    </row>
    <row r="11"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15" t="n"/>
      <c r="G11" s="15" t="n"/>
      <c r="H11">
        <f>IFERROR(INDEX(מלאי!$N$2:$N$500,MATCH(A11,מלאי!$D$2:$D$500,0)),"")</f>
        <v/>
      </c>
      <c r="I11" s="15" t="n"/>
      <c r="J11" s="15" t="n"/>
      <c r="L11" s="15">
        <f>IF(F11="","",IF(I11&lt;&gt;"",AVERAGE(F11,I11),F11))</f>
        <v/>
      </c>
      <c r="M11" s="15">
        <f>IF(G11="","",IF(J11&lt;&gt;"",AVERAGE(G11,J11),G11))</f>
        <v/>
      </c>
      <c r="N11" s="15">
        <f>IF(OR(L11="",M11=""),"",AVERAGE(L11,M11))</f>
        <v/>
      </c>
    </row>
    <row r="12"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15" t="n"/>
      <c r="G12" s="15" t="n"/>
      <c r="H12">
        <f>IFERROR(INDEX(מלאי!$N$2:$N$500,MATCH(A12,מלאי!$D$2:$D$500,0)),"")</f>
        <v/>
      </c>
      <c r="I12" s="15" t="n"/>
      <c r="J12" s="15" t="n"/>
      <c r="L12" s="15">
        <f>IF(F12="","",IF(I12&lt;&gt;"",AVERAGE(F12,I12),F12))</f>
        <v/>
      </c>
      <c r="M12" s="15">
        <f>IF(G12="","",IF(J12&lt;&gt;"",AVERAGE(G12,J12),G12))</f>
        <v/>
      </c>
      <c r="N12" s="15">
        <f>IF(OR(L12="",M12=""),"",AVERAGE(L12,M12))</f>
        <v/>
      </c>
    </row>
    <row r="13"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15" t="n"/>
      <c r="G13" s="15" t="n"/>
      <c r="H13">
        <f>IFERROR(INDEX(מלאי!$N$2:$N$500,MATCH(A13,מלאי!$D$2:$D$500,0)),"")</f>
        <v/>
      </c>
      <c r="I13" s="15" t="n"/>
      <c r="J13" s="15" t="n"/>
      <c r="L13" s="15">
        <f>IF(F13="","",IF(I13&lt;&gt;"",AVERAGE(F13,I13),F13))</f>
        <v/>
      </c>
      <c r="M13" s="15">
        <f>IF(G13="","",IF(J13&lt;&gt;"",AVERAGE(G13,J13),G13))</f>
        <v/>
      </c>
      <c r="N13" s="15">
        <f>IF(OR(L13="",M13=""),"",AVERAGE(L13,M13))</f>
        <v/>
      </c>
    </row>
    <row r="14"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15" t="n"/>
      <c r="G14" s="15" t="n"/>
      <c r="H14">
        <f>IFERROR(INDEX(מלאי!$N$2:$N$500,MATCH(A14,מלאי!$D$2:$D$500,0)),"")</f>
        <v/>
      </c>
      <c r="I14" s="15" t="n"/>
      <c r="J14" s="15" t="n"/>
      <c r="L14" s="15">
        <f>IF(F14="","",IF(I14&lt;&gt;"",AVERAGE(F14,I14),F14))</f>
        <v/>
      </c>
      <c r="M14" s="15">
        <f>IF(G14="","",IF(J14&lt;&gt;"",AVERAGE(G14,J14),G14))</f>
        <v/>
      </c>
      <c r="N14" s="15">
        <f>IF(OR(L14="",M14=""),"",AVERAGE(L14,M14))</f>
        <v/>
      </c>
    </row>
    <row r="15"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15" t="n"/>
      <c r="G15" s="15" t="n"/>
      <c r="H15">
        <f>IFERROR(INDEX(מלאי!$N$2:$N$500,MATCH(A15,מלאי!$D$2:$D$500,0)),"")</f>
        <v/>
      </c>
      <c r="I15" s="15" t="n"/>
      <c r="J15" s="15" t="n"/>
      <c r="L15" s="15">
        <f>IF(F15="","",IF(I15&lt;&gt;"",AVERAGE(F15,I15),F15))</f>
        <v/>
      </c>
      <c r="M15" s="15">
        <f>IF(G15="","",IF(J15&lt;&gt;"",AVERAGE(G15,J15),G15))</f>
        <v/>
      </c>
      <c r="N15" s="15">
        <f>IF(OR(L15="",M15=""),"",AVERAGE(L15,M15))</f>
        <v/>
      </c>
    </row>
    <row r="16"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15" t="n"/>
      <c r="G16" s="15" t="n"/>
      <c r="H16">
        <f>IFERROR(INDEX(מלאי!$N$2:$N$500,MATCH(A16,מלאי!$D$2:$D$500,0)),"")</f>
        <v/>
      </c>
      <c r="I16" s="15" t="n"/>
      <c r="J16" s="15" t="n"/>
      <c r="L16" s="15">
        <f>IF(F16="","",IF(I16&lt;&gt;"",AVERAGE(F16,I16),F16))</f>
        <v/>
      </c>
      <c r="M16" s="15">
        <f>IF(G16="","",IF(J16&lt;&gt;"",AVERAGE(G16,J16),G16))</f>
        <v/>
      </c>
      <c r="N16" s="15">
        <f>IF(OR(L16="",M16=""),"",AVERAGE(L16,M16))</f>
        <v/>
      </c>
    </row>
    <row r="17"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15" t="n"/>
      <c r="G17" s="15" t="n"/>
      <c r="H17">
        <f>IFERROR(INDEX(מלאי!$N$2:$N$500,MATCH(A17,מלאי!$D$2:$D$500,0)),"")</f>
        <v/>
      </c>
      <c r="I17" s="15" t="n"/>
      <c r="J17" s="15" t="n"/>
      <c r="L17" s="15">
        <f>IF(F17="","",IF(I17&lt;&gt;"",AVERAGE(F17,I17),F17))</f>
        <v/>
      </c>
      <c r="M17" s="15">
        <f>IF(G17="","",IF(J17&lt;&gt;"",AVERAGE(G17,J17),G17))</f>
        <v/>
      </c>
      <c r="N17" s="15">
        <f>IF(OR(L17="",M17=""),"",AVERAGE(L17,M17))</f>
        <v/>
      </c>
    </row>
    <row r="18"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15" t="n"/>
      <c r="G18" s="15" t="n"/>
      <c r="H18">
        <f>IFERROR(INDEX(מלאי!$N$2:$N$500,MATCH(A18,מלאי!$D$2:$D$500,0)),"")</f>
        <v/>
      </c>
      <c r="I18" s="15" t="n"/>
      <c r="J18" s="15" t="n"/>
      <c r="L18" s="15">
        <f>IF(F18="","",IF(I18&lt;&gt;"",AVERAGE(F18,I18),F18))</f>
        <v/>
      </c>
      <c r="M18" s="15">
        <f>IF(G18="","",IF(J18&lt;&gt;"",AVERAGE(G18,J18),G18))</f>
        <v/>
      </c>
      <c r="N18" s="15">
        <f>IF(OR(L18="",M18=""),"",AVERAGE(L18,M18))</f>
        <v/>
      </c>
    </row>
    <row r="19"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15" t="n"/>
      <c r="G19" s="15" t="n"/>
      <c r="H19">
        <f>IFERROR(INDEX(מלאי!$N$2:$N$500,MATCH(A19,מלאי!$D$2:$D$500,0)),"")</f>
        <v/>
      </c>
      <c r="I19" s="15" t="n"/>
      <c r="J19" s="15" t="n"/>
      <c r="L19" s="15">
        <f>IF(F19="","",IF(I19&lt;&gt;"",AVERAGE(F19,I19),F19))</f>
        <v/>
      </c>
      <c r="M19" s="15">
        <f>IF(G19="","",IF(J19&lt;&gt;"",AVERAGE(G19,J19),G19))</f>
        <v/>
      </c>
      <c r="N19" s="15">
        <f>IF(OR(L19="",M19=""),"",AVERAGE(L19,M19))</f>
        <v/>
      </c>
    </row>
    <row r="20"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15" t="n"/>
      <c r="G20" s="15" t="n"/>
      <c r="H20">
        <f>IFERROR(INDEX(מלאי!$N$2:$N$500,MATCH(A20,מלאי!$D$2:$D$500,0)),"")</f>
        <v/>
      </c>
      <c r="I20" s="15" t="n"/>
      <c r="J20" s="15" t="n"/>
      <c r="L20" s="15">
        <f>IF(F20="","",IF(I20&lt;&gt;"",AVERAGE(F20,I20),F20))</f>
        <v/>
      </c>
      <c r="M20" s="15">
        <f>IF(G20="","",IF(J20&lt;&gt;"",AVERAGE(G20,J20),G20))</f>
        <v/>
      </c>
      <c r="N20" s="15">
        <f>IF(OR(L20="",M20=""),"",AVERAGE(L20,M20))</f>
        <v/>
      </c>
    </row>
    <row r="21"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15" t="n"/>
      <c r="G21" s="15" t="n"/>
      <c r="H21">
        <f>IFERROR(INDEX(מלאי!$N$2:$N$500,MATCH(A21,מלאי!$D$2:$D$500,0)),"")</f>
        <v/>
      </c>
      <c r="I21" s="15" t="n"/>
      <c r="J21" s="15" t="n"/>
      <c r="L21" s="15">
        <f>IF(F21="","",IF(I21&lt;&gt;"",AVERAGE(F21,I21),F21))</f>
        <v/>
      </c>
      <c r="M21" s="15">
        <f>IF(G21="","",IF(J21&lt;&gt;"",AVERAGE(G21,J21),G21))</f>
        <v/>
      </c>
      <c r="N21" s="15">
        <f>IF(OR(L21="",M21=""),"",AVERAGE(L21,M21))</f>
        <v/>
      </c>
    </row>
    <row r="22"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15" t="n"/>
      <c r="G22" s="15" t="n"/>
      <c r="H22">
        <f>IFERROR(INDEX(מלאי!$N$2:$N$500,MATCH(A22,מלאי!$D$2:$D$500,0)),"")</f>
        <v/>
      </c>
      <c r="I22" s="15" t="n"/>
      <c r="J22" s="15" t="n"/>
      <c r="L22" s="15">
        <f>IF(F22="","",IF(I22&lt;&gt;"",AVERAGE(F22,I22),F22))</f>
        <v/>
      </c>
      <c r="M22" s="15">
        <f>IF(G22="","",IF(J22&lt;&gt;"",AVERAGE(G22,J22),G22))</f>
        <v/>
      </c>
      <c r="N22" s="15">
        <f>IF(OR(L22="",M22=""),"",AVERAGE(L22,M22))</f>
        <v/>
      </c>
    </row>
    <row r="23"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15" t="n"/>
      <c r="G23" s="15" t="n"/>
      <c r="H23">
        <f>IFERROR(INDEX(מלאי!$N$2:$N$500,MATCH(A23,מלאי!$D$2:$D$500,0)),"")</f>
        <v/>
      </c>
      <c r="I23" s="15" t="n"/>
      <c r="J23" s="15" t="n"/>
      <c r="L23" s="15">
        <f>IF(F23="","",IF(I23&lt;&gt;"",AVERAGE(F23,I23),F23))</f>
        <v/>
      </c>
      <c r="M23" s="15">
        <f>IF(G23="","",IF(J23&lt;&gt;"",AVERAGE(G23,J23),G23))</f>
        <v/>
      </c>
      <c r="N23" s="15">
        <f>IF(OR(L23="",M23=""),"",AVERAGE(L23,M23))</f>
        <v/>
      </c>
    </row>
    <row r="24"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15" t="n"/>
      <c r="G24" s="15" t="n"/>
      <c r="H24">
        <f>IFERROR(INDEX(מלאי!$N$2:$N$500,MATCH(A24,מלאי!$D$2:$D$500,0)),"")</f>
        <v/>
      </c>
      <c r="I24" s="15" t="n"/>
      <c r="J24" s="15" t="n"/>
      <c r="L24" s="15">
        <f>IF(F24="","",IF(I24&lt;&gt;"",AVERAGE(F24,I24),F24))</f>
        <v/>
      </c>
      <c r="M24" s="15">
        <f>IF(G24="","",IF(J24&lt;&gt;"",AVERAGE(G24,J24),G24))</f>
        <v/>
      </c>
      <c r="N24" s="15">
        <f>IF(OR(L24="",M24=""),"",AVERAGE(L24,M24))</f>
        <v/>
      </c>
    </row>
    <row r="25"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15" t="n"/>
      <c r="G25" s="15" t="n"/>
      <c r="H25">
        <f>IFERROR(INDEX(מלאי!$N$2:$N$500,MATCH(A25,מלאי!$D$2:$D$500,0)),"")</f>
        <v/>
      </c>
      <c r="I25" s="15" t="n"/>
      <c r="J25" s="15" t="n"/>
      <c r="L25" s="15">
        <f>IF(F25="","",IF(I25&lt;&gt;"",AVERAGE(F25,I25),F25))</f>
        <v/>
      </c>
      <c r="M25" s="15">
        <f>IF(G25="","",IF(J25&lt;&gt;"",AVERAGE(G25,J25),G25))</f>
        <v/>
      </c>
      <c r="N25" s="15">
        <f>IF(OR(L25="",M25=""),"",AVERAGE(L25,M25))</f>
        <v/>
      </c>
    </row>
    <row r="26"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15" t="n"/>
      <c r="G26" s="15" t="n"/>
      <c r="H26">
        <f>IFERROR(INDEX(מלאי!$N$2:$N$500,MATCH(A26,מלאי!$D$2:$D$500,0)),"")</f>
        <v/>
      </c>
      <c r="I26" s="15" t="n"/>
      <c r="J26" s="15" t="n"/>
      <c r="L26" s="15">
        <f>IF(F26="","",IF(I26&lt;&gt;"",AVERAGE(F26,I26),F26))</f>
        <v/>
      </c>
      <c r="M26" s="15">
        <f>IF(G26="","",IF(J26&lt;&gt;"",AVERAGE(G26,J26),G26))</f>
        <v/>
      </c>
      <c r="N26" s="15">
        <f>IF(OR(L26="",M26=""),"",AVERAGE(L26,M26))</f>
        <v/>
      </c>
    </row>
    <row r="27"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15" t="n"/>
      <c r="G27" s="15" t="n"/>
      <c r="H27">
        <f>IFERROR(INDEX(מלאי!$N$2:$N$500,MATCH(A27,מלאי!$D$2:$D$500,0)),"")</f>
        <v/>
      </c>
      <c r="I27" s="15" t="n"/>
      <c r="J27" s="15" t="n"/>
      <c r="L27" s="15">
        <f>IF(F27="","",IF(I27&lt;&gt;"",AVERAGE(F27,I27),F27))</f>
        <v/>
      </c>
      <c r="M27" s="15">
        <f>IF(G27="","",IF(J27&lt;&gt;"",AVERAGE(G27,J27),G27))</f>
        <v/>
      </c>
      <c r="N27" s="15">
        <f>IF(OR(L27="",M27=""),"",AVERAGE(L27,M27))</f>
        <v/>
      </c>
    </row>
    <row r="28"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15" t="n"/>
      <c r="G28" s="15" t="n"/>
      <c r="H28">
        <f>IFERROR(INDEX(מלאי!$N$2:$N$500,MATCH(A28,מלאי!$D$2:$D$500,0)),"")</f>
        <v/>
      </c>
      <c r="I28" s="15" t="n"/>
      <c r="J28" s="15" t="n"/>
      <c r="L28" s="15">
        <f>IF(F28="","",IF(I28&lt;&gt;"",AVERAGE(F28,I28),F28))</f>
        <v/>
      </c>
      <c r="M28" s="15">
        <f>IF(G28="","",IF(J28&lt;&gt;"",AVERAGE(G28,J28),G28))</f>
        <v/>
      </c>
      <c r="N28" s="15">
        <f>IF(OR(L28="",M28=""),"",AVERAGE(L28,M28))</f>
        <v/>
      </c>
    </row>
    <row r="29"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15" t="n"/>
      <c r="G29" s="15" t="n"/>
      <c r="H29">
        <f>IFERROR(INDEX(מלאי!$N$2:$N$500,MATCH(A29,מלאי!$D$2:$D$500,0)),"")</f>
        <v/>
      </c>
      <c r="I29" s="15" t="n"/>
      <c r="J29" s="15" t="n"/>
      <c r="L29" s="15">
        <f>IF(F29="","",IF(I29&lt;&gt;"",AVERAGE(F29,I29),F29))</f>
        <v/>
      </c>
      <c r="M29" s="15">
        <f>IF(G29="","",IF(J29&lt;&gt;"",AVERAGE(G29,J29),G29))</f>
        <v/>
      </c>
      <c r="N29" s="15">
        <f>IF(OR(L29="",M29=""),"",AVERAGE(L29,M29))</f>
        <v/>
      </c>
    </row>
    <row r="30"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15" t="n"/>
      <c r="G30" s="15" t="n"/>
      <c r="H30">
        <f>IFERROR(INDEX(מלאי!$N$2:$N$500,MATCH(A30,מלאי!$D$2:$D$500,0)),"")</f>
        <v/>
      </c>
      <c r="I30" s="15" t="n"/>
      <c r="J30" s="15" t="n"/>
      <c r="L30" s="15">
        <f>IF(F30="","",IF(I30&lt;&gt;"",AVERAGE(F30,I30),F30))</f>
        <v/>
      </c>
      <c r="M30" s="15">
        <f>IF(G30="","",IF(J30&lt;&gt;"",AVERAGE(G30,J30),G30))</f>
        <v/>
      </c>
      <c r="N30" s="15">
        <f>IF(OR(L30="",M30=""),"",AVERAGE(L30,M30))</f>
        <v/>
      </c>
    </row>
    <row r="31"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15" t="n"/>
      <c r="G31" s="15" t="n"/>
      <c r="H31">
        <f>IFERROR(INDEX(מלאי!$N$2:$N$500,MATCH(A31,מלאי!$D$2:$D$500,0)),"")</f>
        <v/>
      </c>
      <c r="I31" s="15" t="n"/>
      <c r="J31" s="15" t="n"/>
      <c r="L31" s="15">
        <f>IF(F31="","",IF(I31&lt;&gt;"",AVERAGE(F31,I31),F31))</f>
        <v/>
      </c>
      <c r="M31" s="15">
        <f>IF(G31="","",IF(J31&lt;&gt;"",AVERAGE(G31,J31),G31))</f>
        <v/>
      </c>
      <c r="N31" s="15">
        <f>IF(OR(L31="",M31=""),"",AVERAGE(L31,M31))</f>
        <v/>
      </c>
    </row>
    <row r="32"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15" t="n"/>
      <c r="G32" s="15" t="n"/>
      <c r="H32">
        <f>IFERROR(INDEX(מלאי!$N$2:$N$500,MATCH(A32,מלאי!$D$2:$D$500,0)),"")</f>
        <v/>
      </c>
      <c r="I32" s="15" t="n"/>
      <c r="J32" s="15" t="n"/>
      <c r="L32" s="15">
        <f>IF(F32="","",IF(I32&lt;&gt;"",AVERAGE(F32,I32),F32))</f>
        <v/>
      </c>
      <c r="M32" s="15">
        <f>IF(G32="","",IF(J32&lt;&gt;"",AVERAGE(G32,J32),G32))</f>
        <v/>
      </c>
      <c r="N32" s="15">
        <f>IF(OR(L32="",M32=""),"",AVERAGE(L32,M32))</f>
        <v/>
      </c>
    </row>
    <row r="33"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15" t="n"/>
      <c r="G33" s="15" t="n"/>
      <c r="H33">
        <f>IFERROR(INDEX(מלאי!$N$2:$N$500,MATCH(A33,מלאי!$D$2:$D$500,0)),"")</f>
        <v/>
      </c>
      <c r="I33" s="15" t="n"/>
      <c r="J33" s="15" t="n"/>
      <c r="L33" s="15">
        <f>IF(F33="","",IF(I33&lt;&gt;"",AVERAGE(F33,I33),F33))</f>
        <v/>
      </c>
      <c r="M33" s="15">
        <f>IF(G33="","",IF(J33&lt;&gt;"",AVERAGE(G33,J33),G33))</f>
        <v/>
      </c>
      <c r="N33" s="15">
        <f>IF(OR(L33="",M33=""),"",AVERAGE(L33,M33))</f>
        <v/>
      </c>
    </row>
    <row r="34"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15" t="n"/>
      <c r="G34" s="15" t="n"/>
      <c r="H34">
        <f>IFERROR(INDEX(מלאי!$N$2:$N$500,MATCH(A34,מלאי!$D$2:$D$500,0)),"")</f>
        <v/>
      </c>
      <c r="I34" s="15" t="n"/>
      <c r="J34" s="15" t="n"/>
      <c r="L34" s="15">
        <f>IF(F34="","",IF(I34&lt;&gt;"",AVERAGE(F34,I34),F34))</f>
        <v/>
      </c>
      <c r="M34" s="15">
        <f>IF(G34="","",IF(J34&lt;&gt;"",AVERAGE(G34,J34),G34))</f>
        <v/>
      </c>
      <c r="N34" s="15">
        <f>IF(OR(L34="",M34=""),"",AVERAGE(L34,M34))</f>
        <v/>
      </c>
    </row>
    <row r="35"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15" t="n"/>
      <c r="G35" s="15" t="n"/>
      <c r="H35">
        <f>IFERROR(INDEX(מלאי!$N$2:$N$500,MATCH(A35,מלאי!$D$2:$D$500,0)),"")</f>
        <v/>
      </c>
      <c r="I35" s="15" t="n"/>
      <c r="J35" s="15" t="n"/>
      <c r="L35" s="15">
        <f>IF(F35="","",IF(I35&lt;&gt;"",AVERAGE(F35,I35),F35))</f>
        <v/>
      </c>
      <c r="M35" s="15">
        <f>IF(G35="","",IF(J35&lt;&gt;"",AVERAGE(G35,J35),G35))</f>
        <v/>
      </c>
      <c r="N35" s="15">
        <f>IF(OR(L35="",M35=""),"",AVERAGE(L35,M35))</f>
        <v/>
      </c>
    </row>
    <row r="36"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15" t="n"/>
      <c r="G36" s="15" t="n"/>
      <c r="H36">
        <f>IFERROR(INDEX(מלאי!$N$2:$N$500,MATCH(A36,מלאי!$D$2:$D$500,0)),"")</f>
        <v/>
      </c>
      <c r="I36" s="15" t="n"/>
      <c r="J36" s="15" t="n"/>
      <c r="L36" s="15">
        <f>IF(F36="","",IF(I36&lt;&gt;"",AVERAGE(F36,I36),F36))</f>
        <v/>
      </c>
      <c r="M36" s="15">
        <f>IF(G36="","",IF(J36&lt;&gt;"",AVERAGE(G36,J36),G36))</f>
        <v/>
      </c>
      <c r="N36" s="15">
        <f>IF(OR(L36="",M36=""),"",AVERAGE(L36,M36))</f>
        <v/>
      </c>
    </row>
    <row r="37"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15" t="n"/>
      <c r="G37" s="15" t="n"/>
      <c r="H37">
        <f>IFERROR(INDEX(מלאי!$N$2:$N$500,MATCH(A37,מלאי!$D$2:$D$500,0)),"")</f>
        <v/>
      </c>
      <c r="I37" s="15" t="n"/>
      <c r="J37" s="15" t="n"/>
      <c r="L37" s="15">
        <f>IF(F37="","",IF(I37&lt;&gt;"",AVERAGE(F37,I37),F37))</f>
        <v/>
      </c>
      <c r="M37" s="15">
        <f>IF(G37="","",IF(J37&lt;&gt;"",AVERAGE(G37,J37),G37))</f>
        <v/>
      </c>
      <c r="N37" s="15">
        <f>IF(OR(L37="",M37=""),"",AVERAGE(L37,M37))</f>
        <v/>
      </c>
    </row>
    <row r="38"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15" t="n"/>
      <c r="G38" s="15" t="n"/>
      <c r="H38">
        <f>IFERROR(INDEX(מלאי!$N$2:$N$500,MATCH(A38,מלאי!$D$2:$D$500,0)),"")</f>
        <v/>
      </c>
      <c r="I38" s="15" t="n"/>
      <c r="J38" s="15" t="n"/>
      <c r="L38" s="15">
        <f>IF(F38="","",IF(I38&lt;&gt;"",AVERAGE(F38,I38),F38))</f>
        <v/>
      </c>
      <c r="M38" s="15">
        <f>IF(G38="","",IF(J38&lt;&gt;"",AVERAGE(G38,J38),G38))</f>
        <v/>
      </c>
      <c r="N38" s="15">
        <f>IF(OR(L38="",M38=""),"",AVERAGE(L38,M38))</f>
        <v/>
      </c>
    </row>
    <row r="39"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15" t="n"/>
      <c r="G39" s="15" t="n"/>
      <c r="H39">
        <f>IFERROR(INDEX(מלאי!$N$2:$N$500,MATCH(A39,מלאי!$D$2:$D$500,0)),"")</f>
        <v/>
      </c>
      <c r="I39" s="15" t="n"/>
      <c r="J39" s="15" t="n"/>
      <c r="L39" s="15">
        <f>IF(F39="","",IF(I39&lt;&gt;"",AVERAGE(F39,I39),F39))</f>
        <v/>
      </c>
      <c r="M39" s="15">
        <f>IF(G39="","",IF(J39&lt;&gt;"",AVERAGE(G39,J39),G39))</f>
        <v/>
      </c>
      <c r="N39" s="15">
        <f>IF(OR(L39="",M39=""),"",AVERAGE(L39,M39))</f>
        <v/>
      </c>
    </row>
    <row r="40"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15" t="n"/>
      <c r="G40" s="15" t="n"/>
      <c r="H40">
        <f>IFERROR(INDEX(מלאי!$N$2:$N$500,MATCH(A40,מלאי!$D$2:$D$500,0)),"")</f>
        <v/>
      </c>
      <c r="I40" s="15" t="n"/>
      <c r="J40" s="15" t="n"/>
      <c r="L40" s="15">
        <f>IF(F40="","",IF(I40&lt;&gt;"",AVERAGE(F40,I40),F40))</f>
        <v/>
      </c>
      <c r="M40" s="15">
        <f>IF(G40="","",IF(J40&lt;&gt;"",AVERAGE(G40,J40),G40))</f>
        <v/>
      </c>
      <c r="N40" s="15">
        <f>IF(OR(L40="",M40=""),"",AVERAGE(L40,M40))</f>
        <v/>
      </c>
    </row>
    <row r="41"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15" t="n"/>
      <c r="G41" s="15" t="n"/>
      <c r="H41">
        <f>IFERROR(INDEX(מלאי!$N$2:$N$500,MATCH(A41,מלאי!$D$2:$D$500,0)),"")</f>
        <v/>
      </c>
      <c r="I41" s="15" t="n"/>
      <c r="J41" s="15" t="n"/>
      <c r="L41" s="15">
        <f>IF(F41="","",IF(I41&lt;&gt;"",AVERAGE(F41,I41),F41))</f>
        <v/>
      </c>
      <c r="M41" s="15">
        <f>IF(G41="","",IF(J41&lt;&gt;"",AVERAGE(G41,J41),G41))</f>
        <v/>
      </c>
      <c r="N41" s="15">
        <f>IF(OR(L41="",M41=""),"",AVERAGE(L41,M41))</f>
        <v/>
      </c>
    </row>
    <row r="42"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15" t="n"/>
      <c r="G42" s="15" t="n"/>
      <c r="H42">
        <f>IFERROR(INDEX(מלאי!$N$2:$N$500,MATCH(A42,מלאי!$D$2:$D$500,0)),"")</f>
        <v/>
      </c>
      <c r="I42" s="15" t="n"/>
      <c r="J42" s="15" t="n"/>
      <c r="L42" s="15">
        <f>IF(F42="","",IF(I42&lt;&gt;"",AVERAGE(F42,I42),F42))</f>
        <v/>
      </c>
      <c r="M42" s="15">
        <f>IF(G42="","",IF(J42&lt;&gt;"",AVERAGE(G42,J42),G42))</f>
        <v/>
      </c>
      <c r="N42" s="15">
        <f>IF(OR(L42="",M42=""),"",AVERAGE(L42,M42))</f>
        <v/>
      </c>
    </row>
    <row r="43"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15" t="n"/>
      <c r="G43" s="15" t="n"/>
      <c r="H43">
        <f>IFERROR(INDEX(מלאי!$N$2:$N$500,MATCH(A43,מלאי!$D$2:$D$500,0)),"")</f>
        <v/>
      </c>
      <c r="I43" s="15" t="n"/>
      <c r="J43" s="15" t="n"/>
      <c r="L43" s="15">
        <f>IF(F43="","",IF(I43&lt;&gt;"",AVERAGE(F43,I43),F43))</f>
        <v/>
      </c>
      <c r="M43" s="15">
        <f>IF(G43="","",IF(J43&lt;&gt;"",AVERAGE(G43,J43),G43))</f>
        <v/>
      </c>
      <c r="N43" s="15">
        <f>IF(OR(L43="",M43=""),"",AVERAGE(L43,M43))</f>
        <v/>
      </c>
    </row>
    <row r="44"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15" t="n"/>
      <c r="G44" s="15" t="n"/>
      <c r="H44">
        <f>IFERROR(INDEX(מלאי!$N$2:$N$500,MATCH(A44,מלאי!$D$2:$D$500,0)),"")</f>
        <v/>
      </c>
      <c r="I44" s="15" t="n"/>
      <c r="J44" s="15" t="n"/>
      <c r="L44" s="15">
        <f>IF(F44="","",IF(I44&lt;&gt;"",AVERAGE(F44,I44),F44))</f>
        <v/>
      </c>
      <c r="M44" s="15">
        <f>IF(G44="","",IF(J44&lt;&gt;"",AVERAGE(G44,J44),G44))</f>
        <v/>
      </c>
      <c r="N44" s="15">
        <f>IF(OR(L44="",M44=""),"",AVERAGE(L44,M44))</f>
        <v/>
      </c>
    </row>
    <row r="45"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15" t="n"/>
      <c r="G45" s="15" t="n"/>
      <c r="H45">
        <f>IFERROR(INDEX(מלאי!$N$2:$N$500,MATCH(A45,מלאי!$D$2:$D$500,0)),"")</f>
        <v/>
      </c>
      <c r="I45" s="15" t="n"/>
      <c r="J45" s="15" t="n"/>
      <c r="L45" s="15">
        <f>IF(F45="","",IF(I45&lt;&gt;"",AVERAGE(F45,I45),F45))</f>
        <v/>
      </c>
      <c r="M45" s="15">
        <f>IF(G45="","",IF(J45&lt;&gt;"",AVERAGE(G45,J45),G45))</f>
        <v/>
      </c>
      <c r="N45" s="15">
        <f>IF(OR(L45="",M45=""),"",AVERAGE(L45,M45))</f>
        <v/>
      </c>
    </row>
    <row r="46"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15" t="n"/>
      <c r="G46" s="15" t="n"/>
      <c r="H46">
        <f>IFERROR(INDEX(מלאי!$N$2:$N$500,MATCH(A46,מלאי!$D$2:$D$500,0)),"")</f>
        <v/>
      </c>
      <c r="I46" s="15" t="n"/>
      <c r="J46" s="15" t="n"/>
      <c r="L46" s="15">
        <f>IF(F46="","",IF(I46&lt;&gt;"",AVERAGE(F46,I46),F46))</f>
        <v/>
      </c>
      <c r="M46" s="15">
        <f>IF(G46="","",IF(J46&lt;&gt;"",AVERAGE(G46,J46),G46))</f>
        <v/>
      </c>
      <c r="N46" s="15">
        <f>IF(OR(L46="",M46=""),"",AVERAGE(L46,M46))</f>
        <v/>
      </c>
    </row>
    <row r="47"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15" t="n"/>
      <c r="G47" s="15" t="n"/>
      <c r="H47">
        <f>IFERROR(INDEX(מלאי!$N$2:$N$500,MATCH(A47,מלאי!$D$2:$D$500,0)),"")</f>
        <v/>
      </c>
      <c r="I47" s="15" t="n"/>
      <c r="J47" s="15" t="n"/>
      <c r="L47" s="15">
        <f>IF(F47="","",IF(I47&lt;&gt;"",AVERAGE(F47,I47),F47))</f>
        <v/>
      </c>
      <c r="M47" s="15">
        <f>IF(G47="","",IF(J47&lt;&gt;"",AVERAGE(G47,J47),G47))</f>
        <v/>
      </c>
      <c r="N47" s="15">
        <f>IF(OR(L47="",M47=""),"",AVERAGE(L47,M47))</f>
        <v/>
      </c>
    </row>
    <row r="48"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15" t="n"/>
      <c r="G48" s="15" t="n"/>
      <c r="H48">
        <f>IFERROR(INDEX(מלאי!$N$2:$N$500,MATCH(A48,מלאי!$D$2:$D$500,0)),"")</f>
        <v/>
      </c>
      <c r="I48" s="15" t="n"/>
      <c r="J48" s="15" t="n"/>
      <c r="L48" s="15">
        <f>IF(F48="","",IF(I48&lt;&gt;"",AVERAGE(F48,I48),F48))</f>
        <v/>
      </c>
      <c r="M48" s="15">
        <f>IF(G48="","",IF(J48&lt;&gt;"",AVERAGE(G48,J48),G48))</f>
        <v/>
      </c>
      <c r="N48" s="15">
        <f>IF(OR(L48="",M48=""),"",AVERAGE(L48,M48))</f>
        <v/>
      </c>
    </row>
    <row r="49"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15" t="n"/>
      <c r="G49" s="15" t="n"/>
      <c r="H49">
        <f>IFERROR(INDEX(מלאי!$N$2:$N$500,MATCH(A49,מלאי!$D$2:$D$500,0)),"")</f>
        <v/>
      </c>
      <c r="I49" s="15" t="n"/>
      <c r="J49" s="15" t="n"/>
      <c r="L49" s="15">
        <f>IF(F49="","",IF(I49&lt;&gt;"",AVERAGE(F49,I49),F49))</f>
        <v/>
      </c>
      <c r="M49" s="15">
        <f>IF(G49="","",IF(J49&lt;&gt;"",AVERAGE(G49,J49),G49))</f>
        <v/>
      </c>
      <c r="N49" s="15">
        <f>IF(OR(L49="",M49=""),"",AVERAGE(L49,M49))</f>
        <v/>
      </c>
    </row>
    <row r="50"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15" t="n"/>
      <c r="G50" s="15" t="n"/>
      <c r="H50">
        <f>IFERROR(INDEX(מלאי!$N$2:$N$500,MATCH(A50,מלאי!$D$2:$D$500,0)),"")</f>
        <v/>
      </c>
      <c r="I50" s="15" t="n"/>
      <c r="J50" s="15" t="n"/>
      <c r="L50" s="15">
        <f>IF(F50="","",IF(I50&lt;&gt;"",AVERAGE(F50,I50),F50))</f>
        <v/>
      </c>
      <c r="M50" s="15">
        <f>IF(G50="","",IF(J50&lt;&gt;"",AVERAGE(G50,J50),G50))</f>
        <v/>
      </c>
      <c r="N50" s="15">
        <f>IF(OR(L50="",M50=""),"",AVERAGE(L50,M50))</f>
        <v/>
      </c>
    </row>
    <row r="51"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15" t="n"/>
      <c r="G51" s="15" t="n"/>
      <c r="H51">
        <f>IFERROR(INDEX(מלאי!$N$2:$N$500,MATCH(A51,מלאי!$D$2:$D$500,0)),"")</f>
        <v/>
      </c>
      <c r="I51" s="15" t="n"/>
      <c r="J51" s="15" t="n"/>
      <c r="L51" s="15">
        <f>IF(F51="","",IF(I51&lt;&gt;"",AVERAGE(F51,I51),F51))</f>
        <v/>
      </c>
      <c r="M51" s="15">
        <f>IF(G51="","",IF(J51&lt;&gt;"",AVERAGE(G51,J51),G51))</f>
        <v/>
      </c>
      <c r="N51" s="15">
        <f>IF(OR(L51="",M51=""),"",AVERAGE(L51,M51))</f>
        <v/>
      </c>
    </row>
    <row r="52"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15" t="n"/>
      <c r="G52" s="15" t="n"/>
      <c r="H52">
        <f>IFERROR(INDEX(מלאי!$N$2:$N$500,MATCH(A52,מלאי!$D$2:$D$500,0)),"")</f>
        <v/>
      </c>
      <c r="I52" s="15" t="n"/>
      <c r="J52" s="15" t="n"/>
      <c r="L52" s="15">
        <f>IF(F52="","",IF(I52&lt;&gt;"",AVERAGE(F52,I52),F52))</f>
        <v/>
      </c>
      <c r="M52" s="15">
        <f>IF(G52="","",IF(J52&lt;&gt;"",AVERAGE(G52,J52),G52))</f>
        <v/>
      </c>
      <c r="N52" s="15">
        <f>IF(OR(L52="",M52=""),"",AVERAGE(L52,M52))</f>
        <v/>
      </c>
    </row>
    <row r="53"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15" t="n"/>
      <c r="G53" s="15" t="n"/>
      <c r="H53">
        <f>IFERROR(INDEX(מלאי!$N$2:$N$500,MATCH(A53,מלאי!$D$2:$D$500,0)),"")</f>
        <v/>
      </c>
      <c r="I53" s="15" t="n"/>
      <c r="J53" s="15" t="n"/>
      <c r="L53" s="15">
        <f>IF(F53="","",IF(I53&lt;&gt;"",AVERAGE(F53,I53),F53))</f>
        <v/>
      </c>
      <c r="M53" s="15">
        <f>IF(G53="","",IF(J53&lt;&gt;"",AVERAGE(G53,J53),G53))</f>
        <v/>
      </c>
      <c r="N53" s="15">
        <f>IF(OR(L53="",M53=""),"",AVERAGE(L53,M53))</f>
        <v/>
      </c>
    </row>
    <row r="54"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15" t="n"/>
      <c r="G54" s="15" t="n"/>
      <c r="H54">
        <f>IFERROR(INDEX(מלאי!$N$2:$N$500,MATCH(A54,מלאי!$D$2:$D$500,0)),"")</f>
        <v/>
      </c>
      <c r="I54" s="15" t="n"/>
      <c r="J54" s="15" t="n"/>
      <c r="L54" s="15">
        <f>IF(F54="","",IF(I54&lt;&gt;"",AVERAGE(F54,I54),F54))</f>
        <v/>
      </c>
      <c r="M54" s="15">
        <f>IF(G54="","",IF(J54&lt;&gt;"",AVERAGE(G54,J54),G54))</f>
        <v/>
      </c>
      <c r="N54" s="15">
        <f>IF(OR(L54="",M54=""),"",AVERAGE(L54,M54))</f>
        <v/>
      </c>
    </row>
    <row r="55"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15" t="n"/>
      <c r="G55" s="15" t="n"/>
      <c r="H55">
        <f>IFERROR(INDEX(מלאי!$N$2:$N$500,MATCH(A55,מלאי!$D$2:$D$500,0)),"")</f>
        <v/>
      </c>
      <c r="I55" s="15" t="n"/>
      <c r="J55" s="15" t="n"/>
      <c r="L55" s="15">
        <f>IF(F55="","",IF(I55&lt;&gt;"",AVERAGE(F55,I55),F55))</f>
        <v/>
      </c>
      <c r="M55" s="15">
        <f>IF(G55="","",IF(J55&lt;&gt;"",AVERAGE(G55,J55),G55))</f>
        <v/>
      </c>
      <c r="N55" s="15">
        <f>IF(OR(L55="",M55=""),"",AVERAGE(L55,M55))</f>
        <v/>
      </c>
    </row>
    <row r="56"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15" t="n"/>
      <c r="G56" s="15" t="n"/>
      <c r="H56">
        <f>IFERROR(INDEX(מלאי!$N$2:$N$500,MATCH(A56,מלאי!$D$2:$D$500,0)),"")</f>
        <v/>
      </c>
      <c r="I56" s="15" t="n"/>
      <c r="J56" s="15" t="n"/>
      <c r="L56" s="15">
        <f>IF(F56="","",IF(I56&lt;&gt;"",AVERAGE(F56,I56),F56))</f>
        <v/>
      </c>
      <c r="M56" s="15">
        <f>IF(G56="","",IF(J56&lt;&gt;"",AVERAGE(G56,J56),G56))</f>
        <v/>
      </c>
      <c r="N56" s="15">
        <f>IF(OR(L56="",M56=""),"",AVERAGE(L56,M56))</f>
        <v/>
      </c>
    </row>
    <row r="57"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15" t="n"/>
      <c r="G57" s="15" t="n"/>
      <c r="H57">
        <f>IFERROR(INDEX(מלאי!$N$2:$N$500,MATCH(A57,מלאי!$D$2:$D$500,0)),"")</f>
        <v/>
      </c>
      <c r="I57" s="15" t="n"/>
      <c r="J57" s="15" t="n"/>
      <c r="L57" s="15">
        <f>IF(F57="","",IF(I57&lt;&gt;"",AVERAGE(F57,I57),F57))</f>
        <v/>
      </c>
      <c r="M57" s="15">
        <f>IF(G57="","",IF(J57&lt;&gt;"",AVERAGE(G57,J57),G57))</f>
        <v/>
      </c>
      <c r="N57" s="15">
        <f>IF(OR(L57="",M57=""),"",AVERAGE(L57,M57))</f>
        <v/>
      </c>
    </row>
    <row r="58"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15" t="n"/>
      <c r="G58" s="15" t="n"/>
      <c r="H58">
        <f>IFERROR(INDEX(מלאי!$N$2:$N$500,MATCH(A58,מלאי!$D$2:$D$500,0)),"")</f>
        <v/>
      </c>
      <c r="I58" s="15" t="n"/>
      <c r="J58" s="15" t="n"/>
      <c r="L58" s="15">
        <f>IF(F58="","",IF(I58&lt;&gt;"",AVERAGE(F58,I58),F58))</f>
        <v/>
      </c>
      <c r="M58" s="15">
        <f>IF(G58="","",IF(J58&lt;&gt;"",AVERAGE(G58,J58),G58))</f>
        <v/>
      </c>
      <c r="N58" s="15">
        <f>IF(OR(L58="",M58=""),"",AVERAGE(L58,M58))</f>
        <v/>
      </c>
    </row>
    <row r="59"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15" t="n"/>
      <c r="G59" s="15" t="n"/>
      <c r="H59">
        <f>IFERROR(INDEX(מלאי!$N$2:$N$500,MATCH(A59,מלאי!$D$2:$D$500,0)),"")</f>
        <v/>
      </c>
      <c r="I59" s="15" t="n"/>
      <c r="J59" s="15" t="n"/>
      <c r="L59" s="15">
        <f>IF(F59="","",IF(I59&lt;&gt;"",AVERAGE(F59,I59),F59))</f>
        <v/>
      </c>
      <c r="M59" s="15">
        <f>IF(G59="","",IF(J59&lt;&gt;"",AVERAGE(G59,J59),G59))</f>
        <v/>
      </c>
      <c r="N59" s="15">
        <f>IF(OR(L59="",M59=""),"",AVERAGE(L59,M59))</f>
        <v/>
      </c>
    </row>
    <row r="60"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15" t="n"/>
      <c r="G60" s="15" t="n"/>
      <c r="H60">
        <f>IFERROR(INDEX(מלאי!$N$2:$N$500,MATCH(A60,מלאי!$D$2:$D$500,0)),"")</f>
        <v/>
      </c>
      <c r="I60" s="15" t="n"/>
      <c r="J60" s="15" t="n"/>
      <c r="L60" s="15">
        <f>IF(F60="","",IF(I60&lt;&gt;"",AVERAGE(F60,I60),F60))</f>
        <v/>
      </c>
      <c r="M60" s="15">
        <f>IF(G60="","",IF(J60&lt;&gt;"",AVERAGE(G60,J60),G60))</f>
        <v/>
      </c>
      <c r="N60" s="15">
        <f>IF(OR(L60="",M60=""),"",AVERAGE(L60,M60))</f>
        <v/>
      </c>
    </row>
    <row r="61"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15" t="n"/>
      <c r="G61" s="15" t="n"/>
      <c r="H61">
        <f>IFERROR(INDEX(מלאי!$N$2:$N$500,MATCH(A61,מלאי!$D$2:$D$500,0)),"")</f>
        <v/>
      </c>
      <c r="I61" s="15" t="n"/>
      <c r="J61" s="15" t="n"/>
      <c r="L61" s="15">
        <f>IF(F61="","",IF(I61&lt;&gt;"",AVERAGE(F61,I61),F61))</f>
        <v/>
      </c>
      <c r="M61" s="15">
        <f>IF(G61="","",IF(J61&lt;&gt;"",AVERAGE(G61,J61),G61))</f>
        <v/>
      </c>
      <c r="N61" s="15">
        <f>IF(OR(L61="",M61=""),"",AVERAGE(L61,M61))</f>
        <v/>
      </c>
    </row>
    <row r="62"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15" t="n"/>
      <c r="G62" s="15" t="n"/>
      <c r="H62">
        <f>IFERROR(INDEX(מלאי!$N$2:$N$500,MATCH(A62,מלאי!$D$2:$D$500,0)),"")</f>
        <v/>
      </c>
      <c r="I62" s="15" t="n"/>
      <c r="J62" s="15" t="n"/>
      <c r="L62" s="15">
        <f>IF(F62="","",IF(I62&lt;&gt;"",AVERAGE(F62,I62),F62))</f>
        <v/>
      </c>
      <c r="M62" s="15">
        <f>IF(G62="","",IF(J62&lt;&gt;"",AVERAGE(G62,J62),G62))</f>
        <v/>
      </c>
      <c r="N62" s="15">
        <f>IF(OR(L62="",M62=""),"",AVERAGE(L62,M62))</f>
        <v/>
      </c>
    </row>
    <row r="63"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15" t="n"/>
      <c r="G63" s="15" t="n"/>
      <c r="H63">
        <f>IFERROR(INDEX(מלאי!$N$2:$N$500,MATCH(A63,מלאי!$D$2:$D$500,0)),"")</f>
        <v/>
      </c>
      <c r="I63" s="15" t="n"/>
      <c r="J63" s="15" t="n"/>
      <c r="L63" s="15">
        <f>IF(F63="","",IF(I63&lt;&gt;"",AVERAGE(F63,I63),F63))</f>
        <v/>
      </c>
      <c r="M63" s="15">
        <f>IF(G63="","",IF(J63&lt;&gt;"",AVERAGE(G63,J63),G63))</f>
        <v/>
      </c>
      <c r="N63" s="15">
        <f>IF(OR(L63="",M63=""),"",AVERAGE(L63,M63))</f>
        <v/>
      </c>
    </row>
    <row r="64"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15" t="n"/>
      <c r="G64" s="15" t="n"/>
      <c r="H64">
        <f>IFERROR(INDEX(מלאי!$N$2:$N$500,MATCH(A64,מלאי!$D$2:$D$500,0)),"")</f>
        <v/>
      </c>
      <c r="I64" s="15" t="n"/>
      <c r="J64" s="15" t="n"/>
      <c r="L64" s="15">
        <f>IF(F64="","",IF(I64&lt;&gt;"",AVERAGE(F64,I64),F64))</f>
        <v/>
      </c>
      <c r="M64" s="15">
        <f>IF(G64="","",IF(J64&lt;&gt;"",AVERAGE(G64,J64),G64))</f>
        <v/>
      </c>
      <c r="N64" s="15">
        <f>IF(OR(L64="",M64=""),"",AVERAGE(L64,M64))</f>
        <v/>
      </c>
    </row>
    <row r="65"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15" t="n"/>
      <c r="G65" s="15" t="n"/>
      <c r="H65">
        <f>IFERROR(INDEX(מלאי!$N$2:$N$500,MATCH(A65,מלאי!$D$2:$D$500,0)),"")</f>
        <v/>
      </c>
      <c r="I65" s="15" t="n"/>
      <c r="J65" s="15" t="n"/>
      <c r="L65" s="15">
        <f>IF(F65="","",IF(I65&lt;&gt;"",AVERAGE(F65,I65),F65))</f>
        <v/>
      </c>
      <c r="M65" s="15">
        <f>IF(G65="","",IF(J65&lt;&gt;"",AVERAGE(G65,J65),G65))</f>
        <v/>
      </c>
      <c r="N65" s="15">
        <f>IF(OR(L65="",M65=""),"",AVERAGE(L65,M65))</f>
        <v/>
      </c>
    </row>
    <row r="66"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15" t="n"/>
      <c r="G66" s="15" t="n"/>
      <c r="H66">
        <f>IFERROR(INDEX(מלאי!$N$2:$N$500,MATCH(A66,מלאי!$D$2:$D$500,0)),"")</f>
        <v/>
      </c>
      <c r="I66" s="15" t="n"/>
      <c r="J66" s="15" t="n"/>
      <c r="L66" s="15">
        <f>IF(F66="","",IF(I66&lt;&gt;"",AVERAGE(F66,I66),F66))</f>
        <v/>
      </c>
      <c r="M66" s="15">
        <f>IF(G66="","",IF(J66&lt;&gt;"",AVERAGE(G66,J66),G66))</f>
        <v/>
      </c>
      <c r="N66" s="15">
        <f>IF(OR(L66="",M66=""),"",AVERAGE(L66,M66))</f>
        <v/>
      </c>
    </row>
    <row r="67"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15" t="n"/>
      <c r="G67" s="15" t="n"/>
      <c r="H67">
        <f>IFERROR(INDEX(מלאי!$N$2:$N$500,MATCH(A67,מלאי!$D$2:$D$500,0)),"")</f>
        <v/>
      </c>
      <c r="I67" s="15" t="n"/>
      <c r="J67" s="15" t="n"/>
      <c r="L67" s="15">
        <f>IF(F67="","",IF(I67&lt;&gt;"",AVERAGE(F67,I67),F67))</f>
        <v/>
      </c>
      <c r="M67" s="15">
        <f>IF(G67="","",IF(J67&lt;&gt;"",AVERAGE(G67,J67),G67))</f>
        <v/>
      </c>
      <c r="N67" s="15">
        <f>IF(OR(L67="",M67=""),"",AVERAGE(L67,M67))</f>
        <v/>
      </c>
    </row>
    <row r="68"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15" t="n"/>
      <c r="G68" s="15" t="n"/>
      <c r="H68">
        <f>IFERROR(INDEX(מלאי!$N$2:$N$500,MATCH(A68,מלאי!$D$2:$D$500,0)),"")</f>
        <v/>
      </c>
      <c r="I68" s="15" t="n"/>
      <c r="J68" s="15" t="n"/>
      <c r="L68" s="15">
        <f>IF(F68="","",IF(I68&lt;&gt;"",AVERAGE(F68,I68),F68))</f>
        <v/>
      </c>
      <c r="M68" s="15">
        <f>IF(G68="","",IF(J68&lt;&gt;"",AVERAGE(G68,J68),G68))</f>
        <v/>
      </c>
      <c r="N68" s="15">
        <f>IF(OR(L68="",M68=""),"",AVERAGE(L68,M68))</f>
        <v/>
      </c>
    </row>
    <row r="69"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15" t="n"/>
      <c r="G69" s="15" t="n"/>
      <c r="H69">
        <f>IFERROR(INDEX(מלאי!$N$2:$N$500,MATCH(A69,מלאי!$D$2:$D$500,0)),"")</f>
        <v/>
      </c>
      <c r="I69" s="15" t="n"/>
      <c r="J69" s="15" t="n"/>
      <c r="L69" s="15">
        <f>IF(F69="","",IF(I69&lt;&gt;"",AVERAGE(F69,I69),F69))</f>
        <v/>
      </c>
      <c r="M69" s="15">
        <f>IF(G69="","",IF(J69&lt;&gt;"",AVERAGE(G69,J69),G69))</f>
        <v/>
      </c>
      <c r="N69" s="15">
        <f>IF(OR(L69="",M69=""),"",AVERAGE(L69,M69))</f>
        <v/>
      </c>
    </row>
    <row r="70"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15" t="n"/>
      <c r="G70" s="15" t="n"/>
      <c r="H70">
        <f>IFERROR(INDEX(מלאי!$N$2:$N$500,MATCH(A70,מלאי!$D$2:$D$500,0)),"")</f>
        <v/>
      </c>
      <c r="I70" s="15" t="n"/>
      <c r="J70" s="15" t="n"/>
      <c r="L70" s="15">
        <f>IF(F70="","",IF(I70&lt;&gt;"",AVERAGE(F70,I70),F70))</f>
        <v/>
      </c>
      <c r="M70" s="15">
        <f>IF(G70="","",IF(J70&lt;&gt;"",AVERAGE(G70,J70),G70))</f>
        <v/>
      </c>
      <c r="N70" s="15">
        <f>IF(OR(L70="",M70=""),"",AVERAGE(L70,M70))</f>
        <v/>
      </c>
    </row>
    <row r="71"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15" t="n"/>
      <c r="G71" s="15" t="n"/>
      <c r="H71">
        <f>IFERROR(INDEX(מלאי!$N$2:$N$500,MATCH(A71,מלאי!$D$2:$D$500,0)),"")</f>
        <v/>
      </c>
      <c r="I71" s="15" t="n"/>
      <c r="J71" s="15" t="n"/>
      <c r="L71" s="15">
        <f>IF(F71="","",IF(I71&lt;&gt;"",AVERAGE(F71,I71),F71))</f>
        <v/>
      </c>
      <c r="M71" s="15">
        <f>IF(G71="","",IF(J71&lt;&gt;"",AVERAGE(G71,J71),G71))</f>
        <v/>
      </c>
      <c r="N71" s="15">
        <f>IF(OR(L71="",M71=""),"",AVERAGE(L71,M71))</f>
        <v/>
      </c>
    </row>
    <row r="72"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15" t="n"/>
      <c r="G72" s="15" t="n"/>
      <c r="H72">
        <f>IFERROR(INDEX(מלאי!$N$2:$N$500,MATCH(A72,מלאי!$D$2:$D$500,0)),"")</f>
        <v/>
      </c>
      <c r="I72" s="15" t="n"/>
      <c r="J72" s="15" t="n"/>
      <c r="L72" s="15">
        <f>IF(F72="","",IF(I72&lt;&gt;"",AVERAGE(F72,I72),F72))</f>
        <v/>
      </c>
      <c r="M72" s="15">
        <f>IF(G72="","",IF(J72&lt;&gt;"",AVERAGE(G72,J72),G72))</f>
        <v/>
      </c>
      <c r="N72" s="15">
        <f>IF(OR(L72="",M72=""),"",AVERAGE(L72,M72))</f>
        <v/>
      </c>
    </row>
    <row r="73"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15" t="n"/>
      <c r="G73" s="15" t="n"/>
      <c r="H73">
        <f>IFERROR(INDEX(מלאי!$N$2:$N$500,MATCH(A73,מלאי!$D$2:$D$500,0)),"")</f>
        <v/>
      </c>
      <c r="I73" s="15" t="n"/>
      <c r="J73" s="15" t="n"/>
      <c r="L73" s="15">
        <f>IF(F73="","",IF(I73&lt;&gt;"",AVERAGE(F73,I73),F73))</f>
        <v/>
      </c>
      <c r="M73" s="15">
        <f>IF(G73="","",IF(J73&lt;&gt;"",AVERAGE(G73,J73),G73))</f>
        <v/>
      </c>
      <c r="N73" s="15">
        <f>IF(OR(L73="",M73=""),"",AVERAGE(L73,M73))</f>
        <v/>
      </c>
    </row>
    <row r="74"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15" t="n"/>
      <c r="G74" s="15" t="n"/>
      <c r="H74">
        <f>IFERROR(INDEX(מלאי!$N$2:$N$500,MATCH(A74,מלאי!$D$2:$D$500,0)),"")</f>
        <v/>
      </c>
      <c r="I74" s="15" t="n"/>
      <c r="J74" s="15" t="n"/>
      <c r="L74" s="15">
        <f>IF(F74="","",IF(I74&lt;&gt;"",AVERAGE(F74,I74),F74))</f>
        <v/>
      </c>
      <c r="M74" s="15">
        <f>IF(G74="","",IF(J74&lt;&gt;"",AVERAGE(G74,J74),G74))</f>
        <v/>
      </c>
      <c r="N74" s="15">
        <f>IF(OR(L74="",M74=""),"",AVERAGE(L74,M74))</f>
        <v/>
      </c>
    </row>
    <row r="75"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15" t="n"/>
      <c r="G75" s="15" t="n"/>
      <c r="H75">
        <f>IFERROR(INDEX(מלאי!$N$2:$N$500,MATCH(A75,מלאי!$D$2:$D$500,0)),"")</f>
        <v/>
      </c>
      <c r="I75" s="15" t="n"/>
      <c r="J75" s="15" t="n"/>
      <c r="L75" s="15">
        <f>IF(F75="","",IF(I75&lt;&gt;"",AVERAGE(F75,I75),F75))</f>
        <v/>
      </c>
      <c r="M75" s="15">
        <f>IF(G75="","",IF(J75&lt;&gt;"",AVERAGE(G75,J75),G75))</f>
        <v/>
      </c>
      <c r="N75" s="15">
        <f>IF(OR(L75="",M75=""),"",AVERAGE(L75,M75))</f>
        <v/>
      </c>
    </row>
    <row r="76"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15" t="n"/>
      <c r="G76" s="15" t="n"/>
      <c r="H76">
        <f>IFERROR(INDEX(מלאי!$N$2:$N$500,MATCH(A76,מלאי!$D$2:$D$500,0)),"")</f>
        <v/>
      </c>
      <c r="I76" s="15" t="n"/>
      <c r="J76" s="15" t="n"/>
      <c r="L76" s="15">
        <f>IF(F76="","",IF(I76&lt;&gt;"",AVERAGE(F76,I76),F76))</f>
        <v/>
      </c>
      <c r="M76" s="15">
        <f>IF(G76="","",IF(J76&lt;&gt;"",AVERAGE(G76,J76),G76))</f>
        <v/>
      </c>
      <c r="N76" s="15">
        <f>IF(OR(L76="",M76=""),"",AVERAGE(L76,M76))</f>
        <v/>
      </c>
    </row>
    <row r="77"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15" t="n"/>
      <c r="G77" s="15" t="n"/>
      <c r="H77">
        <f>IFERROR(INDEX(מלאי!$N$2:$N$500,MATCH(A77,מלאי!$D$2:$D$500,0)),"")</f>
        <v/>
      </c>
      <c r="I77" s="15" t="n"/>
      <c r="J77" s="15" t="n"/>
      <c r="L77" s="15">
        <f>IF(F77="","",IF(I77&lt;&gt;"",AVERAGE(F77,I77),F77))</f>
        <v/>
      </c>
      <c r="M77" s="15">
        <f>IF(G77="","",IF(J77&lt;&gt;"",AVERAGE(G77,J77),G77))</f>
        <v/>
      </c>
      <c r="N77" s="15">
        <f>IF(OR(L77="",M77=""),"",AVERAGE(L77,M77))</f>
        <v/>
      </c>
    </row>
    <row r="78"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15" t="n"/>
      <c r="G78" s="15" t="n"/>
      <c r="H78">
        <f>IFERROR(INDEX(מלאי!$N$2:$N$500,MATCH(A78,מלאי!$D$2:$D$500,0)),"")</f>
        <v/>
      </c>
      <c r="I78" s="15" t="n"/>
      <c r="J78" s="15" t="n"/>
      <c r="L78" s="15">
        <f>IF(F78="","",IF(I78&lt;&gt;"",AVERAGE(F78,I78),F78))</f>
        <v/>
      </c>
      <c r="M78" s="15">
        <f>IF(G78="","",IF(J78&lt;&gt;"",AVERAGE(G78,J78),G78))</f>
        <v/>
      </c>
      <c r="N78" s="15">
        <f>IF(OR(L78="",M78=""),"",AVERAGE(L78,M78))</f>
        <v/>
      </c>
    </row>
    <row r="79"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15" t="n"/>
      <c r="G79" s="15" t="n"/>
      <c r="H79">
        <f>IFERROR(INDEX(מלאי!$N$2:$N$500,MATCH(A79,מלאי!$D$2:$D$500,0)),"")</f>
        <v/>
      </c>
      <c r="I79" s="15" t="n"/>
      <c r="J79" s="15" t="n"/>
      <c r="L79" s="15">
        <f>IF(F79="","",IF(I79&lt;&gt;"",AVERAGE(F79,I79),F79))</f>
        <v/>
      </c>
      <c r="M79" s="15">
        <f>IF(G79="","",IF(J79&lt;&gt;"",AVERAGE(G79,J79),G79))</f>
        <v/>
      </c>
      <c r="N79" s="15">
        <f>IF(OR(L79="",M79=""),"",AVERAGE(L79,M79))</f>
        <v/>
      </c>
    </row>
    <row r="80"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15" t="n"/>
      <c r="G80" s="15" t="n"/>
      <c r="H80">
        <f>IFERROR(INDEX(מלאי!$N$2:$N$500,MATCH(A80,מלאי!$D$2:$D$500,0)),"")</f>
        <v/>
      </c>
      <c r="I80" s="15" t="n"/>
      <c r="J80" s="15" t="n"/>
      <c r="L80" s="15">
        <f>IF(F80="","",IF(I80&lt;&gt;"",AVERAGE(F80,I80),F80))</f>
        <v/>
      </c>
      <c r="M80" s="15">
        <f>IF(G80="","",IF(J80&lt;&gt;"",AVERAGE(G80,J80),G80))</f>
        <v/>
      </c>
      <c r="N80" s="15">
        <f>IF(OR(L80="",M80=""),"",AVERAGE(L80,M80))</f>
        <v/>
      </c>
    </row>
    <row r="81"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15" t="n"/>
      <c r="G81" s="15" t="n"/>
      <c r="H81">
        <f>IFERROR(INDEX(מלאי!$N$2:$N$500,MATCH(A81,מלאי!$D$2:$D$500,0)),"")</f>
        <v/>
      </c>
      <c r="I81" s="15" t="n"/>
      <c r="J81" s="15" t="n"/>
      <c r="L81" s="15">
        <f>IF(F81="","",IF(I81&lt;&gt;"",AVERAGE(F81,I81),F81))</f>
        <v/>
      </c>
      <c r="M81" s="15">
        <f>IF(G81="","",IF(J81&lt;&gt;"",AVERAGE(G81,J81),G81))</f>
        <v/>
      </c>
      <c r="N81" s="15">
        <f>IF(OR(L81="",M81=""),"",AVERAGE(L81,M81))</f>
        <v/>
      </c>
    </row>
    <row r="82"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15" t="n"/>
      <c r="G82" s="15" t="n"/>
      <c r="H82">
        <f>IFERROR(INDEX(מלאי!$N$2:$N$500,MATCH(A82,מלאי!$D$2:$D$500,0)),"")</f>
        <v/>
      </c>
      <c r="I82" s="15" t="n"/>
      <c r="J82" s="15" t="n"/>
      <c r="L82" s="15">
        <f>IF(F82="","",IF(I82&lt;&gt;"",AVERAGE(F82,I82),F82))</f>
        <v/>
      </c>
      <c r="M82" s="15">
        <f>IF(G82="","",IF(J82&lt;&gt;"",AVERAGE(G82,J82),G82))</f>
        <v/>
      </c>
      <c r="N82" s="15">
        <f>IF(OR(L82="",M82=""),"",AVERAGE(L82,M82))</f>
        <v/>
      </c>
    </row>
    <row r="83"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15" t="n"/>
      <c r="G83" s="15" t="n"/>
      <c r="H83">
        <f>IFERROR(INDEX(מלאי!$N$2:$N$500,MATCH(A83,מלאי!$D$2:$D$500,0)),"")</f>
        <v/>
      </c>
      <c r="I83" s="15" t="n"/>
      <c r="J83" s="15" t="n"/>
      <c r="L83" s="15">
        <f>IF(F83="","",IF(I83&lt;&gt;"",AVERAGE(F83,I83),F83))</f>
        <v/>
      </c>
      <c r="M83" s="15">
        <f>IF(G83="","",IF(J83&lt;&gt;"",AVERAGE(G83,J83),G83))</f>
        <v/>
      </c>
      <c r="N83" s="15">
        <f>IF(OR(L83="",M83=""),"",AVERAGE(L83,M83))</f>
        <v/>
      </c>
    </row>
    <row r="84"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15" t="n"/>
      <c r="G84" s="15" t="n"/>
      <c r="H84">
        <f>IFERROR(INDEX(מלאי!$N$2:$N$500,MATCH(A84,מלאי!$D$2:$D$500,0)),"")</f>
        <v/>
      </c>
      <c r="I84" s="15" t="n"/>
      <c r="J84" s="15" t="n"/>
      <c r="L84" s="15">
        <f>IF(F84="","",IF(I84&lt;&gt;"",AVERAGE(F84,I84),F84))</f>
        <v/>
      </c>
      <c r="M84" s="15">
        <f>IF(G84="","",IF(J84&lt;&gt;"",AVERAGE(G84,J84),G84))</f>
        <v/>
      </c>
      <c r="N84" s="15">
        <f>IF(OR(L84="",M84=""),"",AVERAGE(L84,M84))</f>
        <v/>
      </c>
    </row>
    <row r="85"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15" t="n"/>
      <c r="G85" s="15" t="n"/>
      <c r="H85">
        <f>IFERROR(INDEX(מלאי!$N$2:$N$500,MATCH(A85,מלאי!$D$2:$D$500,0)),"")</f>
        <v/>
      </c>
      <c r="I85" s="15" t="n"/>
      <c r="J85" s="15" t="n"/>
      <c r="L85" s="15">
        <f>IF(F85="","",IF(I85&lt;&gt;"",AVERAGE(F85,I85),F85))</f>
        <v/>
      </c>
      <c r="M85" s="15">
        <f>IF(G85="","",IF(J85&lt;&gt;"",AVERAGE(G85,J85),G85))</f>
        <v/>
      </c>
      <c r="N85" s="15">
        <f>IF(OR(L85="",M85=""),"",AVERAGE(L85,M85))</f>
        <v/>
      </c>
    </row>
    <row r="86"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15" t="n"/>
      <c r="G86" s="15" t="n"/>
      <c r="H86">
        <f>IFERROR(INDEX(מלאי!$N$2:$N$500,MATCH(A86,מלאי!$D$2:$D$500,0)),"")</f>
        <v/>
      </c>
      <c r="I86" s="15" t="n"/>
      <c r="J86" s="15" t="n"/>
      <c r="L86" s="15">
        <f>IF(F86="","",IF(I86&lt;&gt;"",AVERAGE(F86,I86),F86))</f>
        <v/>
      </c>
      <c r="M86" s="15">
        <f>IF(G86="","",IF(J86&lt;&gt;"",AVERAGE(G86,J86),G86))</f>
        <v/>
      </c>
      <c r="N86" s="15">
        <f>IF(OR(L86="",M86=""),"",AVERAGE(L86,M86))</f>
        <v/>
      </c>
    </row>
    <row r="87"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15" t="n"/>
      <c r="G87" s="15" t="n"/>
      <c r="H87">
        <f>IFERROR(INDEX(מלאי!$N$2:$N$500,MATCH(A87,מלאי!$D$2:$D$500,0)),"")</f>
        <v/>
      </c>
      <c r="I87" s="15" t="n"/>
      <c r="J87" s="15" t="n"/>
      <c r="L87" s="15">
        <f>IF(F87="","",IF(I87&lt;&gt;"",AVERAGE(F87,I87),F87))</f>
        <v/>
      </c>
      <c r="M87" s="15">
        <f>IF(G87="","",IF(J87&lt;&gt;"",AVERAGE(G87,J87),G87))</f>
        <v/>
      </c>
      <c r="N87" s="15">
        <f>IF(OR(L87="",M87=""),"",AVERAGE(L87,M87))</f>
        <v/>
      </c>
    </row>
    <row r="88"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15" t="n"/>
      <c r="G88" s="15" t="n"/>
      <c r="H88">
        <f>IFERROR(INDEX(מלאי!$N$2:$N$500,MATCH(A88,מלאי!$D$2:$D$500,0)),"")</f>
        <v/>
      </c>
      <c r="I88" s="15" t="n"/>
      <c r="J88" s="15" t="n"/>
      <c r="L88" s="15">
        <f>IF(F88="","",IF(I88&lt;&gt;"",AVERAGE(F88,I88),F88))</f>
        <v/>
      </c>
      <c r="M88" s="15">
        <f>IF(G88="","",IF(J88&lt;&gt;"",AVERAGE(G88,J88),G88))</f>
        <v/>
      </c>
      <c r="N88" s="15">
        <f>IF(OR(L88="",M88=""),"",AVERAGE(L88,M88))</f>
        <v/>
      </c>
    </row>
    <row r="89"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15" t="n"/>
      <c r="G89" s="15" t="n"/>
      <c r="H89">
        <f>IFERROR(INDEX(מלאי!$N$2:$N$500,MATCH(A89,מלאי!$D$2:$D$500,0)),"")</f>
        <v/>
      </c>
      <c r="I89" s="15" t="n"/>
      <c r="J89" s="15" t="n"/>
      <c r="L89" s="15">
        <f>IF(F89="","",IF(I89&lt;&gt;"",AVERAGE(F89,I89),F89))</f>
        <v/>
      </c>
      <c r="M89" s="15">
        <f>IF(G89="","",IF(J89&lt;&gt;"",AVERAGE(G89,J89),G89))</f>
        <v/>
      </c>
      <c r="N89" s="15">
        <f>IF(OR(L89="",M89=""),"",AVERAGE(L89,M89))</f>
        <v/>
      </c>
    </row>
    <row r="90"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15" t="n"/>
      <c r="G90" s="15" t="n"/>
      <c r="H90">
        <f>IFERROR(INDEX(מלאי!$N$2:$N$500,MATCH(A90,מלאי!$D$2:$D$500,0)),"")</f>
        <v/>
      </c>
      <c r="I90" s="15" t="n"/>
      <c r="J90" s="15" t="n"/>
      <c r="L90" s="15">
        <f>IF(F90="","",IF(I90&lt;&gt;"",AVERAGE(F90,I90),F90))</f>
        <v/>
      </c>
      <c r="M90" s="15">
        <f>IF(G90="","",IF(J90&lt;&gt;"",AVERAGE(G90,J90),G90))</f>
        <v/>
      </c>
      <c r="N90" s="15">
        <f>IF(OR(L90="",M90=""),"",AVERAGE(L90,M90))</f>
        <v/>
      </c>
    </row>
    <row r="91"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15" t="n"/>
      <c r="G91" s="15" t="n"/>
      <c r="H91">
        <f>IFERROR(INDEX(מלאי!$N$2:$N$500,MATCH(A91,מלאי!$D$2:$D$500,0)),"")</f>
        <v/>
      </c>
      <c r="I91" s="15" t="n"/>
      <c r="J91" s="15" t="n"/>
      <c r="L91" s="15">
        <f>IF(F91="","",IF(I91&lt;&gt;"",AVERAGE(F91,I91),F91))</f>
        <v/>
      </c>
      <c r="M91" s="15">
        <f>IF(G91="","",IF(J91&lt;&gt;"",AVERAGE(G91,J91),G91))</f>
        <v/>
      </c>
      <c r="N91" s="15">
        <f>IF(OR(L91="",M91=""),"",AVERAGE(L91,M91))</f>
        <v/>
      </c>
    </row>
    <row r="92"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15" t="n"/>
      <c r="G92" s="15" t="n"/>
      <c r="H92">
        <f>IFERROR(INDEX(מלאי!$N$2:$N$500,MATCH(A92,מלאי!$D$2:$D$500,0)),"")</f>
        <v/>
      </c>
      <c r="I92" s="15" t="n"/>
      <c r="J92" s="15" t="n"/>
      <c r="L92" s="15">
        <f>IF(F92="","",IF(I92&lt;&gt;"",AVERAGE(F92,I92),F92))</f>
        <v/>
      </c>
      <c r="M92" s="15">
        <f>IF(G92="","",IF(J92&lt;&gt;"",AVERAGE(G92,J92),G92))</f>
        <v/>
      </c>
      <c r="N92" s="15">
        <f>IF(OR(L92="",M92=""),"",AVERAGE(L92,M92))</f>
        <v/>
      </c>
    </row>
    <row r="93"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15" t="n"/>
      <c r="G93" s="15" t="n"/>
      <c r="H93">
        <f>IFERROR(INDEX(מלאי!$N$2:$N$500,MATCH(A93,מלאי!$D$2:$D$500,0)),"")</f>
        <v/>
      </c>
      <c r="I93" s="15" t="n"/>
      <c r="J93" s="15" t="n"/>
      <c r="L93" s="15">
        <f>IF(F93="","",IF(I93&lt;&gt;"",AVERAGE(F93,I93),F93))</f>
        <v/>
      </c>
      <c r="M93" s="15">
        <f>IF(G93="","",IF(J93&lt;&gt;"",AVERAGE(G93,J93),G93))</f>
        <v/>
      </c>
      <c r="N93" s="15">
        <f>IF(OR(L93="",M93=""),"",AVERAGE(L93,M93))</f>
        <v/>
      </c>
    </row>
    <row r="94"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15" t="n"/>
      <c r="G94" s="15" t="n"/>
      <c r="H94">
        <f>IFERROR(INDEX(מלאי!$N$2:$N$500,MATCH(A94,מלאי!$D$2:$D$500,0)),"")</f>
        <v/>
      </c>
      <c r="I94" s="15" t="n"/>
      <c r="J94" s="15" t="n"/>
      <c r="L94" s="15">
        <f>IF(F94="","",IF(I94&lt;&gt;"",AVERAGE(F94,I94),F94))</f>
        <v/>
      </c>
      <c r="M94" s="15">
        <f>IF(G94="","",IF(J94&lt;&gt;"",AVERAGE(G94,J94),G94))</f>
        <v/>
      </c>
      <c r="N94" s="15">
        <f>IF(OR(L94="",M94=""),"",AVERAGE(L94,M94))</f>
        <v/>
      </c>
    </row>
    <row r="95"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15" t="n"/>
      <c r="G95" s="15" t="n"/>
      <c r="H95">
        <f>IFERROR(INDEX(מלאי!$N$2:$N$500,MATCH(A95,מלאי!$D$2:$D$500,0)),"")</f>
        <v/>
      </c>
      <c r="I95" s="15" t="n"/>
      <c r="J95" s="15" t="n"/>
      <c r="L95" s="15">
        <f>IF(F95="","",IF(I95&lt;&gt;"",AVERAGE(F95,I95),F95))</f>
        <v/>
      </c>
      <c r="M95" s="15">
        <f>IF(G95="","",IF(J95&lt;&gt;"",AVERAGE(G95,J95),G95))</f>
        <v/>
      </c>
      <c r="N95" s="15">
        <f>IF(OR(L95="",M95=""),"",AVERAGE(L95,M95))</f>
        <v/>
      </c>
    </row>
    <row r="96"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15" t="n"/>
      <c r="G96" s="15" t="n"/>
      <c r="H96">
        <f>IFERROR(INDEX(מלאי!$N$2:$N$500,MATCH(A96,מלאי!$D$2:$D$500,0)),"")</f>
        <v/>
      </c>
      <c r="I96" s="15" t="n"/>
      <c r="J96" s="15" t="n"/>
      <c r="L96" s="15">
        <f>IF(F96="","",IF(I96&lt;&gt;"",AVERAGE(F96,I96),F96))</f>
        <v/>
      </c>
      <c r="M96" s="15">
        <f>IF(G96="","",IF(J96&lt;&gt;"",AVERAGE(G96,J96),G96))</f>
        <v/>
      </c>
      <c r="N96" s="15">
        <f>IF(OR(L96="",M96=""),"",AVERAGE(L96,M96))</f>
        <v/>
      </c>
    </row>
    <row r="97"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15" t="n"/>
      <c r="G97" s="15" t="n"/>
      <c r="H97">
        <f>IFERROR(INDEX(מלאי!$N$2:$N$500,MATCH(A97,מלאי!$D$2:$D$500,0)),"")</f>
        <v/>
      </c>
      <c r="I97" s="15" t="n"/>
      <c r="J97" s="15" t="n"/>
      <c r="L97" s="15">
        <f>IF(F97="","",IF(I97&lt;&gt;"",AVERAGE(F97,I97),F97))</f>
        <v/>
      </c>
      <c r="M97" s="15">
        <f>IF(G97="","",IF(J97&lt;&gt;"",AVERAGE(G97,J97),G97))</f>
        <v/>
      </c>
      <c r="N97" s="15">
        <f>IF(OR(L97="",M97=""),"",AVERAGE(L97,M97))</f>
        <v/>
      </c>
    </row>
    <row r="98"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15" t="n"/>
      <c r="G98" s="15" t="n"/>
      <c r="H98">
        <f>IFERROR(INDEX(מלאי!$N$2:$N$500,MATCH(A98,מלאי!$D$2:$D$500,0)),"")</f>
        <v/>
      </c>
      <c r="I98" s="15" t="n"/>
      <c r="J98" s="15" t="n"/>
      <c r="L98" s="15">
        <f>IF(F98="","",IF(I98&lt;&gt;"",AVERAGE(F98,I98),F98))</f>
        <v/>
      </c>
      <c r="M98" s="15">
        <f>IF(G98="","",IF(J98&lt;&gt;"",AVERAGE(G98,J98),G98))</f>
        <v/>
      </c>
      <c r="N98" s="15">
        <f>IF(OR(L98="",M98=""),"",AVERAGE(L98,M98))</f>
        <v/>
      </c>
    </row>
    <row r="99"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15" t="n"/>
      <c r="G99" s="15" t="n"/>
      <c r="H99">
        <f>IFERROR(INDEX(מלאי!$N$2:$N$500,MATCH(A99,מלאי!$D$2:$D$500,0)),"")</f>
        <v/>
      </c>
      <c r="I99" s="15" t="n"/>
      <c r="J99" s="15" t="n"/>
      <c r="L99" s="15">
        <f>IF(F99="","",IF(I99&lt;&gt;"",AVERAGE(F99,I99),F99))</f>
        <v/>
      </c>
      <c r="M99" s="15">
        <f>IF(G99="","",IF(J99&lt;&gt;"",AVERAGE(G99,J99),G99))</f>
        <v/>
      </c>
      <c r="N99" s="15">
        <f>IF(OR(L99="",M99=""),"",AVERAGE(L99,M99))</f>
        <v/>
      </c>
    </row>
    <row r="100"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15" t="n"/>
      <c r="G100" s="15" t="n"/>
      <c r="H100">
        <f>IFERROR(INDEX(מלאי!$N$2:$N$500,MATCH(A100,מלאי!$D$2:$D$500,0)),"")</f>
        <v/>
      </c>
      <c r="I100" s="15" t="n"/>
      <c r="J100" s="15" t="n"/>
      <c r="L100" s="15">
        <f>IF(F100="","",IF(I100&lt;&gt;"",AVERAGE(F100,I100),F100))</f>
        <v/>
      </c>
      <c r="M100" s="15">
        <f>IF(G100="","",IF(J100&lt;&gt;"",AVERAGE(G100,J100),G100))</f>
        <v/>
      </c>
      <c r="N100" s="15">
        <f>IF(OR(L100="",M100=""),"",AVERAGE(L100,M100))</f>
        <v/>
      </c>
    </row>
    <row r="101"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15" t="n"/>
      <c r="G101" s="15" t="n"/>
      <c r="H101">
        <f>IFERROR(INDEX(מלאי!$N$2:$N$500,MATCH(A101,מלאי!$D$2:$D$500,0)),"")</f>
        <v/>
      </c>
      <c r="I101" s="15" t="n"/>
      <c r="J101" s="15" t="n"/>
      <c r="L101" s="15">
        <f>IF(F101="","",IF(I101&lt;&gt;"",AVERAGE(F101,I101),F101))</f>
        <v/>
      </c>
      <c r="M101" s="15">
        <f>IF(G101="","",IF(J101&lt;&gt;"",AVERAGE(G101,J101),G101))</f>
        <v/>
      </c>
      <c r="N101" s="15">
        <f>IF(OR(L101="",M101=""),"",AVERAGE(L101,M101))</f>
        <v/>
      </c>
    </row>
    <row r="102"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15" t="n"/>
      <c r="G102" s="15" t="n"/>
      <c r="H102">
        <f>IFERROR(INDEX(מלאי!$N$2:$N$500,MATCH(A102,מלאי!$D$2:$D$500,0)),"")</f>
        <v/>
      </c>
      <c r="I102" s="15" t="n"/>
      <c r="J102" s="15" t="n"/>
      <c r="L102" s="15">
        <f>IF(F102="","",IF(I102&lt;&gt;"",AVERAGE(F102,I102),F102))</f>
        <v/>
      </c>
      <c r="M102" s="15">
        <f>IF(G102="","",IF(J102&lt;&gt;"",AVERAGE(G102,J102),G102))</f>
        <v/>
      </c>
      <c r="N102" s="15">
        <f>IF(OR(L102="",M102=""),"",AVERAGE(L102,M102))</f>
        <v/>
      </c>
    </row>
    <row r="103"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15" t="n"/>
      <c r="G103" s="15" t="n"/>
      <c r="H103">
        <f>IFERROR(INDEX(מלאי!$N$2:$N$500,MATCH(A103,מלאי!$D$2:$D$500,0)),"")</f>
        <v/>
      </c>
      <c r="I103" s="15" t="n"/>
      <c r="J103" s="15" t="n"/>
      <c r="L103" s="15">
        <f>IF(F103="","",IF(I103&lt;&gt;"",AVERAGE(F103,I103),F103))</f>
        <v/>
      </c>
      <c r="M103" s="15">
        <f>IF(G103="","",IF(J103&lt;&gt;"",AVERAGE(G103,J103),G103))</f>
        <v/>
      </c>
      <c r="N103" s="15">
        <f>IF(OR(L103="",M103=""),"",AVERAGE(L103,M103))</f>
        <v/>
      </c>
    </row>
    <row r="104"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15" t="n"/>
      <c r="G104" s="15" t="n"/>
      <c r="H104">
        <f>IFERROR(INDEX(מלאי!$N$2:$N$500,MATCH(A104,מלאי!$D$2:$D$500,0)),"")</f>
        <v/>
      </c>
      <c r="I104" s="15" t="n"/>
      <c r="J104" s="15" t="n"/>
      <c r="L104" s="15">
        <f>IF(F104="","",IF(I104&lt;&gt;"",AVERAGE(F104,I104),F104))</f>
        <v/>
      </c>
      <c r="M104" s="15">
        <f>IF(G104="","",IF(J104&lt;&gt;"",AVERAGE(G104,J104),G104))</f>
        <v/>
      </c>
      <c r="N104" s="15">
        <f>IF(OR(L104="",M104=""),"",AVERAGE(L104,M104))</f>
        <v/>
      </c>
    </row>
    <row r="105"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15" t="n"/>
      <c r="G105" s="15" t="n"/>
      <c r="H105">
        <f>IFERROR(INDEX(מלאי!$N$2:$N$500,MATCH(A105,מלאי!$D$2:$D$500,0)),"")</f>
        <v/>
      </c>
      <c r="I105" s="15" t="n"/>
      <c r="J105" s="15" t="n"/>
      <c r="L105" s="15">
        <f>IF(F105="","",IF(I105&lt;&gt;"",AVERAGE(F105,I105),F105))</f>
        <v/>
      </c>
      <c r="M105" s="15">
        <f>IF(G105="","",IF(J105&lt;&gt;"",AVERAGE(G105,J105),G105))</f>
        <v/>
      </c>
      <c r="N105" s="15">
        <f>IF(OR(L105="",M105=""),"",AVERAGE(L105,M105))</f>
        <v/>
      </c>
    </row>
    <row r="106"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15" t="n"/>
      <c r="G106" s="15" t="n"/>
      <c r="H106">
        <f>IFERROR(INDEX(מלאי!$N$2:$N$500,MATCH(A106,מלאי!$D$2:$D$500,0)),"")</f>
        <v/>
      </c>
      <c r="I106" s="15" t="n"/>
      <c r="J106" s="15" t="n"/>
      <c r="L106" s="15">
        <f>IF(F106="","",IF(I106&lt;&gt;"",AVERAGE(F106,I106),F106))</f>
        <v/>
      </c>
      <c r="M106" s="15">
        <f>IF(G106="","",IF(J106&lt;&gt;"",AVERAGE(G106,J106),G106))</f>
        <v/>
      </c>
      <c r="N106" s="15">
        <f>IF(OR(L106="",M106=""),"",AVERAGE(L106,M106))</f>
        <v/>
      </c>
    </row>
    <row r="107"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15" t="n"/>
      <c r="G107" s="15" t="n"/>
      <c r="H107">
        <f>IFERROR(INDEX(מלאי!$N$2:$N$500,MATCH(A107,מלאי!$D$2:$D$500,0)),"")</f>
        <v/>
      </c>
      <c r="I107" s="15" t="n"/>
      <c r="J107" s="15" t="n"/>
      <c r="L107" s="15">
        <f>IF(F107="","",IF(I107&lt;&gt;"",AVERAGE(F107,I107),F107))</f>
        <v/>
      </c>
      <c r="M107" s="15">
        <f>IF(G107="","",IF(J107&lt;&gt;"",AVERAGE(G107,J107),G107))</f>
        <v/>
      </c>
      <c r="N107" s="15">
        <f>IF(OR(L107="",M107=""),"",AVERAGE(L107,M107))</f>
        <v/>
      </c>
    </row>
    <row r="108"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15" t="n"/>
      <c r="G108" s="15" t="n"/>
      <c r="H108">
        <f>IFERROR(INDEX(מלאי!$N$2:$N$500,MATCH(A108,מלאי!$D$2:$D$500,0)),"")</f>
        <v/>
      </c>
      <c r="I108" s="15" t="n"/>
      <c r="J108" s="15" t="n"/>
      <c r="L108" s="15">
        <f>IF(F108="","",IF(I108&lt;&gt;"",AVERAGE(F108,I108),F108))</f>
        <v/>
      </c>
      <c r="M108" s="15">
        <f>IF(G108="","",IF(J108&lt;&gt;"",AVERAGE(G108,J108),G108))</f>
        <v/>
      </c>
      <c r="N108" s="15">
        <f>IF(OR(L108="",M108=""),"",AVERAGE(L108,M108))</f>
        <v/>
      </c>
    </row>
    <row r="109"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15" t="n"/>
      <c r="G109" s="15" t="n"/>
      <c r="H109">
        <f>IFERROR(INDEX(מלאי!$N$2:$N$500,MATCH(A109,מלאי!$D$2:$D$500,0)),"")</f>
        <v/>
      </c>
      <c r="I109" s="15" t="n"/>
      <c r="J109" s="15" t="n"/>
      <c r="L109" s="15">
        <f>IF(F109="","",IF(I109&lt;&gt;"",AVERAGE(F109,I109),F109))</f>
        <v/>
      </c>
      <c r="M109" s="15">
        <f>IF(G109="","",IF(J109&lt;&gt;"",AVERAGE(G109,J109),G109))</f>
        <v/>
      </c>
      <c r="N109" s="15">
        <f>IF(OR(L109="",M109=""),"",AVERAGE(L109,M109))</f>
        <v/>
      </c>
    </row>
    <row r="110"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15" t="n"/>
      <c r="G110" s="15" t="n"/>
      <c r="H110">
        <f>IFERROR(INDEX(מלאי!$N$2:$N$500,MATCH(A110,מלאי!$D$2:$D$500,0)),"")</f>
        <v/>
      </c>
      <c r="I110" s="15" t="n"/>
      <c r="J110" s="15" t="n"/>
      <c r="L110" s="15">
        <f>IF(F110="","",IF(I110&lt;&gt;"",AVERAGE(F110,I110),F110))</f>
        <v/>
      </c>
      <c r="M110" s="15">
        <f>IF(G110="","",IF(J110&lt;&gt;"",AVERAGE(G110,J110),G110))</f>
        <v/>
      </c>
      <c r="N110" s="15">
        <f>IF(OR(L110="",M110=""),"",AVERAGE(L110,M110))</f>
        <v/>
      </c>
    </row>
    <row r="111"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15" t="n"/>
      <c r="G111" s="15" t="n"/>
      <c r="H111">
        <f>IFERROR(INDEX(מלאי!$N$2:$N$500,MATCH(A111,מלאי!$D$2:$D$500,0)),"")</f>
        <v/>
      </c>
      <c r="I111" s="15" t="n"/>
      <c r="J111" s="15" t="n"/>
      <c r="L111" s="15">
        <f>IF(F111="","",IF(I111&lt;&gt;"",AVERAGE(F111,I111),F111))</f>
        <v/>
      </c>
      <c r="M111" s="15">
        <f>IF(G111="","",IF(J111&lt;&gt;"",AVERAGE(G111,J111),G111))</f>
        <v/>
      </c>
      <c r="N111" s="15">
        <f>IF(OR(L111="",M111=""),"",AVERAGE(L111,M111))</f>
        <v/>
      </c>
    </row>
    <row r="112"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15" t="n"/>
      <c r="G112" s="15" t="n"/>
      <c r="H112">
        <f>IFERROR(INDEX(מלאי!$N$2:$N$500,MATCH(A112,מלאי!$D$2:$D$500,0)),"")</f>
        <v/>
      </c>
      <c r="I112" s="15" t="n"/>
      <c r="J112" s="15" t="n"/>
      <c r="L112" s="15">
        <f>IF(F112="","",IF(I112&lt;&gt;"",AVERAGE(F112,I112),F112))</f>
        <v/>
      </c>
      <c r="M112" s="15">
        <f>IF(G112="","",IF(J112&lt;&gt;"",AVERAGE(G112,J112),G112))</f>
        <v/>
      </c>
      <c r="N112" s="15">
        <f>IF(OR(L112="",M112=""),"",AVERAGE(L112,M112))</f>
        <v/>
      </c>
    </row>
    <row r="113"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15" t="n"/>
      <c r="G113" s="15" t="n"/>
      <c r="H113">
        <f>IFERROR(INDEX(מלאי!$N$2:$N$500,MATCH(A113,מלאי!$D$2:$D$500,0)),"")</f>
        <v/>
      </c>
      <c r="I113" s="15" t="n"/>
      <c r="J113" s="15" t="n"/>
      <c r="L113" s="15">
        <f>IF(F113="","",IF(I113&lt;&gt;"",AVERAGE(F113,I113),F113))</f>
        <v/>
      </c>
      <c r="M113" s="15">
        <f>IF(G113="","",IF(J113&lt;&gt;"",AVERAGE(G113,J113),G113))</f>
        <v/>
      </c>
      <c r="N113" s="15">
        <f>IF(OR(L113="",M113=""),"",AVERAGE(L113,M113))</f>
        <v/>
      </c>
    </row>
    <row r="114"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15" t="n"/>
      <c r="G114" s="15" t="n"/>
      <c r="H114">
        <f>IFERROR(INDEX(מלאי!$N$2:$N$500,MATCH(A114,מלאי!$D$2:$D$500,0)),"")</f>
        <v/>
      </c>
      <c r="I114" s="15" t="n"/>
      <c r="J114" s="15" t="n"/>
      <c r="L114" s="15">
        <f>IF(F114="","",IF(I114&lt;&gt;"",AVERAGE(F114,I114),F114))</f>
        <v/>
      </c>
      <c r="M114" s="15">
        <f>IF(G114="","",IF(J114&lt;&gt;"",AVERAGE(G114,J114),G114))</f>
        <v/>
      </c>
      <c r="N114" s="15">
        <f>IF(OR(L114="",M114=""),"",AVERAGE(L114,M114))</f>
        <v/>
      </c>
    </row>
    <row r="115"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15" t="n"/>
      <c r="G115" s="15" t="n"/>
      <c r="H115">
        <f>IFERROR(INDEX(מלאי!$N$2:$N$500,MATCH(A115,מלאי!$D$2:$D$500,0)),"")</f>
        <v/>
      </c>
      <c r="I115" s="15" t="n"/>
      <c r="J115" s="15" t="n"/>
      <c r="L115" s="15">
        <f>IF(F115="","",IF(I115&lt;&gt;"",AVERAGE(F115,I115),F115))</f>
        <v/>
      </c>
      <c r="M115" s="15">
        <f>IF(G115="","",IF(J115&lt;&gt;"",AVERAGE(G115,J115),G115))</f>
        <v/>
      </c>
      <c r="N115" s="15">
        <f>IF(OR(L115="",M115=""),"",AVERAGE(L115,M115))</f>
        <v/>
      </c>
    </row>
    <row r="116"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15" t="n"/>
      <c r="G116" s="15" t="n"/>
      <c r="H116">
        <f>IFERROR(INDEX(מלאי!$N$2:$N$500,MATCH(A116,מלאי!$D$2:$D$500,0)),"")</f>
        <v/>
      </c>
      <c r="I116" s="15" t="n"/>
      <c r="J116" s="15" t="n"/>
      <c r="L116" s="15">
        <f>IF(F116="","",IF(I116&lt;&gt;"",AVERAGE(F116,I116),F116))</f>
        <v/>
      </c>
      <c r="M116" s="15">
        <f>IF(G116="","",IF(J116&lt;&gt;"",AVERAGE(G116,J116),G116))</f>
        <v/>
      </c>
      <c r="N116" s="15">
        <f>IF(OR(L116="",M116=""),"",AVERAGE(L116,M116))</f>
        <v/>
      </c>
    </row>
    <row r="117"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15" t="n"/>
      <c r="G117" s="15" t="n"/>
      <c r="H117">
        <f>IFERROR(INDEX(מלאי!$N$2:$N$500,MATCH(A117,מלאי!$D$2:$D$500,0)),"")</f>
        <v/>
      </c>
      <c r="I117" s="15" t="n"/>
      <c r="J117" s="15" t="n"/>
      <c r="L117" s="15">
        <f>IF(F117="","",IF(I117&lt;&gt;"",AVERAGE(F117,I117),F117))</f>
        <v/>
      </c>
      <c r="M117" s="15">
        <f>IF(G117="","",IF(J117&lt;&gt;"",AVERAGE(G117,J117),G117))</f>
        <v/>
      </c>
      <c r="N117" s="15">
        <f>IF(OR(L117="",M117=""),"",AVERAGE(L117,M117))</f>
        <v/>
      </c>
    </row>
    <row r="118"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15" t="n"/>
      <c r="G118" s="15" t="n"/>
      <c r="H118">
        <f>IFERROR(INDEX(מלאי!$N$2:$N$500,MATCH(A118,מלאי!$D$2:$D$500,0)),"")</f>
        <v/>
      </c>
      <c r="I118" s="15" t="n"/>
      <c r="J118" s="15" t="n"/>
      <c r="L118" s="15">
        <f>IF(F118="","",IF(I118&lt;&gt;"",AVERAGE(F118,I118),F118))</f>
        <v/>
      </c>
      <c r="M118" s="15">
        <f>IF(G118="","",IF(J118&lt;&gt;"",AVERAGE(G118,J118),G118))</f>
        <v/>
      </c>
      <c r="N118" s="15">
        <f>IF(OR(L118="",M118=""),"",AVERAGE(L118,M118))</f>
        <v/>
      </c>
    </row>
    <row r="119"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15" t="n"/>
      <c r="G119" s="15" t="n"/>
      <c r="H119">
        <f>IFERROR(INDEX(מלאי!$N$2:$N$500,MATCH(A119,מלאי!$D$2:$D$500,0)),"")</f>
        <v/>
      </c>
      <c r="I119" s="15" t="n"/>
      <c r="J119" s="15" t="n"/>
      <c r="L119" s="15">
        <f>IF(F119="","",IF(I119&lt;&gt;"",AVERAGE(F119,I119),F119))</f>
        <v/>
      </c>
      <c r="M119" s="15">
        <f>IF(G119="","",IF(J119&lt;&gt;"",AVERAGE(G119,J119),G119))</f>
        <v/>
      </c>
      <c r="N119" s="15">
        <f>IF(OR(L119="",M119=""),"",AVERAGE(L119,M119))</f>
        <v/>
      </c>
    </row>
    <row r="120"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15" t="n"/>
      <c r="G120" s="15" t="n"/>
      <c r="H120">
        <f>IFERROR(INDEX(מלאי!$N$2:$N$500,MATCH(A120,מלאי!$D$2:$D$500,0)),"")</f>
        <v/>
      </c>
      <c r="I120" s="15" t="n"/>
      <c r="J120" s="15" t="n"/>
      <c r="L120" s="15">
        <f>IF(F120="","",IF(I120&lt;&gt;"",AVERAGE(F120,I120),F120))</f>
        <v/>
      </c>
      <c r="M120" s="15">
        <f>IF(G120="","",IF(J120&lt;&gt;"",AVERAGE(G120,J120),G120))</f>
        <v/>
      </c>
      <c r="N120" s="15">
        <f>IF(OR(L120="",M120=""),"",AVERAGE(L120,M120))</f>
        <v/>
      </c>
    </row>
    <row r="121"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15" t="n"/>
      <c r="G121" s="15" t="n"/>
      <c r="H121">
        <f>IFERROR(INDEX(מלאי!$N$2:$N$500,MATCH(A121,מלאי!$D$2:$D$500,0)),"")</f>
        <v/>
      </c>
      <c r="I121" s="15" t="n"/>
      <c r="J121" s="15" t="n"/>
      <c r="L121" s="15">
        <f>IF(F121="","",IF(I121&lt;&gt;"",AVERAGE(F121,I121),F121))</f>
        <v/>
      </c>
      <c r="M121" s="15">
        <f>IF(G121="","",IF(J121&lt;&gt;"",AVERAGE(G121,J121),G121))</f>
        <v/>
      </c>
      <c r="N121" s="15">
        <f>IF(OR(L121="",M121=""),"",AVERAGE(L121,M121))</f>
        <v/>
      </c>
    </row>
    <row r="122"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15" t="n"/>
      <c r="G122" s="15" t="n"/>
      <c r="H122">
        <f>IFERROR(INDEX(מלאי!$N$2:$N$500,MATCH(A122,מלאי!$D$2:$D$500,0)),"")</f>
        <v/>
      </c>
      <c r="I122" s="15" t="n"/>
      <c r="J122" s="15" t="n"/>
      <c r="L122" s="15">
        <f>IF(F122="","",IF(I122&lt;&gt;"",AVERAGE(F122,I122),F122))</f>
        <v/>
      </c>
      <c r="M122" s="15">
        <f>IF(G122="","",IF(J122&lt;&gt;"",AVERAGE(G122,J122),G122))</f>
        <v/>
      </c>
      <c r="N122" s="15">
        <f>IF(OR(L122="",M122=""),"",AVERAGE(L122,M122))</f>
        <v/>
      </c>
    </row>
    <row r="123"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15" t="n"/>
      <c r="G123" s="15" t="n"/>
      <c r="H123">
        <f>IFERROR(INDEX(מלאי!$N$2:$N$500,MATCH(A123,מלאי!$D$2:$D$500,0)),"")</f>
        <v/>
      </c>
      <c r="I123" s="15" t="n"/>
      <c r="J123" s="15" t="n"/>
      <c r="L123" s="15">
        <f>IF(F123="","",IF(I123&lt;&gt;"",AVERAGE(F123,I123),F123))</f>
        <v/>
      </c>
      <c r="M123" s="15">
        <f>IF(G123="","",IF(J123&lt;&gt;"",AVERAGE(G123,J123),G123))</f>
        <v/>
      </c>
      <c r="N123" s="15">
        <f>IF(OR(L123="",M123=""),"",AVERAGE(L123,M123))</f>
        <v/>
      </c>
    </row>
    <row r="124"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15" t="n"/>
      <c r="G124" s="15" t="n"/>
      <c r="H124">
        <f>IFERROR(INDEX(מלאי!$N$2:$N$500,MATCH(A124,מלאי!$D$2:$D$500,0)),"")</f>
        <v/>
      </c>
      <c r="I124" s="15" t="n"/>
      <c r="J124" s="15" t="n"/>
      <c r="L124" s="15">
        <f>IF(F124="","",IF(I124&lt;&gt;"",AVERAGE(F124,I124),F124))</f>
        <v/>
      </c>
      <c r="M124" s="15">
        <f>IF(G124="","",IF(J124&lt;&gt;"",AVERAGE(G124,J124),G124))</f>
        <v/>
      </c>
      <c r="N124" s="15">
        <f>IF(OR(L124="",M124=""),"",AVERAGE(L124,M124))</f>
        <v/>
      </c>
    </row>
    <row r="125"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15" t="n"/>
      <c r="G125" s="15" t="n"/>
      <c r="H125">
        <f>IFERROR(INDEX(מלאי!$N$2:$N$500,MATCH(A125,מלאי!$D$2:$D$500,0)),"")</f>
        <v/>
      </c>
      <c r="I125" s="15" t="n"/>
      <c r="J125" s="15" t="n"/>
      <c r="L125" s="15">
        <f>IF(F125="","",IF(I125&lt;&gt;"",AVERAGE(F125,I125),F125))</f>
        <v/>
      </c>
      <c r="M125" s="15">
        <f>IF(G125="","",IF(J125&lt;&gt;"",AVERAGE(G125,J125),G125))</f>
        <v/>
      </c>
      <c r="N125" s="15">
        <f>IF(OR(L125="",M125=""),"",AVERAGE(L125,M125))</f>
        <v/>
      </c>
    </row>
    <row r="126"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15" t="n"/>
      <c r="G126" s="15" t="n"/>
      <c r="H126">
        <f>IFERROR(INDEX(מלאי!$N$2:$N$500,MATCH(A126,מלאי!$D$2:$D$500,0)),"")</f>
        <v/>
      </c>
      <c r="I126" s="15" t="n"/>
      <c r="J126" s="15" t="n"/>
      <c r="L126" s="15">
        <f>IF(F126="","",IF(I126&lt;&gt;"",AVERAGE(F126,I126),F126))</f>
        <v/>
      </c>
      <c r="M126" s="15">
        <f>IF(G126="","",IF(J126&lt;&gt;"",AVERAGE(G126,J126),G126))</f>
        <v/>
      </c>
      <c r="N126" s="15">
        <f>IF(OR(L126="",M126=""),"",AVERAGE(L126,M126))</f>
        <v/>
      </c>
    </row>
    <row r="127"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15" t="n"/>
      <c r="G127" s="15" t="n"/>
      <c r="H127">
        <f>IFERROR(INDEX(מלאי!$N$2:$N$500,MATCH(A127,מלאי!$D$2:$D$500,0)),"")</f>
        <v/>
      </c>
      <c r="I127" s="15" t="n"/>
      <c r="J127" s="15" t="n"/>
      <c r="L127" s="15">
        <f>IF(F127="","",IF(I127&lt;&gt;"",AVERAGE(F127,I127),F127))</f>
        <v/>
      </c>
      <c r="M127" s="15">
        <f>IF(G127="","",IF(J127&lt;&gt;"",AVERAGE(G127,J127),G127))</f>
        <v/>
      </c>
      <c r="N127" s="15">
        <f>IF(OR(L127="",M127=""),"",AVERAGE(L127,M127))</f>
        <v/>
      </c>
    </row>
    <row r="128"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15" t="n"/>
      <c r="G128" s="15" t="n"/>
      <c r="H128">
        <f>IFERROR(INDEX(מלאי!$N$2:$N$500,MATCH(A128,מלאי!$D$2:$D$500,0)),"")</f>
        <v/>
      </c>
      <c r="I128" s="15" t="n"/>
      <c r="J128" s="15" t="n"/>
      <c r="L128" s="15">
        <f>IF(F128="","",IF(I128&lt;&gt;"",AVERAGE(F128,I128),F128))</f>
        <v/>
      </c>
      <c r="M128" s="15">
        <f>IF(G128="","",IF(J128&lt;&gt;"",AVERAGE(G128,J128),G128))</f>
        <v/>
      </c>
      <c r="N128" s="15">
        <f>IF(OR(L128="",M128=""),"",AVERAGE(L128,M128))</f>
        <v/>
      </c>
    </row>
    <row r="129"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15" t="n"/>
      <c r="G129" s="15" t="n"/>
      <c r="H129">
        <f>IFERROR(INDEX(מלאי!$N$2:$N$500,MATCH(A129,מלאי!$D$2:$D$500,0)),"")</f>
        <v/>
      </c>
      <c r="I129" s="15" t="n"/>
      <c r="J129" s="15" t="n"/>
      <c r="L129" s="15">
        <f>IF(F129="","",IF(I129&lt;&gt;"",AVERAGE(F129,I129),F129))</f>
        <v/>
      </c>
      <c r="M129" s="15">
        <f>IF(G129="","",IF(J129&lt;&gt;"",AVERAGE(G129,J129),G129))</f>
        <v/>
      </c>
      <c r="N129" s="15">
        <f>IF(OR(L129="",M129=""),"",AVERAGE(L129,M129))</f>
        <v/>
      </c>
    </row>
    <row r="130"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15" t="n"/>
      <c r="G130" s="15" t="n"/>
      <c r="H130">
        <f>IFERROR(INDEX(מלאי!$N$2:$N$500,MATCH(A130,מלאי!$D$2:$D$500,0)),"")</f>
        <v/>
      </c>
      <c r="I130" s="15" t="n"/>
      <c r="J130" s="15" t="n"/>
      <c r="L130" s="15">
        <f>IF(F130="","",IF(I130&lt;&gt;"",AVERAGE(F130,I130),F130))</f>
        <v/>
      </c>
      <c r="M130" s="15">
        <f>IF(G130="","",IF(J130&lt;&gt;"",AVERAGE(G130,J130),G130))</f>
        <v/>
      </c>
      <c r="N130" s="15">
        <f>IF(OR(L130="",M130=""),"",AVERAGE(L130,M130))</f>
        <v/>
      </c>
    </row>
    <row r="131"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15" t="n"/>
      <c r="G131" s="15" t="n"/>
      <c r="H131">
        <f>IFERROR(INDEX(מלאי!$N$2:$N$500,MATCH(A131,מלאי!$D$2:$D$500,0)),"")</f>
        <v/>
      </c>
      <c r="I131" s="15" t="n"/>
      <c r="J131" s="15" t="n"/>
      <c r="L131" s="15">
        <f>IF(F131="","",IF(I131&lt;&gt;"",AVERAGE(F131,I131),F131))</f>
        <v/>
      </c>
      <c r="M131" s="15">
        <f>IF(G131="","",IF(J131&lt;&gt;"",AVERAGE(G131,J131),G131))</f>
        <v/>
      </c>
      <c r="N131" s="15">
        <f>IF(OR(L131="",M131=""),"",AVERAGE(L131,M131))</f>
        <v/>
      </c>
    </row>
    <row r="132"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15" t="n"/>
      <c r="G132" s="15" t="n"/>
      <c r="H132">
        <f>IFERROR(INDEX(מלאי!$N$2:$N$500,MATCH(A132,מלאי!$D$2:$D$500,0)),"")</f>
        <v/>
      </c>
      <c r="I132" s="15" t="n"/>
      <c r="J132" s="15" t="n"/>
      <c r="L132" s="15">
        <f>IF(F132="","",IF(I132&lt;&gt;"",AVERAGE(F132,I132),F132))</f>
        <v/>
      </c>
      <c r="M132" s="15">
        <f>IF(G132="","",IF(J132&lt;&gt;"",AVERAGE(G132,J132),G132))</f>
        <v/>
      </c>
      <c r="N132" s="15">
        <f>IF(OR(L132="",M132=""),"",AVERAGE(L132,M132))</f>
        <v/>
      </c>
    </row>
    <row r="133"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15" t="n"/>
      <c r="G133" s="15" t="n"/>
      <c r="H133">
        <f>IFERROR(INDEX(מלאי!$N$2:$N$500,MATCH(A133,מלאי!$D$2:$D$500,0)),"")</f>
        <v/>
      </c>
      <c r="I133" s="15" t="n"/>
      <c r="J133" s="15" t="n"/>
      <c r="L133" s="15">
        <f>IF(F133="","",IF(I133&lt;&gt;"",AVERAGE(F133,I133),F133))</f>
        <v/>
      </c>
      <c r="M133" s="15">
        <f>IF(G133="","",IF(J133&lt;&gt;"",AVERAGE(G133,J133),G133))</f>
        <v/>
      </c>
      <c r="N133" s="15">
        <f>IF(OR(L133="",M133=""),"",AVERAGE(L133,M133))</f>
        <v/>
      </c>
    </row>
    <row r="134"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15" t="n"/>
      <c r="G134" s="15" t="n"/>
      <c r="H134">
        <f>IFERROR(INDEX(מלאי!$N$2:$N$500,MATCH(A134,מלאי!$D$2:$D$500,0)),"")</f>
        <v/>
      </c>
      <c r="I134" s="15" t="n"/>
      <c r="J134" s="15" t="n"/>
      <c r="L134" s="15">
        <f>IF(F134="","",IF(I134&lt;&gt;"",AVERAGE(F134,I134),F134))</f>
        <v/>
      </c>
      <c r="M134" s="15">
        <f>IF(G134="","",IF(J134&lt;&gt;"",AVERAGE(G134,J134),G134))</f>
        <v/>
      </c>
      <c r="N134" s="15">
        <f>IF(OR(L134="",M134=""),"",AVERAGE(L134,M134))</f>
        <v/>
      </c>
    </row>
    <row r="135"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15" t="n"/>
      <c r="G135" s="15" t="n"/>
      <c r="H135">
        <f>IFERROR(INDEX(מלאי!$N$2:$N$500,MATCH(A135,מלאי!$D$2:$D$500,0)),"")</f>
        <v/>
      </c>
      <c r="I135" s="15" t="n"/>
      <c r="J135" s="15" t="n"/>
      <c r="L135" s="15">
        <f>IF(F135="","",IF(I135&lt;&gt;"",AVERAGE(F135,I135),F135))</f>
        <v/>
      </c>
      <c r="M135" s="15">
        <f>IF(G135="","",IF(J135&lt;&gt;"",AVERAGE(G135,J135),G135))</f>
        <v/>
      </c>
      <c r="N135" s="15">
        <f>IF(OR(L135="",M135=""),"",AVERAGE(L135,M135))</f>
        <v/>
      </c>
    </row>
    <row r="136"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15" t="n"/>
      <c r="G136" s="15" t="n"/>
      <c r="H136">
        <f>IFERROR(INDEX(מלאי!$N$2:$N$500,MATCH(A136,מלאי!$D$2:$D$500,0)),"")</f>
        <v/>
      </c>
      <c r="I136" s="15" t="n"/>
      <c r="J136" s="15" t="n"/>
      <c r="L136" s="15">
        <f>IF(F136="","",IF(I136&lt;&gt;"",AVERAGE(F136,I136),F136))</f>
        <v/>
      </c>
      <c r="M136" s="15">
        <f>IF(G136="","",IF(J136&lt;&gt;"",AVERAGE(G136,J136),G136))</f>
        <v/>
      </c>
      <c r="N136" s="15">
        <f>IF(OR(L136="",M136=""),"",AVERAGE(L136,M136))</f>
        <v/>
      </c>
    </row>
    <row r="137"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15" t="n"/>
      <c r="G137" s="15" t="n"/>
      <c r="H137">
        <f>IFERROR(INDEX(מלאי!$N$2:$N$500,MATCH(A137,מלאי!$D$2:$D$500,0)),"")</f>
        <v/>
      </c>
      <c r="I137" s="15" t="n"/>
      <c r="J137" s="15" t="n"/>
      <c r="L137" s="15">
        <f>IF(F137="","",IF(I137&lt;&gt;"",AVERAGE(F137,I137),F137))</f>
        <v/>
      </c>
      <c r="M137" s="15">
        <f>IF(G137="","",IF(J137&lt;&gt;"",AVERAGE(G137,J137),G137))</f>
        <v/>
      </c>
      <c r="N137" s="15">
        <f>IF(OR(L137="",M137=""),"",AVERAGE(L137,M137))</f>
        <v/>
      </c>
    </row>
    <row r="138"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15" t="n"/>
      <c r="G138" s="15" t="n"/>
      <c r="H138">
        <f>IFERROR(INDEX(מלאי!$N$2:$N$500,MATCH(A138,מלאי!$D$2:$D$500,0)),"")</f>
        <v/>
      </c>
      <c r="I138" s="15" t="n"/>
      <c r="J138" s="15" t="n"/>
      <c r="L138" s="15">
        <f>IF(F138="","",IF(I138&lt;&gt;"",AVERAGE(F138,I138),F138))</f>
        <v/>
      </c>
      <c r="M138" s="15">
        <f>IF(G138="","",IF(J138&lt;&gt;"",AVERAGE(G138,J138),G138))</f>
        <v/>
      </c>
      <c r="N138" s="15">
        <f>IF(OR(L138="",M138=""),"",AVERAGE(L138,M138))</f>
        <v/>
      </c>
    </row>
    <row r="139"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15" t="n"/>
      <c r="G139" s="15" t="n"/>
      <c r="H139">
        <f>IFERROR(INDEX(מלאי!$N$2:$N$500,MATCH(A139,מלאי!$D$2:$D$500,0)),"")</f>
        <v/>
      </c>
      <c r="I139" s="15" t="n"/>
      <c r="J139" s="15" t="n"/>
      <c r="L139" s="15">
        <f>IF(F139="","",IF(I139&lt;&gt;"",AVERAGE(F139,I139),F139))</f>
        <v/>
      </c>
      <c r="M139" s="15">
        <f>IF(G139="","",IF(J139&lt;&gt;"",AVERAGE(G139,J139),G139))</f>
        <v/>
      </c>
      <c r="N139" s="15">
        <f>IF(OR(L139="",M139=""),"",AVERAGE(L139,M139))</f>
        <v/>
      </c>
    </row>
    <row r="140"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15" t="n"/>
      <c r="G140" s="15" t="n"/>
      <c r="H140">
        <f>IFERROR(INDEX(מלאי!$N$2:$N$500,MATCH(A140,מלאי!$D$2:$D$500,0)),"")</f>
        <v/>
      </c>
      <c r="I140" s="15" t="n"/>
      <c r="J140" s="15" t="n"/>
      <c r="L140" s="15">
        <f>IF(F140="","",IF(I140&lt;&gt;"",AVERAGE(F140,I140),F140))</f>
        <v/>
      </c>
      <c r="M140" s="15">
        <f>IF(G140="","",IF(J140&lt;&gt;"",AVERAGE(G140,J140),G140))</f>
        <v/>
      </c>
      <c r="N140" s="15">
        <f>IF(OR(L140="",M140=""),"",AVERAGE(L140,M140))</f>
        <v/>
      </c>
    </row>
    <row r="141"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15" t="n"/>
      <c r="G141" s="15" t="n"/>
      <c r="H141">
        <f>IFERROR(INDEX(מלאי!$N$2:$N$500,MATCH(A141,מלאי!$D$2:$D$500,0)),"")</f>
        <v/>
      </c>
      <c r="I141" s="15" t="n"/>
      <c r="J141" s="15" t="n"/>
      <c r="L141" s="15">
        <f>IF(F141="","",IF(I141&lt;&gt;"",AVERAGE(F141,I141),F141))</f>
        <v/>
      </c>
      <c r="M141" s="15">
        <f>IF(G141="","",IF(J141&lt;&gt;"",AVERAGE(G141,J141),G141))</f>
        <v/>
      </c>
      <c r="N141" s="15">
        <f>IF(OR(L141="",M141=""),"",AVERAGE(L141,M141))</f>
        <v/>
      </c>
    </row>
    <row r="142"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15" t="n"/>
      <c r="G142" s="15" t="n"/>
      <c r="H142">
        <f>IFERROR(INDEX(מלאי!$N$2:$N$500,MATCH(A142,מלאי!$D$2:$D$500,0)),"")</f>
        <v/>
      </c>
      <c r="I142" s="15" t="n"/>
      <c r="J142" s="15" t="n"/>
      <c r="L142" s="15">
        <f>IF(F142="","",IF(I142&lt;&gt;"",AVERAGE(F142,I142),F142))</f>
        <v/>
      </c>
      <c r="M142" s="15">
        <f>IF(G142="","",IF(J142&lt;&gt;"",AVERAGE(G142,J142),G142))</f>
        <v/>
      </c>
      <c r="N142" s="15">
        <f>IF(OR(L142="",M142=""),"",AVERAGE(L142,M142))</f>
        <v/>
      </c>
    </row>
    <row r="143"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15" t="n"/>
      <c r="G143" s="15" t="n"/>
      <c r="H143">
        <f>IFERROR(INDEX(מלאי!$N$2:$N$500,MATCH(A143,מלאי!$D$2:$D$500,0)),"")</f>
        <v/>
      </c>
      <c r="I143" s="15" t="n"/>
      <c r="J143" s="15" t="n"/>
      <c r="L143" s="15">
        <f>IF(F143="","",IF(I143&lt;&gt;"",AVERAGE(F143,I143),F143))</f>
        <v/>
      </c>
      <c r="M143" s="15">
        <f>IF(G143="","",IF(J143&lt;&gt;"",AVERAGE(G143,J143),G143))</f>
        <v/>
      </c>
      <c r="N143" s="15">
        <f>IF(OR(L143="",M143=""),"",AVERAGE(L143,M143))</f>
        <v/>
      </c>
    </row>
    <row r="144"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15" t="n"/>
      <c r="G144" s="15" t="n"/>
      <c r="H144">
        <f>IFERROR(INDEX(מלאי!$N$2:$N$500,MATCH(A144,מלאי!$D$2:$D$500,0)),"")</f>
        <v/>
      </c>
      <c r="I144" s="15" t="n"/>
      <c r="J144" s="15" t="n"/>
      <c r="L144" s="15">
        <f>IF(F144="","",IF(I144&lt;&gt;"",AVERAGE(F144,I144),F144))</f>
        <v/>
      </c>
      <c r="M144" s="15">
        <f>IF(G144="","",IF(J144&lt;&gt;"",AVERAGE(G144,J144),G144))</f>
        <v/>
      </c>
      <c r="N144" s="15">
        <f>IF(OR(L144="",M144=""),"",AVERAGE(L144,M144))</f>
        <v/>
      </c>
    </row>
    <row r="145"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15" t="n"/>
      <c r="G145" s="15" t="n"/>
      <c r="H145">
        <f>IFERROR(INDEX(מלאי!$N$2:$N$500,MATCH(A145,מלאי!$D$2:$D$500,0)),"")</f>
        <v/>
      </c>
      <c r="I145" s="15" t="n"/>
      <c r="J145" s="15" t="n"/>
      <c r="L145" s="15">
        <f>IF(F145="","",IF(I145&lt;&gt;"",AVERAGE(F145,I145),F145))</f>
        <v/>
      </c>
      <c r="M145" s="15">
        <f>IF(G145="","",IF(J145&lt;&gt;"",AVERAGE(G145,J145),G145))</f>
        <v/>
      </c>
      <c r="N145" s="15">
        <f>IF(OR(L145="",M145=""),"",AVERAGE(L145,M145))</f>
        <v/>
      </c>
    </row>
    <row r="146"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15" t="n"/>
      <c r="G146" s="15" t="n"/>
      <c r="H146">
        <f>IFERROR(INDEX(מלאי!$N$2:$N$500,MATCH(A146,מלאי!$D$2:$D$500,0)),"")</f>
        <v/>
      </c>
      <c r="I146" s="15" t="n"/>
      <c r="J146" s="15" t="n"/>
      <c r="L146" s="15">
        <f>IF(F146="","",IF(I146&lt;&gt;"",AVERAGE(F146,I146),F146))</f>
        <v/>
      </c>
      <c r="M146" s="15">
        <f>IF(G146="","",IF(J146&lt;&gt;"",AVERAGE(G146,J146),G146))</f>
        <v/>
      </c>
      <c r="N146" s="15">
        <f>IF(OR(L146="",M146=""),"",AVERAGE(L146,M146))</f>
        <v/>
      </c>
    </row>
    <row r="147"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15" t="n"/>
      <c r="G147" s="15" t="n"/>
      <c r="H147">
        <f>IFERROR(INDEX(מלאי!$N$2:$N$500,MATCH(A147,מלאי!$D$2:$D$500,0)),"")</f>
        <v/>
      </c>
      <c r="I147" s="15" t="n"/>
      <c r="J147" s="15" t="n"/>
      <c r="L147" s="15">
        <f>IF(F147="","",IF(I147&lt;&gt;"",AVERAGE(F147,I147),F147))</f>
        <v/>
      </c>
      <c r="M147" s="15">
        <f>IF(G147="","",IF(J147&lt;&gt;"",AVERAGE(G147,J147),G147))</f>
        <v/>
      </c>
      <c r="N147" s="15">
        <f>IF(OR(L147="",M147=""),"",AVERAGE(L147,M147))</f>
        <v/>
      </c>
    </row>
    <row r="148"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15" t="n"/>
      <c r="G148" s="15" t="n"/>
      <c r="H148">
        <f>IFERROR(INDEX(מלאי!$N$2:$N$500,MATCH(A148,מלאי!$D$2:$D$500,0)),"")</f>
        <v/>
      </c>
      <c r="I148" s="15" t="n"/>
      <c r="J148" s="15" t="n"/>
      <c r="L148" s="15">
        <f>IF(F148="","",IF(I148&lt;&gt;"",AVERAGE(F148,I148),F148))</f>
        <v/>
      </c>
      <c r="M148" s="15">
        <f>IF(G148="","",IF(J148&lt;&gt;"",AVERAGE(G148,J148),G148))</f>
        <v/>
      </c>
      <c r="N148" s="15">
        <f>IF(OR(L148="",M148=""),"",AVERAGE(L148,M148))</f>
        <v/>
      </c>
    </row>
    <row r="149"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15" t="n"/>
      <c r="G149" s="15" t="n"/>
      <c r="H149">
        <f>IFERROR(INDEX(מלאי!$N$2:$N$500,MATCH(A149,מלאי!$D$2:$D$500,0)),"")</f>
        <v/>
      </c>
      <c r="I149" s="15" t="n"/>
      <c r="J149" s="15" t="n"/>
      <c r="L149" s="15">
        <f>IF(F149="","",IF(I149&lt;&gt;"",AVERAGE(F149,I149),F149))</f>
        <v/>
      </c>
      <c r="M149" s="15">
        <f>IF(G149="","",IF(J149&lt;&gt;"",AVERAGE(G149,J149),G149))</f>
        <v/>
      </c>
      <c r="N149" s="15">
        <f>IF(OR(L149="",M149=""),"",AVERAGE(L149,M149))</f>
        <v/>
      </c>
    </row>
    <row r="150"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15" t="n"/>
      <c r="G150" s="15" t="n"/>
      <c r="H150">
        <f>IFERROR(INDEX(מלאי!$N$2:$N$500,MATCH(A150,מלאי!$D$2:$D$500,0)),"")</f>
        <v/>
      </c>
      <c r="I150" s="15" t="n"/>
      <c r="J150" s="15" t="n"/>
      <c r="L150" s="15">
        <f>IF(F150="","",IF(I150&lt;&gt;"",AVERAGE(F150,I150),F150))</f>
        <v/>
      </c>
      <c r="M150" s="15">
        <f>IF(G150="","",IF(J150&lt;&gt;"",AVERAGE(G150,J150),G150))</f>
        <v/>
      </c>
      <c r="N150" s="15">
        <f>IF(OR(L150="",M150=""),"",AVERAGE(L150,M150))</f>
        <v/>
      </c>
    </row>
    <row r="151"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15" t="n"/>
      <c r="G151" s="15" t="n"/>
      <c r="H151">
        <f>IFERROR(INDEX(מלאי!$N$2:$N$500,MATCH(A151,מלאי!$D$2:$D$500,0)),"")</f>
        <v/>
      </c>
      <c r="I151" s="15" t="n"/>
      <c r="J151" s="15" t="n"/>
      <c r="L151" s="15">
        <f>IF(F151="","",IF(I151&lt;&gt;"",AVERAGE(F151,I151),F151))</f>
        <v/>
      </c>
      <c r="M151" s="15">
        <f>IF(G151="","",IF(J151&lt;&gt;"",AVERAGE(G151,J151),G151))</f>
        <v/>
      </c>
      <c r="N151" s="15">
        <f>IF(OR(L151="",M151=""),"",AVERAGE(L151,M151))</f>
        <v/>
      </c>
    </row>
    <row r="152"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15" t="n"/>
      <c r="G152" s="15" t="n"/>
      <c r="H152">
        <f>IFERROR(INDEX(מלאי!$N$2:$N$500,MATCH(A152,מלאי!$D$2:$D$500,0)),"")</f>
        <v/>
      </c>
      <c r="I152" s="15" t="n"/>
      <c r="J152" s="15" t="n"/>
      <c r="L152" s="15">
        <f>IF(F152="","",IF(I152&lt;&gt;"",AVERAGE(F152,I152),F152))</f>
        <v/>
      </c>
      <c r="M152" s="15">
        <f>IF(G152="","",IF(J152&lt;&gt;"",AVERAGE(G152,J152),G152))</f>
        <v/>
      </c>
      <c r="N152" s="15">
        <f>IF(OR(L152="",M152=""),"",AVERAGE(L152,M152))</f>
        <v/>
      </c>
    </row>
    <row r="153"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15" t="n"/>
      <c r="G153" s="15" t="n"/>
      <c r="H153">
        <f>IFERROR(INDEX(מלאי!$N$2:$N$500,MATCH(A153,מלאי!$D$2:$D$500,0)),"")</f>
        <v/>
      </c>
      <c r="I153" s="15" t="n"/>
      <c r="J153" s="15" t="n"/>
      <c r="L153" s="15">
        <f>IF(F153="","",IF(I153&lt;&gt;"",AVERAGE(F153,I153),F153))</f>
        <v/>
      </c>
      <c r="M153" s="15">
        <f>IF(G153="","",IF(J153&lt;&gt;"",AVERAGE(G153,J153),G153))</f>
        <v/>
      </c>
      <c r="N153" s="15">
        <f>IF(OR(L153="",M153=""),"",AVERAGE(L153,M153))</f>
        <v/>
      </c>
    </row>
    <row r="154"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15" t="n"/>
      <c r="G154" s="15" t="n"/>
      <c r="H154">
        <f>IFERROR(INDEX(מלאי!$N$2:$N$500,MATCH(A154,מלאי!$D$2:$D$500,0)),"")</f>
        <v/>
      </c>
      <c r="I154" s="15" t="n"/>
      <c r="J154" s="15" t="n"/>
      <c r="L154" s="15">
        <f>IF(F154="","",IF(I154&lt;&gt;"",AVERAGE(F154,I154),F154))</f>
        <v/>
      </c>
      <c r="M154" s="15">
        <f>IF(G154="","",IF(J154&lt;&gt;"",AVERAGE(G154,J154),G154))</f>
        <v/>
      </c>
      <c r="N154" s="15">
        <f>IF(OR(L154="",M154=""),"",AVERAGE(L154,M154))</f>
        <v/>
      </c>
    </row>
    <row r="155"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15" t="n"/>
      <c r="G155" s="15" t="n"/>
      <c r="H155">
        <f>IFERROR(INDEX(מלאי!$N$2:$N$500,MATCH(A155,מלאי!$D$2:$D$500,0)),"")</f>
        <v/>
      </c>
      <c r="I155" s="15" t="n"/>
      <c r="J155" s="15" t="n"/>
      <c r="L155" s="15">
        <f>IF(F155="","",IF(I155&lt;&gt;"",AVERAGE(F155,I155),F155))</f>
        <v/>
      </c>
      <c r="M155" s="15">
        <f>IF(G155="","",IF(J155&lt;&gt;"",AVERAGE(G155,J155),G155))</f>
        <v/>
      </c>
      <c r="N155" s="15">
        <f>IF(OR(L155="",M155=""),"",AVERAGE(L155,M155))</f>
        <v/>
      </c>
    </row>
    <row r="156"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15" t="n"/>
      <c r="G156" s="15" t="n"/>
      <c r="H156">
        <f>IFERROR(INDEX(מלאי!$N$2:$N$500,MATCH(A156,מלאי!$D$2:$D$500,0)),"")</f>
        <v/>
      </c>
      <c r="I156" s="15" t="n"/>
      <c r="J156" s="15" t="n"/>
      <c r="L156" s="15">
        <f>IF(F156="","",IF(I156&lt;&gt;"",AVERAGE(F156,I156),F156))</f>
        <v/>
      </c>
      <c r="M156" s="15">
        <f>IF(G156="","",IF(J156&lt;&gt;"",AVERAGE(G156,J156),G156))</f>
        <v/>
      </c>
      <c r="N156" s="15">
        <f>IF(OR(L156="",M156=""),"",AVERAGE(L156,M156))</f>
        <v/>
      </c>
    </row>
    <row r="157"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15" t="n"/>
      <c r="G157" s="15" t="n"/>
      <c r="H157">
        <f>IFERROR(INDEX(מלאי!$N$2:$N$500,MATCH(A157,מלאי!$D$2:$D$500,0)),"")</f>
        <v/>
      </c>
      <c r="I157" s="15" t="n"/>
      <c r="J157" s="15" t="n"/>
      <c r="L157" s="15">
        <f>IF(F157="","",IF(I157&lt;&gt;"",AVERAGE(F157,I157),F157))</f>
        <v/>
      </c>
      <c r="M157" s="15">
        <f>IF(G157="","",IF(J157&lt;&gt;"",AVERAGE(G157,J157),G157))</f>
        <v/>
      </c>
      <c r="N157" s="15">
        <f>IF(OR(L157="",M157=""),"",AVERAGE(L157,M157))</f>
        <v/>
      </c>
    </row>
    <row r="158"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15" t="n"/>
      <c r="G158" s="15" t="n"/>
      <c r="H158">
        <f>IFERROR(INDEX(מלאי!$N$2:$N$500,MATCH(A158,מלאי!$D$2:$D$500,0)),"")</f>
        <v/>
      </c>
      <c r="I158" s="15" t="n"/>
      <c r="J158" s="15" t="n"/>
      <c r="L158" s="15">
        <f>IF(F158="","",IF(I158&lt;&gt;"",AVERAGE(F158,I158),F158))</f>
        <v/>
      </c>
      <c r="M158" s="15">
        <f>IF(G158="","",IF(J158&lt;&gt;"",AVERAGE(G158,J158),G158))</f>
        <v/>
      </c>
      <c r="N158" s="15">
        <f>IF(OR(L158="",M158=""),"",AVERAGE(L158,M158))</f>
        <v/>
      </c>
    </row>
    <row r="159"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15" t="n"/>
      <c r="G159" s="15" t="n"/>
      <c r="H159">
        <f>IFERROR(INDEX(מלאי!$N$2:$N$500,MATCH(A159,מלאי!$D$2:$D$500,0)),"")</f>
        <v/>
      </c>
      <c r="I159" s="15" t="n"/>
      <c r="J159" s="15" t="n"/>
      <c r="L159" s="15">
        <f>IF(F159="","",IF(I159&lt;&gt;"",AVERAGE(F159,I159),F159))</f>
        <v/>
      </c>
      <c r="M159" s="15">
        <f>IF(G159="","",IF(J159&lt;&gt;"",AVERAGE(G159,J159),G159))</f>
        <v/>
      </c>
      <c r="N159" s="15">
        <f>IF(OR(L159="",M159=""),"",AVERAGE(L159,M159))</f>
        <v/>
      </c>
    </row>
    <row r="160"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15" t="n"/>
      <c r="G160" s="15" t="n"/>
      <c r="H160">
        <f>IFERROR(INDEX(מלאי!$N$2:$N$500,MATCH(A160,מלאי!$D$2:$D$500,0)),"")</f>
        <v/>
      </c>
      <c r="I160" s="15" t="n"/>
      <c r="J160" s="15" t="n"/>
      <c r="L160" s="15">
        <f>IF(F160="","",IF(I160&lt;&gt;"",AVERAGE(F160,I160),F160))</f>
        <v/>
      </c>
      <c r="M160" s="15">
        <f>IF(G160="","",IF(J160&lt;&gt;"",AVERAGE(G160,J160),G160))</f>
        <v/>
      </c>
      <c r="N160" s="15">
        <f>IF(OR(L160="",M160=""),"",AVERAGE(L160,M160))</f>
        <v/>
      </c>
    </row>
    <row r="161"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15" t="n"/>
      <c r="G161" s="15" t="n"/>
      <c r="H161">
        <f>IFERROR(INDEX(מלאי!$N$2:$N$500,MATCH(A161,מלאי!$D$2:$D$500,0)),"")</f>
        <v/>
      </c>
      <c r="I161" s="15" t="n"/>
      <c r="J161" s="15" t="n"/>
      <c r="L161" s="15">
        <f>IF(F161="","",IF(I161&lt;&gt;"",AVERAGE(F161,I161),F161))</f>
        <v/>
      </c>
      <c r="M161" s="15">
        <f>IF(G161="","",IF(J161&lt;&gt;"",AVERAGE(G161,J161),G161))</f>
        <v/>
      </c>
      <c r="N161" s="15">
        <f>IF(OR(L161="",M161=""),"",AVERAGE(L161,M161))</f>
        <v/>
      </c>
    </row>
    <row r="162"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15" t="n"/>
      <c r="G162" s="15" t="n"/>
      <c r="H162">
        <f>IFERROR(INDEX(מלאי!$N$2:$N$500,MATCH(A162,מלאי!$D$2:$D$500,0)),"")</f>
        <v/>
      </c>
      <c r="I162" s="15" t="n"/>
      <c r="J162" s="15" t="n"/>
      <c r="L162" s="15">
        <f>IF(F162="","",IF(I162&lt;&gt;"",AVERAGE(F162,I162),F162))</f>
        <v/>
      </c>
      <c r="M162" s="15">
        <f>IF(G162="","",IF(J162&lt;&gt;"",AVERAGE(G162,J162),G162))</f>
        <v/>
      </c>
      <c r="N162" s="15">
        <f>IF(OR(L162="",M162=""),"",AVERAGE(L162,M162))</f>
        <v/>
      </c>
    </row>
    <row r="163"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15" t="n"/>
      <c r="G163" s="15" t="n"/>
      <c r="H163">
        <f>IFERROR(INDEX(מלאי!$N$2:$N$500,MATCH(A163,מלאי!$D$2:$D$500,0)),"")</f>
        <v/>
      </c>
      <c r="I163" s="15" t="n"/>
      <c r="J163" s="15" t="n"/>
      <c r="L163" s="15">
        <f>IF(F163="","",IF(I163&lt;&gt;"",AVERAGE(F163,I163),F163))</f>
        <v/>
      </c>
      <c r="M163" s="15">
        <f>IF(G163="","",IF(J163&lt;&gt;"",AVERAGE(G163,J163),G163))</f>
        <v/>
      </c>
      <c r="N163" s="15">
        <f>IF(OR(L163="",M163=""),"",AVERAGE(L163,M163))</f>
        <v/>
      </c>
    </row>
    <row r="164"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15" t="n"/>
      <c r="G164" s="15" t="n"/>
      <c r="H164">
        <f>IFERROR(INDEX(מלאי!$N$2:$N$500,MATCH(A164,מלאי!$D$2:$D$500,0)),"")</f>
        <v/>
      </c>
      <c r="I164" s="15" t="n"/>
      <c r="J164" s="15" t="n"/>
      <c r="L164" s="15">
        <f>IF(F164="","",IF(I164&lt;&gt;"",AVERAGE(F164,I164),F164))</f>
        <v/>
      </c>
      <c r="M164" s="15">
        <f>IF(G164="","",IF(J164&lt;&gt;"",AVERAGE(G164,J164),G164))</f>
        <v/>
      </c>
      <c r="N164" s="15">
        <f>IF(OR(L164="",M164=""),"",AVERAGE(L164,M164))</f>
        <v/>
      </c>
    </row>
    <row r="165"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15" t="n"/>
      <c r="G165" s="15" t="n"/>
      <c r="H165">
        <f>IFERROR(INDEX(מלאי!$N$2:$N$500,MATCH(A165,מלאי!$D$2:$D$500,0)),"")</f>
        <v/>
      </c>
      <c r="I165" s="15" t="n"/>
      <c r="J165" s="15" t="n"/>
      <c r="L165" s="15">
        <f>IF(F165="","",IF(I165&lt;&gt;"",AVERAGE(F165,I165),F165))</f>
        <v/>
      </c>
      <c r="M165" s="15">
        <f>IF(G165="","",IF(J165&lt;&gt;"",AVERAGE(G165,J165),G165))</f>
        <v/>
      </c>
      <c r="N165" s="15">
        <f>IF(OR(L165="",M165=""),"",AVERAGE(L165,M165))</f>
        <v/>
      </c>
    </row>
    <row r="166"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15" t="n"/>
      <c r="G166" s="15" t="n"/>
      <c r="H166">
        <f>IFERROR(INDEX(מלאי!$N$2:$N$500,MATCH(A166,מלאי!$D$2:$D$500,0)),"")</f>
        <v/>
      </c>
      <c r="I166" s="15" t="n"/>
      <c r="J166" s="15" t="n"/>
      <c r="L166" s="15">
        <f>IF(F166="","",IF(I166&lt;&gt;"",AVERAGE(F166,I166),F166))</f>
        <v/>
      </c>
      <c r="M166" s="15">
        <f>IF(G166="","",IF(J166&lt;&gt;"",AVERAGE(G166,J166),G166))</f>
        <v/>
      </c>
      <c r="N166" s="15">
        <f>IF(OR(L166="",M166=""),"",AVERAGE(L166,M166))</f>
        <v/>
      </c>
    </row>
    <row r="167"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15" t="n"/>
      <c r="G167" s="15" t="n"/>
      <c r="H167">
        <f>IFERROR(INDEX(מלאי!$N$2:$N$500,MATCH(A167,מלאי!$D$2:$D$500,0)),"")</f>
        <v/>
      </c>
      <c r="I167" s="15" t="n"/>
      <c r="J167" s="15" t="n"/>
      <c r="L167" s="15">
        <f>IF(F167="","",IF(I167&lt;&gt;"",AVERAGE(F167,I167),F167))</f>
        <v/>
      </c>
      <c r="M167" s="15">
        <f>IF(G167="","",IF(J167&lt;&gt;"",AVERAGE(G167,J167),G167))</f>
        <v/>
      </c>
      <c r="N167" s="15">
        <f>IF(OR(L167="",M167=""),"",AVERAGE(L167,M167))</f>
        <v/>
      </c>
    </row>
    <row r="168"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15" t="n"/>
      <c r="G168" s="15" t="n"/>
      <c r="H168">
        <f>IFERROR(INDEX(מלאי!$N$2:$N$500,MATCH(A168,מלאי!$D$2:$D$500,0)),"")</f>
        <v/>
      </c>
      <c r="I168" s="15" t="n"/>
      <c r="J168" s="15" t="n"/>
      <c r="L168" s="15">
        <f>IF(F168="","",IF(I168&lt;&gt;"",AVERAGE(F168,I168),F168))</f>
        <v/>
      </c>
      <c r="M168" s="15">
        <f>IF(G168="","",IF(J168&lt;&gt;"",AVERAGE(G168,J168),G168))</f>
        <v/>
      </c>
      <c r="N168" s="15">
        <f>IF(OR(L168="",M168=""),"",AVERAGE(L168,M168))</f>
        <v/>
      </c>
    </row>
    <row r="169"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15" t="n"/>
      <c r="G169" s="15" t="n"/>
      <c r="H169">
        <f>IFERROR(INDEX(מלאי!$N$2:$N$500,MATCH(A169,מלאי!$D$2:$D$500,0)),"")</f>
        <v/>
      </c>
      <c r="I169" s="15" t="n"/>
      <c r="J169" s="15" t="n"/>
      <c r="L169" s="15">
        <f>IF(F169="","",IF(I169&lt;&gt;"",AVERAGE(F169,I169),F169))</f>
        <v/>
      </c>
      <c r="M169" s="15">
        <f>IF(G169="","",IF(J169&lt;&gt;"",AVERAGE(G169,J169),G169))</f>
        <v/>
      </c>
      <c r="N169" s="15">
        <f>IF(OR(L169="",M169=""),"",AVERAGE(L169,M169))</f>
        <v/>
      </c>
    </row>
    <row r="170"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15" t="n"/>
      <c r="G170" s="15" t="n"/>
      <c r="H170">
        <f>IFERROR(INDEX(מלאי!$N$2:$N$500,MATCH(A170,מלאי!$D$2:$D$500,0)),"")</f>
        <v/>
      </c>
      <c r="I170" s="15" t="n"/>
      <c r="J170" s="15" t="n"/>
      <c r="L170" s="15">
        <f>IF(F170="","",IF(I170&lt;&gt;"",AVERAGE(F170,I170),F170))</f>
        <v/>
      </c>
      <c r="M170" s="15">
        <f>IF(G170="","",IF(J170&lt;&gt;"",AVERAGE(G170,J170),G170))</f>
        <v/>
      </c>
      <c r="N170" s="15">
        <f>IF(OR(L170="",M170=""),"",AVERAGE(L170,M170))</f>
        <v/>
      </c>
    </row>
    <row r="171"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15" t="n"/>
      <c r="G171" s="15" t="n"/>
      <c r="H171">
        <f>IFERROR(INDEX(מלאי!$N$2:$N$500,MATCH(A171,מלאי!$D$2:$D$500,0)),"")</f>
        <v/>
      </c>
      <c r="I171" s="15" t="n"/>
      <c r="J171" s="15" t="n"/>
      <c r="L171" s="15">
        <f>IF(F171="","",IF(I171&lt;&gt;"",AVERAGE(F171,I171),F171))</f>
        <v/>
      </c>
      <c r="M171" s="15">
        <f>IF(G171="","",IF(J171&lt;&gt;"",AVERAGE(G171,J171),G171))</f>
        <v/>
      </c>
      <c r="N171" s="15">
        <f>IF(OR(L171="",M171=""),"",AVERAGE(L171,M171))</f>
        <v/>
      </c>
    </row>
    <row r="172"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15" t="n"/>
      <c r="G172" s="15" t="n"/>
      <c r="H172">
        <f>IFERROR(INDEX(מלאי!$N$2:$N$500,MATCH(A172,מלאי!$D$2:$D$500,0)),"")</f>
        <v/>
      </c>
      <c r="I172" s="15" t="n"/>
      <c r="J172" s="15" t="n"/>
      <c r="L172" s="15">
        <f>IF(F172="","",IF(I172&lt;&gt;"",AVERAGE(F172,I172),F172))</f>
        <v/>
      </c>
      <c r="M172" s="15">
        <f>IF(G172="","",IF(J172&lt;&gt;"",AVERAGE(G172,J172),G172))</f>
        <v/>
      </c>
      <c r="N172" s="15">
        <f>IF(OR(L172="",M172=""),"",AVERAGE(L172,M172))</f>
        <v/>
      </c>
    </row>
    <row r="173"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15" t="n"/>
      <c r="G173" s="15" t="n"/>
      <c r="H173">
        <f>IFERROR(INDEX(מלאי!$N$2:$N$500,MATCH(A173,מלאי!$D$2:$D$500,0)),"")</f>
        <v/>
      </c>
      <c r="I173" s="15" t="n"/>
      <c r="J173" s="15" t="n"/>
      <c r="L173" s="15">
        <f>IF(F173="","",IF(I173&lt;&gt;"",AVERAGE(F173,I173),F173))</f>
        <v/>
      </c>
      <c r="M173" s="15">
        <f>IF(G173="","",IF(J173&lt;&gt;"",AVERAGE(G173,J173),G173))</f>
        <v/>
      </c>
      <c r="N173" s="15">
        <f>IF(OR(L173="",M173=""),"",AVERAGE(L173,M173))</f>
        <v/>
      </c>
    </row>
    <row r="174"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15" t="n"/>
      <c r="G174" s="15" t="n"/>
      <c r="H174">
        <f>IFERROR(INDEX(מלאי!$N$2:$N$500,MATCH(A174,מלאי!$D$2:$D$500,0)),"")</f>
        <v/>
      </c>
      <c r="I174" s="15" t="n"/>
      <c r="J174" s="15" t="n"/>
      <c r="L174" s="15">
        <f>IF(F174="","",IF(I174&lt;&gt;"",AVERAGE(F174,I174),F174))</f>
        <v/>
      </c>
      <c r="M174" s="15">
        <f>IF(G174="","",IF(J174&lt;&gt;"",AVERAGE(G174,J174),G174))</f>
        <v/>
      </c>
      <c r="N174" s="15">
        <f>IF(OR(L174="",M174=""),"",AVERAGE(L174,M174))</f>
        <v/>
      </c>
    </row>
    <row r="175"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15" t="n"/>
      <c r="G175" s="15" t="n"/>
      <c r="H175">
        <f>IFERROR(INDEX(מלאי!$N$2:$N$500,MATCH(A175,מלאי!$D$2:$D$500,0)),"")</f>
        <v/>
      </c>
      <c r="I175" s="15" t="n"/>
      <c r="J175" s="15" t="n"/>
      <c r="L175" s="15">
        <f>IF(F175="","",IF(I175&lt;&gt;"",AVERAGE(F175,I175),F175))</f>
        <v/>
      </c>
      <c r="M175" s="15">
        <f>IF(G175="","",IF(J175&lt;&gt;"",AVERAGE(G175,J175),G175))</f>
        <v/>
      </c>
      <c r="N175" s="15">
        <f>IF(OR(L175="",M175=""),"",AVERAGE(L175,M175))</f>
        <v/>
      </c>
    </row>
    <row r="176"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15" t="n"/>
      <c r="G176" s="15" t="n"/>
      <c r="H176">
        <f>IFERROR(INDEX(מלאי!$N$2:$N$500,MATCH(A176,מלאי!$D$2:$D$500,0)),"")</f>
        <v/>
      </c>
      <c r="I176" s="15" t="n"/>
      <c r="J176" s="15" t="n"/>
      <c r="L176" s="15">
        <f>IF(F176="","",IF(I176&lt;&gt;"",AVERAGE(F176,I176),F176))</f>
        <v/>
      </c>
      <c r="M176" s="15">
        <f>IF(G176="","",IF(J176&lt;&gt;"",AVERAGE(G176,J176),G176))</f>
        <v/>
      </c>
      <c r="N176" s="15">
        <f>IF(OR(L176="",M176=""),"",AVERAGE(L176,M176))</f>
        <v/>
      </c>
    </row>
    <row r="177"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15" t="n"/>
      <c r="G177" s="15" t="n"/>
      <c r="H177">
        <f>IFERROR(INDEX(מלאי!$N$2:$N$500,MATCH(A177,מלאי!$D$2:$D$500,0)),"")</f>
        <v/>
      </c>
      <c r="I177" s="15" t="n"/>
      <c r="J177" s="15" t="n"/>
      <c r="L177" s="15">
        <f>IF(F177="","",IF(I177&lt;&gt;"",AVERAGE(F177,I177),F177))</f>
        <v/>
      </c>
      <c r="M177" s="15">
        <f>IF(G177="","",IF(J177&lt;&gt;"",AVERAGE(G177,J177),G177))</f>
        <v/>
      </c>
      <c r="N177" s="15">
        <f>IF(OR(L177="",M177=""),"",AVERAGE(L177,M177))</f>
        <v/>
      </c>
    </row>
    <row r="178"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15" t="n"/>
      <c r="G178" s="15" t="n"/>
      <c r="H178">
        <f>IFERROR(INDEX(מלאי!$N$2:$N$500,MATCH(A178,מלאי!$D$2:$D$500,0)),"")</f>
        <v/>
      </c>
      <c r="I178" s="15" t="n"/>
      <c r="J178" s="15" t="n"/>
      <c r="L178" s="15">
        <f>IF(F178="","",IF(I178&lt;&gt;"",AVERAGE(F178,I178),F178))</f>
        <v/>
      </c>
      <c r="M178" s="15">
        <f>IF(G178="","",IF(J178&lt;&gt;"",AVERAGE(G178,J178),G178))</f>
        <v/>
      </c>
      <c r="N178" s="15">
        <f>IF(OR(L178="",M178=""),"",AVERAGE(L178,M178))</f>
        <v/>
      </c>
    </row>
    <row r="179"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15" t="n"/>
      <c r="G179" s="15" t="n"/>
      <c r="H179">
        <f>IFERROR(INDEX(מלאי!$N$2:$N$500,MATCH(A179,מלאי!$D$2:$D$500,0)),"")</f>
        <v/>
      </c>
      <c r="I179" s="15" t="n"/>
      <c r="J179" s="15" t="n"/>
      <c r="L179" s="15">
        <f>IF(F179="","",IF(I179&lt;&gt;"",AVERAGE(F179,I179),F179))</f>
        <v/>
      </c>
      <c r="M179" s="15">
        <f>IF(G179="","",IF(J179&lt;&gt;"",AVERAGE(G179,J179),G179))</f>
        <v/>
      </c>
      <c r="N179" s="15">
        <f>IF(OR(L179="",M179=""),"",AVERAGE(L179,M179))</f>
        <v/>
      </c>
    </row>
    <row r="180"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15" t="n"/>
      <c r="G180" s="15" t="n"/>
      <c r="H180">
        <f>IFERROR(INDEX(מלאי!$N$2:$N$500,MATCH(A180,מלאי!$D$2:$D$500,0)),"")</f>
        <v/>
      </c>
      <c r="I180" s="15" t="n"/>
      <c r="J180" s="15" t="n"/>
      <c r="L180" s="15">
        <f>IF(F180="","",IF(I180&lt;&gt;"",AVERAGE(F180,I180),F180))</f>
        <v/>
      </c>
      <c r="M180" s="15">
        <f>IF(G180="","",IF(J180&lt;&gt;"",AVERAGE(G180,J180),G180))</f>
        <v/>
      </c>
      <c r="N180" s="15">
        <f>IF(OR(L180="",M180=""),"",AVERAGE(L180,M180))</f>
        <v/>
      </c>
    </row>
    <row r="181"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15" t="n"/>
      <c r="G181" s="15" t="n"/>
      <c r="H181">
        <f>IFERROR(INDEX(מלאי!$N$2:$N$500,MATCH(A181,מלאי!$D$2:$D$500,0)),"")</f>
        <v/>
      </c>
      <c r="I181" s="15" t="n"/>
      <c r="J181" s="15" t="n"/>
      <c r="L181" s="15">
        <f>IF(F181="","",IF(I181&lt;&gt;"",AVERAGE(F181,I181),F181))</f>
        <v/>
      </c>
      <c r="M181" s="15">
        <f>IF(G181="","",IF(J181&lt;&gt;"",AVERAGE(G181,J181),G181))</f>
        <v/>
      </c>
      <c r="N181" s="15">
        <f>IF(OR(L181="",M181=""),"",AVERAGE(L181,M181))</f>
        <v/>
      </c>
    </row>
    <row r="182"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15" t="n"/>
      <c r="G182" s="15" t="n"/>
      <c r="H182">
        <f>IFERROR(INDEX(מלאי!$N$2:$N$500,MATCH(A182,מלאי!$D$2:$D$500,0)),"")</f>
        <v/>
      </c>
      <c r="I182" s="15" t="n"/>
      <c r="J182" s="15" t="n"/>
      <c r="L182" s="15">
        <f>IF(F182="","",IF(I182&lt;&gt;"",AVERAGE(F182,I182),F182))</f>
        <v/>
      </c>
      <c r="M182" s="15">
        <f>IF(G182="","",IF(J182&lt;&gt;"",AVERAGE(G182,J182),G182))</f>
        <v/>
      </c>
      <c r="N182" s="15">
        <f>IF(OR(L182="",M182=""),"",AVERAGE(L182,M182))</f>
        <v/>
      </c>
    </row>
    <row r="183"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15" t="n"/>
      <c r="G183" s="15" t="n"/>
      <c r="H183">
        <f>IFERROR(INDEX(מלאי!$N$2:$N$500,MATCH(A183,מלאי!$D$2:$D$500,0)),"")</f>
        <v/>
      </c>
      <c r="I183" s="15" t="n"/>
      <c r="J183" s="15" t="n"/>
      <c r="L183" s="15">
        <f>IF(F183="","",IF(I183&lt;&gt;"",AVERAGE(F183,I183),F183))</f>
        <v/>
      </c>
      <c r="M183" s="15">
        <f>IF(G183="","",IF(J183&lt;&gt;"",AVERAGE(G183,J183),G183))</f>
        <v/>
      </c>
      <c r="N183" s="15">
        <f>IF(OR(L183="",M183=""),"",AVERAGE(L183,M183))</f>
        <v/>
      </c>
    </row>
    <row r="184"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15" t="n"/>
      <c r="G184" s="15" t="n"/>
      <c r="H184">
        <f>IFERROR(INDEX(מלאי!$N$2:$N$500,MATCH(A184,מלאי!$D$2:$D$500,0)),"")</f>
        <v/>
      </c>
      <c r="I184" s="15" t="n"/>
      <c r="J184" s="15" t="n"/>
      <c r="L184" s="15">
        <f>IF(F184="","",IF(I184&lt;&gt;"",AVERAGE(F184,I184),F184))</f>
        <v/>
      </c>
      <c r="M184" s="15">
        <f>IF(G184="","",IF(J184&lt;&gt;"",AVERAGE(G184,J184),G184))</f>
        <v/>
      </c>
      <c r="N184" s="15">
        <f>IF(OR(L184="",M184=""),"",AVERAGE(L184,M184))</f>
        <v/>
      </c>
    </row>
    <row r="185"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15" t="n"/>
      <c r="G185" s="15" t="n"/>
      <c r="H185">
        <f>IFERROR(INDEX(מלאי!$N$2:$N$500,MATCH(A185,מלאי!$D$2:$D$500,0)),"")</f>
        <v/>
      </c>
      <c r="I185" s="15" t="n"/>
      <c r="J185" s="15" t="n"/>
      <c r="L185" s="15">
        <f>IF(F185="","",IF(I185&lt;&gt;"",AVERAGE(F185,I185),F185))</f>
        <v/>
      </c>
      <c r="M185" s="15">
        <f>IF(G185="","",IF(J185&lt;&gt;"",AVERAGE(G185,J185),G185))</f>
        <v/>
      </c>
      <c r="N185" s="15">
        <f>IF(OR(L185="",M185=""),"",AVERAGE(L185,M185))</f>
        <v/>
      </c>
    </row>
    <row r="186"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15" t="n"/>
      <c r="G186" s="15" t="n"/>
      <c r="H186">
        <f>IFERROR(INDEX(מלאי!$N$2:$N$500,MATCH(A186,מלאי!$D$2:$D$500,0)),"")</f>
        <v/>
      </c>
      <c r="I186" s="15" t="n"/>
      <c r="J186" s="15" t="n"/>
      <c r="L186" s="15">
        <f>IF(F186="","",IF(I186&lt;&gt;"",AVERAGE(F186,I186),F186))</f>
        <v/>
      </c>
      <c r="M186" s="15">
        <f>IF(G186="","",IF(J186&lt;&gt;"",AVERAGE(G186,J186),G186))</f>
        <v/>
      </c>
      <c r="N186" s="15">
        <f>IF(OR(L186="",M186=""),"",AVERAGE(L186,M186))</f>
        <v/>
      </c>
    </row>
    <row r="187"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15" t="n"/>
      <c r="G187" s="15" t="n"/>
      <c r="H187">
        <f>IFERROR(INDEX(מלאי!$N$2:$N$500,MATCH(A187,מלאי!$D$2:$D$500,0)),"")</f>
        <v/>
      </c>
      <c r="I187" s="15" t="n"/>
      <c r="J187" s="15" t="n"/>
      <c r="L187" s="15">
        <f>IF(F187="","",IF(I187&lt;&gt;"",AVERAGE(F187,I187),F187))</f>
        <v/>
      </c>
      <c r="M187" s="15">
        <f>IF(G187="","",IF(J187&lt;&gt;"",AVERAGE(G187,J187),G187))</f>
        <v/>
      </c>
      <c r="N187" s="15">
        <f>IF(OR(L187="",M187=""),"",AVERAGE(L187,M187))</f>
        <v/>
      </c>
    </row>
    <row r="188"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15" t="n"/>
      <c r="G188" s="15" t="n"/>
      <c r="H188">
        <f>IFERROR(INDEX(מלאי!$N$2:$N$500,MATCH(A188,מלאי!$D$2:$D$500,0)),"")</f>
        <v/>
      </c>
      <c r="I188" s="15" t="n"/>
      <c r="J188" s="15" t="n"/>
      <c r="L188" s="15">
        <f>IF(F188="","",IF(I188&lt;&gt;"",AVERAGE(F188,I188),F188))</f>
        <v/>
      </c>
      <c r="M188" s="15">
        <f>IF(G188="","",IF(J188&lt;&gt;"",AVERAGE(G188,J188),G188))</f>
        <v/>
      </c>
      <c r="N188" s="15">
        <f>IF(OR(L188="",M188=""),"",AVERAGE(L188,M188))</f>
        <v/>
      </c>
    </row>
    <row r="189"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15" t="n"/>
      <c r="G189" s="15" t="n"/>
      <c r="H189">
        <f>IFERROR(INDEX(מלאי!$N$2:$N$500,MATCH(A189,מלאי!$D$2:$D$500,0)),"")</f>
        <v/>
      </c>
      <c r="I189" s="15" t="n"/>
      <c r="J189" s="15" t="n"/>
      <c r="L189" s="15">
        <f>IF(F189="","",IF(I189&lt;&gt;"",AVERAGE(F189,I189),F189))</f>
        <v/>
      </c>
      <c r="M189" s="15">
        <f>IF(G189="","",IF(J189&lt;&gt;"",AVERAGE(G189,J189),G189))</f>
        <v/>
      </c>
      <c r="N189" s="15">
        <f>IF(OR(L189="",M189=""),"",AVERAGE(L189,M189))</f>
        <v/>
      </c>
    </row>
    <row r="190"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15" t="n"/>
      <c r="G190" s="15" t="n"/>
      <c r="H190">
        <f>IFERROR(INDEX(מלאי!$N$2:$N$500,MATCH(A190,מלאי!$D$2:$D$500,0)),"")</f>
        <v/>
      </c>
      <c r="I190" s="15" t="n"/>
      <c r="J190" s="15" t="n"/>
      <c r="L190" s="15">
        <f>IF(F190="","",IF(I190&lt;&gt;"",AVERAGE(F190,I190),F190))</f>
        <v/>
      </c>
      <c r="M190" s="15">
        <f>IF(G190="","",IF(J190&lt;&gt;"",AVERAGE(G190,J190),G190))</f>
        <v/>
      </c>
      <c r="N190" s="15">
        <f>IF(OR(L190="",M190=""),"",AVERAGE(L190,M190))</f>
        <v/>
      </c>
    </row>
    <row r="191"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15" t="n"/>
      <c r="G191" s="15" t="n"/>
      <c r="H191">
        <f>IFERROR(INDEX(מלאי!$N$2:$N$500,MATCH(A191,מלאי!$D$2:$D$500,0)),"")</f>
        <v/>
      </c>
      <c r="I191" s="15" t="n"/>
      <c r="J191" s="15" t="n"/>
      <c r="L191" s="15">
        <f>IF(F191="","",IF(I191&lt;&gt;"",AVERAGE(F191,I191),F191))</f>
        <v/>
      </c>
      <c r="M191" s="15">
        <f>IF(G191="","",IF(J191&lt;&gt;"",AVERAGE(G191,J191),G191))</f>
        <v/>
      </c>
      <c r="N191" s="15">
        <f>IF(OR(L191="",M191=""),"",AVERAGE(L191,M191))</f>
        <v/>
      </c>
    </row>
    <row r="192"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15" t="n"/>
      <c r="G192" s="15" t="n"/>
      <c r="H192">
        <f>IFERROR(INDEX(מלאי!$N$2:$N$500,MATCH(A192,מלאי!$D$2:$D$500,0)),"")</f>
        <v/>
      </c>
      <c r="I192" s="15" t="n"/>
      <c r="J192" s="15" t="n"/>
      <c r="L192" s="15">
        <f>IF(F192="","",IF(I192&lt;&gt;"",AVERAGE(F192,I192),F192))</f>
        <v/>
      </c>
      <c r="M192" s="15">
        <f>IF(G192="","",IF(J192&lt;&gt;"",AVERAGE(G192,J192),G192))</f>
        <v/>
      </c>
      <c r="N192" s="15">
        <f>IF(OR(L192="",M192=""),"",AVERAGE(L192,M192))</f>
        <v/>
      </c>
    </row>
    <row r="193"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15" t="n"/>
      <c r="G193" s="15" t="n"/>
      <c r="H193">
        <f>IFERROR(INDEX(מלאי!$N$2:$N$500,MATCH(A193,מלאי!$D$2:$D$500,0)),"")</f>
        <v/>
      </c>
      <c r="I193" s="15" t="n"/>
      <c r="J193" s="15" t="n"/>
      <c r="L193" s="15">
        <f>IF(F193="","",IF(I193&lt;&gt;"",AVERAGE(F193,I193),F193))</f>
        <v/>
      </c>
      <c r="M193" s="15">
        <f>IF(G193="","",IF(J193&lt;&gt;"",AVERAGE(G193,J193),G193))</f>
        <v/>
      </c>
      <c r="N193" s="15">
        <f>IF(OR(L193="",M193=""),"",AVERAGE(L193,M193))</f>
        <v/>
      </c>
    </row>
    <row r="194"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15" t="n"/>
      <c r="G194" s="15" t="n"/>
      <c r="H194">
        <f>IFERROR(INDEX(מלאי!$N$2:$N$500,MATCH(A194,מלאי!$D$2:$D$500,0)),"")</f>
        <v/>
      </c>
      <c r="I194" s="15" t="n"/>
      <c r="J194" s="15" t="n"/>
      <c r="L194" s="15">
        <f>IF(F194="","",IF(I194&lt;&gt;"",AVERAGE(F194,I194),F194))</f>
        <v/>
      </c>
      <c r="M194" s="15">
        <f>IF(G194="","",IF(J194&lt;&gt;"",AVERAGE(G194,J194),G194))</f>
        <v/>
      </c>
      <c r="N194" s="15">
        <f>IF(OR(L194="",M194=""),"",AVERAGE(L194,M194))</f>
        <v/>
      </c>
    </row>
    <row r="195"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15" t="n"/>
      <c r="G195" s="15" t="n"/>
      <c r="H195">
        <f>IFERROR(INDEX(מלאי!$N$2:$N$500,MATCH(A195,מלאי!$D$2:$D$500,0)),"")</f>
        <v/>
      </c>
      <c r="I195" s="15" t="n"/>
      <c r="J195" s="15" t="n"/>
      <c r="L195" s="15">
        <f>IF(F195="","",IF(I195&lt;&gt;"",AVERAGE(F195,I195),F195))</f>
        <v/>
      </c>
      <c r="M195" s="15">
        <f>IF(G195="","",IF(J195&lt;&gt;"",AVERAGE(G195,J195),G195))</f>
        <v/>
      </c>
      <c r="N195" s="15">
        <f>IF(OR(L195="",M195=""),"",AVERAGE(L195,M195))</f>
        <v/>
      </c>
    </row>
    <row r="196"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15" t="n"/>
      <c r="G196" s="15" t="n"/>
      <c r="H196">
        <f>IFERROR(INDEX(מלאי!$N$2:$N$500,MATCH(A196,מלאי!$D$2:$D$500,0)),"")</f>
        <v/>
      </c>
      <c r="I196" s="15" t="n"/>
      <c r="J196" s="15" t="n"/>
      <c r="L196" s="15">
        <f>IF(F196="","",IF(I196&lt;&gt;"",AVERAGE(F196,I196),F196))</f>
        <v/>
      </c>
      <c r="M196" s="15">
        <f>IF(G196="","",IF(J196&lt;&gt;"",AVERAGE(G196,J196),G196))</f>
        <v/>
      </c>
      <c r="N196" s="15">
        <f>IF(OR(L196="",M196=""),"",AVERAGE(L196,M196))</f>
        <v/>
      </c>
    </row>
    <row r="197"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15" t="n"/>
      <c r="G197" s="15" t="n"/>
      <c r="H197">
        <f>IFERROR(INDEX(מלאי!$N$2:$N$500,MATCH(A197,מלאי!$D$2:$D$500,0)),"")</f>
        <v/>
      </c>
      <c r="I197" s="15" t="n"/>
      <c r="J197" s="15" t="n"/>
      <c r="L197" s="15">
        <f>IF(F197="","",IF(I197&lt;&gt;"",AVERAGE(F197,I197),F197))</f>
        <v/>
      </c>
      <c r="M197" s="15">
        <f>IF(G197="","",IF(J197&lt;&gt;"",AVERAGE(G197,J197),G197))</f>
        <v/>
      </c>
      <c r="N197" s="15">
        <f>IF(OR(L197="",M197=""),"",AVERAGE(L197,M197))</f>
        <v/>
      </c>
    </row>
    <row r="198"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15" t="n"/>
      <c r="G198" s="15" t="n"/>
      <c r="H198">
        <f>IFERROR(INDEX(מלאי!$N$2:$N$500,MATCH(A198,מלאי!$D$2:$D$500,0)),"")</f>
        <v/>
      </c>
      <c r="I198" s="15" t="n"/>
      <c r="J198" s="15" t="n"/>
      <c r="L198" s="15">
        <f>IF(F198="","",IF(I198&lt;&gt;"",AVERAGE(F198,I198),F198))</f>
        <v/>
      </c>
      <c r="M198" s="15">
        <f>IF(G198="","",IF(J198&lt;&gt;"",AVERAGE(G198,J198),G198))</f>
        <v/>
      </c>
      <c r="N198" s="15">
        <f>IF(OR(L198="",M198=""),"",AVERAGE(L198,M198))</f>
        <v/>
      </c>
    </row>
    <row r="199"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15" t="n"/>
      <c r="G199" s="15" t="n"/>
      <c r="H199">
        <f>IFERROR(INDEX(מלאי!$N$2:$N$500,MATCH(A199,מלאי!$D$2:$D$500,0)),"")</f>
        <v/>
      </c>
      <c r="I199" s="15" t="n"/>
      <c r="J199" s="15" t="n"/>
      <c r="L199" s="15">
        <f>IF(F199="","",IF(I199&lt;&gt;"",AVERAGE(F199,I199),F199))</f>
        <v/>
      </c>
      <c r="M199" s="15">
        <f>IF(G199="","",IF(J199&lt;&gt;"",AVERAGE(G199,J199),G199))</f>
        <v/>
      </c>
      <c r="N199" s="15">
        <f>IF(OR(L199="",M199=""),"",AVERAGE(L199,M199))</f>
        <v/>
      </c>
    </row>
    <row r="200"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15" t="n"/>
      <c r="G200" s="15" t="n"/>
      <c r="H200">
        <f>IFERROR(INDEX(מלאי!$N$2:$N$500,MATCH(A200,מלאי!$D$2:$D$500,0)),"")</f>
        <v/>
      </c>
      <c r="I200" s="15" t="n"/>
      <c r="J200" s="15" t="n"/>
      <c r="L200" s="15">
        <f>IF(F200="","",IF(I200&lt;&gt;"",AVERAGE(F200,I200),F200))</f>
        <v/>
      </c>
      <c r="M200" s="15">
        <f>IF(G200="","",IF(J200&lt;&gt;"",AVERAGE(G200,J200),G200))</f>
        <v/>
      </c>
      <c r="N200" s="15">
        <f>IF(OR(L200="",M200=""),"",AVERAGE(L200,M200))</f>
        <v/>
      </c>
    </row>
    <row r="201"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15" t="n"/>
      <c r="G201" s="15" t="n"/>
      <c r="H201">
        <f>IFERROR(INDEX(מלאי!$N$2:$N$500,MATCH(A201,מלאי!$D$2:$D$500,0)),"")</f>
        <v/>
      </c>
      <c r="I201" s="15" t="n"/>
      <c r="J201" s="15" t="n"/>
      <c r="L201" s="15">
        <f>IF(F201="","",IF(I201&lt;&gt;"",AVERAGE(F201,I201),F201))</f>
        <v/>
      </c>
      <c r="M201" s="15">
        <f>IF(G201="","",IF(J201&lt;&gt;"",AVERAGE(G201,J201),G201))</f>
        <v/>
      </c>
      <c r="N201" s="15">
        <f>IF(OR(L201="",M201=""),"",AVERAGE(L201,M201))</f>
        <v/>
      </c>
    </row>
    <row r="202"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15" t="n"/>
      <c r="G202" s="15" t="n"/>
      <c r="H202">
        <f>IFERROR(INDEX(מלאי!$N$2:$N$500,MATCH(A202,מלאי!$D$2:$D$500,0)),"")</f>
        <v/>
      </c>
      <c r="I202" s="15" t="n"/>
      <c r="J202" s="15" t="n"/>
      <c r="L202" s="15">
        <f>IF(F202="","",IF(I202&lt;&gt;"",AVERAGE(F202,I202),F202))</f>
        <v/>
      </c>
      <c r="M202" s="15">
        <f>IF(G202="","",IF(J202&lt;&gt;"",AVERAGE(G202,J202),G202))</f>
        <v/>
      </c>
      <c r="N202" s="15">
        <f>IF(OR(L202="",M202=""),"",AVERAGE(L202,M202))</f>
        <v/>
      </c>
    </row>
    <row r="203"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15" t="n"/>
      <c r="G203" s="15" t="n"/>
      <c r="H203">
        <f>IFERROR(INDEX(מלאי!$N$2:$N$500,MATCH(A203,מלאי!$D$2:$D$500,0)),"")</f>
        <v/>
      </c>
      <c r="I203" s="15" t="n"/>
      <c r="J203" s="15" t="n"/>
      <c r="L203" s="15">
        <f>IF(F203="","",IF(I203&lt;&gt;"",AVERAGE(F203,I203),F203))</f>
        <v/>
      </c>
      <c r="M203" s="15">
        <f>IF(G203="","",IF(J203&lt;&gt;"",AVERAGE(G203,J203),G203))</f>
        <v/>
      </c>
      <c r="N203" s="15">
        <f>IF(OR(L203="",M203=""),"",AVERAGE(L203,M203))</f>
        <v/>
      </c>
    </row>
    <row r="204"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15" t="n"/>
      <c r="G204" s="15" t="n"/>
      <c r="H204">
        <f>IFERROR(INDEX(מלאי!$N$2:$N$500,MATCH(A204,מלאי!$D$2:$D$500,0)),"")</f>
        <v/>
      </c>
      <c r="I204" s="15" t="n"/>
      <c r="J204" s="15" t="n"/>
      <c r="L204" s="15">
        <f>IF(F204="","",IF(I204&lt;&gt;"",AVERAGE(F204,I204),F204))</f>
        <v/>
      </c>
      <c r="M204" s="15">
        <f>IF(G204="","",IF(J204&lt;&gt;"",AVERAGE(G204,J204),G204))</f>
        <v/>
      </c>
      <c r="N204" s="15">
        <f>IF(OR(L204="",M204=""),"",AVERAGE(L204,M204))</f>
        <v/>
      </c>
    </row>
    <row r="205"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15" t="n"/>
      <c r="G205" s="15" t="n"/>
      <c r="H205">
        <f>IFERROR(INDEX(מלאי!$N$2:$N$500,MATCH(A205,מלאי!$D$2:$D$500,0)),"")</f>
        <v/>
      </c>
      <c r="I205" s="15" t="n"/>
      <c r="J205" s="15" t="n"/>
      <c r="L205" s="15">
        <f>IF(F205="","",IF(I205&lt;&gt;"",AVERAGE(F205,I205),F205))</f>
        <v/>
      </c>
      <c r="M205" s="15">
        <f>IF(G205="","",IF(J205&lt;&gt;"",AVERAGE(G205,J205),G205))</f>
        <v/>
      </c>
      <c r="N205" s="15">
        <f>IF(OR(L205="",M205=""),"",AVERAGE(L205,M205))</f>
        <v/>
      </c>
    </row>
    <row r="206"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15" t="n"/>
      <c r="G206" s="15" t="n"/>
      <c r="H206">
        <f>IFERROR(INDEX(מלאי!$N$2:$N$500,MATCH(A206,מלאי!$D$2:$D$500,0)),"")</f>
        <v/>
      </c>
      <c r="I206" s="15" t="n"/>
      <c r="J206" s="15" t="n"/>
      <c r="L206" s="15">
        <f>IF(F206="","",IF(I206&lt;&gt;"",AVERAGE(F206,I206),F206))</f>
        <v/>
      </c>
      <c r="M206" s="15">
        <f>IF(G206="","",IF(J206&lt;&gt;"",AVERAGE(G206,J206),G206))</f>
        <v/>
      </c>
      <c r="N206" s="15">
        <f>IF(OR(L206="",M206=""),"",AVERAGE(L206,M206))</f>
        <v/>
      </c>
    </row>
    <row r="207"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15" t="n"/>
      <c r="G207" s="15" t="n"/>
      <c r="H207">
        <f>IFERROR(INDEX(מלאי!$N$2:$N$500,MATCH(A207,מלאי!$D$2:$D$500,0)),"")</f>
        <v/>
      </c>
      <c r="I207" s="15" t="n"/>
      <c r="J207" s="15" t="n"/>
      <c r="L207" s="15">
        <f>IF(F207="","",IF(I207&lt;&gt;"",AVERAGE(F207,I207),F207))</f>
        <v/>
      </c>
      <c r="M207" s="15">
        <f>IF(G207="","",IF(J207&lt;&gt;"",AVERAGE(G207,J207),G207))</f>
        <v/>
      </c>
      <c r="N207" s="15">
        <f>IF(OR(L207="",M207=""),"",AVERAGE(L207,M207))</f>
        <v/>
      </c>
    </row>
    <row r="208"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15" t="n"/>
      <c r="G208" s="15" t="n"/>
      <c r="H208">
        <f>IFERROR(INDEX(מלאי!$N$2:$N$500,MATCH(A208,מלאי!$D$2:$D$500,0)),"")</f>
        <v/>
      </c>
      <c r="I208" s="15" t="n"/>
      <c r="J208" s="15" t="n"/>
      <c r="L208" s="15">
        <f>IF(F208="","",IF(I208&lt;&gt;"",AVERAGE(F208,I208),F208))</f>
        <v/>
      </c>
      <c r="M208" s="15">
        <f>IF(G208="","",IF(J208&lt;&gt;"",AVERAGE(G208,J208),G208))</f>
        <v/>
      </c>
      <c r="N208" s="15">
        <f>IF(OR(L208="",M208=""),"",AVERAGE(L208,M208))</f>
        <v/>
      </c>
    </row>
    <row r="209"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15" t="n"/>
      <c r="G209" s="15" t="n"/>
      <c r="H209">
        <f>IFERROR(INDEX(מלאי!$N$2:$N$500,MATCH(A209,מלאי!$D$2:$D$500,0)),"")</f>
        <v/>
      </c>
      <c r="I209" s="15" t="n"/>
      <c r="J209" s="15" t="n"/>
      <c r="L209" s="15">
        <f>IF(F209="","",IF(I209&lt;&gt;"",AVERAGE(F209,I209),F209))</f>
        <v/>
      </c>
      <c r="M209" s="15">
        <f>IF(G209="","",IF(J209&lt;&gt;"",AVERAGE(G209,J209),G209))</f>
        <v/>
      </c>
      <c r="N209" s="15">
        <f>IF(OR(L209="",M209=""),"",AVERAGE(L209,M209))</f>
        <v/>
      </c>
    </row>
    <row r="210"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15" t="n"/>
      <c r="G210" s="15" t="n"/>
      <c r="H210">
        <f>IFERROR(INDEX(מלאי!$N$2:$N$500,MATCH(A210,מלאי!$D$2:$D$500,0)),"")</f>
        <v/>
      </c>
      <c r="I210" s="15" t="n"/>
      <c r="J210" s="15" t="n"/>
      <c r="L210" s="15">
        <f>IF(F210="","",IF(I210&lt;&gt;"",AVERAGE(F210,I210),F210))</f>
        <v/>
      </c>
      <c r="M210" s="15">
        <f>IF(G210="","",IF(J210&lt;&gt;"",AVERAGE(G210,J210),G210))</f>
        <v/>
      </c>
      <c r="N210" s="15">
        <f>IF(OR(L210="",M210=""),"",AVERAGE(L210,M210))</f>
        <v/>
      </c>
    </row>
    <row r="211"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15" t="n"/>
      <c r="G211" s="15" t="n"/>
      <c r="H211">
        <f>IFERROR(INDEX(מלאי!$N$2:$N$500,MATCH(A211,מלאי!$D$2:$D$500,0)),"")</f>
        <v/>
      </c>
      <c r="I211" s="15" t="n"/>
      <c r="J211" s="15" t="n"/>
      <c r="L211" s="15">
        <f>IF(F211="","",IF(I211&lt;&gt;"",AVERAGE(F211,I211),F211))</f>
        <v/>
      </c>
      <c r="M211" s="15">
        <f>IF(G211="","",IF(J211&lt;&gt;"",AVERAGE(G211,J211),G211))</f>
        <v/>
      </c>
      <c r="N211" s="15">
        <f>IF(OR(L211="",M211=""),"",AVERAGE(L211,M211))</f>
        <v/>
      </c>
    </row>
    <row r="212"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15" t="n"/>
      <c r="G212" s="15" t="n"/>
      <c r="H212">
        <f>IFERROR(INDEX(מלאי!$N$2:$N$500,MATCH(A212,מלאי!$D$2:$D$500,0)),"")</f>
        <v/>
      </c>
      <c r="I212" s="15" t="n"/>
      <c r="J212" s="15" t="n"/>
      <c r="L212" s="15">
        <f>IF(F212="","",IF(I212&lt;&gt;"",AVERAGE(F212,I212),F212))</f>
        <v/>
      </c>
      <c r="M212" s="15">
        <f>IF(G212="","",IF(J212&lt;&gt;"",AVERAGE(G212,J212),G212))</f>
        <v/>
      </c>
      <c r="N212" s="15">
        <f>IF(OR(L212="",M212=""),"",AVERAGE(L212,M212))</f>
        <v/>
      </c>
    </row>
    <row r="213"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15" t="n"/>
      <c r="G213" s="15" t="n"/>
      <c r="H213">
        <f>IFERROR(INDEX(מלאי!$N$2:$N$500,MATCH(A213,מלאי!$D$2:$D$500,0)),"")</f>
        <v/>
      </c>
      <c r="I213" s="15" t="n"/>
      <c r="J213" s="15" t="n"/>
      <c r="L213" s="15">
        <f>IF(F213="","",IF(I213&lt;&gt;"",AVERAGE(F213,I213),F213))</f>
        <v/>
      </c>
      <c r="M213" s="15">
        <f>IF(G213="","",IF(J213&lt;&gt;"",AVERAGE(G213,J213),G213))</f>
        <v/>
      </c>
      <c r="N213" s="15">
        <f>IF(OR(L213="",M213=""),"",AVERAGE(L213,M213))</f>
        <v/>
      </c>
    </row>
    <row r="214"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15" t="n"/>
      <c r="G214" s="15" t="n"/>
      <c r="H214">
        <f>IFERROR(INDEX(מלאי!$N$2:$N$500,MATCH(A214,מלאי!$D$2:$D$500,0)),"")</f>
        <v/>
      </c>
      <c r="I214" s="15" t="n"/>
      <c r="J214" s="15" t="n"/>
      <c r="L214" s="15">
        <f>IF(F214="","",IF(I214&lt;&gt;"",AVERAGE(F214,I214),F214))</f>
        <v/>
      </c>
      <c r="M214" s="15">
        <f>IF(G214="","",IF(J214&lt;&gt;"",AVERAGE(G214,J214),G214))</f>
        <v/>
      </c>
      <c r="N214" s="15">
        <f>IF(OR(L214="",M214=""),"",AVERAGE(L214,M214))</f>
        <v/>
      </c>
    </row>
    <row r="215"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15" t="n"/>
      <c r="G215" s="15" t="n"/>
      <c r="H215">
        <f>IFERROR(INDEX(מלאי!$N$2:$N$500,MATCH(A215,מלאי!$D$2:$D$500,0)),"")</f>
        <v/>
      </c>
      <c r="I215" s="15" t="n"/>
      <c r="J215" s="15" t="n"/>
      <c r="L215" s="15">
        <f>IF(F215="","",IF(I215&lt;&gt;"",AVERAGE(F215,I215),F215))</f>
        <v/>
      </c>
      <c r="M215" s="15">
        <f>IF(G215="","",IF(J215&lt;&gt;"",AVERAGE(G215,J215),G215))</f>
        <v/>
      </c>
      <c r="N215" s="15">
        <f>IF(OR(L215="",M215=""),"",AVERAGE(L215,M215))</f>
        <v/>
      </c>
    </row>
    <row r="216"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15" t="n"/>
      <c r="G216" s="15" t="n"/>
      <c r="H216">
        <f>IFERROR(INDEX(מלאי!$N$2:$N$500,MATCH(A216,מלאי!$D$2:$D$500,0)),"")</f>
        <v/>
      </c>
      <c r="I216" s="15" t="n"/>
      <c r="J216" s="15" t="n"/>
      <c r="L216" s="15">
        <f>IF(F216="","",IF(I216&lt;&gt;"",AVERAGE(F216,I216),F216))</f>
        <v/>
      </c>
      <c r="M216" s="15">
        <f>IF(G216="","",IF(J216&lt;&gt;"",AVERAGE(G216,J216),G216))</f>
        <v/>
      </c>
      <c r="N216" s="15">
        <f>IF(OR(L216="",M216=""),"",AVERAGE(L216,M216))</f>
        <v/>
      </c>
    </row>
    <row r="217"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15" t="n"/>
      <c r="G217" s="15" t="n"/>
      <c r="H217">
        <f>IFERROR(INDEX(מלאי!$N$2:$N$500,MATCH(A217,מלאי!$D$2:$D$500,0)),"")</f>
        <v/>
      </c>
      <c r="I217" s="15" t="n"/>
      <c r="J217" s="15" t="n"/>
      <c r="L217" s="15">
        <f>IF(F217="","",IF(I217&lt;&gt;"",AVERAGE(F217,I217),F217))</f>
        <v/>
      </c>
      <c r="M217" s="15">
        <f>IF(G217="","",IF(J217&lt;&gt;"",AVERAGE(G217,J217),G217))</f>
        <v/>
      </c>
      <c r="N217" s="15">
        <f>IF(OR(L217="",M217=""),"",AVERAGE(L217,M217))</f>
        <v/>
      </c>
    </row>
    <row r="218"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15" t="n"/>
      <c r="G218" s="15" t="n"/>
      <c r="H218">
        <f>IFERROR(INDEX(מלאי!$N$2:$N$500,MATCH(A218,מלאי!$D$2:$D$500,0)),"")</f>
        <v/>
      </c>
      <c r="I218" s="15" t="n"/>
      <c r="J218" s="15" t="n"/>
      <c r="L218" s="15">
        <f>IF(F218="","",IF(I218&lt;&gt;"",AVERAGE(F218,I218),F218))</f>
        <v/>
      </c>
      <c r="M218" s="15">
        <f>IF(G218="","",IF(J218&lt;&gt;"",AVERAGE(G218,J218),G218))</f>
        <v/>
      </c>
      <c r="N218" s="15">
        <f>IF(OR(L218="",M218=""),"",AVERAGE(L218,M218))</f>
        <v/>
      </c>
    </row>
    <row r="219"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15" t="n"/>
      <c r="G219" s="15" t="n"/>
      <c r="H219">
        <f>IFERROR(INDEX(מלאי!$N$2:$N$500,MATCH(A219,מלאי!$D$2:$D$500,0)),"")</f>
        <v/>
      </c>
      <c r="I219" s="15" t="n"/>
      <c r="J219" s="15" t="n"/>
      <c r="L219" s="15">
        <f>IF(F219="","",IF(I219&lt;&gt;"",AVERAGE(F219,I219),F219))</f>
        <v/>
      </c>
      <c r="M219" s="15">
        <f>IF(G219="","",IF(J219&lt;&gt;"",AVERAGE(G219,J219),G219))</f>
        <v/>
      </c>
      <c r="N219" s="15">
        <f>IF(OR(L219="",M219=""),"",AVERAGE(L219,M219))</f>
        <v/>
      </c>
    </row>
    <row r="220"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15" t="n"/>
      <c r="G220" s="15" t="n"/>
      <c r="H220">
        <f>IFERROR(INDEX(מלאי!$N$2:$N$500,MATCH(A220,מלאי!$D$2:$D$500,0)),"")</f>
        <v/>
      </c>
      <c r="I220" s="15" t="n"/>
      <c r="J220" s="15" t="n"/>
      <c r="L220" s="15">
        <f>IF(F220="","",IF(I220&lt;&gt;"",AVERAGE(F220,I220),F220))</f>
        <v/>
      </c>
      <c r="M220" s="15">
        <f>IF(G220="","",IF(J220&lt;&gt;"",AVERAGE(G220,J220),G220))</f>
        <v/>
      </c>
      <c r="N220" s="15">
        <f>IF(OR(L220="",M220=""),"",AVERAGE(L220,M220))</f>
        <v/>
      </c>
    </row>
    <row r="221"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15" t="n"/>
      <c r="G221" s="15" t="n"/>
      <c r="H221">
        <f>IFERROR(INDEX(מלאי!$N$2:$N$500,MATCH(A221,מלאי!$D$2:$D$500,0)),"")</f>
        <v/>
      </c>
      <c r="I221" s="15" t="n"/>
      <c r="J221" s="15" t="n"/>
      <c r="L221" s="15">
        <f>IF(F221="","",IF(I221&lt;&gt;"",AVERAGE(F221,I221),F221))</f>
        <v/>
      </c>
      <c r="M221" s="15">
        <f>IF(G221="","",IF(J221&lt;&gt;"",AVERAGE(G221,J221),G221))</f>
        <v/>
      </c>
      <c r="N221" s="15">
        <f>IF(OR(L221="",M221=""),"",AVERAGE(L221,M221))</f>
        <v/>
      </c>
    </row>
    <row r="222"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15" t="n"/>
      <c r="G222" s="15" t="n"/>
      <c r="H222">
        <f>IFERROR(INDEX(מלאי!$N$2:$N$500,MATCH(A222,מלאי!$D$2:$D$500,0)),"")</f>
        <v/>
      </c>
      <c r="I222" s="15" t="n"/>
      <c r="J222" s="15" t="n"/>
      <c r="L222" s="15">
        <f>IF(F222="","",IF(I222&lt;&gt;"",AVERAGE(F222,I222),F222))</f>
        <v/>
      </c>
      <c r="M222" s="15">
        <f>IF(G222="","",IF(J222&lt;&gt;"",AVERAGE(G222,J222),G222))</f>
        <v/>
      </c>
      <c r="N222" s="15">
        <f>IF(OR(L222="",M222=""),"",AVERAGE(L222,M222))</f>
        <v/>
      </c>
    </row>
    <row r="223"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15" t="n"/>
      <c r="G223" s="15" t="n"/>
      <c r="H223">
        <f>IFERROR(INDEX(מלאי!$N$2:$N$500,MATCH(A223,מלאי!$D$2:$D$500,0)),"")</f>
        <v/>
      </c>
      <c r="I223" s="15" t="n"/>
      <c r="J223" s="15" t="n"/>
      <c r="L223" s="15">
        <f>IF(F223="","",IF(I223&lt;&gt;"",AVERAGE(F223,I223),F223))</f>
        <v/>
      </c>
      <c r="M223" s="15">
        <f>IF(G223="","",IF(J223&lt;&gt;"",AVERAGE(G223,J223),G223))</f>
        <v/>
      </c>
      <c r="N223" s="15">
        <f>IF(OR(L223="",M223=""),"",AVERAGE(L223,M223))</f>
        <v/>
      </c>
    </row>
    <row r="224"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15" t="n"/>
      <c r="G224" s="15" t="n"/>
      <c r="H224">
        <f>IFERROR(INDEX(מלאי!$N$2:$N$500,MATCH(A224,מלאי!$D$2:$D$500,0)),"")</f>
        <v/>
      </c>
      <c r="I224" s="15" t="n"/>
      <c r="J224" s="15" t="n"/>
      <c r="L224" s="15">
        <f>IF(F224="","",IF(I224&lt;&gt;"",AVERAGE(F224,I224),F224))</f>
        <v/>
      </c>
      <c r="M224" s="15">
        <f>IF(G224="","",IF(J224&lt;&gt;"",AVERAGE(G224,J224),G224))</f>
        <v/>
      </c>
      <c r="N224" s="15">
        <f>IF(OR(L224="",M224=""),"",AVERAGE(L224,M224))</f>
        <v/>
      </c>
    </row>
    <row r="225"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15" t="n"/>
      <c r="G225" s="15" t="n"/>
      <c r="H225">
        <f>IFERROR(INDEX(מלאי!$N$2:$N$500,MATCH(A225,מלאי!$D$2:$D$500,0)),"")</f>
        <v/>
      </c>
      <c r="I225" s="15" t="n"/>
      <c r="J225" s="15" t="n"/>
      <c r="L225" s="15">
        <f>IF(F225="","",IF(I225&lt;&gt;"",AVERAGE(F225,I225),F225))</f>
        <v/>
      </c>
      <c r="M225" s="15">
        <f>IF(G225="","",IF(J225&lt;&gt;"",AVERAGE(G225,J225),G225))</f>
        <v/>
      </c>
      <c r="N225" s="15">
        <f>IF(OR(L225="",M225=""),"",AVERAGE(L225,M225))</f>
        <v/>
      </c>
    </row>
    <row r="226"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15" t="n"/>
      <c r="G226" s="15" t="n"/>
      <c r="H226">
        <f>IFERROR(INDEX(מלאי!$N$2:$N$500,MATCH(A226,מלאי!$D$2:$D$500,0)),"")</f>
        <v/>
      </c>
      <c r="I226" s="15" t="n"/>
      <c r="J226" s="15" t="n"/>
      <c r="L226" s="15">
        <f>IF(F226="","",IF(I226&lt;&gt;"",AVERAGE(F226,I226),F226))</f>
        <v/>
      </c>
      <c r="M226" s="15">
        <f>IF(G226="","",IF(J226&lt;&gt;"",AVERAGE(G226,J226),G226))</f>
        <v/>
      </c>
      <c r="N226" s="15">
        <f>IF(OR(L226="",M226=""),"",AVERAGE(L226,M226))</f>
        <v/>
      </c>
    </row>
    <row r="227"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15" t="n"/>
      <c r="G227" s="15" t="n"/>
      <c r="H227">
        <f>IFERROR(INDEX(מלאי!$N$2:$N$500,MATCH(A227,מלאי!$D$2:$D$500,0)),"")</f>
        <v/>
      </c>
      <c r="I227" s="15" t="n"/>
      <c r="J227" s="15" t="n"/>
      <c r="L227" s="15">
        <f>IF(F227="","",IF(I227&lt;&gt;"",AVERAGE(F227,I227),F227))</f>
        <v/>
      </c>
      <c r="M227" s="15">
        <f>IF(G227="","",IF(J227&lt;&gt;"",AVERAGE(G227,J227),G227))</f>
        <v/>
      </c>
      <c r="N227" s="15">
        <f>IF(OR(L227="",M227=""),"",AVERAGE(L227,M227))</f>
        <v/>
      </c>
    </row>
    <row r="228"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15" t="n"/>
      <c r="G228" s="15" t="n"/>
      <c r="H228">
        <f>IFERROR(INDEX(מלאי!$N$2:$N$500,MATCH(A228,מלאי!$D$2:$D$500,0)),"")</f>
        <v/>
      </c>
      <c r="I228" s="15" t="n"/>
      <c r="J228" s="15" t="n"/>
      <c r="L228" s="15">
        <f>IF(F228="","",IF(I228&lt;&gt;"",AVERAGE(F228,I228),F228))</f>
        <v/>
      </c>
      <c r="M228" s="15">
        <f>IF(G228="","",IF(J228&lt;&gt;"",AVERAGE(G228,J228),G228))</f>
        <v/>
      </c>
      <c r="N228" s="15">
        <f>IF(OR(L228="",M228=""),"",AVERAGE(L228,M228))</f>
        <v/>
      </c>
    </row>
    <row r="229"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15" t="n"/>
      <c r="G229" s="15" t="n"/>
      <c r="H229">
        <f>IFERROR(INDEX(מלאי!$N$2:$N$500,MATCH(A229,מלאי!$D$2:$D$500,0)),"")</f>
        <v/>
      </c>
      <c r="I229" s="15" t="n"/>
      <c r="J229" s="15" t="n"/>
      <c r="L229" s="15">
        <f>IF(F229="","",IF(I229&lt;&gt;"",AVERAGE(F229,I229),F229))</f>
        <v/>
      </c>
      <c r="M229" s="15">
        <f>IF(G229="","",IF(J229&lt;&gt;"",AVERAGE(G229,J229),G229))</f>
        <v/>
      </c>
      <c r="N229" s="15">
        <f>IF(OR(L229="",M229=""),"",AVERAGE(L229,M229))</f>
        <v/>
      </c>
    </row>
    <row r="230"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15" t="n"/>
      <c r="G230" s="15" t="n"/>
      <c r="H230">
        <f>IFERROR(INDEX(מלאי!$N$2:$N$500,MATCH(A230,מלאי!$D$2:$D$500,0)),"")</f>
        <v/>
      </c>
      <c r="I230" s="15" t="n"/>
      <c r="J230" s="15" t="n"/>
      <c r="L230" s="15">
        <f>IF(F230="","",IF(I230&lt;&gt;"",AVERAGE(F230,I230),F230))</f>
        <v/>
      </c>
      <c r="M230" s="15">
        <f>IF(G230="","",IF(J230&lt;&gt;"",AVERAGE(G230,J230),G230))</f>
        <v/>
      </c>
      <c r="N230" s="15">
        <f>IF(OR(L230="",M230=""),"",AVERAGE(L230,M230))</f>
        <v/>
      </c>
    </row>
    <row r="231"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15" t="n"/>
      <c r="G231" s="15" t="n"/>
      <c r="H231">
        <f>IFERROR(INDEX(מלאי!$N$2:$N$500,MATCH(A231,מלאי!$D$2:$D$500,0)),"")</f>
        <v/>
      </c>
      <c r="I231" s="15" t="n"/>
      <c r="J231" s="15" t="n"/>
      <c r="L231" s="15">
        <f>IF(F231="","",IF(I231&lt;&gt;"",AVERAGE(F231,I231),F231))</f>
        <v/>
      </c>
      <c r="M231" s="15">
        <f>IF(G231="","",IF(J231&lt;&gt;"",AVERAGE(G231,J231),G231))</f>
        <v/>
      </c>
      <c r="N231" s="15">
        <f>IF(OR(L231="",M231=""),"",AVERAGE(L231,M231))</f>
        <v/>
      </c>
    </row>
    <row r="232"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15" t="n"/>
      <c r="G232" s="15" t="n"/>
      <c r="H232">
        <f>IFERROR(INDEX(מלאי!$N$2:$N$500,MATCH(A232,מלאי!$D$2:$D$500,0)),"")</f>
        <v/>
      </c>
      <c r="I232" s="15" t="n"/>
      <c r="J232" s="15" t="n"/>
      <c r="L232" s="15">
        <f>IF(F232="","",IF(I232&lt;&gt;"",AVERAGE(F232,I232),F232))</f>
        <v/>
      </c>
      <c r="M232" s="15">
        <f>IF(G232="","",IF(J232&lt;&gt;"",AVERAGE(G232,J232),G232))</f>
        <v/>
      </c>
      <c r="N232" s="15">
        <f>IF(OR(L232="",M232=""),"",AVERAGE(L232,M232))</f>
        <v/>
      </c>
    </row>
    <row r="233"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15" t="n"/>
      <c r="G233" s="15" t="n"/>
      <c r="H233">
        <f>IFERROR(INDEX(מלאי!$N$2:$N$500,MATCH(A233,מלאי!$D$2:$D$500,0)),"")</f>
        <v/>
      </c>
      <c r="I233" s="15" t="n"/>
      <c r="J233" s="15" t="n"/>
      <c r="L233" s="15">
        <f>IF(F233="","",IF(I233&lt;&gt;"",AVERAGE(F233,I233),F233))</f>
        <v/>
      </c>
      <c r="M233" s="15">
        <f>IF(G233="","",IF(J233&lt;&gt;"",AVERAGE(G233,J233),G233))</f>
        <v/>
      </c>
      <c r="N233" s="15">
        <f>IF(OR(L233="",M233=""),"",AVERAGE(L233,M233))</f>
        <v/>
      </c>
    </row>
    <row r="234"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15" t="n"/>
      <c r="G234" s="15" t="n"/>
      <c r="H234">
        <f>IFERROR(INDEX(מלאי!$N$2:$N$500,MATCH(A234,מלאי!$D$2:$D$500,0)),"")</f>
        <v/>
      </c>
      <c r="I234" s="15" t="n"/>
      <c r="J234" s="15" t="n"/>
      <c r="L234" s="15">
        <f>IF(F234="","",IF(I234&lt;&gt;"",AVERAGE(F234,I234),F234))</f>
        <v/>
      </c>
      <c r="M234" s="15">
        <f>IF(G234="","",IF(J234&lt;&gt;"",AVERAGE(G234,J234),G234))</f>
        <v/>
      </c>
      <c r="N234" s="15">
        <f>IF(OR(L234="",M234=""),"",AVERAGE(L234,M234))</f>
        <v/>
      </c>
    </row>
    <row r="235"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15" t="n"/>
      <c r="G235" s="15" t="n"/>
      <c r="H235">
        <f>IFERROR(INDEX(מלאי!$N$2:$N$500,MATCH(A235,מלאי!$D$2:$D$500,0)),"")</f>
        <v/>
      </c>
      <c r="I235" s="15" t="n"/>
      <c r="J235" s="15" t="n"/>
      <c r="L235" s="15">
        <f>IF(F235="","",IF(I235&lt;&gt;"",AVERAGE(F235,I235),F235))</f>
        <v/>
      </c>
      <c r="M235" s="15">
        <f>IF(G235="","",IF(J235&lt;&gt;"",AVERAGE(G235,J235),G235))</f>
        <v/>
      </c>
      <c r="N235" s="15">
        <f>IF(OR(L235="",M235=""),"",AVERAGE(L235,M235))</f>
        <v/>
      </c>
    </row>
    <row r="236"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15" t="n"/>
      <c r="G236" s="15" t="n"/>
      <c r="H236">
        <f>IFERROR(INDEX(מלאי!$N$2:$N$500,MATCH(A236,מלאי!$D$2:$D$500,0)),"")</f>
        <v/>
      </c>
      <c r="I236" s="15" t="n"/>
      <c r="J236" s="15" t="n"/>
      <c r="L236" s="15">
        <f>IF(F236="","",IF(I236&lt;&gt;"",AVERAGE(F236,I236),F236))</f>
        <v/>
      </c>
      <c r="M236" s="15">
        <f>IF(G236="","",IF(J236&lt;&gt;"",AVERAGE(G236,J236),G236))</f>
        <v/>
      </c>
      <c r="N236" s="15">
        <f>IF(OR(L236="",M236=""),"",AVERAGE(L236,M236))</f>
        <v/>
      </c>
    </row>
    <row r="237"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15" t="n"/>
      <c r="G237" s="15" t="n"/>
      <c r="H237">
        <f>IFERROR(INDEX(מלאי!$N$2:$N$500,MATCH(A237,מלאי!$D$2:$D$500,0)),"")</f>
        <v/>
      </c>
      <c r="I237" s="15" t="n"/>
      <c r="J237" s="15" t="n"/>
      <c r="L237" s="15">
        <f>IF(F237="","",IF(I237&lt;&gt;"",AVERAGE(F237,I237),F237))</f>
        <v/>
      </c>
      <c r="M237" s="15">
        <f>IF(G237="","",IF(J237&lt;&gt;"",AVERAGE(G237,J237),G237))</f>
        <v/>
      </c>
      <c r="N237" s="15">
        <f>IF(OR(L237="",M237=""),"",AVERAGE(L237,M237))</f>
        <v/>
      </c>
    </row>
    <row r="238"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15" t="n"/>
      <c r="G238" s="15" t="n"/>
      <c r="H238">
        <f>IFERROR(INDEX(מלאי!$N$2:$N$500,MATCH(A238,מלאי!$D$2:$D$500,0)),"")</f>
        <v/>
      </c>
      <c r="I238" s="15" t="n"/>
      <c r="J238" s="15" t="n"/>
      <c r="L238" s="15">
        <f>IF(F238="","",IF(I238&lt;&gt;"",AVERAGE(F238,I238),F238))</f>
        <v/>
      </c>
      <c r="M238" s="15">
        <f>IF(G238="","",IF(J238&lt;&gt;"",AVERAGE(G238,J238),G238))</f>
        <v/>
      </c>
      <c r="N238" s="15">
        <f>IF(OR(L238="",M238=""),"",AVERAGE(L238,M238))</f>
        <v/>
      </c>
    </row>
    <row r="239"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15" t="n"/>
      <c r="G239" s="15" t="n"/>
      <c r="H239">
        <f>IFERROR(INDEX(מלאי!$N$2:$N$500,MATCH(A239,מלאי!$D$2:$D$500,0)),"")</f>
        <v/>
      </c>
      <c r="I239" s="15" t="n"/>
      <c r="J239" s="15" t="n"/>
      <c r="L239" s="15">
        <f>IF(F239="","",IF(I239&lt;&gt;"",AVERAGE(F239,I239),F239))</f>
        <v/>
      </c>
      <c r="M239" s="15">
        <f>IF(G239="","",IF(J239&lt;&gt;"",AVERAGE(G239,J239),G239))</f>
        <v/>
      </c>
      <c r="N239" s="15">
        <f>IF(OR(L239="",M239=""),"",AVERAGE(L239,M239))</f>
        <v/>
      </c>
    </row>
    <row r="240"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15" t="n"/>
      <c r="G240" s="15" t="n"/>
      <c r="H240">
        <f>IFERROR(INDEX(מלאי!$N$2:$N$500,MATCH(A240,מלאי!$D$2:$D$500,0)),"")</f>
        <v/>
      </c>
      <c r="I240" s="15" t="n"/>
      <c r="J240" s="15" t="n"/>
      <c r="L240" s="15">
        <f>IF(F240="","",IF(I240&lt;&gt;"",AVERAGE(F240,I240),F240))</f>
        <v/>
      </c>
      <c r="M240" s="15">
        <f>IF(G240="","",IF(J240&lt;&gt;"",AVERAGE(G240,J240),G240))</f>
        <v/>
      </c>
      <c r="N240" s="15">
        <f>IF(OR(L240="",M240=""),"",AVERAGE(L240,M240))</f>
        <v/>
      </c>
    </row>
    <row r="241"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15" t="n"/>
      <c r="G241" s="15" t="n"/>
      <c r="H241">
        <f>IFERROR(INDEX(מלאי!$N$2:$N$500,MATCH(A241,מלאי!$D$2:$D$500,0)),"")</f>
        <v/>
      </c>
      <c r="I241" s="15" t="n"/>
      <c r="J241" s="15" t="n"/>
      <c r="L241" s="15">
        <f>IF(F241="","",IF(I241&lt;&gt;"",AVERAGE(F241,I241),F241))</f>
        <v/>
      </c>
      <c r="M241" s="15">
        <f>IF(G241="","",IF(J241&lt;&gt;"",AVERAGE(G241,J241),G241))</f>
        <v/>
      </c>
      <c r="N241" s="15">
        <f>IF(OR(L241="",M241=""),"",AVERAGE(L241,M241))</f>
        <v/>
      </c>
    </row>
    <row r="242"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15" t="n"/>
      <c r="G242" s="15" t="n"/>
      <c r="H242">
        <f>IFERROR(INDEX(מלאי!$N$2:$N$500,MATCH(A242,מלאי!$D$2:$D$500,0)),"")</f>
        <v/>
      </c>
      <c r="I242" s="15" t="n"/>
      <c r="J242" s="15" t="n"/>
      <c r="L242" s="15">
        <f>IF(F242="","",IF(I242&lt;&gt;"",AVERAGE(F242,I242),F242))</f>
        <v/>
      </c>
      <c r="M242" s="15">
        <f>IF(G242="","",IF(J242&lt;&gt;"",AVERAGE(G242,J242),G242))</f>
        <v/>
      </c>
      <c r="N242" s="15">
        <f>IF(OR(L242="",M242=""),"",AVERAGE(L242,M242))</f>
        <v/>
      </c>
    </row>
    <row r="243"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15" t="n"/>
      <c r="G243" s="15" t="n"/>
      <c r="H243">
        <f>IFERROR(INDEX(מלאי!$N$2:$N$500,MATCH(A243,מלאי!$D$2:$D$500,0)),"")</f>
        <v/>
      </c>
      <c r="I243" s="15" t="n"/>
      <c r="J243" s="15" t="n"/>
      <c r="L243" s="15">
        <f>IF(F243="","",IF(I243&lt;&gt;"",AVERAGE(F243,I243),F243))</f>
        <v/>
      </c>
      <c r="M243" s="15">
        <f>IF(G243="","",IF(J243&lt;&gt;"",AVERAGE(G243,J243),G243))</f>
        <v/>
      </c>
      <c r="N243" s="15">
        <f>IF(OR(L243="",M243=""),"",AVERAGE(L243,M243))</f>
        <v/>
      </c>
    </row>
    <row r="244"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15" t="n"/>
      <c r="G244" s="15" t="n"/>
      <c r="H244">
        <f>IFERROR(INDEX(מלאי!$N$2:$N$500,MATCH(A244,מלאי!$D$2:$D$500,0)),"")</f>
        <v/>
      </c>
      <c r="I244" s="15" t="n"/>
      <c r="J244" s="15" t="n"/>
      <c r="L244" s="15">
        <f>IF(F244="","",IF(I244&lt;&gt;"",AVERAGE(F244,I244),F244))</f>
        <v/>
      </c>
      <c r="M244" s="15">
        <f>IF(G244="","",IF(J244&lt;&gt;"",AVERAGE(G244,J244),G244))</f>
        <v/>
      </c>
      <c r="N244" s="15">
        <f>IF(OR(L244="",M244=""),"",AVERAGE(L244,M244))</f>
        <v/>
      </c>
    </row>
    <row r="245"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15" t="n"/>
      <c r="G245" s="15" t="n"/>
      <c r="H245">
        <f>IFERROR(INDEX(מלאי!$N$2:$N$500,MATCH(A245,מלאי!$D$2:$D$500,0)),"")</f>
        <v/>
      </c>
      <c r="I245" s="15" t="n"/>
      <c r="J245" s="15" t="n"/>
      <c r="L245" s="15">
        <f>IF(F245="","",IF(I245&lt;&gt;"",AVERAGE(F245,I245),F245))</f>
        <v/>
      </c>
      <c r="M245" s="15">
        <f>IF(G245="","",IF(J245&lt;&gt;"",AVERAGE(G245,J245),G245))</f>
        <v/>
      </c>
      <c r="N245" s="15">
        <f>IF(OR(L245="",M245=""),"",AVERAGE(L245,M245))</f>
        <v/>
      </c>
    </row>
    <row r="246"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15" t="n"/>
      <c r="G246" s="15" t="n"/>
      <c r="H246">
        <f>IFERROR(INDEX(מלאי!$N$2:$N$500,MATCH(A246,מלאי!$D$2:$D$500,0)),"")</f>
        <v/>
      </c>
      <c r="I246" s="15" t="n"/>
      <c r="J246" s="15" t="n"/>
      <c r="L246" s="15">
        <f>IF(F246="","",IF(I246&lt;&gt;"",AVERAGE(F246,I246),F246))</f>
        <v/>
      </c>
      <c r="M246" s="15">
        <f>IF(G246="","",IF(J246&lt;&gt;"",AVERAGE(G246,J246),G246))</f>
        <v/>
      </c>
      <c r="N246" s="15">
        <f>IF(OR(L246="",M246=""),"",AVERAGE(L246,M246))</f>
        <v/>
      </c>
    </row>
    <row r="247"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15" t="n"/>
      <c r="G247" s="15" t="n"/>
      <c r="H247">
        <f>IFERROR(INDEX(מלאי!$N$2:$N$500,MATCH(A247,מלאי!$D$2:$D$500,0)),"")</f>
        <v/>
      </c>
      <c r="I247" s="15" t="n"/>
      <c r="J247" s="15" t="n"/>
      <c r="L247" s="15">
        <f>IF(F247="","",IF(I247&lt;&gt;"",AVERAGE(F247,I247),F247))</f>
        <v/>
      </c>
      <c r="M247" s="15">
        <f>IF(G247="","",IF(J247&lt;&gt;"",AVERAGE(G247,J247),G247))</f>
        <v/>
      </c>
      <c r="N247" s="15">
        <f>IF(OR(L247="",M247=""),"",AVERAGE(L247,M247))</f>
        <v/>
      </c>
    </row>
    <row r="248"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15" t="n"/>
      <c r="G248" s="15" t="n"/>
      <c r="H248">
        <f>IFERROR(INDEX(מלאי!$N$2:$N$500,MATCH(A248,מלאי!$D$2:$D$500,0)),"")</f>
        <v/>
      </c>
      <c r="I248" s="15" t="n"/>
      <c r="J248" s="15" t="n"/>
      <c r="L248" s="15">
        <f>IF(F248="","",IF(I248&lt;&gt;"",AVERAGE(F248,I248),F248))</f>
        <v/>
      </c>
      <c r="M248" s="15">
        <f>IF(G248="","",IF(J248&lt;&gt;"",AVERAGE(G248,J248),G248))</f>
        <v/>
      </c>
      <c r="N248" s="15">
        <f>IF(OR(L248="",M248=""),"",AVERAGE(L248,M248))</f>
        <v/>
      </c>
    </row>
    <row r="249"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15" t="n"/>
      <c r="G249" s="15" t="n"/>
      <c r="H249">
        <f>IFERROR(INDEX(מלאי!$N$2:$N$500,MATCH(A249,מלאי!$D$2:$D$500,0)),"")</f>
        <v/>
      </c>
      <c r="I249" s="15" t="n"/>
      <c r="J249" s="15" t="n"/>
      <c r="L249" s="15">
        <f>IF(F249="","",IF(I249&lt;&gt;"",AVERAGE(F249,I249),F249))</f>
        <v/>
      </c>
      <c r="M249" s="15">
        <f>IF(G249="","",IF(J249&lt;&gt;"",AVERAGE(G249,J249),G249))</f>
        <v/>
      </c>
      <c r="N249" s="15">
        <f>IF(OR(L249="",M249=""),"",AVERAGE(L249,M249))</f>
        <v/>
      </c>
    </row>
    <row r="250"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15" t="n"/>
      <c r="G250" s="15" t="n"/>
      <c r="H250">
        <f>IFERROR(INDEX(מלאי!$N$2:$N$500,MATCH(A250,מלאי!$D$2:$D$500,0)),"")</f>
        <v/>
      </c>
      <c r="I250" s="15" t="n"/>
      <c r="J250" s="15" t="n"/>
      <c r="L250" s="15">
        <f>IF(F250="","",IF(I250&lt;&gt;"",AVERAGE(F250,I250),F250))</f>
        <v/>
      </c>
      <c r="M250" s="15">
        <f>IF(G250="","",IF(J250&lt;&gt;"",AVERAGE(G250,J250),G250))</f>
        <v/>
      </c>
      <c r="N250" s="15">
        <f>IF(OR(L250="",M250=""),"",AVERAGE(L250,M250))</f>
        <v/>
      </c>
    </row>
    <row r="251"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15" t="n"/>
      <c r="G251" s="15" t="n"/>
      <c r="H251">
        <f>IFERROR(INDEX(מלאי!$N$2:$N$500,MATCH(A251,מלאי!$D$2:$D$500,0)),"")</f>
        <v/>
      </c>
      <c r="I251" s="15" t="n"/>
      <c r="J251" s="15" t="n"/>
      <c r="L251" s="15">
        <f>IF(F251="","",IF(I251&lt;&gt;"",AVERAGE(F251,I251),F251))</f>
        <v/>
      </c>
      <c r="M251" s="15">
        <f>IF(G251="","",IF(J251&lt;&gt;"",AVERAGE(G251,J251),G251))</f>
        <v/>
      </c>
      <c r="N251" s="15">
        <f>IF(OR(L251="",M251=""),"",AVERAGE(L251,M251))</f>
        <v/>
      </c>
    </row>
    <row r="252"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15" t="n"/>
      <c r="G252" s="15" t="n"/>
      <c r="H252">
        <f>IFERROR(INDEX(מלאי!$N$2:$N$500,MATCH(A252,מלאי!$D$2:$D$500,0)),"")</f>
        <v/>
      </c>
      <c r="I252" s="15" t="n"/>
      <c r="J252" s="15" t="n"/>
      <c r="L252" s="15">
        <f>IF(F252="","",IF(I252&lt;&gt;"",AVERAGE(F252,I252),F252))</f>
        <v/>
      </c>
      <c r="M252" s="15">
        <f>IF(G252="","",IF(J252&lt;&gt;"",AVERAGE(G252,J252),G252))</f>
        <v/>
      </c>
      <c r="N252" s="15">
        <f>IF(OR(L252="",M252=""),"",AVERAGE(L252,M252))</f>
        <v/>
      </c>
    </row>
    <row r="253"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15" t="n"/>
      <c r="G253" s="15" t="n"/>
      <c r="H253">
        <f>IFERROR(INDEX(מלאי!$N$2:$N$500,MATCH(A253,מלאי!$D$2:$D$500,0)),"")</f>
        <v/>
      </c>
      <c r="I253" s="15" t="n"/>
      <c r="J253" s="15" t="n"/>
      <c r="L253" s="15">
        <f>IF(F253="","",IF(I253&lt;&gt;"",AVERAGE(F253,I253),F253))</f>
        <v/>
      </c>
      <c r="M253" s="15">
        <f>IF(G253="","",IF(J253&lt;&gt;"",AVERAGE(G253,J253),G253))</f>
        <v/>
      </c>
      <c r="N253" s="15">
        <f>IF(OR(L253="",M253=""),"",AVERAGE(L253,M253))</f>
        <v/>
      </c>
    </row>
    <row r="254"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15" t="n"/>
      <c r="G254" s="15" t="n"/>
      <c r="H254">
        <f>IFERROR(INDEX(מלאי!$N$2:$N$500,MATCH(A254,מלאי!$D$2:$D$500,0)),"")</f>
        <v/>
      </c>
      <c r="I254" s="15" t="n"/>
      <c r="J254" s="15" t="n"/>
      <c r="L254" s="15">
        <f>IF(F254="","",IF(I254&lt;&gt;"",AVERAGE(F254,I254),F254))</f>
        <v/>
      </c>
      <c r="M254" s="15">
        <f>IF(G254="","",IF(J254&lt;&gt;"",AVERAGE(G254,J254),G254))</f>
        <v/>
      </c>
      <c r="N254" s="15">
        <f>IF(OR(L254="",M254=""),"",AVERAGE(L254,M254))</f>
        <v/>
      </c>
    </row>
    <row r="255"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15" t="n"/>
      <c r="G255" s="15" t="n"/>
      <c r="H255">
        <f>IFERROR(INDEX(מלאי!$N$2:$N$500,MATCH(A255,מלאי!$D$2:$D$500,0)),"")</f>
        <v/>
      </c>
      <c r="I255" s="15" t="n"/>
      <c r="J255" s="15" t="n"/>
      <c r="L255" s="15">
        <f>IF(F255="","",IF(I255&lt;&gt;"",AVERAGE(F255,I255),F255))</f>
        <v/>
      </c>
      <c r="M255" s="15">
        <f>IF(G255="","",IF(J255&lt;&gt;"",AVERAGE(G255,J255),G255))</f>
        <v/>
      </c>
      <c r="N255" s="15">
        <f>IF(OR(L255="",M255=""),"",AVERAGE(L255,M255))</f>
        <v/>
      </c>
    </row>
    <row r="256"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15" t="n"/>
      <c r="G256" s="15" t="n"/>
      <c r="H256">
        <f>IFERROR(INDEX(מלאי!$N$2:$N$500,MATCH(A256,מלאי!$D$2:$D$500,0)),"")</f>
        <v/>
      </c>
      <c r="I256" s="15" t="n"/>
      <c r="J256" s="15" t="n"/>
      <c r="L256" s="15">
        <f>IF(F256="","",IF(I256&lt;&gt;"",AVERAGE(F256,I256),F256))</f>
        <v/>
      </c>
      <c r="M256" s="15">
        <f>IF(G256="","",IF(J256&lt;&gt;"",AVERAGE(G256,J256),G256))</f>
        <v/>
      </c>
      <c r="N256" s="15">
        <f>IF(OR(L256="",M256=""),"",AVERAGE(L256,M256))</f>
        <v/>
      </c>
    </row>
    <row r="257"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15" t="n"/>
      <c r="G257" s="15" t="n"/>
      <c r="H257">
        <f>IFERROR(INDEX(מלאי!$N$2:$N$500,MATCH(A257,מלאי!$D$2:$D$500,0)),"")</f>
        <v/>
      </c>
      <c r="I257" s="15" t="n"/>
      <c r="J257" s="15" t="n"/>
      <c r="L257" s="15">
        <f>IF(F257="","",IF(I257&lt;&gt;"",AVERAGE(F257,I257),F257))</f>
        <v/>
      </c>
      <c r="M257" s="15">
        <f>IF(G257="","",IF(J257&lt;&gt;"",AVERAGE(G257,J257),G257))</f>
        <v/>
      </c>
      <c r="N257" s="15">
        <f>IF(OR(L257="",M257=""),"",AVERAGE(L257,M257))</f>
        <v/>
      </c>
    </row>
    <row r="258"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15" t="n"/>
      <c r="G258" s="15" t="n"/>
      <c r="H258">
        <f>IFERROR(INDEX(מלאי!$N$2:$N$500,MATCH(A258,מלאי!$D$2:$D$500,0)),"")</f>
        <v/>
      </c>
      <c r="I258" s="15" t="n"/>
      <c r="J258" s="15" t="n"/>
      <c r="L258" s="15">
        <f>IF(F258="","",IF(I258&lt;&gt;"",AVERAGE(F258,I258),F258))</f>
        <v/>
      </c>
      <c r="M258" s="15">
        <f>IF(G258="","",IF(J258&lt;&gt;"",AVERAGE(G258,J258),G258))</f>
        <v/>
      </c>
      <c r="N258" s="15">
        <f>IF(OR(L258="",M258=""),"",AVERAGE(L258,M258))</f>
        <v/>
      </c>
    </row>
    <row r="259"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15" t="n"/>
      <c r="G259" s="15" t="n"/>
      <c r="H259">
        <f>IFERROR(INDEX(מלאי!$N$2:$N$500,MATCH(A259,מלאי!$D$2:$D$500,0)),"")</f>
        <v/>
      </c>
      <c r="I259" s="15" t="n"/>
      <c r="J259" s="15" t="n"/>
      <c r="L259" s="15">
        <f>IF(F259="","",IF(I259&lt;&gt;"",AVERAGE(F259,I259),F259))</f>
        <v/>
      </c>
      <c r="M259" s="15">
        <f>IF(G259="","",IF(J259&lt;&gt;"",AVERAGE(G259,J259),G259))</f>
        <v/>
      </c>
      <c r="N259" s="15">
        <f>IF(OR(L259="",M259=""),"",AVERAGE(L259,M259))</f>
        <v/>
      </c>
    </row>
    <row r="260"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15" t="n"/>
      <c r="G260" s="15" t="n"/>
      <c r="H260">
        <f>IFERROR(INDEX(מלאי!$N$2:$N$500,MATCH(A260,מלאי!$D$2:$D$500,0)),"")</f>
        <v/>
      </c>
      <c r="I260" s="15" t="n"/>
      <c r="J260" s="15" t="n"/>
      <c r="L260" s="15">
        <f>IF(F260="","",IF(I260&lt;&gt;"",AVERAGE(F260,I260),F260))</f>
        <v/>
      </c>
      <c r="M260" s="15">
        <f>IF(G260="","",IF(J260&lt;&gt;"",AVERAGE(G260,J260),G260))</f>
        <v/>
      </c>
      <c r="N260" s="15">
        <f>IF(OR(L260="",M260=""),"",AVERAGE(L260,M260))</f>
        <v/>
      </c>
    </row>
    <row r="261"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15" t="n"/>
      <c r="G261" s="15" t="n"/>
      <c r="H261">
        <f>IFERROR(INDEX(מלאי!$N$2:$N$500,MATCH(A261,מלאי!$D$2:$D$500,0)),"")</f>
        <v/>
      </c>
      <c r="I261" s="15" t="n"/>
      <c r="J261" s="15" t="n"/>
      <c r="L261" s="15">
        <f>IF(F261="","",IF(I261&lt;&gt;"",AVERAGE(F261,I261),F261))</f>
        <v/>
      </c>
      <c r="M261" s="15">
        <f>IF(G261="","",IF(J261&lt;&gt;"",AVERAGE(G261,J261),G261))</f>
        <v/>
      </c>
      <c r="N261" s="15">
        <f>IF(OR(L261="",M261=""),"",AVERAGE(L261,M261))</f>
        <v/>
      </c>
    </row>
    <row r="262"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15" t="n"/>
      <c r="G262" s="15" t="n"/>
      <c r="H262">
        <f>IFERROR(INDEX(מלאי!$N$2:$N$500,MATCH(A262,מלאי!$D$2:$D$500,0)),"")</f>
        <v/>
      </c>
      <c r="I262" s="15" t="n"/>
      <c r="J262" s="15" t="n"/>
      <c r="L262" s="15">
        <f>IF(F262="","",IF(I262&lt;&gt;"",AVERAGE(F262,I262),F262))</f>
        <v/>
      </c>
      <c r="M262" s="15">
        <f>IF(G262="","",IF(J262&lt;&gt;"",AVERAGE(G262,J262),G262))</f>
        <v/>
      </c>
      <c r="N262" s="15">
        <f>IF(OR(L262="",M262=""),"",AVERAGE(L262,M262))</f>
        <v/>
      </c>
    </row>
    <row r="263"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15" t="n"/>
      <c r="G263" s="15" t="n"/>
      <c r="H263">
        <f>IFERROR(INDEX(מלאי!$N$2:$N$500,MATCH(A263,מלאי!$D$2:$D$500,0)),"")</f>
        <v/>
      </c>
      <c r="I263" s="15" t="n"/>
      <c r="J263" s="15" t="n"/>
      <c r="L263" s="15">
        <f>IF(F263="","",IF(I263&lt;&gt;"",AVERAGE(F263,I263),F263))</f>
        <v/>
      </c>
      <c r="M263" s="15">
        <f>IF(G263="","",IF(J263&lt;&gt;"",AVERAGE(G263,J263),G263))</f>
        <v/>
      </c>
      <c r="N263" s="15">
        <f>IF(OR(L263="",M263=""),"",AVERAGE(L263,M263))</f>
        <v/>
      </c>
    </row>
    <row r="264"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15" t="n"/>
      <c r="G264" s="15" t="n"/>
      <c r="H264">
        <f>IFERROR(INDEX(מלאי!$N$2:$N$500,MATCH(A264,מלאי!$D$2:$D$500,0)),"")</f>
        <v/>
      </c>
      <c r="I264" s="15" t="n"/>
      <c r="J264" s="15" t="n"/>
      <c r="L264" s="15">
        <f>IF(F264="","",IF(I264&lt;&gt;"",AVERAGE(F264,I264),F264))</f>
        <v/>
      </c>
      <c r="M264" s="15">
        <f>IF(G264="","",IF(J264&lt;&gt;"",AVERAGE(G264,J264),G264))</f>
        <v/>
      </c>
      <c r="N264" s="15">
        <f>IF(OR(L264="",M264=""),"",AVERAGE(L264,M264))</f>
        <v/>
      </c>
    </row>
    <row r="265"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15" t="n"/>
      <c r="G265" s="15" t="n"/>
      <c r="H265">
        <f>IFERROR(INDEX(מלאי!$N$2:$N$500,MATCH(A265,מלאי!$D$2:$D$500,0)),"")</f>
        <v/>
      </c>
      <c r="I265" s="15" t="n"/>
      <c r="J265" s="15" t="n"/>
      <c r="L265" s="15">
        <f>IF(F265="","",IF(I265&lt;&gt;"",AVERAGE(F265,I265),F265))</f>
        <v/>
      </c>
      <c r="M265" s="15">
        <f>IF(G265="","",IF(J265&lt;&gt;"",AVERAGE(G265,J265),G265))</f>
        <v/>
      </c>
      <c r="N265" s="15">
        <f>IF(OR(L265="",M265=""),"",AVERAGE(L265,M265))</f>
        <v/>
      </c>
    </row>
    <row r="266"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15" t="n"/>
      <c r="G266" s="15" t="n"/>
      <c r="H266">
        <f>IFERROR(INDEX(מלאי!$N$2:$N$500,MATCH(A266,מלאי!$D$2:$D$500,0)),"")</f>
        <v/>
      </c>
      <c r="I266" s="15" t="n"/>
      <c r="J266" s="15" t="n"/>
      <c r="L266" s="15">
        <f>IF(F266="","",IF(I266&lt;&gt;"",AVERAGE(F266,I266),F266))</f>
        <v/>
      </c>
      <c r="M266" s="15">
        <f>IF(G266="","",IF(J266&lt;&gt;"",AVERAGE(G266,J266),G266))</f>
        <v/>
      </c>
      <c r="N266" s="15">
        <f>IF(OR(L266="",M266=""),"",AVERAGE(L266,M266))</f>
        <v/>
      </c>
    </row>
    <row r="267"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15" t="n"/>
      <c r="G267" s="15" t="n"/>
      <c r="H267">
        <f>IFERROR(INDEX(מלאי!$N$2:$N$500,MATCH(A267,מלאי!$D$2:$D$500,0)),"")</f>
        <v/>
      </c>
      <c r="I267" s="15" t="n"/>
      <c r="J267" s="15" t="n"/>
      <c r="L267" s="15">
        <f>IF(F267="","",IF(I267&lt;&gt;"",AVERAGE(F267,I267),F267))</f>
        <v/>
      </c>
      <c r="M267" s="15">
        <f>IF(G267="","",IF(J267&lt;&gt;"",AVERAGE(G267,J267),G267))</f>
        <v/>
      </c>
      <c r="N267" s="15">
        <f>IF(OR(L267="",M267=""),"",AVERAGE(L267,M267))</f>
        <v/>
      </c>
    </row>
    <row r="268"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15" t="n"/>
      <c r="G268" s="15" t="n"/>
      <c r="H268">
        <f>IFERROR(INDEX(מלאי!$N$2:$N$500,MATCH(A268,מלאי!$D$2:$D$500,0)),"")</f>
        <v/>
      </c>
      <c r="I268" s="15" t="n"/>
      <c r="J268" s="15" t="n"/>
      <c r="L268" s="15">
        <f>IF(F268="","",IF(I268&lt;&gt;"",AVERAGE(F268,I268),F268))</f>
        <v/>
      </c>
      <c r="M268" s="15">
        <f>IF(G268="","",IF(J268&lt;&gt;"",AVERAGE(G268,J268),G268))</f>
        <v/>
      </c>
      <c r="N268" s="15">
        <f>IF(OR(L268="",M268=""),"",AVERAGE(L268,M268))</f>
        <v/>
      </c>
    </row>
    <row r="269"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15" t="n"/>
      <c r="G269" s="15" t="n"/>
      <c r="H269">
        <f>IFERROR(INDEX(מלאי!$N$2:$N$500,MATCH(A269,מלאי!$D$2:$D$500,0)),"")</f>
        <v/>
      </c>
      <c r="I269" s="15" t="n"/>
      <c r="J269" s="15" t="n"/>
      <c r="L269" s="15">
        <f>IF(F269="","",IF(I269&lt;&gt;"",AVERAGE(F269,I269),F269))</f>
        <v/>
      </c>
      <c r="M269" s="15">
        <f>IF(G269="","",IF(J269&lt;&gt;"",AVERAGE(G269,J269),G269))</f>
        <v/>
      </c>
      <c r="N269" s="15">
        <f>IF(OR(L269="",M269=""),"",AVERAGE(L269,M269))</f>
        <v/>
      </c>
    </row>
    <row r="270"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15" t="n"/>
      <c r="G270" s="15" t="n"/>
      <c r="H270">
        <f>IFERROR(INDEX(מלאי!$N$2:$N$500,MATCH(A270,מלאי!$D$2:$D$500,0)),"")</f>
        <v/>
      </c>
      <c r="I270" s="15" t="n"/>
      <c r="J270" s="15" t="n"/>
      <c r="L270" s="15">
        <f>IF(F270="","",IF(I270&lt;&gt;"",AVERAGE(F270,I270),F270))</f>
        <v/>
      </c>
      <c r="M270" s="15">
        <f>IF(G270="","",IF(J270&lt;&gt;"",AVERAGE(G270,J270),G270))</f>
        <v/>
      </c>
      <c r="N270" s="15">
        <f>IF(OR(L270="",M270=""),"",AVERAGE(L270,M270))</f>
        <v/>
      </c>
    </row>
    <row r="271"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15" t="n"/>
      <c r="G271" s="15" t="n"/>
      <c r="H271">
        <f>IFERROR(INDEX(מלאי!$N$2:$N$500,MATCH(A271,מלאי!$D$2:$D$500,0)),"")</f>
        <v/>
      </c>
      <c r="I271" s="15" t="n"/>
      <c r="J271" s="15" t="n"/>
      <c r="L271" s="15">
        <f>IF(F271="","",IF(I271&lt;&gt;"",AVERAGE(F271,I271),F271))</f>
        <v/>
      </c>
      <c r="M271" s="15">
        <f>IF(G271="","",IF(J271&lt;&gt;"",AVERAGE(G271,J271),G271))</f>
        <v/>
      </c>
      <c r="N271" s="15">
        <f>IF(OR(L271="",M271=""),"",AVERAGE(L271,M271))</f>
        <v/>
      </c>
    </row>
    <row r="272"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15" t="n"/>
      <c r="G272" s="15" t="n"/>
      <c r="H272">
        <f>IFERROR(INDEX(מלאי!$N$2:$N$500,MATCH(A272,מלאי!$D$2:$D$500,0)),"")</f>
        <v/>
      </c>
      <c r="I272" s="15" t="n"/>
      <c r="J272" s="15" t="n"/>
      <c r="L272" s="15">
        <f>IF(F272="","",IF(I272&lt;&gt;"",AVERAGE(F272,I272),F272))</f>
        <v/>
      </c>
      <c r="M272" s="15">
        <f>IF(G272="","",IF(J272&lt;&gt;"",AVERAGE(G272,J272),G272))</f>
        <v/>
      </c>
      <c r="N272" s="15">
        <f>IF(OR(L272="",M272=""),"",AVERAGE(L272,M272))</f>
        <v/>
      </c>
    </row>
    <row r="273"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15" t="n"/>
      <c r="G273" s="15" t="n"/>
      <c r="H273">
        <f>IFERROR(INDEX(מלאי!$N$2:$N$500,MATCH(A273,מלאי!$D$2:$D$500,0)),"")</f>
        <v/>
      </c>
      <c r="I273" s="15" t="n"/>
      <c r="J273" s="15" t="n"/>
      <c r="L273" s="15">
        <f>IF(F273="","",IF(I273&lt;&gt;"",AVERAGE(F273,I273),F273))</f>
        <v/>
      </c>
      <c r="M273" s="15">
        <f>IF(G273="","",IF(J273&lt;&gt;"",AVERAGE(G273,J273),G273))</f>
        <v/>
      </c>
      <c r="N273" s="15">
        <f>IF(OR(L273="",M273=""),"",AVERAGE(L273,M273))</f>
        <v/>
      </c>
    </row>
    <row r="274"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15" t="n"/>
      <c r="G274" s="15" t="n"/>
      <c r="H274">
        <f>IFERROR(INDEX(מלאי!$N$2:$N$500,MATCH(A274,מלאי!$D$2:$D$500,0)),"")</f>
        <v/>
      </c>
      <c r="I274" s="15" t="n"/>
      <c r="J274" s="15" t="n"/>
      <c r="L274" s="15">
        <f>IF(F274="","",IF(I274&lt;&gt;"",AVERAGE(F274,I274),F274))</f>
        <v/>
      </c>
      <c r="M274" s="15">
        <f>IF(G274="","",IF(J274&lt;&gt;"",AVERAGE(G274,J274),G274))</f>
        <v/>
      </c>
      <c r="N274" s="15">
        <f>IF(OR(L274="",M274=""),"",AVERAGE(L274,M274))</f>
        <v/>
      </c>
    </row>
    <row r="275"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15" t="n"/>
      <c r="G275" s="15" t="n"/>
      <c r="H275">
        <f>IFERROR(INDEX(מלאי!$N$2:$N$500,MATCH(A275,מלאי!$D$2:$D$500,0)),"")</f>
        <v/>
      </c>
      <c r="I275" s="15" t="n"/>
      <c r="J275" s="15" t="n"/>
      <c r="L275" s="15">
        <f>IF(F275="","",IF(I275&lt;&gt;"",AVERAGE(F275,I275),F275))</f>
        <v/>
      </c>
      <c r="M275" s="15">
        <f>IF(G275="","",IF(J275&lt;&gt;"",AVERAGE(G275,J275),G275))</f>
        <v/>
      </c>
      <c r="N275" s="15">
        <f>IF(OR(L275="",M275=""),"",AVERAGE(L275,M275))</f>
        <v/>
      </c>
    </row>
    <row r="276"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15" t="n"/>
      <c r="G276" s="15" t="n"/>
      <c r="H276">
        <f>IFERROR(INDEX(מלאי!$N$2:$N$500,MATCH(A276,מלאי!$D$2:$D$500,0)),"")</f>
        <v/>
      </c>
      <c r="I276" s="15" t="n"/>
      <c r="J276" s="15" t="n"/>
      <c r="L276" s="15">
        <f>IF(F276="","",IF(I276&lt;&gt;"",AVERAGE(F276,I276),F276))</f>
        <v/>
      </c>
      <c r="M276" s="15">
        <f>IF(G276="","",IF(J276&lt;&gt;"",AVERAGE(G276,J276),G276))</f>
        <v/>
      </c>
      <c r="N276" s="15">
        <f>IF(OR(L276="",M276=""),"",AVERAGE(L276,M276))</f>
        <v/>
      </c>
    </row>
    <row r="277"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15" t="n"/>
      <c r="G277" s="15" t="n"/>
      <c r="H277">
        <f>IFERROR(INDEX(מלאי!$N$2:$N$500,MATCH(A277,מלאי!$D$2:$D$500,0)),"")</f>
        <v/>
      </c>
      <c r="I277" s="15" t="n"/>
      <c r="J277" s="15" t="n"/>
      <c r="L277" s="15">
        <f>IF(F277="","",IF(I277&lt;&gt;"",AVERAGE(F277,I277),F277))</f>
        <v/>
      </c>
      <c r="M277" s="15">
        <f>IF(G277="","",IF(J277&lt;&gt;"",AVERAGE(G277,J277),G277))</f>
        <v/>
      </c>
      <c r="N277" s="15">
        <f>IF(OR(L277="",M277=""),"",AVERAGE(L277,M277))</f>
        <v/>
      </c>
    </row>
    <row r="278"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15" t="n"/>
      <c r="G278" s="15" t="n"/>
      <c r="H278">
        <f>IFERROR(INDEX(מלאי!$N$2:$N$500,MATCH(A278,מלאי!$D$2:$D$500,0)),"")</f>
        <v/>
      </c>
      <c r="I278" s="15" t="n"/>
      <c r="J278" s="15" t="n"/>
      <c r="L278" s="15">
        <f>IF(F278="","",IF(I278&lt;&gt;"",AVERAGE(F278,I278),F278))</f>
        <v/>
      </c>
      <c r="M278" s="15">
        <f>IF(G278="","",IF(J278&lt;&gt;"",AVERAGE(G278,J278),G278))</f>
        <v/>
      </c>
      <c r="N278" s="15">
        <f>IF(OR(L278="",M278=""),"",AVERAGE(L278,M278))</f>
        <v/>
      </c>
    </row>
    <row r="279"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15" t="n"/>
      <c r="G279" s="15" t="n"/>
      <c r="H279">
        <f>IFERROR(INDEX(מלאי!$N$2:$N$500,MATCH(A279,מלאי!$D$2:$D$500,0)),"")</f>
        <v/>
      </c>
      <c r="I279" s="15" t="n"/>
      <c r="J279" s="15" t="n"/>
      <c r="L279" s="15">
        <f>IF(F279="","",IF(I279&lt;&gt;"",AVERAGE(F279,I279),F279))</f>
        <v/>
      </c>
      <c r="M279" s="15">
        <f>IF(G279="","",IF(J279&lt;&gt;"",AVERAGE(G279,J279),G279))</f>
        <v/>
      </c>
      <c r="N279" s="15">
        <f>IF(OR(L279="",M279=""),"",AVERAGE(L279,M279))</f>
        <v/>
      </c>
    </row>
    <row r="280"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15" t="n"/>
      <c r="G280" s="15" t="n"/>
      <c r="H280">
        <f>IFERROR(INDEX(מלאי!$N$2:$N$500,MATCH(A280,מלאי!$D$2:$D$500,0)),"")</f>
        <v/>
      </c>
      <c r="I280" s="15" t="n"/>
      <c r="J280" s="15" t="n"/>
      <c r="L280" s="15">
        <f>IF(F280="","",IF(I280&lt;&gt;"",AVERAGE(F280,I280),F280))</f>
        <v/>
      </c>
      <c r="M280" s="15">
        <f>IF(G280="","",IF(J280&lt;&gt;"",AVERAGE(G280,J280),G280))</f>
        <v/>
      </c>
      <c r="N280" s="15">
        <f>IF(OR(L280="",M280=""),"",AVERAGE(L280,M280))</f>
        <v/>
      </c>
    </row>
    <row r="281"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15" t="n"/>
      <c r="G281" s="15" t="n"/>
      <c r="H281">
        <f>IFERROR(INDEX(מלאי!$N$2:$N$500,MATCH(A281,מלאי!$D$2:$D$500,0)),"")</f>
        <v/>
      </c>
      <c r="I281" s="15" t="n"/>
      <c r="J281" s="15" t="n"/>
      <c r="L281" s="15">
        <f>IF(F281="","",IF(I281&lt;&gt;"",AVERAGE(F281,I281),F281))</f>
        <v/>
      </c>
      <c r="M281" s="15">
        <f>IF(G281="","",IF(J281&lt;&gt;"",AVERAGE(G281,J281),G281))</f>
        <v/>
      </c>
      <c r="N281" s="15">
        <f>IF(OR(L281="",M281=""),"",AVERAGE(L281,M281))</f>
        <v/>
      </c>
    </row>
    <row r="282"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15" t="n"/>
      <c r="G282" s="15" t="n"/>
      <c r="H282">
        <f>IFERROR(INDEX(מלאי!$N$2:$N$500,MATCH(A282,מלאי!$D$2:$D$500,0)),"")</f>
        <v/>
      </c>
      <c r="I282" s="15" t="n"/>
      <c r="J282" s="15" t="n"/>
      <c r="L282" s="15">
        <f>IF(F282="","",IF(I282&lt;&gt;"",AVERAGE(F282,I282),F282))</f>
        <v/>
      </c>
      <c r="M282" s="15">
        <f>IF(G282="","",IF(J282&lt;&gt;"",AVERAGE(G282,J282),G282))</f>
        <v/>
      </c>
      <c r="N282" s="15">
        <f>IF(OR(L282="",M282=""),"",AVERAGE(L282,M282))</f>
        <v/>
      </c>
    </row>
    <row r="283"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15" t="n"/>
      <c r="G283" s="15" t="n"/>
      <c r="H283">
        <f>IFERROR(INDEX(מלאי!$N$2:$N$500,MATCH(A283,מלאי!$D$2:$D$500,0)),"")</f>
        <v/>
      </c>
      <c r="I283" s="15" t="n"/>
      <c r="J283" s="15" t="n"/>
      <c r="L283" s="15">
        <f>IF(F283="","",IF(I283&lt;&gt;"",AVERAGE(F283,I283),F283))</f>
        <v/>
      </c>
      <c r="M283" s="15">
        <f>IF(G283="","",IF(J283&lt;&gt;"",AVERAGE(G283,J283),G283))</f>
        <v/>
      </c>
      <c r="N283" s="15">
        <f>IF(OR(L283="",M283=""),"",AVERAGE(L283,M283))</f>
        <v/>
      </c>
    </row>
    <row r="284"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15" t="n"/>
      <c r="G284" s="15" t="n"/>
      <c r="H284">
        <f>IFERROR(INDEX(מלאי!$N$2:$N$500,MATCH(A284,מלאי!$D$2:$D$500,0)),"")</f>
        <v/>
      </c>
      <c r="I284" s="15" t="n"/>
      <c r="J284" s="15" t="n"/>
      <c r="L284" s="15">
        <f>IF(F284="","",IF(I284&lt;&gt;"",AVERAGE(F284,I284),F284))</f>
        <v/>
      </c>
      <c r="M284" s="15">
        <f>IF(G284="","",IF(J284&lt;&gt;"",AVERAGE(G284,J284),G284))</f>
        <v/>
      </c>
      <c r="N284" s="15">
        <f>IF(OR(L284="",M284=""),"",AVERAGE(L284,M284))</f>
        <v/>
      </c>
    </row>
    <row r="285"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15" t="n"/>
      <c r="G285" s="15" t="n"/>
      <c r="H285">
        <f>IFERROR(INDEX(מלאי!$N$2:$N$500,MATCH(A285,מלאי!$D$2:$D$500,0)),"")</f>
        <v/>
      </c>
      <c r="I285" s="15" t="n"/>
      <c r="J285" s="15" t="n"/>
      <c r="L285" s="15">
        <f>IF(F285="","",IF(I285&lt;&gt;"",AVERAGE(F285,I285),F285))</f>
        <v/>
      </c>
      <c r="M285" s="15">
        <f>IF(G285="","",IF(J285&lt;&gt;"",AVERAGE(G285,J285),G285))</f>
        <v/>
      </c>
      <c r="N285" s="15">
        <f>IF(OR(L285="",M285=""),"",AVERAGE(L285,M285))</f>
        <v/>
      </c>
    </row>
    <row r="286"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15" t="n"/>
      <c r="G286" s="15" t="n"/>
      <c r="H286">
        <f>IFERROR(INDEX(מלאי!$N$2:$N$500,MATCH(A286,מלאי!$D$2:$D$500,0)),"")</f>
        <v/>
      </c>
      <c r="I286" s="15" t="n"/>
      <c r="J286" s="15" t="n"/>
      <c r="L286" s="15">
        <f>IF(F286="","",IF(I286&lt;&gt;"",AVERAGE(F286,I286),F286))</f>
        <v/>
      </c>
      <c r="M286" s="15">
        <f>IF(G286="","",IF(J286&lt;&gt;"",AVERAGE(G286,J286),G286))</f>
        <v/>
      </c>
      <c r="N286" s="15">
        <f>IF(OR(L286="",M286=""),"",AVERAGE(L286,M286))</f>
        <v/>
      </c>
    </row>
    <row r="287"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15" t="n"/>
      <c r="G287" s="15" t="n"/>
      <c r="H287">
        <f>IFERROR(INDEX(מלאי!$N$2:$N$500,MATCH(A287,מלאי!$D$2:$D$500,0)),"")</f>
        <v/>
      </c>
      <c r="I287" s="15" t="n"/>
      <c r="J287" s="15" t="n"/>
      <c r="L287" s="15">
        <f>IF(F287="","",IF(I287&lt;&gt;"",AVERAGE(F287,I287),F287))</f>
        <v/>
      </c>
      <c r="M287" s="15">
        <f>IF(G287="","",IF(J287&lt;&gt;"",AVERAGE(G287,J287),G287))</f>
        <v/>
      </c>
      <c r="N287" s="15">
        <f>IF(OR(L287="",M287=""),"",AVERAGE(L287,M287))</f>
        <v/>
      </c>
    </row>
    <row r="288"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15" t="n"/>
      <c r="G288" s="15" t="n"/>
      <c r="H288">
        <f>IFERROR(INDEX(מלאי!$N$2:$N$500,MATCH(A288,מלאי!$D$2:$D$500,0)),"")</f>
        <v/>
      </c>
      <c r="I288" s="15" t="n"/>
      <c r="J288" s="15" t="n"/>
      <c r="L288" s="15">
        <f>IF(F288="","",IF(I288&lt;&gt;"",AVERAGE(F288,I288),F288))</f>
        <v/>
      </c>
      <c r="M288" s="15">
        <f>IF(G288="","",IF(J288&lt;&gt;"",AVERAGE(G288,J288),G288))</f>
        <v/>
      </c>
      <c r="N288" s="15">
        <f>IF(OR(L288="",M288=""),"",AVERAGE(L288,M288))</f>
        <v/>
      </c>
    </row>
    <row r="289"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15" t="n"/>
      <c r="G289" s="15" t="n"/>
      <c r="H289">
        <f>IFERROR(INDEX(מלאי!$N$2:$N$500,MATCH(A289,מלאי!$D$2:$D$500,0)),"")</f>
        <v/>
      </c>
      <c r="I289" s="15" t="n"/>
      <c r="J289" s="15" t="n"/>
      <c r="L289" s="15">
        <f>IF(F289="","",IF(I289&lt;&gt;"",AVERAGE(F289,I289),F289))</f>
        <v/>
      </c>
      <c r="M289" s="15">
        <f>IF(G289="","",IF(J289&lt;&gt;"",AVERAGE(G289,J289),G289))</f>
        <v/>
      </c>
      <c r="N289" s="15">
        <f>IF(OR(L289="",M289=""),"",AVERAGE(L289,M289))</f>
        <v/>
      </c>
    </row>
    <row r="290"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15" t="n"/>
      <c r="G290" s="15" t="n"/>
      <c r="H290">
        <f>IFERROR(INDEX(מלאי!$N$2:$N$500,MATCH(A290,מלאי!$D$2:$D$500,0)),"")</f>
        <v/>
      </c>
      <c r="I290" s="15" t="n"/>
      <c r="J290" s="15" t="n"/>
      <c r="L290" s="15">
        <f>IF(F290="","",IF(I290&lt;&gt;"",AVERAGE(F290,I290),F290))</f>
        <v/>
      </c>
      <c r="M290" s="15">
        <f>IF(G290="","",IF(J290&lt;&gt;"",AVERAGE(G290,J290),G290))</f>
        <v/>
      </c>
      <c r="N290" s="15">
        <f>IF(OR(L290="",M290=""),"",AVERAGE(L290,M290))</f>
        <v/>
      </c>
    </row>
    <row r="291"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15" t="n"/>
      <c r="G291" s="15" t="n"/>
      <c r="H291">
        <f>IFERROR(INDEX(מלאי!$N$2:$N$500,MATCH(A291,מלאי!$D$2:$D$500,0)),"")</f>
        <v/>
      </c>
      <c r="I291" s="15" t="n"/>
      <c r="J291" s="15" t="n"/>
      <c r="L291" s="15">
        <f>IF(F291="","",IF(I291&lt;&gt;"",AVERAGE(F291,I291),F291))</f>
        <v/>
      </c>
      <c r="M291" s="15">
        <f>IF(G291="","",IF(J291&lt;&gt;"",AVERAGE(G291,J291),G291))</f>
        <v/>
      </c>
      <c r="N291" s="15">
        <f>IF(OR(L291="",M291=""),"",AVERAGE(L291,M291))</f>
        <v/>
      </c>
    </row>
    <row r="292"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15" t="n"/>
      <c r="G292" s="15" t="n"/>
      <c r="H292">
        <f>IFERROR(INDEX(מלאי!$N$2:$N$500,MATCH(A292,מלאי!$D$2:$D$500,0)),"")</f>
        <v/>
      </c>
      <c r="I292" s="15" t="n"/>
      <c r="J292" s="15" t="n"/>
      <c r="L292" s="15">
        <f>IF(F292="","",IF(I292&lt;&gt;"",AVERAGE(F292,I292),F292))</f>
        <v/>
      </c>
      <c r="M292" s="15">
        <f>IF(G292="","",IF(J292&lt;&gt;"",AVERAGE(G292,J292),G292))</f>
        <v/>
      </c>
      <c r="N292" s="15">
        <f>IF(OR(L292="",M292=""),"",AVERAGE(L292,M292))</f>
        <v/>
      </c>
    </row>
    <row r="293"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15" t="n"/>
      <c r="G293" s="15" t="n"/>
      <c r="H293">
        <f>IFERROR(INDEX(מלאי!$N$2:$N$500,MATCH(A293,מלאי!$D$2:$D$500,0)),"")</f>
        <v/>
      </c>
      <c r="I293" s="15" t="n"/>
      <c r="J293" s="15" t="n"/>
      <c r="L293" s="15">
        <f>IF(F293="","",IF(I293&lt;&gt;"",AVERAGE(F293,I293),F293))</f>
        <v/>
      </c>
      <c r="M293" s="15">
        <f>IF(G293="","",IF(J293&lt;&gt;"",AVERAGE(G293,J293),G293))</f>
        <v/>
      </c>
      <c r="N293" s="15">
        <f>IF(OR(L293="",M293=""),"",AVERAGE(L293,M293))</f>
        <v/>
      </c>
    </row>
    <row r="294"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15" t="n"/>
      <c r="G294" s="15" t="n"/>
      <c r="H294">
        <f>IFERROR(INDEX(מלאי!$N$2:$N$500,MATCH(A294,מלאי!$D$2:$D$500,0)),"")</f>
        <v/>
      </c>
      <c r="I294" s="15" t="n"/>
      <c r="J294" s="15" t="n"/>
      <c r="L294" s="15">
        <f>IF(F294="","",IF(I294&lt;&gt;"",AVERAGE(F294,I294),F294))</f>
        <v/>
      </c>
      <c r="M294" s="15">
        <f>IF(G294="","",IF(J294&lt;&gt;"",AVERAGE(G294,J294),G294))</f>
        <v/>
      </c>
      <c r="N294" s="15">
        <f>IF(OR(L294="",M294=""),"",AVERAGE(L294,M294))</f>
        <v/>
      </c>
    </row>
    <row r="295"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15" t="n"/>
      <c r="G295" s="15" t="n"/>
      <c r="H295">
        <f>IFERROR(INDEX(מלאי!$N$2:$N$500,MATCH(A295,מלאי!$D$2:$D$500,0)),"")</f>
        <v/>
      </c>
      <c r="I295" s="15" t="n"/>
      <c r="J295" s="15" t="n"/>
      <c r="L295" s="15">
        <f>IF(F295="","",IF(I295&lt;&gt;"",AVERAGE(F295,I295),F295))</f>
        <v/>
      </c>
      <c r="M295" s="15">
        <f>IF(G295="","",IF(J295&lt;&gt;"",AVERAGE(G295,J295),G295))</f>
        <v/>
      </c>
      <c r="N295" s="15">
        <f>IF(OR(L295="",M295=""),"",AVERAGE(L295,M295))</f>
        <v/>
      </c>
    </row>
    <row r="296"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15" t="n"/>
      <c r="G296" s="15" t="n"/>
      <c r="H296">
        <f>IFERROR(INDEX(מלאי!$N$2:$N$500,MATCH(A296,מלאי!$D$2:$D$500,0)),"")</f>
        <v/>
      </c>
      <c r="I296" s="15" t="n"/>
      <c r="J296" s="15" t="n"/>
      <c r="L296" s="15">
        <f>IF(F296="","",IF(I296&lt;&gt;"",AVERAGE(F296,I296),F296))</f>
        <v/>
      </c>
      <c r="M296" s="15">
        <f>IF(G296="","",IF(J296&lt;&gt;"",AVERAGE(G296,J296),G296))</f>
        <v/>
      </c>
      <c r="N296" s="15">
        <f>IF(OR(L296="",M296=""),"",AVERAGE(L296,M296))</f>
        <v/>
      </c>
    </row>
    <row r="297"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15" t="n"/>
      <c r="G297" s="15" t="n"/>
      <c r="H297">
        <f>IFERROR(INDEX(מלאי!$N$2:$N$500,MATCH(A297,מלאי!$D$2:$D$500,0)),"")</f>
        <v/>
      </c>
      <c r="I297" s="15" t="n"/>
      <c r="J297" s="15" t="n"/>
      <c r="L297" s="15">
        <f>IF(F297="","",IF(I297&lt;&gt;"",AVERAGE(F297,I297),F297))</f>
        <v/>
      </c>
      <c r="M297" s="15">
        <f>IF(G297="","",IF(J297&lt;&gt;"",AVERAGE(G297,J297),G297))</f>
        <v/>
      </c>
      <c r="N297" s="15">
        <f>IF(OR(L297="",M297=""),"",AVERAGE(L297,M297))</f>
        <v/>
      </c>
    </row>
    <row r="298"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15" t="n"/>
      <c r="G298" s="15" t="n"/>
      <c r="H298">
        <f>IFERROR(INDEX(מלאי!$N$2:$N$500,MATCH(A298,מלאי!$D$2:$D$500,0)),"")</f>
        <v/>
      </c>
      <c r="I298" s="15" t="n"/>
      <c r="J298" s="15" t="n"/>
      <c r="L298" s="15">
        <f>IF(F298="","",IF(I298&lt;&gt;"",AVERAGE(F298,I298),F298))</f>
        <v/>
      </c>
      <c r="M298" s="15">
        <f>IF(G298="","",IF(J298&lt;&gt;"",AVERAGE(G298,J298),G298))</f>
        <v/>
      </c>
      <c r="N298" s="15">
        <f>IF(OR(L298="",M298=""),"",AVERAGE(L298,M298))</f>
        <v/>
      </c>
    </row>
    <row r="299"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15" t="n"/>
      <c r="G299" s="15" t="n"/>
      <c r="H299">
        <f>IFERROR(INDEX(מלאי!$N$2:$N$500,MATCH(A299,מלאי!$D$2:$D$500,0)),"")</f>
        <v/>
      </c>
      <c r="I299" s="15" t="n"/>
      <c r="J299" s="15" t="n"/>
      <c r="L299" s="15">
        <f>IF(F299="","",IF(I299&lt;&gt;"",AVERAGE(F299,I299),F299))</f>
        <v/>
      </c>
      <c r="M299" s="15">
        <f>IF(G299="","",IF(J299&lt;&gt;"",AVERAGE(G299,J299),G299))</f>
        <v/>
      </c>
      <c r="N299" s="15">
        <f>IF(OR(L299="",M299=""),"",AVERAGE(L299,M299))</f>
        <v/>
      </c>
    </row>
    <row r="300"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15" t="n"/>
      <c r="G300" s="15" t="n"/>
      <c r="H300">
        <f>IFERROR(INDEX(מלאי!$N$2:$N$500,MATCH(A300,מלאי!$D$2:$D$500,0)),"")</f>
        <v/>
      </c>
      <c r="I300" s="15" t="n"/>
      <c r="J300" s="15" t="n"/>
      <c r="L300" s="15">
        <f>IF(F300="","",IF(I300&lt;&gt;"",AVERAGE(F300,I300),F300))</f>
        <v/>
      </c>
      <c r="M300" s="15">
        <f>IF(G300="","",IF(J300&lt;&gt;"",AVERAGE(G300,J300),G300))</f>
        <v/>
      </c>
      <c r="N300" s="15">
        <f>IF(OR(L300="",M300=""),"",AVERAGE(L300,M300))</f>
        <v/>
      </c>
    </row>
    <row r="301"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15" t="n"/>
      <c r="G301" s="15" t="n"/>
      <c r="H301">
        <f>IFERROR(INDEX(מלאי!$N$2:$N$500,MATCH(A301,מלאי!$D$2:$D$500,0)),"")</f>
        <v/>
      </c>
      <c r="I301" s="15" t="n"/>
      <c r="J301" s="15" t="n"/>
      <c r="L301" s="15">
        <f>IF(F301="","",IF(I301&lt;&gt;"",AVERAGE(F301,I301),F301))</f>
        <v/>
      </c>
      <c r="M301" s="15">
        <f>IF(G301="","",IF(J301&lt;&gt;"",AVERAGE(G301,J301),G301))</f>
        <v/>
      </c>
      <c r="N301" s="15">
        <f>IF(OR(L301="",M301=""),"",AVERAGE(L301,M301))</f>
        <v/>
      </c>
    </row>
    <row r="302"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15" t="n"/>
      <c r="G302" s="15" t="n"/>
      <c r="H302">
        <f>IFERROR(INDEX(מלאי!$N$2:$N$500,MATCH(A302,מלאי!$D$2:$D$500,0)),"")</f>
        <v/>
      </c>
      <c r="I302" s="15" t="n"/>
      <c r="J302" s="15" t="n"/>
      <c r="L302" s="15">
        <f>IF(F302="","",IF(I302&lt;&gt;"",AVERAGE(F302,I302),F302))</f>
        <v/>
      </c>
      <c r="M302" s="15">
        <f>IF(G302="","",IF(J302&lt;&gt;"",AVERAGE(G302,J302),G302))</f>
        <v/>
      </c>
      <c r="N302" s="15">
        <f>IF(OR(L302="",M302=""),"",AVERAGE(L302,M302))</f>
        <v/>
      </c>
    </row>
    <row r="303"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15" t="n"/>
      <c r="G303" s="15" t="n"/>
      <c r="H303">
        <f>IFERROR(INDEX(מלאי!$N$2:$N$500,MATCH(A303,מלאי!$D$2:$D$500,0)),"")</f>
        <v/>
      </c>
      <c r="I303" s="15" t="n"/>
      <c r="J303" s="15" t="n"/>
      <c r="L303" s="15">
        <f>IF(F303="","",IF(I303&lt;&gt;"",AVERAGE(F303,I303),F303))</f>
        <v/>
      </c>
      <c r="M303" s="15">
        <f>IF(G303="","",IF(J303&lt;&gt;"",AVERAGE(G303,J303),G303))</f>
        <v/>
      </c>
      <c r="N303" s="15">
        <f>IF(OR(L303="",M303=""),"",AVERAGE(L303,M303))</f>
        <v/>
      </c>
    </row>
    <row r="304"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15" t="n"/>
      <c r="G304" s="15" t="n"/>
      <c r="H304">
        <f>IFERROR(INDEX(מלאי!$N$2:$N$500,MATCH(A304,מלאי!$D$2:$D$500,0)),"")</f>
        <v/>
      </c>
      <c r="I304" s="15" t="n"/>
      <c r="J304" s="15" t="n"/>
      <c r="L304" s="15">
        <f>IF(F304="","",IF(I304&lt;&gt;"",AVERAGE(F304,I304),F304))</f>
        <v/>
      </c>
      <c r="M304" s="15">
        <f>IF(G304="","",IF(J304&lt;&gt;"",AVERAGE(G304,J304),G304))</f>
        <v/>
      </c>
      <c r="N304" s="15">
        <f>IF(OR(L304="",M304=""),"",AVERAGE(L304,M304))</f>
        <v/>
      </c>
    </row>
    <row r="305"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15" t="n"/>
      <c r="G305" s="15" t="n"/>
      <c r="H305">
        <f>IFERROR(INDEX(מלאי!$N$2:$N$500,MATCH(A305,מלאי!$D$2:$D$500,0)),"")</f>
        <v/>
      </c>
      <c r="I305" s="15" t="n"/>
      <c r="J305" s="15" t="n"/>
      <c r="L305" s="15">
        <f>IF(F305="","",IF(I305&lt;&gt;"",AVERAGE(F305,I305),F305))</f>
        <v/>
      </c>
      <c r="M305" s="15">
        <f>IF(G305="","",IF(J305&lt;&gt;"",AVERAGE(G305,J305),G305))</f>
        <v/>
      </c>
      <c r="N305" s="15">
        <f>IF(OR(L305="",M305=""),"",AVERAGE(L305,M305))</f>
        <v/>
      </c>
    </row>
    <row r="306"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15" t="n"/>
      <c r="G306" s="15" t="n"/>
      <c r="H306">
        <f>IFERROR(INDEX(מלאי!$N$2:$N$500,MATCH(A306,מלאי!$D$2:$D$500,0)),"")</f>
        <v/>
      </c>
      <c r="I306" s="15" t="n"/>
      <c r="J306" s="15" t="n"/>
      <c r="L306" s="15">
        <f>IF(F306="","",IF(I306&lt;&gt;"",AVERAGE(F306,I306),F306))</f>
        <v/>
      </c>
      <c r="M306" s="15">
        <f>IF(G306="","",IF(J306&lt;&gt;"",AVERAGE(G306,J306),G306))</f>
        <v/>
      </c>
      <c r="N306" s="15">
        <f>IF(OR(L306="",M306=""),"",AVERAGE(L306,M306))</f>
        <v/>
      </c>
    </row>
    <row r="307"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15" t="n"/>
      <c r="G307" s="15" t="n"/>
      <c r="H307">
        <f>IFERROR(INDEX(מלאי!$N$2:$N$500,MATCH(A307,מלאי!$D$2:$D$500,0)),"")</f>
        <v/>
      </c>
      <c r="I307" s="15" t="n"/>
      <c r="J307" s="15" t="n"/>
      <c r="L307" s="15">
        <f>IF(F307="","",IF(I307&lt;&gt;"",AVERAGE(F307,I307),F307))</f>
        <v/>
      </c>
      <c r="M307" s="15">
        <f>IF(G307="","",IF(J307&lt;&gt;"",AVERAGE(G307,J307),G307))</f>
        <v/>
      </c>
      <c r="N307" s="15">
        <f>IF(OR(L307="",M307=""),"",AVERAGE(L307,M307))</f>
        <v/>
      </c>
    </row>
    <row r="308"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15" t="n"/>
      <c r="G308" s="15" t="n"/>
      <c r="H308">
        <f>IFERROR(INDEX(מלאי!$N$2:$N$500,MATCH(A308,מלאי!$D$2:$D$500,0)),"")</f>
        <v/>
      </c>
      <c r="I308" s="15" t="n"/>
      <c r="J308" s="15" t="n"/>
      <c r="L308" s="15">
        <f>IF(F308="","",IF(I308&lt;&gt;"",AVERAGE(F308,I308),F308))</f>
        <v/>
      </c>
      <c r="M308" s="15">
        <f>IF(G308="","",IF(J308&lt;&gt;"",AVERAGE(G308,J308),G308))</f>
        <v/>
      </c>
      <c r="N308" s="15">
        <f>IF(OR(L308="",M308=""),"",AVERAGE(L308,M308))</f>
        <v/>
      </c>
    </row>
    <row r="309"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15" t="n"/>
      <c r="G309" s="15" t="n"/>
      <c r="H309">
        <f>IFERROR(INDEX(מלאי!$N$2:$N$500,MATCH(A309,מלאי!$D$2:$D$500,0)),"")</f>
        <v/>
      </c>
      <c r="I309" s="15" t="n"/>
      <c r="J309" s="15" t="n"/>
      <c r="L309" s="15">
        <f>IF(F309="","",IF(I309&lt;&gt;"",AVERAGE(F309,I309),F309))</f>
        <v/>
      </c>
      <c r="M309" s="15">
        <f>IF(G309="","",IF(J309&lt;&gt;"",AVERAGE(G309,J309),G309))</f>
        <v/>
      </c>
      <c r="N309" s="15">
        <f>IF(OR(L309="",M309=""),"",AVERAGE(L309,M309))</f>
        <v/>
      </c>
    </row>
    <row r="310"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15" t="n"/>
      <c r="G310" s="15" t="n"/>
      <c r="H310">
        <f>IFERROR(INDEX(מלאי!$N$2:$N$500,MATCH(A310,מלאי!$D$2:$D$500,0)),"")</f>
        <v/>
      </c>
      <c r="I310" s="15" t="n"/>
      <c r="J310" s="15" t="n"/>
      <c r="L310" s="15">
        <f>IF(F310="","",IF(I310&lt;&gt;"",AVERAGE(F310,I310),F310))</f>
        <v/>
      </c>
      <c r="M310" s="15">
        <f>IF(G310="","",IF(J310&lt;&gt;"",AVERAGE(G310,J310),G310))</f>
        <v/>
      </c>
      <c r="N310" s="15">
        <f>IF(OR(L310="",M310=""),"",AVERAGE(L310,M310))</f>
        <v/>
      </c>
    </row>
    <row r="311"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15" t="n"/>
      <c r="G311" s="15" t="n"/>
      <c r="H311">
        <f>IFERROR(INDEX(מלאי!$N$2:$N$500,MATCH(A311,מלאי!$D$2:$D$500,0)),"")</f>
        <v/>
      </c>
      <c r="I311" s="15" t="n"/>
      <c r="J311" s="15" t="n"/>
      <c r="L311" s="15">
        <f>IF(F311="","",IF(I311&lt;&gt;"",AVERAGE(F311,I311),F311))</f>
        <v/>
      </c>
      <c r="M311" s="15">
        <f>IF(G311="","",IF(J311&lt;&gt;"",AVERAGE(G311,J311),G311))</f>
        <v/>
      </c>
      <c r="N311" s="15">
        <f>IF(OR(L311="",M311=""),"",AVERAGE(L311,M311))</f>
        <v/>
      </c>
    </row>
    <row r="312"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15" t="n"/>
      <c r="G312" s="15" t="n"/>
      <c r="H312">
        <f>IFERROR(INDEX(מלאי!$N$2:$N$500,MATCH(A312,מלאי!$D$2:$D$500,0)),"")</f>
        <v/>
      </c>
      <c r="I312" s="15" t="n"/>
      <c r="J312" s="15" t="n"/>
      <c r="L312" s="15">
        <f>IF(F312="","",IF(I312&lt;&gt;"",AVERAGE(F312,I312),F312))</f>
        <v/>
      </c>
      <c r="M312" s="15">
        <f>IF(G312="","",IF(J312&lt;&gt;"",AVERAGE(G312,J312),G312))</f>
        <v/>
      </c>
      <c r="N312" s="15">
        <f>IF(OR(L312="",M312=""),"",AVERAGE(L312,M312))</f>
        <v/>
      </c>
    </row>
    <row r="313"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15" t="n"/>
      <c r="G313" s="15" t="n"/>
      <c r="H313">
        <f>IFERROR(INDEX(מלאי!$N$2:$N$500,MATCH(A313,מלאי!$D$2:$D$500,0)),"")</f>
        <v/>
      </c>
      <c r="I313" s="15" t="n"/>
      <c r="J313" s="15" t="n"/>
      <c r="L313" s="15">
        <f>IF(F313="","",IF(I313&lt;&gt;"",AVERAGE(F313,I313),F313))</f>
        <v/>
      </c>
      <c r="M313" s="15">
        <f>IF(G313="","",IF(J313&lt;&gt;"",AVERAGE(G313,J313),G313))</f>
        <v/>
      </c>
      <c r="N313" s="15">
        <f>IF(OR(L313="",M313=""),"",AVERAGE(L313,M313))</f>
        <v/>
      </c>
    </row>
    <row r="314"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15" t="n"/>
      <c r="G314" s="15" t="n"/>
      <c r="H314">
        <f>IFERROR(INDEX(מלאי!$N$2:$N$500,MATCH(A314,מלאי!$D$2:$D$500,0)),"")</f>
        <v/>
      </c>
      <c r="I314" s="15" t="n"/>
      <c r="J314" s="15" t="n"/>
      <c r="L314" s="15">
        <f>IF(F314="","",IF(I314&lt;&gt;"",AVERAGE(F314,I314),F314))</f>
        <v/>
      </c>
      <c r="M314" s="15">
        <f>IF(G314="","",IF(J314&lt;&gt;"",AVERAGE(G314,J314),G314))</f>
        <v/>
      </c>
      <c r="N314" s="15">
        <f>IF(OR(L314="",M314=""),"",AVERAGE(L314,M314))</f>
        <v/>
      </c>
    </row>
    <row r="315"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15" t="n"/>
      <c r="G315" s="15" t="n"/>
      <c r="H315">
        <f>IFERROR(INDEX(מלאי!$N$2:$N$500,MATCH(A315,מלאי!$D$2:$D$500,0)),"")</f>
        <v/>
      </c>
      <c r="I315" s="15" t="n"/>
      <c r="J315" s="15" t="n"/>
      <c r="L315" s="15">
        <f>IF(F315="","",IF(I315&lt;&gt;"",AVERAGE(F315,I315),F315))</f>
        <v/>
      </c>
      <c r="M315" s="15">
        <f>IF(G315="","",IF(J315&lt;&gt;"",AVERAGE(G315,J315),G315))</f>
        <v/>
      </c>
      <c r="N315" s="15">
        <f>IF(OR(L315="",M315=""),"",AVERAGE(L315,M315))</f>
        <v/>
      </c>
    </row>
    <row r="316"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15" t="n"/>
      <c r="G316" s="15" t="n"/>
      <c r="H316">
        <f>IFERROR(INDEX(מלאי!$N$2:$N$500,MATCH(A316,מלאי!$D$2:$D$500,0)),"")</f>
        <v/>
      </c>
      <c r="I316" s="15" t="n"/>
      <c r="J316" s="15" t="n"/>
      <c r="L316" s="15">
        <f>IF(F316="","",IF(I316&lt;&gt;"",AVERAGE(F316,I316),F316))</f>
        <v/>
      </c>
      <c r="M316" s="15">
        <f>IF(G316="","",IF(J316&lt;&gt;"",AVERAGE(G316,J316),G316))</f>
        <v/>
      </c>
      <c r="N316" s="15">
        <f>IF(OR(L316="",M316=""),"",AVERAGE(L316,M316))</f>
        <v/>
      </c>
    </row>
    <row r="317"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15" t="n"/>
      <c r="G317" s="15" t="n"/>
      <c r="H317">
        <f>IFERROR(INDEX(מלאי!$N$2:$N$500,MATCH(A317,מלאי!$D$2:$D$500,0)),"")</f>
        <v/>
      </c>
      <c r="I317" s="15" t="n"/>
      <c r="J317" s="15" t="n"/>
      <c r="L317" s="15">
        <f>IF(F317="","",IF(I317&lt;&gt;"",AVERAGE(F317,I317),F317))</f>
        <v/>
      </c>
      <c r="M317" s="15">
        <f>IF(G317="","",IF(J317&lt;&gt;"",AVERAGE(G317,J317),G317))</f>
        <v/>
      </c>
      <c r="N317" s="15">
        <f>IF(OR(L317="",M317=""),"",AVERAGE(L317,M317))</f>
        <v/>
      </c>
    </row>
    <row r="318"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15" t="n"/>
      <c r="G318" s="15" t="n"/>
      <c r="H318">
        <f>IFERROR(INDEX(מלאי!$N$2:$N$500,MATCH(A318,מלאי!$D$2:$D$500,0)),"")</f>
        <v/>
      </c>
      <c r="I318" s="15" t="n"/>
      <c r="J318" s="15" t="n"/>
      <c r="L318" s="15">
        <f>IF(F318="","",IF(I318&lt;&gt;"",AVERAGE(F318,I318),F318))</f>
        <v/>
      </c>
      <c r="M318" s="15">
        <f>IF(G318="","",IF(J318&lt;&gt;"",AVERAGE(G318,J318),G318))</f>
        <v/>
      </c>
      <c r="N318" s="15">
        <f>IF(OR(L318="",M318=""),"",AVERAGE(L318,M318))</f>
        <v/>
      </c>
    </row>
    <row r="319"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15" t="n"/>
      <c r="G319" s="15" t="n"/>
      <c r="H319">
        <f>IFERROR(INDEX(מלאי!$N$2:$N$500,MATCH(A319,מלאי!$D$2:$D$500,0)),"")</f>
        <v/>
      </c>
      <c r="I319" s="15" t="n"/>
      <c r="J319" s="15" t="n"/>
      <c r="L319" s="15">
        <f>IF(F319="","",IF(I319&lt;&gt;"",AVERAGE(F319,I319),F319))</f>
        <v/>
      </c>
      <c r="M319" s="15">
        <f>IF(G319="","",IF(J319&lt;&gt;"",AVERAGE(G319,J319),G319))</f>
        <v/>
      </c>
      <c r="N319" s="15">
        <f>IF(OR(L319="",M319=""),"",AVERAGE(L319,M319))</f>
        <v/>
      </c>
    </row>
    <row r="320"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15" t="n"/>
      <c r="G320" s="15" t="n"/>
      <c r="H320">
        <f>IFERROR(INDEX(מלאי!$N$2:$N$500,MATCH(A320,מלאי!$D$2:$D$500,0)),"")</f>
        <v/>
      </c>
      <c r="I320" s="15" t="n"/>
      <c r="J320" s="15" t="n"/>
      <c r="L320" s="15">
        <f>IF(F320="","",IF(I320&lt;&gt;"",AVERAGE(F320,I320),F320))</f>
        <v/>
      </c>
      <c r="M320" s="15">
        <f>IF(G320="","",IF(J320&lt;&gt;"",AVERAGE(G320,J320),G320))</f>
        <v/>
      </c>
      <c r="N320" s="15">
        <f>IF(OR(L320="",M320=""),"",AVERAGE(L320,M320))</f>
        <v/>
      </c>
    </row>
    <row r="321"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15" t="n"/>
      <c r="G321" s="15" t="n"/>
      <c r="H321">
        <f>IFERROR(INDEX(מלאי!$N$2:$N$500,MATCH(A321,מלאי!$D$2:$D$500,0)),"")</f>
        <v/>
      </c>
      <c r="I321" s="15" t="n"/>
      <c r="J321" s="15" t="n"/>
      <c r="L321" s="15">
        <f>IF(F321="","",IF(I321&lt;&gt;"",AVERAGE(F321,I321),F321))</f>
        <v/>
      </c>
      <c r="M321" s="15">
        <f>IF(G321="","",IF(J321&lt;&gt;"",AVERAGE(G321,J321),G321))</f>
        <v/>
      </c>
      <c r="N321" s="15">
        <f>IF(OR(L321="",M321=""),"",AVERAGE(L321,M321))</f>
        <v/>
      </c>
    </row>
    <row r="322"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15" t="n"/>
      <c r="G322" s="15" t="n"/>
      <c r="H322">
        <f>IFERROR(INDEX(מלאי!$N$2:$N$500,MATCH(A322,מלאי!$D$2:$D$500,0)),"")</f>
        <v/>
      </c>
      <c r="I322" s="15" t="n"/>
      <c r="J322" s="15" t="n"/>
      <c r="L322" s="15">
        <f>IF(F322="","",IF(I322&lt;&gt;"",AVERAGE(F322,I322),F322))</f>
        <v/>
      </c>
      <c r="M322" s="15">
        <f>IF(G322="","",IF(J322&lt;&gt;"",AVERAGE(G322,J322),G322))</f>
        <v/>
      </c>
      <c r="N322" s="15">
        <f>IF(OR(L322="",M322=""),"",AVERAGE(L322,M322))</f>
        <v/>
      </c>
    </row>
    <row r="323"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15" t="n"/>
      <c r="G323" s="15" t="n"/>
      <c r="H323">
        <f>IFERROR(INDEX(מלאי!$N$2:$N$500,MATCH(A323,מלאי!$D$2:$D$500,0)),"")</f>
        <v/>
      </c>
      <c r="I323" s="15" t="n"/>
      <c r="J323" s="15" t="n"/>
      <c r="L323" s="15">
        <f>IF(F323="","",IF(I323&lt;&gt;"",AVERAGE(F323,I323),F323))</f>
        <v/>
      </c>
      <c r="M323" s="15">
        <f>IF(G323="","",IF(J323&lt;&gt;"",AVERAGE(G323,J323),G323))</f>
        <v/>
      </c>
      <c r="N323" s="15">
        <f>IF(OR(L323="",M323=""),"",AVERAGE(L323,M323))</f>
        <v/>
      </c>
    </row>
    <row r="324"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15" t="n"/>
      <c r="G324" s="15" t="n"/>
      <c r="H324">
        <f>IFERROR(INDEX(מלאי!$N$2:$N$500,MATCH(A324,מלאי!$D$2:$D$500,0)),"")</f>
        <v/>
      </c>
      <c r="I324" s="15" t="n"/>
      <c r="J324" s="15" t="n"/>
      <c r="L324" s="15">
        <f>IF(F324="","",IF(I324&lt;&gt;"",AVERAGE(F324,I324),F324))</f>
        <v/>
      </c>
      <c r="M324" s="15">
        <f>IF(G324="","",IF(J324&lt;&gt;"",AVERAGE(G324,J324),G324))</f>
        <v/>
      </c>
      <c r="N324" s="15">
        <f>IF(OR(L324="",M324=""),"",AVERAGE(L324,M324))</f>
        <v/>
      </c>
    </row>
    <row r="325"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15" t="n"/>
      <c r="G325" s="15" t="n"/>
      <c r="H325">
        <f>IFERROR(INDEX(מלאי!$N$2:$N$500,MATCH(A325,מלאי!$D$2:$D$500,0)),"")</f>
        <v/>
      </c>
      <c r="I325" s="15" t="n"/>
      <c r="J325" s="15" t="n"/>
      <c r="L325" s="15">
        <f>IF(F325="","",IF(I325&lt;&gt;"",AVERAGE(F325,I325),F325))</f>
        <v/>
      </c>
      <c r="M325" s="15">
        <f>IF(G325="","",IF(J325&lt;&gt;"",AVERAGE(G325,J325),G325))</f>
        <v/>
      </c>
      <c r="N325" s="15">
        <f>IF(OR(L325="",M325=""),"",AVERAGE(L325,M325))</f>
        <v/>
      </c>
    </row>
    <row r="326"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15" t="n"/>
      <c r="G326" s="15" t="n"/>
      <c r="H326">
        <f>IFERROR(INDEX(מלאי!$N$2:$N$500,MATCH(A326,מלאי!$D$2:$D$500,0)),"")</f>
        <v/>
      </c>
      <c r="I326" s="15" t="n"/>
      <c r="J326" s="15" t="n"/>
      <c r="L326" s="15">
        <f>IF(F326="","",IF(I326&lt;&gt;"",AVERAGE(F326,I326),F326))</f>
        <v/>
      </c>
      <c r="M326" s="15">
        <f>IF(G326="","",IF(J326&lt;&gt;"",AVERAGE(G326,J326),G326))</f>
        <v/>
      </c>
      <c r="N326" s="15">
        <f>IF(OR(L326="",M326=""),"",AVERAGE(L326,M326))</f>
        <v/>
      </c>
    </row>
    <row r="327"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15" t="n"/>
      <c r="G327" s="15" t="n"/>
      <c r="H327">
        <f>IFERROR(INDEX(מלאי!$N$2:$N$500,MATCH(A327,מלאי!$D$2:$D$500,0)),"")</f>
        <v/>
      </c>
      <c r="I327" s="15" t="n"/>
      <c r="J327" s="15" t="n"/>
      <c r="L327" s="15">
        <f>IF(F327="","",IF(I327&lt;&gt;"",AVERAGE(F327,I327),F327))</f>
        <v/>
      </c>
      <c r="M327" s="15">
        <f>IF(G327="","",IF(J327&lt;&gt;"",AVERAGE(G327,J327),G327))</f>
        <v/>
      </c>
      <c r="N327" s="15">
        <f>IF(OR(L327="",M327=""),"",AVERAGE(L327,M327))</f>
        <v/>
      </c>
    </row>
    <row r="328"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15" t="n"/>
      <c r="G328" s="15" t="n"/>
      <c r="H328">
        <f>IFERROR(INDEX(מלאי!$N$2:$N$500,MATCH(A328,מלאי!$D$2:$D$500,0)),"")</f>
        <v/>
      </c>
      <c r="I328" s="15" t="n"/>
      <c r="J328" s="15" t="n"/>
      <c r="L328" s="15">
        <f>IF(F328="","",IF(I328&lt;&gt;"",AVERAGE(F328,I328),F328))</f>
        <v/>
      </c>
      <c r="M328" s="15">
        <f>IF(G328="","",IF(J328&lt;&gt;"",AVERAGE(G328,J328),G328))</f>
        <v/>
      </c>
      <c r="N328" s="15">
        <f>IF(OR(L328="",M328=""),"",AVERAGE(L328,M328))</f>
        <v/>
      </c>
    </row>
    <row r="329"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15" t="n"/>
      <c r="G329" s="15" t="n"/>
      <c r="H329">
        <f>IFERROR(INDEX(מלאי!$N$2:$N$500,MATCH(A329,מלאי!$D$2:$D$500,0)),"")</f>
        <v/>
      </c>
      <c r="I329" s="15" t="n"/>
      <c r="J329" s="15" t="n"/>
      <c r="L329" s="15">
        <f>IF(F329="","",IF(I329&lt;&gt;"",AVERAGE(F329,I329),F329))</f>
        <v/>
      </c>
      <c r="M329" s="15">
        <f>IF(G329="","",IF(J329&lt;&gt;"",AVERAGE(G329,J329),G329))</f>
        <v/>
      </c>
      <c r="N329" s="15">
        <f>IF(OR(L329="",M329=""),"",AVERAGE(L329,M329))</f>
        <v/>
      </c>
    </row>
    <row r="330"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15" t="n"/>
      <c r="G330" s="15" t="n"/>
      <c r="H330">
        <f>IFERROR(INDEX(מלאי!$N$2:$N$500,MATCH(A330,מלאי!$D$2:$D$500,0)),"")</f>
        <v/>
      </c>
      <c r="I330" s="15" t="n"/>
      <c r="J330" s="15" t="n"/>
      <c r="L330" s="15">
        <f>IF(F330="","",IF(I330&lt;&gt;"",AVERAGE(F330,I330),F330))</f>
        <v/>
      </c>
      <c r="M330" s="15">
        <f>IF(G330="","",IF(J330&lt;&gt;"",AVERAGE(G330,J330),G330))</f>
        <v/>
      </c>
      <c r="N330" s="15">
        <f>IF(OR(L330="",M330=""),"",AVERAGE(L330,M330))</f>
        <v/>
      </c>
    </row>
    <row r="331"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15" t="n"/>
      <c r="G331" s="15" t="n"/>
      <c r="H331">
        <f>IFERROR(INDEX(מלאי!$N$2:$N$500,MATCH(A331,מלאי!$D$2:$D$500,0)),"")</f>
        <v/>
      </c>
      <c r="I331" s="15" t="n"/>
      <c r="J331" s="15" t="n"/>
      <c r="L331" s="15">
        <f>IF(F331="","",IF(I331&lt;&gt;"",AVERAGE(F331,I331),F331))</f>
        <v/>
      </c>
      <c r="M331" s="15">
        <f>IF(G331="","",IF(J331&lt;&gt;"",AVERAGE(G331,J331),G331))</f>
        <v/>
      </c>
      <c r="N331" s="15">
        <f>IF(OR(L331="",M331=""),"",AVERAGE(L331,M331))</f>
        <v/>
      </c>
    </row>
    <row r="332"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15" t="n"/>
      <c r="G332" s="15" t="n"/>
      <c r="H332">
        <f>IFERROR(INDEX(מלאי!$N$2:$N$500,MATCH(A332,מלאי!$D$2:$D$500,0)),"")</f>
        <v/>
      </c>
      <c r="I332" s="15" t="n"/>
      <c r="J332" s="15" t="n"/>
      <c r="L332" s="15">
        <f>IF(F332="","",IF(I332&lt;&gt;"",AVERAGE(F332,I332),F332))</f>
        <v/>
      </c>
      <c r="M332" s="15">
        <f>IF(G332="","",IF(J332&lt;&gt;"",AVERAGE(G332,J332),G332))</f>
        <v/>
      </c>
      <c r="N332" s="15">
        <f>IF(OR(L332="",M332=""),"",AVERAGE(L332,M332))</f>
        <v/>
      </c>
    </row>
    <row r="333"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15" t="n"/>
      <c r="G333" s="15" t="n"/>
      <c r="H333">
        <f>IFERROR(INDEX(מלאי!$N$2:$N$500,MATCH(A333,מלאי!$D$2:$D$500,0)),"")</f>
        <v/>
      </c>
      <c r="I333" s="15" t="n"/>
      <c r="J333" s="15" t="n"/>
      <c r="L333" s="15">
        <f>IF(F333="","",IF(I333&lt;&gt;"",AVERAGE(F333,I333),F333))</f>
        <v/>
      </c>
      <c r="M333" s="15">
        <f>IF(G333="","",IF(J333&lt;&gt;"",AVERAGE(G333,J333),G333))</f>
        <v/>
      </c>
      <c r="N333" s="15">
        <f>IF(OR(L333="",M333=""),"",AVERAGE(L333,M333))</f>
        <v/>
      </c>
    </row>
    <row r="334"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15" t="n"/>
      <c r="G334" s="15" t="n"/>
      <c r="H334">
        <f>IFERROR(INDEX(מלאי!$N$2:$N$500,MATCH(A334,מלאי!$D$2:$D$500,0)),"")</f>
        <v/>
      </c>
      <c r="I334" s="15" t="n"/>
      <c r="J334" s="15" t="n"/>
      <c r="L334" s="15">
        <f>IF(F334="","",IF(I334&lt;&gt;"",AVERAGE(F334,I334),F334))</f>
        <v/>
      </c>
      <c r="M334" s="15">
        <f>IF(G334="","",IF(J334&lt;&gt;"",AVERAGE(G334,J334),G334))</f>
        <v/>
      </c>
      <c r="N334" s="15">
        <f>IF(OR(L334="",M334=""),"",AVERAGE(L334,M334))</f>
        <v/>
      </c>
    </row>
    <row r="335"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15" t="n"/>
      <c r="G335" s="15" t="n"/>
      <c r="H335">
        <f>IFERROR(INDEX(מלאי!$N$2:$N$500,MATCH(A335,מלאי!$D$2:$D$500,0)),"")</f>
        <v/>
      </c>
      <c r="I335" s="15" t="n"/>
      <c r="J335" s="15" t="n"/>
      <c r="L335" s="15">
        <f>IF(F335="","",IF(I335&lt;&gt;"",AVERAGE(F335,I335),F335))</f>
        <v/>
      </c>
      <c r="M335" s="15">
        <f>IF(G335="","",IF(J335&lt;&gt;"",AVERAGE(G335,J335),G335))</f>
        <v/>
      </c>
      <c r="N335" s="15">
        <f>IF(OR(L335="",M335=""),"",AVERAGE(L335,M335))</f>
        <v/>
      </c>
    </row>
    <row r="336"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15" t="n"/>
      <c r="G336" s="15" t="n"/>
      <c r="H336">
        <f>IFERROR(INDEX(מלאי!$N$2:$N$500,MATCH(A336,מלאי!$D$2:$D$500,0)),"")</f>
        <v/>
      </c>
      <c r="I336" s="15" t="n"/>
      <c r="J336" s="15" t="n"/>
      <c r="L336" s="15">
        <f>IF(F336="","",IF(I336&lt;&gt;"",AVERAGE(F336,I336),F336))</f>
        <v/>
      </c>
      <c r="M336" s="15">
        <f>IF(G336="","",IF(J336&lt;&gt;"",AVERAGE(G336,J336),G336))</f>
        <v/>
      </c>
      <c r="N336" s="15">
        <f>IF(OR(L336="",M336=""),"",AVERAGE(L336,M336))</f>
        <v/>
      </c>
    </row>
    <row r="337"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15" t="n"/>
      <c r="G337" s="15" t="n"/>
      <c r="H337">
        <f>IFERROR(INDEX(מלאי!$N$2:$N$500,MATCH(A337,מלאי!$D$2:$D$500,0)),"")</f>
        <v/>
      </c>
      <c r="I337" s="15" t="n"/>
      <c r="J337" s="15" t="n"/>
      <c r="L337" s="15">
        <f>IF(F337="","",IF(I337&lt;&gt;"",AVERAGE(F337,I337),F337))</f>
        <v/>
      </c>
      <c r="M337" s="15">
        <f>IF(G337="","",IF(J337&lt;&gt;"",AVERAGE(G337,J337),G337))</f>
        <v/>
      </c>
      <c r="N337" s="15">
        <f>IF(OR(L337="",M337=""),"",AVERAGE(L337,M337))</f>
        <v/>
      </c>
    </row>
    <row r="338"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15" t="n"/>
      <c r="G338" s="15" t="n"/>
      <c r="H338">
        <f>IFERROR(INDEX(מלאי!$N$2:$N$500,MATCH(A338,מלאי!$D$2:$D$500,0)),"")</f>
        <v/>
      </c>
      <c r="I338" s="15" t="n"/>
      <c r="J338" s="15" t="n"/>
      <c r="L338" s="15">
        <f>IF(F338="","",IF(I338&lt;&gt;"",AVERAGE(F338,I338),F338))</f>
        <v/>
      </c>
      <c r="M338" s="15">
        <f>IF(G338="","",IF(J338&lt;&gt;"",AVERAGE(G338,J338),G338))</f>
        <v/>
      </c>
      <c r="N338" s="15">
        <f>IF(OR(L338="",M338=""),"",AVERAGE(L338,M338))</f>
        <v/>
      </c>
    </row>
    <row r="339"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15" t="n"/>
      <c r="G339" s="15" t="n"/>
      <c r="H339">
        <f>IFERROR(INDEX(מלאי!$N$2:$N$500,MATCH(A339,מלאי!$D$2:$D$500,0)),"")</f>
        <v/>
      </c>
      <c r="I339" s="15" t="n"/>
      <c r="J339" s="15" t="n"/>
      <c r="L339" s="15">
        <f>IF(F339="","",IF(I339&lt;&gt;"",AVERAGE(F339,I339),F339))</f>
        <v/>
      </c>
      <c r="M339" s="15">
        <f>IF(G339="","",IF(J339&lt;&gt;"",AVERAGE(G339,J339),G339))</f>
        <v/>
      </c>
      <c r="N339" s="15">
        <f>IF(OR(L339="",M339=""),"",AVERAGE(L339,M339))</f>
        <v/>
      </c>
    </row>
    <row r="340"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15" t="n"/>
      <c r="G340" s="15" t="n"/>
      <c r="H340">
        <f>IFERROR(INDEX(מלאי!$N$2:$N$500,MATCH(A340,מלאי!$D$2:$D$500,0)),"")</f>
        <v/>
      </c>
      <c r="I340" s="15" t="n"/>
      <c r="J340" s="15" t="n"/>
      <c r="L340" s="15">
        <f>IF(F340="","",IF(I340&lt;&gt;"",AVERAGE(F340,I340),F340))</f>
        <v/>
      </c>
      <c r="M340" s="15">
        <f>IF(G340="","",IF(J340&lt;&gt;"",AVERAGE(G340,J340),G340))</f>
        <v/>
      </c>
      <c r="N340" s="15">
        <f>IF(OR(L340="",M340=""),"",AVERAGE(L340,M340))</f>
        <v/>
      </c>
    </row>
    <row r="341"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15" t="n"/>
      <c r="G341" s="15" t="n"/>
      <c r="H341">
        <f>IFERROR(INDEX(מלאי!$N$2:$N$500,MATCH(A341,מלאי!$D$2:$D$500,0)),"")</f>
        <v/>
      </c>
      <c r="I341" s="15" t="n"/>
      <c r="J341" s="15" t="n"/>
      <c r="L341" s="15">
        <f>IF(F341="","",IF(I341&lt;&gt;"",AVERAGE(F341,I341),F341))</f>
        <v/>
      </c>
      <c r="M341" s="15">
        <f>IF(G341="","",IF(J341&lt;&gt;"",AVERAGE(G341,J341),G341))</f>
        <v/>
      </c>
      <c r="N341" s="15">
        <f>IF(OR(L341="",M341=""),"",AVERAGE(L341,M341))</f>
        <v/>
      </c>
    </row>
    <row r="342"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15" t="n"/>
      <c r="G342" s="15" t="n"/>
      <c r="H342">
        <f>IFERROR(INDEX(מלאי!$N$2:$N$500,MATCH(A342,מלאי!$D$2:$D$500,0)),"")</f>
        <v/>
      </c>
      <c r="I342" s="15" t="n"/>
      <c r="J342" s="15" t="n"/>
      <c r="L342" s="15">
        <f>IF(F342="","",IF(I342&lt;&gt;"",AVERAGE(F342,I342),F342))</f>
        <v/>
      </c>
      <c r="M342" s="15">
        <f>IF(G342="","",IF(J342&lt;&gt;"",AVERAGE(G342,J342),G342))</f>
        <v/>
      </c>
      <c r="N342" s="15">
        <f>IF(OR(L342="",M342=""),"",AVERAGE(L342,M342))</f>
        <v/>
      </c>
    </row>
    <row r="343"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15" t="n"/>
      <c r="G343" s="15" t="n"/>
      <c r="H343">
        <f>IFERROR(INDEX(מלאי!$N$2:$N$500,MATCH(A343,מלאי!$D$2:$D$500,0)),"")</f>
        <v/>
      </c>
      <c r="I343" s="15" t="n"/>
      <c r="J343" s="15" t="n"/>
      <c r="L343" s="15">
        <f>IF(F343="","",IF(I343&lt;&gt;"",AVERAGE(F343,I343),F343))</f>
        <v/>
      </c>
      <c r="M343" s="15">
        <f>IF(G343="","",IF(J343&lt;&gt;"",AVERAGE(G343,J343),G343))</f>
        <v/>
      </c>
      <c r="N343" s="15">
        <f>IF(OR(L343="",M343=""),"",AVERAGE(L343,M343))</f>
        <v/>
      </c>
    </row>
    <row r="344"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15" t="n"/>
      <c r="G344" s="15" t="n"/>
      <c r="H344">
        <f>IFERROR(INDEX(מלאי!$N$2:$N$500,MATCH(A344,מלאי!$D$2:$D$500,0)),"")</f>
        <v/>
      </c>
      <c r="I344" s="15" t="n"/>
      <c r="J344" s="15" t="n"/>
      <c r="L344" s="15">
        <f>IF(F344="","",IF(I344&lt;&gt;"",AVERAGE(F344,I344),F344))</f>
        <v/>
      </c>
      <c r="M344" s="15">
        <f>IF(G344="","",IF(J344&lt;&gt;"",AVERAGE(G344,J344),G344))</f>
        <v/>
      </c>
      <c r="N344" s="15">
        <f>IF(OR(L344="",M344=""),"",AVERAGE(L344,M344))</f>
        <v/>
      </c>
    </row>
    <row r="345"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15" t="n"/>
      <c r="G345" s="15" t="n"/>
      <c r="H345">
        <f>IFERROR(INDEX(מלאי!$N$2:$N$500,MATCH(A345,מלאי!$D$2:$D$500,0)),"")</f>
        <v/>
      </c>
      <c r="I345" s="15" t="n"/>
      <c r="J345" s="15" t="n"/>
      <c r="L345" s="15">
        <f>IF(F345="","",IF(I345&lt;&gt;"",AVERAGE(F345,I345),F345))</f>
        <v/>
      </c>
      <c r="M345" s="15">
        <f>IF(G345="","",IF(J345&lt;&gt;"",AVERAGE(G345,J345),G345))</f>
        <v/>
      </c>
      <c r="N345" s="15">
        <f>IF(OR(L345="",M345=""),"",AVERAGE(L345,M345))</f>
        <v/>
      </c>
    </row>
    <row r="346"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15" t="n"/>
      <c r="G346" s="15" t="n"/>
      <c r="H346">
        <f>IFERROR(INDEX(מלאי!$N$2:$N$500,MATCH(A346,מלאי!$D$2:$D$500,0)),"")</f>
        <v/>
      </c>
      <c r="I346" s="15" t="n"/>
      <c r="J346" s="15" t="n"/>
      <c r="L346" s="15">
        <f>IF(F346="","",IF(I346&lt;&gt;"",AVERAGE(F346,I346),F346))</f>
        <v/>
      </c>
      <c r="M346" s="15">
        <f>IF(G346="","",IF(J346&lt;&gt;"",AVERAGE(G346,J346),G346))</f>
        <v/>
      </c>
      <c r="N346" s="15">
        <f>IF(OR(L346="",M346=""),"",AVERAGE(L346,M346))</f>
        <v/>
      </c>
    </row>
    <row r="347"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15" t="n"/>
      <c r="G347" s="15" t="n"/>
      <c r="H347">
        <f>IFERROR(INDEX(מלאי!$N$2:$N$500,MATCH(A347,מלאי!$D$2:$D$500,0)),"")</f>
        <v/>
      </c>
      <c r="I347" s="15" t="n"/>
      <c r="J347" s="15" t="n"/>
      <c r="L347" s="15">
        <f>IF(F347="","",IF(I347&lt;&gt;"",AVERAGE(F347,I347),F347))</f>
        <v/>
      </c>
      <c r="M347" s="15">
        <f>IF(G347="","",IF(J347&lt;&gt;"",AVERAGE(G347,J347),G347))</f>
        <v/>
      </c>
      <c r="N347" s="15">
        <f>IF(OR(L347="",M347=""),"",AVERAGE(L347,M347))</f>
        <v/>
      </c>
    </row>
    <row r="348"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15" t="n"/>
      <c r="G348" s="15" t="n"/>
      <c r="H348">
        <f>IFERROR(INDEX(מלאי!$N$2:$N$500,MATCH(A348,מלאי!$D$2:$D$500,0)),"")</f>
        <v/>
      </c>
      <c r="I348" s="15" t="n"/>
      <c r="J348" s="15" t="n"/>
      <c r="L348" s="15">
        <f>IF(F348="","",IF(I348&lt;&gt;"",AVERAGE(F348,I348),F348))</f>
        <v/>
      </c>
      <c r="M348" s="15">
        <f>IF(G348="","",IF(J348&lt;&gt;"",AVERAGE(G348,J348),G348))</f>
        <v/>
      </c>
      <c r="N348" s="15">
        <f>IF(OR(L348="",M348=""),"",AVERAGE(L348,M348))</f>
        <v/>
      </c>
    </row>
    <row r="349"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15" t="n"/>
      <c r="G349" s="15" t="n"/>
      <c r="H349">
        <f>IFERROR(INDEX(מלאי!$N$2:$N$500,MATCH(A349,מלאי!$D$2:$D$500,0)),"")</f>
        <v/>
      </c>
      <c r="I349" s="15" t="n"/>
      <c r="J349" s="15" t="n"/>
      <c r="L349" s="15">
        <f>IF(F349="","",IF(I349&lt;&gt;"",AVERAGE(F349,I349),F349))</f>
        <v/>
      </c>
      <c r="M349" s="15">
        <f>IF(G349="","",IF(J349&lt;&gt;"",AVERAGE(G349,J349),G349))</f>
        <v/>
      </c>
      <c r="N349" s="15">
        <f>IF(OR(L349="",M349=""),"",AVERAGE(L349,M349))</f>
        <v/>
      </c>
    </row>
    <row r="350"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15" t="n"/>
      <c r="G350" s="15" t="n"/>
      <c r="H350">
        <f>IFERROR(INDEX(מלאי!$N$2:$N$500,MATCH(A350,מלאי!$D$2:$D$500,0)),"")</f>
        <v/>
      </c>
      <c r="I350" s="15" t="n"/>
      <c r="J350" s="15" t="n"/>
      <c r="L350" s="15">
        <f>IF(F350="","",IF(I350&lt;&gt;"",AVERAGE(F350,I350),F350))</f>
        <v/>
      </c>
      <c r="M350" s="15">
        <f>IF(G350="","",IF(J350&lt;&gt;"",AVERAGE(G350,J350),G350))</f>
        <v/>
      </c>
      <c r="N350" s="15">
        <f>IF(OR(L350="",M350=""),"",AVERAGE(L350,M350))</f>
        <v/>
      </c>
    </row>
    <row r="351"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15" t="n"/>
      <c r="G351" s="15" t="n"/>
      <c r="H351">
        <f>IFERROR(INDEX(מלאי!$N$2:$N$500,MATCH(A351,מלאי!$D$2:$D$500,0)),"")</f>
        <v/>
      </c>
      <c r="I351" s="15" t="n"/>
      <c r="J351" s="15" t="n"/>
      <c r="L351" s="15">
        <f>IF(F351="","",IF(I351&lt;&gt;"",AVERAGE(F351,I351),F351))</f>
        <v/>
      </c>
      <c r="M351" s="15">
        <f>IF(G351="","",IF(J351&lt;&gt;"",AVERAGE(G351,J351),G351))</f>
        <v/>
      </c>
      <c r="N351" s="15">
        <f>IF(OR(L351="",M351=""),"",AVERAGE(L351,M351))</f>
        <v/>
      </c>
    </row>
    <row r="352"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15" t="n"/>
      <c r="G352" s="15" t="n"/>
      <c r="H352">
        <f>IFERROR(INDEX(מלאי!$N$2:$N$500,MATCH(A352,מלאי!$D$2:$D$500,0)),"")</f>
        <v/>
      </c>
      <c r="I352" s="15" t="n"/>
      <c r="J352" s="15" t="n"/>
      <c r="L352" s="15">
        <f>IF(F352="","",IF(I352&lt;&gt;"",AVERAGE(F352,I352),F352))</f>
        <v/>
      </c>
      <c r="M352" s="15">
        <f>IF(G352="","",IF(J352&lt;&gt;"",AVERAGE(G352,J352),G352))</f>
        <v/>
      </c>
      <c r="N352" s="15">
        <f>IF(OR(L352="",M352=""),"",AVERAGE(L352,M352))</f>
        <v/>
      </c>
    </row>
    <row r="353"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15" t="n"/>
      <c r="G353" s="15" t="n"/>
      <c r="H353">
        <f>IFERROR(INDEX(מלאי!$N$2:$N$500,MATCH(A353,מלאי!$D$2:$D$500,0)),"")</f>
        <v/>
      </c>
      <c r="I353" s="15" t="n"/>
      <c r="J353" s="15" t="n"/>
      <c r="L353" s="15">
        <f>IF(F353="","",IF(I353&lt;&gt;"",AVERAGE(F353,I353),F353))</f>
        <v/>
      </c>
      <c r="M353" s="15">
        <f>IF(G353="","",IF(J353&lt;&gt;"",AVERAGE(G353,J353),G353))</f>
        <v/>
      </c>
      <c r="N353" s="15">
        <f>IF(OR(L353="",M353=""),"",AVERAGE(L353,M353))</f>
        <v/>
      </c>
    </row>
    <row r="354"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15" t="n"/>
      <c r="G354" s="15" t="n"/>
      <c r="H354">
        <f>IFERROR(INDEX(מלאי!$N$2:$N$500,MATCH(A354,מלאי!$D$2:$D$500,0)),"")</f>
        <v/>
      </c>
      <c r="I354" s="15" t="n"/>
      <c r="J354" s="15" t="n"/>
      <c r="L354" s="15">
        <f>IF(F354="","",IF(I354&lt;&gt;"",AVERAGE(F354,I354),F354))</f>
        <v/>
      </c>
      <c r="M354" s="15">
        <f>IF(G354="","",IF(J354&lt;&gt;"",AVERAGE(G354,J354),G354))</f>
        <v/>
      </c>
      <c r="N354" s="15">
        <f>IF(OR(L354="",M354=""),"",AVERAGE(L354,M354))</f>
        <v/>
      </c>
    </row>
    <row r="355"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15" t="n"/>
      <c r="G355" s="15" t="n"/>
      <c r="H355">
        <f>IFERROR(INDEX(מלאי!$N$2:$N$500,MATCH(A355,מלאי!$D$2:$D$500,0)),"")</f>
        <v/>
      </c>
      <c r="I355" s="15" t="n"/>
      <c r="J355" s="15" t="n"/>
      <c r="L355" s="15">
        <f>IF(F355="","",IF(I355&lt;&gt;"",AVERAGE(F355,I355),F355))</f>
        <v/>
      </c>
      <c r="M355" s="15">
        <f>IF(G355="","",IF(J355&lt;&gt;"",AVERAGE(G355,J355),G355))</f>
        <v/>
      </c>
      <c r="N355" s="15">
        <f>IF(OR(L355="",M355=""),"",AVERAGE(L355,M355))</f>
        <v/>
      </c>
    </row>
    <row r="356"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15" t="n"/>
      <c r="G356" s="15" t="n"/>
      <c r="H356">
        <f>IFERROR(INDEX(מלאי!$N$2:$N$500,MATCH(A356,מלאי!$D$2:$D$500,0)),"")</f>
        <v/>
      </c>
      <c r="I356" s="15" t="n"/>
      <c r="J356" s="15" t="n"/>
      <c r="L356" s="15">
        <f>IF(F356="","",IF(I356&lt;&gt;"",AVERAGE(F356,I356),F356))</f>
        <v/>
      </c>
      <c r="M356" s="15">
        <f>IF(G356="","",IF(J356&lt;&gt;"",AVERAGE(G356,J356),G356))</f>
        <v/>
      </c>
      <c r="N356" s="15">
        <f>IF(OR(L356="",M356=""),"",AVERAGE(L356,M356))</f>
        <v/>
      </c>
    </row>
    <row r="357"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15" t="n"/>
      <c r="G357" s="15" t="n"/>
      <c r="H357">
        <f>IFERROR(INDEX(מלאי!$N$2:$N$500,MATCH(A357,מלאי!$D$2:$D$500,0)),"")</f>
        <v/>
      </c>
      <c r="I357" s="15" t="n"/>
      <c r="J357" s="15" t="n"/>
      <c r="L357" s="15">
        <f>IF(F357="","",IF(I357&lt;&gt;"",AVERAGE(F357,I357),F357))</f>
        <v/>
      </c>
      <c r="M357" s="15">
        <f>IF(G357="","",IF(J357&lt;&gt;"",AVERAGE(G357,J357),G357))</f>
        <v/>
      </c>
      <c r="N357" s="15">
        <f>IF(OR(L357="",M357=""),"",AVERAGE(L357,M357))</f>
        <v/>
      </c>
    </row>
    <row r="358"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15" t="n"/>
      <c r="G358" s="15" t="n"/>
      <c r="H358">
        <f>IFERROR(INDEX(מלאי!$N$2:$N$500,MATCH(A358,מלאי!$D$2:$D$500,0)),"")</f>
        <v/>
      </c>
      <c r="I358" s="15" t="n"/>
      <c r="J358" s="15" t="n"/>
      <c r="L358" s="15">
        <f>IF(F358="","",IF(I358&lt;&gt;"",AVERAGE(F358,I358),F358))</f>
        <v/>
      </c>
      <c r="M358" s="15">
        <f>IF(G358="","",IF(J358&lt;&gt;"",AVERAGE(G358,J358),G358))</f>
        <v/>
      </c>
      <c r="N358" s="15">
        <f>IF(OR(L358="",M358=""),"",AVERAGE(L358,M358))</f>
        <v/>
      </c>
    </row>
    <row r="359"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15" t="n"/>
      <c r="G359" s="15" t="n"/>
      <c r="H359">
        <f>IFERROR(INDEX(מלאי!$N$2:$N$500,MATCH(A359,מלאי!$D$2:$D$500,0)),"")</f>
        <v/>
      </c>
      <c r="I359" s="15" t="n"/>
      <c r="J359" s="15" t="n"/>
      <c r="L359" s="15">
        <f>IF(F359="","",IF(I359&lt;&gt;"",AVERAGE(F359,I359),F359))</f>
        <v/>
      </c>
      <c r="M359" s="15">
        <f>IF(G359="","",IF(J359&lt;&gt;"",AVERAGE(G359,J359),G359))</f>
        <v/>
      </c>
      <c r="N359" s="15">
        <f>IF(OR(L359="",M359=""),"",AVERAGE(L359,M359))</f>
        <v/>
      </c>
    </row>
    <row r="360"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15" t="n"/>
      <c r="G360" s="15" t="n"/>
      <c r="H360">
        <f>IFERROR(INDEX(מלאי!$N$2:$N$500,MATCH(A360,מלאי!$D$2:$D$500,0)),"")</f>
        <v/>
      </c>
      <c r="I360" s="15" t="n"/>
      <c r="J360" s="15" t="n"/>
      <c r="L360" s="15">
        <f>IF(F360="","",IF(I360&lt;&gt;"",AVERAGE(F360,I360),F360))</f>
        <v/>
      </c>
      <c r="M360" s="15">
        <f>IF(G360="","",IF(J360&lt;&gt;"",AVERAGE(G360,J360),G360))</f>
        <v/>
      </c>
      <c r="N360" s="15">
        <f>IF(OR(L360="",M360=""),"",AVERAGE(L360,M360))</f>
        <v/>
      </c>
    </row>
    <row r="361"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15" t="n"/>
      <c r="G361" s="15" t="n"/>
      <c r="H361">
        <f>IFERROR(INDEX(מלאי!$N$2:$N$500,MATCH(A361,מלאי!$D$2:$D$500,0)),"")</f>
        <v/>
      </c>
      <c r="I361" s="15" t="n"/>
      <c r="J361" s="15" t="n"/>
      <c r="L361" s="15">
        <f>IF(F361="","",IF(I361&lt;&gt;"",AVERAGE(F361,I361),F361))</f>
        <v/>
      </c>
      <c r="M361" s="15">
        <f>IF(G361="","",IF(J361&lt;&gt;"",AVERAGE(G361,J361),G361))</f>
        <v/>
      </c>
      <c r="N361" s="15">
        <f>IF(OR(L361="",M361=""),"",AVERAGE(L361,M361))</f>
        <v/>
      </c>
    </row>
    <row r="362"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15" t="n"/>
      <c r="G362" s="15" t="n"/>
      <c r="H362">
        <f>IFERROR(INDEX(מלאי!$N$2:$N$500,MATCH(A362,מלאי!$D$2:$D$500,0)),"")</f>
        <v/>
      </c>
      <c r="I362" s="15" t="n"/>
      <c r="J362" s="15" t="n"/>
      <c r="L362" s="15">
        <f>IF(F362="","",IF(I362&lt;&gt;"",AVERAGE(F362,I362),F362))</f>
        <v/>
      </c>
      <c r="M362" s="15">
        <f>IF(G362="","",IF(J362&lt;&gt;"",AVERAGE(G362,J362),G362))</f>
        <v/>
      </c>
      <c r="N362" s="15">
        <f>IF(OR(L362="",M362=""),"",AVERAGE(L362,M362))</f>
        <v/>
      </c>
    </row>
    <row r="363"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15" t="n"/>
      <c r="G363" s="15" t="n"/>
      <c r="H363">
        <f>IFERROR(INDEX(מלאי!$N$2:$N$500,MATCH(A363,מלאי!$D$2:$D$500,0)),"")</f>
        <v/>
      </c>
      <c r="I363" s="15" t="n"/>
      <c r="J363" s="15" t="n"/>
      <c r="L363" s="15">
        <f>IF(F363="","",IF(I363&lt;&gt;"",AVERAGE(F363,I363),F363))</f>
        <v/>
      </c>
      <c r="M363" s="15">
        <f>IF(G363="","",IF(J363&lt;&gt;"",AVERAGE(G363,J363),G363))</f>
        <v/>
      </c>
      <c r="N363" s="15">
        <f>IF(OR(L363="",M363=""),"",AVERAGE(L363,M363))</f>
        <v/>
      </c>
    </row>
    <row r="364"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15" t="n"/>
      <c r="G364" s="15" t="n"/>
      <c r="H364">
        <f>IFERROR(INDEX(מלאי!$N$2:$N$500,MATCH(A364,מלאי!$D$2:$D$500,0)),"")</f>
        <v/>
      </c>
      <c r="I364" s="15" t="n"/>
      <c r="J364" s="15" t="n"/>
      <c r="L364" s="15">
        <f>IF(F364="","",IF(I364&lt;&gt;"",AVERAGE(F364,I364),F364))</f>
        <v/>
      </c>
      <c r="M364" s="15">
        <f>IF(G364="","",IF(J364&lt;&gt;"",AVERAGE(G364,J364),G364))</f>
        <v/>
      </c>
      <c r="N364" s="15">
        <f>IF(OR(L364="",M364=""),"",AVERAGE(L364,M364))</f>
        <v/>
      </c>
    </row>
    <row r="365"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15" t="n"/>
      <c r="G365" s="15" t="n"/>
      <c r="H365">
        <f>IFERROR(INDEX(מלאי!$N$2:$N$500,MATCH(A365,מלאי!$D$2:$D$500,0)),"")</f>
        <v/>
      </c>
      <c r="I365" s="15" t="n"/>
      <c r="J365" s="15" t="n"/>
      <c r="L365" s="15">
        <f>IF(F365="","",IF(I365&lt;&gt;"",AVERAGE(F365,I365),F365))</f>
        <v/>
      </c>
      <c r="M365" s="15">
        <f>IF(G365="","",IF(J365&lt;&gt;"",AVERAGE(G365,J365),G365))</f>
        <v/>
      </c>
      <c r="N365" s="15">
        <f>IF(OR(L365="",M365=""),"",AVERAGE(L365,M365))</f>
        <v/>
      </c>
    </row>
    <row r="366"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15" t="n"/>
      <c r="G366" s="15" t="n"/>
      <c r="H366">
        <f>IFERROR(INDEX(מלאי!$N$2:$N$500,MATCH(A366,מלאי!$D$2:$D$500,0)),"")</f>
        <v/>
      </c>
      <c r="I366" s="15" t="n"/>
      <c r="J366" s="15" t="n"/>
      <c r="L366" s="15">
        <f>IF(F366="","",IF(I366&lt;&gt;"",AVERAGE(F366,I366),F366))</f>
        <v/>
      </c>
      <c r="M366" s="15">
        <f>IF(G366="","",IF(J366&lt;&gt;"",AVERAGE(G366,J366),G366))</f>
        <v/>
      </c>
      <c r="N366" s="15">
        <f>IF(OR(L366="",M366=""),"",AVERAGE(L366,M366))</f>
        <v/>
      </c>
    </row>
    <row r="367"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15" t="n"/>
      <c r="G367" s="15" t="n"/>
      <c r="H367">
        <f>IFERROR(INDEX(מלאי!$N$2:$N$500,MATCH(A367,מלאי!$D$2:$D$500,0)),"")</f>
        <v/>
      </c>
      <c r="I367" s="15" t="n"/>
      <c r="J367" s="15" t="n"/>
      <c r="L367" s="15">
        <f>IF(F367="","",IF(I367&lt;&gt;"",AVERAGE(F367,I367),F367))</f>
        <v/>
      </c>
      <c r="M367" s="15">
        <f>IF(G367="","",IF(J367&lt;&gt;"",AVERAGE(G367,J367),G367))</f>
        <v/>
      </c>
      <c r="N367" s="15">
        <f>IF(OR(L367="",M367=""),"",AVERAGE(L367,M367))</f>
        <v/>
      </c>
    </row>
    <row r="368"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15" t="n"/>
      <c r="G368" s="15" t="n"/>
      <c r="H368">
        <f>IFERROR(INDEX(מלאי!$N$2:$N$500,MATCH(A368,מלאי!$D$2:$D$500,0)),"")</f>
        <v/>
      </c>
      <c r="I368" s="15" t="n"/>
      <c r="J368" s="15" t="n"/>
      <c r="L368" s="15">
        <f>IF(F368="","",IF(I368&lt;&gt;"",AVERAGE(F368,I368),F368))</f>
        <v/>
      </c>
      <c r="M368" s="15">
        <f>IF(G368="","",IF(J368&lt;&gt;"",AVERAGE(G368,J368),G368))</f>
        <v/>
      </c>
      <c r="N368" s="15">
        <f>IF(OR(L368="",M368=""),"",AVERAGE(L368,M368))</f>
        <v/>
      </c>
    </row>
    <row r="369"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15" t="n"/>
      <c r="G369" s="15" t="n"/>
      <c r="H369">
        <f>IFERROR(INDEX(מלאי!$N$2:$N$500,MATCH(A369,מלאי!$D$2:$D$500,0)),"")</f>
        <v/>
      </c>
      <c r="I369" s="15" t="n"/>
      <c r="J369" s="15" t="n"/>
      <c r="L369" s="15">
        <f>IF(F369="","",IF(I369&lt;&gt;"",AVERAGE(F369,I369),F369))</f>
        <v/>
      </c>
      <c r="M369" s="15">
        <f>IF(G369="","",IF(J369&lt;&gt;"",AVERAGE(G369,J369),G369))</f>
        <v/>
      </c>
      <c r="N369" s="15">
        <f>IF(OR(L369="",M369=""),"",AVERAGE(L369,M369))</f>
        <v/>
      </c>
    </row>
    <row r="370"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15" t="n"/>
      <c r="G370" s="15" t="n"/>
      <c r="H370">
        <f>IFERROR(INDEX(מלאי!$N$2:$N$500,MATCH(A370,מלאי!$D$2:$D$500,0)),"")</f>
        <v/>
      </c>
      <c r="I370" s="15" t="n"/>
      <c r="J370" s="15" t="n"/>
      <c r="L370" s="15">
        <f>IF(F370="","",IF(I370&lt;&gt;"",AVERAGE(F370,I370),F370))</f>
        <v/>
      </c>
      <c r="M370" s="15">
        <f>IF(G370="","",IF(J370&lt;&gt;"",AVERAGE(G370,J370),G370))</f>
        <v/>
      </c>
      <c r="N370" s="15">
        <f>IF(OR(L370="",M370=""),"",AVERAGE(L370,M370))</f>
        <v/>
      </c>
    </row>
    <row r="371"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15" t="n"/>
      <c r="G371" s="15" t="n"/>
      <c r="H371">
        <f>IFERROR(INDEX(מלאי!$N$2:$N$500,MATCH(A371,מלאי!$D$2:$D$500,0)),"")</f>
        <v/>
      </c>
      <c r="I371" s="15" t="n"/>
      <c r="J371" s="15" t="n"/>
      <c r="L371" s="15">
        <f>IF(F371="","",IF(I371&lt;&gt;"",AVERAGE(F371,I371),F371))</f>
        <v/>
      </c>
      <c r="M371" s="15">
        <f>IF(G371="","",IF(J371&lt;&gt;"",AVERAGE(G371,J371),G371))</f>
        <v/>
      </c>
      <c r="N371" s="15">
        <f>IF(OR(L371="",M371=""),"",AVERAGE(L371,M371))</f>
        <v/>
      </c>
    </row>
    <row r="372"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15" t="n"/>
      <c r="G372" s="15" t="n"/>
      <c r="H372">
        <f>IFERROR(INDEX(מלאי!$N$2:$N$500,MATCH(A372,מלאי!$D$2:$D$500,0)),"")</f>
        <v/>
      </c>
      <c r="I372" s="15" t="n"/>
      <c r="J372" s="15" t="n"/>
      <c r="L372" s="15">
        <f>IF(F372="","",IF(I372&lt;&gt;"",AVERAGE(F372,I372),F372))</f>
        <v/>
      </c>
      <c r="M372" s="15">
        <f>IF(G372="","",IF(J372&lt;&gt;"",AVERAGE(G372,J372),G372))</f>
        <v/>
      </c>
      <c r="N372" s="15">
        <f>IF(OR(L372="",M372=""),"",AVERAGE(L372,M372))</f>
        <v/>
      </c>
    </row>
    <row r="373"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15" t="n"/>
      <c r="G373" s="15" t="n"/>
      <c r="H373">
        <f>IFERROR(INDEX(מלאי!$N$2:$N$500,MATCH(A373,מלאי!$D$2:$D$500,0)),"")</f>
        <v/>
      </c>
      <c r="I373" s="15" t="n"/>
      <c r="J373" s="15" t="n"/>
      <c r="L373" s="15">
        <f>IF(F373="","",IF(I373&lt;&gt;"",AVERAGE(F373,I373),F373))</f>
        <v/>
      </c>
      <c r="M373" s="15">
        <f>IF(G373="","",IF(J373&lt;&gt;"",AVERAGE(G373,J373),G373))</f>
        <v/>
      </c>
      <c r="N373" s="15">
        <f>IF(OR(L373="",M373=""),"",AVERAGE(L373,M373))</f>
        <v/>
      </c>
    </row>
    <row r="374"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15" t="n"/>
      <c r="G374" s="15" t="n"/>
      <c r="H374">
        <f>IFERROR(INDEX(מלאי!$N$2:$N$500,MATCH(A374,מלאי!$D$2:$D$500,0)),"")</f>
        <v/>
      </c>
      <c r="I374" s="15" t="n"/>
      <c r="J374" s="15" t="n"/>
      <c r="L374" s="15">
        <f>IF(F374="","",IF(I374&lt;&gt;"",AVERAGE(F374,I374),F374))</f>
        <v/>
      </c>
      <c r="M374" s="15">
        <f>IF(G374="","",IF(J374&lt;&gt;"",AVERAGE(G374,J374),G374))</f>
        <v/>
      </c>
      <c r="N374" s="15">
        <f>IF(OR(L374="",M374=""),"",AVERAGE(L374,M374))</f>
        <v/>
      </c>
    </row>
    <row r="375"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15" t="n"/>
      <c r="G375" s="15" t="n"/>
      <c r="H375">
        <f>IFERROR(INDEX(מלאי!$N$2:$N$500,MATCH(A375,מלאי!$D$2:$D$500,0)),"")</f>
        <v/>
      </c>
      <c r="I375" s="15" t="n"/>
      <c r="J375" s="15" t="n"/>
      <c r="L375" s="15">
        <f>IF(F375="","",IF(I375&lt;&gt;"",AVERAGE(F375,I375),F375))</f>
        <v/>
      </c>
      <c r="M375" s="15">
        <f>IF(G375="","",IF(J375&lt;&gt;"",AVERAGE(G375,J375),G375))</f>
        <v/>
      </c>
      <c r="N375" s="15">
        <f>IF(OR(L375="",M375=""),"",AVERAGE(L375,M375))</f>
        <v/>
      </c>
    </row>
    <row r="376"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15" t="n"/>
      <c r="G376" s="15" t="n"/>
      <c r="H376">
        <f>IFERROR(INDEX(מלאי!$N$2:$N$500,MATCH(A376,מלאי!$D$2:$D$500,0)),"")</f>
        <v/>
      </c>
      <c r="I376" s="15" t="n"/>
      <c r="J376" s="15" t="n"/>
      <c r="L376" s="15">
        <f>IF(F376="","",IF(I376&lt;&gt;"",AVERAGE(F376,I376),F376))</f>
        <v/>
      </c>
      <c r="M376" s="15">
        <f>IF(G376="","",IF(J376&lt;&gt;"",AVERAGE(G376,J376),G376))</f>
        <v/>
      </c>
      <c r="N376" s="15">
        <f>IF(OR(L376="",M376=""),"",AVERAGE(L376,M376))</f>
        <v/>
      </c>
    </row>
    <row r="377"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15" t="n"/>
      <c r="G377" s="15" t="n"/>
      <c r="H377">
        <f>IFERROR(INDEX(מלאי!$N$2:$N$500,MATCH(A377,מלאי!$D$2:$D$500,0)),"")</f>
        <v/>
      </c>
      <c r="I377" s="15" t="n"/>
      <c r="J377" s="15" t="n"/>
      <c r="L377" s="15">
        <f>IF(F377="","",IF(I377&lt;&gt;"",AVERAGE(F377,I377),F377))</f>
        <v/>
      </c>
      <c r="M377" s="15">
        <f>IF(G377="","",IF(J377&lt;&gt;"",AVERAGE(G377,J377),G377))</f>
        <v/>
      </c>
      <c r="N377" s="15">
        <f>IF(OR(L377="",M377=""),"",AVERAGE(L377,M377))</f>
        <v/>
      </c>
    </row>
    <row r="378"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15" t="n"/>
      <c r="G378" s="15" t="n"/>
      <c r="H378">
        <f>IFERROR(INDEX(מלאי!$N$2:$N$500,MATCH(A378,מלאי!$D$2:$D$500,0)),"")</f>
        <v/>
      </c>
      <c r="I378" s="15" t="n"/>
      <c r="J378" s="15" t="n"/>
      <c r="L378" s="15">
        <f>IF(F378="","",IF(I378&lt;&gt;"",AVERAGE(F378,I378),F378))</f>
        <v/>
      </c>
      <c r="M378" s="15">
        <f>IF(G378="","",IF(J378&lt;&gt;"",AVERAGE(G378,J378),G378))</f>
        <v/>
      </c>
      <c r="N378" s="15">
        <f>IF(OR(L378="",M378=""),"",AVERAGE(L378,M378))</f>
        <v/>
      </c>
    </row>
    <row r="379"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15" t="n"/>
      <c r="G379" s="15" t="n"/>
      <c r="H379">
        <f>IFERROR(INDEX(מלאי!$N$2:$N$500,MATCH(A379,מלאי!$D$2:$D$500,0)),"")</f>
        <v/>
      </c>
      <c r="I379" s="15" t="n"/>
      <c r="J379" s="15" t="n"/>
      <c r="L379" s="15">
        <f>IF(F379="","",IF(I379&lt;&gt;"",AVERAGE(F379,I379),F379))</f>
        <v/>
      </c>
      <c r="M379" s="15">
        <f>IF(G379="","",IF(J379&lt;&gt;"",AVERAGE(G379,J379),G379))</f>
        <v/>
      </c>
      <c r="N379" s="15">
        <f>IF(OR(L379="",M379=""),"",AVERAGE(L379,M379))</f>
        <v/>
      </c>
    </row>
    <row r="380"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15" t="n"/>
      <c r="G380" s="15" t="n"/>
      <c r="H380">
        <f>IFERROR(INDEX(מלאי!$N$2:$N$500,MATCH(A380,מלאי!$D$2:$D$500,0)),"")</f>
        <v/>
      </c>
      <c r="I380" s="15" t="n"/>
      <c r="J380" s="15" t="n"/>
      <c r="L380" s="15">
        <f>IF(F380="","",IF(I380&lt;&gt;"",AVERAGE(F380,I380),F380))</f>
        <v/>
      </c>
      <c r="M380" s="15">
        <f>IF(G380="","",IF(J380&lt;&gt;"",AVERAGE(G380,J380),G380))</f>
        <v/>
      </c>
      <c r="N380" s="15">
        <f>IF(OR(L380="",M380=""),"",AVERAGE(L380,M380))</f>
        <v/>
      </c>
    </row>
    <row r="381"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15" t="n"/>
      <c r="G381" s="15" t="n"/>
      <c r="H381">
        <f>IFERROR(INDEX(מלאי!$N$2:$N$500,MATCH(A381,מלאי!$D$2:$D$500,0)),"")</f>
        <v/>
      </c>
      <c r="I381" s="15" t="n"/>
      <c r="J381" s="15" t="n"/>
      <c r="L381" s="15">
        <f>IF(F381="","",IF(I381&lt;&gt;"",AVERAGE(F381,I381),F381))</f>
        <v/>
      </c>
      <c r="M381" s="15">
        <f>IF(G381="","",IF(J381&lt;&gt;"",AVERAGE(G381,J381),G381))</f>
        <v/>
      </c>
      <c r="N381" s="15">
        <f>IF(OR(L381="",M381=""),"",AVERAGE(L381,M381))</f>
        <v/>
      </c>
    </row>
    <row r="382"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15" t="n"/>
      <c r="G382" s="15" t="n"/>
      <c r="H382">
        <f>IFERROR(INDEX(מלאי!$N$2:$N$500,MATCH(A382,מלאי!$D$2:$D$500,0)),"")</f>
        <v/>
      </c>
      <c r="I382" s="15" t="n"/>
      <c r="J382" s="15" t="n"/>
      <c r="L382" s="15">
        <f>IF(F382="","",IF(I382&lt;&gt;"",AVERAGE(F382,I382),F382))</f>
        <v/>
      </c>
      <c r="M382" s="15">
        <f>IF(G382="","",IF(J382&lt;&gt;"",AVERAGE(G382,J382),G382))</f>
        <v/>
      </c>
      <c r="N382" s="15">
        <f>IF(OR(L382="",M382=""),"",AVERAGE(L382,M382))</f>
        <v/>
      </c>
    </row>
    <row r="383"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15" t="n"/>
      <c r="G383" s="15" t="n"/>
      <c r="H383">
        <f>IFERROR(INDEX(מלאי!$N$2:$N$500,MATCH(A383,מלאי!$D$2:$D$500,0)),"")</f>
        <v/>
      </c>
      <c r="I383" s="15" t="n"/>
      <c r="J383" s="15" t="n"/>
      <c r="L383" s="15">
        <f>IF(F383="","",IF(I383&lt;&gt;"",AVERAGE(F383,I383),F383))</f>
        <v/>
      </c>
      <c r="M383" s="15">
        <f>IF(G383="","",IF(J383&lt;&gt;"",AVERAGE(G383,J383),G383))</f>
        <v/>
      </c>
      <c r="N383" s="15">
        <f>IF(OR(L383="",M383=""),"",AVERAGE(L383,M383))</f>
        <v/>
      </c>
    </row>
    <row r="384"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15" t="n"/>
      <c r="G384" s="15" t="n"/>
      <c r="H384">
        <f>IFERROR(INDEX(מלאי!$N$2:$N$500,MATCH(A384,מלאי!$D$2:$D$500,0)),"")</f>
        <v/>
      </c>
      <c r="I384" s="15" t="n"/>
      <c r="J384" s="15" t="n"/>
      <c r="L384" s="15">
        <f>IF(F384="","",IF(I384&lt;&gt;"",AVERAGE(F384,I384),F384))</f>
        <v/>
      </c>
      <c r="M384" s="15">
        <f>IF(G384="","",IF(J384&lt;&gt;"",AVERAGE(G384,J384),G384))</f>
        <v/>
      </c>
      <c r="N384" s="15">
        <f>IF(OR(L384="",M384=""),"",AVERAGE(L384,M384))</f>
        <v/>
      </c>
    </row>
    <row r="385"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15" t="n"/>
      <c r="G385" s="15" t="n"/>
      <c r="H385">
        <f>IFERROR(INDEX(מלאי!$N$2:$N$500,MATCH(A385,מלאי!$D$2:$D$500,0)),"")</f>
        <v/>
      </c>
      <c r="I385" s="15" t="n"/>
      <c r="J385" s="15" t="n"/>
      <c r="L385" s="15">
        <f>IF(F385="","",IF(I385&lt;&gt;"",AVERAGE(F385,I385),F385))</f>
        <v/>
      </c>
      <c r="M385" s="15">
        <f>IF(G385="","",IF(J385&lt;&gt;"",AVERAGE(G385,J385),G385))</f>
        <v/>
      </c>
      <c r="N385" s="15">
        <f>IF(OR(L385="",M385=""),"",AVERAGE(L385,M385))</f>
        <v/>
      </c>
    </row>
    <row r="386"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15" t="n"/>
      <c r="G386" s="15" t="n"/>
      <c r="H386">
        <f>IFERROR(INDEX(מלאי!$N$2:$N$500,MATCH(A386,מלאי!$D$2:$D$500,0)),"")</f>
        <v/>
      </c>
      <c r="I386" s="15" t="n"/>
      <c r="J386" s="15" t="n"/>
      <c r="L386" s="15">
        <f>IF(F386="","",IF(I386&lt;&gt;"",AVERAGE(F386,I386),F386))</f>
        <v/>
      </c>
      <c r="M386" s="15">
        <f>IF(G386="","",IF(J386&lt;&gt;"",AVERAGE(G386,J386),G386))</f>
        <v/>
      </c>
      <c r="N386" s="15">
        <f>IF(OR(L386="",M386=""),"",AVERAGE(L386,M386))</f>
        <v/>
      </c>
    </row>
    <row r="387"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15" t="n"/>
      <c r="G387" s="15" t="n"/>
      <c r="H387">
        <f>IFERROR(INDEX(מלאי!$N$2:$N$500,MATCH(A387,מלאי!$D$2:$D$500,0)),"")</f>
        <v/>
      </c>
      <c r="I387" s="15" t="n"/>
      <c r="J387" s="15" t="n"/>
      <c r="L387" s="15">
        <f>IF(F387="","",IF(I387&lt;&gt;"",AVERAGE(F387,I387),F387))</f>
        <v/>
      </c>
      <c r="M387" s="15">
        <f>IF(G387="","",IF(J387&lt;&gt;"",AVERAGE(G387,J387),G387))</f>
        <v/>
      </c>
      <c r="N387" s="15">
        <f>IF(OR(L387="",M387=""),"",AVERAGE(L387,M387))</f>
        <v/>
      </c>
    </row>
    <row r="388"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15" t="n"/>
      <c r="G388" s="15" t="n"/>
      <c r="H388">
        <f>IFERROR(INDEX(מלאי!$N$2:$N$500,MATCH(A388,מלאי!$D$2:$D$500,0)),"")</f>
        <v/>
      </c>
      <c r="I388" s="15" t="n"/>
      <c r="J388" s="15" t="n"/>
      <c r="L388" s="15">
        <f>IF(F388="","",IF(I388&lt;&gt;"",AVERAGE(F388,I388),F388))</f>
        <v/>
      </c>
      <c r="M388" s="15">
        <f>IF(G388="","",IF(J388&lt;&gt;"",AVERAGE(G388,J388),G388))</f>
        <v/>
      </c>
      <c r="N388" s="15">
        <f>IF(OR(L388="",M388=""),"",AVERAGE(L388,M388))</f>
        <v/>
      </c>
    </row>
    <row r="389"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15" t="n"/>
      <c r="G389" s="15" t="n"/>
      <c r="H389">
        <f>IFERROR(INDEX(מלאי!$N$2:$N$500,MATCH(A389,מלאי!$D$2:$D$500,0)),"")</f>
        <v/>
      </c>
      <c r="I389" s="15" t="n"/>
      <c r="J389" s="15" t="n"/>
      <c r="L389" s="15">
        <f>IF(F389="","",IF(I389&lt;&gt;"",AVERAGE(F389,I389),F389))</f>
        <v/>
      </c>
      <c r="M389" s="15">
        <f>IF(G389="","",IF(J389&lt;&gt;"",AVERAGE(G389,J389),G389))</f>
        <v/>
      </c>
      <c r="N389" s="15">
        <f>IF(OR(L389="",M389=""),"",AVERAGE(L389,M389))</f>
        <v/>
      </c>
    </row>
    <row r="390"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15" t="n"/>
      <c r="G390" s="15" t="n"/>
      <c r="H390">
        <f>IFERROR(INDEX(מלאי!$N$2:$N$500,MATCH(A390,מלאי!$D$2:$D$500,0)),"")</f>
        <v/>
      </c>
      <c r="I390" s="15" t="n"/>
      <c r="J390" s="15" t="n"/>
      <c r="L390" s="15">
        <f>IF(F390="","",IF(I390&lt;&gt;"",AVERAGE(F390,I390),F390))</f>
        <v/>
      </c>
      <c r="M390" s="15">
        <f>IF(G390="","",IF(J390&lt;&gt;"",AVERAGE(G390,J390),G390))</f>
        <v/>
      </c>
      <c r="N390" s="15">
        <f>IF(OR(L390="",M390=""),"",AVERAGE(L390,M390))</f>
        <v/>
      </c>
    </row>
    <row r="391"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15" t="n"/>
      <c r="G391" s="15" t="n"/>
      <c r="H391">
        <f>IFERROR(INDEX(מלאי!$N$2:$N$500,MATCH(A391,מלאי!$D$2:$D$500,0)),"")</f>
        <v/>
      </c>
      <c r="I391" s="15" t="n"/>
      <c r="J391" s="15" t="n"/>
      <c r="L391" s="15">
        <f>IF(F391="","",IF(I391&lt;&gt;"",AVERAGE(F391,I391),F391))</f>
        <v/>
      </c>
      <c r="M391" s="15">
        <f>IF(G391="","",IF(J391&lt;&gt;"",AVERAGE(G391,J391),G391))</f>
        <v/>
      </c>
      <c r="N391" s="15">
        <f>IF(OR(L391="",M391=""),"",AVERAGE(L391,M391))</f>
        <v/>
      </c>
    </row>
    <row r="392"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15" t="n"/>
      <c r="G392" s="15" t="n"/>
      <c r="H392">
        <f>IFERROR(INDEX(מלאי!$N$2:$N$500,MATCH(A392,מלאי!$D$2:$D$500,0)),"")</f>
        <v/>
      </c>
      <c r="I392" s="15" t="n"/>
      <c r="J392" s="15" t="n"/>
      <c r="L392" s="15">
        <f>IF(F392="","",IF(I392&lt;&gt;"",AVERAGE(F392,I392),F392))</f>
        <v/>
      </c>
      <c r="M392" s="15">
        <f>IF(G392="","",IF(J392&lt;&gt;"",AVERAGE(G392,J392),G392))</f>
        <v/>
      </c>
      <c r="N392" s="15">
        <f>IF(OR(L392="",M392=""),"",AVERAGE(L392,M392))</f>
        <v/>
      </c>
    </row>
    <row r="393"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15" t="n"/>
      <c r="G393" s="15" t="n"/>
      <c r="H393">
        <f>IFERROR(INDEX(מלאי!$N$2:$N$500,MATCH(A393,מלאי!$D$2:$D$500,0)),"")</f>
        <v/>
      </c>
      <c r="I393" s="15" t="n"/>
      <c r="J393" s="15" t="n"/>
      <c r="L393" s="15">
        <f>IF(F393="","",IF(I393&lt;&gt;"",AVERAGE(F393,I393),F393))</f>
        <v/>
      </c>
      <c r="M393" s="15">
        <f>IF(G393="","",IF(J393&lt;&gt;"",AVERAGE(G393,J393),G393))</f>
        <v/>
      </c>
      <c r="N393" s="15">
        <f>IF(OR(L393="",M393=""),"",AVERAGE(L393,M393))</f>
        <v/>
      </c>
    </row>
    <row r="394"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15" t="n"/>
      <c r="G394" s="15" t="n"/>
      <c r="H394">
        <f>IFERROR(INDEX(מלאי!$N$2:$N$500,MATCH(A394,מלאי!$D$2:$D$500,0)),"")</f>
        <v/>
      </c>
      <c r="I394" s="15" t="n"/>
      <c r="J394" s="15" t="n"/>
      <c r="L394" s="15">
        <f>IF(F394="","",IF(I394&lt;&gt;"",AVERAGE(F394,I394),F394))</f>
        <v/>
      </c>
      <c r="M394" s="15">
        <f>IF(G394="","",IF(J394&lt;&gt;"",AVERAGE(G394,J394),G394))</f>
        <v/>
      </c>
      <c r="N394" s="15">
        <f>IF(OR(L394="",M394=""),"",AVERAGE(L394,M394))</f>
        <v/>
      </c>
    </row>
    <row r="395"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15" t="n"/>
      <c r="G395" s="15" t="n"/>
      <c r="H395">
        <f>IFERROR(INDEX(מלאי!$N$2:$N$500,MATCH(A395,מלאי!$D$2:$D$500,0)),"")</f>
        <v/>
      </c>
      <c r="I395" s="15" t="n"/>
      <c r="J395" s="15" t="n"/>
      <c r="L395" s="15">
        <f>IF(F395="","",IF(I395&lt;&gt;"",AVERAGE(F395,I395),F395))</f>
        <v/>
      </c>
      <c r="M395" s="15">
        <f>IF(G395="","",IF(J395&lt;&gt;"",AVERAGE(G395,J395),G395))</f>
        <v/>
      </c>
      <c r="N395" s="15">
        <f>IF(OR(L395="",M395=""),"",AVERAGE(L395,M395))</f>
        <v/>
      </c>
    </row>
    <row r="396"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15" t="n"/>
      <c r="G396" s="15" t="n"/>
      <c r="H396">
        <f>IFERROR(INDEX(מלאי!$N$2:$N$500,MATCH(A396,מלאי!$D$2:$D$500,0)),"")</f>
        <v/>
      </c>
      <c r="I396" s="15" t="n"/>
      <c r="J396" s="15" t="n"/>
      <c r="L396" s="15">
        <f>IF(F396="","",IF(I396&lt;&gt;"",AVERAGE(F396,I396),F396))</f>
        <v/>
      </c>
      <c r="M396" s="15">
        <f>IF(G396="","",IF(J396&lt;&gt;"",AVERAGE(G396,J396),G396))</f>
        <v/>
      </c>
      <c r="N396" s="15">
        <f>IF(OR(L396="",M396=""),"",AVERAGE(L396,M396))</f>
        <v/>
      </c>
    </row>
    <row r="397"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15" t="n"/>
      <c r="G397" s="15" t="n"/>
      <c r="H397">
        <f>IFERROR(INDEX(מלאי!$N$2:$N$500,MATCH(A397,מלאי!$D$2:$D$500,0)),"")</f>
        <v/>
      </c>
      <c r="I397" s="15" t="n"/>
      <c r="J397" s="15" t="n"/>
      <c r="L397" s="15">
        <f>IF(F397="","",IF(I397&lt;&gt;"",AVERAGE(F397,I397),F397))</f>
        <v/>
      </c>
      <c r="M397" s="15">
        <f>IF(G397="","",IF(J397&lt;&gt;"",AVERAGE(G397,J397),G397))</f>
        <v/>
      </c>
      <c r="N397" s="15">
        <f>IF(OR(L397="",M397=""),"",AVERAGE(L397,M397))</f>
        <v/>
      </c>
    </row>
    <row r="398"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15" t="n"/>
      <c r="G398" s="15" t="n"/>
      <c r="H398">
        <f>IFERROR(INDEX(מלאי!$N$2:$N$500,MATCH(A398,מלאי!$D$2:$D$500,0)),"")</f>
        <v/>
      </c>
      <c r="I398" s="15" t="n"/>
      <c r="J398" s="15" t="n"/>
      <c r="L398" s="15">
        <f>IF(F398="","",IF(I398&lt;&gt;"",AVERAGE(F398,I398),F398))</f>
        <v/>
      </c>
      <c r="M398" s="15">
        <f>IF(G398="","",IF(J398&lt;&gt;"",AVERAGE(G398,J398),G398))</f>
        <v/>
      </c>
      <c r="N398" s="15">
        <f>IF(OR(L398="",M398=""),"",AVERAGE(L398,M398))</f>
        <v/>
      </c>
    </row>
    <row r="399"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15" t="n"/>
      <c r="G399" s="15" t="n"/>
      <c r="H399">
        <f>IFERROR(INDEX(מלאי!$N$2:$N$500,MATCH(A399,מלאי!$D$2:$D$500,0)),"")</f>
        <v/>
      </c>
      <c r="I399" s="15" t="n"/>
      <c r="J399" s="15" t="n"/>
      <c r="L399" s="15">
        <f>IF(F399="","",IF(I399&lt;&gt;"",AVERAGE(F399,I399),F399))</f>
        <v/>
      </c>
      <c r="M399" s="15">
        <f>IF(G399="","",IF(J399&lt;&gt;"",AVERAGE(G399,J399),G399))</f>
        <v/>
      </c>
      <c r="N399" s="15">
        <f>IF(OR(L399="",M399=""),"",AVERAGE(L399,M399))</f>
        <v/>
      </c>
    </row>
    <row r="400"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15" t="n"/>
      <c r="G400" s="15" t="n"/>
      <c r="H400">
        <f>IFERROR(INDEX(מלאי!$N$2:$N$500,MATCH(A400,מלאי!$D$2:$D$500,0)),"")</f>
        <v/>
      </c>
      <c r="I400" s="15" t="n"/>
      <c r="J400" s="15" t="n"/>
      <c r="L400" s="15">
        <f>IF(F400="","",IF(I400&lt;&gt;"",AVERAGE(F400,I400),F400))</f>
        <v/>
      </c>
      <c r="M400" s="15">
        <f>IF(G400="","",IF(J400&lt;&gt;"",AVERAGE(G400,J400),G400))</f>
        <v/>
      </c>
      <c r="N400" s="15">
        <f>IF(OR(L400="",M400=""),"",AVERAGE(L400,M400))</f>
        <v/>
      </c>
    </row>
    <row r="401"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15" t="n"/>
      <c r="G401" s="15" t="n"/>
      <c r="H401">
        <f>IFERROR(INDEX(מלאי!$N$2:$N$500,MATCH(A401,מלאי!$D$2:$D$500,0)),"")</f>
        <v/>
      </c>
      <c r="I401" s="15" t="n"/>
      <c r="J401" s="15" t="n"/>
      <c r="L401" s="15">
        <f>IF(F401="","",IF(I401&lt;&gt;"",AVERAGE(F401,I401),F401))</f>
        <v/>
      </c>
      <c r="M401" s="15">
        <f>IF(G401="","",IF(J401&lt;&gt;"",AVERAGE(G401,J401),G401))</f>
        <v/>
      </c>
      <c r="N401" s="15">
        <f>IF(OR(L401="",M401=""),"",AVERAGE(L401,M401))</f>
        <v/>
      </c>
    </row>
    <row r="402"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15" t="n"/>
      <c r="G402" s="15" t="n"/>
      <c r="H402">
        <f>IFERROR(INDEX(מלאי!$N$2:$N$500,MATCH(A402,מלאי!$D$2:$D$500,0)),"")</f>
        <v/>
      </c>
      <c r="I402" s="15" t="n"/>
      <c r="J402" s="15" t="n"/>
      <c r="L402" s="15">
        <f>IF(F402="","",IF(I402&lt;&gt;"",AVERAGE(F402,I402),F402))</f>
        <v/>
      </c>
      <c r="M402" s="15">
        <f>IF(G402="","",IF(J402&lt;&gt;"",AVERAGE(G402,J402),G402))</f>
        <v/>
      </c>
      <c r="N402" s="15">
        <f>IF(OR(L402="",M402=""),"",AVERAGE(L402,M402))</f>
        <v/>
      </c>
    </row>
    <row r="403"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15" t="n"/>
      <c r="G403" s="15" t="n"/>
      <c r="H403">
        <f>IFERROR(INDEX(מלאי!$N$2:$N$500,MATCH(A403,מלאי!$D$2:$D$500,0)),"")</f>
        <v/>
      </c>
      <c r="I403" s="15" t="n"/>
      <c r="J403" s="15" t="n"/>
      <c r="L403" s="15">
        <f>IF(F403="","",IF(I403&lt;&gt;"",AVERAGE(F403,I403),F403))</f>
        <v/>
      </c>
      <c r="M403" s="15">
        <f>IF(G403="","",IF(J403&lt;&gt;"",AVERAGE(G403,J403),G403))</f>
        <v/>
      </c>
      <c r="N403" s="15">
        <f>IF(OR(L403="",M403=""),"",AVERAGE(L403,M403))</f>
        <v/>
      </c>
    </row>
    <row r="404"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15" t="n"/>
      <c r="G404" s="15" t="n"/>
      <c r="H404">
        <f>IFERROR(INDEX(מלאי!$N$2:$N$500,MATCH(A404,מלאי!$D$2:$D$500,0)),"")</f>
        <v/>
      </c>
      <c r="I404" s="15" t="n"/>
      <c r="J404" s="15" t="n"/>
      <c r="L404" s="15">
        <f>IF(F404="","",IF(I404&lt;&gt;"",AVERAGE(F404,I404),F404))</f>
        <v/>
      </c>
      <c r="M404" s="15">
        <f>IF(G404="","",IF(J404&lt;&gt;"",AVERAGE(G404,J404),G404))</f>
        <v/>
      </c>
      <c r="N404" s="15">
        <f>IF(OR(L404="",M404=""),"",AVERAGE(L404,M404))</f>
        <v/>
      </c>
    </row>
    <row r="405"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15" t="n"/>
      <c r="G405" s="15" t="n"/>
      <c r="H405">
        <f>IFERROR(INDEX(מלאי!$N$2:$N$500,MATCH(A405,מלאי!$D$2:$D$500,0)),"")</f>
        <v/>
      </c>
      <c r="I405" s="15" t="n"/>
      <c r="J405" s="15" t="n"/>
      <c r="L405" s="15">
        <f>IF(F405="","",IF(I405&lt;&gt;"",AVERAGE(F405,I405),F405))</f>
        <v/>
      </c>
      <c r="M405" s="15">
        <f>IF(G405="","",IF(J405&lt;&gt;"",AVERAGE(G405,J405),G405))</f>
        <v/>
      </c>
      <c r="N405" s="15">
        <f>IF(OR(L405="",M405=""),"",AVERAGE(L405,M405))</f>
        <v/>
      </c>
    </row>
    <row r="406"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15" t="n"/>
      <c r="G406" s="15" t="n"/>
      <c r="H406">
        <f>IFERROR(INDEX(מלאי!$N$2:$N$500,MATCH(A406,מלאי!$D$2:$D$500,0)),"")</f>
        <v/>
      </c>
      <c r="I406" s="15" t="n"/>
      <c r="J406" s="15" t="n"/>
      <c r="L406" s="15">
        <f>IF(F406="","",IF(I406&lt;&gt;"",AVERAGE(F406,I406),F406))</f>
        <v/>
      </c>
      <c r="M406" s="15">
        <f>IF(G406="","",IF(J406&lt;&gt;"",AVERAGE(G406,J406),G406))</f>
        <v/>
      </c>
      <c r="N406" s="15">
        <f>IF(OR(L406="",M406=""),"",AVERAGE(L406,M406))</f>
        <v/>
      </c>
    </row>
    <row r="407"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15" t="n"/>
      <c r="G407" s="15" t="n"/>
      <c r="H407">
        <f>IFERROR(INDEX(מלאי!$N$2:$N$500,MATCH(A407,מלאי!$D$2:$D$500,0)),"")</f>
        <v/>
      </c>
      <c r="I407" s="15" t="n"/>
      <c r="J407" s="15" t="n"/>
      <c r="L407" s="15">
        <f>IF(F407="","",IF(I407&lt;&gt;"",AVERAGE(F407,I407),F407))</f>
        <v/>
      </c>
      <c r="M407" s="15">
        <f>IF(G407="","",IF(J407&lt;&gt;"",AVERAGE(G407,J407),G407))</f>
        <v/>
      </c>
      <c r="N407" s="15">
        <f>IF(OR(L407="",M407=""),"",AVERAGE(L407,M407))</f>
        <v/>
      </c>
    </row>
    <row r="408"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15" t="n"/>
      <c r="G408" s="15" t="n"/>
      <c r="H408">
        <f>IFERROR(INDEX(מלאי!$N$2:$N$500,MATCH(A408,מלאי!$D$2:$D$500,0)),"")</f>
        <v/>
      </c>
      <c r="I408" s="15" t="n"/>
      <c r="J408" s="15" t="n"/>
      <c r="L408" s="15">
        <f>IF(F408="","",IF(I408&lt;&gt;"",AVERAGE(F408,I408),F408))</f>
        <v/>
      </c>
      <c r="M408" s="15">
        <f>IF(G408="","",IF(J408&lt;&gt;"",AVERAGE(G408,J408),G408))</f>
        <v/>
      </c>
      <c r="N408" s="15">
        <f>IF(OR(L408="",M408=""),"",AVERAGE(L408,M408))</f>
        <v/>
      </c>
    </row>
    <row r="409"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15" t="n"/>
      <c r="G409" s="15" t="n"/>
      <c r="H409">
        <f>IFERROR(INDEX(מלאי!$N$2:$N$500,MATCH(A409,מלאי!$D$2:$D$500,0)),"")</f>
        <v/>
      </c>
      <c r="I409" s="15" t="n"/>
      <c r="J409" s="15" t="n"/>
      <c r="L409" s="15">
        <f>IF(F409="","",IF(I409&lt;&gt;"",AVERAGE(F409,I409),F409))</f>
        <v/>
      </c>
      <c r="M409" s="15">
        <f>IF(G409="","",IF(J409&lt;&gt;"",AVERAGE(G409,J409),G409))</f>
        <v/>
      </c>
      <c r="N409" s="15">
        <f>IF(OR(L409="",M409=""),"",AVERAGE(L409,M409))</f>
        <v/>
      </c>
    </row>
    <row r="410"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15" t="n"/>
      <c r="G410" s="15" t="n"/>
      <c r="H410">
        <f>IFERROR(INDEX(מלאי!$N$2:$N$500,MATCH(A410,מלאי!$D$2:$D$500,0)),"")</f>
        <v/>
      </c>
      <c r="I410" s="15" t="n"/>
      <c r="J410" s="15" t="n"/>
      <c r="L410" s="15">
        <f>IF(F410="","",IF(I410&lt;&gt;"",AVERAGE(F410,I410),F410))</f>
        <v/>
      </c>
      <c r="M410" s="15">
        <f>IF(G410="","",IF(J410&lt;&gt;"",AVERAGE(G410,J410),G410))</f>
        <v/>
      </c>
      <c r="N410" s="15">
        <f>IF(OR(L410="",M410=""),"",AVERAGE(L410,M410))</f>
        <v/>
      </c>
    </row>
    <row r="411"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15" t="n"/>
      <c r="G411" s="15" t="n"/>
      <c r="H411">
        <f>IFERROR(INDEX(מלאי!$N$2:$N$500,MATCH(A411,מלאי!$D$2:$D$500,0)),"")</f>
        <v/>
      </c>
      <c r="I411" s="15" t="n"/>
      <c r="J411" s="15" t="n"/>
      <c r="L411" s="15">
        <f>IF(F411="","",IF(I411&lt;&gt;"",AVERAGE(F411,I411),F411))</f>
        <v/>
      </c>
      <c r="M411" s="15">
        <f>IF(G411="","",IF(J411&lt;&gt;"",AVERAGE(G411,J411),G411))</f>
        <v/>
      </c>
      <c r="N411" s="15">
        <f>IF(OR(L411="",M411=""),"",AVERAGE(L411,M411))</f>
        <v/>
      </c>
    </row>
    <row r="412"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15" t="n"/>
      <c r="G412" s="15" t="n"/>
      <c r="H412">
        <f>IFERROR(INDEX(מלאי!$N$2:$N$500,MATCH(A412,מלאי!$D$2:$D$500,0)),"")</f>
        <v/>
      </c>
      <c r="I412" s="15" t="n"/>
      <c r="J412" s="15" t="n"/>
      <c r="L412" s="15">
        <f>IF(F412="","",IF(I412&lt;&gt;"",AVERAGE(F412,I412),F412))</f>
        <v/>
      </c>
      <c r="M412" s="15">
        <f>IF(G412="","",IF(J412&lt;&gt;"",AVERAGE(G412,J412),G412))</f>
        <v/>
      </c>
      <c r="N412" s="15">
        <f>IF(OR(L412="",M412=""),"",AVERAGE(L412,M412))</f>
        <v/>
      </c>
    </row>
    <row r="413"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15" t="n"/>
      <c r="G413" s="15" t="n"/>
      <c r="H413">
        <f>IFERROR(INDEX(מלאי!$N$2:$N$500,MATCH(A413,מלאי!$D$2:$D$500,0)),"")</f>
        <v/>
      </c>
      <c r="I413" s="15" t="n"/>
      <c r="J413" s="15" t="n"/>
      <c r="L413" s="15">
        <f>IF(F413="","",IF(I413&lt;&gt;"",AVERAGE(F413,I413),F413))</f>
        <v/>
      </c>
      <c r="M413" s="15">
        <f>IF(G413="","",IF(J413&lt;&gt;"",AVERAGE(G413,J413),G413))</f>
        <v/>
      </c>
      <c r="N413" s="15">
        <f>IF(OR(L413="",M413=""),"",AVERAGE(L413,M413))</f>
        <v/>
      </c>
    </row>
    <row r="414"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15" t="n"/>
      <c r="G414" s="15" t="n"/>
      <c r="H414">
        <f>IFERROR(INDEX(מלאי!$N$2:$N$500,MATCH(A414,מלאי!$D$2:$D$500,0)),"")</f>
        <v/>
      </c>
      <c r="I414" s="15" t="n"/>
      <c r="J414" s="15" t="n"/>
      <c r="L414" s="15">
        <f>IF(F414="","",IF(I414&lt;&gt;"",AVERAGE(F414,I414),F414))</f>
        <v/>
      </c>
      <c r="M414" s="15">
        <f>IF(G414="","",IF(J414&lt;&gt;"",AVERAGE(G414,J414),G414))</f>
        <v/>
      </c>
      <c r="N414" s="15">
        <f>IF(OR(L414="",M414=""),"",AVERAGE(L414,M414))</f>
        <v/>
      </c>
    </row>
    <row r="415"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15" t="n"/>
      <c r="G415" s="15" t="n"/>
      <c r="H415">
        <f>IFERROR(INDEX(מלאי!$N$2:$N$500,MATCH(A415,מלאי!$D$2:$D$500,0)),"")</f>
        <v/>
      </c>
      <c r="I415" s="15" t="n"/>
      <c r="J415" s="15" t="n"/>
      <c r="L415" s="15">
        <f>IF(F415="","",IF(I415&lt;&gt;"",AVERAGE(F415,I415),F415))</f>
        <v/>
      </c>
      <c r="M415" s="15">
        <f>IF(G415="","",IF(J415&lt;&gt;"",AVERAGE(G415,J415),G415))</f>
        <v/>
      </c>
      <c r="N415" s="15">
        <f>IF(OR(L415="",M415=""),"",AVERAGE(L415,M415))</f>
        <v/>
      </c>
    </row>
    <row r="416"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15" t="n"/>
      <c r="G416" s="15" t="n"/>
      <c r="H416">
        <f>IFERROR(INDEX(מלאי!$N$2:$N$500,MATCH(A416,מלאי!$D$2:$D$500,0)),"")</f>
        <v/>
      </c>
      <c r="I416" s="15" t="n"/>
      <c r="J416" s="15" t="n"/>
      <c r="L416" s="15">
        <f>IF(F416="","",IF(I416&lt;&gt;"",AVERAGE(F416,I416),F416))</f>
        <v/>
      </c>
      <c r="M416" s="15">
        <f>IF(G416="","",IF(J416&lt;&gt;"",AVERAGE(G416,J416),G416))</f>
        <v/>
      </c>
      <c r="N416" s="15">
        <f>IF(OR(L416="",M416=""),"",AVERAGE(L416,M416))</f>
        <v/>
      </c>
    </row>
    <row r="417"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15" t="n"/>
      <c r="G417" s="15" t="n"/>
      <c r="H417">
        <f>IFERROR(INDEX(מלאי!$N$2:$N$500,MATCH(A417,מלאי!$D$2:$D$500,0)),"")</f>
        <v/>
      </c>
      <c r="I417" s="15" t="n"/>
      <c r="J417" s="15" t="n"/>
      <c r="L417" s="15">
        <f>IF(F417="","",IF(I417&lt;&gt;"",AVERAGE(F417,I417),F417))</f>
        <v/>
      </c>
      <c r="M417" s="15">
        <f>IF(G417="","",IF(J417&lt;&gt;"",AVERAGE(G417,J417),G417))</f>
        <v/>
      </c>
      <c r="N417" s="15">
        <f>IF(OR(L417="",M417=""),"",AVERAGE(L417,M417))</f>
        <v/>
      </c>
    </row>
    <row r="418"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15" t="n"/>
      <c r="G418" s="15" t="n"/>
      <c r="H418">
        <f>IFERROR(INDEX(מלאי!$N$2:$N$500,MATCH(A418,מלאי!$D$2:$D$500,0)),"")</f>
        <v/>
      </c>
      <c r="I418" s="15" t="n"/>
      <c r="J418" s="15" t="n"/>
      <c r="L418" s="15">
        <f>IF(F418="","",IF(I418&lt;&gt;"",AVERAGE(F418,I418),F418))</f>
        <v/>
      </c>
      <c r="M418" s="15">
        <f>IF(G418="","",IF(J418&lt;&gt;"",AVERAGE(G418,J418),G418))</f>
        <v/>
      </c>
      <c r="N418" s="15">
        <f>IF(OR(L418="",M418=""),"",AVERAGE(L418,M418))</f>
        <v/>
      </c>
    </row>
    <row r="419"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15" t="n"/>
      <c r="G419" s="15" t="n"/>
      <c r="H419">
        <f>IFERROR(INDEX(מלאי!$N$2:$N$500,MATCH(A419,מלאי!$D$2:$D$500,0)),"")</f>
        <v/>
      </c>
      <c r="I419" s="15" t="n"/>
      <c r="J419" s="15" t="n"/>
      <c r="L419" s="15">
        <f>IF(F419="","",IF(I419&lt;&gt;"",AVERAGE(F419,I419),F419))</f>
        <v/>
      </c>
      <c r="M419" s="15">
        <f>IF(G419="","",IF(J419&lt;&gt;"",AVERAGE(G419,J419),G419))</f>
        <v/>
      </c>
      <c r="N419" s="15">
        <f>IF(OR(L419="",M419=""),"",AVERAGE(L419,M419))</f>
        <v/>
      </c>
    </row>
    <row r="420"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15" t="n"/>
      <c r="G420" s="15" t="n"/>
      <c r="H420">
        <f>IFERROR(INDEX(מלאי!$N$2:$N$500,MATCH(A420,מלאי!$D$2:$D$500,0)),"")</f>
        <v/>
      </c>
      <c r="I420" s="15" t="n"/>
      <c r="J420" s="15" t="n"/>
      <c r="L420" s="15">
        <f>IF(F420="","",IF(I420&lt;&gt;"",AVERAGE(F420,I420),F420))</f>
        <v/>
      </c>
      <c r="M420" s="15">
        <f>IF(G420="","",IF(J420&lt;&gt;"",AVERAGE(G420,J420),G420))</f>
        <v/>
      </c>
      <c r="N420" s="15">
        <f>IF(OR(L420="",M420=""),"",AVERAGE(L420,M420))</f>
        <v/>
      </c>
    </row>
    <row r="421"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15" t="n"/>
      <c r="G421" s="15" t="n"/>
      <c r="H421">
        <f>IFERROR(INDEX(מלאי!$N$2:$N$500,MATCH(A421,מלאי!$D$2:$D$500,0)),"")</f>
        <v/>
      </c>
      <c r="I421" s="15" t="n"/>
      <c r="J421" s="15" t="n"/>
      <c r="L421" s="15">
        <f>IF(F421="","",IF(I421&lt;&gt;"",AVERAGE(F421,I421),F421))</f>
        <v/>
      </c>
      <c r="M421" s="15">
        <f>IF(G421="","",IF(J421&lt;&gt;"",AVERAGE(G421,J421),G421))</f>
        <v/>
      </c>
      <c r="N421" s="15">
        <f>IF(OR(L421="",M421=""),"",AVERAGE(L421,M421))</f>
        <v/>
      </c>
    </row>
    <row r="422"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15" t="n"/>
      <c r="G422" s="15" t="n"/>
      <c r="H422">
        <f>IFERROR(INDEX(מלאי!$N$2:$N$500,MATCH(A422,מלאי!$D$2:$D$500,0)),"")</f>
        <v/>
      </c>
      <c r="I422" s="15" t="n"/>
      <c r="J422" s="15" t="n"/>
      <c r="L422" s="15">
        <f>IF(F422="","",IF(I422&lt;&gt;"",AVERAGE(F422,I422),F422))</f>
        <v/>
      </c>
      <c r="M422" s="15">
        <f>IF(G422="","",IF(J422&lt;&gt;"",AVERAGE(G422,J422),G422))</f>
        <v/>
      </c>
      <c r="N422" s="15">
        <f>IF(OR(L422="",M422=""),"",AVERAGE(L422,M422))</f>
        <v/>
      </c>
    </row>
    <row r="423"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15" t="n"/>
      <c r="G423" s="15" t="n"/>
      <c r="H423">
        <f>IFERROR(INDEX(מלאי!$N$2:$N$500,MATCH(A423,מלאי!$D$2:$D$500,0)),"")</f>
        <v/>
      </c>
      <c r="I423" s="15" t="n"/>
      <c r="J423" s="15" t="n"/>
      <c r="L423" s="15">
        <f>IF(F423="","",IF(I423&lt;&gt;"",AVERAGE(F423,I423),F423))</f>
        <v/>
      </c>
      <c r="M423" s="15">
        <f>IF(G423="","",IF(J423&lt;&gt;"",AVERAGE(G423,J423),G423))</f>
        <v/>
      </c>
      <c r="N423" s="15">
        <f>IF(OR(L423="",M423=""),"",AVERAGE(L423,M423))</f>
        <v/>
      </c>
    </row>
    <row r="424"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15" t="n"/>
      <c r="G424" s="15" t="n"/>
      <c r="H424">
        <f>IFERROR(INDEX(מלאי!$N$2:$N$500,MATCH(A424,מלאי!$D$2:$D$500,0)),"")</f>
        <v/>
      </c>
      <c r="I424" s="15" t="n"/>
      <c r="J424" s="15" t="n"/>
      <c r="L424" s="15">
        <f>IF(F424="","",IF(I424&lt;&gt;"",AVERAGE(F424,I424),F424))</f>
        <v/>
      </c>
      <c r="M424" s="15">
        <f>IF(G424="","",IF(J424&lt;&gt;"",AVERAGE(G424,J424),G424))</f>
        <v/>
      </c>
      <c r="N424" s="15">
        <f>IF(OR(L424="",M424=""),"",AVERAGE(L424,M424))</f>
        <v/>
      </c>
    </row>
    <row r="425"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15" t="n"/>
      <c r="G425" s="15" t="n"/>
      <c r="H425">
        <f>IFERROR(INDEX(מלאי!$N$2:$N$500,MATCH(A425,מלאי!$D$2:$D$500,0)),"")</f>
        <v/>
      </c>
      <c r="I425" s="15" t="n"/>
      <c r="J425" s="15" t="n"/>
      <c r="L425" s="15">
        <f>IF(F425="","",IF(I425&lt;&gt;"",AVERAGE(F425,I425),F425))</f>
        <v/>
      </c>
      <c r="M425" s="15">
        <f>IF(G425="","",IF(J425&lt;&gt;"",AVERAGE(G425,J425),G425))</f>
        <v/>
      </c>
      <c r="N425" s="15">
        <f>IF(OR(L425="",M425=""),"",AVERAGE(L425,M425))</f>
        <v/>
      </c>
    </row>
    <row r="426"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15" t="n"/>
      <c r="G426" s="15" t="n"/>
      <c r="H426">
        <f>IFERROR(INDEX(מלאי!$N$2:$N$500,MATCH(A426,מלאי!$D$2:$D$500,0)),"")</f>
        <v/>
      </c>
      <c r="I426" s="15" t="n"/>
      <c r="J426" s="15" t="n"/>
      <c r="L426" s="15">
        <f>IF(F426="","",IF(I426&lt;&gt;"",AVERAGE(F426,I426),F426))</f>
        <v/>
      </c>
      <c r="M426" s="15">
        <f>IF(G426="","",IF(J426&lt;&gt;"",AVERAGE(G426,J426),G426))</f>
        <v/>
      </c>
      <c r="N426" s="15">
        <f>IF(OR(L426="",M426=""),"",AVERAGE(L426,M426))</f>
        <v/>
      </c>
    </row>
    <row r="427"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15" t="n"/>
      <c r="G427" s="15" t="n"/>
      <c r="H427">
        <f>IFERROR(INDEX(מלאי!$N$2:$N$500,MATCH(A427,מלאי!$D$2:$D$500,0)),"")</f>
        <v/>
      </c>
      <c r="I427" s="15" t="n"/>
      <c r="J427" s="15" t="n"/>
      <c r="L427" s="15">
        <f>IF(F427="","",IF(I427&lt;&gt;"",AVERAGE(F427,I427),F427))</f>
        <v/>
      </c>
      <c r="M427" s="15">
        <f>IF(G427="","",IF(J427&lt;&gt;"",AVERAGE(G427,J427),G427))</f>
        <v/>
      </c>
      <c r="N427" s="15">
        <f>IF(OR(L427="",M427=""),"",AVERAGE(L427,M427))</f>
        <v/>
      </c>
    </row>
    <row r="428"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15" t="n"/>
      <c r="G428" s="15" t="n"/>
      <c r="H428">
        <f>IFERROR(INDEX(מלאי!$N$2:$N$500,MATCH(A428,מלאי!$D$2:$D$500,0)),"")</f>
        <v/>
      </c>
      <c r="I428" s="15" t="n"/>
      <c r="J428" s="15" t="n"/>
      <c r="L428" s="15">
        <f>IF(F428="","",IF(I428&lt;&gt;"",AVERAGE(F428,I428),F428))</f>
        <v/>
      </c>
      <c r="M428" s="15">
        <f>IF(G428="","",IF(J428&lt;&gt;"",AVERAGE(G428,J428),G428))</f>
        <v/>
      </c>
      <c r="N428" s="15">
        <f>IF(OR(L428="",M428=""),"",AVERAGE(L428,M428))</f>
        <v/>
      </c>
    </row>
    <row r="429"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15" t="n"/>
      <c r="G429" s="15" t="n"/>
      <c r="H429">
        <f>IFERROR(INDEX(מלאי!$N$2:$N$500,MATCH(A429,מלאי!$D$2:$D$500,0)),"")</f>
        <v/>
      </c>
      <c r="I429" s="15" t="n"/>
      <c r="J429" s="15" t="n"/>
      <c r="L429" s="15">
        <f>IF(F429="","",IF(I429&lt;&gt;"",AVERAGE(F429,I429),F429))</f>
        <v/>
      </c>
      <c r="M429" s="15">
        <f>IF(G429="","",IF(J429&lt;&gt;"",AVERAGE(G429,J429),G429))</f>
        <v/>
      </c>
      <c r="N429" s="15">
        <f>IF(OR(L429="",M429=""),"",AVERAGE(L429,M429))</f>
        <v/>
      </c>
    </row>
    <row r="430"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15" t="n"/>
      <c r="G430" s="15" t="n"/>
      <c r="H430">
        <f>IFERROR(INDEX(מלאי!$N$2:$N$500,MATCH(A430,מלאי!$D$2:$D$500,0)),"")</f>
        <v/>
      </c>
      <c r="I430" s="15" t="n"/>
      <c r="J430" s="15" t="n"/>
      <c r="L430" s="15">
        <f>IF(F430="","",IF(I430&lt;&gt;"",AVERAGE(F430,I430),F430))</f>
        <v/>
      </c>
      <c r="M430" s="15">
        <f>IF(G430="","",IF(J430&lt;&gt;"",AVERAGE(G430,J430),G430))</f>
        <v/>
      </c>
      <c r="N430" s="15">
        <f>IF(OR(L430="",M430=""),"",AVERAGE(L430,M430))</f>
        <v/>
      </c>
    </row>
    <row r="431"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15" t="n"/>
      <c r="G431" s="15" t="n"/>
      <c r="H431">
        <f>IFERROR(INDEX(מלאי!$N$2:$N$500,MATCH(A431,מלאי!$D$2:$D$500,0)),"")</f>
        <v/>
      </c>
      <c r="I431" s="15" t="n"/>
      <c r="J431" s="15" t="n"/>
      <c r="L431" s="15">
        <f>IF(F431="","",IF(I431&lt;&gt;"",AVERAGE(F431,I431),F431))</f>
        <v/>
      </c>
      <c r="M431" s="15">
        <f>IF(G431="","",IF(J431&lt;&gt;"",AVERAGE(G431,J431),G431))</f>
        <v/>
      </c>
      <c r="N431" s="15">
        <f>IF(OR(L431="",M431=""),"",AVERAGE(L431,M431))</f>
        <v/>
      </c>
    </row>
    <row r="432"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15" t="n"/>
      <c r="G432" s="15" t="n"/>
      <c r="H432">
        <f>IFERROR(INDEX(מלאי!$N$2:$N$500,MATCH(A432,מלאי!$D$2:$D$500,0)),"")</f>
        <v/>
      </c>
      <c r="I432" s="15" t="n"/>
      <c r="J432" s="15" t="n"/>
      <c r="L432" s="15">
        <f>IF(F432="","",IF(I432&lt;&gt;"",AVERAGE(F432,I432),F432))</f>
        <v/>
      </c>
      <c r="M432" s="15">
        <f>IF(G432="","",IF(J432&lt;&gt;"",AVERAGE(G432,J432),G432))</f>
        <v/>
      </c>
      <c r="N432" s="15">
        <f>IF(OR(L432="",M432=""),"",AVERAGE(L432,M432))</f>
        <v/>
      </c>
    </row>
    <row r="433"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15" t="n"/>
      <c r="G433" s="15" t="n"/>
      <c r="H433">
        <f>IFERROR(INDEX(מלאי!$N$2:$N$500,MATCH(A433,מלאי!$D$2:$D$500,0)),"")</f>
        <v/>
      </c>
      <c r="I433" s="15" t="n"/>
      <c r="J433" s="15" t="n"/>
      <c r="L433" s="15">
        <f>IF(F433="","",IF(I433&lt;&gt;"",AVERAGE(F433,I433),F433))</f>
        <v/>
      </c>
      <c r="M433" s="15">
        <f>IF(G433="","",IF(J433&lt;&gt;"",AVERAGE(G433,J433),G433))</f>
        <v/>
      </c>
      <c r="N433" s="15">
        <f>IF(OR(L433="",M433=""),"",AVERAGE(L433,M433))</f>
        <v/>
      </c>
    </row>
    <row r="434"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15" t="n"/>
      <c r="G434" s="15" t="n"/>
      <c r="H434">
        <f>IFERROR(INDEX(מלאי!$N$2:$N$500,MATCH(A434,מלאי!$D$2:$D$500,0)),"")</f>
        <v/>
      </c>
      <c r="I434" s="15" t="n"/>
      <c r="J434" s="15" t="n"/>
      <c r="L434" s="15">
        <f>IF(F434="","",IF(I434&lt;&gt;"",AVERAGE(F434,I434),F434))</f>
        <v/>
      </c>
      <c r="M434" s="15">
        <f>IF(G434="","",IF(J434&lt;&gt;"",AVERAGE(G434,J434),G434))</f>
        <v/>
      </c>
      <c r="N434" s="15">
        <f>IF(OR(L434="",M434=""),"",AVERAGE(L434,M434))</f>
        <v/>
      </c>
    </row>
    <row r="435"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15" t="n"/>
      <c r="G435" s="15" t="n"/>
      <c r="H435">
        <f>IFERROR(INDEX(מלאי!$N$2:$N$500,MATCH(A435,מלאי!$D$2:$D$500,0)),"")</f>
        <v/>
      </c>
      <c r="I435" s="15" t="n"/>
      <c r="J435" s="15" t="n"/>
      <c r="L435" s="15">
        <f>IF(F435="","",IF(I435&lt;&gt;"",AVERAGE(F435,I435),F435))</f>
        <v/>
      </c>
      <c r="M435" s="15">
        <f>IF(G435="","",IF(J435&lt;&gt;"",AVERAGE(G435,J435),G435))</f>
        <v/>
      </c>
      <c r="N435" s="15">
        <f>IF(OR(L435="",M435=""),"",AVERAGE(L435,M435))</f>
        <v/>
      </c>
    </row>
    <row r="436"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15" t="n"/>
      <c r="G436" s="15" t="n"/>
      <c r="H436">
        <f>IFERROR(INDEX(מלאי!$N$2:$N$500,MATCH(A436,מלאי!$D$2:$D$500,0)),"")</f>
        <v/>
      </c>
      <c r="I436" s="15" t="n"/>
      <c r="J436" s="15" t="n"/>
      <c r="L436" s="15">
        <f>IF(F436="","",IF(I436&lt;&gt;"",AVERAGE(F436,I436),F436))</f>
        <v/>
      </c>
      <c r="M436" s="15">
        <f>IF(G436="","",IF(J436&lt;&gt;"",AVERAGE(G436,J436),G436))</f>
        <v/>
      </c>
      <c r="N436" s="15">
        <f>IF(OR(L436="",M436=""),"",AVERAGE(L436,M436))</f>
        <v/>
      </c>
    </row>
    <row r="437"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15" t="n"/>
      <c r="G437" s="15" t="n"/>
      <c r="H437">
        <f>IFERROR(INDEX(מלאי!$N$2:$N$500,MATCH(A437,מלאי!$D$2:$D$500,0)),"")</f>
        <v/>
      </c>
      <c r="I437" s="15" t="n"/>
      <c r="J437" s="15" t="n"/>
      <c r="L437" s="15">
        <f>IF(F437="","",IF(I437&lt;&gt;"",AVERAGE(F437,I437),F437))</f>
        <v/>
      </c>
      <c r="M437" s="15">
        <f>IF(G437="","",IF(J437&lt;&gt;"",AVERAGE(G437,J437),G437))</f>
        <v/>
      </c>
      <c r="N437" s="15">
        <f>IF(OR(L437="",M437=""),"",AVERAGE(L437,M437))</f>
        <v/>
      </c>
    </row>
    <row r="438"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15" t="n"/>
      <c r="G438" s="15" t="n"/>
      <c r="H438">
        <f>IFERROR(INDEX(מלאי!$N$2:$N$500,MATCH(A438,מלאי!$D$2:$D$500,0)),"")</f>
        <v/>
      </c>
      <c r="I438" s="15" t="n"/>
      <c r="J438" s="15" t="n"/>
      <c r="L438" s="15">
        <f>IF(F438="","",IF(I438&lt;&gt;"",AVERAGE(F438,I438),F438))</f>
        <v/>
      </c>
      <c r="M438" s="15">
        <f>IF(G438="","",IF(J438&lt;&gt;"",AVERAGE(G438,J438),G438))</f>
        <v/>
      </c>
      <c r="N438" s="15">
        <f>IF(OR(L438="",M438=""),"",AVERAGE(L438,M438))</f>
        <v/>
      </c>
    </row>
    <row r="439"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15" t="n"/>
      <c r="G439" s="15" t="n"/>
      <c r="H439">
        <f>IFERROR(INDEX(מלאי!$N$2:$N$500,MATCH(A439,מלאי!$D$2:$D$500,0)),"")</f>
        <v/>
      </c>
      <c r="I439" s="15" t="n"/>
      <c r="J439" s="15" t="n"/>
      <c r="L439" s="15">
        <f>IF(F439="","",IF(I439&lt;&gt;"",AVERAGE(F439,I439),F439))</f>
        <v/>
      </c>
      <c r="M439" s="15">
        <f>IF(G439="","",IF(J439&lt;&gt;"",AVERAGE(G439,J439),G439))</f>
        <v/>
      </c>
      <c r="N439" s="15">
        <f>IF(OR(L439="",M439=""),"",AVERAGE(L439,M439))</f>
        <v/>
      </c>
    </row>
    <row r="440"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15" t="n"/>
      <c r="G440" s="15" t="n"/>
      <c r="H440">
        <f>IFERROR(INDEX(מלאי!$N$2:$N$500,MATCH(A440,מלאי!$D$2:$D$500,0)),"")</f>
        <v/>
      </c>
      <c r="I440" s="15" t="n"/>
      <c r="J440" s="15" t="n"/>
      <c r="L440" s="15">
        <f>IF(F440="","",IF(I440&lt;&gt;"",AVERAGE(F440,I440),F440))</f>
        <v/>
      </c>
      <c r="M440" s="15">
        <f>IF(G440="","",IF(J440&lt;&gt;"",AVERAGE(G440,J440),G440))</f>
        <v/>
      </c>
      <c r="N440" s="15">
        <f>IF(OR(L440="",M440=""),"",AVERAGE(L440,M440))</f>
        <v/>
      </c>
    </row>
    <row r="441"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15" t="n"/>
      <c r="G441" s="15" t="n"/>
      <c r="H441">
        <f>IFERROR(INDEX(מלאי!$N$2:$N$500,MATCH(A441,מלאי!$D$2:$D$500,0)),"")</f>
        <v/>
      </c>
      <c r="I441" s="15" t="n"/>
      <c r="J441" s="15" t="n"/>
      <c r="L441" s="15">
        <f>IF(F441="","",IF(I441&lt;&gt;"",AVERAGE(F441,I441),F441))</f>
        <v/>
      </c>
      <c r="M441" s="15">
        <f>IF(G441="","",IF(J441&lt;&gt;"",AVERAGE(G441,J441),G441))</f>
        <v/>
      </c>
      <c r="N441" s="15">
        <f>IF(OR(L441="",M441=""),"",AVERAGE(L441,M441))</f>
        <v/>
      </c>
    </row>
    <row r="442"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15" t="n"/>
      <c r="G442" s="15" t="n"/>
      <c r="H442">
        <f>IFERROR(INDEX(מלאי!$N$2:$N$500,MATCH(A442,מלאי!$D$2:$D$500,0)),"")</f>
        <v/>
      </c>
      <c r="I442" s="15" t="n"/>
      <c r="J442" s="15" t="n"/>
      <c r="L442" s="15">
        <f>IF(F442="","",IF(I442&lt;&gt;"",AVERAGE(F442,I442),F442))</f>
        <v/>
      </c>
      <c r="M442" s="15">
        <f>IF(G442="","",IF(J442&lt;&gt;"",AVERAGE(G442,J442),G442))</f>
        <v/>
      </c>
      <c r="N442" s="15">
        <f>IF(OR(L442="",M442=""),"",AVERAGE(L442,M442))</f>
        <v/>
      </c>
    </row>
    <row r="443"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15" t="n"/>
      <c r="G443" s="15" t="n"/>
      <c r="H443">
        <f>IFERROR(INDEX(מלאי!$N$2:$N$500,MATCH(A443,מלאי!$D$2:$D$500,0)),"")</f>
        <v/>
      </c>
      <c r="I443" s="15" t="n"/>
      <c r="J443" s="15" t="n"/>
      <c r="L443" s="15">
        <f>IF(F443="","",IF(I443&lt;&gt;"",AVERAGE(F443,I443),F443))</f>
        <v/>
      </c>
      <c r="M443" s="15">
        <f>IF(G443="","",IF(J443&lt;&gt;"",AVERAGE(G443,J443),G443))</f>
        <v/>
      </c>
      <c r="N443" s="15">
        <f>IF(OR(L443="",M443=""),"",AVERAGE(L443,M443))</f>
        <v/>
      </c>
    </row>
    <row r="444"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15" t="n"/>
      <c r="G444" s="15" t="n"/>
      <c r="H444">
        <f>IFERROR(INDEX(מלאי!$N$2:$N$500,MATCH(A444,מלאי!$D$2:$D$500,0)),"")</f>
        <v/>
      </c>
      <c r="I444" s="15" t="n"/>
      <c r="J444" s="15" t="n"/>
      <c r="L444" s="15">
        <f>IF(F444="","",IF(I444&lt;&gt;"",AVERAGE(F444,I444),F444))</f>
        <v/>
      </c>
      <c r="M444" s="15">
        <f>IF(G444="","",IF(J444&lt;&gt;"",AVERAGE(G444,J444),G444))</f>
        <v/>
      </c>
      <c r="N444" s="15">
        <f>IF(OR(L444="",M444=""),"",AVERAGE(L444,M444))</f>
        <v/>
      </c>
    </row>
    <row r="445"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15" t="n"/>
      <c r="G445" s="15" t="n"/>
      <c r="H445">
        <f>IFERROR(INDEX(מלאי!$N$2:$N$500,MATCH(A445,מלאי!$D$2:$D$500,0)),"")</f>
        <v/>
      </c>
      <c r="I445" s="15" t="n"/>
      <c r="J445" s="15" t="n"/>
      <c r="L445" s="15">
        <f>IF(F445="","",IF(I445&lt;&gt;"",AVERAGE(F445,I445),F445))</f>
        <v/>
      </c>
      <c r="M445" s="15">
        <f>IF(G445="","",IF(J445&lt;&gt;"",AVERAGE(G445,J445),G445))</f>
        <v/>
      </c>
      <c r="N445" s="15">
        <f>IF(OR(L445="",M445=""),"",AVERAGE(L445,M445))</f>
        <v/>
      </c>
    </row>
    <row r="446"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15" t="n"/>
      <c r="G446" s="15" t="n"/>
      <c r="H446">
        <f>IFERROR(INDEX(מלאי!$N$2:$N$500,MATCH(A446,מלאי!$D$2:$D$500,0)),"")</f>
        <v/>
      </c>
      <c r="I446" s="15" t="n"/>
      <c r="J446" s="15" t="n"/>
      <c r="L446" s="15">
        <f>IF(F446="","",IF(I446&lt;&gt;"",AVERAGE(F446,I446),F446))</f>
        <v/>
      </c>
      <c r="M446" s="15">
        <f>IF(G446="","",IF(J446&lt;&gt;"",AVERAGE(G446,J446),G446))</f>
        <v/>
      </c>
      <c r="N446" s="15">
        <f>IF(OR(L446="",M446=""),"",AVERAGE(L446,M446))</f>
        <v/>
      </c>
    </row>
    <row r="447"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15" t="n"/>
      <c r="G447" s="15" t="n"/>
      <c r="H447">
        <f>IFERROR(INDEX(מלאי!$N$2:$N$500,MATCH(A447,מלאי!$D$2:$D$500,0)),"")</f>
        <v/>
      </c>
      <c r="I447" s="15" t="n"/>
      <c r="J447" s="15" t="n"/>
      <c r="L447" s="15">
        <f>IF(F447="","",IF(I447&lt;&gt;"",AVERAGE(F447,I447),F447))</f>
        <v/>
      </c>
      <c r="M447" s="15">
        <f>IF(G447="","",IF(J447&lt;&gt;"",AVERAGE(G447,J447),G447))</f>
        <v/>
      </c>
      <c r="N447" s="15">
        <f>IF(OR(L447="",M447=""),"",AVERAGE(L447,M447))</f>
        <v/>
      </c>
    </row>
    <row r="448"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15" t="n"/>
      <c r="G448" s="15" t="n"/>
      <c r="H448">
        <f>IFERROR(INDEX(מלאי!$N$2:$N$500,MATCH(A448,מלאי!$D$2:$D$500,0)),"")</f>
        <v/>
      </c>
      <c r="I448" s="15" t="n"/>
      <c r="J448" s="15" t="n"/>
      <c r="L448" s="15">
        <f>IF(F448="","",IF(I448&lt;&gt;"",AVERAGE(F448,I448),F448))</f>
        <v/>
      </c>
      <c r="M448" s="15">
        <f>IF(G448="","",IF(J448&lt;&gt;"",AVERAGE(G448,J448),G448))</f>
        <v/>
      </c>
      <c r="N448" s="15">
        <f>IF(OR(L448="",M448=""),"",AVERAGE(L448,M448))</f>
        <v/>
      </c>
    </row>
    <row r="449"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15" t="n"/>
      <c r="G449" s="15" t="n"/>
      <c r="H449">
        <f>IFERROR(INDEX(מלאי!$N$2:$N$500,MATCH(A449,מלאי!$D$2:$D$500,0)),"")</f>
        <v/>
      </c>
      <c r="I449" s="15" t="n"/>
      <c r="J449" s="15" t="n"/>
      <c r="L449" s="15">
        <f>IF(F449="","",IF(I449&lt;&gt;"",AVERAGE(F449,I449),F449))</f>
        <v/>
      </c>
      <c r="M449" s="15">
        <f>IF(G449="","",IF(J449&lt;&gt;"",AVERAGE(G449,J449),G449))</f>
        <v/>
      </c>
      <c r="N449" s="15">
        <f>IF(OR(L449="",M449=""),"",AVERAGE(L449,M449))</f>
        <v/>
      </c>
    </row>
    <row r="450"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15" t="n"/>
      <c r="G450" s="15" t="n"/>
      <c r="H450">
        <f>IFERROR(INDEX(מלאי!$N$2:$N$500,MATCH(A450,מלאי!$D$2:$D$500,0)),"")</f>
        <v/>
      </c>
      <c r="I450" s="15" t="n"/>
      <c r="J450" s="15" t="n"/>
      <c r="L450" s="15">
        <f>IF(F450="","",IF(I450&lt;&gt;"",AVERAGE(F450,I450),F450))</f>
        <v/>
      </c>
      <c r="M450" s="15">
        <f>IF(G450="","",IF(J450&lt;&gt;"",AVERAGE(G450,J450),G450))</f>
        <v/>
      </c>
      <c r="N450" s="15">
        <f>IF(OR(L450="",M450=""),"",AVERAGE(L450,M450))</f>
        <v/>
      </c>
    </row>
    <row r="451"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15" t="n"/>
      <c r="G451" s="15" t="n"/>
      <c r="H451">
        <f>IFERROR(INDEX(מלאי!$N$2:$N$500,MATCH(A451,מלאי!$D$2:$D$500,0)),"")</f>
        <v/>
      </c>
      <c r="I451" s="15" t="n"/>
      <c r="J451" s="15" t="n"/>
      <c r="L451" s="15">
        <f>IF(F451="","",IF(I451&lt;&gt;"",AVERAGE(F451,I451),F451))</f>
        <v/>
      </c>
      <c r="M451" s="15">
        <f>IF(G451="","",IF(J451&lt;&gt;"",AVERAGE(G451,J451),G451))</f>
        <v/>
      </c>
      <c r="N451" s="15">
        <f>IF(OR(L451="",M451=""),"",AVERAGE(L451,M451))</f>
        <v/>
      </c>
    </row>
    <row r="452"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15" t="n"/>
      <c r="G452" s="15" t="n"/>
      <c r="H452">
        <f>IFERROR(INDEX(מלאי!$N$2:$N$500,MATCH(A452,מלאי!$D$2:$D$500,0)),"")</f>
        <v/>
      </c>
      <c r="I452" s="15" t="n"/>
      <c r="J452" s="15" t="n"/>
      <c r="L452" s="15">
        <f>IF(F452="","",IF(I452&lt;&gt;"",AVERAGE(F452,I452),F452))</f>
        <v/>
      </c>
      <c r="M452" s="15">
        <f>IF(G452="","",IF(J452&lt;&gt;"",AVERAGE(G452,J452),G452))</f>
        <v/>
      </c>
      <c r="N452" s="15">
        <f>IF(OR(L452="",M452=""),"",AVERAGE(L452,M452))</f>
        <v/>
      </c>
    </row>
    <row r="453"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15" t="n"/>
      <c r="G453" s="15" t="n"/>
      <c r="H453">
        <f>IFERROR(INDEX(מלאי!$N$2:$N$500,MATCH(A453,מלאי!$D$2:$D$500,0)),"")</f>
        <v/>
      </c>
      <c r="I453" s="15" t="n"/>
      <c r="J453" s="15" t="n"/>
      <c r="L453" s="15">
        <f>IF(F453="","",IF(I453&lt;&gt;"",AVERAGE(F453,I453),F453))</f>
        <v/>
      </c>
      <c r="M453" s="15">
        <f>IF(G453="","",IF(J453&lt;&gt;"",AVERAGE(G453,J453),G453))</f>
        <v/>
      </c>
      <c r="N453" s="15">
        <f>IF(OR(L453="",M453=""),"",AVERAGE(L453,M453))</f>
        <v/>
      </c>
    </row>
    <row r="454"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15" t="n"/>
      <c r="G454" s="15" t="n"/>
      <c r="H454">
        <f>IFERROR(INDEX(מלאי!$N$2:$N$500,MATCH(A454,מלאי!$D$2:$D$500,0)),"")</f>
        <v/>
      </c>
      <c r="I454" s="15" t="n"/>
      <c r="J454" s="15" t="n"/>
      <c r="L454" s="15">
        <f>IF(F454="","",IF(I454&lt;&gt;"",AVERAGE(F454,I454),F454))</f>
        <v/>
      </c>
      <c r="M454" s="15">
        <f>IF(G454="","",IF(J454&lt;&gt;"",AVERAGE(G454,J454),G454))</f>
        <v/>
      </c>
      <c r="N454" s="15">
        <f>IF(OR(L454="",M454=""),"",AVERAGE(L454,M454))</f>
        <v/>
      </c>
    </row>
    <row r="455"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15" t="n"/>
      <c r="G455" s="15" t="n"/>
      <c r="H455">
        <f>IFERROR(INDEX(מלאי!$N$2:$N$500,MATCH(A455,מלאי!$D$2:$D$500,0)),"")</f>
        <v/>
      </c>
      <c r="I455" s="15" t="n"/>
      <c r="J455" s="15" t="n"/>
      <c r="L455" s="15">
        <f>IF(F455="","",IF(I455&lt;&gt;"",AVERAGE(F455,I455),F455))</f>
        <v/>
      </c>
      <c r="M455" s="15">
        <f>IF(G455="","",IF(J455&lt;&gt;"",AVERAGE(G455,J455),G455))</f>
        <v/>
      </c>
      <c r="N455" s="15">
        <f>IF(OR(L455="",M455=""),"",AVERAGE(L455,M455))</f>
        <v/>
      </c>
    </row>
    <row r="456"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15" t="n"/>
      <c r="G456" s="15" t="n"/>
      <c r="H456">
        <f>IFERROR(INDEX(מלאי!$N$2:$N$500,MATCH(A456,מלאי!$D$2:$D$500,0)),"")</f>
        <v/>
      </c>
      <c r="I456" s="15" t="n"/>
      <c r="J456" s="15" t="n"/>
      <c r="L456" s="15">
        <f>IF(F456="","",IF(I456&lt;&gt;"",AVERAGE(F456,I456),F456))</f>
        <v/>
      </c>
      <c r="M456" s="15">
        <f>IF(G456="","",IF(J456&lt;&gt;"",AVERAGE(G456,J456),G456))</f>
        <v/>
      </c>
      <c r="N456" s="15">
        <f>IF(OR(L456="",M456=""),"",AVERAGE(L456,M456))</f>
        <v/>
      </c>
    </row>
    <row r="457"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15" t="n"/>
      <c r="G457" s="15" t="n"/>
      <c r="H457">
        <f>IFERROR(INDEX(מלאי!$N$2:$N$500,MATCH(A457,מלאי!$D$2:$D$500,0)),"")</f>
        <v/>
      </c>
      <c r="I457" s="15" t="n"/>
      <c r="J457" s="15" t="n"/>
      <c r="L457" s="15">
        <f>IF(F457="","",IF(I457&lt;&gt;"",AVERAGE(F457,I457),F457))</f>
        <v/>
      </c>
      <c r="M457" s="15">
        <f>IF(G457="","",IF(J457&lt;&gt;"",AVERAGE(G457,J457),G457))</f>
        <v/>
      </c>
      <c r="N457" s="15">
        <f>IF(OR(L457="",M457=""),"",AVERAGE(L457,M457))</f>
        <v/>
      </c>
    </row>
    <row r="458"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15" t="n"/>
      <c r="G458" s="15" t="n"/>
      <c r="H458">
        <f>IFERROR(INDEX(מלאי!$N$2:$N$500,MATCH(A458,מלאי!$D$2:$D$500,0)),"")</f>
        <v/>
      </c>
      <c r="I458" s="15" t="n"/>
      <c r="J458" s="15" t="n"/>
      <c r="L458" s="15">
        <f>IF(F458="","",IF(I458&lt;&gt;"",AVERAGE(F458,I458),F458))</f>
        <v/>
      </c>
      <c r="M458" s="15">
        <f>IF(G458="","",IF(J458&lt;&gt;"",AVERAGE(G458,J458),G458))</f>
        <v/>
      </c>
      <c r="N458" s="15">
        <f>IF(OR(L458="",M458=""),"",AVERAGE(L458,M458))</f>
        <v/>
      </c>
    </row>
    <row r="459"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15" t="n"/>
      <c r="G459" s="15" t="n"/>
      <c r="H459">
        <f>IFERROR(INDEX(מלאי!$N$2:$N$500,MATCH(A459,מלאי!$D$2:$D$500,0)),"")</f>
        <v/>
      </c>
      <c r="I459" s="15" t="n"/>
      <c r="J459" s="15" t="n"/>
      <c r="L459" s="15">
        <f>IF(F459="","",IF(I459&lt;&gt;"",AVERAGE(F459,I459),F459))</f>
        <v/>
      </c>
      <c r="M459" s="15">
        <f>IF(G459="","",IF(J459&lt;&gt;"",AVERAGE(G459,J459),G459))</f>
        <v/>
      </c>
      <c r="N459" s="15">
        <f>IF(OR(L459="",M459=""),"",AVERAGE(L459,M459))</f>
        <v/>
      </c>
    </row>
    <row r="460"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15" t="n"/>
      <c r="G460" s="15" t="n"/>
      <c r="H460">
        <f>IFERROR(INDEX(מלאי!$N$2:$N$500,MATCH(A460,מלאי!$D$2:$D$500,0)),"")</f>
        <v/>
      </c>
      <c r="I460" s="15" t="n"/>
      <c r="J460" s="15" t="n"/>
      <c r="L460" s="15">
        <f>IF(F460="","",IF(I460&lt;&gt;"",AVERAGE(F460,I460),F460))</f>
        <v/>
      </c>
      <c r="M460" s="15">
        <f>IF(G460="","",IF(J460&lt;&gt;"",AVERAGE(G460,J460),G460))</f>
        <v/>
      </c>
      <c r="N460" s="15">
        <f>IF(OR(L460="",M460=""),"",AVERAGE(L460,M460))</f>
        <v/>
      </c>
    </row>
    <row r="461"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15" t="n"/>
      <c r="G461" s="15" t="n"/>
      <c r="H461">
        <f>IFERROR(INDEX(מלאי!$N$2:$N$500,MATCH(A461,מלאי!$D$2:$D$500,0)),"")</f>
        <v/>
      </c>
      <c r="I461" s="15" t="n"/>
      <c r="J461" s="15" t="n"/>
      <c r="L461" s="15">
        <f>IF(F461="","",IF(I461&lt;&gt;"",AVERAGE(F461,I461),F461))</f>
        <v/>
      </c>
      <c r="M461" s="15">
        <f>IF(G461="","",IF(J461&lt;&gt;"",AVERAGE(G461,J461),G461))</f>
        <v/>
      </c>
      <c r="N461" s="15">
        <f>IF(OR(L461="",M461=""),"",AVERAGE(L461,M461))</f>
        <v/>
      </c>
    </row>
    <row r="462"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15" t="n"/>
      <c r="G462" s="15" t="n"/>
      <c r="H462">
        <f>IFERROR(INDEX(מלאי!$N$2:$N$500,MATCH(A462,מלאי!$D$2:$D$500,0)),"")</f>
        <v/>
      </c>
      <c r="I462" s="15" t="n"/>
      <c r="J462" s="15" t="n"/>
      <c r="L462" s="15">
        <f>IF(F462="","",IF(I462&lt;&gt;"",AVERAGE(F462,I462),F462))</f>
        <v/>
      </c>
      <c r="M462" s="15">
        <f>IF(G462="","",IF(J462&lt;&gt;"",AVERAGE(G462,J462),G462))</f>
        <v/>
      </c>
      <c r="N462" s="15">
        <f>IF(OR(L462="",M462=""),"",AVERAGE(L462,M462))</f>
        <v/>
      </c>
    </row>
    <row r="463"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15" t="n"/>
      <c r="G463" s="15" t="n"/>
      <c r="H463">
        <f>IFERROR(INDEX(מלאי!$N$2:$N$500,MATCH(A463,מלאי!$D$2:$D$500,0)),"")</f>
        <v/>
      </c>
      <c r="I463" s="15" t="n"/>
      <c r="J463" s="15" t="n"/>
      <c r="L463" s="15">
        <f>IF(F463="","",IF(I463&lt;&gt;"",AVERAGE(F463,I463),F463))</f>
        <v/>
      </c>
      <c r="M463" s="15">
        <f>IF(G463="","",IF(J463&lt;&gt;"",AVERAGE(G463,J463),G463))</f>
        <v/>
      </c>
      <c r="N463" s="15">
        <f>IF(OR(L463="",M463=""),"",AVERAGE(L463,M463))</f>
        <v/>
      </c>
    </row>
    <row r="464"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15" t="n"/>
      <c r="G464" s="15" t="n"/>
      <c r="H464">
        <f>IFERROR(INDEX(מלאי!$N$2:$N$500,MATCH(A464,מלאי!$D$2:$D$500,0)),"")</f>
        <v/>
      </c>
      <c r="I464" s="15" t="n"/>
      <c r="J464" s="15" t="n"/>
      <c r="L464" s="15">
        <f>IF(F464="","",IF(I464&lt;&gt;"",AVERAGE(F464,I464),F464))</f>
        <v/>
      </c>
      <c r="M464" s="15">
        <f>IF(G464="","",IF(J464&lt;&gt;"",AVERAGE(G464,J464),G464))</f>
        <v/>
      </c>
      <c r="N464" s="15">
        <f>IF(OR(L464="",M464=""),"",AVERAGE(L464,M464))</f>
        <v/>
      </c>
    </row>
    <row r="465"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15" t="n"/>
      <c r="G465" s="15" t="n"/>
      <c r="H465">
        <f>IFERROR(INDEX(מלאי!$N$2:$N$500,MATCH(A465,מלאי!$D$2:$D$500,0)),"")</f>
        <v/>
      </c>
      <c r="I465" s="15" t="n"/>
      <c r="J465" s="15" t="n"/>
      <c r="L465" s="15">
        <f>IF(F465="","",IF(I465&lt;&gt;"",AVERAGE(F465,I465),F465))</f>
        <v/>
      </c>
      <c r="M465" s="15">
        <f>IF(G465="","",IF(J465&lt;&gt;"",AVERAGE(G465,J465),G465))</f>
        <v/>
      </c>
      <c r="N465" s="15">
        <f>IF(OR(L465="",M465=""),"",AVERAGE(L465,M465))</f>
        <v/>
      </c>
    </row>
    <row r="466"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15" t="n"/>
      <c r="G466" s="15" t="n"/>
      <c r="H466">
        <f>IFERROR(INDEX(מלאי!$N$2:$N$500,MATCH(A466,מלאי!$D$2:$D$500,0)),"")</f>
        <v/>
      </c>
      <c r="I466" s="15" t="n"/>
      <c r="J466" s="15" t="n"/>
      <c r="L466" s="15">
        <f>IF(F466="","",IF(I466&lt;&gt;"",AVERAGE(F466,I466),F466))</f>
        <v/>
      </c>
      <c r="M466" s="15">
        <f>IF(G466="","",IF(J466&lt;&gt;"",AVERAGE(G466,J466),G466))</f>
        <v/>
      </c>
      <c r="N466" s="15">
        <f>IF(OR(L466="",M466=""),"",AVERAGE(L466,M466))</f>
        <v/>
      </c>
    </row>
    <row r="467"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15" t="n"/>
      <c r="G467" s="15" t="n"/>
      <c r="H467">
        <f>IFERROR(INDEX(מלאי!$N$2:$N$500,MATCH(A467,מלאי!$D$2:$D$500,0)),"")</f>
        <v/>
      </c>
      <c r="I467" s="15" t="n"/>
      <c r="J467" s="15" t="n"/>
      <c r="L467" s="15">
        <f>IF(F467="","",IF(I467&lt;&gt;"",AVERAGE(F467,I467),F467))</f>
        <v/>
      </c>
      <c r="M467" s="15">
        <f>IF(G467="","",IF(J467&lt;&gt;"",AVERAGE(G467,J467),G467))</f>
        <v/>
      </c>
      <c r="N467" s="15">
        <f>IF(OR(L467="",M467=""),"",AVERAGE(L467,M467))</f>
        <v/>
      </c>
    </row>
    <row r="468"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15" t="n"/>
      <c r="G468" s="15" t="n"/>
      <c r="H468">
        <f>IFERROR(INDEX(מלאי!$N$2:$N$500,MATCH(A468,מלאי!$D$2:$D$500,0)),"")</f>
        <v/>
      </c>
      <c r="I468" s="15" t="n"/>
      <c r="J468" s="15" t="n"/>
      <c r="L468" s="15">
        <f>IF(F468="","",IF(I468&lt;&gt;"",AVERAGE(F468,I468),F468))</f>
        <v/>
      </c>
      <c r="M468" s="15">
        <f>IF(G468="","",IF(J468&lt;&gt;"",AVERAGE(G468,J468),G468))</f>
        <v/>
      </c>
      <c r="N468" s="15">
        <f>IF(OR(L468="",M468=""),"",AVERAGE(L468,M468))</f>
        <v/>
      </c>
    </row>
    <row r="469"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15" t="n"/>
      <c r="G469" s="15" t="n"/>
      <c r="H469">
        <f>IFERROR(INDEX(מלאי!$N$2:$N$500,MATCH(A469,מלאי!$D$2:$D$500,0)),"")</f>
        <v/>
      </c>
      <c r="I469" s="15" t="n"/>
      <c r="J469" s="15" t="n"/>
      <c r="L469" s="15">
        <f>IF(F469="","",IF(I469&lt;&gt;"",AVERAGE(F469,I469),F469))</f>
        <v/>
      </c>
      <c r="M469" s="15">
        <f>IF(G469="","",IF(J469&lt;&gt;"",AVERAGE(G469,J469),G469))</f>
        <v/>
      </c>
      <c r="N469" s="15">
        <f>IF(OR(L469="",M469=""),"",AVERAGE(L469,M469))</f>
        <v/>
      </c>
    </row>
    <row r="470"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15" t="n"/>
      <c r="G470" s="15" t="n"/>
      <c r="H470">
        <f>IFERROR(INDEX(מלאי!$N$2:$N$500,MATCH(A470,מלאי!$D$2:$D$500,0)),"")</f>
        <v/>
      </c>
      <c r="I470" s="15" t="n"/>
      <c r="J470" s="15" t="n"/>
      <c r="L470" s="15">
        <f>IF(F470="","",IF(I470&lt;&gt;"",AVERAGE(F470,I470),F470))</f>
        <v/>
      </c>
      <c r="M470" s="15">
        <f>IF(G470="","",IF(J470&lt;&gt;"",AVERAGE(G470,J470),G470))</f>
        <v/>
      </c>
      <c r="N470" s="15">
        <f>IF(OR(L470="",M470=""),"",AVERAGE(L470,M470))</f>
        <v/>
      </c>
    </row>
    <row r="471"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15" t="n"/>
      <c r="G471" s="15" t="n"/>
      <c r="H471">
        <f>IFERROR(INDEX(מלאי!$N$2:$N$500,MATCH(A471,מלאי!$D$2:$D$500,0)),"")</f>
        <v/>
      </c>
      <c r="I471" s="15" t="n"/>
      <c r="J471" s="15" t="n"/>
      <c r="L471" s="15">
        <f>IF(F471="","",IF(I471&lt;&gt;"",AVERAGE(F471,I471),F471))</f>
        <v/>
      </c>
      <c r="M471" s="15">
        <f>IF(G471="","",IF(J471&lt;&gt;"",AVERAGE(G471,J471),G471))</f>
        <v/>
      </c>
      <c r="N471" s="15">
        <f>IF(OR(L471="",M471=""),"",AVERAGE(L471,M471))</f>
        <v/>
      </c>
    </row>
    <row r="472"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15" t="n"/>
      <c r="G472" s="15" t="n"/>
      <c r="H472">
        <f>IFERROR(INDEX(מלאי!$N$2:$N$500,MATCH(A472,מלאי!$D$2:$D$500,0)),"")</f>
        <v/>
      </c>
      <c r="I472" s="15" t="n"/>
      <c r="J472" s="15" t="n"/>
      <c r="L472" s="15">
        <f>IF(F472="","",IF(I472&lt;&gt;"",AVERAGE(F472,I472),F472))</f>
        <v/>
      </c>
      <c r="M472" s="15">
        <f>IF(G472="","",IF(J472&lt;&gt;"",AVERAGE(G472,J472),G472))</f>
        <v/>
      </c>
      <c r="N472" s="15">
        <f>IF(OR(L472="",M472=""),"",AVERAGE(L472,M472))</f>
        <v/>
      </c>
    </row>
    <row r="473"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15" t="n"/>
      <c r="G473" s="15" t="n"/>
      <c r="H473">
        <f>IFERROR(INDEX(מלאי!$N$2:$N$500,MATCH(A473,מלאי!$D$2:$D$500,0)),"")</f>
        <v/>
      </c>
      <c r="I473" s="15" t="n"/>
      <c r="J473" s="15" t="n"/>
      <c r="L473" s="15">
        <f>IF(F473="","",IF(I473&lt;&gt;"",AVERAGE(F473,I473),F473))</f>
        <v/>
      </c>
      <c r="M473" s="15">
        <f>IF(G473="","",IF(J473&lt;&gt;"",AVERAGE(G473,J473),G473))</f>
        <v/>
      </c>
      <c r="N473" s="15">
        <f>IF(OR(L473="",M473=""),"",AVERAGE(L473,M473))</f>
        <v/>
      </c>
    </row>
    <row r="474"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15" t="n"/>
      <c r="G474" s="15" t="n"/>
      <c r="H474">
        <f>IFERROR(INDEX(מלאי!$N$2:$N$500,MATCH(A474,מלאי!$D$2:$D$500,0)),"")</f>
        <v/>
      </c>
      <c r="I474" s="15" t="n"/>
      <c r="J474" s="15" t="n"/>
      <c r="L474" s="15">
        <f>IF(F474="","",IF(I474&lt;&gt;"",AVERAGE(F474,I474),F474))</f>
        <v/>
      </c>
      <c r="M474" s="15">
        <f>IF(G474="","",IF(J474&lt;&gt;"",AVERAGE(G474,J474),G474))</f>
        <v/>
      </c>
      <c r="N474" s="15">
        <f>IF(OR(L474="",M474=""),"",AVERAGE(L474,M474))</f>
        <v/>
      </c>
    </row>
    <row r="475"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15" t="n"/>
      <c r="G475" s="15" t="n"/>
      <c r="H475">
        <f>IFERROR(INDEX(מלאי!$N$2:$N$500,MATCH(A475,מלאי!$D$2:$D$500,0)),"")</f>
        <v/>
      </c>
      <c r="I475" s="15" t="n"/>
      <c r="J475" s="15" t="n"/>
      <c r="L475" s="15">
        <f>IF(F475="","",IF(I475&lt;&gt;"",AVERAGE(F475,I475),F475))</f>
        <v/>
      </c>
      <c r="M475" s="15">
        <f>IF(G475="","",IF(J475&lt;&gt;"",AVERAGE(G475,J475),G475))</f>
        <v/>
      </c>
      <c r="N475" s="15">
        <f>IF(OR(L475="",M475=""),"",AVERAGE(L475,M475))</f>
        <v/>
      </c>
    </row>
    <row r="476"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15" t="n"/>
      <c r="G476" s="15" t="n"/>
      <c r="H476">
        <f>IFERROR(INDEX(מלאי!$N$2:$N$500,MATCH(A476,מלאי!$D$2:$D$500,0)),"")</f>
        <v/>
      </c>
      <c r="I476" s="15" t="n"/>
      <c r="J476" s="15" t="n"/>
      <c r="L476" s="15">
        <f>IF(F476="","",IF(I476&lt;&gt;"",AVERAGE(F476,I476),F476))</f>
        <v/>
      </c>
      <c r="M476" s="15">
        <f>IF(G476="","",IF(J476&lt;&gt;"",AVERAGE(G476,J476),G476))</f>
        <v/>
      </c>
      <c r="N476" s="15">
        <f>IF(OR(L476="",M476=""),"",AVERAGE(L476,M476))</f>
        <v/>
      </c>
    </row>
    <row r="477"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15" t="n"/>
      <c r="G477" s="15" t="n"/>
      <c r="H477">
        <f>IFERROR(INDEX(מלאי!$N$2:$N$500,MATCH(A477,מלאי!$D$2:$D$500,0)),"")</f>
        <v/>
      </c>
      <c r="I477" s="15" t="n"/>
      <c r="J477" s="15" t="n"/>
      <c r="L477" s="15">
        <f>IF(F477="","",IF(I477&lt;&gt;"",AVERAGE(F477,I477),F477))</f>
        <v/>
      </c>
      <c r="M477" s="15">
        <f>IF(G477="","",IF(J477&lt;&gt;"",AVERAGE(G477,J477),G477))</f>
        <v/>
      </c>
      <c r="N477" s="15">
        <f>IF(OR(L477="",M477=""),"",AVERAGE(L477,M477))</f>
        <v/>
      </c>
    </row>
    <row r="478"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15" t="n"/>
      <c r="G478" s="15" t="n"/>
      <c r="H478">
        <f>IFERROR(INDEX(מלאי!$N$2:$N$500,MATCH(A478,מלאי!$D$2:$D$500,0)),"")</f>
        <v/>
      </c>
      <c r="I478" s="15" t="n"/>
      <c r="J478" s="15" t="n"/>
      <c r="L478" s="15">
        <f>IF(F478="","",IF(I478&lt;&gt;"",AVERAGE(F478,I478),F478))</f>
        <v/>
      </c>
      <c r="M478" s="15">
        <f>IF(G478="","",IF(J478&lt;&gt;"",AVERAGE(G478,J478),G478))</f>
        <v/>
      </c>
      <c r="N478" s="15">
        <f>IF(OR(L478="",M478=""),"",AVERAGE(L478,M478))</f>
        <v/>
      </c>
    </row>
    <row r="479"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15" t="n"/>
      <c r="G479" s="15" t="n"/>
      <c r="H479">
        <f>IFERROR(INDEX(מלאי!$N$2:$N$500,MATCH(A479,מלאי!$D$2:$D$500,0)),"")</f>
        <v/>
      </c>
      <c r="I479" s="15" t="n"/>
      <c r="J479" s="15" t="n"/>
      <c r="L479" s="15">
        <f>IF(F479="","",IF(I479&lt;&gt;"",AVERAGE(F479,I479),F479))</f>
        <v/>
      </c>
      <c r="M479" s="15">
        <f>IF(G479="","",IF(J479&lt;&gt;"",AVERAGE(G479,J479),G479))</f>
        <v/>
      </c>
      <c r="N479" s="15">
        <f>IF(OR(L479="",M479=""),"",AVERAGE(L479,M479))</f>
        <v/>
      </c>
    </row>
    <row r="480"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15" t="n"/>
      <c r="G480" s="15" t="n"/>
      <c r="H480">
        <f>IFERROR(INDEX(מלאי!$N$2:$N$500,MATCH(A480,מלאי!$D$2:$D$500,0)),"")</f>
        <v/>
      </c>
      <c r="I480" s="15" t="n"/>
      <c r="J480" s="15" t="n"/>
      <c r="L480" s="15">
        <f>IF(F480="","",IF(I480&lt;&gt;"",AVERAGE(F480,I480),F480))</f>
        <v/>
      </c>
      <c r="M480" s="15">
        <f>IF(G480="","",IF(J480&lt;&gt;"",AVERAGE(G480,J480),G480))</f>
        <v/>
      </c>
      <c r="N480" s="15">
        <f>IF(OR(L480="",M480=""),"",AVERAGE(L480,M480))</f>
        <v/>
      </c>
    </row>
    <row r="481"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15" t="n"/>
      <c r="G481" s="15" t="n"/>
      <c r="H481">
        <f>IFERROR(INDEX(מלאי!$N$2:$N$500,MATCH(A481,מלאי!$D$2:$D$500,0)),"")</f>
        <v/>
      </c>
      <c r="I481" s="15" t="n"/>
      <c r="J481" s="15" t="n"/>
      <c r="L481" s="15">
        <f>IF(F481="","",IF(I481&lt;&gt;"",AVERAGE(F481,I481),F481))</f>
        <v/>
      </c>
      <c r="M481" s="15">
        <f>IF(G481="","",IF(J481&lt;&gt;"",AVERAGE(G481,J481),G481))</f>
        <v/>
      </c>
      <c r="N481" s="15">
        <f>IF(OR(L481="",M481=""),"",AVERAGE(L481,M481))</f>
        <v/>
      </c>
    </row>
    <row r="482"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15" t="n"/>
      <c r="G482" s="15" t="n"/>
      <c r="H482">
        <f>IFERROR(INDEX(מלאי!$N$2:$N$500,MATCH(A482,מלאי!$D$2:$D$500,0)),"")</f>
        <v/>
      </c>
      <c r="I482" s="15" t="n"/>
      <c r="J482" s="15" t="n"/>
      <c r="L482" s="15">
        <f>IF(F482="","",IF(I482&lt;&gt;"",AVERAGE(F482,I482),F482))</f>
        <v/>
      </c>
      <c r="M482" s="15">
        <f>IF(G482="","",IF(J482&lt;&gt;"",AVERAGE(G482,J482),G482))</f>
        <v/>
      </c>
      <c r="N482" s="15">
        <f>IF(OR(L482="",M482=""),"",AVERAGE(L482,M482))</f>
        <v/>
      </c>
    </row>
    <row r="483"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15" t="n"/>
      <c r="G483" s="15" t="n"/>
      <c r="H483">
        <f>IFERROR(INDEX(מלאי!$N$2:$N$500,MATCH(A483,מלאי!$D$2:$D$500,0)),"")</f>
        <v/>
      </c>
      <c r="I483" s="15" t="n"/>
      <c r="J483" s="15" t="n"/>
      <c r="L483" s="15">
        <f>IF(F483="","",IF(I483&lt;&gt;"",AVERAGE(F483,I483),F483))</f>
        <v/>
      </c>
      <c r="M483" s="15">
        <f>IF(G483="","",IF(J483&lt;&gt;"",AVERAGE(G483,J483),G483))</f>
        <v/>
      </c>
      <c r="N483" s="15">
        <f>IF(OR(L483="",M483=""),"",AVERAGE(L483,M483))</f>
        <v/>
      </c>
    </row>
    <row r="484"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15" t="n"/>
      <c r="G484" s="15" t="n"/>
      <c r="H484">
        <f>IFERROR(INDEX(מלאי!$N$2:$N$500,MATCH(A484,מלאי!$D$2:$D$500,0)),"")</f>
        <v/>
      </c>
      <c r="I484" s="15" t="n"/>
      <c r="J484" s="15" t="n"/>
      <c r="L484" s="15">
        <f>IF(F484="","",IF(I484&lt;&gt;"",AVERAGE(F484,I484),F484))</f>
        <v/>
      </c>
      <c r="M484" s="15">
        <f>IF(G484="","",IF(J484&lt;&gt;"",AVERAGE(G484,J484),G484))</f>
        <v/>
      </c>
      <c r="N484" s="15">
        <f>IF(OR(L484="",M484=""),"",AVERAGE(L484,M484))</f>
        <v/>
      </c>
    </row>
    <row r="485"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15" t="n"/>
      <c r="G485" s="15" t="n"/>
      <c r="H485">
        <f>IFERROR(INDEX(מלאי!$N$2:$N$500,MATCH(A485,מלאי!$D$2:$D$500,0)),"")</f>
        <v/>
      </c>
      <c r="I485" s="15" t="n"/>
      <c r="J485" s="15" t="n"/>
      <c r="L485" s="15">
        <f>IF(F485="","",IF(I485&lt;&gt;"",AVERAGE(F485,I485),F485))</f>
        <v/>
      </c>
      <c r="M485" s="15">
        <f>IF(G485="","",IF(J485&lt;&gt;"",AVERAGE(G485,J485),G485))</f>
        <v/>
      </c>
      <c r="N485" s="15">
        <f>IF(OR(L485="",M485=""),"",AVERAGE(L485,M485))</f>
        <v/>
      </c>
    </row>
    <row r="486"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15" t="n"/>
      <c r="G486" s="15" t="n"/>
      <c r="H486">
        <f>IFERROR(INDEX(מלאי!$N$2:$N$500,MATCH(A486,מלאי!$D$2:$D$500,0)),"")</f>
        <v/>
      </c>
      <c r="I486" s="15" t="n"/>
      <c r="J486" s="15" t="n"/>
      <c r="L486" s="15">
        <f>IF(F486="","",IF(I486&lt;&gt;"",AVERAGE(F486,I486),F486))</f>
        <v/>
      </c>
      <c r="M486" s="15">
        <f>IF(G486="","",IF(J486&lt;&gt;"",AVERAGE(G486,J486),G486))</f>
        <v/>
      </c>
      <c r="N486" s="15">
        <f>IF(OR(L486="",M486=""),"",AVERAGE(L486,M486))</f>
        <v/>
      </c>
    </row>
    <row r="487"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15" t="n"/>
      <c r="G487" s="15" t="n"/>
      <c r="H487">
        <f>IFERROR(INDEX(מלאי!$N$2:$N$500,MATCH(A487,מלאי!$D$2:$D$500,0)),"")</f>
        <v/>
      </c>
      <c r="I487" s="15" t="n"/>
      <c r="J487" s="15" t="n"/>
      <c r="L487" s="15">
        <f>IF(F487="","",IF(I487&lt;&gt;"",AVERAGE(F487,I487),F487))</f>
        <v/>
      </c>
      <c r="M487" s="15">
        <f>IF(G487="","",IF(J487&lt;&gt;"",AVERAGE(G487,J487),G487))</f>
        <v/>
      </c>
      <c r="N487" s="15">
        <f>IF(OR(L487="",M487=""),"",AVERAGE(L487,M487))</f>
        <v/>
      </c>
    </row>
    <row r="488"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15" t="n"/>
      <c r="G488" s="15" t="n"/>
      <c r="H488">
        <f>IFERROR(INDEX(מלאי!$N$2:$N$500,MATCH(A488,מלאי!$D$2:$D$500,0)),"")</f>
        <v/>
      </c>
      <c r="I488" s="15" t="n"/>
      <c r="J488" s="15" t="n"/>
      <c r="L488" s="15">
        <f>IF(F488="","",IF(I488&lt;&gt;"",AVERAGE(F488,I488),F488))</f>
        <v/>
      </c>
      <c r="M488" s="15">
        <f>IF(G488="","",IF(J488&lt;&gt;"",AVERAGE(G488,J488),G488))</f>
        <v/>
      </c>
      <c r="N488" s="15">
        <f>IF(OR(L488="",M488=""),"",AVERAGE(L488,M488))</f>
        <v/>
      </c>
    </row>
    <row r="489"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15" t="n"/>
      <c r="G489" s="15" t="n"/>
      <c r="H489">
        <f>IFERROR(INDEX(מלאי!$N$2:$N$500,MATCH(A489,מלאי!$D$2:$D$500,0)),"")</f>
        <v/>
      </c>
      <c r="I489" s="15" t="n"/>
      <c r="J489" s="15" t="n"/>
      <c r="L489" s="15">
        <f>IF(F489="","",IF(I489&lt;&gt;"",AVERAGE(F489,I489),F489))</f>
        <v/>
      </c>
      <c r="M489" s="15">
        <f>IF(G489="","",IF(J489&lt;&gt;"",AVERAGE(G489,J489),G489))</f>
        <v/>
      </c>
      <c r="N489" s="15">
        <f>IF(OR(L489="",M489=""),"",AVERAGE(L489,M489))</f>
        <v/>
      </c>
    </row>
    <row r="490"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15" t="n"/>
      <c r="G490" s="15" t="n"/>
      <c r="H490">
        <f>IFERROR(INDEX(מלאי!$N$2:$N$500,MATCH(A490,מלאי!$D$2:$D$500,0)),"")</f>
        <v/>
      </c>
      <c r="I490" s="15" t="n"/>
      <c r="J490" s="15" t="n"/>
      <c r="L490" s="15">
        <f>IF(F490="","",IF(I490&lt;&gt;"",AVERAGE(F490,I490),F490))</f>
        <v/>
      </c>
      <c r="M490" s="15">
        <f>IF(G490="","",IF(J490&lt;&gt;"",AVERAGE(G490,J490),G490))</f>
        <v/>
      </c>
      <c r="N490" s="15">
        <f>IF(OR(L490="",M490=""),"",AVERAGE(L490,M490))</f>
        <v/>
      </c>
    </row>
    <row r="491"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15" t="n"/>
      <c r="G491" s="15" t="n"/>
      <c r="H491">
        <f>IFERROR(INDEX(מלאי!$N$2:$N$500,MATCH(A491,מלאי!$D$2:$D$500,0)),"")</f>
        <v/>
      </c>
      <c r="I491" s="15" t="n"/>
      <c r="J491" s="15" t="n"/>
      <c r="L491" s="15">
        <f>IF(F491="","",IF(I491&lt;&gt;"",AVERAGE(F491,I491),F491))</f>
        <v/>
      </c>
      <c r="M491" s="15">
        <f>IF(G491="","",IF(J491&lt;&gt;"",AVERAGE(G491,J491),G491))</f>
        <v/>
      </c>
      <c r="N491" s="15">
        <f>IF(OR(L491="",M491=""),"",AVERAGE(L491,M491))</f>
        <v/>
      </c>
    </row>
    <row r="492"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15" t="n"/>
      <c r="G492" s="15" t="n"/>
      <c r="H492">
        <f>IFERROR(INDEX(מלאי!$N$2:$N$500,MATCH(A492,מלאי!$D$2:$D$500,0)),"")</f>
        <v/>
      </c>
      <c r="I492" s="15" t="n"/>
      <c r="J492" s="15" t="n"/>
      <c r="L492" s="15">
        <f>IF(F492="","",IF(I492&lt;&gt;"",AVERAGE(F492,I492),F492))</f>
        <v/>
      </c>
      <c r="M492" s="15">
        <f>IF(G492="","",IF(J492&lt;&gt;"",AVERAGE(G492,J492),G492))</f>
        <v/>
      </c>
      <c r="N492" s="15">
        <f>IF(OR(L492="",M492=""),"",AVERAGE(L492,M492))</f>
        <v/>
      </c>
    </row>
    <row r="493"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15" t="n"/>
      <c r="G493" s="15" t="n"/>
      <c r="H493">
        <f>IFERROR(INDEX(מלאי!$N$2:$N$500,MATCH(A493,מלאי!$D$2:$D$500,0)),"")</f>
        <v/>
      </c>
      <c r="I493" s="15" t="n"/>
      <c r="J493" s="15" t="n"/>
      <c r="L493" s="15">
        <f>IF(F493="","",IF(I493&lt;&gt;"",AVERAGE(F493,I493),F493))</f>
        <v/>
      </c>
      <c r="M493" s="15">
        <f>IF(G493="","",IF(J493&lt;&gt;"",AVERAGE(G493,J493),G493))</f>
        <v/>
      </c>
      <c r="N493" s="15">
        <f>IF(OR(L493="",M493=""),"",AVERAGE(L493,M493))</f>
        <v/>
      </c>
    </row>
    <row r="494"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15" t="n"/>
      <c r="G494" s="15" t="n"/>
      <c r="H494">
        <f>IFERROR(INDEX(מלאי!$N$2:$N$500,MATCH(A494,מלאי!$D$2:$D$500,0)),"")</f>
        <v/>
      </c>
      <c r="I494" s="15" t="n"/>
      <c r="J494" s="15" t="n"/>
      <c r="L494" s="15">
        <f>IF(F494="","",IF(I494&lt;&gt;"",AVERAGE(F494,I494),F494))</f>
        <v/>
      </c>
      <c r="M494" s="15">
        <f>IF(G494="","",IF(J494&lt;&gt;"",AVERAGE(G494,J494),G494))</f>
        <v/>
      </c>
      <c r="N494" s="15">
        <f>IF(OR(L494="",M494=""),"",AVERAGE(L494,M494))</f>
        <v/>
      </c>
    </row>
    <row r="495"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15" t="n"/>
      <c r="G495" s="15" t="n"/>
      <c r="H495">
        <f>IFERROR(INDEX(מלאי!$N$2:$N$500,MATCH(A495,מלאי!$D$2:$D$500,0)),"")</f>
        <v/>
      </c>
      <c r="I495" s="15" t="n"/>
      <c r="J495" s="15" t="n"/>
      <c r="L495" s="15">
        <f>IF(F495="","",IF(I495&lt;&gt;"",AVERAGE(F495,I495),F495))</f>
        <v/>
      </c>
      <c r="M495" s="15">
        <f>IF(G495="","",IF(J495&lt;&gt;"",AVERAGE(G495,J495),G495))</f>
        <v/>
      </c>
      <c r="N495" s="15">
        <f>IF(OR(L495="",M495=""),"",AVERAGE(L495,M495))</f>
        <v/>
      </c>
    </row>
    <row r="496"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15" t="n"/>
      <c r="G496" s="15" t="n"/>
      <c r="H496">
        <f>IFERROR(INDEX(מלאי!$N$2:$N$500,MATCH(A496,מלאי!$D$2:$D$500,0)),"")</f>
        <v/>
      </c>
      <c r="I496" s="15" t="n"/>
      <c r="J496" s="15" t="n"/>
      <c r="L496" s="15">
        <f>IF(F496="","",IF(I496&lt;&gt;"",AVERAGE(F496,I496),F496))</f>
        <v/>
      </c>
      <c r="M496" s="15">
        <f>IF(G496="","",IF(J496&lt;&gt;"",AVERAGE(G496,J496),G496))</f>
        <v/>
      </c>
      <c r="N496" s="15">
        <f>IF(OR(L496="",M496=""),"",AVERAGE(L496,M496))</f>
        <v/>
      </c>
    </row>
    <row r="497"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15" t="n"/>
      <c r="G497" s="15" t="n"/>
      <c r="H497">
        <f>IFERROR(INDEX(מלאי!$N$2:$N$500,MATCH(A497,מלאי!$D$2:$D$500,0)),"")</f>
        <v/>
      </c>
      <c r="I497" s="15" t="n"/>
      <c r="J497" s="15" t="n"/>
      <c r="L497" s="15">
        <f>IF(F497="","",IF(I497&lt;&gt;"",AVERAGE(F497,I497),F497))</f>
        <v/>
      </c>
      <c r="M497" s="15">
        <f>IF(G497="","",IF(J497&lt;&gt;"",AVERAGE(G497,J497),G497))</f>
        <v/>
      </c>
      <c r="N497" s="15">
        <f>IF(OR(L497="",M497=""),"",AVERAGE(L497,M497))</f>
        <v/>
      </c>
    </row>
    <row r="498"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15" t="n"/>
      <c r="G498" s="15" t="n"/>
      <c r="H498">
        <f>IFERROR(INDEX(מלאי!$N$2:$N$500,MATCH(A498,מלאי!$D$2:$D$500,0)),"")</f>
        <v/>
      </c>
      <c r="I498" s="15" t="n"/>
      <c r="J498" s="15" t="n"/>
      <c r="L498" s="15">
        <f>IF(F498="","",IF(I498&lt;&gt;"",AVERAGE(F498,I498),F498))</f>
        <v/>
      </c>
      <c r="M498" s="15">
        <f>IF(G498="","",IF(J498&lt;&gt;"",AVERAGE(G498,J498),G498))</f>
        <v/>
      </c>
      <c r="N498" s="15">
        <f>IF(OR(L498="",M498=""),"",AVERAGE(L498,M498))</f>
        <v/>
      </c>
    </row>
    <row r="499"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15" t="n"/>
      <c r="G499" s="15" t="n"/>
      <c r="H499">
        <f>IFERROR(INDEX(מלאי!$N$2:$N$500,MATCH(A499,מלאי!$D$2:$D$500,0)),"")</f>
        <v/>
      </c>
      <c r="I499" s="15" t="n"/>
      <c r="J499" s="15" t="n"/>
      <c r="L499" s="15">
        <f>IF(F499="","",IF(I499&lt;&gt;"",AVERAGE(F499,I499),F499))</f>
        <v/>
      </c>
      <c r="M499" s="15">
        <f>IF(G499="","",IF(J499&lt;&gt;"",AVERAGE(G499,J499),G499))</f>
        <v/>
      </c>
      <c r="N499" s="15">
        <f>IF(OR(L499="",M499=""),"",AVERAGE(L499,M499))</f>
        <v/>
      </c>
    </row>
    <row r="500"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15" t="n"/>
      <c r="G500" s="15" t="n"/>
      <c r="H500">
        <f>IFERROR(INDEX(מלאי!$N$2:$N$500,MATCH(A500,מלאי!$D$2:$D$500,0)),"")</f>
        <v/>
      </c>
      <c r="I500" s="15" t="n"/>
      <c r="J500" s="15" t="n"/>
      <c r="L500" s="15">
        <f>IF(F500="","",IF(I500&lt;&gt;"",AVERAGE(F500,I500),F500))</f>
        <v/>
      </c>
      <c r="M500" s="15">
        <f>IF(G500="","",IF(J500&lt;&gt;"",AVERAGE(G500,J500),G500))</f>
        <v/>
      </c>
      <c r="N500" s="15">
        <f>IF(OR(L500="",M500=""),"",AVERAGE(L500,M500))</f>
        <v/>
      </c>
    </row>
  </sheetData>
  <dataValidations count="1">
    <dataValidation sqref="K2:K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3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7" t="inlineStr">
        <is>
          <t>סביבה</t>
        </is>
      </c>
    </row>
    <row r="2">
      <c r="A2" s="2" t="inlineStr">
        <is>
          <t>מדברי</t>
        </is>
      </c>
    </row>
    <row r="3">
      <c r="A3" s="8" t="inlineStr">
        <is>
          <t>מיוער</t>
        </is>
      </c>
    </row>
    <row r="4">
      <c r="A4" s="2" t="inlineStr">
        <is>
          <t>שלג</t>
        </is>
      </c>
    </row>
    <row r="5">
      <c r="A5" s="8" t="inlineStr">
        <is>
          <t>ימי</t>
        </is>
      </c>
    </row>
    <row r="6">
      <c r="A6" s="2" t="inlineStr">
        <is>
          <t>מבולדר/שטח בנוי</t>
        </is>
      </c>
    </row>
    <row r="7">
      <c r="A7" s="8" t="inlineStr">
        <is>
          <t>אחר</t>
        </is>
      </c>
    </row>
    <row r="10">
      <c r="A10" s="7" t="inlineStr">
        <is>
          <t>הדפס</t>
        </is>
      </c>
      <c r="B10" s="7" t="inlineStr">
        <is>
          <t>סביבה ראשית</t>
        </is>
      </c>
      <c r="C10" s="7" t="inlineStr">
        <is>
          <t>סביבה משנית</t>
        </is>
      </c>
      <c r="D10" s="7" t="inlineStr">
        <is>
          <t>תמונה</t>
        </is>
      </c>
    </row>
    <row r="11">
      <c r="A11" s="2" t="inlineStr">
        <is>
          <t>Desert</t>
        </is>
      </c>
      <c r="B11" s="2" t="inlineStr">
        <is>
          <t>מדברי</t>
        </is>
      </c>
      <c r="C11" s="2" t="n"/>
      <c r="D11" s="2" t="n"/>
    </row>
    <row r="12">
      <c r="A12" s="8" t="inlineStr">
        <is>
          <t>Desert-Green</t>
        </is>
      </c>
      <c r="B12" s="8" t="inlineStr">
        <is>
          <t>מדברי</t>
        </is>
      </c>
      <c r="C12" s="8" t="n"/>
      <c r="D12" s="8" t="n"/>
    </row>
    <row r="13">
      <c r="A13" s="2" t="inlineStr">
        <is>
          <t>Desert Coyote</t>
        </is>
      </c>
      <c r="B13" s="2" t="inlineStr">
        <is>
          <t>מדברי</t>
        </is>
      </c>
      <c r="C13" s="2" t="n"/>
      <c r="D13" s="2" t="n"/>
    </row>
    <row r="14">
      <c r="A14" s="8" t="inlineStr">
        <is>
          <t>Sand</t>
        </is>
      </c>
      <c r="B14" s="8" t="inlineStr">
        <is>
          <t>מדברי</t>
        </is>
      </c>
      <c r="C14" s="8" t="n"/>
      <c r="D14" s="8" t="n"/>
    </row>
    <row r="15">
      <c r="A15" s="2" t="inlineStr">
        <is>
          <t>Ever-Green</t>
        </is>
      </c>
      <c r="B15" s="2" t="inlineStr">
        <is>
          <t>מיוער</t>
        </is>
      </c>
      <c r="C15" s="2" t="n"/>
      <c r="D15" s="2" t="n"/>
    </row>
    <row r="16">
      <c r="A16" s="8" t="inlineStr">
        <is>
          <t>Forest Green</t>
        </is>
      </c>
      <c r="B16" s="8" t="inlineStr">
        <is>
          <t>מיוער</t>
        </is>
      </c>
      <c r="C16" s="8" t="n"/>
      <c r="D16" s="8" t="n"/>
    </row>
    <row r="17">
      <c r="A17" s="2" t="inlineStr">
        <is>
          <t>Kestrel</t>
        </is>
      </c>
      <c r="B17" s="2" t="inlineStr">
        <is>
          <t>מיוער</t>
        </is>
      </c>
      <c r="C17" s="2" t="n"/>
      <c r="D17" s="2" t="n"/>
    </row>
    <row r="18">
      <c r="A18" s="8" t="inlineStr">
        <is>
          <t>Woodland</t>
        </is>
      </c>
      <c r="B18" s="8" t="inlineStr">
        <is>
          <t>מיוער</t>
        </is>
      </c>
      <c r="C18" s="8" t="n"/>
      <c r="D18" s="8" t="n"/>
    </row>
    <row r="19">
      <c r="A19" s="2" t="inlineStr">
        <is>
          <t>Woodland Brown</t>
        </is>
      </c>
      <c r="B19" s="2" t="inlineStr">
        <is>
          <t>מיוער</t>
        </is>
      </c>
      <c r="C19" s="2" t="n"/>
      <c r="D19" s="2" t="n"/>
    </row>
    <row r="20">
      <c r="A20" s="8" t="inlineStr">
        <is>
          <t>Urban Green</t>
        </is>
      </c>
      <c r="B20" s="8" t="inlineStr">
        <is>
          <t>מיוער</t>
        </is>
      </c>
      <c r="C20" s="8" t="inlineStr">
        <is>
          <t>מבולדר/שטח בנוי</t>
        </is>
      </c>
      <c r="D20" s="8" t="n"/>
    </row>
    <row r="21">
      <c r="A21" s="2" t="inlineStr">
        <is>
          <t>Snirt Snow</t>
        </is>
      </c>
      <c r="B21" s="2" t="inlineStr">
        <is>
          <t>שלג</t>
        </is>
      </c>
      <c r="C21" s="2" t="n"/>
      <c r="D21" s="2" t="n"/>
    </row>
    <row r="22">
      <c r="A22" s="8" t="inlineStr">
        <is>
          <t>Fresh Snow</t>
        </is>
      </c>
      <c r="B22" s="8" t="inlineStr">
        <is>
          <t>שלג</t>
        </is>
      </c>
      <c r="C22" s="8" t="n"/>
      <c r="D22" s="8" t="n"/>
    </row>
    <row r="23">
      <c r="A23" s="2" t="inlineStr">
        <is>
          <t>Marine</t>
        </is>
      </c>
      <c r="B23" s="2" t="inlineStr">
        <is>
          <t>ימי</t>
        </is>
      </c>
      <c r="C23" s="2" t="n"/>
      <c r="D23" s="2" t="n"/>
    </row>
    <row r="24">
      <c r="A24" s="8" t="inlineStr">
        <is>
          <t>Urban</t>
        </is>
      </c>
      <c r="B24" s="8" t="inlineStr">
        <is>
          <t>מבולדר/שטח בנוי</t>
        </is>
      </c>
      <c r="C24" s="8" t="n"/>
      <c r="D24" s="8" t="n"/>
    </row>
    <row r="25">
      <c r="A25" s="2" t="inlineStr">
        <is>
          <t>Boulder</t>
        </is>
      </c>
      <c r="B25" s="2" t="inlineStr">
        <is>
          <t>מבולדר/שטח בנוי</t>
        </is>
      </c>
      <c r="C25" s="2" t="n"/>
      <c r="D25" s="2" t="n"/>
    </row>
    <row r="28">
      <c r="A28" s="7" t="inlineStr">
        <is>
          <t>קו מוצר</t>
        </is>
      </c>
    </row>
    <row r="29">
      <c r="A29" s="2" t="inlineStr">
        <is>
          <t>OverGarment</t>
        </is>
      </c>
    </row>
    <row r="30">
      <c r="A30" s="8" t="inlineStr">
        <is>
          <t>Hide Site</t>
        </is>
      </c>
    </row>
    <row r="31">
      <c r="A31" s="2" t="inlineStr">
        <is>
          <t>Platform Hide Site</t>
        </is>
      </c>
    </row>
    <row r="32">
      <c r="A32" s="8" t="inlineStr">
        <is>
          <t>Uniform</t>
        </is>
      </c>
    </row>
    <row r="33">
      <c r="A33" s="2" t="inlineStr">
        <is>
          <t>Blankets</t>
        </is>
      </c>
    </row>
    <row r="34">
      <c r="A34" s="8" t="inlineStr">
        <is>
          <t>Urban</t>
        </is>
      </c>
    </row>
    <row r="35">
      <c r="A35" s="2" t="inlineStr">
        <is>
          <t>Platform On-The-Move</t>
        </is>
      </c>
    </row>
    <row r="36">
      <c r="A36" s="8" t="inlineStr">
        <is>
          <t>Accessories</t>
        </is>
      </c>
    </row>
    <row r="39">
      <c r="A39" s="7" t="inlineStr">
        <is>
          <t>קו מוצר</t>
        </is>
      </c>
      <c r="B39" s="7" t="inlineStr">
        <is>
          <t>שם מוצר</t>
        </is>
      </c>
      <c r="C39" s="7" t="inlineStr">
        <is>
          <t>גרסאות זמינות</t>
        </is>
      </c>
    </row>
    <row r="40">
      <c r="A40" s="2" t="inlineStr">
        <is>
          <t>OverGarment</t>
        </is>
      </c>
      <c r="B40" s="2" t="inlineStr">
        <is>
          <t>Hobey Elite</t>
        </is>
      </c>
      <c r="C40" s="2" t="inlineStr"/>
    </row>
    <row r="41">
      <c r="A41" s="8" t="inlineStr">
        <is>
          <t>OverGarment</t>
        </is>
      </c>
      <c r="B41" s="8" t="inlineStr">
        <is>
          <t>Gal Suit</t>
        </is>
      </c>
      <c r="C41" s="8" t="inlineStr"/>
    </row>
    <row r="42">
      <c r="A42" s="2" t="inlineStr">
        <is>
          <t>OverGarment</t>
        </is>
      </c>
      <c r="B42" s="2" t="inlineStr">
        <is>
          <t>Sniper Assault</t>
        </is>
      </c>
      <c r="C42" s="2" t="inlineStr"/>
    </row>
    <row r="43">
      <c r="A43" s="8" t="inlineStr">
        <is>
          <t>OverGarment</t>
        </is>
      </c>
      <c r="B43" s="8" t="inlineStr">
        <is>
          <t>SWAT 3-Part Suit</t>
        </is>
      </c>
      <c r="C43" s="8" t="inlineStr"/>
    </row>
    <row r="44">
      <c r="A44" s="2" t="inlineStr">
        <is>
          <t>OverGarment</t>
        </is>
      </c>
      <c r="B44" s="2" t="inlineStr">
        <is>
          <t>May Suit</t>
        </is>
      </c>
      <c r="C44" s="2" t="inlineStr"/>
    </row>
    <row r="45">
      <c r="A45" s="8" t="inlineStr">
        <is>
          <t>OverGarment</t>
        </is>
      </c>
      <c r="B45" s="8" t="inlineStr">
        <is>
          <t>May Long Shirt</t>
        </is>
      </c>
      <c r="C45" s="8" t="inlineStr"/>
    </row>
    <row r="46">
      <c r="A46" s="2" t="inlineStr">
        <is>
          <t>OverGarment</t>
        </is>
      </c>
      <c r="B46" s="2" t="inlineStr">
        <is>
          <t>Arctic Suit</t>
        </is>
      </c>
      <c r="C46" s="2" t="inlineStr"/>
    </row>
    <row r="47">
      <c r="A47" s="8" t="inlineStr">
        <is>
          <t>OverGarment</t>
        </is>
      </c>
      <c r="B47" s="8" t="inlineStr">
        <is>
          <t>Poncho SRV</t>
        </is>
      </c>
      <c r="C47" s="8" t="inlineStr"/>
    </row>
    <row r="48">
      <c r="A48" s="2" t="inlineStr">
        <is>
          <t>OverGarment</t>
        </is>
      </c>
      <c r="B48" s="2" t="inlineStr">
        <is>
          <t>Poncho Inbar</t>
        </is>
      </c>
      <c r="C48" s="2" t="inlineStr"/>
    </row>
    <row r="49">
      <c r="A49" s="8" t="inlineStr">
        <is>
          <t>OverGarment</t>
        </is>
      </c>
      <c r="B49" s="8" t="inlineStr">
        <is>
          <t>Poncho Inbar 3D</t>
        </is>
      </c>
      <c r="C49" s="8" t="inlineStr"/>
    </row>
    <row r="50">
      <c r="A50" s="2" t="inlineStr">
        <is>
          <t>OverGarment</t>
        </is>
      </c>
      <c r="B50" s="2" t="inlineStr">
        <is>
          <t>Poncho Sahar</t>
        </is>
      </c>
      <c r="C50" s="2" t="inlineStr"/>
    </row>
    <row r="51">
      <c r="A51" s="8" t="inlineStr">
        <is>
          <t>OverGarment</t>
        </is>
      </c>
      <c r="B51" s="8" t="inlineStr">
        <is>
          <t>Poncho Sahar 3D</t>
        </is>
      </c>
      <c r="C51" s="8" t="inlineStr"/>
    </row>
    <row r="52">
      <c r="A52" s="2" t="inlineStr">
        <is>
          <t>Hide Site</t>
        </is>
      </c>
      <c r="B52" s="2" t="inlineStr">
        <is>
          <t>Hide Site Standard</t>
        </is>
      </c>
      <c r="C52" s="2" t="inlineStr"/>
    </row>
    <row r="53">
      <c r="A53" s="8" t="inlineStr">
        <is>
          <t>Hide Site</t>
        </is>
      </c>
      <c r="B53" s="8" t="inlineStr">
        <is>
          <t>HS Floor</t>
        </is>
      </c>
      <c r="C53" s="8" t="inlineStr"/>
    </row>
    <row r="54">
      <c r="A54" s="2" t="inlineStr">
        <is>
          <t>Hide Site</t>
        </is>
      </c>
      <c r="B54" s="2" t="inlineStr">
        <is>
          <t>Window Kit</t>
        </is>
      </c>
      <c r="C54" s="2" t="inlineStr"/>
    </row>
    <row r="55">
      <c r="A55" s="8" t="inlineStr">
        <is>
          <t>Platform Hide Site</t>
        </is>
      </c>
      <c r="B55" s="8" t="inlineStr">
        <is>
          <t>Platform HS (including parts)</t>
        </is>
      </c>
      <c r="C55" s="8" t="inlineStr"/>
    </row>
    <row r="56">
      <c r="A56" s="2" t="inlineStr">
        <is>
          <t>Uniform</t>
        </is>
      </c>
      <c r="B56" s="2" t="inlineStr">
        <is>
          <t>Shirt</t>
        </is>
      </c>
      <c r="C56" s="2" t="inlineStr"/>
    </row>
    <row r="57">
      <c r="A57" s="8" t="inlineStr">
        <is>
          <t>Uniform</t>
        </is>
      </c>
      <c r="B57" s="8" t="inlineStr">
        <is>
          <t>Pants</t>
        </is>
      </c>
      <c r="C57" s="8" t="inlineStr"/>
    </row>
    <row r="58">
      <c r="A58" s="2" t="inlineStr">
        <is>
          <t>Blankets</t>
        </is>
      </c>
      <c r="B58" s="2" t="inlineStr">
        <is>
          <t>Survival Blanket</t>
        </is>
      </c>
      <c r="C58" s="2" t="inlineStr"/>
    </row>
    <row r="59">
      <c r="A59" s="8" t="inlineStr">
        <is>
          <t>Blankets</t>
        </is>
      </c>
      <c r="B59" s="8" t="inlineStr">
        <is>
          <t>יריעת החשכה</t>
        </is>
      </c>
      <c r="C59" s="8" t="inlineStr"/>
    </row>
    <row r="60">
      <c r="A60" s="2" t="inlineStr">
        <is>
          <t>Urban</t>
        </is>
      </c>
      <c r="B60" s="2" t="inlineStr">
        <is>
          <t>Loki</t>
        </is>
      </c>
      <c r="C60" s="2" t="inlineStr"/>
    </row>
    <row r="61">
      <c r="A61" s="8" t="inlineStr">
        <is>
          <t>Platform On-The-Move</t>
        </is>
      </c>
      <c r="B61" s="8" t="inlineStr">
        <is>
          <t>GMV</t>
        </is>
      </c>
      <c r="C61" s="8" t="inlineStr"/>
    </row>
    <row r="62">
      <c r="A62" s="2" t="inlineStr">
        <is>
          <t>Platform On-The-Move</t>
        </is>
      </c>
      <c r="B62" s="2" t="inlineStr">
        <is>
          <t>רשת הצללה</t>
        </is>
      </c>
      <c r="C62" s="2" t="inlineStr"/>
    </row>
    <row r="63">
      <c r="A63" s="8" t="inlineStr">
        <is>
          <t>Accessories</t>
        </is>
      </c>
      <c r="B63" s="8" t="inlineStr">
        <is>
          <t>Accessories</t>
        </is>
      </c>
      <c r="C63" s="8" t="inlineStr"/>
    </row>
    <row r="66">
      <c r="A66" s="7" t="inlineStr">
        <is>
          <t>סוג בד</t>
        </is>
      </c>
    </row>
    <row r="67">
      <c r="A67" s="2" t="inlineStr">
        <is>
          <t>Sahar</t>
        </is>
      </c>
    </row>
    <row r="68">
      <c r="A68" s="8" t="inlineStr">
        <is>
          <t>Inbar</t>
        </is>
      </c>
    </row>
    <row r="69">
      <c r="A69" s="2" t="inlineStr">
        <is>
          <t>SRV</t>
        </is>
      </c>
    </row>
    <row r="70">
      <c r="A70" s="8" t="inlineStr">
        <is>
          <t>Gabardine</t>
        </is>
      </c>
    </row>
    <row r="71">
      <c r="A71" s="2" t="inlineStr">
        <is>
          <t>Meron</t>
        </is>
      </c>
    </row>
    <row r="72">
      <c r="A72" s="8" t="inlineStr">
        <is>
          <t>Arber</t>
        </is>
      </c>
    </row>
    <row r="73">
      <c r="A73" s="2" t="inlineStr">
        <is>
          <t>IRR</t>
        </is>
      </c>
    </row>
    <row r="74">
      <c r="A74" s="8" t="inlineStr">
        <is>
          <t>Polar</t>
        </is>
      </c>
    </row>
    <row r="75">
      <c r="A75" s="2" t="inlineStr">
        <is>
          <t>Nylon</t>
        </is>
      </c>
    </row>
    <row r="76">
      <c r="A76" s="8" t="inlineStr">
        <is>
          <t>Mesh</t>
        </is>
      </c>
    </row>
    <row r="77">
      <c r="A77" s="2" t="inlineStr">
        <is>
          <t>PVC</t>
        </is>
      </c>
    </row>
    <row r="78">
      <c r="A78" s="8" t="inlineStr">
        <is>
          <t>Other</t>
        </is>
      </c>
    </row>
    <row r="81">
      <c r="A81" s="7" t="inlineStr">
        <is>
          <t>סטטוס</t>
        </is>
      </c>
    </row>
    <row r="82">
      <c r="A82" s="2" t="inlineStr">
        <is>
          <t>במלאי</t>
        </is>
      </c>
    </row>
    <row r="83">
      <c r="A83" s="8" t="inlineStr">
        <is>
          <t>מושאל</t>
        </is>
      </c>
    </row>
    <row r="84">
      <c r="A84" s="2" t="inlineStr">
        <is>
          <t>בחדר תצוגה</t>
        </is>
      </c>
    </row>
    <row r="85">
      <c r="A85" s="8" t="inlineStr">
        <is>
          <t>בתיק הדגמה</t>
        </is>
      </c>
    </row>
    <row r="88">
      <c r="A88" s="7" t="inlineStr">
        <is>
          <t>ערך</t>
        </is>
      </c>
    </row>
    <row r="89">
      <c r="A89" s="2" t="inlineStr">
        <is>
          <t>כן</t>
        </is>
      </c>
    </row>
    <row r="90">
      <c r="A90" s="8" t="inlineStr">
        <is>
          <t>לא</t>
        </is>
      </c>
    </row>
    <row r="93">
      <c r="A93" s="7" t="inlineStr">
        <is>
          <t>מידה</t>
        </is>
      </c>
    </row>
    <row r="94">
      <c r="A94" s="2" t="inlineStr">
        <is>
          <t>S</t>
        </is>
      </c>
    </row>
    <row r="95">
      <c r="A95" s="8" t="inlineStr">
        <is>
          <t>M</t>
        </is>
      </c>
    </row>
    <row r="96">
      <c r="A96" s="2" t="inlineStr">
        <is>
          <t>L</t>
        </is>
      </c>
    </row>
    <row r="97">
      <c r="A97" s="8" t="inlineStr">
        <is>
          <t>XL</t>
        </is>
      </c>
    </row>
    <row r="98">
      <c r="A98" s="2" t="inlineStr">
        <is>
          <t>XXL</t>
        </is>
      </c>
    </row>
    <row r="99">
      <c r="A99" s="8" t="inlineStr">
        <is>
          <t>One Size</t>
        </is>
      </c>
    </row>
    <row r="100">
      <c r="A100" s="2" t="inlineStr">
        <is>
          <t>N/A</t>
        </is>
      </c>
    </row>
    <row r="103">
      <c r="A103" s="7" t="inlineStr">
        <is>
          <t>מוצר</t>
        </is>
      </c>
      <c r="B103" s="7" t="inlineStr">
        <is>
          <t>סוג בד</t>
        </is>
      </c>
      <c r="C103" s="7" t="inlineStr">
        <is>
          <t>גרסה</t>
        </is>
      </c>
      <c r="D103" s="7" t="inlineStr">
        <is>
          <t>מק"ט</t>
        </is>
      </c>
    </row>
    <row r="104">
      <c r="A104" s="2" t="inlineStr"/>
      <c r="B104" s="2" t="inlineStr"/>
      <c r="C104" s="2" t="inlineStr"/>
      <c r="D104" s="2" t="inlineStr"/>
    </row>
    <row r="105">
      <c r="A105" s="8" t="inlineStr"/>
      <c r="B105" s="8" t="inlineStr"/>
      <c r="C105" s="8" t="inlineStr"/>
      <c r="D105" s="8" t="inlineStr"/>
    </row>
    <row r="106">
      <c r="A106" s="2" t="inlineStr"/>
      <c r="B106" s="2" t="inlineStr"/>
      <c r="C106" s="2" t="inlineStr"/>
      <c r="D106" s="2" t="inlineStr"/>
    </row>
    <row r="107">
      <c r="A107" s="8" t="inlineStr"/>
      <c r="B107" s="8" t="inlineStr"/>
      <c r="C107" s="8" t="inlineStr"/>
      <c r="D107" s="8" t="inlineStr"/>
    </row>
    <row r="108">
      <c r="A108" s="2" t="inlineStr"/>
      <c r="B108" s="2" t="inlineStr"/>
      <c r="C108" s="2" t="inlineStr"/>
      <c r="D108" s="2" t="inlineStr"/>
    </row>
    <row r="109">
      <c r="A109" s="8" t="inlineStr"/>
      <c r="B109" s="8" t="inlineStr"/>
      <c r="C109" s="8" t="inlineStr"/>
      <c r="D109" s="8" t="inlineStr"/>
    </row>
    <row r="110">
      <c r="A110" s="2" t="inlineStr"/>
      <c r="B110" s="2" t="inlineStr"/>
      <c r="C110" s="2" t="inlineStr"/>
      <c r="D110" s="2" t="inlineStr"/>
    </row>
    <row r="111">
      <c r="A111" s="8" t="inlineStr"/>
      <c r="B111" s="8" t="inlineStr"/>
      <c r="C111" s="8" t="inlineStr"/>
      <c r="D111" s="8" t="inlineStr"/>
    </row>
    <row r="112">
      <c r="A112" s="2" t="inlineStr"/>
      <c r="B112" s="2" t="inlineStr"/>
      <c r="C112" s="2" t="inlineStr"/>
      <c r="D112" s="2" t="inlineStr"/>
    </row>
    <row r="113">
      <c r="A113" s="8" t="inlineStr"/>
      <c r="B113" s="8" t="inlineStr"/>
      <c r="C113" s="8" t="inlineStr"/>
      <c r="D113" s="8" t="inlineStr"/>
    </row>
    <row r="114">
      <c r="A114" s="2" t="inlineStr"/>
      <c r="B114" s="2" t="inlineStr"/>
      <c r="C114" s="2" t="inlineStr"/>
      <c r="D114" s="2" t="inlineStr"/>
    </row>
    <row r="115">
      <c r="A115" s="8" t="inlineStr"/>
      <c r="B115" s="8" t="inlineStr"/>
      <c r="C115" s="8" t="inlineStr"/>
      <c r="D115" s="8" t="inlineStr"/>
    </row>
    <row r="116">
      <c r="A116" s="2" t="inlineStr"/>
      <c r="B116" s="2" t="inlineStr"/>
      <c r="C116" s="2" t="inlineStr"/>
      <c r="D116" s="2" t="inlineStr"/>
    </row>
    <row r="117">
      <c r="A117" s="8" t="inlineStr"/>
      <c r="B117" s="8" t="inlineStr"/>
      <c r="C117" s="8" t="inlineStr"/>
      <c r="D117" s="8" t="inlineStr"/>
    </row>
    <row r="118">
      <c r="A118" s="2" t="inlineStr"/>
      <c r="B118" s="2" t="inlineStr"/>
      <c r="C118" s="2" t="inlineStr"/>
      <c r="D118" s="2" t="inlineStr"/>
    </row>
    <row r="119">
      <c r="A119" s="8" t="inlineStr"/>
      <c r="B119" s="8" t="inlineStr"/>
      <c r="C119" s="8" t="inlineStr"/>
      <c r="D119" s="8" t="inlineStr"/>
    </row>
    <row r="120">
      <c r="A120" s="2" t="inlineStr"/>
      <c r="B120" s="2" t="inlineStr"/>
      <c r="C120" s="2" t="inlineStr"/>
      <c r="D120" s="2" t="inlineStr"/>
    </row>
    <row r="121">
      <c r="A121" s="8" t="inlineStr"/>
      <c r="B121" s="8" t="inlineStr"/>
      <c r="C121" s="8" t="inlineStr"/>
      <c r="D121" s="8" t="inlineStr"/>
    </row>
    <row r="122">
      <c r="A122" s="2" t="inlineStr"/>
      <c r="B122" s="2" t="inlineStr"/>
      <c r="C122" s="2" t="inlineStr"/>
      <c r="D122" s="2" t="inlineStr"/>
    </row>
    <row r="123">
      <c r="A123" s="8" t="inlineStr"/>
      <c r="B123" s="8" t="inlineStr"/>
      <c r="C123" s="8" t="inlineStr"/>
      <c r="D123" s="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2026-04-01T05:59:11Z</dcterms:created>
  <dcterms:modified xsi:type="dcterms:W3CDTF">2026-04-01T05:59:11Z</dcterms:modified>
</cp:coreProperties>
</file>